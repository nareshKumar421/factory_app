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Departments" sheetId="2" state="visible" r:id="rId2"/>
    <sheet name="2. Designations" sheetId="3" state="visible" r:id="rId3"/>
    <sheet name="3. Employees" sheetId="4" state="visible" r:id="rId4"/>
    <sheet name="4. Salary history" sheetId="5" state="visible" r:id="rId5"/>
    <sheet name="5. Access and roles" sheetId="6" state="visible" r:id="rId6"/>
    <sheet name="Example (filled in)" sheetId="7" state="visible" r:id="rId7"/>
    <sheet name="Allowed values" sheetId="8" state="visible" r:id="rId8"/>
    <sheet name="Checks" sheetId="9" state="visible" r:id="rId9"/>
  </sheets>
  <definedNames>
    <definedName name="List_EmploymentStatus">'Allowed values'!$B$7:$B$14</definedName>
    <definedName name="List_RevisionType">'Allowed values'!$B$18:$B$26</definedName>
    <definedName name="List_Role">'Allowed values'!$B$30:$B$35</definedName>
    <definedName name="List_Currency">'Allowed values'!$B$39:$B$44</definedName>
    <definedName name="List_YesNo">'Allowed values'!$B$48:$B$49</definedName>
    <definedName name="List_RecordStatus">'Allowed values'!$B$53:$B$54</definedName>
    <definedName name="Dept_Codes">'1. Departments'!$A$2:$A$301</definedName>
    <definedName name="Dept_Names">'1. Departments'!$B$2:$B$301</definedName>
    <definedName name="Dept_Parents">'1. Departments'!$C$2:$C$301</definedName>
    <definedName name="Dept_Heads">'1. Departments'!$E$2:$E$301</definedName>
    <definedName name="Desig_Codes">'2. Designations'!$A$2:$A$121</definedName>
    <definedName name="Desig_Names">'2. Designations'!$B$2:$B$121</definedName>
    <definedName name="Desig_Levels">'2. Designations'!$C$2:$C$121</definedName>
    <definedName name="Emp_Codes">'3. Employees'!$A$2:$A$2001</definedName>
    <definedName name="Emp_First">'3. Employees'!$B$2:$B$2001</definedName>
    <definedName name="Emp_Names">'3. Employees'!$D$2:$D$2001</definedName>
    <definedName name="Emp_Email">'3. Employees'!$E$2:$E$2001</definedName>
    <definedName name="Emp_Status">'3. Employees'!$I$2:$I$2001</definedName>
    <definedName name="Emp_Exit">'3. Employees'!$J$2:$J$2001</definedName>
    <definedName name="Emp_Dept">'3. Employees'!$K$2:$K$2001</definedName>
    <definedName name="Emp_Desig">'3. Employees'!$M$2:$M$2001</definedName>
    <definedName name="Emp_Manager">'3. Employees'!$R$2:$R$2001</definedName>
    <definedName name="Emp_Login">'3. Employees'!$U$2:$U$2001</definedName>
    <definedName name="Sal_Emp">'4. Salary history'!$A$2:$A$6001</definedName>
    <definedName name="Sal_Date">'4. Salary history'!$C$2:$C$6001</definedName>
    <definedName name="Sal_Total">'4. Salary history'!$H$2:$H$6001</definedName>
    <definedName name="Acc_Login">'5. Access and roles'!$A$2:$A$501</definedName>
    <definedName name="Acc_Emp">'5. Access and roles'!$C$2:$C$501</definedName>
    <definedName name="Acc_Role">'5. Access and roles'!$E$2:$E$501</definedName>
    <definedName name="_xlnm._FilterDatabase" localSheetId="1" hidden="1">'1. Departments'!$A$1:$I$301</definedName>
    <definedName name="_xlnm._FilterDatabase" localSheetId="2" hidden="1">'2. Designations'!$A$1:$F$121</definedName>
    <definedName name="_xlnm._FilterDatabase" localSheetId="3" hidden="1">'3. Employees'!$A$1:$V$2001</definedName>
    <definedName name="_xlnm._FilterDatabase" localSheetId="4" hidden="1">'4. Salary history'!$A$1:$O$6001</definedName>
    <definedName name="_xlnm._FilterDatabase" localSheetId="5" hidden="1">'5. Access and roles'!$A$1:$G$501</definedName>
  </definedNames>
  <calcPr calcId="124519" fullCalcOnLoad="1"/>
</workbook>
</file>

<file path=xl/styles.xml><?xml version="1.0" encoding="utf-8"?>
<styleSheet xmlns="http://schemas.openxmlformats.org/spreadsheetml/2006/main">
  <numFmts count="2">
    <numFmt numFmtId="164" formatCode="DD-MMM-YYYY"/>
    <numFmt numFmtId="165" formatCode="#,##,##0"/>
  </numFmts>
  <fonts count="7">
    <font>
      <name val="Calibri"/>
      <family val="2"/>
      <color theme="1"/>
      <sz val="11"/>
      <scheme val="minor"/>
    </font>
    <font>
      <b val="1"/>
      <color rgb="FFFFFFFF"/>
      <sz val="10"/>
    </font>
    <font>
      <color rgb="FF1E293B"/>
      <sz val="10"/>
    </font>
    <font>
      <b val="1"/>
      <color rgb="FF1E293B"/>
      <sz val="10"/>
    </font>
    <font>
      <b val="1"/>
      <color rgb="FF0F172A"/>
      <sz val="16"/>
    </font>
    <font>
      <color rgb="FF475569"/>
      <sz val="9"/>
    </font>
    <font>
      <b val="1"/>
      <color rgb="FF0F172A"/>
      <sz val="12"/>
    </font>
  </fonts>
  <fills count="7">
    <fill>
      <patternFill/>
    </fill>
    <fill>
      <patternFill patternType="gray125"/>
    </fill>
    <fill>
      <patternFill patternType="solid">
        <fgColor rgb="FF1E293B"/>
      </patternFill>
    </fill>
    <fill>
      <patternFill patternType="solid">
        <fgColor rgb="FF475569"/>
      </patternFill>
    </fill>
    <fill>
      <patternFill patternType="solid">
        <fgColor rgb="FF94A3B8"/>
      </patternFill>
    </fill>
    <fill>
      <patternFill patternType="solid">
        <fgColor rgb="FFF1F5F9"/>
      </patternFill>
    </fill>
    <fill>
      <patternFill patternType="solid">
        <fgColor rgb="FFFFFBEB"/>
      </patternFill>
    </fill>
  </fills>
  <borders count="5">
    <border>
      <left/>
      <right/>
      <top/>
      <bottom/>
      <diagonal/>
    </border>
    <border>
      <left style="thin">
        <color rgb="FFCBD5E1"/>
      </left>
      <right style="thin">
        <color rgb="FFCBD5E1"/>
      </right>
      <top style="thin">
        <color rgb="FFCBD5E1"/>
      </top>
      <bottom style="thin">
        <color rgb="FFCBD5E1"/>
      </bottom>
    </border>
    <border>
      <left/>
      <right/>
      <top style="thin">
        <color rgb="FFCBD5E1"/>
      </top>
      <bottom/>
      <diagonal/>
    </border>
    <border>
      <left/>
      <right style="thin">
        <color rgb="FFCBD5E1"/>
      </right>
      <top style="thin">
        <color rgb="FFCBD5E1"/>
      </top>
      <bottom/>
      <diagonal/>
    </border>
    <border>
      <left/>
      <right style="thin">
        <color rgb="FFCBD5E1"/>
      </right>
      <top style="thin">
        <color rgb="FFCBD5E1"/>
      </top>
      <bottom style="thin">
        <color rgb="FFCBD5E1"/>
      </bottom>
      <diagonal/>
    </border>
  </borders>
  <cellStyleXfs count="1">
    <xf numFmtId="0" fontId="0" fillId="0" borderId="0"/>
  </cellStyleXfs>
  <cellXfs count="22">
    <xf numFmtId="0" fontId="0" fillId="0" borderId="0" pivotButton="0" quotePrefix="0" xfId="0"/>
    <xf numFmtId="0" fontId="4" fillId="0" borderId="0" pivotButton="0" quotePrefix="0" xfId="0"/>
    <xf numFmtId="0" fontId="2" fillId="0" borderId="0" applyAlignment="1" pivotButton="0" quotePrefix="0" xfId="0">
      <alignment horizontal="left" vertical="top" wrapText="1"/>
    </xf>
    <xf numFmtId="0" fontId="6" fillId="0" borderId="0" pivotButton="0" quotePrefix="0" xfId="0"/>
    <xf numFmtId="0" fontId="3" fillId="0" borderId="1" applyAlignment="1" pivotButton="0" quotePrefix="0" xfId="0">
      <alignment horizontal="left" vertical="top" wrapText="1"/>
    </xf>
    <xf numFmtId="0" fontId="0" fillId="6" borderId="1" pivotButton="0" quotePrefix="0" xfId="0"/>
    <xf numFmtId="0" fontId="0" fillId="0" borderId="4" pivotButton="0" quotePrefix="0" xfId="0"/>
    <xf numFmtId="0" fontId="5" fillId="0" borderId="0" applyAlignment="1" pivotButton="0" quotePrefix="0" xfId="0">
      <alignment horizontal="left" vertical="top" wrapText="1"/>
    </xf>
    <xf numFmtId="0" fontId="2" fillId="6" borderId="0" applyAlignment="1" pivotButton="0" quotePrefix="0" xfId="0">
      <alignment horizontal="left" vertical="top"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2" fillId="0" borderId="1" pivotButton="0" quotePrefix="0" xfId="0"/>
    <xf numFmtId="0" fontId="2" fillId="5" borderId="1" pivotButton="0" quotePrefix="0" xfId="0"/>
    <xf numFmtId="164" fontId="2" fillId="0" borderId="1" pivotButton="0" quotePrefix="0" xfId="0"/>
    <xf numFmtId="165" fontId="2" fillId="0" borderId="1" pivotButton="0" quotePrefix="0" xfId="0"/>
    <xf numFmtId="165" fontId="2" fillId="5" borderId="1" pivotButton="0" quotePrefix="0" xfId="0"/>
    <xf numFmtId="0" fontId="3" fillId="0" borderId="1" pivotButton="0" quotePrefix="0" xfId="0"/>
    <xf numFmtId="0" fontId="2" fillId="0" borderId="1" applyAlignment="1" pivotButton="0" quotePrefix="0" xfId="0">
      <alignment horizontal="left" vertical="top" wrapText="1"/>
    </xf>
    <xf numFmtId="0" fontId="5"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5" fillId="6" borderId="0" applyAlignment="1" pivotButton="0" quotePrefix="0" xfId="0">
      <alignment horizontal="left" vertical="top" wrapText="1"/>
    </xf>
  </cellXfs>
  <cellStyles count="1">
    <cellStyle name="Normal" xfId="0" builtinId="0" hidden="0"/>
  </cellStyles>
  <dxfs count="2">
    <dxf>
      <font>
        <b val="1"/>
        <color rgb="FF991B1B"/>
      </font>
      <fill>
        <patternFill patternType="solid">
          <bgColor rgb="FFFEE2E2"/>
        </patternFill>
      </fill>
    </dxf>
    <dxf>
      <fill>
        <patternFill patternType="solid">
          <bgColor rgb="FF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Jivo data template</author>
  </authors>
  <commentList>
    <comment ref="A1" authorId="0" shapeId="0">
      <text>
        <t>Required — a row without this cannot be imported.
A short handle for the department, in CAPITALS, no spaces: ENG, QA, HR, FIN.
This is what every other sheet points at, so once data has been collected against a code it should not be renamed. Must be unique. Up to 30 characters.</t>
      </text>
    </comment>
    <comment ref="B1" authorId="0" shapeId="0">
      <text>
        <t>Required — a row without this cannot be imported.
The name people use: Engineering, Human Resources, Finance. Must be unique.</t>
      </text>
    </comment>
    <comment ref="C1" authorId="0" shapeId="0">
      <text>
        <t>The department this one is part of — a code from column A of this sheet.
Leave BLANK for a top-level department. Example:
  CORP   (blank)
  TECH   CORP
  ENG    TECH
A department cannot sit inside itself, and two departments cannot sit inside each other.</t>
      </text>
    </comment>
    <comment ref="D1" authorId="0" shapeId="0">
      <text>
        <t>Filled in for you from the parent code. If this stays empty after you pick a parent, the code does not exist yet.</t>
      </text>
    </comment>
    <comment ref="E1" authorId="0" shapeId="0">
      <text>
        <t>Who runs the department — an Employee Code from sheet 3.
Leave blank if nobody is formally named. It can be filled in later.</t>
      </text>
    </comment>
    <comment ref="F1" authorId="0" shapeId="0">
      <text>
        <t>Filled in from the employee code beside it. Check it says the person you meant.</t>
      </text>
    </comment>
    <comment ref="G1" authorId="0" shapeId="0">
      <text>
        <t>What this department does. One line is plenty.</t>
      </text>
    </comment>
    <comment ref="H1" authorId="0" shapeId="0">
      <text>
        <t>Required — a row without this cannot be imported.
ACTIVE for a department in use. INACTIVE only for one being kept for history.</t>
      </text>
    </comment>
    <comment ref="I1" authorId="0" shapeId="0">
      <text>
        <t>Where it sits among its brothers and sisters on the chart — 1, 2, 3…
Leave blank and they come out alphabetically.</t>
      </text>
    </comment>
  </commentList>
</comments>
</file>

<file path=xl/comments/comment2.xml><?xml version="1.0" encoding="utf-8"?>
<comments xmlns="http://schemas.openxmlformats.org/spreadsheetml/2006/main">
  <authors>
    <author>Jivo data template</author>
  </authors>
  <commentList>
    <comment ref="A1" authorId="0" shapeId="0">
      <text>
        <t>Required — a row without this cannot be imported.
A short handle in CAPITALS: CEO, CTO, MGR, TL, SR_DEV, DEV, INTERN. Must be unique.</t>
      </text>
    </comment>
    <comment ref="B1" authorId="0" shapeId="0">
      <text>
        <t>Required — a row without this cannot be imported.
The title as it is written: Chief Technology Officer, Manager, Senior Developer. Must be unique.</t>
      </text>
    </comment>
    <comment ref="C1" authorId="0" shapeId="0">
      <text>
        <t>Required — a row without this cannot be imported.
How senior the rung is: 1 at the very top (CEO), rising as you go down.
  1 CEO · 2 CTO · 3 Director · 4 General Manager · 5 Manager
  6 Team Lead · 7 Senior Developer · 8 Developer · 9 Junior · 10 Intern
Two designations may share a level (a CTO and a CFO are both level 2). This is the GRADE — it is not the same thing as how many managers somebody has above them, which the system works out from the reporting lines. Between 1 and 20.</t>
      </text>
    </comment>
    <comment ref="D1" authorId="0" shapeId="0">
      <text>
        <t>Required — a row without this cannot be imported.
Yes if somebody on this rung is expected to have a team (CEO, CTO, Manager, Team Lead).
No for an individual contributor (Developer, QA Engineer, Intern).</t>
      </text>
    </comment>
    <comment ref="E1" authorId="0" shapeId="0">
      <text>
        <t>What the rung means, if it needs saying.</t>
      </text>
    </comment>
    <comment ref="F1" authorId="0" shapeId="0">
      <text>
        <t>Required — a row without this cannot be imported.
ACTIVE for a rung in use; INACTIVE for one kept only for history.</t>
      </text>
    </comment>
  </commentList>
</comments>
</file>

<file path=xl/comments/comment3.xml><?xml version="1.0" encoding="utf-8"?>
<comments xmlns="http://schemas.openxmlformats.org/spreadsheetml/2006/main">
  <authors>
    <author>Jivo data template</author>
  </authors>
  <commentList>
    <comment ref="A1" authorId="0" shapeId="0">
      <text>
        <t>Required — a row without this cannot be imported.
The code the company already uses for this person — EMP001, 1042, whatever it is.
It has to be unique, and every other sheet points at it, so please use the code from your existing records rather than inventing a new one.</t>
      </text>
    </comment>
    <comment ref="B1" authorId="0" shapeId="0">
      <text>
        <t>Required — a row without this cannot be imported.
Given name.</t>
      </text>
    </comment>
    <comment ref="C1" authorId="0" shapeId="0">
      <text>
        <t>Surname. Leave blank if they only go by one name.</t>
      </text>
    </comment>
    <comment ref="D1" authorId="0" shapeId="0">
      <text>
        <t>Made from the two name columns. Nothing to fill in.</t>
      </text>
    </comment>
    <comment ref="E1" authorId="0" shapeId="0">
      <text>
        <t>Their work email, if they have one. Must be unique.
This is NOT the same thing as the login in column U — plenty of people have an email and no account in this system.</t>
      </text>
    </comment>
    <comment ref="F1" authorId="0" shapeId="0">
      <text>
        <t>Mobile number. Digits, spaces and + only, please — no notes in this cell.</t>
      </text>
    </comment>
    <comment ref="G1" authorId="0" shapeId="0">
      <text>
        <t>Type it as 01-Apr-1990. Leave blank if you do not hold it.</t>
      </text>
    </comment>
    <comment ref="H1" authorId="0" shapeId="0">
      <text>
        <t>Required — a row without this cannot be imported.
The day they started. Type it as 01-Apr-2020.
A future date is allowed for somebody who has been hired but has not started yet.</t>
      </text>
    </comment>
    <comment ref="I1" authorId="0" shapeId="0">
      <text>
        <t>Required — a row without this cannot be imported.
Pick from the list. See the 'Allowed values' sheet for what each one means and, more importantly, whether somebody in that state may still hold a team.
The four that mean somebody has gone — RESIGNED, TERMINATED, RETIRED, INACTIVE — also need a Last Working Day in the next column.</t>
      </text>
    </comment>
    <comment ref="J1" authorId="0" shapeId="0">
      <text>
        <t>Only for somebody who has left: RESIGNED, TERMINATED, RETIRED or INACTIVE.
Leave BLANK for anybody still employed — including people on leave or suspended.
This is what turnover reporting counts, so it is worth getting right.</t>
      </text>
    </comment>
    <comment ref="K1" authorId="0" shapeId="0">
      <text>
        <t>Required — a row without this cannot be imported.
A code from sheet '1. Departments'. If the department is missing, add it there first.</t>
      </text>
    </comment>
    <comment ref="L1" authorId="0" shapeId="0">
      <text>
        <t>Looked up from the code. If it says NOT FOUND, the code is not on sheet 1.</t>
      </text>
    </comment>
    <comment ref="M1" authorId="0" shapeId="0">
      <text>
        <t>Required — a row without this cannot be imported.
A code from sheet '2. Designations' — the rung they sit on.</t>
      </text>
    </comment>
    <comment ref="N1" authorId="0" shapeId="0">
      <text>
        <t>Looked up from the code beside it.</t>
      </text>
    </comment>
    <comment ref="O1" authorId="0" shapeId="0">
      <text>
        <t>The rung's organisational level, from sheet 2. Nothing to fill in.</t>
      </text>
    </comment>
    <comment ref="P1" authorId="0" shapeId="0">
      <text>
        <t>What is on their business card — 'Engineering Manager', 'Plant Head'.
It is fine for this to be the same as the designation. Where they differ, the designation is the grade and this is the job.</t>
      </text>
    </comment>
    <comment ref="Q1" authorId="0" shapeId="0">
      <text>
        <t>Where they sit: Head Office, Unit 2, Delhi Warehouse.</t>
      </text>
    </comment>
    <comment ref="R1" authorId="0" shapeId="0">
      <text>
        <t>The ONE person they report to — an Employee Code from column A of this sheet.
Leave BLANK only for the very top of the company. If the company has more than one top-level person (say a separate plant head), leave each of theirs blank too.
Rules the system will enforce:
  • nobody may report to themselves
  • no loops — if A reports to B, B cannot report to A, or to anyone under A
  • the manager must be somebody who can hold a team (see Employment status)
  • the chain may be at most 20 deep</t>
      </text>
    </comment>
    <comment ref="S1" authorId="0" shapeId="0">
      <text>
        <t>Looked up from the code beside it. THIS is the column to read back: it should say the person you meant. NOT FOUND means the code is not on this sheet.</t>
      </text>
    </comment>
    <comment ref="T1" authorId="0" shapeId="0">
      <text>
        <t>Yes if this person is meant to manage people.
You can leave it blank: anybody who has somebody reporting to them is treated as a manager automatically. Fill it in for a manager who has been hired but has no team yet.</t>
      </text>
    </comment>
    <comment ref="U1" authorId="0" shapeId="0">
      <text>
        <t>The account this person signs into the system with, if they have one.
This is the link that makes 'my own salary' work: without it, an employee cannot see their own pay however many permissions they are given. One account belongs to one employee. List the accounts themselves on sheet '5. Access and roles'.</t>
      </text>
    </comment>
    <comment ref="V1" authorId="0" shapeId="0">
      <text>
        <t>If you are sending photos, put the file name here — EMP001.jpg — and send the images in one folder alongside this workbook. Do not paste pictures into the sheet.</t>
      </text>
    </comment>
  </commentList>
</comments>
</file>

<file path=xl/comments/comment4.xml><?xml version="1.0" encoding="utf-8"?>
<comments xmlns="http://schemas.openxmlformats.org/spreadsheetml/2006/main">
  <authors>
    <author>Jivo data template</author>
  </authors>
  <commentList>
    <comment ref="A1" authorId="0" shapeId="0">
      <text>
        <t>Required — a row without this cannot be imported.
Whose salary this is — a code from sheet '3. Employees'.
ONE ROW PER SALARY, not one row per person. If somebody's pay has changed three times, they get three rows here. Nothing is overwritten: the whole history is what makes it possible to say what somebody was paid in 2024.</t>
      </text>
    </comment>
    <comment ref="B1" authorId="0" shapeId="0">
      <text>
        <t>Looked up from the code. Check it is the person you meant before typing their pay.</t>
      </text>
    </comment>
    <comment ref="C1" authorId="0" shapeId="0">
      <text>
        <t>Required — a row without this cannot be imported.
The day this salary STARTED being paid — 01-Apr-2025.
Not the day it was decided (that is column L). One person cannot have two rows starting on the same day.
A future date is fine and is the right way to record a raise that has been agreed but has not started yet.</t>
      </text>
    </comment>
    <comment ref="D1" authorId="0" shapeId="0">
      <text>
        <t>Required — a row without this cannot be imported.
ANNUAL basic salary, in whole rupees. 600000, not 6,00,000 and not 50000/month.
If your records are monthly, multiply by 12 before typing. No ₹ sign, no commas, no text.</t>
      </text>
    </comment>
    <comment ref="E1" authorId="0" shapeId="0">
      <text>
        <t>Annual total of every allowance: HRA, conveyance, medical, special. 0 or blank if none.</t>
      </text>
    </comment>
    <comment ref="F1" authorId="0" shapeId="0">
      <text>
        <t>Annual bonus that is part of the package. Leave blank for a one-off bonus that is not.</t>
      </text>
    </comment>
    <comment ref="G1" authorId="0" shapeId="0">
      <text>
        <t>Anything subtracted from the package annually. 0 or blank if none.
Do not put PF or tax here unless it genuinely reduces what the company pays out.</t>
      </text>
    </comment>
    <comment ref="H1" authorId="0" shapeId="0">
      <text>
        <t>Basic + allowances + bonuses − deductions. Calculated — do not type over it.
This is the figure the system treats as the salary, so read it back: if it does not match the CTC on the letter, one of the four columns to the left is wrong.</t>
      </text>
    </comment>
    <comment ref="I1" authorId="0" shapeId="0">
      <text>
        <t>Required — a row without this cannot be imported.
INR unless the package really is in another currency.</t>
      </text>
    </comment>
    <comment ref="J1" authorId="0" shapeId="0">
      <text>
        <t>Required — a row without this cannot be imported.
Why the money changed. Pick from the list — 'Allowed values' explains each.
For the OLDEST row of each person, use INITIAL (the salary they joined on).</t>
      </text>
    </comment>
    <comment ref="K1" authorId="0" shapeId="0">
      <text>
        <t>One line, in the words you would use to explain it: 'Annual review 2025', 'Promoted to Team Lead', 'Corrected to market'. It is shown next to the figure for years.</t>
      </text>
    </comment>
    <comment ref="L1" authorId="0" shapeId="0">
      <text>
        <t>When the raise was actually decided, if you know it — often a month or two before it started. Leave blank and the effective date is used.</t>
      </text>
    </comment>
    <comment ref="M1" authorId="0" shapeId="0">
      <text>
        <t>Who signed it off — a name or their login email. For historical rows, whoever you have on record; blank is fine.</t>
      </text>
    </comment>
    <comment ref="N1" authorId="0" shapeId="0">
      <text>
        <t>Required — a row without this cannot be imported.
Yes for a salary that was really paid (or is agreed and will be).
No for a proposal that was never approved.
Anything marked No is loaded as a proposal awaiting approval and is NOT counted as anybody's salary. If in doubt, Yes.</t>
      </text>
    </comment>
    <comment ref="O1" authorId="0" shapeId="0">
      <text>
        <t>Anything payroll should know about this package.</t>
      </text>
    </comment>
  </commentList>
</comments>
</file>

<file path=xl/comments/comment5.xml><?xml version="1.0" encoding="utf-8"?>
<comments xmlns="http://schemas.openxmlformats.org/spreadsheetml/2006/main">
  <authors>
    <author>Jivo data template</author>
  </authors>
  <commentList>
    <comment ref="A1" authorId="0" shapeId="0">
      <text>
        <t>Required — a row without this cannot be imported.
The email address this person signs in with. One row per person who needs access.
If they already use the system for anything else, use that same email — do not create a second account.</t>
      </text>
    </comment>
    <comment ref="B1" authorId="0" shapeId="0">
      <text>
        <t>Required — a row without this cannot be imported.
Who the account belongs to.</t>
      </text>
    </comment>
    <comment ref="C1" authorId="0" shapeId="0">
      <text>
        <t>Which employee this account IS — a code from sheet 3.
Fill this in wherever you can. It is what lets somebody see their own salary, and what makes 'my team' mean their actual team. Leave blank only for an account that is not a person in the directory (a shared HR login, say).</t>
      </text>
    </comment>
    <comment ref="D1" authorId="0" shapeId="0">
      <text>
        <t>Looked up from the code beside it.</t>
      </text>
    </comment>
    <comment ref="E1" authorId="0" shapeId="0">
      <text>
        <t>Required — a row without this cannot be imported.
What this person is allowed to see. The 'Allowed values' sheet spells out each one — please read it before filling this in, because the difference between Manager and HR is the difference between seeing your team's pay and seeing everybody's.
When in doubt pick the SMALLER one. It is easy to add access later and impossible to un-see a salary.</t>
      </text>
    </comment>
    <comment ref="F1" authorId="0" shapeId="0">
      <text>
        <t>Yes only for the people who actually sign off a raise — usually Finance or the owner.
Entering a revision and approving it are separate rights on purpose, so that the person who prepares a raise is not the person who approves it. Leave blank for No.</t>
      </text>
    </comment>
    <comment ref="G1" authorId="0" shapeId="0">
      <text>
        <t>Anything we should know — 'read-only until March', and so 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B2:E34"/>
  <sheetViews>
    <sheetView showGridLines="0" workbookViewId="0">
      <selection activeCell="A1" sqref="A1"/>
    </sheetView>
  </sheetViews>
  <sheetFormatPr baseColWidth="8" defaultRowHeight="15"/>
  <cols>
    <col width="4" customWidth="1" min="1" max="1"/>
    <col width="30" customWidth="1" min="2" max="2"/>
    <col width="30" customWidth="1" min="3" max="3"/>
    <col width="30" customWidth="1" min="4" max="4"/>
    <col width="30" customWidth="1" min="5" max="5"/>
  </cols>
  <sheetData>
    <row r="2" ht="26" customHeight="1">
      <c r="B2" s="1" t="inlineStr">
        <is>
          <t>Employee data collection</t>
        </is>
      </c>
    </row>
    <row r="3" ht="85" customHeight="1">
      <c r="B3" s="2" t="inlineStr">
        <is>
          <t>This workbook is how we take over your employee records. Fill in the five numbered sheets and send the file back — that is the whole job. Nothing needs to be formatted, sorted or prettified; the dropdowns and the checks do the fussy part.
ONE FILE PER COMPANY UNIT. Department codes, designation codes and employee codes only have to be unique inside one unit, so if you run more than one (Oil, Mart, Beverages), please send a separate copy of this workbook for each — it is far safer than one file with everything mixed together.</t>
        </is>
      </c>
    </row>
    <row r="4" ht="15" customHeight="1">
      <c r="B4" s="2" t="inlineStr"/>
    </row>
    <row r="5" ht="22" customHeight="1">
      <c r="B5" s="3" t="inlineStr">
        <is>
          <t>About this file</t>
        </is>
      </c>
    </row>
    <row r="6" ht="31" customHeight="1">
      <c r="B6" s="4" t="inlineStr">
        <is>
          <t>Company unit this file covers</t>
        </is>
      </c>
      <c r="C6" s="5" t="n"/>
      <c r="D6" s="6" t="n"/>
      <c r="E6" s="7" t="inlineStr">
        <is>
          <t>e.g. Jivo Oil / Jivo Mart / Jivo Beverages</t>
        </is>
      </c>
    </row>
    <row r="7" ht="17.5" customHeight="1">
      <c r="B7" s="4" t="inlineStr">
        <is>
          <t>Prepared by (name)</t>
        </is>
      </c>
      <c r="C7" s="5" t="n"/>
      <c r="D7" s="6" t="n"/>
    </row>
    <row r="8" ht="17.5" customHeight="1">
      <c r="B8" s="4" t="inlineStr">
        <is>
          <t>Prepared by (email or phone)</t>
        </is>
      </c>
      <c r="C8" s="5" t="n"/>
      <c r="D8" s="6" t="n"/>
    </row>
    <row r="9" ht="17.5" customHeight="1">
      <c r="B9" s="4" t="inlineStr">
        <is>
          <t>Date prepared</t>
        </is>
      </c>
      <c r="C9" s="5" t="n"/>
      <c r="D9" s="6" t="n"/>
      <c r="E9" s="7" t="inlineStr">
        <is>
          <t>e.g. 09-Sep-2026</t>
        </is>
      </c>
    </row>
    <row r="10" ht="31" customHeight="1">
      <c r="B10" s="4" t="inlineStr">
        <is>
          <t>How many employees should this file contain?</t>
        </is>
      </c>
      <c r="C10" s="5" t="n"/>
      <c r="D10" s="6" t="n"/>
      <c r="E10" s="7" t="inlineStr">
        <is>
          <t>So we can tell if a page went missing</t>
        </is>
      </c>
    </row>
    <row r="12" ht="22" customHeight="1">
      <c r="B12" s="3" t="inlineStr">
        <is>
          <t>Fill the sheets in this order</t>
        </is>
      </c>
    </row>
    <row r="13" ht="71.5" customHeight="1">
      <c r="B13" s="2" t="inlineStr">
        <is>
          <t>1.  Departments — the list of departments, and which sits inside which.
2.  Designations — the ladder of titles, each with how senior it is.
3.  Employees — everybody, with their department code, designation code and who they report to.
4.  Salary history — one row per salary anybody has ever been on. Not one row per person.
5.  Access and roles — who logs in, and what they are allowed to see.</t>
        </is>
      </c>
    </row>
    <row r="14" ht="31" customHeight="1">
      <c r="B14" s="2" t="inlineStr">
        <is>
          <t>The order matters because sheets 3, 4 and 5 choose from codes you create on sheets 1 and 2. If a department or a designation is missing from a dropdown, add it to sheet 1 or 2 and it appears in the list straight away.</t>
        </is>
      </c>
    </row>
    <row r="15" ht="15" customHeight="1">
      <c r="B15" s="2" t="inlineStr"/>
    </row>
    <row r="16" ht="22" customHeight="1">
      <c r="B16" s="3" t="inlineStr">
        <is>
          <t>What the colours mean</t>
        </is>
      </c>
    </row>
    <row r="17" ht="71.5" customHeight="1">
      <c r="B17" s="2" t="inlineStr">
        <is>
          <t>Dark heading with a *   —  required. A row without it cannot be loaded.
Grey heading             —  optional. Leave it blank if you do not hold it; blank is better than a guess.
Pale grey heading (auto) —  calculated. Do not type in these columns; they look things up for you so you can check a code is the one you meant.
A cell that turns red    —  something is wrong in that cell. Hover it, or look at the Checks sheet.</t>
        </is>
      </c>
    </row>
    <row r="18" ht="15" customHeight="1">
      <c r="B18" s="2" t="inlineStr"/>
    </row>
    <row r="19" ht="22" customHeight="1">
      <c r="B19" s="3" t="inlineStr">
        <is>
          <t>If you run out of rows</t>
        </is>
      </c>
    </row>
    <row r="20" ht="58" customHeight="1">
      <c r="B20" s="2" t="inlineStr">
        <is>
          <t>The sheets come ready for 300 departments, 120 designations, 2000 employees, 6000 salary rows and 500 logins. If you need more, click the row number of the LAST row, copy it, and paste it down as many times as you need — the dropdowns, the date rules and the grey calculated columns all come with it. Typing into a fresh row below the prepared ones works too, but you lose the dropdowns, so copying is safer.</t>
        </is>
      </c>
    </row>
    <row r="21" ht="15" customHeight="1">
      <c r="B21" s="2" t="inlineStr"/>
    </row>
    <row r="22" ht="22" customHeight="1">
      <c r="B22" s="3" t="inlineStr">
        <is>
          <t>Hover any heading</t>
        </is>
      </c>
    </row>
    <row r="23" ht="31" customHeight="1">
      <c r="B23" s="2" t="inlineStr">
        <is>
          <t>Every column heading has a note attached explaining exactly what goes in it, with an example. Rest the mouse on the heading to read it. The 'Allowed values' sheet lists every value the dropdowns accept and what each one means.</t>
        </is>
      </c>
    </row>
    <row r="24" ht="15" customHeight="1">
      <c r="B24" s="2" t="inlineStr"/>
    </row>
    <row r="25" ht="22" customHeight="1">
      <c r="B25" s="3" t="inlineStr">
        <is>
          <t>The five things that go wrong most often</t>
        </is>
      </c>
    </row>
    <row r="26" ht="193" customHeight="1">
      <c r="B26" s="2" t="inlineStr">
        <is>
          <t>•  Names instead of codes. Departments, designations and managers are always written as the short CODE from sheets 1–2 or the employee code from sheet 3. The grey (auto) column beside each one shows the name it found — read it back.
•  Monthly salary in an annual column. Every money column on sheet 4 is PER YEAR. If your register is monthly, multiply by twelve first.
•  One row per person on the salary sheet. It is one row per SALARY. Three raises means three rows, oldest first. Please do not overwrite the old figures — the history is the reason we are asking.
•  A last working day on somebody who is still here. That column is only for people who have left. Somebody on long leave has NOT left.
•  Everybody made an administrator on sheet 5. Salary is the sensitive part of this system. Give each person the smallest role that lets them do their job; it is easy to widen later.</t>
        </is>
      </c>
    </row>
    <row r="27" ht="15" customHeight="1">
      <c r="B27" s="2" t="inlineStr"/>
    </row>
    <row r="28" ht="22" customHeight="1">
      <c r="B28" s="3" t="inlineStr">
        <is>
          <t>Salary is treated as confidential</t>
        </is>
      </c>
    </row>
    <row r="29" ht="85" customHeight="1">
      <c r="B29" s="2" t="inlineStr">
        <is>
          <t>Sheet 4 is the reason this file should be shared carefully: send it to us directly rather than over a group chat, and if your organisation would rather not put pay in a spreadsheet at all, fill in sheets 1, 2, 3 and 5 and tell us — the salary history can be loaded separately by whoever is allowed to hold it.
Once it is loaded, nobody sees a salary unless they have been given salary access specifically: being somebody's manager is not enough on its own, and every time one person opens another person's pay, that is recorded.</t>
        </is>
      </c>
    </row>
    <row r="30" ht="15" customHeight="1">
      <c r="B30" s="2" t="inlineStr"/>
    </row>
    <row r="31" ht="22" customHeight="1">
      <c r="B31" s="3" t="inlineStr">
        <is>
          <t>Before you send it back</t>
        </is>
      </c>
    </row>
    <row r="32" ht="71.5" customHeight="1">
      <c r="B32" s="2" t="inlineStr">
        <is>
          <t>Open the Checks sheet. Every row marked 'Fix' is something that would import as the wrong thing — most of them take a second to correct. When they all read OK, the file is done.
Photos, if you have them: put the file name in the last column of sheet 3 (EMP001.jpg) and send the images in one folder with the workbook. Please do not paste pictures into the sheet.</t>
        </is>
      </c>
    </row>
    <row r="33" ht="15" customHeight="1">
      <c r="B33" s="2" t="inlineStr"/>
    </row>
    <row r="34" ht="31" customHeight="1">
      <c r="B34" s="8" t="inlineStr">
        <is>
          <t>Anything you cannot answer, leave blank and say so when you send the file. A blank we know about is easy; a guess that looks like data is not.</t>
        </is>
      </c>
    </row>
  </sheetData>
  <mergeCells count="23">
    <mergeCell ref="C6:D6"/>
    <mergeCell ref="B20:E20"/>
    <mergeCell ref="B32:E32"/>
    <mergeCell ref="B26:E26"/>
    <mergeCell ref="C10:D10"/>
    <mergeCell ref="B16:E16"/>
    <mergeCell ref="B25:E25"/>
    <mergeCell ref="B3:E3"/>
    <mergeCell ref="C9:D9"/>
    <mergeCell ref="B22:E22"/>
    <mergeCell ref="B31:E31"/>
    <mergeCell ref="B12:E12"/>
    <mergeCell ref="B2:E2"/>
    <mergeCell ref="C8:D8"/>
    <mergeCell ref="B14:E14"/>
    <mergeCell ref="B17:E17"/>
    <mergeCell ref="B23:E23"/>
    <mergeCell ref="C7:D7"/>
    <mergeCell ref="B13:E13"/>
    <mergeCell ref="B29:E29"/>
    <mergeCell ref="B19:E19"/>
    <mergeCell ref="B34:E34"/>
    <mergeCell ref="B28:E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6" customWidth="1" min="2" max="2"/>
    <col width="22" customWidth="1" min="3" max="3"/>
    <col width="22" customWidth="1" min="4" max="4"/>
    <col width="26" customWidth="1" min="5" max="5"/>
    <col width="22" customWidth="1" min="6" max="6"/>
    <col width="40" customWidth="1" min="7" max="7"/>
    <col width="14" customWidth="1" min="8" max="8"/>
    <col width="14" customWidth="1" min="9" max="9"/>
  </cols>
  <sheetData>
    <row r="1" ht="40" customHeight="1">
      <c r="A1" s="9" t="inlineStr">
        <is>
          <t>Department Code *</t>
        </is>
      </c>
      <c r="B1" s="9" t="inlineStr">
        <is>
          <t>Department Name *</t>
        </is>
      </c>
      <c r="C1" s="10" t="inlineStr">
        <is>
          <t>Sits Inside (Parent Code)</t>
        </is>
      </c>
      <c r="D1" s="11" t="inlineStr">
        <is>
          <t>Parent Name (auto)</t>
        </is>
      </c>
      <c r="E1" s="10" t="inlineStr">
        <is>
          <t>Department Head (Employee Code)</t>
        </is>
      </c>
      <c r="F1" s="11" t="inlineStr">
        <is>
          <t>Head Name (auto)</t>
        </is>
      </c>
      <c r="G1" s="10" t="inlineStr">
        <is>
          <t>Description</t>
        </is>
      </c>
      <c r="H1" s="9" t="inlineStr">
        <is>
          <t>Status *</t>
        </is>
      </c>
      <c r="I1" s="10" t="inlineStr">
        <is>
          <t>Display Order</t>
        </is>
      </c>
    </row>
    <row r="2">
      <c r="A2" s="12" t="n"/>
      <c r="B2" s="12" t="n"/>
      <c r="C2" s="12" t="n"/>
      <c r="D2" s="13">
        <f>IF($C2="","",IFERROR(INDEX(Dept_Names,MATCH($C2,Dept_Codes,0)),"NOT FOUND"))</f>
        <v/>
      </c>
      <c r="E2" s="12" t="n"/>
      <c r="F2" s="13">
        <f>IF($E2="","",IFERROR(INDEX(Emp_Names,MATCH($E2,Emp_Codes,0)),"NOT FOUND"))</f>
        <v/>
      </c>
      <c r="G2" s="12" t="n"/>
      <c r="H2" s="12" t="n"/>
      <c r="I2" s="12" t="n"/>
    </row>
    <row r="3">
      <c r="A3" s="12" t="n"/>
      <c r="B3" s="12" t="n"/>
      <c r="C3" s="12" t="n"/>
      <c r="D3" s="13">
        <f>IF($C3="","",IFERROR(INDEX(Dept_Names,MATCH($C3,Dept_Codes,0)),"NOT FOUND"))</f>
        <v/>
      </c>
      <c r="E3" s="12" t="n"/>
      <c r="F3" s="13">
        <f>IF($E3="","",IFERROR(INDEX(Emp_Names,MATCH($E3,Emp_Codes,0)),"NOT FOUND"))</f>
        <v/>
      </c>
      <c r="G3" s="12" t="n"/>
      <c r="H3" s="12" t="n"/>
      <c r="I3" s="12" t="n"/>
    </row>
    <row r="4">
      <c r="A4" s="12" t="n"/>
      <c r="B4" s="12" t="n"/>
      <c r="C4" s="12" t="n"/>
      <c r="D4" s="13">
        <f>IF($C4="","",IFERROR(INDEX(Dept_Names,MATCH($C4,Dept_Codes,0)),"NOT FOUND"))</f>
        <v/>
      </c>
      <c r="E4" s="12" t="n"/>
      <c r="F4" s="13">
        <f>IF($E4="","",IFERROR(INDEX(Emp_Names,MATCH($E4,Emp_Codes,0)),"NOT FOUND"))</f>
        <v/>
      </c>
      <c r="G4" s="12" t="n"/>
      <c r="H4" s="12" t="n"/>
      <c r="I4" s="12" t="n"/>
    </row>
    <row r="5">
      <c r="A5" s="12" t="n"/>
      <c r="B5" s="12" t="n"/>
      <c r="C5" s="12" t="n"/>
      <c r="D5" s="13">
        <f>IF($C5="","",IFERROR(INDEX(Dept_Names,MATCH($C5,Dept_Codes,0)),"NOT FOUND"))</f>
        <v/>
      </c>
      <c r="E5" s="12" t="n"/>
      <c r="F5" s="13">
        <f>IF($E5="","",IFERROR(INDEX(Emp_Names,MATCH($E5,Emp_Codes,0)),"NOT FOUND"))</f>
        <v/>
      </c>
      <c r="G5" s="12" t="n"/>
      <c r="H5" s="12" t="n"/>
      <c r="I5" s="12" t="n"/>
    </row>
    <row r="6">
      <c r="A6" s="12" t="n"/>
      <c r="B6" s="12" t="n"/>
      <c r="C6" s="12" t="n"/>
      <c r="D6" s="13">
        <f>IF($C6="","",IFERROR(INDEX(Dept_Names,MATCH($C6,Dept_Codes,0)),"NOT FOUND"))</f>
        <v/>
      </c>
      <c r="E6" s="12" t="n"/>
      <c r="F6" s="13">
        <f>IF($E6="","",IFERROR(INDEX(Emp_Names,MATCH($E6,Emp_Codes,0)),"NOT FOUND"))</f>
        <v/>
      </c>
      <c r="G6" s="12" t="n"/>
      <c r="H6" s="12" t="n"/>
      <c r="I6" s="12" t="n"/>
    </row>
    <row r="7">
      <c r="A7" s="12" t="n"/>
      <c r="B7" s="12" t="n"/>
      <c r="C7" s="12" t="n"/>
      <c r="D7" s="13">
        <f>IF($C7="","",IFERROR(INDEX(Dept_Names,MATCH($C7,Dept_Codes,0)),"NOT FOUND"))</f>
        <v/>
      </c>
      <c r="E7" s="12" t="n"/>
      <c r="F7" s="13">
        <f>IF($E7="","",IFERROR(INDEX(Emp_Names,MATCH($E7,Emp_Codes,0)),"NOT FOUND"))</f>
        <v/>
      </c>
      <c r="G7" s="12" t="n"/>
      <c r="H7" s="12" t="n"/>
      <c r="I7" s="12" t="n"/>
    </row>
    <row r="8">
      <c r="A8" s="12" t="n"/>
      <c r="B8" s="12" t="n"/>
      <c r="C8" s="12" t="n"/>
      <c r="D8" s="13">
        <f>IF($C8="","",IFERROR(INDEX(Dept_Names,MATCH($C8,Dept_Codes,0)),"NOT FOUND"))</f>
        <v/>
      </c>
      <c r="E8" s="12" t="n"/>
      <c r="F8" s="13">
        <f>IF($E8="","",IFERROR(INDEX(Emp_Names,MATCH($E8,Emp_Codes,0)),"NOT FOUND"))</f>
        <v/>
      </c>
      <c r="G8" s="12" t="n"/>
      <c r="H8" s="12" t="n"/>
      <c r="I8" s="12" t="n"/>
    </row>
    <row r="9">
      <c r="A9" s="12" t="n"/>
      <c r="B9" s="12" t="n"/>
      <c r="C9" s="12" t="n"/>
      <c r="D9" s="13">
        <f>IF($C9="","",IFERROR(INDEX(Dept_Names,MATCH($C9,Dept_Codes,0)),"NOT FOUND"))</f>
        <v/>
      </c>
      <c r="E9" s="12" t="n"/>
      <c r="F9" s="13">
        <f>IF($E9="","",IFERROR(INDEX(Emp_Names,MATCH($E9,Emp_Codes,0)),"NOT FOUND"))</f>
        <v/>
      </c>
      <c r="G9" s="12" t="n"/>
      <c r="H9" s="12" t="n"/>
      <c r="I9" s="12" t="n"/>
    </row>
    <row r="10">
      <c r="A10" s="12" t="n"/>
      <c r="B10" s="12" t="n"/>
      <c r="C10" s="12" t="n"/>
      <c r="D10" s="13">
        <f>IF($C10="","",IFERROR(INDEX(Dept_Names,MATCH($C10,Dept_Codes,0)),"NOT FOUND"))</f>
        <v/>
      </c>
      <c r="E10" s="12" t="n"/>
      <c r="F10" s="13">
        <f>IF($E10="","",IFERROR(INDEX(Emp_Names,MATCH($E10,Emp_Codes,0)),"NOT FOUND"))</f>
        <v/>
      </c>
      <c r="G10" s="12" t="n"/>
      <c r="H10" s="12" t="n"/>
      <c r="I10" s="12" t="n"/>
    </row>
    <row r="11">
      <c r="A11" s="12" t="n"/>
      <c r="B11" s="12" t="n"/>
      <c r="C11" s="12" t="n"/>
      <c r="D11" s="13">
        <f>IF($C11="","",IFERROR(INDEX(Dept_Names,MATCH($C11,Dept_Codes,0)),"NOT FOUND"))</f>
        <v/>
      </c>
      <c r="E11" s="12" t="n"/>
      <c r="F11" s="13">
        <f>IF($E11="","",IFERROR(INDEX(Emp_Names,MATCH($E11,Emp_Codes,0)),"NOT FOUND"))</f>
        <v/>
      </c>
      <c r="G11" s="12" t="n"/>
      <c r="H11" s="12" t="n"/>
      <c r="I11" s="12" t="n"/>
    </row>
    <row r="12">
      <c r="A12" s="12" t="n"/>
      <c r="B12" s="12" t="n"/>
      <c r="C12" s="12" t="n"/>
      <c r="D12" s="13">
        <f>IF($C12="","",IFERROR(INDEX(Dept_Names,MATCH($C12,Dept_Codes,0)),"NOT FOUND"))</f>
        <v/>
      </c>
      <c r="E12" s="12" t="n"/>
      <c r="F12" s="13">
        <f>IF($E12="","",IFERROR(INDEX(Emp_Names,MATCH($E12,Emp_Codes,0)),"NOT FOUND"))</f>
        <v/>
      </c>
      <c r="G12" s="12" t="n"/>
      <c r="H12" s="12" t="n"/>
      <c r="I12" s="12" t="n"/>
    </row>
    <row r="13">
      <c r="A13" s="12" t="n"/>
      <c r="B13" s="12" t="n"/>
      <c r="C13" s="12" t="n"/>
      <c r="D13" s="13">
        <f>IF($C13="","",IFERROR(INDEX(Dept_Names,MATCH($C13,Dept_Codes,0)),"NOT FOUND"))</f>
        <v/>
      </c>
      <c r="E13" s="12" t="n"/>
      <c r="F13" s="13">
        <f>IF($E13="","",IFERROR(INDEX(Emp_Names,MATCH($E13,Emp_Codes,0)),"NOT FOUND"))</f>
        <v/>
      </c>
      <c r="G13" s="12" t="n"/>
      <c r="H13" s="12" t="n"/>
      <c r="I13" s="12" t="n"/>
    </row>
    <row r="14">
      <c r="A14" s="12" t="n"/>
      <c r="B14" s="12" t="n"/>
      <c r="C14" s="12" t="n"/>
      <c r="D14" s="13">
        <f>IF($C14="","",IFERROR(INDEX(Dept_Names,MATCH($C14,Dept_Codes,0)),"NOT FOUND"))</f>
        <v/>
      </c>
      <c r="E14" s="12" t="n"/>
      <c r="F14" s="13">
        <f>IF($E14="","",IFERROR(INDEX(Emp_Names,MATCH($E14,Emp_Codes,0)),"NOT FOUND"))</f>
        <v/>
      </c>
      <c r="G14" s="12" t="n"/>
      <c r="H14" s="12" t="n"/>
      <c r="I14" s="12" t="n"/>
    </row>
    <row r="15">
      <c r="A15" s="12" t="n"/>
      <c r="B15" s="12" t="n"/>
      <c r="C15" s="12" t="n"/>
      <c r="D15" s="13">
        <f>IF($C15="","",IFERROR(INDEX(Dept_Names,MATCH($C15,Dept_Codes,0)),"NOT FOUND"))</f>
        <v/>
      </c>
      <c r="E15" s="12" t="n"/>
      <c r="F15" s="13">
        <f>IF($E15="","",IFERROR(INDEX(Emp_Names,MATCH($E15,Emp_Codes,0)),"NOT FOUND"))</f>
        <v/>
      </c>
      <c r="G15" s="12" t="n"/>
      <c r="H15" s="12" t="n"/>
      <c r="I15" s="12" t="n"/>
    </row>
    <row r="16">
      <c r="A16" s="12" t="n"/>
      <c r="B16" s="12" t="n"/>
      <c r="C16" s="12" t="n"/>
      <c r="D16" s="13">
        <f>IF($C16="","",IFERROR(INDEX(Dept_Names,MATCH($C16,Dept_Codes,0)),"NOT FOUND"))</f>
        <v/>
      </c>
      <c r="E16" s="12" t="n"/>
      <c r="F16" s="13">
        <f>IF($E16="","",IFERROR(INDEX(Emp_Names,MATCH($E16,Emp_Codes,0)),"NOT FOUND"))</f>
        <v/>
      </c>
      <c r="G16" s="12" t="n"/>
      <c r="H16" s="12" t="n"/>
      <c r="I16" s="12" t="n"/>
    </row>
    <row r="17">
      <c r="A17" s="12" t="n"/>
      <c r="B17" s="12" t="n"/>
      <c r="C17" s="12" t="n"/>
      <c r="D17" s="13">
        <f>IF($C17="","",IFERROR(INDEX(Dept_Names,MATCH($C17,Dept_Codes,0)),"NOT FOUND"))</f>
        <v/>
      </c>
      <c r="E17" s="12" t="n"/>
      <c r="F17" s="13">
        <f>IF($E17="","",IFERROR(INDEX(Emp_Names,MATCH($E17,Emp_Codes,0)),"NOT FOUND"))</f>
        <v/>
      </c>
      <c r="G17" s="12" t="n"/>
      <c r="H17" s="12" t="n"/>
      <c r="I17" s="12" t="n"/>
    </row>
    <row r="18">
      <c r="A18" s="12" t="n"/>
      <c r="B18" s="12" t="n"/>
      <c r="C18" s="12" t="n"/>
      <c r="D18" s="13">
        <f>IF($C18="","",IFERROR(INDEX(Dept_Names,MATCH($C18,Dept_Codes,0)),"NOT FOUND"))</f>
        <v/>
      </c>
      <c r="E18" s="12" t="n"/>
      <c r="F18" s="13">
        <f>IF($E18="","",IFERROR(INDEX(Emp_Names,MATCH($E18,Emp_Codes,0)),"NOT FOUND"))</f>
        <v/>
      </c>
      <c r="G18" s="12" t="n"/>
      <c r="H18" s="12" t="n"/>
      <c r="I18" s="12" t="n"/>
    </row>
    <row r="19">
      <c r="A19" s="12" t="n"/>
      <c r="B19" s="12" t="n"/>
      <c r="C19" s="12" t="n"/>
      <c r="D19" s="13">
        <f>IF($C19="","",IFERROR(INDEX(Dept_Names,MATCH($C19,Dept_Codes,0)),"NOT FOUND"))</f>
        <v/>
      </c>
      <c r="E19" s="12" t="n"/>
      <c r="F19" s="13">
        <f>IF($E19="","",IFERROR(INDEX(Emp_Names,MATCH($E19,Emp_Codes,0)),"NOT FOUND"))</f>
        <v/>
      </c>
      <c r="G19" s="12" t="n"/>
      <c r="H19" s="12" t="n"/>
      <c r="I19" s="12" t="n"/>
    </row>
    <row r="20">
      <c r="A20" s="12" t="n"/>
      <c r="B20" s="12" t="n"/>
      <c r="C20" s="12" t="n"/>
      <c r="D20" s="13">
        <f>IF($C20="","",IFERROR(INDEX(Dept_Names,MATCH($C20,Dept_Codes,0)),"NOT FOUND"))</f>
        <v/>
      </c>
      <c r="E20" s="12" t="n"/>
      <c r="F20" s="13">
        <f>IF($E20="","",IFERROR(INDEX(Emp_Names,MATCH($E20,Emp_Codes,0)),"NOT FOUND"))</f>
        <v/>
      </c>
      <c r="G20" s="12" t="n"/>
      <c r="H20" s="12" t="n"/>
      <c r="I20" s="12" t="n"/>
    </row>
    <row r="21">
      <c r="A21" s="12" t="n"/>
      <c r="B21" s="12" t="n"/>
      <c r="C21" s="12" t="n"/>
      <c r="D21" s="13">
        <f>IF($C21="","",IFERROR(INDEX(Dept_Names,MATCH($C21,Dept_Codes,0)),"NOT FOUND"))</f>
        <v/>
      </c>
      <c r="E21" s="12" t="n"/>
      <c r="F21" s="13">
        <f>IF($E21="","",IFERROR(INDEX(Emp_Names,MATCH($E21,Emp_Codes,0)),"NOT FOUND"))</f>
        <v/>
      </c>
      <c r="G21" s="12" t="n"/>
      <c r="H21" s="12" t="n"/>
      <c r="I21" s="12" t="n"/>
    </row>
    <row r="22">
      <c r="A22" s="12" t="n"/>
      <c r="B22" s="12" t="n"/>
      <c r="C22" s="12" t="n"/>
      <c r="D22" s="13">
        <f>IF($C22="","",IFERROR(INDEX(Dept_Names,MATCH($C22,Dept_Codes,0)),"NOT FOUND"))</f>
        <v/>
      </c>
      <c r="E22" s="12" t="n"/>
      <c r="F22" s="13">
        <f>IF($E22="","",IFERROR(INDEX(Emp_Names,MATCH($E22,Emp_Codes,0)),"NOT FOUND"))</f>
        <v/>
      </c>
      <c r="G22" s="12" t="n"/>
      <c r="H22" s="12" t="n"/>
      <c r="I22" s="12" t="n"/>
    </row>
    <row r="23">
      <c r="A23" s="12" t="n"/>
      <c r="B23" s="12" t="n"/>
      <c r="C23" s="12" t="n"/>
      <c r="D23" s="13">
        <f>IF($C23="","",IFERROR(INDEX(Dept_Names,MATCH($C23,Dept_Codes,0)),"NOT FOUND"))</f>
        <v/>
      </c>
      <c r="E23" s="12" t="n"/>
      <c r="F23" s="13">
        <f>IF($E23="","",IFERROR(INDEX(Emp_Names,MATCH($E23,Emp_Codes,0)),"NOT FOUND"))</f>
        <v/>
      </c>
      <c r="G23" s="12" t="n"/>
      <c r="H23" s="12" t="n"/>
      <c r="I23" s="12" t="n"/>
    </row>
    <row r="24">
      <c r="A24" s="12" t="n"/>
      <c r="B24" s="12" t="n"/>
      <c r="C24" s="12" t="n"/>
      <c r="D24" s="13">
        <f>IF($C24="","",IFERROR(INDEX(Dept_Names,MATCH($C24,Dept_Codes,0)),"NOT FOUND"))</f>
        <v/>
      </c>
      <c r="E24" s="12" t="n"/>
      <c r="F24" s="13">
        <f>IF($E24="","",IFERROR(INDEX(Emp_Names,MATCH($E24,Emp_Codes,0)),"NOT FOUND"))</f>
        <v/>
      </c>
      <c r="G24" s="12" t="n"/>
      <c r="H24" s="12" t="n"/>
      <c r="I24" s="12" t="n"/>
    </row>
    <row r="25">
      <c r="A25" s="12" t="n"/>
      <c r="B25" s="12" t="n"/>
      <c r="C25" s="12" t="n"/>
      <c r="D25" s="13">
        <f>IF($C25="","",IFERROR(INDEX(Dept_Names,MATCH($C25,Dept_Codes,0)),"NOT FOUND"))</f>
        <v/>
      </c>
      <c r="E25" s="12" t="n"/>
      <c r="F25" s="13">
        <f>IF($E25="","",IFERROR(INDEX(Emp_Names,MATCH($E25,Emp_Codes,0)),"NOT FOUND"))</f>
        <v/>
      </c>
      <c r="G25" s="12" t="n"/>
      <c r="H25" s="12" t="n"/>
      <c r="I25" s="12" t="n"/>
    </row>
    <row r="26">
      <c r="A26" s="12" t="n"/>
      <c r="B26" s="12" t="n"/>
      <c r="C26" s="12" t="n"/>
      <c r="D26" s="13">
        <f>IF($C26="","",IFERROR(INDEX(Dept_Names,MATCH($C26,Dept_Codes,0)),"NOT FOUND"))</f>
        <v/>
      </c>
      <c r="E26" s="12" t="n"/>
      <c r="F26" s="13">
        <f>IF($E26="","",IFERROR(INDEX(Emp_Names,MATCH($E26,Emp_Codes,0)),"NOT FOUND"))</f>
        <v/>
      </c>
      <c r="G26" s="12" t="n"/>
      <c r="H26" s="12" t="n"/>
      <c r="I26" s="12" t="n"/>
    </row>
    <row r="27">
      <c r="A27" s="12" t="n"/>
      <c r="B27" s="12" t="n"/>
      <c r="C27" s="12" t="n"/>
      <c r="D27" s="13">
        <f>IF($C27="","",IFERROR(INDEX(Dept_Names,MATCH($C27,Dept_Codes,0)),"NOT FOUND"))</f>
        <v/>
      </c>
      <c r="E27" s="12" t="n"/>
      <c r="F27" s="13">
        <f>IF($E27="","",IFERROR(INDEX(Emp_Names,MATCH($E27,Emp_Codes,0)),"NOT FOUND"))</f>
        <v/>
      </c>
      <c r="G27" s="12" t="n"/>
      <c r="H27" s="12" t="n"/>
      <c r="I27" s="12" t="n"/>
    </row>
    <row r="28">
      <c r="A28" s="12" t="n"/>
      <c r="B28" s="12" t="n"/>
      <c r="C28" s="12" t="n"/>
      <c r="D28" s="13">
        <f>IF($C28="","",IFERROR(INDEX(Dept_Names,MATCH($C28,Dept_Codes,0)),"NOT FOUND"))</f>
        <v/>
      </c>
      <c r="E28" s="12" t="n"/>
      <c r="F28" s="13">
        <f>IF($E28="","",IFERROR(INDEX(Emp_Names,MATCH($E28,Emp_Codes,0)),"NOT FOUND"))</f>
        <v/>
      </c>
      <c r="G28" s="12" t="n"/>
      <c r="H28" s="12" t="n"/>
      <c r="I28" s="12" t="n"/>
    </row>
    <row r="29">
      <c r="A29" s="12" t="n"/>
      <c r="B29" s="12" t="n"/>
      <c r="C29" s="12" t="n"/>
      <c r="D29" s="13">
        <f>IF($C29="","",IFERROR(INDEX(Dept_Names,MATCH($C29,Dept_Codes,0)),"NOT FOUND"))</f>
        <v/>
      </c>
      <c r="E29" s="12" t="n"/>
      <c r="F29" s="13">
        <f>IF($E29="","",IFERROR(INDEX(Emp_Names,MATCH($E29,Emp_Codes,0)),"NOT FOUND"))</f>
        <v/>
      </c>
      <c r="G29" s="12" t="n"/>
      <c r="H29" s="12" t="n"/>
      <c r="I29" s="12" t="n"/>
    </row>
    <row r="30">
      <c r="A30" s="12" t="n"/>
      <c r="B30" s="12" t="n"/>
      <c r="C30" s="12" t="n"/>
      <c r="D30" s="13">
        <f>IF($C30="","",IFERROR(INDEX(Dept_Names,MATCH($C30,Dept_Codes,0)),"NOT FOUND"))</f>
        <v/>
      </c>
      <c r="E30" s="12" t="n"/>
      <c r="F30" s="13">
        <f>IF($E30="","",IFERROR(INDEX(Emp_Names,MATCH($E30,Emp_Codes,0)),"NOT FOUND"))</f>
        <v/>
      </c>
      <c r="G30" s="12" t="n"/>
      <c r="H30" s="12" t="n"/>
      <c r="I30" s="12" t="n"/>
    </row>
    <row r="31">
      <c r="A31" s="12" t="n"/>
      <c r="B31" s="12" t="n"/>
      <c r="C31" s="12" t="n"/>
      <c r="D31" s="13">
        <f>IF($C31="","",IFERROR(INDEX(Dept_Names,MATCH($C31,Dept_Codes,0)),"NOT FOUND"))</f>
        <v/>
      </c>
      <c r="E31" s="12" t="n"/>
      <c r="F31" s="13">
        <f>IF($E31="","",IFERROR(INDEX(Emp_Names,MATCH($E31,Emp_Codes,0)),"NOT FOUND"))</f>
        <v/>
      </c>
      <c r="G31" s="12" t="n"/>
      <c r="H31" s="12" t="n"/>
      <c r="I31" s="12" t="n"/>
    </row>
    <row r="32">
      <c r="A32" s="12" t="n"/>
      <c r="B32" s="12" t="n"/>
      <c r="C32" s="12" t="n"/>
      <c r="D32" s="13">
        <f>IF($C32="","",IFERROR(INDEX(Dept_Names,MATCH($C32,Dept_Codes,0)),"NOT FOUND"))</f>
        <v/>
      </c>
      <c r="E32" s="12" t="n"/>
      <c r="F32" s="13">
        <f>IF($E32="","",IFERROR(INDEX(Emp_Names,MATCH($E32,Emp_Codes,0)),"NOT FOUND"))</f>
        <v/>
      </c>
      <c r="G32" s="12" t="n"/>
      <c r="H32" s="12" t="n"/>
      <c r="I32" s="12" t="n"/>
    </row>
    <row r="33">
      <c r="A33" s="12" t="n"/>
      <c r="B33" s="12" t="n"/>
      <c r="C33" s="12" t="n"/>
      <c r="D33" s="13">
        <f>IF($C33="","",IFERROR(INDEX(Dept_Names,MATCH($C33,Dept_Codes,0)),"NOT FOUND"))</f>
        <v/>
      </c>
      <c r="E33" s="12" t="n"/>
      <c r="F33" s="13">
        <f>IF($E33="","",IFERROR(INDEX(Emp_Names,MATCH($E33,Emp_Codes,0)),"NOT FOUND"))</f>
        <v/>
      </c>
      <c r="G33" s="12" t="n"/>
      <c r="H33" s="12" t="n"/>
      <c r="I33" s="12" t="n"/>
    </row>
    <row r="34">
      <c r="A34" s="12" t="n"/>
      <c r="B34" s="12" t="n"/>
      <c r="C34" s="12" t="n"/>
      <c r="D34" s="13">
        <f>IF($C34="","",IFERROR(INDEX(Dept_Names,MATCH($C34,Dept_Codes,0)),"NOT FOUND"))</f>
        <v/>
      </c>
      <c r="E34" s="12" t="n"/>
      <c r="F34" s="13">
        <f>IF($E34="","",IFERROR(INDEX(Emp_Names,MATCH($E34,Emp_Codes,0)),"NOT FOUND"))</f>
        <v/>
      </c>
      <c r="G34" s="12" t="n"/>
      <c r="H34" s="12" t="n"/>
      <c r="I34" s="12" t="n"/>
    </row>
    <row r="35">
      <c r="A35" s="12" t="n"/>
      <c r="B35" s="12" t="n"/>
      <c r="C35" s="12" t="n"/>
      <c r="D35" s="13">
        <f>IF($C35="","",IFERROR(INDEX(Dept_Names,MATCH($C35,Dept_Codes,0)),"NOT FOUND"))</f>
        <v/>
      </c>
      <c r="E35" s="12" t="n"/>
      <c r="F35" s="13">
        <f>IF($E35="","",IFERROR(INDEX(Emp_Names,MATCH($E35,Emp_Codes,0)),"NOT FOUND"))</f>
        <v/>
      </c>
      <c r="G35" s="12" t="n"/>
      <c r="H35" s="12" t="n"/>
      <c r="I35" s="12" t="n"/>
    </row>
    <row r="36">
      <c r="A36" s="12" t="n"/>
      <c r="B36" s="12" t="n"/>
      <c r="C36" s="12" t="n"/>
      <c r="D36" s="13">
        <f>IF($C36="","",IFERROR(INDEX(Dept_Names,MATCH($C36,Dept_Codes,0)),"NOT FOUND"))</f>
        <v/>
      </c>
      <c r="E36" s="12" t="n"/>
      <c r="F36" s="13">
        <f>IF($E36="","",IFERROR(INDEX(Emp_Names,MATCH($E36,Emp_Codes,0)),"NOT FOUND"))</f>
        <v/>
      </c>
      <c r="G36" s="12" t="n"/>
      <c r="H36" s="12" t="n"/>
      <c r="I36" s="12" t="n"/>
    </row>
    <row r="37">
      <c r="A37" s="12" t="n"/>
      <c r="B37" s="12" t="n"/>
      <c r="C37" s="12" t="n"/>
      <c r="D37" s="13">
        <f>IF($C37="","",IFERROR(INDEX(Dept_Names,MATCH($C37,Dept_Codes,0)),"NOT FOUND"))</f>
        <v/>
      </c>
      <c r="E37" s="12" t="n"/>
      <c r="F37" s="13">
        <f>IF($E37="","",IFERROR(INDEX(Emp_Names,MATCH($E37,Emp_Codes,0)),"NOT FOUND"))</f>
        <v/>
      </c>
      <c r="G37" s="12" t="n"/>
      <c r="H37" s="12" t="n"/>
      <c r="I37" s="12" t="n"/>
    </row>
    <row r="38">
      <c r="A38" s="12" t="n"/>
      <c r="B38" s="12" t="n"/>
      <c r="C38" s="12" t="n"/>
      <c r="D38" s="13">
        <f>IF($C38="","",IFERROR(INDEX(Dept_Names,MATCH($C38,Dept_Codes,0)),"NOT FOUND"))</f>
        <v/>
      </c>
      <c r="E38" s="12" t="n"/>
      <c r="F38" s="13">
        <f>IF($E38="","",IFERROR(INDEX(Emp_Names,MATCH($E38,Emp_Codes,0)),"NOT FOUND"))</f>
        <v/>
      </c>
      <c r="G38" s="12" t="n"/>
      <c r="H38" s="12" t="n"/>
      <c r="I38" s="12" t="n"/>
    </row>
    <row r="39">
      <c r="A39" s="12" t="n"/>
      <c r="B39" s="12" t="n"/>
      <c r="C39" s="12" t="n"/>
      <c r="D39" s="13">
        <f>IF($C39="","",IFERROR(INDEX(Dept_Names,MATCH($C39,Dept_Codes,0)),"NOT FOUND"))</f>
        <v/>
      </c>
      <c r="E39" s="12" t="n"/>
      <c r="F39" s="13">
        <f>IF($E39="","",IFERROR(INDEX(Emp_Names,MATCH($E39,Emp_Codes,0)),"NOT FOUND"))</f>
        <v/>
      </c>
      <c r="G39" s="12" t="n"/>
      <c r="H39" s="12" t="n"/>
      <c r="I39" s="12" t="n"/>
    </row>
    <row r="40">
      <c r="A40" s="12" t="n"/>
      <c r="B40" s="12" t="n"/>
      <c r="C40" s="12" t="n"/>
      <c r="D40" s="13">
        <f>IF($C40="","",IFERROR(INDEX(Dept_Names,MATCH($C40,Dept_Codes,0)),"NOT FOUND"))</f>
        <v/>
      </c>
      <c r="E40" s="12" t="n"/>
      <c r="F40" s="13">
        <f>IF($E40="","",IFERROR(INDEX(Emp_Names,MATCH($E40,Emp_Codes,0)),"NOT FOUND"))</f>
        <v/>
      </c>
      <c r="G40" s="12" t="n"/>
      <c r="H40" s="12" t="n"/>
      <c r="I40" s="12" t="n"/>
    </row>
    <row r="41">
      <c r="A41" s="12" t="n"/>
      <c r="B41" s="12" t="n"/>
      <c r="C41" s="12" t="n"/>
      <c r="D41" s="13">
        <f>IF($C41="","",IFERROR(INDEX(Dept_Names,MATCH($C41,Dept_Codes,0)),"NOT FOUND"))</f>
        <v/>
      </c>
      <c r="E41" s="12" t="n"/>
      <c r="F41" s="13">
        <f>IF($E41="","",IFERROR(INDEX(Emp_Names,MATCH($E41,Emp_Codes,0)),"NOT FOUND"))</f>
        <v/>
      </c>
      <c r="G41" s="12" t="n"/>
      <c r="H41" s="12" t="n"/>
      <c r="I41" s="12" t="n"/>
    </row>
    <row r="42">
      <c r="A42" s="12" t="n"/>
      <c r="B42" s="12" t="n"/>
      <c r="C42" s="12" t="n"/>
      <c r="D42" s="13">
        <f>IF($C42="","",IFERROR(INDEX(Dept_Names,MATCH($C42,Dept_Codes,0)),"NOT FOUND"))</f>
        <v/>
      </c>
      <c r="E42" s="12" t="n"/>
      <c r="F42" s="13">
        <f>IF($E42="","",IFERROR(INDEX(Emp_Names,MATCH($E42,Emp_Codes,0)),"NOT FOUND"))</f>
        <v/>
      </c>
      <c r="G42" s="12" t="n"/>
      <c r="H42" s="12" t="n"/>
      <c r="I42" s="12" t="n"/>
    </row>
    <row r="43">
      <c r="A43" s="12" t="n"/>
      <c r="B43" s="12" t="n"/>
      <c r="C43" s="12" t="n"/>
      <c r="D43" s="13">
        <f>IF($C43="","",IFERROR(INDEX(Dept_Names,MATCH($C43,Dept_Codes,0)),"NOT FOUND"))</f>
        <v/>
      </c>
      <c r="E43" s="12" t="n"/>
      <c r="F43" s="13">
        <f>IF($E43="","",IFERROR(INDEX(Emp_Names,MATCH($E43,Emp_Codes,0)),"NOT FOUND"))</f>
        <v/>
      </c>
      <c r="G43" s="12" t="n"/>
      <c r="H43" s="12" t="n"/>
      <c r="I43" s="12" t="n"/>
    </row>
    <row r="44">
      <c r="A44" s="12" t="n"/>
      <c r="B44" s="12" t="n"/>
      <c r="C44" s="12" t="n"/>
      <c r="D44" s="13">
        <f>IF($C44="","",IFERROR(INDEX(Dept_Names,MATCH($C44,Dept_Codes,0)),"NOT FOUND"))</f>
        <v/>
      </c>
      <c r="E44" s="12" t="n"/>
      <c r="F44" s="13">
        <f>IF($E44="","",IFERROR(INDEX(Emp_Names,MATCH($E44,Emp_Codes,0)),"NOT FOUND"))</f>
        <v/>
      </c>
      <c r="G44" s="12" t="n"/>
      <c r="H44" s="12" t="n"/>
      <c r="I44" s="12" t="n"/>
    </row>
    <row r="45">
      <c r="A45" s="12" t="n"/>
      <c r="B45" s="12" t="n"/>
      <c r="C45" s="12" t="n"/>
      <c r="D45" s="13">
        <f>IF($C45="","",IFERROR(INDEX(Dept_Names,MATCH($C45,Dept_Codes,0)),"NOT FOUND"))</f>
        <v/>
      </c>
      <c r="E45" s="12" t="n"/>
      <c r="F45" s="13">
        <f>IF($E45="","",IFERROR(INDEX(Emp_Names,MATCH($E45,Emp_Codes,0)),"NOT FOUND"))</f>
        <v/>
      </c>
      <c r="G45" s="12" t="n"/>
      <c r="H45" s="12" t="n"/>
      <c r="I45" s="12" t="n"/>
    </row>
    <row r="46">
      <c r="A46" s="12" t="n"/>
      <c r="B46" s="12" t="n"/>
      <c r="C46" s="12" t="n"/>
      <c r="D46" s="13">
        <f>IF($C46="","",IFERROR(INDEX(Dept_Names,MATCH($C46,Dept_Codes,0)),"NOT FOUND"))</f>
        <v/>
      </c>
      <c r="E46" s="12" t="n"/>
      <c r="F46" s="13">
        <f>IF($E46="","",IFERROR(INDEX(Emp_Names,MATCH($E46,Emp_Codes,0)),"NOT FOUND"))</f>
        <v/>
      </c>
      <c r="G46" s="12" t="n"/>
      <c r="H46" s="12" t="n"/>
      <c r="I46" s="12" t="n"/>
    </row>
    <row r="47">
      <c r="A47" s="12" t="n"/>
      <c r="B47" s="12" t="n"/>
      <c r="C47" s="12" t="n"/>
      <c r="D47" s="13">
        <f>IF($C47="","",IFERROR(INDEX(Dept_Names,MATCH($C47,Dept_Codes,0)),"NOT FOUND"))</f>
        <v/>
      </c>
      <c r="E47" s="12" t="n"/>
      <c r="F47" s="13">
        <f>IF($E47="","",IFERROR(INDEX(Emp_Names,MATCH($E47,Emp_Codes,0)),"NOT FOUND"))</f>
        <v/>
      </c>
      <c r="G47" s="12" t="n"/>
      <c r="H47" s="12" t="n"/>
      <c r="I47" s="12" t="n"/>
    </row>
    <row r="48">
      <c r="A48" s="12" t="n"/>
      <c r="B48" s="12" t="n"/>
      <c r="C48" s="12" t="n"/>
      <c r="D48" s="13">
        <f>IF($C48="","",IFERROR(INDEX(Dept_Names,MATCH($C48,Dept_Codes,0)),"NOT FOUND"))</f>
        <v/>
      </c>
      <c r="E48" s="12" t="n"/>
      <c r="F48" s="13">
        <f>IF($E48="","",IFERROR(INDEX(Emp_Names,MATCH($E48,Emp_Codes,0)),"NOT FOUND"))</f>
        <v/>
      </c>
      <c r="G48" s="12" t="n"/>
      <c r="H48" s="12" t="n"/>
      <c r="I48" s="12" t="n"/>
    </row>
    <row r="49">
      <c r="A49" s="12" t="n"/>
      <c r="B49" s="12" t="n"/>
      <c r="C49" s="12" t="n"/>
      <c r="D49" s="13">
        <f>IF($C49="","",IFERROR(INDEX(Dept_Names,MATCH($C49,Dept_Codes,0)),"NOT FOUND"))</f>
        <v/>
      </c>
      <c r="E49" s="12" t="n"/>
      <c r="F49" s="13">
        <f>IF($E49="","",IFERROR(INDEX(Emp_Names,MATCH($E49,Emp_Codes,0)),"NOT FOUND"))</f>
        <v/>
      </c>
      <c r="G49" s="12" t="n"/>
      <c r="H49" s="12" t="n"/>
      <c r="I49" s="12" t="n"/>
    </row>
    <row r="50">
      <c r="A50" s="12" t="n"/>
      <c r="B50" s="12" t="n"/>
      <c r="C50" s="12" t="n"/>
      <c r="D50" s="13">
        <f>IF($C50="","",IFERROR(INDEX(Dept_Names,MATCH($C50,Dept_Codes,0)),"NOT FOUND"))</f>
        <v/>
      </c>
      <c r="E50" s="12" t="n"/>
      <c r="F50" s="13">
        <f>IF($E50="","",IFERROR(INDEX(Emp_Names,MATCH($E50,Emp_Codes,0)),"NOT FOUND"))</f>
        <v/>
      </c>
      <c r="G50" s="12" t="n"/>
      <c r="H50" s="12" t="n"/>
      <c r="I50" s="12" t="n"/>
    </row>
    <row r="51">
      <c r="A51" s="12" t="n"/>
      <c r="B51" s="12" t="n"/>
      <c r="C51" s="12" t="n"/>
      <c r="D51" s="13">
        <f>IF($C51="","",IFERROR(INDEX(Dept_Names,MATCH($C51,Dept_Codes,0)),"NOT FOUND"))</f>
        <v/>
      </c>
      <c r="E51" s="12" t="n"/>
      <c r="F51" s="13">
        <f>IF($E51="","",IFERROR(INDEX(Emp_Names,MATCH($E51,Emp_Codes,0)),"NOT FOUND"))</f>
        <v/>
      </c>
      <c r="G51" s="12" t="n"/>
      <c r="H51" s="12" t="n"/>
      <c r="I51" s="12" t="n"/>
    </row>
    <row r="52">
      <c r="A52" s="12" t="n"/>
      <c r="B52" s="12" t="n"/>
      <c r="C52" s="12" t="n"/>
      <c r="D52" s="13">
        <f>IF($C52="","",IFERROR(INDEX(Dept_Names,MATCH($C52,Dept_Codes,0)),"NOT FOUND"))</f>
        <v/>
      </c>
      <c r="E52" s="12" t="n"/>
      <c r="F52" s="13">
        <f>IF($E52="","",IFERROR(INDEX(Emp_Names,MATCH($E52,Emp_Codes,0)),"NOT FOUND"))</f>
        <v/>
      </c>
      <c r="G52" s="12" t="n"/>
      <c r="H52" s="12" t="n"/>
      <c r="I52" s="12" t="n"/>
    </row>
    <row r="53">
      <c r="A53" s="12" t="n"/>
      <c r="B53" s="12" t="n"/>
      <c r="C53" s="12" t="n"/>
      <c r="D53" s="13">
        <f>IF($C53="","",IFERROR(INDEX(Dept_Names,MATCH($C53,Dept_Codes,0)),"NOT FOUND"))</f>
        <v/>
      </c>
      <c r="E53" s="12" t="n"/>
      <c r="F53" s="13">
        <f>IF($E53="","",IFERROR(INDEX(Emp_Names,MATCH($E53,Emp_Codes,0)),"NOT FOUND"))</f>
        <v/>
      </c>
      <c r="G53" s="12" t="n"/>
      <c r="H53" s="12" t="n"/>
      <c r="I53" s="12" t="n"/>
    </row>
    <row r="54">
      <c r="A54" s="12" t="n"/>
      <c r="B54" s="12" t="n"/>
      <c r="C54" s="12" t="n"/>
      <c r="D54" s="13">
        <f>IF($C54="","",IFERROR(INDEX(Dept_Names,MATCH($C54,Dept_Codes,0)),"NOT FOUND"))</f>
        <v/>
      </c>
      <c r="E54" s="12" t="n"/>
      <c r="F54" s="13">
        <f>IF($E54="","",IFERROR(INDEX(Emp_Names,MATCH($E54,Emp_Codes,0)),"NOT FOUND"))</f>
        <v/>
      </c>
      <c r="G54" s="12" t="n"/>
      <c r="H54" s="12" t="n"/>
      <c r="I54" s="12" t="n"/>
    </row>
    <row r="55">
      <c r="A55" s="12" t="n"/>
      <c r="B55" s="12" t="n"/>
      <c r="C55" s="12" t="n"/>
      <c r="D55" s="13">
        <f>IF($C55="","",IFERROR(INDEX(Dept_Names,MATCH($C55,Dept_Codes,0)),"NOT FOUND"))</f>
        <v/>
      </c>
      <c r="E55" s="12" t="n"/>
      <c r="F55" s="13">
        <f>IF($E55="","",IFERROR(INDEX(Emp_Names,MATCH($E55,Emp_Codes,0)),"NOT FOUND"))</f>
        <v/>
      </c>
      <c r="G55" s="12" t="n"/>
      <c r="H55" s="12" t="n"/>
      <c r="I55" s="12" t="n"/>
    </row>
    <row r="56">
      <c r="A56" s="12" t="n"/>
      <c r="B56" s="12" t="n"/>
      <c r="C56" s="12" t="n"/>
      <c r="D56" s="13">
        <f>IF($C56="","",IFERROR(INDEX(Dept_Names,MATCH($C56,Dept_Codes,0)),"NOT FOUND"))</f>
        <v/>
      </c>
      <c r="E56" s="12" t="n"/>
      <c r="F56" s="13">
        <f>IF($E56="","",IFERROR(INDEX(Emp_Names,MATCH($E56,Emp_Codes,0)),"NOT FOUND"))</f>
        <v/>
      </c>
      <c r="G56" s="12" t="n"/>
      <c r="H56" s="12" t="n"/>
      <c r="I56" s="12" t="n"/>
    </row>
    <row r="57">
      <c r="A57" s="12" t="n"/>
      <c r="B57" s="12" t="n"/>
      <c r="C57" s="12" t="n"/>
      <c r="D57" s="13">
        <f>IF($C57="","",IFERROR(INDEX(Dept_Names,MATCH($C57,Dept_Codes,0)),"NOT FOUND"))</f>
        <v/>
      </c>
      <c r="E57" s="12" t="n"/>
      <c r="F57" s="13">
        <f>IF($E57="","",IFERROR(INDEX(Emp_Names,MATCH($E57,Emp_Codes,0)),"NOT FOUND"))</f>
        <v/>
      </c>
      <c r="G57" s="12" t="n"/>
      <c r="H57" s="12" t="n"/>
      <c r="I57" s="12" t="n"/>
    </row>
    <row r="58">
      <c r="A58" s="12" t="n"/>
      <c r="B58" s="12" t="n"/>
      <c r="C58" s="12" t="n"/>
      <c r="D58" s="13">
        <f>IF($C58="","",IFERROR(INDEX(Dept_Names,MATCH($C58,Dept_Codes,0)),"NOT FOUND"))</f>
        <v/>
      </c>
      <c r="E58" s="12" t="n"/>
      <c r="F58" s="13">
        <f>IF($E58="","",IFERROR(INDEX(Emp_Names,MATCH($E58,Emp_Codes,0)),"NOT FOUND"))</f>
        <v/>
      </c>
      <c r="G58" s="12" t="n"/>
      <c r="H58" s="12" t="n"/>
      <c r="I58" s="12" t="n"/>
    </row>
    <row r="59">
      <c r="A59" s="12" t="n"/>
      <c r="B59" s="12" t="n"/>
      <c r="C59" s="12" t="n"/>
      <c r="D59" s="13">
        <f>IF($C59="","",IFERROR(INDEX(Dept_Names,MATCH($C59,Dept_Codes,0)),"NOT FOUND"))</f>
        <v/>
      </c>
      <c r="E59" s="12" t="n"/>
      <c r="F59" s="13">
        <f>IF($E59="","",IFERROR(INDEX(Emp_Names,MATCH($E59,Emp_Codes,0)),"NOT FOUND"))</f>
        <v/>
      </c>
      <c r="G59" s="12" t="n"/>
      <c r="H59" s="12" t="n"/>
      <c r="I59" s="12" t="n"/>
    </row>
    <row r="60">
      <c r="A60" s="12" t="n"/>
      <c r="B60" s="12" t="n"/>
      <c r="C60" s="12" t="n"/>
      <c r="D60" s="13">
        <f>IF($C60="","",IFERROR(INDEX(Dept_Names,MATCH($C60,Dept_Codes,0)),"NOT FOUND"))</f>
        <v/>
      </c>
      <c r="E60" s="12" t="n"/>
      <c r="F60" s="13">
        <f>IF($E60="","",IFERROR(INDEX(Emp_Names,MATCH($E60,Emp_Codes,0)),"NOT FOUND"))</f>
        <v/>
      </c>
      <c r="G60" s="12" t="n"/>
      <c r="H60" s="12" t="n"/>
      <c r="I60" s="12" t="n"/>
    </row>
    <row r="61">
      <c r="A61" s="12" t="n"/>
      <c r="B61" s="12" t="n"/>
      <c r="C61" s="12" t="n"/>
      <c r="D61" s="13">
        <f>IF($C61="","",IFERROR(INDEX(Dept_Names,MATCH($C61,Dept_Codes,0)),"NOT FOUND"))</f>
        <v/>
      </c>
      <c r="E61" s="12" t="n"/>
      <c r="F61" s="13">
        <f>IF($E61="","",IFERROR(INDEX(Emp_Names,MATCH($E61,Emp_Codes,0)),"NOT FOUND"))</f>
        <v/>
      </c>
      <c r="G61" s="12" t="n"/>
      <c r="H61" s="12" t="n"/>
      <c r="I61" s="12" t="n"/>
    </row>
    <row r="62">
      <c r="A62" s="12" t="n"/>
      <c r="B62" s="12" t="n"/>
      <c r="C62" s="12" t="n"/>
      <c r="D62" s="13">
        <f>IF($C62="","",IFERROR(INDEX(Dept_Names,MATCH($C62,Dept_Codes,0)),"NOT FOUND"))</f>
        <v/>
      </c>
      <c r="E62" s="12" t="n"/>
      <c r="F62" s="13">
        <f>IF($E62="","",IFERROR(INDEX(Emp_Names,MATCH($E62,Emp_Codes,0)),"NOT FOUND"))</f>
        <v/>
      </c>
      <c r="G62" s="12" t="n"/>
      <c r="H62" s="12" t="n"/>
      <c r="I62" s="12" t="n"/>
    </row>
    <row r="63">
      <c r="A63" s="12" t="n"/>
      <c r="B63" s="12" t="n"/>
      <c r="C63" s="12" t="n"/>
      <c r="D63" s="13">
        <f>IF($C63="","",IFERROR(INDEX(Dept_Names,MATCH($C63,Dept_Codes,0)),"NOT FOUND"))</f>
        <v/>
      </c>
      <c r="E63" s="12" t="n"/>
      <c r="F63" s="13">
        <f>IF($E63="","",IFERROR(INDEX(Emp_Names,MATCH($E63,Emp_Codes,0)),"NOT FOUND"))</f>
        <v/>
      </c>
      <c r="G63" s="12" t="n"/>
      <c r="H63" s="12" t="n"/>
      <c r="I63" s="12" t="n"/>
    </row>
    <row r="64">
      <c r="A64" s="12" t="n"/>
      <c r="B64" s="12" t="n"/>
      <c r="C64" s="12" t="n"/>
      <c r="D64" s="13">
        <f>IF($C64="","",IFERROR(INDEX(Dept_Names,MATCH($C64,Dept_Codes,0)),"NOT FOUND"))</f>
        <v/>
      </c>
      <c r="E64" s="12" t="n"/>
      <c r="F64" s="13">
        <f>IF($E64="","",IFERROR(INDEX(Emp_Names,MATCH($E64,Emp_Codes,0)),"NOT FOUND"))</f>
        <v/>
      </c>
      <c r="G64" s="12" t="n"/>
      <c r="H64" s="12" t="n"/>
      <c r="I64" s="12" t="n"/>
    </row>
    <row r="65">
      <c r="A65" s="12" t="n"/>
      <c r="B65" s="12" t="n"/>
      <c r="C65" s="12" t="n"/>
      <c r="D65" s="13">
        <f>IF($C65="","",IFERROR(INDEX(Dept_Names,MATCH($C65,Dept_Codes,0)),"NOT FOUND"))</f>
        <v/>
      </c>
      <c r="E65" s="12" t="n"/>
      <c r="F65" s="13">
        <f>IF($E65="","",IFERROR(INDEX(Emp_Names,MATCH($E65,Emp_Codes,0)),"NOT FOUND"))</f>
        <v/>
      </c>
      <c r="G65" s="12" t="n"/>
      <c r="H65" s="12" t="n"/>
      <c r="I65" s="12" t="n"/>
    </row>
    <row r="66">
      <c r="A66" s="12" t="n"/>
      <c r="B66" s="12" t="n"/>
      <c r="C66" s="12" t="n"/>
      <c r="D66" s="13">
        <f>IF($C66="","",IFERROR(INDEX(Dept_Names,MATCH($C66,Dept_Codes,0)),"NOT FOUND"))</f>
        <v/>
      </c>
      <c r="E66" s="12" t="n"/>
      <c r="F66" s="13">
        <f>IF($E66="","",IFERROR(INDEX(Emp_Names,MATCH($E66,Emp_Codes,0)),"NOT FOUND"))</f>
        <v/>
      </c>
      <c r="G66" s="12" t="n"/>
      <c r="H66" s="12" t="n"/>
      <c r="I66" s="12" t="n"/>
    </row>
    <row r="67">
      <c r="A67" s="12" t="n"/>
      <c r="B67" s="12" t="n"/>
      <c r="C67" s="12" t="n"/>
      <c r="D67" s="13">
        <f>IF($C67="","",IFERROR(INDEX(Dept_Names,MATCH($C67,Dept_Codes,0)),"NOT FOUND"))</f>
        <v/>
      </c>
      <c r="E67" s="12" t="n"/>
      <c r="F67" s="13">
        <f>IF($E67="","",IFERROR(INDEX(Emp_Names,MATCH($E67,Emp_Codes,0)),"NOT FOUND"))</f>
        <v/>
      </c>
      <c r="G67" s="12" t="n"/>
      <c r="H67" s="12" t="n"/>
      <c r="I67" s="12" t="n"/>
    </row>
    <row r="68">
      <c r="A68" s="12" t="n"/>
      <c r="B68" s="12" t="n"/>
      <c r="C68" s="12" t="n"/>
      <c r="D68" s="13">
        <f>IF($C68="","",IFERROR(INDEX(Dept_Names,MATCH($C68,Dept_Codes,0)),"NOT FOUND"))</f>
        <v/>
      </c>
      <c r="E68" s="12" t="n"/>
      <c r="F68" s="13">
        <f>IF($E68="","",IFERROR(INDEX(Emp_Names,MATCH($E68,Emp_Codes,0)),"NOT FOUND"))</f>
        <v/>
      </c>
      <c r="G68" s="12" t="n"/>
      <c r="H68" s="12" t="n"/>
      <c r="I68" s="12" t="n"/>
    </row>
    <row r="69">
      <c r="A69" s="12" t="n"/>
      <c r="B69" s="12" t="n"/>
      <c r="C69" s="12" t="n"/>
      <c r="D69" s="13">
        <f>IF($C69="","",IFERROR(INDEX(Dept_Names,MATCH($C69,Dept_Codes,0)),"NOT FOUND"))</f>
        <v/>
      </c>
      <c r="E69" s="12" t="n"/>
      <c r="F69" s="13">
        <f>IF($E69="","",IFERROR(INDEX(Emp_Names,MATCH($E69,Emp_Codes,0)),"NOT FOUND"))</f>
        <v/>
      </c>
      <c r="G69" s="12" t="n"/>
      <c r="H69" s="12" t="n"/>
      <c r="I69" s="12" t="n"/>
    </row>
    <row r="70">
      <c r="A70" s="12" t="n"/>
      <c r="B70" s="12" t="n"/>
      <c r="C70" s="12" t="n"/>
      <c r="D70" s="13">
        <f>IF($C70="","",IFERROR(INDEX(Dept_Names,MATCH($C70,Dept_Codes,0)),"NOT FOUND"))</f>
        <v/>
      </c>
      <c r="E70" s="12" t="n"/>
      <c r="F70" s="13">
        <f>IF($E70="","",IFERROR(INDEX(Emp_Names,MATCH($E70,Emp_Codes,0)),"NOT FOUND"))</f>
        <v/>
      </c>
      <c r="G70" s="12" t="n"/>
      <c r="H70" s="12" t="n"/>
      <c r="I70" s="12" t="n"/>
    </row>
    <row r="71">
      <c r="A71" s="12" t="n"/>
      <c r="B71" s="12" t="n"/>
      <c r="C71" s="12" t="n"/>
      <c r="D71" s="13">
        <f>IF($C71="","",IFERROR(INDEX(Dept_Names,MATCH($C71,Dept_Codes,0)),"NOT FOUND"))</f>
        <v/>
      </c>
      <c r="E71" s="12" t="n"/>
      <c r="F71" s="13">
        <f>IF($E71="","",IFERROR(INDEX(Emp_Names,MATCH($E71,Emp_Codes,0)),"NOT FOUND"))</f>
        <v/>
      </c>
      <c r="G71" s="12" t="n"/>
      <c r="H71" s="12" t="n"/>
      <c r="I71" s="12" t="n"/>
    </row>
    <row r="72">
      <c r="A72" s="12" t="n"/>
      <c r="B72" s="12" t="n"/>
      <c r="C72" s="12" t="n"/>
      <c r="D72" s="13">
        <f>IF($C72="","",IFERROR(INDEX(Dept_Names,MATCH($C72,Dept_Codes,0)),"NOT FOUND"))</f>
        <v/>
      </c>
      <c r="E72" s="12" t="n"/>
      <c r="F72" s="13">
        <f>IF($E72="","",IFERROR(INDEX(Emp_Names,MATCH($E72,Emp_Codes,0)),"NOT FOUND"))</f>
        <v/>
      </c>
      <c r="G72" s="12" t="n"/>
      <c r="H72" s="12" t="n"/>
      <c r="I72" s="12" t="n"/>
    </row>
    <row r="73">
      <c r="A73" s="12" t="n"/>
      <c r="B73" s="12" t="n"/>
      <c r="C73" s="12" t="n"/>
      <c r="D73" s="13">
        <f>IF($C73="","",IFERROR(INDEX(Dept_Names,MATCH($C73,Dept_Codes,0)),"NOT FOUND"))</f>
        <v/>
      </c>
      <c r="E73" s="12" t="n"/>
      <c r="F73" s="13">
        <f>IF($E73="","",IFERROR(INDEX(Emp_Names,MATCH($E73,Emp_Codes,0)),"NOT FOUND"))</f>
        <v/>
      </c>
      <c r="G73" s="12" t="n"/>
      <c r="H73" s="12" t="n"/>
      <c r="I73" s="12" t="n"/>
    </row>
    <row r="74">
      <c r="A74" s="12" t="n"/>
      <c r="B74" s="12" t="n"/>
      <c r="C74" s="12" t="n"/>
      <c r="D74" s="13">
        <f>IF($C74="","",IFERROR(INDEX(Dept_Names,MATCH($C74,Dept_Codes,0)),"NOT FOUND"))</f>
        <v/>
      </c>
      <c r="E74" s="12" t="n"/>
      <c r="F74" s="13">
        <f>IF($E74="","",IFERROR(INDEX(Emp_Names,MATCH($E74,Emp_Codes,0)),"NOT FOUND"))</f>
        <v/>
      </c>
      <c r="G74" s="12" t="n"/>
      <c r="H74" s="12" t="n"/>
      <c r="I74" s="12" t="n"/>
    </row>
    <row r="75">
      <c r="A75" s="12" t="n"/>
      <c r="B75" s="12" t="n"/>
      <c r="C75" s="12" t="n"/>
      <c r="D75" s="13">
        <f>IF($C75="","",IFERROR(INDEX(Dept_Names,MATCH($C75,Dept_Codes,0)),"NOT FOUND"))</f>
        <v/>
      </c>
      <c r="E75" s="12" t="n"/>
      <c r="F75" s="13">
        <f>IF($E75="","",IFERROR(INDEX(Emp_Names,MATCH($E75,Emp_Codes,0)),"NOT FOUND"))</f>
        <v/>
      </c>
      <c r="G75" s="12" t="n"/>
      <c r="H75" s="12" t="n"/>
      <c r="I75" s="12" t="n"/>
    </row>
    <row r="76">
      <c r="A76" s="12" t="n"/>
      <c r="B76" s="12" t="n"/>
      <c r="C76" s="12" t="n"/>
      <c r="D76" s="13">
        <f>IF($C76="","",IFERROR(INDEX(Dept_Names,MATCH($C76,Dept_Codes,0)),"NOT FOUND"))</f>
        <v/>
      </c>
      <c r="E76" s="12" t="n"/>
      <c r="F76" s="13">
        <f>IF($E76="","",IFERROR(INDEX(Emp_Names,MATCH($E76,Emp_Codes,0)),"NOT FOUND"))</f>
        <v/>
      </c>
      <c r="G76" s="12" t="n"/>
      <c r="H76" s="12" t="n"/>
      <c r="I76" s="12" t="n"/>
    </row>
    <row r="77">
      <c r="A77" s="12" t="n"/>
      <c r="B77" s="12" t="n"/>
      <c r="C77" s="12" t="n"/>
      <c r="D77" s="13">
        <f>IF($C77="","",IFERROR(INDEX(Dept_Names,MATCH($C77,Dept_Codes,0)),"NOT FOUND"))</f>
        <v/>
      </c>
      <c r="E77" s="12" t="n"/>
      <c r="F77" s="13">
        <f>IF($E77="","",IFERROR(INDEX(Emp_Names,MATCH($E77,Emp_Codes,0)),"NOT FOUND"))</f>
        <v/>
      </c>
      <c r="G77" s="12" t="n"/>
      <c r="H77" s="12" t="n"/>
      <c r="I77" s="12" t="n"/>
    </row>
    <row r="78">
      <c r="A78" s="12" t="n"/>
      <c r="B78" s="12" t="n"/>
      <c r="C78" s="12" t="n"/>
      <c r="D78" s="13">
        <f>IF($C78="","",IFERROR(INDEX(Dept_Names,MATCH($C78,Dept_Codes,0)),"NOT FOUND"))</f>
        <v/>
      </c>
      <c r="E78" s="12" t="n"/>
      <c r="F78" s="13">
        <f>IF($E78="","",IFERROR(INDEX(Emp_Names,MATCH($E78,Emp_Codes,0)),"NOT FOUND"))</f>
        <v/>
      </c>
      <c r="G78" s="12" t="n"/>
      <c r="H78" s="12" t="n"/>
      <c r="I78" s="12" t="n"/>
    </row>
    <row r="79">
      <c r="A79" s="12" t="n"/>
      <c r="B79" s="12" t="n"/>
      <c r="C79" s="12" t="n"/>
      <c r="D79" s="13">
        <f>IF($C79="","",IFERROR(INDEX(Dept_Names,MATCH($C79,Dept_Codes,0)),"NOT FOUND"))</f>
        <v/>
      </c>
      <c r="E79" s="12" t="n"/>
      <c r="F79" s="13">
        <f>IF($E79="","",IFERROR(INDEX(Emp_Names,MATCH($E79,Emp_Codes,0)),"NOT FOUND"))</f>
        <v/>
      </c>
      <c r="G79" s="12" t="n"/>
      <c r="H79" s="12" t="n"/>
      <c r="I79" s="12" t="n"/>
    </row>
    <row r="80">
      <c r="A80" s="12" t="n"/>
      <c r="B80" s="12" t="n"/>
      <c r="C80" s="12" t="n"/>
      <c r="D80" s="13">
        <f>IF($C80="","",IFERROR(INDEX(Dept_Names,MATCH($C80,Dept_Codes,0)),"NOT FOUND"))</f>
        <v/>
      </c>
      <c r="E80" s="12" t="n"/>
      <c r="F80" s="13">
        <f>IF($E80="","",IFERROR(INDEX(Emp_Names,MATCH($E80,Emp_Codes,0)),"NOT FOUND"))</f>
        <v/>
      </c>
      <c r="G80" s="12" t="n"/>
      <c r="H80" s="12" t="n"/>
      <c r="I80" s="12" t="n"/>
    </row>
    <row r="81">
      <c r="A81" s="12" t="n"/>
      <c r="B81" s="12" t="n"/>
      <c r="C81" s="12" t="n"/>
      <c r="D81" s="13">
        <f>IF($C81="","",IFERROR(INDEX(Dept_Names,MATCH($C81,Dept_Codes,0)),"NOT FOUND"))</f>
        <v/>
      </c>
      <c r="E81" s="12" t="n"/>
      <c r="F81" s="13">
        <f>IF($E81="","",IFERROR(INDEX(Emp_Names,MATCH($E81,Emp_Codes,0)),"NOT FOUND"))</f>
        <v/>
      </c>
      <c r="G81" s="12" t="n"/>
      <c r="H81" s="12" t="n"/>
      <c r="I81" s="12" t="n"/>
    </row>
    <row r="82">
      <c r="A82" s="12" t="n"/>
      <c r="B82" s="12" t="n"/>
      <c r="C82" s="12" t="n"/>
      <c r="D82" s="13">
        <f>IF($C82="","",IFERROR(INDEX(Dept_Names,MATCH($C82,Dept_Codes,0)),"NOT FOUND"))</f>
        <v/>
      </c>
      <c r="E82" s="12" t="n"/>
      <c r="F82" s="13">
        <f>IF($E82="","",IFERROR(INDEX(Emp_Names,MATCH($E82,Emp_Codes,0)),"NOT FOUND"))</f>
        <v/>
      </c>
      <c r="G82" s="12" t="n"/>
      <c r="H82" s="12" t="n"/>
      <c r="I82" s="12" t="n"/>
    </row>
    <row r="83">
      <c r="A83" s="12" t="n"/>
      <c r="B83" s="12" t="n"/>
      <c r="C83" s="12" t="n"/>
      <c r="D83" s="13">
        <f>IF($C83="","",IFERROR(INDEX(Dept_Names,MATCH($C83,Dept_Codes,0)),"NOT FOUND"))</f>
        <v/>
      </c>
      <c r="E83" s="12" t="n"/>
      <c r="F83" s="13">
        <f>IF($E83="","",IFERROR(INDEX(Emp_Names,MATCH($E83,Emp_Codes,0)),"NOT FOUND"))</f>
        <v/>
      </c>
      <c r="G83" s="12" t="n"/>
      <c r="H83" s="12" t="n"/>
      <c r="I83" s="12" t="n"/>
    </row>
    <row r="84">
      <c r="A84" s="12" t="n"/>
      <c r="B84" s="12" t="n"/>
      <c r="C84" s="12" t="n"/>
      <c r="D84" s="13">
        <f>IF($C84="","",IFERROR(INDEX(Dept_Names,MATCH($C84,Dept_Codes,0)),"NOT FOUND"))</f>
        <v/>
      </c>
      <c r="E84" s="12" t="n"/>
      <c r="F84" s="13">
        <f>IF($E84="","",IFERROR(INDEX(Emp_Names,MATCH($E84,Emp_Codes,0)),"NOT FOUND"))</f>
        <v/>
      </c>
      <c r="G84" s="12" t="n"/>
      <c r="H84" s="12" t="n"/>
      <c r="I84" s="12" t="n"/>
    </row>
    <row r="85">
      <c r="A85" s="12" t="n"/>
      <c r="B85" s="12" t="n"/>
      <c r="C85" s="12" t="n"/>
      <c r="D85" s="13">
        <f>IF($C85="","",IFERROR(INDEX(Dept_Names,MATCH($C85,Dept_Codes,0)),"NOT FOUND"))</f>
        <v/>
      </c>
      <c r="E85" s="12" t="n"/>
      <c r="F85" s="13">
        <f>IF($E85="","",IFERROR(INDEX(Emp_Names,MATCH($E85,Emp_Codes,0)),"NOT FOUND"))</f>
        <v/>
      </c>
      <c r="G85" s="12" t="n"/>
      <c r="H85" s="12" t="n"/>
      <c r="I85" s="12" t="n"/>
    </row>
    <row r="86">
      <c r="A86" s="12" t="n"/>
      <c r="B86" s="12" t="n"/>
      <c r="C86" s="12" t="n"/>
      <c r="D86" s="13">
        <f>IF($C86="","",IFERROR(INDEX(Dept_Names,MATCH($C86,Dept_Codes,0)),"NOT FOUND"))</f>
        <v/>
      </c>
      <c r="E86" s="12" t="n"/>
      <c r="F86" s="13">
        <f>IF($E86="","",IFERROR(INDEX(Emp_Names,MATCH($E86,Emp_Codes,0)),"NOT FOUND"))</f>
        <v/>
      </c>
      <c r="G86" s="12" t="n"/>
      <c r="H86" s="12" t="n"/>
      <c r="I86" s="12" t="n"/>
    </row>
    <row r="87">
      <c r="A87" s="12" t="n"/>
      <c r="B87" s="12" t="n"/>
      <c r="C87" s="12" t="n"/>
      <c r="D87" s="13">
        <f>IF($C87="","",IFERROR(INDEX(Dept_Names,MATCH($C87,Dept_Codes,0)),"NOT FOUND"))</f>
        <v/>
      </c>
      <c r="E87" s="12" t="n"/>
      <c r="F87" s="13">
        <f>IF($E87="","",IFERROR(INDEX(Emp_Names,MATCH($E87,Emp_Codes,0)),"NOT FOUND"))</f>
        <v/>
      </c>
      <c r="G87" s="12" t="n"/>
      <c r="H87" s="12" t="n"/>
      <c r="I87" s="12" t="n"/>
    </row>
    <row r="88">
      <c r="A88" s="12" t="n"/>
      <c r="B88" s="12" t="n"/>
      <c r="C88" s="12" t="n"/>
      <c r="D88" s="13">
        <f>IF($C88="","",IFERROR(INDEX(Dept_Names,MATCH($C88,Dept_Codes,0)),"NOT FOUND"))</f>
        <v/>
      </c>
      <c r="E88" s="12" t="n"/>
      <c r="F88" s="13">
        <f>IF($E88="","",IFERROR(INDEX(Emp_Names,MATCH($E88,Emp_Codes,0)),"NOT FOUND"))</f>
        <v/>
      </c>
      <c r="G88" s="12" t="n"/>
      <c r="H88" s="12" t="n"/>
      <c r="I88" s="12" t="n"/>
    </row>
    <row r="89">
      <c r="A89" s="12" t="n"/>
      <c r="B89" s="12" t="n"/>
      <c r="C89" s="12" t="n"/>
      <c r="D89" s="13">
        <f>IF($C89="","",IFERROR(INDEX(Dept_Names,MATCH($C89,Dept_Codes,0)),"NOT FOUND"))</f>
        <v/>
      </c>
      <c r="E89" s="12" t="n"/>
      <c r="F89" s="13">
        <f>IF($E89="","",IFERROR(INDEX(Emp_Names,MATCH($E89,Emp_Codes,0)),"NOT FOUND"))</f>
        <v/>
      </c>
      <c r="G89" s="12" t="n"/>
      <c r="H89" s="12" t="n"/>
      <c r="I89" s="12" t="n"/>
    </row>
    <row r="90">
      <c r="A90" s="12" t="n"/>
      <c r="B90" s="12" t="n"/>
      <c r="C90" s="12" t="n"/>
      <c r="D90" s="13">
        <f>IF($C90="","",IFERROR(INDEX(Dept_Names,MATCH($C90,Dept_Codes,0)),"NOT FOUND"))</f>
        <v/>
      </c>
      <c r="E90" s="12" t="n"/>
      <c r="F90" s="13">
        <f>IF($E90="","",IFERROR(INDEX(Emp_Names,MATCH($E90,Emp_Codes,0)),"NOT FOUND"))</f>
        <v/>
      </c>
      <c r="G90" s="12" t="n"/>
      <c r="H90" s="12" t="n"/>
      <c r="I90" s="12" t="n"/>
    </row>
    <row r="91">
      <c r="A91" s="12" t="n"/>
      <c r="B91" s="12" t="n"/>
      <c r="C91" s="12" t="n"/>
      <c r="D91" s="13">
        <f>IF($C91="","",IFERROR(INDEX(Dept_Names,MATCH($C91,Dept_Codes,0)),"NOT FOUND"))</f>
        <v/>
      </c>
      <c r="E91" s="12" t="n"/>
      <c r="F91" s="13">
        <f>IF($E91="","",IFERROR(INDEX(Emp_Names,MATCH($E91,Emp_Codes,0)),"NOT FOUND"))</f>
        <v/>
      </c>
      <c r="G91" s="12" t="n"/>
      <c r="H91" s="12" t="n"/>
      <c r="I91" s="12" t="n"/>
    </row>
    <row r="92">
      <c r="A92" s="12" t="n"/>
      <c r="B92" s="12" t="n"/>
      <c r="C92" s="12" t="n"/>
      <c r="D92" s="13">
        <f>IF($C92="","",IFERROR(INDEX(Dept_Names,MATCH($C92,Dept_Codes,0)),"NOT FOUND"))</f>
        <v/>
      </c>
      <c r="E92" s="12" t="n"/>
      <c r="F92" s="13">
        <f>IF($E92="","",IFERROR(INDEX(Emp_Names,MATCH($E92,Emp_Codes,0)),"NOT FOUND"))</f>
        <v/>
      </c>
      <c r="G92" s="12" t="n"/>
      <c r="H92" s="12" t="n"/>
      <c r="I92" s="12" t="n"/>
    </row>
    <row r="93">
      <c r="A93" s="12" t="n"/>
      <c r="B93" s="12" t="n"/>
      <c r="C93" s="12" t="n"/>
      <c r="D93" s="13">
        <f>IF($C93="","",IFERROR(INDEX(Dept_Names,MATCH($C93,Dept_Codes,0)),"NOT FOUND"))</f>
        <v/>
      </c>
      <c r="E93" s="12" t="n"/>
      <c r="F93" s="13">
        <f>IF($E93="","",IFERROR(INDEX(Emp_Names,MATCH($E93,Emp_Codes,0)),"NOT FOUND"))</f>
        <v/>
      </c>
      <c r="G93" s="12" t="n"/>
      <c r="H93" s="12" t="n"/>
      <c r="I93" s="12" t="n"/>
    </row>
    <row r="94">
      <c r="A94" s="12" t="n"/>
      <c r="B94" s="12" t="n"/>
      <c r="C94" s="12" t="n"/>
      <c r="D94" s="13">
        <f>IF($C94="","",IFERROR(INDEX(Dept_Names,MATCH($C94,Dept_Codes,0)),"NOT FOUND"))</f>
        <v/>
      </c>
      <c r="E94" s="12" t="n"/>
      <c r="F94" s="13">
        <f>IF($E94="","",IFERROR(INDEX(Emp_Names,MATCH($E94,Emp_Codes,0)),"NOT FOUND"))</f>
        <v/>
      </c>
      <c r="G94" s="12" t="n"/>
      <c r="H94" s="12" t="n"/>
      <c r="I94" s="12" t="n"/>
    </row>
    <row r="95">
      <c r="A95" s="12" t="n"/>
      <c r="B95" s="12" t="n"/>
      <c r="C95" s="12" t="n"/>
      <c r="D95" s="13">
        <f>IF($C95="","",IFERROR(INDEX(Dept_Names,MATCH($C95,Dept_Codes,0)),"NOT FOUND"))</f>
        <v/>
      </c>
      <c r="E95" s="12" t="n"/>
      <c r="F95" s="13">
        <f>IF($E95="","",IFERROR(INDEX(Emp_Names,MATCH($E95,Emp_Codes,0)),"NOT FOUND"))</f>
        <v/>
      </c>
      <c r="G95" s="12" t="n"/>
      <c r="H95" s="12" t="n"/>
      <c r="I95" s="12" t="n"/>
    </row>
    <row r="96">
      <c r="A96" s="12" t="n"/>
      <c r="B96" s="12" t="n"/>
      <c r="C96" s="12" t="n"/>
      <c r="D96" s="13">
        <f>IF($C96="","",IFERROR(INDEX(Dept_Names,MATCH($C96,Dept_Codes,0)),"NOT FOUND"))</f>
        <v/>
      </c>
      <c r="E96" s="12" t="n"/>
      <c r="F96" s="13">
        <f>IF($E96="","",IFERROR(INDEX(Emp_Names,MATCH($E96,Emp_Codes,0)),"NOT FOUND"))</f>
        <v/>
      </c>
      <c r="G96" s="12" t="n"/>
      <c r="H96" s="12" t="n"/>
      <c r="I96" s="12" t="n"/>
    </row>
    <row r="97">
      <c r="A97" s="12" t="n"/>
      <c r="B97" s="12" t="n"/>
      <c r="C97" s="12" t="n"/>
      <c r="D97" s="13">
        <f>IF($C97="","",IFERROR(INDEX(Dept_Names,MATCH($C97,Dept_Codes,0)),"NOT FOUND"))</f>
        <v/>
      </c>
      <c r="E97" s="12" t="n"/>
      <c r="F97" s="13">
        <f>IF($E97="","",IFERROR(INDEX(Emp_Names,MATCH($E97,Emp_Codes,0)),"NOT FOUND"))</f>
        <v/>
      </c>
      <c r="G97" s="12" t="n"/>
      <c r="H97" s="12" t="n"/>
      <c r="I97" s="12" t="n"/>
    </row>
    <row r="98">
      <c r="A98" s="12" t="n"/>
      <c r="B98" s="12" t="n"/>
      <c r="C98" s="12" t="n"/>
      <c r="D98" s="13">
        <f>IF($C98="","",IFERROR(INDEX(Dept_Names,MATCH($C98,Dept_Codes,0)),"NOT FOUND"))</f>
        <v/>
      </c>
      <c r="E98" s="12" t="n"/>
      <c r="F98" s="13">
        <f>IF($E98="","",IFERROR(INDEX(Emp_Names,MATCH($E98,Emp_Codes,0)),"NOT FOUND"))</f>
        <v/>
      </c>
      <c r="G98" s="12" t="n"/>
      <c r="H98" s="12" t="n"/>
      <c r="I98" s="12" t="n"/>
    </row>
    <row r="99">
      <c r="A99" s="12" t="n"/>
      <c r="B99" s="12" t="n"/>
      <c r="C99" s="12" t="n"/>
      <c r="D99" s="13">
        <f>IF($C99="","",IFERROR(INDEX(Dept_Names,MATCH($C99,Dept_Codes,0)),"NOT FOUND"))</f>
        <v/>
      </c>
      <c r="E99" s="12" t="n"/>
      <c r="F99" s="13">
        <f>IF($E99="","",IFERROR(INDEX(Emp_Names,MATCH($E99,Emp_Codes,0)),"NOT FOUND"))</f>
        <v/>
      </c>
      <c r="G99" s="12" t="n"/>
      <c r="H99" s="12" t="n"/>
      <c r="I99" s="12" t="n"/>
    </row>
    <row r="100">
      <c r="A100" s="12" t="n"/>
      <c r="B100" s="12" t="n"/>
      <c r="C100" s="12" t="n"/>
      <c r="D100" s="13">
        <f>IF($C100="","",IFERROR(INDEX(Dept_Names,MATCH($C100,Dept_Codes,0)),"NOT FOUND"))</f>
        <v/>
      </c>
      <c r="E100" s="12" t="n"/>
      <c r="F100" s="13">
        <f>IF($E100="","",IFERROR(INDEX(Emp_Names,MATCH($E100,Emp_Codes,0)),"NOT FOUND"))</f>
        <v/>
      </c>
      <c r="G100" s="12" t="n"/>
      <c r="H100" s="12" t="n"/>
      <c r="I100" s="12" t="n"/>
    </row>
    <row r="101">
      <c r="A101" s="12" t="n"/>
      <c r="B101" s="12" t="n"/>
      <c r="C101" s="12" t="n"/>
      <c r="D101" s="13">
        <f>IF($C101="","",IFERROR(INDEX(Dept_Names,MATCH($C101,Dept_Codes,0)),"NOT FOUND"))</f>
        <v/>
      </c>
      <c r="E101" s="12" t="n"/>
      <c r="F101" s="13">
        <f>IF($E101="","",IFERROR(INDEX(Emp_Names,MATCH($E101,Emp_Codes,0)),"NOT FOUND"))</f>
        <v/>
      </c>
      <c r="G101" s="12" t="n"/>
      <c r="H101" s="12" t="n"/>
      <c r="I101" s="12" t="n"/>
    </row>
    <row r="102">
      <c r="A102" s="12" t="n"/>
      <c r="B102" s="12" t="n"/>
      <c r="C102" s="12" t="n"/>
      <c r="D102" s="13">
        <f>IF($C102="","",IFERROR(INDEX(Dept_Names,MATCH($C102,Dept_Codes,0)),"NOT FOUND"))</f>
        <v/>
      </c>
      <c r="E102" s="12" t="n"/>
      <c r="F102" s="13">
        <f>IF($E102="","",IFERROR(INDEX(Emp_Names,MATCH($E102,Emp_Codes,0)),"NOT FOUND"))</f>
        <v/>
      </c>
      <c r="G102" s="12" t="n"/>
      <c r="H102" s="12" t="n"/>
      <c r="I102" s="12" t="n"/>
    </row>
    <row r="103">
      <c r="A103" s="12" t="n"/>
      <c r="B103" s="12" t="n"/>
      <c r="C103" s="12" t="n"/>
      <c r="D103" s="13">
        <f>IF($C103="","",IFERROR(INDEX(Dept_Names,MATCH($C103,Dept_Codes,0)),"NOT FOUND"))</f>
        <v/>
      </c>
      <c r="E103" s="12" t="n"/>
      <c r="F103" s="13">
        <f>IF($E103="","",IFERROR(INDEX(Emp_Names,MATCH($E103,Emp_Codes,0)),"NOT FOUND"))</f>
        <v/>
      </c>
      <c r="G103" s="12" t="n"/>
      <c r="H103" s="12" t="n"/>
      <c r="I103" s="12" t="n"/>
    </row>
    <row r="104">
      <c r="A104" s="12" t="n"/>
      <c r="B104" s="12" t="n"/>
      <c r="C104" s="12" t="n"/>
      <c r="D104" s="13">
        <f>IF($C104="","",IFERROR(INDEX(Dept_Names,MATCH($C104,Dept_Codes,0)),"NOT FOUND"))</f>
        <v/>
      </c>
      <c r="E104" s="12" t="n"/>
      <c r="F104" s="13">
        <f>IF($E104="","",IFERROR(INDEX(Emp_Names,MATCH($E104,Emp_Codes,0)),"NOT FOUND"))</f>
        <v/>
      </c>
      <c r="G104" s="12" t="n"/>
      <c r="H104" s="12" t="n"/>
      <c r="I104" s="12" t="n"/>
    </row>
    <row r="105">
      <c r="A105" s="12" t="n"/>
      <c r="B105" s="12" t="n"/>
      <c r="C105" s="12" t="n"/>
      <c r="D105" s="13">
        <f>IF($C105="","",IFERROR(INDEX(Dept_Names,MATCH($C105,Dept_Codes,0)),"NOT FOUND"))</f>
        <v/>
      </c>
      <c r="E105" s="12" t="n"/>
      <c r="F105" s="13">
        <f>IF($E105="","",IFERROR(INDEX(Emp_Names,MATCH($E105,Emp_Codes,0)),"NOT FOUND"))</f>
        <v/>
      </c>
      <c r="G105" s="12" t="n"/>
      <c r="H105" s="12" t="n"/>
      <c r="I105" s="12" t="n"/>
    </row>
    <row r="106">
      <c r="A106" s="12" t="n"/>
      <c r="B106" s="12" t="n"/>
      <c r="C106" s="12" t="n"/>
      <c r="D106" s="13">
        <f>IF($C106="","",IFERROR(INDEX(Dept_Names,MATCH($C106,Dept_Codes,0)),"NOT FOUND"))</f>
        <v/>
      </c>
      <c r="E106" s="12" t="n"/>
      <c r="F106" s="13">
        <f>IF($E106="","",IFERROR(INDEX(Emp_Names,MATCH($E106,Emp_Codes,0)),"NOT FOUND"))</f>
        <v/>
      </c>
      <c r="G106" s="12" t="n"/>
      <c r="H106" s="12" t="n"/>
      <c r="I106" s="12" t="n"/>
    </row>
    <row r="107">
      <c r="A107" s="12" t="n"/>
      <c r="B107" s="12" t="n"/>
      <c r="C107" s="12" t="n"/>
      <c r="D107" s="13">
        <f>IF($C107="","",IFERROR(INDEX(Dept_Names,MATCH($C107,Dept_Codes,0)),"NOT FOUND"))</f>
        <v/>
      </c>
      <c r="E107" s="12" t="n"/>
      <c r="F107" s="13">
        <f>IF($E107="","",IFERROR(INDEX(Emp_Names,MATCH($E107,Emp_Codes,0)),"NOT FOUND"))</f>
        <v/>
      </c>
      <c r="G107" s="12" t="n"/>
      <c r="H107" s="12" t="n"/>
      <c r="I107" s="12" t="n"/>
    </row>
    <row r="108">
      <c r="A108" s="12" t="n"/>
      <c r="B108" s="12" t="n"/>
      <c r="C108" s="12" t="n"/>
      <c r="D108" s="13">
        <f>IF($C108="","",IFERROR(INDEX(Dept_Names,MATCH($C108,Dept_Codes,0)),"NOT FOUND"))</f>
        <v/>
      </c>
      <c r="E108" s="12" t="n"/>
      <c r="F108" s="13">
        <f>IF($E108="","",IFERROR(INDEX(Emp_Names,MATCH($E108,Emp_Codes,0)),"NOT FOUND"))</f>
        <v/>
      </c>
      <c r="G108" s="12" t="n"/>
      <c r="H108" s="12" t="n"/>
      <c r="I108" s="12" t="n"/>
    </row>
    <row r="109">
      <c r="A109" s="12" t="n"/>
      <c r="B109" s="12" t="n"/>
      <c r="C109" s="12" t="n"/>
      <c r="D109" s="13">
        <f>IF($C109="","",IFERROR(INDEX(Dept_Names,MATCH($C109,Dept_Codes,0)),"NOT FOUND"))</f>
        <v/>
      </c>
      <c r="E109" s="12" t="n"/>
      <c r="F109" s="13">
        <f>IF($E109="","",IFERROR(INDEX(Emp_Names,MATCH($E109,Emp_Codes,0)),"NOT FOUND"))</f>
        <v/>
      </c>
      <c r="G109" s="12" t="n"/>
      <c r="H109" s="12" t="n"/>
      <c r="I109" s="12" t="n"/>
    </row>
    <row r="110">
      <c r="A110" s="12" t="n"/>
      <c r="B110" s="12" t="n"/>
      <c r="C110" s="12" t="n"/>
      <c r="D110" s="13">
        <f>IF($C110="","",IFERROR(INDEX(Dept_Names,MATCH($C110,Dept_Codes,0)),"NOT FOUND"))</f>
        <v/>
      </c>
      <c r="E110" s="12" t="n"/>
      <c r="F110" s="13">
        <f>IF($E110="","",IFERROR(INDEX(Emp_Names,MATCH($E110,Emp_Codes,0)),"NOT FOUND"))</f>
        <v/>
      </c>
      <c r="G110" s="12" t="n"/>
      <c r="H110" s="12" t="n"/>
      <c r="I110" s="12" t="n"/>
    </row>
    <row r="111">
      <c r="A111" s="12" t="n"/>
      <c r="B111" s="12" t="n"/>
      <c r="C111" s="12" t="n"/>
      <c r="D111" s="13">
        <f>IF($C111="","",IFERROR(INDEX(Dept_Names,MATCH($C111,Dept_Codes,0)),"NOT FOUND"))</f>
        <v/>
      </c>
      <c r="E111" s="12" t="n"/>
      <c r="F111" s="13">
        <f>IF($E111="","",IFERROR(INDEX(Emp_Names,MATCH($E111,Emp_Codes,0)),"NOT FOUND"))</f>
        <v/>
      </c>
      <c r="G111" s="12" t="n"/>
      <c r="H111" s="12" t="n"/>
      <c r="I111" s="12" t="n"/>
    </row>
    <row r="112">
      <c r="A112" s="12" t="n"/>
      <c r="B112" s="12" t="n"/>
      <c r="C112" s="12" t="n"/>
      <c r="D112" s="13">
        <f>IF($C112="","",IFERROR(INDEX(Dept_Names,MATCH($C112,Dept_Codes,0)),"NOT FOUND"))</f>
        <v/>
      </c>
      <c r="E112" s="12" t="n"/>
      <c r="F112" s="13">
        <f>IF($E112="","",IFERROR(INDEX(Emp_Names,MATCH($E112,Emp_Codes,0)),"NOT FOUND"))</f>
        <v/>
      </c>
      <c r="G112" s="12" t="n"/>
      <c r="H112" s="12" t="n"/>
      <c r="I112" s="12" t="n"/>
    </row>
    <row r="113">
      <c r="A113" s="12" t="n"/>
      <c r="B113" s="12" t="n"/>
      <c r="C113" s="12" t="n"/>
      <c r="D113" s="13">
        <f>IF($C113="","",IFERROR(INDEX(Dept_Names,MATCH($C113,Dept_Codes,0)),"NOT FOUND"))</f>
        <v/>
      </c>
      <c r="E113" s="12" t="n"/>
      <c r="F113" s="13">
        <f>IF($E113="","",IFERROR(INDEX(Emp_Names,MATCH($E113,Emp_Codes,0)),"NOT FOUND"))</f>
        <v/>
      </c>
      <c r="G113" s="12" t="n"/>
      <c r="H113" s="12" t="n"/>
      <c r="I113" s="12" t="n"/>
    </row>
    <row r="114">
      <c r="A114" s="12" t="n"/>
      <c r="B114" s="12" t="n"/>
      <c r="C114" s="12" t="n"/>
      <c r="D114" s="13">
        <f>IF($C114="","",IFERROR(INDEX(Dept_Names,MATCH($C114,Dept_Codes,0)),"NOT FOUND"))</f>
        <v/>
      </c>
      <c r="E114" s="12" t="n"/>
      <c r="F114" s="13">
        <f>IF($E114="","",IFERROR(INDEX(Emp_Names,MATCH($E114,Emp_Codes,0)),"NOT FOUND"))</f>
        <v/>
      </c>
      <c r="G114" s="12" t="n"/>
      <c r="H114" s="12" t="n"/>
      <c r="I114" s="12" t="n"/>
    </row>
    <row r="115">
      <c r="A115" s="12" t="n"/>
      <c r="B115" s="12" t="n"/>
      <c r="C115" s="12" t="n"/>
      <c r="D115" s="13">
        <f>IF($C115="","",IFERROR(INDEX(Dept_Names,MATCH($C115,Dept_Codes,0)),"NOT FOUND"))</f>
        <v/>
      </c>
      <c r="E115" s="12" t="n"/>
      <c r="F115" s="13">
        <f>IF($E115="","",IFERROR(INDEX(Emp_Names,MATCH($E115,Emp_Codes,0)),"NOT FOUND"))</f>
        <v/>
      </c>
      <c r="G115" s="12" t="n"/>
      <c r="H115" s="12" t="n"/>
      <c r="I115" s="12" t="n"/>
    </row>
    <row r="116">
      <c r="A116" s="12" t="n"/>
      <c r="B116" s="12" t="n"/>
      <c r="C116" s="12" t="n"/>
      <c r="D116" s="13">
        <f>IF($C116="","",IFERROR(INDEX(Dept_Names,MATCH($C116,Dept_Codes,0)),"NOT FOUND"))</f>
        <v/>
      </c>
      <c r="E116" s="12" t="n"/>
      <c r="F116" s="13">
        <f>IF($E116="","",IFERROR(INDEX(Emp_Names,MATCH($E116,Emp_Codes,0)),"NOT FOUND"))</f>
        <v/>
      </c>
      <c r="G116" s="12" t="n"/>
      <c r="H116" s="12" t="n"/>
      <c r="I116" s="12" t="n"/>
    </row>
    <row r="117">
      <c r="A117" s="12" t="n"/>
      <c r="B117" s="12" t="n"/>
      <c r="C117" s="12" t="n"/>
      <c r="D117" s="13">
        <f>IF($C117="","",IFERROR(INDEX(Dept_Names,MATCH($C117,Dept_Codes,0)),"NOT FOUND"))</f>
        <v/>
      </c>
      <c r="E117" s="12" t="n"/>
      <c r="F117" s="13">
        <f>IF($E117="","",IFERROR(INDEX(Emp_Names,MATCH($E117,Emp_Codes,0)),"NOT FOUND"))</f>
        <v/>
      </c>
      <c r="G117" s="12" t="n"/>
      <c r="H117" s="12" t="n"/>
      <c r="I117" s="12" t="n"/>
    </row>
    <row r="118">
      <c r="A118" s="12" t="n"/>
      <c r="B118" s="12" t="n"/>
      <c r="C118" s="12" t="n"/>
      <c r="D118" s="13">
        <f>IF($C118="","",IFERROR(INDEX(Dept_Names,MATCH($C118,Dept_Codes,0)),"NOT FOUND"))</f>
        <v/>
      </c>
      <c r="E118" s="12" t="n"/>
      <c r="F118" s="13">
        <f>IF($E118="","",IFERROR(INDEX(Emp_Names,MATCH($E118,Emp_Codes,0)),"NOT FOUND"))</f>
        <v/>
      </c>
      <c r="G118" s="12" t="n"/>
      <c r="H118" s="12" t="n"/>
      <c r="I118" s="12" t="n"/>
    </row>
    <row r="119">
      <c r="A119" s="12" t="n"/>
      <c r="B119" s="12" t="n"/>
      <c r="C119" s="12" t="n"/>
      <c r="D119" s="13">
        <f>IF($C119="","",IFERROR(INDEX(Dept_Names,MATCH($C119,Dept_Codes,0)),"NOT FOUND"))</f>
        <v/>
      </c>
      <c r="E119" s="12" t="n"/>
      <c r="F119" s="13">
        <f>IF($E119="","",IFERROR(INDEX(Emp_Names,MATCH($E119,Emp_Codes,0)),"NOT FOUND"))</f>
        <v/>
      </c>
      <c r="G119" s="12" t="n"/>
      <c r="H119" s="12" t="n"/>
      <c r="I119" s="12" t="n"/>
    </row>
    <row r="120">
      <c r="A120" s="12" t="n"/>
      <c r="B120" s="12" t="n"/>
      <c r="C120" s="12" t="n"/>
      <c r="D120" s="13">
        <f>IF($C120="","",IFERROR(INDEX(Dept_Names,MATCH($C120,Dept_Codes,0)),"NOT FOUND"))</f>
        <v/>
      </c>
      <c r="E120" s="12" t="n"/>
      <c r="F120" s="13">
        <f>IF($E120="","",IFERROR(INDEX(Emp_Names,MATCH($E120,Emp_Codes,0)),"NOT FOUND"))</f>
        <v/>
      </c>
      <c r="G120" s="12" t="n"/>
      <c r="H120" s="12" t="n"/>
      <c r="I120" s="12" t="n"/>
    </row>
    <row r="121">
      <c r="A121" s="12" t="n"/>
      <c r="B121" s="12" t="n"/>
      <c r="C121" s="12" t="n"/>
      <c r="D121" s="13">
        <f>IF($C121="","",IFERROR(INDEX(Dept_Names,MATCH($C121,Dept_Codes,0)),"NOT FOUND"))</f>
        <v/>
      </c>
      <c r="E121" s="12" t="n"/>
      <c r="F121" s="13">
        <f>IF($E121="","",IFERROR(INDEX(Emp_Names,MATCH($E121,Emp_Codes,0)),"NOT FOUND"))</f>
        <v/>
      </c>
      <c r="G121" s="12" t="n"/>
      <c r="H121" s="12" t="n"/>
      <c r="I121" s="12" t="n"/>
    </row>
    <row r="122">
      <c r="A122" s="12" t="n"/>
      <c r="B122" s="12" t="n"/>
      <c r="C122" s="12" t="n"/>
      <c r="D122" s="13">
        <f>IF($C122="","",IFERROR(INDEX(Dept_Names,MATCH($C122,Dept_Codes,0)),"NOT FOUND"))</f>
        <v/>
      </c>
      <c r="E122" s="12" t="n"/>
      <c r="F122" s="13">
        <f>IF($E122="","",IFERROR(INDEX(Emp_Names,MATCH($E122,Emp_Codes,0)),"NOT FOUND"))</f>
        <v/>
      </c>
      <c r="G122" s="12" t="n"/>
      <c r="H122" s="12" t="n"/>
      <c r="I122" s="12" t="n"/>
    </row>
    <row r="123">
      <c r="A123" s="12" t="n"/>
      <c r="B123" s="12" t="n"/>
      <c r="C123" s="12" t="n"/>
      <c r="D123" s="13">
        <f>IF($C123="","",IFERROR(INDEX(Dept_Names,MATCH($C123,Dept_Codes,0)),"NOT FOUND"))</f>
        <v/>
      </c>
      <c r="E123" s="12" t="n"/>
      <c r="F123" s="13">
        <f>IF($E123="","",IFERROR(INDEX(Emp_Names,MATCH($E123,Emp_Codes,0)),"NOT FOUND"))</f>
        <v/>
      </c>
      <c r="G123" s="12" t="n"/>
      <c r="H123" s="12" t="n"/>
      <c r="I123" s="12" t="n"/>
    </row>
    <row r="124">
      <c r="A124" s="12" t="n"/>
      <c r="B124" s="12" t="n"/>
      <c r="C124" s="12" t="n"/>
      <c r="D124" s="13">
        <f>IF($C124="","",IFERROR(INDEX(Dept_Names,MATCH($C124,Dept_Codes,0)),"NOT FOUND"))</f>
        <v/>
      </c>
      <c r="E124" s="12" t="n"/>
      <c r="F124" s="13">
        <f>IF($E124="","",IFERROR(INDEX(Emp_Names,MATCH($E124,Emp_Codes,0)),"NOT FOUND"))</f>
        <v/>
      </c>
      <c r="G124" s="12" t="n"/>
      <c r="H124" s="12" t="n"/>
      <c r="I124" s="12" t="n"/>
    </row>
    <row r="125">
      <c r="A125" s="12" t="n"/>
      <c r="B125" s="12" t="n"/>
      <c r="C125" s="12" t="n"/>
      <c r="D125" s="13">
        <f>IF($C125="","",IFERROR(INDEX(Dept_Names,MATCH($C125,Dept_Codes,0)),"NOT FOUND"))</f>
        <v/>
      </c>
      <c r="E125" s="12" t="n"/>
      <c r="F125" s="13">
        <f>IF($E125="","",IFERROR(INDEX(Emp_Names,MATCH($E125,Emp_Codes,0)),"NOT FOUND"))</f>
        <v/>
      </c>
      <c r="G125" s="12" t="n"/>
      <c r="H125" s="12" t="n"/>
      <c r="I125" s="12" t="n"/>
    </row>
    <row r="126">
      <c r="A126" s="12" t="n"/>
      <c r="B126" s="12" t="n"/>
      <c r="C126" s="12" t="n"/>
      <c r="D126" s="13">
        <f>IF($C126="","",IFERROR(INDEX(Dept_Names,MATCH($C126,Dept_Codes,0)),"NOT FOUND"))</f>
        <v/>
      </c>
      <c r="E126" s="12" t="n"/>
      <c r="F126" s="13">
        <f>IF($E126="","",IFERROR(INDEX(Emp_Names,MATCH($E126,Emp_Codes,0)),"NOT FOUND"))</f>
        <v/>
      </c>
      <c r="G126" s="12" t="n"/>
      <c r="H126" s="12" t="n"/>
      <c r="I126" s="12" t="n"/>
    </row>
    <row r="127">
      <c r="A127" s="12" t="n"/>
      <c r="B127" s="12" t="n"/>
      <c r="C127" s="12" t="n"/>
      <c r="D127" s="13">
        <f>IF($C127="","",IFERROR(INDEX(Dept_Names,MATCH($C127,Dept_Codes,0)),"NOT FOUND"))</f>
        <v/>
      </c>
      <c r="E127" s="12" t="n"/>
      <c r="F127" s="13">
        <f>IF($E127="","",IFERROR(INDEX(Emp_Names,MATCH($E127,Emp_Codes,0)),"NOT FOUND"))</f>
        <v/>
      </c>
      <c r="G127" s="12" t="n"/>
      <c r="H127" s="12" t="n"/>
      <c r="I127" s="12" t="n"/>
    </row>
    <row r="128">
      <c r="A128" s="12" t="n"/>
      <c r="B128" s="12" t="n"/>
      <c r="C128" s="12" t="n"/>
      <c r="D128" s="13">
        <f>IF($C128="","",IFERROR(INDEX(Dept_Names,MATCH($C128,Dept_Codes,0)),"NOT FOUND"))</f>
        <v/>
      </c>
      <c r="E128" s="12" t="n"/>
      <c r="F128" s="13">
        <f>IF($E128="","",IFERROR(INDEX(Emp_Names,MATCH($E128,Emp_Codes,0)),"NOT FOUND"))</f>
        <v/>
      </c>
      <c r="G128" s="12" t="n"/>
      <c r="H128" s="12" t="n"/>
      <c r="I128" s="12" t="n"/>
    </row>
    <row r="129">
      <c r="A129" s="12" t="n"/>
      <c r="B129" s="12" t="n"/>
      <c r="C129" s="12" t="n"/>
      <c r="D129" s="13">
        <f>IF($C129="","",IFERROR(INDEX(Dept_Names,MATCH($C129,Dept_Codes,0)),"NOT FOUND"))</f>
        <v/>
      </c>
      <c r="E129" s="12" t="n"/>
      <c r="F129" s="13">
        <f>IF($E129="","",IFERROR(INDEX(Emp_Names,MATCH($E129,Emp_Codes,0)),"NOT FOUND"))</f>
        <v/>
      </c>
      <c r="G129" s="12" t="n"/>
      <c r="H129" s="12" t="n"/>
      <c r="I129" s="12" t="n"/>
    </row>
    <row r="130">
      <c r="A130" s="12" t="n"/>
      <c r="B130" s="12" t="n"/>
      <c r="C130" s="12" t="n"/>
      <c r="D130" s="13">
        <f>IF($C130="","",IFERROR(INDEX(Dept_Names,MATCH($C130,Dept_Codes,0)),"NOT FOUND"))</f>
        <v/>
      </c>
      <c r="E130" s="12" t="n"/>
      <c r="F130" s="13">
        <f>IF($E130="","",IFERROR(INDEX(Emp_Names,MATCH($E130,Emp_Codes,0)),"NOT FOUND"))</f>
        <v/>
      </c>
      <c r="G130" s="12" t="n"/>
      <c r="H130" s="12" t="n"/>
      <c r="I130" s="12" t="n"/>
    </row>
    <row r="131">
      <c r="A131" s="12" t="n"/>
      <c r="B131" s="12" t="n"/>
      <c r="C131" s="12" t="n"/>
      <c r="D131" s="13">
        <f>IF($C131="","",IFERROR(INDEX(Dept_Names,MATCH($C131,Dept_Codes,0)),"NOT FOUND"))</f>
        <v/>
      </c>
      <c r="E131" s="12" t="n"/>
      <c r="F131" s="13">
        <f>IF($E131="","",IFERROR(INDEX(Emp_Names,MATCH($E131,Emp_Codes,0)),"NOT FOUND"))</f>
        <v/>
      </c>
      <c r="G131" s="12" t="n"/>
      <c r="H131" s="12" t="n"/>
      <c r="I131" s="12" t="n"/>
    </row>
    <row r="132">
      <c r="A132" s="12" t="n"/>
      <c r="B132" s="12" t="n"/>
      <c r="C132" s="12" t="n"/>
      <c r="D132" s="13">
        <f>IF($C132="","",IFERROR(INDEX(Dept_Names,MATCH($C132,Dept_Codes,0)),"NOT FOUND"))</f>
        <v/>
      </c>
      <c r="E132" s="12" t="n"/>
      <c r="F132" s="13">
        <f>IF($E132="","",IFERROR(INDEX(Emp_Names,MATCH($E132,Emp_Codes,0)),"NOT FOUND"))</f>
        <v/>
      </c>
      <c r="G132" s="12" t="n"/>
      <c r="H132" s="12" t="n"/>
      <c r="I132" s="12" t="n"/>
    </row>
    <row r="133">
      <c r="A133" s="12" t="n"/>
      <c r="B133" s="12" t="n"/>
      <c r="C133" s="12" t="n"/>
      <c r="D133" s="13">
        <f>IF($C133="","",IFERROR(INDEX(Dept_Names,MATCH($C133,Dept_Codes,0)),"NOT FOUND"))</f>
        <v/>
      </c>
      <c r="E133" s="12" t="n"/>
      <c r="F133" s="13">
        <f>IF($E133="","",IFERROR(INDEX(Emp_Names,MATCH($E133,Emp_Codes,0)),"NOT FOUND"))</f>
        <v/>
      </c>
      <c r="G133" s="12" t="n"/>
      <c r="H133" s="12" t="n"/>
      <c r="I133" s="12" t="n"/>
    </row>
    <row r="134">
      <c r="A134" s="12" t="n"/>
      <c r="B134" s="12" t="n"/>
      <c r="C134" s="12" t="n"/>
      <c r="D134" s="13">
        <f>IF($C134="","",IFERROR(INDEX(Dept_Names,MATCH($C134,Dept_Codes,0)),"NOT FOUND"))</f>
        <v/>
      </c>
      <c r="E134" s="12" t="n"/>
      <c r="F134" s="13">
        <f>IF($E134="","",IFERROR(INDEX(Emp_Names,MATCH($E134,Emp_Codes,0)),"NOT FOUND"))</f>
        <v/>
      </c>
      <c r="G134" s="12" t="n"/>
      <c r="H134" s="12" t="n"/>
      <c r="I134" s="12" t="n"/>
    </row>
    <row r="135">
      <c r="A135" s="12" t="n"/>
      <c r="B135" s="12" t="n"/>
      <c r="C135" s="12" t="n"/>
      <c r="D135" s="13">
        <f>IF($C135="","",IFERROR(INDEX(Dept_Names,MATCH($C135,Dept_Codes,0)),"NOT FOUND"))</f>
        <v/>
      </c>
      <c r="E135" s="12" t="n"/>
      <c r="F135" s="13">
        <f>IF($E135="","",IFERROR(INDEX(Emp_Names,MATCH($E135,Emp_Codes,0)),"NOT FOUND"))</f>
        <v/>
      </c>
      <c r="G135" s="12" t="n"/>
      <c r="H135" s="12" t="n"/>
      <c r="I135" s="12" t="n"/>
    </row>
    <row r="136">
      <c r="A136" s="12" t="n"/>
      <c r="B136" s="12" t="n"/>
      <c r="C136" s="12" t="n"/>
      <c r="D136" s="13">
        <f>IF($C136="","",IFERROR(INDEX(Dept_Names,MATCH($C136,Dept_Codes,0)),"NOT FOUND"))</f>
        <v/>
      </c>
      <c r="E136" s="12" t="n"/>
      <c r="F136" s="13">
        <f>IF($E136="","",IFERROR(INDEX(Emp_Names,MATCH($E136,Emp_Codes,0)),"NOT FOUND"))</f>
        <v/>
      </c>
      <c r="G136" s="12" t="n"/>
      <c r="H136" s="12" t="n"/>
      <c r="I136" s="12" t="n"/>
    </row>
    <row r="137">
      <c r="A137" s="12" t="n"/>
      <c r="B137" s="12" t="n"/>
      <c r="C137" s="12" t="n"/>
      <c r="D137" s="13">
        <f>IF($C137="","",IFERROR(INDEX(Dept_Names,MATCH($C137,Dept_Codes,0)),"NOT FOUND"))</f>
        <v/>
      </c>
      <c r="E137" s="12" t="n"/>
      <c r="F137" s="13">
        <f>IF($E137="","",IFERROR(INDEX(Emp_Names,MATCH($E137,Emp_Codes,0)),"NOT FOUND"))</f>
        <v/>
      </c>
      <c r="G137" s="12" t="n"/>
      <c r="H137" s="12" t="n"/>
      <c r="I137" s="12" t="n"/>
    </row>
    <row r="138">
      <c r="A138" s="12" t="n"/>
      <c r="B138" s="12" t="n"/>
      <c r="C138" s="12" t="n"/>
      <c r="D138" s="13">
        <f>IF($C138="","",IFERROR(INDEX(Dept_Names,MATCH($C138,Dept_Codes,0)),"NOT FOUND"))</f>
        <v/>
      </c>
      <c r="E138" s="12" t="n"/>
      <c r="F138" s="13">
        <f>IF($E138="","",IFERROR(INDEX(Emp_Names,MATCH($E138,Emp_Codes,0)),"NOT FOUND"))</f>
        <v/>
      </c>
      <c r="G138" s="12" t="n"/>
      <c r="H138" s="12" t="n"/>
      <c r="I138" s="12" t="n"/>
    </row>
    <row r="139">
      <c r="A139" s="12" t="n"/>
      <c r="B139" s="12" t="n"/>
      <c r="C139" s="12" t="n"/>
      <c r="D139" s="13">
        <f>IF($C139="","",IFERROR(INDEX(Dept_Names,MATCH($C139,Dept_Codes,0)),"NOT FOUND"))</f>
        <v/>
      </c>
      <c r="E139" s="12" t="n"/>
      <c r="F139" s="13">
        <f>IF($E139="","",IFERROR(INDEX(Emp_Names,MATCH($E139,Emp_Codes,0)),"NOT FOUND"))</f>
        <v/>
      </c>
      <c r="G139" s="12" t="n"/>
      <c r="H139" s="12" t="n"/>
      <c r="I139" s="12" t="n"/>
    </row>
    <row r="140">
      <c r="A140" s="12" t="n"/>
      <c r="B140" s="12" t="n"/>
      <c r="C140" s="12" t="n"/>
      <c r="D140" s="13">
        <f>IF($C140="","",IFERROR(INDEX(Dept_Names,MATCH($C140,Dept_Codes,0)),"NOT FOUND"))</f>
        <v/>
      </c>
      <c r="E140" s="12" t="n"/>
      <c r="F140" s="13">
        <f>IF($E140="","",IFERROR(INDEX(Emp_Names,MATCH($E140,Emp_Codes,0)),"NOT FOUND"))</f>
        <v/>
      </c>
      <c r="G140" s="12" t="n"/>
      <c r="H140" s="12" t="n"/>
      <c r="I140" s="12" t="n"/>
    </row>
    <row r="141">
      <c r="A141" s="12" t="n"/>
      <c r="B141" s="12" t="n"/>
      <c r="C141" s="12" t="n"/>
      <c r="D141" s="13">
        <f>IF($C141="","",IFERROR(INDEX(Dept_Names,MATCH($C141,Dept_Codes,0)),"NOT FOUND"))</f>
        <v/>
      </c>
      <c r="E141" s="12" t="n"/>
      <c r="F141" s="13">
        <f>IF($E141="","",IFERROR(INDEX(Emp_Names,MATCH($E141,Emp_Codes,0)),"NOT FOUND"))</f>
        <v/>
      </c>
      <c r="G141" s="12" t="n"/>
      <c r="H141" s="12" t="n"/>
      <c r="I141" s="12" t="n"/>
    </row>
    <row r="142">
      <c r="A142" s="12" t="n"/>
      <c r="B142" s="12" t="n"/>
      <c r="C142" s="12" t="n"/>
      <c r="D142" s="13">
        <f>IF($C142="","",IFERROR(INDEX(Dept_Names,MATCH($C142,Dept_Codes,0)),"NOT FOUND"))</f>
        <v/>
      </c>
      <c r="E142" s="12" t="n"/>
      <c r="F142" s="13">
        <f>IF($E142="","",IFERROR(INDEX(Emp_Names,MATCH($E142,Emp_Codes,0)),"NOT FOUND"))</f>
        <v/>
      </c>
      <c r="G142" s="12" t="n"/>
      <c r="H142" s="12" t="n"/>
      <c r="I142" s="12" t="n"/>
    </row>
    <row r="143">
      <c r="A143" s="12" t="n"/>
      <c r="B143" s="12" t="n"/>
      <c r="C143" s="12" t="n"/>
      <c r="D143" s="13">
        <f>IF($C143="","",IFERROR(INDEX(Dept_Names,MATCH($C143,Dept_Codes,0)),"NOT FOUND"))</f>
        <v/>
      </c>
      <c r="E143" s="12" t="n"/>
      <c r="F143" s="13">
        <f>IF($E143="","",IFERROR(INDEX(Emp_Names,MATCH($E143,Emp_Codes,0)),"NOT FOUND"))</f>
        <v/>
      </c>
      <c r="G143" s="12" t="n"/>
      <c r="H143" s="12" t="n"/>
      <c r="I143" s="12" t="n"/>
    </row>
    <row r="144">
      <c r="A144" s="12" t="n"/>
      <c r="B144" s="12" t="n"/>
      <c r="C144" s="12" t="n"/>
      <c r="D144" s="13">
        <f>IF($C144="","",IFERROR(INDEX(Dept_Names,MATCH($C144,Dept_Codes,0)),"NOT FOUND"))</f>
        <v/>
      </c>
      <c r="E144" s="12" t="n"/>
      <c r="F144" s="13">
        <f>IF($E144="","",IFERROR(INDEX(Emp_Names,MATCH($E144,Emp_Codes,0)),"NOT FOUND"))</f>
        <v/>
      </c>
      <c r="G144" s="12" t="n"/>
      <c r="H144" s="12" t="n"/>
      <c r="I144" s="12" t="n"/>
    </row>
    <row r="145">
      <c r="A145" s="12" t="n"/>
      <c r="B145" s="12" t="n"/>
      <c r="C145" s="12" t="n"/>
      <c r="D145" s="13">
        <f>IF($C145="","",IFERROR(INDEX(Dept_Names,MATCH($C145,Dept_Codes,0)),"NOT FOUND"))</f>
        <v/>
      </c>
      <c r="E145" s="12" t="n"/>
      <c r="F145" s="13">
        <f>IF($E145="","",IFERROR(INDEX(Emp_Names,MATCH($E145,Emp_Codes,0)),"NOT FOUND"))</f>
        <v/>
      </c>
      <c r="G145" s="12" t="n"/>
      <c r="H145" s="12" t="n"/>
      <c r="I145" s="12" t="n"/>
    </row>
    <row r="146">
      <c r="A146" s="12" t="n"/>
      <c r="B146" s="12" t="n"/>
      <c r="C146" s="12" t="n"/>
      <c r="D146" s="13">
        <f>IF($C146="","",IFERROR(INDEX(Dept_Names,MATCH($C146,Dept_Codes,0)),"NOT FOUND"))</f>
        <v/>
      </c>
      <c r="E146" s="12" t="n"/>
      <c r="F146" s="13">
        <f>IF($E146="","",IFERROR(INDEX(Emp_Names,MATCH($E146,Emp_Codes,0)),"NOT FOUND"))</f>
        <v/>
      </c>
      <c r="G146" s="12" t="n"/>
      <c r="H146" s="12" t="n"/>
      <c r="I146" s="12" t="n"/>
    </row>
    <row r="147">
      <c r="A147" s="12" t="n"/>
      <c r="B147" s="12" t="n"/>
      <c r="C147" s="12" t="n"/>
      <c r="D147" s="13">
        <f>IF($C147="","",IFERROR(INDEX(Dept_Names,MATCH($C147,Dept_Codes,0)),"NOT FOUND"))</f>
        <v/>
      </c>
      <c r="E147" s="12" t="n"/>
      <c r="F147" s="13">
        <f>IF($E147="","",IFERROR(INDEX(Emp_Names,MATCH($E147,Emp_Codes,0)),"NOT FOUND"))</f>
        <v/>
      </c>
      <c r="G147" s="12" t="n"/>
      <c r="H147" s="12" t="n"/>
      <c r="I147" s="12" t="n"/>
    </row>
    <row r="148">
      <c r="A148" s="12" t="n"/>
      <c r="B148" s="12" t="n"/>
      <c r="C148" s="12" t="n"/>
      <c r="D148" s="13">
        <f>IF($C148="","",IFERROR(INDEX(Dept_Names,MATCH($C148,Dept_Codes,0)),"NOT FOUND"))</f>
        <v/>
      </c>
      <c r="E148" s="12" t="n"/>
      <c r="F148" s="13">
        <f>IF($E148="","",IFERROR(INDEX(Emp_Names,MATCH($E148,Emp_Codes,0)),"NOT FOUND"))</f>
        <v/>
      </c>
      <c r="G148" s="12" t="n"/>
      <c r="H148" s="12" t="n"/>
      <c r="I148" s="12" t="n"/>
    </row>
    <row r="149">
      <c r="A149" s="12" t="n"/>
      <c r="B149" s="12" t="n"/>
      <c r="C149" s="12" t="n"/>
      <c r="D149" s="13">
        <f>IF($C149="","",IFERROR(INDEX(Dept_Names,MATCH($C149,Dept_Codes,0)),"NOT FOUND"))</f>
        <v/>
      </c>
      <c r="E149" s="12" t="n"/>
      <c r="F149" s="13">
        <f>IF($E149="","",IFERROR(INDEX(Emp_Names,MATCH($E149,Emp_Codes,0)),"NOT FOUND"))</f>
        <v/>
      </c>
      <c r="G149" s="12" t="n"/>
      <c r="H149" s="12" t="n"/>
      <c r="I149" s="12" t="n"/>
    </row>
    <row r="150">
      <c r="A150" s="12" t="n"/>
      <c r="B150" s="12" t="n"/>
      <c r="C150" s="12" t="n"/>
      <c r="D150" s="13">
        <f>IF($C150="","",IFERROR(INDEX(Dept_Names,MATCH($C150,Dept_Codes,0)),"NOT FOUND"))</f>
        <v/>
      </c>
      <c r="E150" s="12" t="n"/>
      <c r="F150" s="13">
        <f>IF($E150="","",IFERROR(INDEX(Emp_Names,MATCH($E150,Emp_Codes,0)),"NOT FOUND"))</f>
        <v/>
      </c>
      <c r="G150" s="12" t="n"/>
      <c r="H150" s="12" t="n"/>
      <c r="I150" s="12" t="n"/>
    </row>
    <row r="151">
      <c r="A151" s="12" t="n"/>
      <c r="B151" s="12" t="n"/>
      <c r="C151" s="12" t="n"/>
      <c r="D151" s="13">
        <f>IF($C151="","",IFERROR(INDEX(Dept_Names,MATCH($C151,Dept_Codes,0)),"NOT FOUND"))</f>
        <v/>
      </c>
      <c r="E151" s="12" t="n"/>
      <c r="F151" s="13">
        <f>IF($E151="","",IFERROR(INDEX(Emp_Names,MATCH($E151,Emp_Codes,0)),"NOT FOUND"))</f>
        <v/>
      </c>
      <c r="G151" s="12" t="n"/>
      <c r="H151" s="12" t="n"/>
      <c r="I151" s="12" t="n"/>
    </row>
    <row r="152">
      <c r="A152" s="12" t="n"/>
      <c r="B152" s="12" t="n"/>
      <c r="C152" s="12" t="n"/>
      <c r="D152" s="13">
        <f>IF($C152="","",IFERROR(INDEX(Dept_Names,MATCH($C152,Dept_Codes,0)),"NOT FOUND"))</f>
        <v/>
      </c>
      <c r="E152" s="12" t="n"/>
      <c r="F152" s="13">
        <f>IF($E152="","",IFERROR(INDEX(Emp_Names,MATCH($E152,Emp_Codes,0)),"NOT FOUND"))</f>
        <v/>
      </c>
      <c r="G152" s="12" t="n"/>
      <c r="H152" s="12" t="n"/>
      <c r="I152" s="12" t="n"/>
    </row>
    <row r="153">
      <c r="A153" s="12" t="n"/>
      <c r="B153" s="12" t="n"/>
      <c r="C153" s="12" t="n"/>
      <c r="D153" s="13">
        <f>IF($C153="","",IFERROR(INDEX(Dept_Names,MATCH($C153,Dept_Codes,0)),"NOT FOUND"))</f>
        <v/>
      </c>
      <c r="E153" s="12" t="n"/>
      <c r="F153" s="13">
        <f>IF($E153="","",IFERROR(INDEX(Emp_Names,MATCH($E153,Emp_Codes,0)),"NOT FOUND"))</f>
        <v/>
      </c>
      <c r="G153" s="12" t="n"/>
      <c r="H153" s="12" t="n"/>
      <c r="I153" s="12" t="n"/>
    </row>
    <row r="154">
      <c r="A154" s="12" t="n"/>
      <c r="B154" s="12" t="n"/>
      <c r="C154" s="12" t="n"/>
      <c r="D154" s="13">
        <f>IF($C154="","",IFERROR(INDEX(Dept_Names,MATCH($C154,Dept_Codes,0)),"NOT FOUND"))</f>
        <v/>
      </c>
      <c r="E154" s="12" t="n"/>
      <c r="F154" s="13">
        <f>IF($E154="","",IFERROR(INDEX(Emp_Names,MATCH($E154,Emp_Codes,0)),"NOT FOUND"))</f>
        <v/>
      </c>
      <c r="G154" s="12" t="n"/>
      <c r="H154" s="12" t="n"/>
      <c r="I154" s="12" t="n"/>
    </row>
    <row r="155">
      <c r="A155" s="12" t="n"/>
      <c r="B155" s="12" t="n"/>
      <c r="C155" s="12" t="n"/>
      <c r="D155" s="13">
        <f>IF($C155="","",IFERROR(INDEX(Dept_Names,MATCH($C155,Dept_Codes,0)),"NOT FOUND"))</f>
        <v/>
      </c>
      <c r="E155" s="12" t="n"/>
      <c r="F155" s="13">
        <f>IF($E155="","",IFERROR(INDEX(Emp_Names,MATCH($E155,Emp_Codes,0)),"NOT FOUND"))</f>
        <v/>
      </c>
      <c r="G155" s="12" t="n"/>
      <c r="H155" s="12" t="n"/>
      <c r="I155" s="12" t="n"/>
    </row>
    <row r="156">
      <c r="A156" s="12" t="n"/>
      <c r="B156" s="12" t="n"/>
      <c r="C156" s="12" t="n"/>
      <c r="D156" s="13">
        <f>IF($C156="","",IFERROR(INDEX(Dept_Names,MATCH($C156,Dept_Codes,0)),"NOT FOUND"))</f>
        <v/>
      </c>
      <c r="E156" s="12" t="n"/>
      <c r="F156" s="13">
        <f>IF($E156="","",IFERROR(INDEX(Emp_Names,MATCH($E156,Emp_Codes,0)),"NOT FOUND"))</f>
        <v/>
      </c>
      <c r="G156" s="12" t="n"/>
      <c r="H156" s="12" t="n"/>
      <c r="I156" s="12" t="n"/>
    </row>
    <row r="157">
      <c r="A157" s="12" t="n"/>
      <c r="B157" s="12" t="n"/>
      <c r="C157" s="12" t="n"/>
      <c r="D157" s="13">
        <f>IF($C157="","",IFERROR(INDEX(Dept_Names,MATCH($C157,Dept_Codes,0)),"NOT FOUND"))</f>
        <v/>
      </c>
      <c r="E157" s="12" t="n"/>
      <c r="F157" s="13">
        <f>IF($E157="","",IFERROR(INDEX(Emp_Names,MATCH($E157,Emp_Codes,0)),"NOT FOUND"))</f>
        <v/>
      </c>
      <c r="G157" s="12" t="n"/>
      <c r="H157" s="12" t="n"/>
      <c r="I157" s="12" t="n"/>
    </row>
    <row r="158">
      <c r="A158" s="12" t="n"/>
      <c r="B158" s="12" t="n"/>
      <c r="C158" s="12" t="n"/>
      <c r="D158" s="13">
        <f>IF($C158="","",IFERROR(INDEX(Dept_Names,MATCH($C158,Dept_Codes,0)),"NOT FOUND"))</f>
        <v/>
      </c>
      <c r="E158" s="12" t="n"/>
      <c r="F158" s="13">
        <f>IF($E158="","",IFERROR(INDEX(Emp_Names,MATCH($E158,Emp_Codes,0)),"NOT FOUND"))</f>
        <v/>
      </c>
      <c r="G158" s="12" t="n"/>
      <c r="H158" s="12" t="n"/>
      <c r="I158" s="12" t="n"/>
    </row>
    <row r="159">
      <c r="A159" s="12" t="n"/>
      <c r="B159" s="12" t="n"/>
      <c r="C159" s="12" t="n"/>
      <c r="D159" s="13">
        <f>IF($C159="","",IFERROR(INDEX(Dept_Names,MATCH($C159,Dept_Codes,0)),"NOT FOUND"))</f>
        <v/>
      </c>
      <c r="E159" s="12" t="n"/>
      <c r="F159" s="13">
        <f>IF($E159="","",IFERROR(INDEX(Emp_Names,MATCH($E159,Emp_Codes,0)),"NOT FOUND"))</f>
        <v/>
      </c>
      <c r="G159" s="12" t="n"/>
      <c r="H159" s="12" t="n"/>
      <c r="I159" s="12" t="n"/>
    </row>
    <row r="160">
      <c r="A160" s="12" t="n"/>
      <c r="B160" s="12" t="n"/>
      <c r="C160" s="12" t="n"/>
      <c r="D160" s="13">
        <f>IF($C160="","",IFERROR(INDEX(Dept_Names,MATCH($C160,Dept_Codes,0)),"NOT FOUND"))</f>
        <v/>
      </c>
      <c r="E160" s="12" t="n"/>
      <c r="F160" s="13">
        <f>IF($E160="","",IFERROR(INDEX(Emp_Names,MATCH($E160,Emp_Codes,0)),"NOT FOUND"))</f>
        <v/>
      </c>
      <c r="G160" s="12" t="n"/>
      <c r="H160" s="12" t="n"/>
      <c r="I160" s="12" t="n"/>
    </row>
    <row r="161">
      <c r="A161" s="12" t="n"/>
      <c r="B161" s="12" t="n"/>
      <c r="C161" s="12" t="n"/>
      <c r="D161" s="13">
        <f>IF($C161="","",IFERROR(INDEX(Dept_Names,MATCH($C161,Dept_Codes,0)),"NOT FOUND"))</f>
        <v/>
      </c>
      <c r="E161" s="12" t="n"/>
      <c r="F161" s="13">
        <f>IF($E161="","",IFERROR(INDEX(Emp_Names,MATCH($E161,Emp_Codes,0)),"NOT FOUND"))</f>
        <v/>
      </c>
      <c r="G161" s="12" t="n"/>
      <c r="H161" s="12" t="n"/>
      <c r="I161" s="12" t="n"/>
    </row>
    <row r="162">
      <c r="A162" s="12" t="n"/>
      <c r="B162" s="12" t="n"/>
      <c r="C162" s="12" t="n"/>
      <c r="D162" s="13">
        <f>IF($C162="","",IFERROR(INDEX(Dept_Names,MATCH($C162,Dept_Codes,0)),"NOT FOUND"))</f>
        <v/>
      </c>
      <c r="E162" s="12" t="n"/>
      <c r="F162" s="13">
        <f>IF($E162="","",IFERROR(INDEX(Emp_Names,MATCH($E162,Emp_Codes,0)),"NOT FOUND"))</f>
        <v/>
      </c>
      <c r="G162" s="12" t="n"/>
      <c r="H162" s="12" t="n"/>
      <c r="I162" s="12" t="n"/>
    </row>
    <row r="163">
      <c r="A163" s="12" t="n"/>
      <c r="B163" s="12" t="n"/>
      <c r="C163" s="12" t="n"/>
      <c r="D163" s="13">
        <f>IF($C163="","",IFERROR(INDEX(Dept_Names,MATCH($C163,Dept_Codes,0)),"NOT FOUND"))</f>
        <v/>
      </c>
      <c r="E163" s="12" t="n"/>
      <c r="F163" s="13">
        <f>IF($E163="","",IFERROR(INDEX(Emp_Names,MATCH($E163,Emp_Codes,0)),"NOT FOUND"))</f>
        <v/>
      </c>
      <c r="G163" s="12" t="n"/>
      <c r="H163" s="12" t="n"/>
      <c r="I163" s="12" t="n"/>
    </row>
    <row r="164">
      <c r="A164" s="12" t="n"/>
      <c r="B164" s="12" t="n"/>
      <c r="C164" s="12" t="n"/>
      <c r="D164" s="13">
        <f>IF($C164="","",IFERROR(INDEX(Dept_Names,MATCH($C164,Dept_Codes,0)),"NOT FOUND"))</f>
        <v/>
      </c>
      <c r="E164" s="12" t="n"/>
      <c r="F164" s="13">
        <f>IF($E164="","",IFERROR(INDEX(Emp_Names,MATCH($E164,Emp_Codes,0)),"NOT FOUND"))</f>
        <v/>
      </c>
      <c r="G164" s="12" t="n"/>
      <c r="H164" s="12" t="n"/>
      <c r="I164" s="12" t="n"/>
    </row>
    <row r="165">
      <c r="A165" s="12" t="n"/>
      <c r="B165" s="12" t="n"/>
      <c r="C165" s="12" t="n"/>
      <c r="D165" s="13">
        <f>IF($C165="","",IFERROR(INDEX(Dept_Names,MATCH($C165,Dept_Codes,0)),"NOT FOUND"))</f>
        <v/>
      </c>
      <c r="E165" s="12" t="n"/>
      <c r="F165" s="13">
        <f>IF($E165="","",IFERROR(INDEX(Emp_Names,MATCH($E165,Emp_Codes,0)),"NOT FOUND"))</f>
        <v/>
      </c>
      <c r="G165" s="12" t="n"/>
      <c r="H165" s="12" t="n"/>
      <c r="I165" s="12" t="n"/>
    </row>
    <row r="166">
      <c r="A166" s="12" t="n"/>
      <c r="B166" s="12" t="n"/>
      <c r="C166" s="12" t="n"/>
      <c r="D166" s="13">
        <f>IF($C166="","",IFERROR(INDEX(Dept_Names,MATCH($C166,Dept_Codes,0)),"NOT FOUND"))</f>
        <v/>
      </c>
      <c r="E166" s="12" t="n"/>
      <c r="F166" s="13">
        <f>IF($E166="","",IFERROR(INDEX(Emp_Names,MATCH($E166,Emp_Codes,0)),"NOT FOUND"))</f>
        <v/>
      </c>
      <c r="G166" s="12" t="n"/>
      <c r="H166" s="12" t="n"/>
      <c r="I166" s="12" t="n"/>
    </row>
    <row r="167">
      <c r="A167" s="12" t="n"/>
      <c r="B167" s="12" t="n"/>
      <c r="C167" s="12" t="n"/>
      <c r="D167" s="13">
        <f>IF($C167="","",IFERROR(INDEX(Dept_Names,MATCH($C167,Dept_Codes,0)),"NOT FOUND"))</f>
        <v/>
      </c>
      <c r="E167" s="12" t="n"/>
      <c r="F167" s="13">
        <f>IF($E167="","",IFERROR(INDEX(Emp_Names,MATCH($E167,Emp_Codes,0)),"NOT FOUND"))</f>
        <v/>
      </c>
      <c r="G167" s="12" t="n"/>
      <c r="H167" s="12" t="n"/>
      <c r="I167" s="12" t="n"/>
    </row>
    <row r="168">
      <c r="A168" s="12" t="n"/>
      <c r="B168" s="12" t="n"/>
      <c r="C168" s="12" t="n"/>
      <c r="D168" s="13">
        <f>IF($C168="","",IFERROR(INDEX(Dept_Names,MATCH($C168,Dept_Codes,0)),"NOT FOUND"))</f>
        <v/>
      </c>
      <c r="E168" s="12" t="n"/>
      <c r="F168" s="13">
        <f>IF($E168="","",IFERROR(INDEX(Emp_Names,MATCH($E168,Emp_Codes,0)),"NOT FOUND"))</f>
        <v/>
      </c>
      <c r="G168" s="12" t="n"/>
      <c r="H168" s="12" t="n"/>
      <c r="I168" s="12" t="n"/>
    </row>
    <row r="169">
      <c r="A169" s="12" t="n"/>
      <c r="B169" s="12" t="n"/>
      <c r="C169" s="12" t="n"/>
      <c r="D169" s="13">
        <f>IF($C169="","",IFERROR(INDEX(Dept_Names,MATCH($C169,Dept_Codes,0)),"NOT FOUND"))</f>
        <v/>
      </c>
      <c r="E169" s="12" t="n"/>
      <c r="F169" s="13">
        <f>IF($E169="","",IFERROR(INDEX(Emp_Names,MATCH($E169,Emp_Codes,0)),"NOT FOUND"))</f>
        <v/>
      </c>
      <c r="G169" s="12" t="n"/>
      <c r="H169" s="12" t="n"/>
      <c r="I169" s="12" t="n"/>
    </row>
    <row r="170">
      <c r="A170" s="12" t="n"/>
      <c r="B170" s="12" t="n"/>
      <c r="C170" s="12" t="n"/>
      <c r="D170" s="13">
        <f>IF($C170="","",IFERROR(INDEX(Dept_Names,MATCH($C170,Dept_Codes,0)),"NOT FOUND"))</f>
        <v/>
      </c>
      <c r="E170" s="12" t="n"/>
      <c r="F170" s="13">
        <f>IF($E170="","",IFERROR(INDEX(Emp_Names,MATCH($E170,Emp_Codes,0)),"NOT FOUND"))</f>
        <v/>
      </c>
      <c r="G170" s="12" t="n"/>
      <c r="H170" s="12" t="n"/>
      <c r="I170" s="12" t="n"/>
    </row>
    <row r="171">
      <c r="A171" s="12" t="n"/>
      <c r="B171" s="12" t="n"/>
      <c r="C171" s="12" t="n"/>
      <c r="D171" s="13">
        <f>IF($C171="","",IFERROR(INDEX(Dept_Names,MATCH($C171,Dept_Codes,0)),"NOT FOUND"))</f>
        <v/>
      </c>
      <c r="E171" s="12" t="n"/>
      <c r="F171" s="13">
        <f>IF($E171="","",IFERROR(INDEX(Emp_Names,MATCH($E171,Emp_Codes,0)),"NOT FOUND"))</f>
        <v/>
      </c>
      <c r="G171" s="12" t="n"/>
      <c r="H171" s="12" t="n"/>
      <c r="I171" s="12" t="n"/>
    </row>
    <row r="172">
      <c r="A172" s="12" t="n"/>
      <c r="B172" s="12" t="n"/>
      <c r="C172" s="12" t="n"/>
      <c r="D172" s="13">
        <f>IF($C172="","",IFERROR(INDEX(Dept_Names,MATCH($C172,Dept_Codes,0)),"NOT FOUND"))</f>
        <v/>
      </c>
      <c r="E172" s="12" t="n"/>
      <c r="F172" s="13">
        <f>IF($E172="","",IFERROR(INDEX(Emp_Names,MATCH($E172,Emp_Codes,0)),"NOT FOUND"))</f>
        <v/>
      </c>
      <c r="G172" s="12" t="n"/>
      <c r="H172" s="12" t="n"/>
      <c r="I172" s="12" t="n"/>
    </row>
    <row r="173">
      <c r="A173" s="12" t="n"/>
      <c r="B173" s="12" t="n"/>
      <c r="C173" s="12" t="n"/>
      <c r="D173" s="13">
        <f>IF($C173="","",IFERROR(INDEX(Dept_Names,MATCH($C173,Dept_Codes,0)),"NOT FOUND"))</f>
        <v/>
      </c>
      <c r="E173" s="12" t="n"/>
      <c r="F173" s="13">
        <f>IF($E173="","",IFERROR(INDEX(Emp_Names,MATCH($E173,Emp_Codes,0)),"NOT FOUND"))</f>
        <v/>
      </c>
      <c r="G173" s="12" t="n"/>
      <c r="H173" s="12" t="n"/>
      <c r="I173" s="12" t="n"/>
    </row>
    <row r="174">
      <c r="A174" s="12" t="n"/>
      <c r="B174" s="12" t="n"/>
      <c r="C174" s="12" t="n"/>
      <c r="D174" s="13">
        <f>IF($C174="","",IFERROR(INDEX(Dept_Names,MATCH($C174,Dept_Codes,0)),"NOT FOUND"))</f>
        <v/>
      </c>
      <c r="E174" s="12" t="n"/>
      <c r="F174" s="13">
        <f>IF($E174="","",IFERROR(INDEX(Emp_Names,MATCH($E174,Emp_Codes,0)),"NOT FOUND"))</f>
        <v/>
      </c>
      <c r="G174" s="12" t="n"/>
      <c r="H174" s="12" t="n"/>
      <c r="I174" s="12" t="n"/>
    </row>
    <row r="175">
      <c r="A175" s="12" t="n"/>
      <c r="B175" s="12" t="n"/>
      <c r="C175" s="12" t="n"/>
      <c r="D175" s="13">
        <f>IF($C175="","",IFERROR(INDEX(Dept_Names,MATCH($C175,Dept_Codes,0)),"NOT FOUND"))</f>
        <v/>
      </c>
      <c r="E175" s="12" t="n"/>
      <c r="F175" s="13">
        <f>IF($E175="","",IFERROR(INDEX(Emp_Names,MATCH($E175,Emp_Codes,0)),"NOT FOUND"))</f>
        <v/>
      </c>
      <c r="G175" s="12" t="n"/>
      <c r="H175" s="12" t="n"/>
      <c r="I175" s="12" t="n"/>
    </row>
    <row r="176">
      <c r="A176" s="12" t="n"/>
      <c r="B176" s="12" t="n"/>
      <c r="C176" s="12" t="n"/>
      <c r="D176" s="13">
        <f>IF($C176="","",IFERROR(INDEX(Dept_Names,MATCH($C176,Dept_Codes,0)),"NOT FOUND"))</f>
        <v/>
      </c>
      <c r="E176" s="12" t="n"/>
      <c r="F176" s="13">
        <f>IF($E176="","",IFERROR(INDEX(Emp_Names,MATCH($E176,Emp_Codes,0)),"NOT FOUND"))</f>
        <v/>
      </c>
      <c r="G176" s="12" t="n"/>
      <c r="H176" s="12" t="n"/>
      <c r="I176" s="12" t="n"/>
    </row>
    <row r="177">
      <c r="A177" s="12" t="n"/>
      <c r="B177" s="12" t="n"/>
      <c r="C177" s="12" t="n"/>
      <c r="D177" s="13">
        <f>IF($C177="","",IFERROR(INDEX(Dept_Names,MATCH($C177,Dept_Codes,0)),"NOT FOUND"))</f>
        <v/>
      </c>
      <c r="E177" s="12" t="n"/>
      <c r="F177" s="13">
        <f>IF($E177="","",IFERROR(INDEX(Emp_Names,MATCH($E177,Emp_Codes,0)),"NOT FOUND"))</f>
        <v/>
      </c>
      <c r="G177" s="12" t="n"/>
      <c r="H177" s="12" t="n"/>
      <c r="I177" s="12" t="n"/>
    </row>
    <row r="178">
      <c r="A178" s="12" t="n"/>
      <c r="B178" s="12" t="n"/>
      <c r="C178" s="12" t="n"/>
      <c r="D178" s="13">
        <f>IF($C178="","",IFERROR(INDEX(Dept_Names,MATCH($C178,Dept_Codes,0)),"NOT FOUND"))</f>
        <v/>
      </c>
      <c r="E178" s="12" t="n"/>
      <c r="F178" s="13">
        <f>IF($E178="","",IFERROR(INDEX(Emp_Names,MATCH($E178,Emp_Codes,0)),"NOT FOUND"))</f>
        <v/>
      </c>
      <c r="G178" s="12" t="n"/>
      <c r="H178" s="12" t="n"/>
      <c r="I178" s="12" t="n"/>
    </row>
    <row r="179">
      <c r="A179" s="12" t="n"/>
      <c r="B179" s="12" t="n"/>
      <c r="C179" s="12" t="n"/>
      <c r="D179" s="13">
        <f>IF($C179="","",IFERROR(INDEX(Dept_Names,MATCH($C179,Dept_Codes,0)),"NOT FOUND"))</f>
        <v/>
      </c>
      <c r="E179" s="12" t="n"/>
      <c r="F179" s="13">
        <f>IF($E179="","",IFERROR(INDEX(Emp_Names,MATCH($E179,Emp_Codes,0)),"NOT FOUND"))</f>
        <v/>
      </c>
      <c r="G179" s="12" t="n"/>
      <c r="H179" s="12" t="n"/>
      <c r="I179" s="12" t="n"/>
    </row>
    <row r="180">
      <c r="A180" s="12" t="n"/>
      <c r="B180" s="12" t="n"/>
      <c r="C180" s="12" t="n"/>
      <c r="D180" s="13">
        <f>IF($C180="","",IFERROR(INDEX(Dept_Names,MATCH($C180,Dept_Codes,0)),"NOT FOUND"))</f>
        <v/>
      </c>
      <c r="E180" s="12" t="n"/>
      <c r="F180" s="13">
        <f>IF($E180="","",IFERROR(INDEX(Emp_Names,MATCH($E180,Emp_Codes,0)),"NOT FOUND"))</f>
        <v/>
      </c>
      <c r="G180" s="12" t="n"/>
      <c r="H180" s="12" t="n"/>
      <c r="I180" s="12" t="n"/>
    </row>
    <row r="181">
      <c r="A181" s="12" t="n"/>
      <c r="B181" s="12" t="n"/>
      <c r="C181" s="12" t="n"/>
      <c r="D181" s="13">
        <f>IF($C181="","",IFERROR(INDEX(Dept_Names,MATCH($C181,Dept_Codes,0)),"NOT FOUND"))</f>
        <v/>
      </c>
      <c r="E181" s="12" t="n"/>
      <c r="F181" s="13">
        <f>IF($E181="","",IFERROR(INDEX(Emp_Names,MATCH($E181,Emp_Codes,0)),"NOT FOUND"))</f>
        <v/>
      </c>
      <c r="G181" s="12" t="n"/>
      <c r="H181" s="12" t="n"/>
      <c r="I181" s="12" t="n"/>
    </row>
    <row r="182">
      <c r="A182" s="12" t="n"/>
      <c r="B182" s="12" t="n"/>
      <c r="C182" s="12" t="n"/>
      <c r="D182" s="13">
        <f>IF($C182="","",IFERROR(INDEX(Dept_Names,MATCH($C182,Dept_Codes,0)),"NOT FOUND"))</f>
        <v/>
      </c>
      <c r="E182" s="12" t="n"/>
      <c r="F182" s="13">
        <f>IF($E182="","",IFERROR(INDEX(Emp_Names,MATCH($E182,Emp_Codes,0)),"NOT FOUND"))</f>
        <v/>
      </c>
      <c r="G182" s="12" t="n"/>
      <c r="H182" s="12" t="n"/>
      <c r="I182" s="12" t="n"/>
    </row>
    <row r="183">
      <c r="A183" s="12" t="n"/>
      <c r="B183" s="12" t="n"/>
      <c r="C183" s="12" t="n"/>
      <c r="D183" s="13">
        <f>IF($C183="","",IFERROR(INDEX(Dept_Names,MATCH($C183,Dept_Codes,0)),"NOT FOUND"))</f>
        <v/>
      </c>
      <c r="E183" s="12" t="n"/>
      <c r="F183" s="13">
        <f>IF($E183="","",IFERROR(INDEX(Emp_Names,MATCH($E183,Emp_Codes,0)),"NOT FOUND"))</f>
        <v/>
      </c>
      <c r="G183" s="12" t="n"/>
      <c r="H183" s="12" t="n"/>
      <c r="I183" s="12" t="n"/>
    </row>
    <row r="184">
      <c r="A184" s="12" t="n"/>
      <c r="B184" s="12" t="n"/>
      <c r="C184" s="12" t="n"/>
      <c r="D184" s="13">
        <f>IF($C184="","",IFERROR(INDEX(Dept_Names,MATCH($C184,Dept_Codes,0)),"NOT FOUND"))</f>
        <v/>
      </c>
      <c r="E184" s="12" t="n"/>
      <c r="F184" s="13">
        <f>IF($E184="","",IFERROR(INDEX(Emp_Names,MATCH($E184,Emp_Codes,0)),"NOT FOUND"))</f>
        <v/>
      </c>
      <c r="G184" s="12" t="n"/>
      <c r="H184" s="12" t="n"/>
      <c r="I184" s="12" t="n"/>
    </row>
    <row r="185">
      <c r="A185" s="12" t="n"/>
      <c r="B185" s="12" t="n"/>
      <c r="C185" s="12" t="n"/>
      <c r="D185" s="13">
        <f>IF($C185="","",IFERROR(INDEX(Dept_Names,MATCH($C185,Dept_Codes,0)),"NOT FOUND"))</f>
        <v/>
      </c>
      <c r="E185" s="12" t="n"/>
      <c r="F185" s="13">
        <f>IF($E185="","",IFERROR(INDEX(Emp_Names,MATCH($E185,Emp_Codes,0)),"NOT FOUND"))</f>
        <v/>
      </c>
      <c r="G185" s="12" t="n"/>
      <c r="H185" s="12" t="n"/>
      <c r="I185" s="12" t="n"/>
    </row>
    <row r="186">
      <c r="A186" s="12" t="n"/>
      <c r="B186" s="12" t="n"/>
      <c r="C186" s="12" t="n"/>
      <c r="D186" s="13">
        <f>IF($C186="","",IFERROR(INDEX(Dept_Names,MATCH($C186,Dept_Codes,0)),"NOT FOUND"))</f>
        <v/>
      </c>
      <c r="E186" s="12" t="n"/>
      <c r="F186" s="13">
        <f>IF($E186="","",IFERROR(INDEX(Emp_Names,MATCH($E186,Emp_Codes,0)),"NOT FOUND"))</f>
        <v/>
      </c>
      <c r="G186" s="12" t="n"/>
      <c r="H186" s="12" t="n"/>
      <c r="I186" s="12" t="n"/>
    </row>
    <row r="187">
      <c r="A187" s="12" t="n"/>
      <c r="B187" s="12" t="n"/>
      <c r="C187" s="12" t="n"/>
      <c r="D187" s="13">
        <f>IF($C187="","",IFERROR(INDEX(Dept_Names,MATCH($C187,Dept_Codes,0)),"NOT FOUND"))</f>
        <v/>
      </c>
      <c r="E187" s="12" t="n"/>
      <c r="F187" s="13">
        <f>IF($E187="","",IFERROR(INDEX(Emp_Names,MATCH($E187,Emp_Codes,0)),"NOT FOUND"))</f>
        <v/>
      </c>
      <c r="G187" s="12" t="n"/>
      <c r="H187" s="12" t="n"/>
      <c r="I187" s="12" t="n"/>
    </row>
    <row r="188">
      <c r="A188" s="12" t="n"/>
      <c r="B188" s="12" t="n"/>
      <c r="C188" s="12" t="n"/>
      <c r="D188" s="13">
        <f>IF($C188="","",IFERROR(INDEX(Dept_Names,MATCH($C188,Dept_Codes,0)),"NOT FOUND"))</f>
        <v/>
      </c>
      <c r="E188" s="12" t="n"/>
      <c r="F188" s="13">
        <f>IF($E188="","",IFERROR(INDEX(Emp_Names,MATCH($E188,Emp_Codes,0)),"NOT FOUND"))</f>
        <v/>
      </c>
      <c r="G188" s="12" t="n"/>
      <c r="H188" s="12" t="n"/>
      <c r="I188" s="12" t="n"/>
    </row>
    <row r="189">
      <c r="A189" s="12" t="n"/>
      <c r="B189" s="12" t="n"/>
      <c r="C189" s="12" t="n"/>
      <c r="D189" s="13">
        <f>IF($C189="","",IFERROR(INDEX(Dept_Names,MATCH($C189,Dept_Codes,0)),"NOT FOUND"))</f>
        <v/>
      </c>
      <c r="E189" s="12" t="n"/>
      <c r="F189" s="13">
        <f>IF($E189="","",IFERROR(INDEX(Emp_Names,MATCH($E189,Emp_Codes,0)),"NOT FOUND"))</f>
        <v/>
      </c>
      <c r="G189" s="12" t="n"/>
      <c r="H189" s="12" t="n"/>
      <c r="I189" s="12" t="n"/>
    </row>
    <row r="190">
      <c r="A190" s="12" t="n"/>
      <c r="B190" s="12" t="n"/>
      <c r="C190" s="12" t="n"/>
      <c r="D190" s="13">
        <f>IF($C190="","",IFERROR(INDEX(Dept_Names,MATCH($C190,Dept_Codes,0)),"NOT FOUND"))</f>
        <v/>
      </c>
      <c r="E190" s="12" t="n"/>
      <c r="F190" s="13">
        <f>IF($E190="","",IFERROR(INDEX(Emp_Names,MATCH($E190,Emp_Codes,0)),"NOT FOUND"))</f>
        <v/>
      </c>
      <c r="G190" s="12" t="n"/>
      <c r="H190" s="12" t="n"/>
      <c r="I190" s="12" t="n"/>
    </row>
    <row r="191">
      <c r="A191" s="12" t="n"/>
      <c r="B191" s="12" t="n"/>
      <c r="C191" s="12" t="n"/>
      <c r="D191" s="13">
        <f>IF($C191="","",IFERROR(INDEX(Dept_Names,MATCH($C191,Dept_Codes,0)),"NOT FOUND"))</f>
        <v/>
      </c>
      <c r="E191" s="12" t="n"/>
      <c r="F191" s="13">
        <f>IF($E191="","",IFERROR(INDEX(Emp_Names,MATCH($E191,Emp_Codes,0)),"NOT FOUND"))</f>
        <v/>
      </c>
      <c r="G191" s="12" t="n"/>
      <c r="H191" s="12" t="n"/>
      <c r="I191" s="12" t="n"/>
    </row>
    <row r="192">
      <c r="A192" s="12" t="n"/>
      <c r="B192" s="12" t="n"/>
      <c r="C192" s="12" t="n"/>
      <c r="D192" s="13">
        <f>IF($C192="","",IFERROR(INDEX(Dept_Names,MATCH($C192,Dept_Codes,0)),"NOT FOUND"))</f>
        <v/>
      </c>
      <c r="E192" s="12" t="n"/>
      <c r="F192" s="13">
        <f>IF($E192="","",IFERROR(INDEX(Emp_Names,MATCH($E192,Emp_Codes,0)),"NOT FOUND"))</f>
        <v/>
      </c>
      <c r="G192" s="12" t="n"/>
      <c r="H192" s="12" t="n"/>
      <c r="I192" s="12" t="n"/>
    </row>
    <row r="193">
      <c r="A193" s="12" t="n"/>
      <c r="B193" s="12" t="n"/>
      <c r="C193" s="12" t="n"/>
      <c r="D193" s="13">
        <f>IF($C193="","",IFERROR(INDEX(Dept_Names,MATCH($C193,Dept_Codes,0)),"NOT FOUND"))</f>
        <v/>
      </c>
      <c r="E193" s="12" t="n"/>
      <c r="F193" s="13">
        <f>IF($E193="","",IFERROR(INDEX(Emp_Names,MATCH($E193,Emp_Codes,0)),"NOT FOUND"))</f>
        <v/>
      </c>
      <c r="G193" s="12" t="n"/>
      <c r="H193" s="12" t="n"/>
      <c r="I193" s="12" t="n"/>
    </row>
    <row r="194">
      <c r="A194" s="12" t="n"/>
      <c r="B194" s="12" t="n"/>
      <c r="C194" s="12" t="n"/>
      <c r="D194" s="13">
        <f>IF($C194="","",IFERROR(INDEX(Dept_Names,MATCH($C194,Dept_Codes,0)),"NOT FOUND"))</f>
        <v/>
      </c>
      <c r="E194" s="12" t="n"/>
      <c r="F194" s="13">
        <f>IF($E194="","",IFERROR(INDEX(Emp_Names,MATCH($E194,Emp_Codes,0)),"NOT FOUND"))</f>
        <v/>
      </c>
      <c r="G194" s="12" t="n"/>
      <c r="H194" s="12" t="n"/>
      <c r="I194" s="12" t="n"/>
    </row>
    <row r="195">
      <c r="A195" s="12" t="n"/>
      <c r="B195" s="12" t="n"/>
      <c r="C195" s="12" t="n"/>
      <c r="D195" s="13">
        <f>IF($C195="","",IFERROR(INDEX(Dept_Names,MATCH($C195,Dept_Codes,0)),"NOT FOUND"))</f>
        <v/>
      </c>
      <c r="E195" s="12" t="n"/>
      <c r="F195" s="13">
        <f>IF($E195="","",IFERROR(INDEX(Emp_Names,MATCH($E195,Emp_Codes,0)),"NOT FOUND"))</f>
        <v/>
      </c>
      <c r="G195" s="12" t="n"/>
      <c r="H195" s="12" t="n"/>
      <c r="I195" s="12" t="n"/>
    </row>
    <row r="196">
      <c r="A196" s="12" t="n"/>
      <c r="B196" s="12" t="n"/>
      <c r="C196" s="12" t="n"/>
      <c r="D196" s="13">
        <f>IF($C196="","",IFERROR(INDEX(Dept_Names,MATCH($C196,Dept_Codes,0)),"NOT FOUND"))</f>
        <v/>
      </c>
      <c r="E196" s="12" t="n"/>
      <c r="F196" s="13">
        <f>IF($E196="","",IFERROR(INDEX(Emp_Names,MATCH($E196,Emp_Codes,0)),"NOT FOUND"))</f>
        <v/>
      </c>
      <c r="G196" s="12" t="n"/>
      <c r="H196" s="12" t="n"/>
      <c r="I196" s="12" t="n"/>
    </row>
    <row r="197">
      <c r="A197" s="12" t="n"/>
      <c r="B197" s="12" t="n"/>
      <c r="C197" s="12" t="n"/>
      <c r="D197" s="13">
        <f>IF($C197="","",IFERROR(INDEX(Dept_Names,MATCH($C197,Dept_Codes,0)),"NOT FOUND"))</f>
        <v/>
      </c>
      <c r="E197" s="12" t="n"/>
      <c r="F197" s="13">
        <f>IF($E197="","",IFERROR(INDEX(Emp_Names,MATCH($E197,Emp_Codes,0)),"NOT FOUND"))</f>
        <v/>
      </c>
      <c r="G197" s="12" t="n"/>
      <c r="H197" s="12" t="n"/>
      <c r="I197" s="12" t="n"/>
    </row>
    <row r="198">
      <c r="A198" s="12" t="n"/>
      <c r="B198" s="12" t="n"/>
      <c r="C198" s="12" t="n"/>
      <c r="D198" s="13">
        <f>IF($C198="","",IFERROR(INDEX(Dept_Names,MATCH($C198,Dept_Codes,0)),"NOT FOUND"))</f>
        <v/>
      </c>
      <c r="E198" s="12" t="n"/>
      <c r="F198" s="13">
        <f>IF($E198="","",IFERROR(INDEX(Emp_Names,MATCH($E198,Emp_Codes,0)),"NOT FOUND"))</f>
        <v/>
      </c>
      <c r="G198" s="12" t="n"/>
      <c r="H198" s="12" t="n"/>
      <c r="I198" s="12" t="n"/>
    </row>
    <row r="199">
      <c r="A199" s="12" t="n"/>
      <c r="B199" s="12" t="n"/>
      <c r="C199" s="12" t="n"/>
      <c r="D199" s="13">
        <f>IF($C199="","",IFERROR(INDEX(Dept_Names,MATCH($C199,Dept_Codes,0)),"NOT FOUND"))</f>
        <v/>
      </c>
      <c r="E199" s="12" t="n"/>
      <c r="F199" s="13">
        <f>IF($E199="","",IFERROR(INDEX(Emp_Names,MATCH($E199,Emp_Codes,0)),"NOT FOUND"))</f>
        <v/>
      </c>
      <c r="G199" s="12" t="n"/>
      <c r="H199" s="12" t="n"/>
      <c r="I199" s="12" t="n"/>
    </row>
    <row r="200">
      <c r="A200" s="12" t="n"/>
      <c r="B200" s="12" t="n"/>
      <c r="C200" s="12" t="n"/>
      <c r="D200" s="13">
        <f>IF($C200="","",IFERROR(INDEX(Dept_Names,MATCH($C200,Dept_Codes,0)),"NOT FOUND"))</f>
        <v/>
      </c>
      <c r="E200" s="12" t="n"/>
      <c r="F200" s="13">
        <f>IF($E200="","",IFERROR(INDEX(Emp_Names,MATCH($E200,Emp_Codes,0)),"NOT FOUND"))</f>
        <v/>
      </c>
      <c r="G200" s="12" t="n"/>
      <c r="H200" s="12" t="n"/>
      <c r="I200" s="12" t="n"/>
    </row>
    <row r="201">
      <c r="A201" s="12" t="n"/>
      <c r="B201" s="12" t="n"/>
      <c r="C201" s="12" t="n"/>
      <c r="D201" s="13">
        <f>IF($C201="","",IFERROR(INDEX(Dept_Names,MATCH($C201,Dept_Codes,0)),"NOT FOUND"))</f>
        <v/>
      </c>
      <c r="E201" s="12" t="n"/>
      <c r="F201" s="13">
        <f>IF($E201="","",IFERROR(INDEX(Emp_Names,MATCH($E201,Emp_Codes,0)),"NOT FOUND"))</f>
        <v/>
      </c>
      <c r="G201" s="12" t="n"/>
      <c r="H201" s="12" t="n"/>
      <c r="I201" s="12" t="n"/>
    </row>
    <row r="202">
      <c r="A202" s="12" t="n"/>
      <c r="B202" s="12" t="n"/>
      <c r="C202" s="12" t="n"/>
      <c r="D202" s="13">
        <f>IF($C202="","",IFERROR(INDEX(Dept_Names,MATCH($C202,Dept_Codes,0)),"NOT FOUND"))</f>
        <v/>
      </c>
      <c r="E202" s="12" t="n"/>
      <c r="F202" s="13">
        <f>IF($E202="","",IFERROR(INDEX(Emp_Names,MATCH($E202,Emp_Codes,0)),"NOT FOUND"))</f>
        <v/>
      </c>
      <c r="G202" s="12" t="n"/>
      <c r="H202" s="12" t="n"/>
      <c r="I202" s="12" t="n"/>
    </row>
    <row r="203">
      <c r="A203" s="12" t="n"/>
      <c r="B203" s="12" t="n"/>
      <c r="C203" s="12" t="n"/>
      <c r="D203" s="13">
        <f>IF($C203="","",IFERROR(INDEX(Dept_Names,MATCH($C203,Dept_Codes,0)),"NOT FOUND"))</f>
        <v/>
      </c>
      <c r="E203" s="12" t="n"/>
      <c r="F203" s="13">
        <f>IF($E203="","",IFERROR(INDEX(Emp_Names,MATCH($E203,Emp_Codes,0)),"NOT FOUND"))</f>
        <v/>
      </c>
      <c r="G203" s="12" t="n"/>
      <c r="H203" s="12" t="n"/>
      <c r="I203" s="12" t="n"/>
    </row>
    <row r="204">
      <c r="A204" s="12" t="n"/>
      <c r="B204" s="12" t="n"/>
      <c r="C204" s="12" t="n"/>
      <c r="D204" s="13">
        <f>IF($C204="","",IFERROR(INDEX(Dept_Names,MATCH($C204,Dept_Codes,0)),"NOT FOUND"))</f>
        <v/>
      </c>
      <c r="E204" s="12" t="n"/>
      <c r="F204" s="13">
        <f>IF($E204="","",IFERROR(INDEX(Emp_Names,MATCH($E204,Emp_Codes,0)),"NOT FOUND"))</f>
        <v/>
      </c>
      <c r="G204" s="12" t="n"/>
      <c r="H204" s="12" t="n"/>
      <c r="I204" s="12" t="n"/>
    </row>
    <row r="205">
      <c r="A205" s="12" t="n"/>
      <c r="B205" s="12" t="n"/>
      <c r="C205" s="12" t="n"/>
      <c r="D205" s="13">
        <f>IF($C205="","",IFERROR(INDEX(Dept_Names,MATCH($C205,Dept_Codes,0)),"NOT FOUND"))</f>
        <v/>
      </c>
      <c r="E205" s="12" t="n"/>
      <c r="F205" s="13">
        <f>IF($E205="","",IFERROR(INDEX(Emp_Names,MATCH($E205,Emp_Codes,0)),"NOT FOUND"))</f>
        <v/>
      </c>
      <c r="G205" s="12" t="n"/>
      <c r="H205" s="12" t="n"/>
      <c r="I205" s="12" t="n"/>
    </row>
    <row r="206">
      <c r="A206" s="12" t="n"/>
      <c r="B206" s="12" t="n"/>
      <c r="C206" s="12" t="n"/>
      <c r="D206" s="13">
        <f>IF($C206="","",IFERROR(INDEX(Dept_Names,MATCH($C206,Dept_Codes,0)),"NOT FOUND"))</f>
        <v/>
      </c>
      <c r="E206" s="12" t="n"/>
      <c r="F206" s="13">
        <f>IF($E206="","",IFERROR(INDEX(Emp_Names,MATCH($E206,Emp_Codes,0)),"NOT FOUND"))</f>
        <v/>
      </c>
      <c r="G206" s="12" t="n"/>
      <c r="H206" s="12" t="n"/>
      <c r="I206" s="12" t="n"/>
    </row>
    <row r="207">
      <c r="A207" s="12" t="n"/>
      <c r="B207" s="12" t="n"/>
      <c r="C207" s="12" t="n"/>
      <c r="D207" s="13">
        <f>IF($C207="","",IFERROR(INDEX(Dept_Names,MATCH($C207,Dept_Codes,0)),"NOT FOUND"))</f>
        <v/>
      </c>
      <c r="E207" s="12" t="n"/>
      <c r="F207" s="13">
        <f>IF($E207="","",IFERROR(INDEX(Emp_Names,MATCH($E207,Emp_Codes,0)),"NOT FOUND"))</f>
        <v/>
      </c>
      <c r="G207" s="12" t="n"/>
      <c r="H207" s="12" t="n"/>
      <c r="I207" s="12" t="n"/>
    </row>
    <row r="208">
      <c r="A208" s="12" t="n"/>
      <c r="B208" s="12" t="n"/>
      <c r="C208" s="12" t="n"/>
      <c r="D208" s="13">
        <f>IF($C208="","",IFERROR(INDEX(Dept_Names,MATCH($C208,Dept_Codes,0)),"NOT FOUND"))</f>
        <v/>
      </c>
      <c r="E208" s="12" t="n"/>
      <c r="F208" s="13">
        <f>IF($E208="","",IFERROR(INDEX(Emp_Names,MATCH($E208,Emp_Codes,0)),"NOT FOUND"))</f>
        <v/>
      </c>
      <c r="G208" s="12" t="n"/>
      <c r="H208" s="12" t="n"/>
      <c r="I208" s="12" t="n"/>
    </row>
    <row r="209">
      <c r="A209" s="12" t="n"/>
      <c r="B209" s="12" t="n"/>
      <c r="C209" s="12" t="n"/>
      <c r="D209" s="13">
        <f>IF($C209="","",IFERROR(INDEX(Dept_Names,MATCH($C209,Dept_Codes,0)),"NOT FOUND"))</f>
        <v/>
      </c>
      <c r="E209" s="12" t="n"/>
      <c r="F209" s="13">
        <f>IF($E209="","",IFERROR(INDEX(Emp_Names,MATCH($E209,Emp_Codes,0)),"NOT FOUND"))</f>
        <v/>
      </c>
      <c r="G209" s="12" t="n"/>
      <c r="H209" s="12" t="n"/>
      <c r="I209" s="12" t="n"/>
    </row>
    <row r="210">
      <c r="A210" s="12" t="n"/>
      <c r="B210" s="12" t="n"/>
      <c r="C210" s="12" t="n"/>
      <c r="D210" s="13">
        <f>IF($C210="","",IFERROR(INDEX(Dept_Names,MATCH($C210,Dept_Codes,0)),"NOT FOUND"))</f>
        <v/>
      </c>
      <c r="E210" s="12" t="n"/>
      <c r="F210" s="13">
        <f>IF($E210="","",IFERROR(INDEX(Emp_Names,MATCH($E210,Emp_Codes,0)),"NOT FOUND"))</f>
        <v/>
      </c>
      <c r="G210" s="12" t="n"/>
      <c r="H210" s="12" t="n"/>
      <c r="I210" s="12" t="n"/>
    </row>
    <row r="211">
      <c r="A211" s="12" t="n"/>
      <c r="B211" s="12" t="n"/>
      <c r="C211" s="12" t="n"/>
      <c r="D211" s="13">
        <f>IF($C211="","",IFERROR(INDEX(Dept_Names,MATCH($C211,Dept_Codes,0)),"NOT FOUND"))</f>
        <v/>
      </c>
      <c r="E211" s="12" t="n"/>
      <c r="F211" s="13">
        <f>IF($E211="","",IFERROR(INDEX(Emp_Names,MATCH($E211,Emp_Codes,0)),"NOT FOUND"))</f>
        <v/>
      </c>
      <c r="G211" s="12" t="n"/>
      <c r="H211" s="12" t="n"/>
      <c r="I211" s="12" t="n"/>
    </row>
    <row r="212">
      <c r="A212" s="12" t="n"/>
      <c r="B212" s="12" t="n"/>
      <c r="C212" s="12" t="n"/>
      <c r="D212" s="13">
        <f>IF($C212="","",IFERROR(INDEX(Dept_Names,MATCH($C212,Dept_Codes,0)),"NOT FOUND"))</f>
        <v/>
      </c>
      <c r="E212" s="12" t="n"/>
      <c r="F212" s="13">
        <f>IF($E212="","",IFERROR(INDEX(Emp_Names,MATCH($E212,Emp_Codes,0)),"NOT FOUND"))</f>
        <v/>
      </c>
      <c r="G212" s="12" t="n"/>
      <c r="H212" s="12" t="n"/>
      <c r="I212" s="12" t="n"/>
    </row>
    <row r="213">
      <c r="A213" s="12" t="n"/>
      <c r="B213" s="12" t="n"/>
      <c r="C213" s="12" t="n"/>
      <c r="D213" s="13">
        <f>IF($C213="","",IFERROR(INDEX(Dept_Names,MATCH($C213,Dept_Codes,0)),"NOT FOUND"))</f>
        <v/>
      </c>
      <c r="E213" s="12" t="n"/>
      <c r="F213" s="13">
        <f>IF($E213="","",IFERROR(INDEX(Emp_Names,MATCH($E213,Emp_Codes,0)),"NOT FOUND"))</f>
        <v/>
      </c>
      <c r="G213" s="12" t="n"/>
      <c r="H213" s="12" t="n"/>
      <c r="I213" s="12" t="n"/>
    </row>
    <row r="214">
      <c r="A214" s="12" t="n"/>
      <c r="B214" s="12" t="n"/>
      <c r="C214" s="12" t="n"/>
      <c r="D214" s="13">
        <f>IF($C214="","",IFERROR(INDEX(Dept_Names,MATCH($C214,Dept_Codes,0)),"NOT FOUND"))</f>
        <v/>
      </c>
      <c r="E214" s="12" t="n"/>
      <c r="F214" s="13">
        <f>IF($E214="","",IFERROR(INDEX(Emp_Names,MATCH($E214,Emp_Codes,0)),"NOT FOUND"))</f>
        <v/>
      </c>
      <c r="G214" s="12" t="n"/>
      <c r="H214" s="12" t="n"/>
      <c r="I214" s="12" t="n"/>
    </row>
    <row r="215">
      <c r="A215" s="12" t="n"/>
      <c r="B215" s="12" t="n"/>
      <c r="C215" s="12" t="n"/>
      <c r="D215" s="13">
        <f>IF($C215="","",IFERROR(INDEX(Dept_Names,MATCH($C215,Dept_Codes,0)),"NOT FOUND"))</f>
        <v/>
      </c>
      <c r="E215" s="12" t="n"/>
      <c r="F215" s="13">
        <f>IF($E215="","",IFERROR(INDEX(Emp_Names,MATCH($E215,Emp_Codes,0)),"NOT FOUND"))</f>
        <v/>
      </c>
      <c r="G215" s="12" t="n"/>
      <c r="H215" s="12" t="n"/>
      <c r="I215" s="12" t="n"/>
    </row>
    <row r="216">
      <c r="A216" s="12" t="n"/>
      <c r="B216" s="12" t="n"/>
      <c r="C216" s="12" t="n"/>
      <c r="D216" s="13">
        <f>IF($C216="","",IFERROR(INDEX(Dept_Names,MATCH($C216,Dept_Codes,0)),"NOT FOUND"))</f>
        <v/>
      </c>
      <c r="E216" s="12" t="n"/>
      <c r="F216" s="13">
        <f>IF($E216="","",IFERROR(INDEX(Emp_Names,MATCH($E216,Emp_Codes,0)),"NOT FOUND"))</f>
        <v/>
      </c>
      <c r="G216" s="12" t="n"/>
      <c r="H216" s="12" t="n"/>
      <c r="I216" s="12" t="n"/>
    </row>
    <row r="217">
      <c r="A217" s="12" t="n"/>
      <c r="B217" s="12" t="n"/>
      <c r="C217" s="12" t="n"/>
      <c r="D217" s="13">
        <f>IF($C217="","",IFERROR(INDEX(Dept_Names,MATCH($C217,Dept_Codes,0)),"NOT FOUND"))</f>
        <v/>
      </c>
      <c r="E217" s="12" t="n"/>
      <c r="F217" s="13">
        <f>IF($E217="","",IFERROR(INDEX(Emp_Names,MATCH($E217,Emp_Codes,0)),"NOT FOUND"))</f>
        <v/>
      </c>
      <c r="G217" s="12" t="n"/>
      <c r="H217" s="12" t="n"/>
      <c r="I217" s="12" t="n"/>
    </row>
    <row r="218">
      <c r="A218" s="12" t="n"/>
      <c r="B218" s="12" t="n"/>
      <c r="C218" s="12" t="n"/>
      <c r="D218" s="13">
        <f>IF($C218="","",IFERROR(INDEX(Dept_Names,MATCH($C218,Dept_Codes,0)),"NOT FOUND"))</f>
        <v/>
      </c>
      <c r="E218" s="12" t="n"/>
      <c r="F218" s="13">
        <f>IF($E218="","",IFERROR(INDEX(Emp_Names,MATCH($E218,Emp_Codes,0)),"NOT FOUND"))</f>
        <v/>
      </c>
      <c r="G218" s="12" t="n"/>
      <c r="H218" s="12" t="n"/>
      <c r="I218" s="12" t="n"/>
    </row>
    <row r="219">
      <c r="A219" s="12" t="n"/>
      <c r="B219" s="12" t="n"/>
      <c r="C219" s="12" t="n"/>
      <c r="D219" s="13">
        <f>IF($C219="","",IFERROR(INDEX(Dept_Names,MATCH($C219,Dept_Codes,0)),"NOT FOUND"))</f>
        <v/>
      </c>
      <c r="E219" s="12" t="n"/>
      <c r="F219" s="13">
        <f>IF($E219="","",IFERROR(INDEX(Emp_Names,MATCH($E219,Emp_Codes,0)),"NOT FOUND"))</f>
        <v/>
      </c>
      <c r="G219" s="12" t="n"/>
      <c r="H219" s="12" t="n"/>
      <c r="I219" s="12" t="n"/>
    </row>
    <row r="220">
      <c r="A220" s="12" t="n"/>
      <c r="B220" s="12" t="n"/>
      <c r="C220" s="12" t="n"/>
      <c r="D220" s="13">
        <f>IF($C220="","",IFERROR(INDEX(Dept_Names,MATCH($C220,Dept_Codes,0)),"NOT FOUND"))</f>
        <v/>
      </c>
      <c r="E220" s="12" t="n"/>
      <c r="F220" s="13">
        <f>IF($E220="","",IFERROR(INDEX(Emp_Names,MATCH($E220,Emp_Codes,0)),"NOT FOUND"))</f>
        <v/>
      </c>
      <c r="G220" s="12" t="n"/>
      <c r="H220" s="12" t="n"/>
      <c r="I220" s="12" t="n"/>
    </row>
    <row r="221">
      <c r="A221" s="12" t="n"/>
      <c r="B221" s="12" t="n"/>
      <c r="C221" s="12" t="n"/>
      <c r="D221" s="13">
        <f>IF($C221="","",IFERROR(INDEX(Dept_Names,MATCH($C221,Dept_Codes,0)),"NOT FOUND"))</f>
        <v/>
      </c>
      <c r="E221" s="12" t="n"/>
      <c r="F221" s="13">
        <f>IF($E221="","",IFERROR(INDEX(Emp_Names,MATCH($E221,Emp_Codes,0)),"NOT FOUND"))</f>
        <v/>
      </c>
      <c r="G221" s="12" t="n"/>
      <c r="H221" s="12" t="n"/>
      <c r="I221" s="12" t="n"/>
    </row>
    <row r="222">
      <c r="A222" s="12" t="n"/>
      <c r="B222" s="12" t="n"/>
      <c r="C222" s="12" t="n"/>
      <c r="D222" s="13">
        <f>IF($C222="","",IFERROR(INDEX(Dept_Names,MATCH($C222,Dept_Codes,0)),"NOT FOUND"))</f>
        <v/>
      </c>
      <c r="E222" s="12" t="n"/>
      <c r="F222" s="13">
        <f>IF($E222="","",IFERROR(INDEX(Emp_Names,MATCH($E222,Emp_Codes,0)),"NOT FOUND"))</f>
        <v/>
      </c>
      <c r="G222" s="12" t="n"/>
      <c r="H222" s="12" t="n"/>
      <c r="I222" s="12" t="n"/>
    </row>
    <row r="223">
      <c r="A223" s="12" t="n"/>
      <c r="B223" s="12" t="n"/>
      <c r="C223" s="12" t="n"/>
      <c r="D223" s="13">
        <f>IF($C223="","",IFERROR(INDEX(Dept_Names,MATCH($C223,Dept_Codes,0)),"NOT FOUND"))</f>
        <v/>
      </c>
      <c r="E223" s="12" t="n"/>
      <c r="F223" s="13">
        <f>IF($E223="","",IFERROR(INDEX(Emp_Names,MATCH($E223,Emp_Codes,0)),"NOT FOUND"))</f>
        <v/>
      </c>
      <c r="G223" s="12" t="n"/>
      <c r="H223" s="12" t="n"/>
      <c r="I223" s="12" t="n"/>
    </row>
    <row r="224">
      <c r="A224" s="12" t="n"/>
      <c r="B224" s="12" t="n"/>
      <c r="C224" s="12" t="n"/>
      <c r="D224" s="13">
        <f>IF($C224="","",IFERROR(INDEX(Dept_Names,MATCH($C224,Dept_Codes,0)),"NOT FOUND"))</f>
        <v/>
      </c>
      <c r="E224" s="12" t="n"/>
      <c r="F224" s="13">
        <f>IF($E224="","",IFERROR(INDEX(Emp_Names,MATCH($E224,Emp_Codes,0)),"NOT FOUND"))</f>
        <v/>
      </c>
      <c r="G224" s="12" t="n"/>
      <c r="H224" s="12" t="n"/>
      <c r="I224" s="12" t="n"/>
    </row>
    <row r="225">
      <c r="A225" s="12" t="n"/>
      <c r="B225" s="12" t="n"/>
      <c r="C225" s="12" t="n"/>
      <c r="D225" s="13">
        <f>IF($C225="","",IFERROR(INDEX(Dept_Names,MATCH($C225,Dept_Codes,0)),"NOT FOUND"))</f>
        <v/>
      </c>
      <c r="E225" s="12" t="n"/>
      <c r="F225" s="13">
        <f>IF($E225="","",IFERROR(INDEX(Emp_Names,MATCH($E225,Emp_Codes,0)),"NOT FOUND"))</f>
        <v/>
      </c>
      <c r="G225" s="12" t="n"/>
      <c r="H225" s="12" t="n"/>
      <c r="I225" s="12" t="n"/>
    </row>
    <row r="226">
      <c r="A226" s="12" t="n"/>
      <c r="B226" s="12" t="n"/>
      <c r="C226" s="12" t="n"/>
      <c r="D226" s="13">
        <f>IF($C226="","",IFERROR(INDEX(Dept_Names,MATCH($C226,Dept_Codes,0)),"NOT FOUND"))</f>
        <v/>
      </c>
      <c r="E226" s="12" t="n"/>
      <c r="F226" s="13">
        <f>IF($E226="","",IFERROR(INDEX(Emp_Names,MATCH($E226,Emp_Codes,0)),"NOT FOUND"))</f>
        <v/>
      </c>
      <c r="G226" s="12" t="n"/>
      <c r="H226" s="12" t="n"/>
      <c r="I226" s="12" t="n"/>
    </row>
    <row r="227">
      <c r="A227" s="12" t="n"/>
      <c r="B227" s="12" t="n"/>
      <c r="C227" s="12" t="n"/>
      <c r="D227" s="13">
        <f>IF($C227="","",IFERROR(INDEX(Dept_Names,MATCH($C227,Dept_Codes,0)),"NOT FOUND"))</f>
        <v/>
      </c>
      <c r="E227" s="12" t="n"/>
      <c r="F227" s="13">
        <f>IF($E227="","",IFERROR(INDEX(Emp_Names,MATCH($E227,Emp_Codes,0)),"NOT FOUND"))</f>
        <v/>
      </c>
      <c r="G227" s="12" t="n"/>
      <c r="H227" s="12" t="n"/>
      <c r="I227" s="12" t="n"/>
    </row>
    <row r="228">
      <c r="A228" s="12" t="n"/>
      <c r="B228" s="12" t="n"/>
      <c r="C228" s="12" t="n"/>
      <c r="D228" s="13">
        <f>IF($C228="","",IFERROR(INDEX(Dept_Names,MATCH($C228,Dept_Codes,0)),"NOT FOUND"))</f>
        <v/>
      </c>
      <c r="E228" s="12" t="n"/>
      <c r="F228" s="13">
        <f>IF($E228="","",IFERROR(INDEX(Emp_Names,MATCH($E228,Emp_Codes,0)),"NOT FOUND"))</f>
        <v/>
      </c>
      <c r="G228" s="12" t="n"/>
      <c r="H228" s="12" t="n"/>
      <c r="I228" s="12" t="n"/>
    </row>
    <row r="229">
      <c r="A229" s="12" t="n"/>
      <c r="B229" s="12" t="n"/>
      <c r="C229" s="12" t="n"/>
      <c r="D229" s="13">
        <f>IF($C229="","",IFERROR(INDEX(Dept_Names,MATCH($C229,Dept_Codes,0)),"NOT FOUND"))</f>
        <v/>
      </c>
      <c r="E229" s="12" t="n"/>
      <c r="F229" s="13">
        <f>IF($E229="","",IFERROR(INDEX(Emp_Names,MATCH($E229,Emp_Codes,0)),"NOT FOUND"))</f>
        <v/>
      </c>
      <c r="G229" s="12" t="n"/>
      <c r="H229" s="12" t="n"/>
      <c r="I229" s="12" t="n"/>
    </row>
    <row r="230">
      <c r="A230" s="12" t="n"/>
      <c r="B230" s="12" t="n"/>
      <c r="C230" s="12" t="n"/>
      <c r="D230" s="13">
        <f>IF($C230="","",IFERROR(INDEX(Dept_Names,MATCH($C230,Dept_Codes,0)),"NOT FOUND"))</f>
        <v/>
      </c>
      <c r="E230" s="12" t="n"/>
      <c r="F230" s="13">
        <f>IF($E230="","",IFERROR(INDEX(Emp_Names,MATCH($E230,Emp_Codes,0)),"NOT FOUND"))</f>
        <v/>
      </c>
      <c r="G230" s="12" t="n"/>
      <c r="H230" s="12" t="n"/>
      <c r="I230" s="12" t="n"/>
    </row>
    <row r="231">
      <c r="A231" s="12" t="n"/>
      <c r="B231" s="12" t="n"/>
      <c r="C231" s="12" t="n"/>
      <c r="D231" s="13">
        <f>IF($C231="","",IFERROR(INDEX(Dept_Names,MATCH($C231,Dept_Codes,0)),"NOT FOUND"))</f>
        <v/>
      </c>
      <c r="E231" s="12" t="n"/>
      <c r="F231" s="13">
        <f>IF($E231="","",IFERROR(INDEX(Emp_Names,MATCH($E231,Emp_Codes,0)),"NOT FOUND"))</f>
        <v/>
      </c>
      <c r="G231" s="12" t="n"/>
      <c r="H231" s="12" t="n"/>
      <c r="I231" s="12" t="n"/>
    </row>
    <row r="232">
      <c r="A232" s="12" t="n"/>
      <c r="B232" s="12" t="n"/>
      <c r="C232" s="12" t="n"/>
      <c r="D232" s="13">
        <f>IF($C232="","",IFERROR(INDEX(Dept_Names,MATCH($C232,Dept_Codes,0)),"NOT FOUND"))</f>
        <v/>
      </c>
      <c r="E232" s="12" t="n"/>
      <c r="F232" s="13">
        <f>IF($E232="","",IFERROR(INDEX(Emp_Names,MATCH($E232,Emp_Codes,0)),"NOT FOUND"))</f>
        <v/>
      </c>
      <c r="G232" s="12" t="n"/>
      <c r="H232" s="12" t="n"/>
      <c r="I232" s="12" t="n"/>
    </row>
    <row r="233">
      <c r="A233" s="12" t="n"/>
      <c r="B233" s="12" t="n"/>
      <c r="C233" s="12" t="n"/>
      <c r="D233" s="13">
        <f>IF($C233="","",IFERROR(INDEX(Dept_Names,MATCH($C233,Dept_Codes,0)),"NOT FOUND"))</f>
        <v/>
      </c>
      <c r="E233" s="12" t="n"/>
      <c r="F233" s="13">
        <f>IF($E233="","",IFERROR(INDEX(Emp_Names,MATCH($E233,Emp_Codes,0)),"NOT FOUND"))</f>
        <v/>
      </c>
      <c r="G233" s="12" t="n"/>
      <c r="H233" s="12" t="n"/>
      <c r="I233" s="12" t="n"/>
    </row>
    <row r="234">
      <c r="A234" s="12" t="n"/>
      <c r="B234" s="12" t="n"/>
      <c r="C234" s="12" t="n"/>
      <c r="D234" s="13">
        <f>IF($C234="","",IFERROR(INDEX(Dept_Names,MATCH($C234,Dept_Codes,0)),"NOT FOUND"))</f>
        <v/>
      </c>
      <c r="E234" s="12" t="n"/>
      <c r="F234" s="13">
        <f>IF($E234="","",IFERROR(INDEX(Emp_Names,MATCH($E234,Emp_Codes,0)),"NOT FOUND"))</f>
        <v/>
      </c>
      <c r="G234" s="12" t="n"/>
      <c r="H234" s="12" t="n"/>
      <c r="I234" s="12" t="n"/>
    </row>
    <row r="235">
      <c r="A235" s="12" t="n"/>
      <c r="B235" s="12" t="n"/>
      <c r="C235" s="12" t="n"/>
      <c r="D235" s="13">
        <f>IF($C235="","",IFERROR(INDEX(Dept_Names,MATCH($C235,Dept_Codes,0)),"NOT FOUND"))</f>
        <v/>
      </c>
      <c r="E235" s="12" t="n"/>
      <c r="F235" s="13">
        <f>IF($E235="","",IFERROR(INDEX(Emp_Names,MATCH($E235,Emp_Codes,0)),"NOT FOUND"))</f>
        <v/>
      </c>
      <c r="G235" s="12" t="n"/>
      <c r="H235" s="12" t="n"/>
      <c r="I235" s="12" t="n"/>
    </row>
    <row r="236">
      <c r="A236" s="12" t="n"/>
      <c r="B236" s="12" t="n"/>
      <c r="C236" s="12" t="n"/>
      <c r="D236" s="13">
        <f>IF($C236="","",IFERROR(INDEX(Dept_Names,MATCH($C236,Dept_Codes,0)),"NOT FOUND"))</f>
        <v/>
      </c>
      <c r="E236" s="12" t="n"/>
      <c r="F236" s="13">
        <f>IF($E236="","",IFERROR(INDEX(Emp_Names,MATCH($E236,Emp_Codes,0)),"NOT FOUND"))</f>
        <v/>
      </c>
      <c r="G236" s="12" t="n"/>
      <c r="H236" s="12" t="n"/>
      <c r="I236" s="12" t="n"/>
    </row>
    <row r="237">
      <c r="A237" s="12" t="n"/>
      <c r="B237" s="12" t="n"/>
      <c r="C237" s="12" t="n"/>
      <c r="D237" s="13">
        <f>IF($C237="","",IFERROR(INDEX(Dept_Names,MATCH($C237,Dept_Codes,0)),"NOT FOUND"))</f>
        <v/>
      </c>
      <c r="E237" s="12" t="n"/>
      <c r="F237" s="13">
        <f>IF($E237="","",IFERROR(INDEX(Emp_Names,MATCH($E237,Emp_Codes,0)),"NOT FOUND"))</f>
        <v/>
      </c>
      <c r="G237" s="12" t="n"/>
      <c r="H237" s="12" t="n"/>
      <c r="I237" s="12" t="n"/>
    </row>
    <row r="238">
      <c r="A238" s="12" t="n"/>
      <c r="B238" s="12" t="n"/>
      <c r="C238" s="12" t="n"/>
      <c r="D238" s="13">
        <f>IF($C238="","",IFERROR(INDEX(Dept_Names,MATCH($C238,Dept_Codes,0)),"NOT FOUND"))</f>
        <v/>
      </c>
      <c r="E238" s="12" t="n"/>
      <c r="F238" s="13">
        <f>IF($E238="","",IFERROR(INDEX(Emp_Names,MATCH($E238,Emp_Codes,0)),"NOT FOUND"))</f>
        <v/>
      </c>
      <c r="G238" s="12" t="n"/>
      <c r="H238" s="12" t="n"/>
      <c r="I238" s="12" t="n"/>
    </row>
    <row r="239">
      <c r="A239" s="12" t="n"/>
      <c r="B239" s="12" t="n"/>
      <c r="C239" s="12" t="n"/>
      <c r="D239" s="13">
        <f>IF($C239="","",IFERROR(INDEX(Dept_Names,MATCH($C239,Dept_Codes,0)),"NOT FOUND"))</f>
        <v/>
      </c>
      <c r="E239" s="12" t="n"/>
      <c r="F239" s="13">
        <f>IF($E239="","",IFERROR(INDEX(Emp_Names,MATCH($E239,Emp_Codes,0)),"NOT FOUND"))</f>
        <v/>
      </c>
      <c r="G239" s="12" t="n"/>
      <c r="H239" s="12" t="n"/>
      <c r="I239" s="12" t="n"/>
    </row>
    <row r="240">
      <c r="A240" s="12" t="n"/>
      <c r="B240" s="12" t="n"/>
      <c r="C240" s="12" t="n"/>
      <c r="D240" s="13">
        <f>IF($C240="","",IFERROR(INDEX(Dept_Names,MATCH($C240,Dept_Codes,0)),"NOT FOUND"))</f>
        <v/>
      </c>
      <c r="E240" s="12" t="n"/>
      <c r="F240" s="13">
        <f>IF($E240="","",IFERROR(INDEX(Emp_Names,MATCH($E240,Emp_Codes,0)),"NOT FOUND"))</f>
        <v/>
      </c>
      <c r="G240" s="12" t="n"/>
      <c r="H240" s="12" t="n"/>
      <c r="I240" s="12" t="n"/>
    </row>
    <row r="241">
      <c r="A241" s="12" t="n"/>
      <c r="B241" s="12" t="n"/>
      <c r="C241" s="12" t="n"/>
      <c r="D241" s="13">
        <f>IF($C241="","",IFERROR(INDEX(Dept_Names,MATCH($C241,Dept_Codes,0)),"NOT FOUND"))</f>
        <v/>
      </c>
      <c r="E241" s="12" t="n"/>
      <c r="F241" s="13">
        <f>IF($E241="","",IFERROR(INDEX(Emp_Names,MATCH($E241,Emp_Codes,0)),"NOT FOUND"))</f>
        <v/>
      </c>
      <c r="G241" s="12" t="n"/>
      <c r="H241" s="12" t="n"/>
      <c r="I241" s="12" t="n"/>
    </row>
    <row r="242">
      <c r="A242" s="12" t="n"/>
      <c r="B242" s="12" t="n"/>
      <c r="C242" s="12" t="n"/>
      <c r="D242" s="13">
        <f>IF($C242="","",IFERROR(INDEX(Dept_Names,MATCH($C242,Dept_Codes,0)),"NOT FOUND"))</f>
        <v/>
      </c>
      <c r="E242" s="12" t="n"/>
      <c r="F242" s="13">
        <f>IF($E242="","",IFERROR(INDEX(Emp_Names,MATCH($E242,Emp_Codes,0)),"NOT FOUND"))</f>
        <v/>
      </c>
      <c r="G242" s="12" t="n"/>
      <c r="H242" s="12" t="n"/>
      <c r="I242" s="12" t="n"/>
    </row>
    <row r="243">
      <c r="A243" s="12" t="n"/>
      <c r="B243" s="12" t="n"/>
      <c r="C243" s="12" t="n"/>
      <c r="D243" s="13">
        <f>IF($C243="","",IFERROR(INDEX(Dept_Names,MATCH($C243,Dept_Codes,0)),"NOT FOUND"))</f>
        <v/>
      </c>
      <c r="E243" s="12" t="n"/>
      <c r="F243" s="13">
        <f>IF($E243="","",IFERROR(INDEX(Emp_Names,MATCH($E243,Emp_Codes,0)),"NOT FOUND"))</f>
        <v/>
      </c>
      <c r="G243" s="12" t="n"/>
      <c r="H243" s="12" t="n"/>
      <c r="I243" s="12" t="n"/>
    </row>
    <row r="244">
      <c r="A244" s="12" t="n"/>
      <c r="B244" s="12" t="n"/>
      <c r="C244" s="12" t="n"/>
      <c r="D244" s="13">
        <f>IF($C244="","",IFERROR(INDEX(Dept_Names,MATCH($C244,Dept_Codes,0)),"NOT FOUND"))</f>
        <v/>
      </c>
      <c r="E244" s="12" t="n"/>
      <c r="F244" s="13">
        <f>IF($E244="","",IFERROR(INDEX(Emp_Names,MATCH($E244,Emp_Codes,0)),"NOT FOUND"))</f>
        <v/>
      </c>
      <c r="G244" s="12" t="n"/>
      <c r="H244" s="12" t="n"/>
      <c r="I244" s="12" t="n"/>
    </row>
    <row r="245">
      <c r="A245" s="12" t="n"/>
      <c r="B245" s="12" t="n"/>
      <c r="C245" s="12" t="n"/>
      <c r="D245" s="13">
        <f>IF($C245="","",IFERROR(INDEX(Dept_Names,MATCH($C245,Dept_Codes,0)),"NOT FOUND"))</f>
        <v/>
      </c>
      <c r="E245" s="12" t="n"/>
      <c r="F245" s="13">
        <f>IF($E245="","",IFERROR(INDEX(Emp_Names,MATCH($E245,Emp_Codes,0)),"NOT FOUND"))</f>
        <v/>
      </c>
      <c r="G245" s="12" t="n"/>
      <c r="H245" s="12" t="n"/>
      <c r="I245" s="12" t="n"/>
    </row>
    <row r="246">
      <c r="A246" s="12" t="n"/>
      <c r="B246" s="12" t="n"/>
      <c r="C246" s="12" t="n"/>
      <c r="D246" s="13">
        <f>IF($C246="","",IFERROR(INDEX(Dept_Names,MATCH($C246,Dept_Codes,0)),"NOT FOUND"))</f>
        <v/>
      </c>
      <c r="E246" s="12" t="n"/>
      <c r="F246" s="13">
        <f>IF($E246="","",IFERROR(INDEX(Emp_Names,MATCH($E246,Emp_Codes,0)),"NOT FOUND"))</f>
        <v/>
      </c>
      <c r="G246" s="12" t="n"/>
      <c r="H246" s="12" t="n"/>
      <c r="I246" s="12" t="n"/>
    </row>
    <row r="247">
      <c r="A247" s="12" t="n"/>
      <c r="B247" s="12" t="n"/>
      <c r="C247" s="12" t="n"/>
      <c r="D247" s="13">
        <f>IF($C247="","",IFERROR(INDEX(Dept_Names,MATCH($C247,Dept_Codes,0)),"NOT FOUND"))</f>
        <v/>
      </c>
      <c r="E247" s="12" t="n"/>
      <c r="F247" s="13">
        <f>IF($E247="","",IFERROR(INDEX(Emp_Names,MATCH($E247,Emp_Codes,0)),"NOT FOUND"))</f>
        <v/>
      </c>
      <c r="G247" s="12" t="n"/>
      <c r="H247" s="12" t="n"/>
      <c r="I247" s="12" t="n"/>
    </row>
    <row r="248">
      <c r="A248" s="12" t="n"/>
      <c r="B248" s="12" t="n"/>
      <c r="C248" s="12" t="n"/>
      <c r="D248" s="13">
        <f>IF($C248="","",IFERROR(INDEX(Dept_Names,MATCH($C248,Dept_Codes,0)),"NOT FOUND"))</f>
        <v/>
      </c>
      <c r="E248" s="12" t="n"/>
      <c r="F248" s="13">
        <f>IF($E248="","",IFERROR(INDEX(Emp_Names,MATCH($E248,Emp_Codes,0)),"NOT FOUND"))</f>
        <v/>
      </c>
      <c r="G248" s="12" t="n"/>
      <c r="H248" s="12" t="n"/>
      <c r="I248" s="12" t="n"/>
    </row>
    <row r="249">
      <c r="A249" s="12" t="n"/>
      <c r="B249" s="12" t="n"/>
      <c r="C249" s="12" t="n"/>
      <c r="D249" s="13">
        <f>IF($C249="","",IFERROR(INDEX(Dept_Names,MATCH($C249,Dept_Codes,0)),"NOT FOUND"))</f>
        <v/>
      </c>
      <c r="E249" s="12" t="n"/>
      <c r="F249" s="13">
        <f>IF($E249="","",IFERROR(INDEX(Emp_Names,MATCH($E249,Emp_Codes,0)),"NOT FOUND"))</f>
        <v/>
      </c>
      <c r="G249" s="12" t="n"/>
      <c r="H249" s="12" t="n"/>
      <c r="I249" s="12" t="n"/>
    </row>
    <row r="250">
      <c r="A250" s="12" t="n"/>
      <c r="B250" s="12" t="n"/>
      <c r="C250" s="12" t="n"/>
      <c r="D250" s="13">
        <f>IF($C250="","",IFERROR(INDEX(Dept_Names,MATCH($C250,Dept_Codes,0)),"NOT FOUND"))</f>
        <v/>
      </c>
      <c r="E250" s="12" t="n"/>
      <c r="F250" s="13">
        <f>IF($E250="","",IFERROR(INDEX(Emp_Names,MATCH($E250,Emp_Codes,0)),"NOT FOUND"))</f>
        <v/>
      </c>
      <c r="G250" s="12" t="n"/>
      <c r="H250" s="12" t="n"/>
      <c r="I250" s="12" t="n"/>
    </row>
    <row r="251">
      <c r="A251" s="12" t="n"/>
      <c r="B251" s="12" t="n"/>
      <c r="C251" s="12" t="n"/>
      <c r="D251" s="13">
        <f>IF($C251="","",IFERROR(INDEX(Dept_Names,MATCH($C251,Dept_Codes,0)),"NOT FOUND"))</f>
        <v/>
      </c>
      <c r="E251" s="12" t="n"/>
      <c r="F251" s="13">
        <f>IF($E251="","",IFERROR(INDEX(Emp_Names,MATCH($E251,Emp_Codes,0)),"NOT FOUND"))</f>
        <v/>
      </c>
      <c r="G251" s="12" t="n"/>
      <c r="H251" s="12" t="n"/>
      <c r="I251" s="12" t="n"/>
    </row>
    <row r="252">
      <c r="A252" s="12" t="n"/>
      <c r="B252" s="12" t="n"/>
      <c r="C252" s="12" t="n"/>
      <c r="D252" s="13">
        <f>IF($C252="","",IFERROR(INDEX(Dept_Names,MATCH($C252,Dept_Codes,0)),"NOT FOUND"))</f>
        <v/>
      </c>
      <c r="E252" s="12" t="n"/>
      <c r="F252" s="13">
        <f>IF($E252="","",IFERROR(INDEX(Emp_Names,MATCH($E252,Emp_Codes,0)),"NOT FOUND"))</f>
        <v/>
      </c>
      <c r="G252" s="12" t="n"/>
      <c r="H252" s="12" t="n"/>
      <c r="I252" s="12" t="n"/>
    </row>
    <row r="253">
      <c r="A253" s="12" t="n"/>
      <c r="B253" s="12" t="n"/>
      <c r="C253" s="12" t="n"/>
      <c r="D253" s="13">
        <f>IF($C253="","",IFERROR(INDEX(Dept_Names,MATCH($C253,Dept_Codes,0)),"NOT FOUND"))</f>
        <v/>
      </c>
      <c r="E253" s="12" t="n"/>
      <c r="F253" s="13">
        <f>IF($E253="","",IFERROR(INDEX(Emp_Names,MATCH($E253,Emp_Codes,0)),"NOT FOUND"))</f>
        <v/>
      </c>
      <c r="G253" s="12" t="n"/>
      <c r="H253" s="12" t="n"/>
      <c r="I253" s="12" t="n"/>
    </row>
    <row r="254">
      <c r="A254" s="12" t="n"/>
      <c r="B254" s="12" t="n"/>
      <c r="C254" s="12" t="n"/>
      <c r="D254" s="13">
        <f>IF($C254="","",IFERROR(INDEX(Dept_Names,MATCH($C254,Dept_Codes,0)),"NOT FOUND"))</f>
        <v/>
      </c>
      <c r="E254" s="12" t="n"/>
      <c r="F254" s="13">
        <f>IF($E254="","",IFERROR(INDEX(Emp_Names,MATCH($E254,Emp_Codes,0)),"NOT FOUND"))</f>
        <v/>
      </c>
      <c r="G254" s="12" t="n"/>
      <c r="H254" s="12" t="n"/>
      <c r="I254" s="12" t="n"/>
    </row>
    <row r="255">
      <c r="A255" s="12" t="n"/>
      <c r="B255" s="12" t="n"/>
      <c r="C255" s="12" t="n"/>
      <c r="D255" s="13">
        <f>IF($C255="","",IFERROR(INDEX(Dept_Names,MATCH($C255,Dept_Codes,0)),"NOT FOUND"))</f>
        <v/>
      </c>
      <c r="E255" s="12" t="n"/>
      <c r="F255" s="13">
        <f>IF($E255="","",IFERROR(INDEX(Emp_Names,MATCH($E255,Emp_Codes,0)),"NOT FOUND"))</f>
        <v/>
      </c>
      <c r="G255" s="12" t="n"/>
      <c r="H255" s="12" t="n"/>
      <c r="I255" s="12" t="n"/>
    </row>
    <row r="256">
      <c r="A256" s="12" t="n"/>
      <c r="B256" s="12" t="n"/>
      <c r="C256" s="12" t="n"/>
      <c r="D256" s="13">
        <f>IF($C256="","",IFERROR(INDEX(Dept_Names,MATCH($C256,Dept_Codes,0)),"NOT FOUND"))</f>
        <v/>
      </c>
      <c r="E256" s="12" t="n"/>
      <c r="F256" s="13">
        <f>IF($E256="","",IFERROR(INDEX(Emp_Names,MATCH($E256,Emp_Codes,0)),"NOT FOUND"))</f>
        <v/>
      </c>
      <c r="G256" s="12" t="n"/>
      <c r="H256" s="12" t="n"/>
      <c r="I256" s="12" t="n"/>
    </row>
    <row r="257">
      <c r="A257" s="12" t="n"/>
      <c r="B257" s="12" t="n"/>
      <c r="C257" s="12" t="n"/>
      <c r="D257" s="13">
        <f>IF($C257="","",IFERROR(INDEX(Dept_Names,MATCH($C257,Dept_Codes,0)),"NOT FOUND"))</f>
        <v/>
      </c>
      <c r="E257" s="12" t="n"/>
      <c r="F257" s="13">
        <f>IF($E257="","",IFERROR(INDEX(Emp_Names,MATCH($E257,Emp_Codes,0)),"NOT FOUND"))</f>
        <v/>
      </c>
      <c r="G257" s="12" t="n"/>
      <c r="H257" s="12" t="n"/>
      <c r="I257" s="12" t="n"/>
    </row>
    <row r="258">
      <c r="A258" s="12" t="n"/>
      <c r="B258" s="12" t="n"/>
      <c r="C258" s="12" t="n"/>
      <c r="D258" s="13">
        <f>IF($C258="","",IFERROR(INDEX(Dept_Names,MATCH($C258,Dept_Codes,0)),"NOT FOUND"))</f>
        <v/>
      </c>
      <c r="E258" s="12" t="n"/>
      <c r="F258" s="13">
        <f>IF($E258="","",IFERROR(INDEX(Emp_Names,MATCH($E258,Emp_Codes,0)),"NOT FOUND"))</f>
        <v/>
      </c>
      <c r="G258" s="12" t="n"/>
      <c r="H258" s="12" t="n"/>
      <c r="I258" s="12" t="n"/>
    </row>
    <row r="259">
      <c r="A259" s="12" t="n"/>
      <c r="B259" s="12" t="n"/>
      <c r="C259" s="12" t="n"/>
      <c r="D259" s="13">
        <f>IF($C259="","",IFERROR(INDEX(Dept_Names,MATCH($C259,Dept_Codes,0)),"NOT FOUND"))</f>
        <v/>
      </c>
      <c r="E259" s="12" t="n"/>
      <c r="F259" s="13">
        <f>IF($E259="","",IFERROR(INDEX(Emp_Names,MATCH($E259,Emp_Codes,0)),"NOT FOUND"))</f>
        <v/>
      </c>
      <c r="G259" s="12" t="n"/>
      <c r="H259" s="12" t="n"/>
      <c r="I259" s="12" t="n"/>
    </row>
    <row r="260">
      <c r="A260" s="12" t="n"/>
      <c r="B260" s="12" t="n"/>
      <c r="C260" s="12" t="n"/>
      <c r="D260" s="13">
        <f>IF($C260="","",IFERROR(INDEX(Dept_Names,MATCH($C260,Dept_Codes,0)),"NOT FOUND"))</f>
        <v/>
      </c>
      <c r="E260" s="12" t="n"/>
      <c r="F260" s="13">
        <f>IF($E260="","",IFERROR(INDEX(Emp_Names,MATCH($E260,Emp_Codes,0)),"NOT FOUND"))</f>
        <v/>
      </c>
      <c r="G260" s="12" t="n"/>
      <c r="H260" s="12" t="n"/>
      <c r="I260" s="12" t="n"/>
    </row>
    <row r="261">
      <c r="A261" s="12" t="n"/>
      <c r="B261" s="12" t="n"/>
      <c r="C261" s="12" t="n"/>
      <c r="D261" s="13">
        <f>IF($C261="","",IFERROR(INDEX(Dept_Names,MATCH($C261,Dept_Codes,0)),"NOT FOUND"))</f>
        <v/>
      </c>
      <c r="E261" s="12" t="n"/>
      <c r="F261" s="13">
        <f>IF($E261="","",IFERROR(INDEX(Emp_Names,MATCH($E261,Emp_Codes,0)),"NOT FOUND"))</f>
        <v/>
      </c>
      <c r="G261" s="12" t="n"/>
      <c r="H261" s="12" t="n"/>
      <c r="I261" s="12" t="n"/>
    </row>
    <row r="262">
      <c r="A262" s="12" t="n"/>
      <c r="B262" s="12" t="n"/>
      <c r="C262" s="12" t="n"/>
      <c r="D262" s="13">
        <f>IF($C262="","",IFERROR(INDEX(Dept_Names,MATCH($C262,Dept_Codes,0)),"NOT FOUND"))</f>
        <v/>
      </c>
      <c r="E262" s="12" t="n"/>
      <c r="F262" s="13">
        <f>IF($E262="","",IFERROR(INDEX(Emp_Names,MATCH($E262,Emp_Codes,0)),"NOT FOUND"))</f>
        <v/>
      </c>
      <c r="G262" s="12" t="n"/>
      <c r="H262" s="12" t="n"/>
      <c r="I262" s="12" t="n"/>
    </row>
    <row r="263">
      <c r="A263" s="12" t="n"/>
      <c r="B263" s="12" t="n"/>
      <c r="C263" s="12" t="n"/>
      <c r="D263" s="13">
        <f>IF($C263="","",IFERROR(INDEX(Dept_Names,MATCH($C263,Dept_Codes,0)),"NOT FOUND"))</f>
        <v/>
      </c>
      <c r="E263" s="12" t="n"/>
      <c r="F263" s="13">
        <f>IF($E263="","",IFERROR(INDEX(Emp_Names,MATCH($E263,Emp_Codes,0)),"NOT FOUND"))</f>
        <v/>
      </c>
      <c r="G263" s="12" t="n"/>
      <c r="H263" s="12" t="n"/>
      <c r="I263" s="12" t="n"/>
    </row>
    <row r="264">
      <c r="A264" s="12" t="n"/>
      <c r="B264" s="12" t="n"/>
      <c r="C264" s="12" t="n"/>
      <c r="D264" s="13">
        <f>IF($C264="","",IFERROR(INDEX(Dept_Names,MATCH($C264,Dept_Codes,0)),"NOT FOUND"))</f>
        <v/>
      </c>
      <c r="E264" s="12" t="n"/>
      <c r="F264" s="13">
        <f>IF($E264="","",IFERROR(INDEX(Emp_Names,MATCH($E264,Emp_Codes,0)),"NOT FOUND"))</f>
        <v/>
      </c>
      <c r="G264" s="12" t="n"/>
      <c r="H264" s="12" t="n"/>
      <c r="I264" s="12" t="n"/>
    </row>
    <row r="265">
      <c r="A265" s="12" t="n"/>
      <c r="B265" s="12" t="n"/>
      <c r="C265" s="12" t="n"/>
      <c r="D265" s="13">
        <f>IF($C265="","",IFERROR(INDEX(Dept_Names,MATCH($C265,Dept_Codes,0)),"NOT FOUND"))</f>
        <v/>
      </c>
      <c r="E265" s="12" t="n"/>
      <c r="F265" s="13">
        <f>IF($E265="","",IFERROR(INDEX(Emp_Names,MATCH($E265,Emp_Codes,0)),"NOT FOUND"))</f>
        <v/>
      </c>
      <c r="G265" s="12" t="n"/>
      <c r="H265" s="12" t="n"/>
      <c r="I265" s="12" t="n"/>
    </row>
    <row r="266">
      <c r="A266" s="12" t="n"/>
      <c r="B266" s="12" t="n"/>
      <c r="C266" s="12" t="n"/>
      <c r="D266" s="13">
        <f>IF($C266="","",IFERROR(INDEX(Dept_Names,MATCH($C266,Dept_Codes,0)),"NOT FOUND"))</f>
        <v/>
      </c>
      <c r="E266" s="12" t="n"/>
      <c r="F266" s="13">
        <f>IF($E266="","",IFERROR(INDEX(Emp_Names,MATCH($E266,Emp_Codes,0)),"NOT FOUND"))</f>
        <v/>
      </c>
      <c r="G266" s="12" t="n"/>
      <c r="H266" s="12" t="n"/>
      <c r="I266" s="12" t="n"/>
    </row>
    <row r="267">
      <c r="A267" s="12" t="n"/>
      <c r="B267" s="12" t="n"/>
      <c r="C267" s="12" t="n"/>
      <c r="D267" s="13">
        <f>IF($C267="","",IFERROR(INDEX(Dept_Names,MATCH($C267,Dept_Codes,0)),"NOT FOUND"))</f>
        <v/>
      </c>
      <c r="E267" s="12" t="n"/>
      <c r="F267" s="13">
        <f>IF($E267="","",IFERROR(INDEX(Emp_Names,MATCH($E267,Emp_Codes,0)),"NOT FOUND"))</f>
        <v/>
      </c>
      <c r="G267" s="12" t="n"/>
      <c r="H267" s="12" t="n"/>
      <c r="I267" s="12" t="n"/>
    </row>
    <row r="268">
      <c r="A268" s="12" t="n"/>
      <c r="B268" s="12" t="n"/>
      <c r="C268" s="12" t="n"/>
      <c r="D268" s="13">
        <f>IF($C268="","",IFERROR(INDEX(Dept_Names,MATCH($C268,Dept_Codes,0)),"NOT FOUND"))</f>
        <v/>
      </c>
      <c r="E268" s="12" t="n"/>
      <c r="F268" s="13">
        <f>IF($E268="","",IFERROR(INDEX(Emp_Names,MATCH($E268,Emp_Codes,0)),"NOT FOUND"))</f>
        <v/>
      </c>
      <c r="G268" s="12" t="n"/>
      <c r="H268" s="12" t="n"/>
      <c r="I268" s="12" t="n"/>
    </row>
    <row r="269">
      <c r="A269" s="12" t="n"/>
      <c r="B269" s="12" t="n"/>
      <c r="C269" s="12" t="n"/>
      <c r="D269" s="13">
        <f>IF($C269="","",IFERROR(INDEX(Dept_Names,MATCH($C269,Dept_Codes,0)),"NOT FOUND"))</f>
        <v/>
      </c>
      <c r="E269" s="12" t="n"/>
      <c r="F269" s="13">
        <f>IF($E269="","",IFERROR(INDEX(Emp_Names,MATCH($E269,Emp_Codes,0)),"NOT FOUND"))</f>
        <v/>
      </c>
      <c r="G269" s="12" t="n"/>
      <c r="H269" s="12" t="n"/>
      <c r="I269" s="12" t="n"/>
    </row>
    <row r="270">
      <c r="A270" s="12" t="n"/>
      <c r="B270" s="12" t="n"/>
      <c r="C270" s="12" t="n"/>
      <c r="D270" s="13">
        <f>IF($C270="","",IFERROR(INDEX(Dept_Names,MATCH($C270,Dept_Codes,0)),"NOT FOUND"))</f>
        <v/>
      </c>
      <c r="E270" s="12" t="n"/>
      <c r="F270" s="13">
        <f>IF($E270="","",IFERROR(INDEX(Emp_Names,MATCH($E270,Emp_Codes,0)),"NOT FOUND"))</f>
        <v/>
      </c>
      <c r="G270" s="12" t="n"/>
      <c r="H270" s="12" t="n"/>
      <c r="I270" s="12" t="n"/>
    </row>
    <row r="271">
      <c r="A271" s="12" t="n"/>
      <c r="B271" s="12" t="n"/>
      <c r="C271" s="12" t="n"/>
      <c r="D271" s="13">
        <f>IF($C271="","",IFERROR(INDEX(Dept_Names,MATCH($C271,Dept_Codes,0)),"NOT FOUND"))</f>
        <v/>
      </c>
      <c r="E271" s="12" t="n"/>
      <c r="F271" s="13">
        <f>IF($E271="","",IFERROR(INDEX(Emp_Names,MATCH($E271,Emp_Codes,0)),"NOT FOUND"))</f>
        <v/>
      </c>
      <c r="G271" s="12" t="n"/>
      <c r="H271" s="12" t="n"/>
      <c r="I271" s="12" t="n"/>
    </row>
    <row r="272">
      <c r="A272" s="12" t="n"/>
      <c r="B272" s="12" t="n"/>
      <c r="C272" s="12" t="n"/>
      <c r="D272" s="13">
        <f>IF($C272="","",IFERROR(INDEX(Dept_Names,MATCH($C272,Dept_Codes,0)),"NOT FOUND"))</f>
        <v/>
      </c>
      <c r="E272" s="12" t="n"/>
      <c r="F272" s="13">
        <f>IF($E272="","",IFERROR(INDEX(Emp_Names,MATCH($E272,Emp_Codes,0)),"NOT FOUND"))</f>
        <v/>
      </c>
      <c r="G272" s="12" t="n"/>
      <c r="H272" s="12" t="n"/>
      <c r="I272" s="12" t="n"/>
    </row>
    <row r="273">
      <c r="A273" s="12" t="n"/>
      <c r="B273" s="12" t="n"/>
      <c r="C273" s="12" t="n"/>
      <c r="D273" s="13">
        <f>IF($C273="","",IFERROR(INDEX(Dept_Names,MATCH($C273,Dept_Codes,0)),"NOT FOUND"))</f>
        <v/>
      </c>
      <c r="E273" s="12" t="n"/>
      <c r="F273" s="13">
        <f>IF($E273="","",IFERROR(INDEX(Emp_Names,MATCH($E273,Emp_Codes,0)),"NOT FOUND"))</f>
        <v/>
      </c>
      <c r="G273" s="12" t="n"/>
      <c r="H273" s="12" t="n"/>
      <c r="I273" s="12" t="n"/>
    </row>
    <row r="274">
      <c r="A274" s="12" t="n"/>
      <c r="B274" s="12" t="n"/>
      <c r="C274" s="12" t="n"/>
      <c r="D274" s="13">
        <f>IF($C274="","",IFERROR(INDEX(Dept_Names,MATCH($C274,Dept_Codes,0)),"NOT FOUND"))</f>
        <v/>
      </c>
      <c r="E274" s="12" t="n"/>
      <c r="F274" s="13">
        <f>IF($E274="","",IFERROR(INDEX(Emp_Names,MATCH($E274,Emp_Codes,0)),"NOT FOUND"))</f>
        <v/>
      </c>
      <c r="G274" s="12" t="n"/>
      <c r="H274" s="12" t="n"/>
      <c r="I274" s="12" t="n"/>
    </row>
    <row r="275">
      <c r="A275" s="12" t="n"/>
      <c r="B275" s="12" t="n"/>
      <c r="C275" s="12" t="n"/>
      <c r="D275" s="13">
        <f>IF($C275="","",IFERROR(INDEX(Dept_Names,MATCH($C275,Dept_Codes,0)),"NOT FOUND"))</f>
        <v/>
      </c>
      <c r="E275" s="12" t="n"/>
      <c r="F275" s="13">
        <f>IF($E275="","",IFERROR(INDEX(Emp_Names,MATCH($E275,Emp_Codes,0)),"NOT FOUND"))</f>
        <v/>
      </c>
      <c r="G275" s="12" t="n"/>
      <c r="H275" s="12" t="n"/>
      <c r="I275" s="12" t="n"/>
    </row>
    <row r="276">
      <c r="A276" s="12" t="n"/>
      <c r="B276" s="12" t="n"/>
      <c r="C276" s="12" t="n"/>
      <c r="D276" s="13">
        <f>IF($C276="","",IFERROR(INDEX(Dept_Names,MATCH($C276,Dept_Codes,0)),"NOT FOUND"))</f>
        <v/>
      </c>
      <c r="E276" s="12" t="n"/>
      <c r="F276" s="13">
        <f>IF($E276="","",IFERROR(INDEX(Emp_Names,MATCH($E276,Emp_Codes,0)),"NOT FOUND"))</f>
        <v/>
      </c>
      <c r="G276" s="12" t="n"/>
      <c r="H276" s="12" t="n"/>
      <c r="I276" s="12" t="n"/>
    </row>
    <row r="277">
      <c r="A277" s="12" t="n"/>
      <c r="B277" s="12" t="n"/>
      <c r="C277" s="12" t="n"/>
      <c r="D277" s="13">
        <f>IF($C277="","",IFERROR(INDEX(Dept_Names,MATCH($C277,Dept_Codes,0)),"NOT FOUND"))</f>
        <v/>
      </c>
      <c r="E277" s="12" t="n"/>
      <c r="F277" s="13">
        <f>IF($E277="","",IFERROR(INDEX(Emp_Names,MATCH($E277,Emp_Codes,0)),"NOT FOUND"))</f>
        <v/>
      </c>
      <c r="G277" s="12" t="n"/>
      <c r="H277" s="12" t="n"/>
      <c r="I277" s="12" t="n"/>
    </row>
    <row r="278">
      <c r="A278" s="12" t="n"/>
      <c r="B278" s="12" t="n"/>
      <c r="C278" s="12" t="n"/>
      <c r="D278" s="13">
        <f>IF($C278="","",IFERROR(INDEX(Dept_Names,MATCH($C278,Dept_Codes,0)),"NOT FOUND"))</f>
        <v/>
      </c>
      <c r="E278" s="12" t="n"/>
      <c r="F278" s="13">
        <f>IF($E278="","",IFERROR(INDEX(Emp_Names,MATCH($E278,Emp_Codes,0)),"NOT FOUND"))</f>
        <v/>
      </c>
      <c r="G278" s="12" t="n"/>
      <c r="H278" s="12" t="n"/>
      <c r="I278" s="12" t="n"/>
    </row>
    <row r="279">
      <c r="A279" s="12" t="n"/>
      <c r="B279" s="12" t="n"/>
      <c r="C279" s="12" t="n"/>
      <c r="D279" s="13">
        <f>IF($C279="","",IFERROR(INDEX(Dept_Names,MATCH($C279,Dept_Codes,0)),"NOT FOUND"))</f>
        <v/>
      </c>
      <c r="E279" s="12" t="n"/>
      <c r="F279" s="13">
        <f>IF($E279="","",IFERROR(INDEX(Emp_Names,MATCH($E279,Emp_Codes,0)),"NOT FOUND"))</f>
        <v/>
      </c>
      <c r="G279" s="12" t="n"/>
      <c r="H279" s="12" t="n"/>
      <c r="I279" s="12" t="n"/>
    </row>
    <row r="280">
      <c r="A280" s="12" t="n"/>
      <c r="B280" s="12" t="n"/>
      <c r="C280" s="12" t="n"/>
      <c r="D280" s="13">
        <f>IF($C280="","",IFERROR(INDEX(Dept_Names,MATCH($C280,Dept_Codes,0)),"NOT FOUND"))</f>
        <v/>
      </c>
      <c r="E280" s="12" t="n"/>
      <c r="F280" s="13">
        <f>IF($E280="","",IFERROR(INDEX(Emp_Names,MATCH($E280,Emp_Codes,0)),"NOT FOUND"))</f>
        <v/>
      </c>
      <c r="G280" s="12" t="n"/>
      <c r="H280" s="12" t="n"/>
      <c r="I280" s="12" t="n"/>
    </row>
    <row r="281">
      <c r="A281" s="12" t="n"/>
      <c r="B281" s="12" t="n"/>
      <c r="C281" s="12" t="n"/>
      <c r="D281" s="13">
        <f>IF($C281="","",IFERROR(INDEX(Dept_Names,MATCH($C281,Dept_Codes,0)),"NOT FOUND"))</f>
        <v/>
      </c>
      <c r="E281" s="12" t="n"/>
      <c r="F281" s="13">
        <f>IF($E281="","",IFERROR(INDEX(Emp_Names,MATCH($E281,Emp_Codes,0)),"NOT FOUND"))</f>
        <v/>
      </c>
      <c r="G281" s="12" t="n"/>
      <c r="H281" s="12" t="n"/>
      <c r="I281" s="12" t="n"/>
    </row>
    <row r="282">
      <c r="A282" s="12" t="n"/>
      <c r="B282" s="12" t="n"/>
      <c r="C282" s="12" t="n"/>
      <c r="D282" s="13">
        <f>IF($C282="","",IFERROR(INDEX(Dept_Names,MATCH($C282,Dept_Codes,0)),"NOT FOUND"))</f>
        <v/>
      </c>
      <c r="E282" s="12" t="n"/>
      <c r="F282" s="13">
        <f>IF($E282="","",IFERROR(INDEX(Emp_Names,MATCH($E282,Emp_Codes,0)),"NOT FOUND"))</f>
        <v/>
      </c>
      <c r="G282" s="12" t="n"/>
      <c r="H282" s="12" t="n"/>
      <c r="I282" s="12" t="n"/>
    </row>
    <row r="283">
      <c r="A283" s="12" t="n"/>
      <c r="B283" s="12" t="n"/>
      <c r="C283" s="12" t="n"/>
      <c r="D283" s="13">
        <f>IF($C283="","",IFERROR(INDEX(Dept_Names,MATCH($C283,Dept_Codes,0)),"NOT FOUND"))</f>
        <v/>
      </c>
      <c r="E283" s="12" t="n"/>
      <c r="F283" s="13">
        <f>IF($E283="","",IFERROR(INDEX(Emp_Names,MATCH($E283,Emp_Codes,0)),"NOT FOUND"))</f>
        <v/>
      </c>
      <c r="G283" s="12" t="n"/>
      <c r="H283" s="12" t="n"/>
      <c r="I283" s="12" t="n"/>
    </row>
    <row r="284">
      <c r="A284" s="12" t="n"/>
      <c r="B284" s="12" t="n"/>
      <c r="C284" s="12" t="n"/>
      <c r="D284" s="13">
        <f>IF($C284="","",IFERROR(INDEX(Dept_Names,MATCH($C284,Dept_Codes,0)),"NOT FOUND"))</f>
        <v/>
      </c>
      <c r="E284" s="12" t="n"/>
      <c r="F284" s="13">
        <f>IF($E284="","",IFERROR(INDEX(Emp_Names,MATCH($E284,Emp_Codes,0)),"NOT FOUND"))</f>
        <v/>
      </c>
      <c r="G284" s="12" t="n"/>
      <c r="H284" s="12" t="n"/>
      <c r="I284" s="12" t="n"/>
    </row>
    <row r="285">
      <c r="A285" s="12" t="n"/>
      <c r="B285" s="12" t="n"/>
      <c r="C285" s="12" t="n"/>
      <c r="D285" s="13">
        <f>IF($C285="","",IFERROR(INDEX(Dept_Names,MATCH($C285,Dept_Codes,0)),"NOT FOUND"))</f>
        <v/>
      </c>
      <c r="E285" s="12" t="n"/>
      <c r="F285" s="13">
        <f>IF($E285="","",IFERROR(INDEX(Emp_Names,MATCH($E285,Emp_Codes,0)),"NOT FOUND"))</f>
        <v/>
      </c>
      <c r="G285" s="12" t="n"/>
      <c r="H285" s="12" t="n"/>
      <c r="I285" s="12" t="n"/>
    </row>
    <row r="286">
      <c r="A286" s="12" t="n"/>
      <c r="B286" s="12" t="n"/>
      <c r="C286" s="12" t="n"/>
      <c r="D286" s="13">
        <f>IF($C286="","",IFERROR(INDEX(Dept_Names,MATCH($C286,Dept_Codes,0)),"NOT FOUND"))</f>
        <v/>
      </c>
      <c r="E286" s="12" t="n"/>
      <c r="F286" s="13">
        <f>IF($E286="","",IFERROR(INDEX(Emp_Names,MATCH($E286,Emp_Codes,0)),"NOT FOUND"))</f>
        <v/>
      </c>
      <c r="G286" s="12" t="n"/>
      <c r="H286" s="12" t="n"/>
      <c r="I286" s="12" t="n"/>
    </row>
    <row r="287">
      <c r="A287" s="12" t="n"/>
      <c r="B287" s="12" t="n"/>
      <c r="C287" s="12" t="n"/>
      <c r="D287" s="13">
        <f>IF($C287="","",IFERROR(INDEX(Dept_Names,MATCH($C287,Dept_Codes,0)),"NOT FOUND"))</f>
        <v/>
      </c>
      <c r="E287" s="12" t="n"/>
      <c r="F287" s="13">
        <f>IF($E287="","",IFERROR(INDEX(Emp_Names,MATCH($E287,Emp_Codes,0)),"NOT FOUND"))</f>
        <v/>
      </c>
      <c r="G287" s="12" t="n"/>
      <c r="H287" s="12" t="n"/>
      <c r="I287" s="12" t="n"/>
    </row>
    <row r="288">
      <c r="A288" s="12" t="n"/>
      <c r="B288" s="12" t="n"/>
      <c r="C288" s="12" t="n"/>
      <c r="D288" s="13">
        <f>IF($C288="","",IFERROR(INDEX(Dept_Names,MATCH($C288,Dept_Codes,0)),"NOT FOUND"))</f>
        <v/>
      </c>
      <c r="E288" s="12" t="n"/>
      <c r="F288" s="13">
        <f>IF($E288="","",IFERROR(INDEX(Emp_Names,MATCH($E288,Emp_Codes,0)),"NOT FOUND"))</f>
        <v/>
      </c>
      <c r="G288" s="12" t="n"/>
      <c r="H288" s="12" t="n"/>
      <c r="I288" s="12" t="n"/>
    </row>
    <row r="289">
      <c r="A289" s="12" t="n"/>
      <c r="B289" s="12" t="n"/>
      <c r="C289" s="12" t="n"/>
      <c r="D289" s="13">
        <f>IF($C289="","",IFERROR(INDEX(Dept_Names,MATCH($C289,Dept_Codes,0)),"NOT FOUND"))</f>
        <v/>
      </c>
      <c r="E289" s="12" t="n"/>
      <c r="F289" s="13">
        <f>IF($E289="","",IFERROR(INDEX(Emp_Names,MATCH($E289,Emp_Codes,0)),"NOT FOUND"))</f>
        <v/>
      </c>
      <c r="G289" s="12" t="n"/>
      <c r="H289" s="12" t="n"/>
      <c r="I289" s="12" t="n"/>
    </row>
    <row r="290">
      <c r="A290" s="12" t="n"/>
      <c r="B290" s="12" t="n"/>
      <c r="C290" s="12" t="n"/>
      <c r="D290" s="13">
        <f>IF($C290="","",IFERROR(INDEX(Dept_Names,MATCH($C290,Dept_Codes,0)),"NOT FOUND"))</f>
        <v/>
      </c>
      <c r="E290" s="12" t="n"/>
      <c r="F290" s="13">
        <f>IF($E290="","",IFERROR(INDEX(Emp_Names,MATCH($E290,Emp_Codes,0)),"NOT FOUND"))</f>
        <v/>
      </c>
      <c r="G290" s="12" t="n"/>
      <c r="H290" s="12" t="n"/>
      <c r="I290" s="12" t="n"/>
    </row>
    <row r="291">
      <c r="A291" s="12" t="n"/>
      <c r="B291" s="12" t="n"/>
      <c r="C291" s="12" t="n"/>
      <c r="D291" s="13">
        <f>IF($C291="","",IFERROR(INDEX(Dept_Names,MATCH($C291,Dept_Codes,0)),"NOT FOUND"))</f>
        <v/>
      </c>
      <c r="E291" s="12" t="n"/>
      <c r="F291" s="13">
        <f>IF($E291="","",IFERROR(INDEX(Emp_Names,MATCH($E291,Emp_Codes,0)),"NOT FOUND"))</f>
        <v/>
      </c>
      <c r="G291" s="12" t="n"/>
      <c r="H291" s="12" t="n"/>
      <c r="I291" s="12" t="n"/>
    </row>
    <row r="292">
      <c r="A292" s="12" t="n"/>
      <c r="B292" s="12" t="n"/>
      <c r="C292" s="12" t="n"/>
      <c r="D292" s="13">
        <f>IF($C292="","",IFERROR(INDEX(Dept_Names,MATCH($C292,Dept_Codes,0)),"NOT FOUND"))</f>
        <v/>
      </c>
      <c r="E292" s="12" t="n"/>
      <c r="F292" s="13">
        <f>IF($E292="","",IFERROR(INDEX(Emp_Names,MATCH($E292,Emp_Codes,0)),"NOT FOUND"))</f>
        <v/>
      </c>
      <c r="G292" s="12" t="n"/>
      <c r="H292" s="12" t="n"/>
      <c r="I292" s="12" t="n"/>
    </row>
    <row r="293">
      <c r="A293" s="12" t="n"/>
      <c r="B293" s="12" t="n"/>
      <c r="C293" s="12" t="n"/>
      <c r="D293" s="13">
        <f>IF($C293="","",IFERROR(INDEX(Dept_Names,MATCH($C293,Dept_Codes,0)),"NOT FOUND"))</f>
        <v/>
      </c>
      <c r="E293" s="12" t="n"/>
      <c r="F293" s="13">
        <f>IF($E293="","",IFERROR(INDEX(Emp_Names,MATCH($E293,Emp_Codes,0)),"NOT FOUND"))</f>
        <v/>
      </c>
      <c r="G293" s="12" t="n"/>
      <c r="H293" s="12" t="n"/>
      <c r="I293" s="12" t="n"/>
    </row>
    <row r="294">
      <c r="A294" s="12" t="n"/>
      <c r="B294" s="12" t="n"/>
      <c r="C294" s="12" t="n"/>
      <c r="D294" s="13">
        <f>IF($C294="","",IFERROR(INDEX(Dept_Names,MATCH($C294,Dept_Codes,0)),"NOT FOUND"))</f>
        <v/>
      </c>
      <c r="E294" s="12" t="n"/>
      <c r="F294" s="13">
        <f>IF($E294="","",IFERROR(INDEX(Emp_Names,MATCH($E294,Emp_Codes,0)),"NOT FOUND"))</f>
        <v/>
      </c>
      <c r="G294" s="12" t="n"/>
      <c r="H294" s="12" t="n"/>
      <c r="I294" s="12" t="n"/>
    </row>
    <row r="295">
      <c r="A295" s="12" t="n"/>
      <c r="B295" s="12" t="n"/>
      <c r="C295" s="12" t="n"/>
      <c r="D295" s="13">
        <f>IF($C295="","",IFERROR(INDEX(Dept_Names,MATCH($C295,Dept_Codes,0)),"NOT FOUND"))</f>
        <v/>
      </c>
      <c r="E295" s="12" t="n"/>
      <c r="F295" s="13">
        <f>IF($E295="","",IFERROR(INDEX(Emp_Names,MATCH($E295,Emp_Codes,0)),"NOT FOUND"))</f>
        <v/>
      </c>
      <c r="G295" s="12" t="n"/>
      <c r="H295" s="12" t="n"/>
      <c r="I295" s="12" t="n"/>
    </row>
    <row r="296">
      <c r="A296" s="12" t="n"/>
      <c r="B296" s="12" t="n"/>
      <c r="C296" s="12" t="n"/>
      <c r="D296" s="13">
        <f>IF($C296="","",IFERROR(INDEX(Dept_Names,MATCH($C296,Dept_Codes,0)),"NOT FOUND"))</f>
        <v/>
      </c>
      <c r="E296" s="12" t="n"/>
      <c r="F296" s="13">
        <f>IF($E296="","",IFERROR(INDEX(Emp_Names,MATCH($E296,Emp_Codes,0)),"NOT FOUND"))</f>
        <v/>
      </c>
      <c r="G296" s="12" t="n"/>
      <c r="H296" s="12" t="n"/>
      <c r="I296" s="12" t="n"/>
    </row>
    <row r="297">
      <c r="A297" s="12" t="n"/>
      <c r="B297" s="12" t="n"/>
      <c r="C297" s="12" t="n"/>
      <c r="D297" s="13">
        <f>IF($C297="","",IFERROR(INDEX(Dept_Names,MATCH($C297,Dept_Codes,0)),"NOT FOUND"))</f>
        <v/>
      </c>
      <c r="E297" s="12" t="n"/>
      <c r="F297" s="13">
        <f>IF($E297="","",IFERROR(INDEX(Emp_Names,MATCH($E297,Emp_Codes,0)),"NOT FOUND"))</f>
        <v/>
      </c>
      <c r="G297" s="12" t="n"/>
      <c r="H297" s="12" t="n"/>
      <c r="I297" s="12" t="n"/>
    </row>
    <row r="298">
      <c r="A298" s="12" t="n"/>
      <c r="B298" s="12" t="n"/>
      <c r="C298" s="12" t="n"/>
      <c r="D298" s="13">
        <f>IF($C298="","",IFERROR(INDEX(Dept_Names,MATCH($C298,Dept_Codes,0)),"NOT FOUND"))</f>
        <v/>
      </c>
      <c r="E298" s="12" t="n"/>
      <c r="F298" s="13">
        <f>IF($E298="","",IFERROR(INDEX(Emp_Names,MATCH($E298,Emp_Codes,0)),"NOT FOUND"))</f>
        <v/>
      </c>
      <c r="G298" s="12" t="n"/>
      <c r="H298" s="12" t="n"/>
      <c r="I298" s="12" t="n"/>
    </row>
    <row r="299">
      <c r="A299" s="12" t="n"/>
      <c r="B299" s="12" t="n"/>
      <c r="C299" s="12" t="n"/>
      <c r="D299" s="13">
        <f>IF($C299="","",IFERROR(INDEX(Dept_Names,MATCH($C299,Dept_Codes,0)),"NOT FOUND"))</f>
        <v/>
      </c>
      <c r="E299" s="12" t="n"/>
      <c r="F299" s="13">
        <f>IF($E299="","",IFERROR(INDEX(Emp_Names,MATCH($E299,Emp_Codes,0)),"NOT FOUND"))</f>
        <v/>
      </c>
      <c r="G299" s="12" t="n"/>
      <c r="H299" s="12" t="n"/>
      <c r="I299" s="12" t="n"/>
    </row>
    <row r="300">
      <c r="A300" s="12" t="n"/>
      <c r="B300" s="12" t="n"/>
      <c r="C300" s="12" t="n"/>
      <c r="D300" s="13">
        <f>IF($C300="","",IFERROR(INDEX(Dept_Names,MATCH($C300,Dept_Codes,0)),"NOT FOUND"))</f>
        <v/>
      </c>
      <c r="E300" s="12" t="n"/>
      <c r="F300" s="13">
        <f>IF($E300="","",IFERROR(INDEX(Emp_Names,MATCH($E300,Emp_Codes,0)),"NOT FOUND"))</f>
        <v/>
      </c>
      <c r="G300" s="12" t="n"/>
      <c r="H300" s="12" t="n"/>
      <c r="I300" s="12" t="n"/>
    </row>
    <row r="301">
      <c r="A301" s="12" t="n"/>
      <c r="B301" s="12" t="n"/>
      <c r="C301" s="12" t="n"/>
      <c r="D301" s="13">
        <f>IF($C301="","",IFERROR(INDEX(Dept_Names,MATCH($C301,Dept_Codes,0)),"NOT FOUND"))</f>
        <v/>
      </c>
      <c r="E301" s="12" t="n"/>
      <c r="F301" s="13">
        <f>IF($E301="","",IFERROR(INDEX(Emp_Names,MATCH($E301,Emp_Codes,0)),"NOT FOUND"))</f>
        <v/>
      </c>
      <c r="G301" s="12" t="n"/>
      <c r="H301" s="12" t="n"/>
      <c r="I301" s="12" t="n"/>
    </row>
  </sheetData>
  <autoFilter ref="A1:I301"/>
  <conditionalFormatting sqref="A2:A301">
    <cfRule type="expression" priority="1" dxfId="0" stopIfTrue="0">
      <formula>AND($A2&lt;&gt;"",COUNTIF($A$2:$A$301,$A2)&gt;1)</formula>
    </cfRule>
  </conditionalFormatting>
  <conditionalFormatting sqref="B2:B301">
    <cfRule type="expression" priority="2" dxfId="0" stopIfTrue="0">
      <formula>AND($B2&lt;&gt;"",COUNTIF($B$2:$B$301,$B2)&gt;1)</formula>
    </cfRule>
  </conditionalFormatting>
  <conditionalFormatting sqref="C2:C301">
    <cfRule type="expression" priority="3" dxfId="0" stopIfTrue="0">
      <formula>AND($C2&lt;&gt;"",OR($C2=$A2,COUNTIF($A$2:$A$301,$C2)=0))</formula>
    </cfRule>
  </conditionalFormatting>
  <dataValidations count="5">
    <dataValidation sqref="A2:A301" showDropDown="0" showInputMessage="0" showErrorMessage="1" allowBlank="1" errorTitle="Duplicate department code" error="This code is already used further up the sheet. Every department needs its own code." type="custom">
      <formula1>COUNTIF($A$2:$A$301,A2)&lt;=1</formula1>
    </dataValidation>
    <dataValidation sqref="C2:C301" showDropDown="0" showInputMessage="1" showErrorMessage="1" allowBlank="1" errorTitle="Parent department" error="Pick a department code from this sheet, or leave blank if it is top-level." promptTitle="Parent department" prompt="Pick a department code from this sheet, or leave blank if it is top-level." type="list">
      <formula1>Dept_Codes</formula1>
    </dataValidation>
    <dataValidation sqref="E2:E301" showDropDown="0" showInputMessage="1" showErrorMessage="1" allowBlank="1" errorTitle="Department head" error="Pick an Employee Code from sheet '3. Employees'. Add the person there first if they are missing." promptTitle="Department head" prompt="Pick an Employee Code from sheet '3. Employees'. Add the person there first if they are missing." type="list">
      <formula1>Emp_Codes</formula1>
    </dataValidation>
    <dataValidation sqref="H2:H301" showDropDown="0" showInputMessage="1" showErrorMessage="1" allowBlank="0" errorTitle="Status" error="ACTIVE or INACTIVE." promptTitle="Status" prompt="ACTIVE or INACTIVE." type="list">
      <formula1>List_RecordStatus</formula1>
    </dataValidation>
    <dataValidation sqref="I2:I301" showDropDown="0" showInputMessage="0" showErrorMessage="1" allowBlank="1" errorTitle="Display order" error="A whole number between 0 and 999." type="whole" operator="between">
      <formula1>0</formula1>
      <formula2>999</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2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26" customWidth="1" min="2" max="2"/>
    <col width="20" customWidth="1" min="3" max="3"/>
    <col width="18" customWidth="1" min="4" max="4"/>
    <col width="42" customWidth="1" min="5" max="5"/>
    <col width="14" customWidth="1" min="6" max="6"/>
  </cols>
  <sheetData>
    <row r="1" ht="40" customHeight="1">
      <c r="A1" s="9" t="inlineStr">
        <is>
          <t>Designation Code *</t>
        </is>
      </c>
      <c r="B1" s="9" t="inlineStr">
        <is>
          <t>Designation Name *</t>
        </is>
      </c>
      <c r="C1" s="9" t="inlineStr">
        <is>
          <t>Organisational Level *</t>
        </is>
      </c>
      <c r="D1" s="9" t="inlineStr">
        <is>
          <t>Manages People? *</t>
        </is>
      </c>
      <c r="E1" s="10" t="inlineStr">
        <is>
          <t>Description</t>
        </is>
      </c>
      <c r="F1" s="9" t="inlineStr">
        <is>
          <t>Status *</t>
        </is>
      </c>
    </row>
    <row r="2">
      <c r="A2" s="12" t="n"/>
      <c r="B2" s="12" t="n"/>
      <c r="C2" s="12" t="n"/>
      <c r="D2" s="12" t="n"/>
      <c r="E2" s="12" t="n"/>
      <c r="F2" s="12" t="n"/>
    </row>
    <row r="3">
      <c r="A3" s="12" t="n"/>
      <c r="B3" s="12" t="n"/>
      <c r="C3" s="12" t="n"/>
      <c r="D3" s="12" t="n"/>
      <c r="E3" s="12" t="n"/>
      <c r="F3" s="12" t="n"/>
    </row>
    <row r="4">
      <c r="A4" s="12" t="n"/>
      <c r="B4" s="12" t="n"/>
      <c r="C4" s="12" t="n"/>
      <c r="D4" s="12" t="n"/>
      <c r="E4" s="12" t="n"/>
      <c r="F4" s="12" t="n"/>
    </row>
    <row r="5">
      <c r="A5" s="12" t="n"/>
      <c r="B5" s="12" t="n"/>
      <c r="C5" s="12" t="n"/>
      <c r="D5" s="12" t="n"/>
      <c r="E5" s="12" t="n"/>
      <c r="F5" s="12" t="n"/>
    </row>
    <row r="6">
      <c r="A6" s="12" t="n"/>
      <c r="B6" s="12" t="n"/>
      <c r="C6" s="12" t="n"/>
      <c r="D6" s="12" t="n"/>
      <c r="E6" s="12" t="n"/>
      <c r="F6" s="12" t="n"/>
    </row>
    <row r="7">
      <c r="A7" s="12" t="n"/>
      <c r="B7" s="12" t="n"/>
      <c r="C7" s="12" t="n"/>
      <c r="D7" s="12" t="n"/>
      <c r="E7" s="12" t="n"/>
      <c r="F7" s="12" t="n"/>
    </row>
    <row r="8">
      <c r="A8" s="12" t="n"/>
      <c r="B8" s="12" t="n"/>
      <c r="C8" s="12" t="n"/>
      <c r="D8" s="12" t="n"/>
      <c r="E8" s="12" t="n"/>
      <c r="F8" s="12" t="n"/>
    </row>
    <row r="9">
      <c r="A9" s="12" t="n"/>
      <c r="B9" s="12" t="n"/>
      <c r="C9" s="12" t="n"/>
      <c r="D9" s="12" t="n"/>
      <c r="E9" s="12" t="n"/>
      <c r="F9" s="12" t="n"/>
    </row>
    <row r="10">
      <c r="A10" s="12" t="n"/>
      <c r="B10" s="12" t="n"/>
      <c r="C10" s="12" t="n"/>
      <c r="D10" s="12" t="n"/>
      <c r="E10" s="12" t="n"/>
      <c r="F10" s="12" t="n"/>
    </row>
    <row r="11">
      <c r="A11" s="12" t="n"/>
      <c r="B11" s="12" t="n"/>
      <c r="C11" s="12" t="n"/>
      <c r="D11" s="12" t="n"/>
      <c r="E11" s="12" t="n"/>
      <c r="F11" s="12" t="n"/>
    </row>
    <row r="12">
      <c r="A12" s="12" t="n"/>
      <c r="B12" s="12" t="n"/>
      <c r="C12" s="12" t="n"/>
      <c r="D12" s="12" t="n"/>
      <c r="E12" s="12" t="n"/>
      <c r="F12" s="12" t="n"/>
    </row>
    <row r="13">
      <c r="A13" s="12" t="n"/>
      <c r="B13" s="12" t="n"/>
      <c r="C13" s="12" t="n"/>
      <c r="D13" s="12" t="n"/>
      <c r="E13" s="12" t="n"/>
      <c r="F13" s="12" t="n"/>
    </row>
    <row r="14">
      <c r="A14" s="12" t="n"/>
      <c r="B14" s="12" t="n"/>
      <c r="C14" s="12" t="n"/>
      <c r="D14" s="12" t="n"/>
      <c r="E14" s="12" t="n"/>
      <c r="F14" s="12" t="n"/>
    </row>
    <row r="15">
      <c r="A15" s="12" t="n"/>
      <c r="B15" s="12" t="n"/>
      <c r="C15" s="12" t="n"/>
      <c r="D15" s="12" t="n"/>
      <c r="E15" s="12" t="n"/>
      <c r="F15" s="12" t="n"/>
    </row>
    <row r="16">
      <c r="A16" s="12" t="n"/>
      <c r="B16" s="12" t="n"/>
      <c r="C16" s="12" t="n"/>
      <c r="D16" s="12" t="n"/>
      <c r="E16" s="12" t="n"/>
      <c r="F16" s="12" t="n"/>
    </row>
    <row r="17">
      <c r="A17" s="12" t="n"/>
      <c r="B17" s="12" t="n"/>
      <c r="C17" s="12" t="n"/>
      <c r="D17" s="12" t="n"/>
      <c r="E17" s="12" t="n"/>
      <c r="F17" s="12" t="n"/>
    </row>
    <row r="18">
      <c r="A18" s="12" t="n"/>
      <c r="B18" s="12" t="n"/>
      <c r="C18" s="12" t="n"/>
      <c r="D18" s="12" t="n"/>
      <c r="E18" s="12" t="n"/>
      <c r="F18" s="12" t="n"/>
    </row>
    <row r="19">
      <c r="A19" s="12" t="n"/>
      <c r="B19" s="12" t="n"/>
      <c r="C19" s="12" t="n"/>
      <c r="D19" s="12" t="n"/>
      <c r="E19" s="12" t="n"/>
      <c r="F19" s="12" t="n"/>
    </row>
    <row r="20">
      <c r="A20" s="12" t="n"/>
      <c r="B20" s="12" t="n"/>
      <c r="C20" s="12" t="n"/>
      <c r="D20" s="12" t="n"/>
      <c r="E20" s="12" t="n"/>
      <c r="F20" s="12" t="n"/>
    </row>
    <row r="21">
      <c r="A21" s="12" t="n"/>
      <c r="B21" s="12" t="n"/>
      <c r="C21" s="12" t="n"/>
      <c r="D21" s="12" t="n"/>
      <c r="E21" s="12" t="n"/>
      <c r="F21" s="12" t="n"/>
    </row>
    <row r="22">
      <c r="A22" s="12" t="n"/>
      <c r="B22" s="12" t="n"/>
      <c r="C22" s="12" t="n"/>
      <c r="D22" s="12" t="n"/>
      <c r="E22" s="12" t="n"/>
      <c r="F22" s="12" t="n"/>
    </row>
    <row r="23">
      <c r="A23" s="12" t="n"/>
      <c r="B23" s="12" t="n"/>
      <c r="C23" s="12" t="n"/>
      <c r="D23" s="12" t="n"/>
      <c r="E23" s="12" t="n"/>
      <c r="F23" s="12" t="n"/>
    </row>
    <row r="24">
      <c r="A24" s="12" t="n"/>
      <c r="B24" s="12" t="n"/>
      <c r="C24" s="12" t="n"/>
      <c r="D24" s="12" t="n"/>
      <c r="E24" s="12" t="n"/>
      <c r="F24" s="12" t="n"/>
    </row>
    <row r="25">
      <c r="A25" s="12" t="n"/>
      <c r="B25" s="12" t="n"/>
      <c r="C25" s="12" t="n"/>
      <c r="D25" s="12" t="n"/>
      <c r="E25" s="12" t="n"/>
      <c r="F25" s="12" t="n"/>
    </row>
    <row r="26">
      <c r="A26" s="12" t="n"/>
      <c r="B26" s="12" t="n"/>
      <c r="C26" s="12" t="n"/>
      <c r="D26" s="12" t="n"/>
      <c r="E26" s="12" t="n"/>
      <c r="F26" s="12" t="n"/>
    </row>
    <row r="27">
      <c r="A27" s="12" t="n"/>
      <c r="B27" s="12" t="n"/>
      <c r="C27" s="12" t="n"/>
      <c r="D27" s="12" t="n"/>
      <c r="E27" s="12" t="n"/>
      <c r="F27" s="12" t="n"/>
    </row>
    <row r="28">
      <c r="A28" s="12" t="n"/>
      <c r="B28" s="12" t="n"/>
      <c r="C28" s="12" t="n"/>
      <c r="D28" s="12" t="n"/>
      <c r="E28" s="12" t="n"/>
      <c r="F28" s="12" t="n"/>
    </row>
    <row r="29">
      <c r="A29" s="12" t="n"/>
      <c r="B29" s="12" t="n"/>
      <c r="C29" s="12" t="n"/>
      <c r="D29" s="12" t="n"/>
      <c r="E29" s="12" t="n"/>
      <c r="F29" s="12" t="n"/>
    </row>
    <row r="30">
      <c r="A30" s="12" t="n"/>
      <c r="B30" s="12" t="n"/>
      <c r="C30" s="12" t="n"/>
      <c r="D30" s="12" t="n"/>
      <c r="E30" s="12" t="n"/>
      <c r="F30" s="12" t="n"/>
    </row>
    <row r="31">
      <c r="A31" s="12" t="n"/>
      <c r="B31" s="12" t="n"/>
      <c r="C31" s="12" t="n"/>
      <c r="D31" s="12" t="n"/>
      <c r="E31" s="12" t="n"/>
      <c r="F31" s="12" t="n"/>
    </row>
    <row r="32">
      <c r="A32" s="12" t="n"/>
      <c r="B32" s="12" t="n"/>
      <c r="C32" s="12" t="n"/>
      <c r="D32" s="12" t="n"/>
      <c r="E32" s="12" t="n"/>
      <c r="F32" s="12" t="n"/>
    </row>
    <row r="33">
      <c r="A33" s="12" t="n"/>
      <c r="B33" s="12" t="n"/>
      <c r="C33" s="12" t="n"/>
      <c r="D33" s="12" t="n"/>
      <c r="E33" s="12" t="n"/>
      <c r="F33" s="12" t="n"/>
    </row>
    <row r="34">
      <c r="A34" s="12" t="n"/>
      <c r="B34" s="12" t="n"/>
      <c r="C34" s="12" t="n"/>
      <c r="D34" s="12" t="n"/>
      <c r="E34" s="12" t="n"/>
      <c r="F34" s="12" t="n"/>
    </row>
    <row r="35">
      <c r="A35" s="12" t="n"/>
      <c r="B35" s="12" t="n"/>
      <c r="C35" s="12" t="n"/>
      <c r="D35" s="12" t="n"/>
      <c r="E35" s="12" t="n"/>
      <c r="F35" s="12" t="n"/>
    </row>
    <row r="36">
      <c r="A36" s="12" t="n"/>
      <c r="B36" s="12" t="n"/>
      <c r="C36" s="12" t="n"/>
      <c r="D36" s="12" t="n"/>
      <c r="E36" s="12" t="n"/>
      <c r="F36" s="12" t="n"/>
    </row>
    <row r="37">
      <c r="A37" s="12" t="n"/>
      <c r="B37" s="12" t="n"/>
      <c r="C37" s="12" t="n"/>
      <c r="D37" s="12" t="n"/>
      <c r="E37" s="12" t="n"/>
      <c r="F37" s="12" t="n"/>
    </row>
    <row r="38">
      <c r="A38" s="12" t="n"/>
      <c r="B38" s="12" t="n"/>
      <c r="C38" s="12" t="n"/>
      <c r="D38" s="12" t="n"/>
      <c r="E38" s="12" t="n"/>
      <c r="F38" s="12" t="n"/>
    </row>
    <row r="39">
      <c r="A39" s="12" t="n"/>
      <c r="B39" s="12" t="n"/>
      <c r="C39" s="12" t="n"/>
      <c r="D39" s="12" t="n"/>
      <c r="E39" s="12" t="n"/>
      <c r="F39" s="12" t="n"/>
    </row>
    <row r="40">
      <c r="A40" s="12" t="n"/>
      <c r="B40" s="12" t="n"/>
      <c r="C40" s="12" t="n"/>
      <c r="D40" s="12" t="n"/>
      <c r="E40" s="12" t="n"/>
      <c r="F40" s="12" t="n"/>
    </row>
    <row r="41">
      <c r="A41" s="12" t="n"/>
      <c r="B41" s="12" t="n"/>
      <c r="C41" s="12" t="n"/>
      <c r="D41" s="12" t="n"/>
      <c r="E41" s="12" t="n"/>
      <c r="F41" s="12" t="n"/>
    </row>
    <row r="42">
      <c r="A42" s="12" t="n"/>
      <c r="B42" s="12" t="n"/>
      <c r="C42" s="12" t="n"/>
      <c r="D42" s="12" t="n"/>
      <c r="E42" s="12" t="n"/>
      <c r="F42" s="12" t="n"/>
    </row>
    <row r="43">
      <c r="A43" s="12" t="n"/>
      <c r="B43" s="12" t="n"/>
      <c r="C43" s="12" t="n"/>
      <c r="D43" s="12" t="n"/>
      <c r="E43" s="12" t="n"/>
      <c r="F43" s="12" t="n"/>
    </row>
    <row r="44">
      <c r="A44" s="12" t="n"/>
      <c r="B44" s="12" t="n"/>
      <c r="C44" s="12" t="n"/>
      <c r="D44" s="12" t="n"/>
      <c r="E44" s="12" t="n"/>
      <c r="F44" s="12" t="n"/>
    </row>
    <row r="45">
      <c r="A45" s="12" t="n"/>
      <c r="B45" s="12" t="n"/>
      <c r="C45" s="12" t="n"/>
      <c r="D45" s="12" t="n"/>
      <c r="E45" s="12" t="n"/>
      <c r="F45" s="12" t="n"/>
    </row>
    <row r="46">
      <c r="A46" s="12" t="n"/>
      <c r="B46" s="12" t="n"/>
      <c r="C46" s="12" t="n"/>
      <c r="D46" s="12" t="n"/>
      <c r="E46" s="12" t="n"/>
      <c r="F46" s="12" t="n"/>
    </row>
    <row r="47">
      <c r="A47" s="12" t="n"/>
      <c r="B47" s="12" t="n"/>
      <c r="C47" s="12" t="n"/>
      <c r="D47" s="12" t="n"/>
      <c r="E47" s="12" t="n"/>
      <c r="F47" s="12" t="n"/>
    </row>
    <row r="48">
      <c r="A48" s="12" t="n"/>
      <c r="B48" s="12" t="n"/>
      <c r="C48" s="12" t="n"/>
      <c r="D48" s="12" t="n"/>
      <c r="E48" s="12" t="n"/>
      <c r="F48" s="12" t="n"/>
    </row>
    <row r="49">
      <c r="A49" s="12" t="n"/>
      <c r="B49" s="12" t="n"/>
      <c r="C49" s="12" t="n"/>
      <c r="D49" s="12" t="n"/>
      <c r="E49" s="12" t="n"/>
      <c r="F49" s="12" t="n"/>
    </row>
    <row r="50">
      <c r="A50" s="12" t="n"/>
      <c r="B50" s="12" t="n"/>
      <c r="C50" s="12" t="n"/>
      <c r="D50" s="12" t="n"/>
      <c r="E50" s="12" t="n"/>
      <c r="F50" s="12" t="n"/>
    </row>
    <row r="51">
      <c r="A51" s="12" t="n"/>
      <c r="B51" s="12" t="n"/>
      <c r="C51" s="12" t="n"/>
      <c r="D51" s="12" t="n"/>
      <c r="E51" s="12" t="n"/>
      <c r="F51" s="12" t="n"/>
    </row>
    <row r="52">
      <c r="A52" s="12" t="n"/>
      <c r="B52" s="12" t="n"/>
      <c r="C52" s="12" t="n"/>
      <c r="D52" s="12" t="n"/>
      <c r="E52" s="12" t="n"/>
      <c r="F52" s="12" t="n"/>
    </row>
    <row r="53">
      <c r="A53" s="12" t="n"/>
      <c r="B53" s="12" t="n"/>
      <c r="C53" s="12" t="n"/>
      <c r="D53" s="12" t="n"/>
      <c r="E53" s="12" t="n"/>
      <c r="F53" s="12" t="n"/>
    </row>
    <row r="54">
      <c r="A54" s="12" t="n"/>
      <c r="B54" s="12" t="n"/>
      <c r="C54" s="12" t="n"/>
      <c r="D54" s="12" t="n"/>
      <c r="E54" s="12" t="n"/>
      <c r="F54" s="12" t="n"/>
    </row>
    <row r="55">
      <c r="A55" s="12" t="n"/>
      <c r="B55" s="12" t="n"/>
      <c r="C55" s="12" t="n"/>
      <c r="D55" s="12" t="n"/>
      <c r="E55" s="12" t="n"/>
      <c r="F55" s="12" t="n"/>
    </row>
    <row r="56">
      <c r="A56" s="12" t="n"/>
      <c r="B56" s="12" t="n"/>
      <c r="C56" s="12" t="n"/>
      <c r="D56" s="12" t="n"/>
      <c r="E56" s="12" t="n"/>
      <c r="F56" s="12" t="n"/>
    </row>
    <row r="57">
      <c r="A57" s="12" t="n"/>
      <c r="B57" s="12" t="n"/>
      <c r="C57" s="12" t="n"/>
      <c r="D57" s="12" t="n"/>
      <c r="E57" s="12" t="n"/>
      <c r="F57" s="12" t="n"/>
    </row>
    <row r="58">
      <c r="A58" s="12" t="n"/>
      <c r="B58" s="12" t="n"/>
      <c r="C58" s="12" t="n"/>
      <c r="D58" s="12" t="n"/>
      <c r="E58" s="12" t="n"/>
      <c r="F58" s="12" t="n"/>
    </row>
    <row r="59">
      <c r="A59" s="12" t="n"/>
      <c r="B59" s="12" t="n"/>
      <c r="C59" s="12" t="n"/>
      <c r="D59" s="12" t="n"/>
      <c r="E59" s="12" t="n"/>
      <c r="F59" s="12" t="n"/>
    </row>
    <row r="60">
      <c r="A60" s="12" t="n"/>
      <c r="B60" s="12" t="n"/>
      <c r="C60" s="12" t="n"/>
      <c r="D60" s="12" t="n"/>
      <c r="E60" s="12" t="n"/>
      <c r="F60" s="12" t="n"/>
    </row>
    <row r="61">
      <c r="A61" s="12" t="n"/>
      <c r="B61" s="12" t="n"/>
      <c r="C61" s="12" t="n"/>
      <c r="D61" s="12" t="n"/>
      <c r="E61" s="12" t="n"/>
      <c r="F61" s="12" t="n"/>
    </row>
    <row r="62">
      <c r="A62" s="12" t="n"/>
      <c r="B62" s="12" t="n"/>
      <c r="C62" s="12" t="n"/>
      <c r="D62" s="12" t="n"/>
      <c r="E62" s="12" t="n"/>
      <c r="F62" s="12" t="n"/>
    </row>
    <row r="63">
      <c r="A63" s="12" t="n"/>
      <c r="B63" s="12" t="n"/>
      <c r="C63" s="12" t="n"/>
      <c r="D63" s="12" t="n"/>
      <c r="E63" s="12" t="n"/>
      <c r="F63" s="12" t="n"/>
    </row>
    <row r="64">
      <c r="A64" s="12" t="n"/>
      <c r="B64" s="12" t="n"/>
      <c r="C64" s="12" t="n"/>
      <c r="D64" s="12" t="n"/>
      <c r="E64" s="12" t="n"/>
      <c r="F64" s="12" t="n"/>
    </row>
    <row r="65">
      <c r="A65" s="12" t="n"/>
      <c r="B65" s="12" t="n"/>
      <c r="C65" s="12" t="n"/>
      <c r="D65" s="12" t="n"/>
      <c r="E65" s="12" t="n"/>
      <c r="F65" s="12" t="n"/>
    </row>
    <row r="66">
      <c r="A66" s="12" t="n"/>
      <c r="B66" s="12" t="n"/>
      <c r="C66" s="12" t="n"/>
      <c r="D66" s="12" t="n"/>
      <c r="E66" s="12" t="n"/>
      <c r="F66" s="12" t="n"/>
    </row>
    <row r="67">
      <c r="A67" s="12" t="n"/>
      <c r="B67" s="12" t="n"/>
      <c r="C67" s="12" t="n"/>
      <c r="D67" s="12" t="n"/>
      <c r="E67" s="12" t="n"/>
      <c r="F67" s="12" t="n"/>
    </row>
    <row r="68">
      <c r="A68" s="12" t="n"/>
      <c r="B68" s="12" t="n"/>
      <c r="C68" s="12" t="n"/>
      <c r="D68" s="12" t="n"/>
      <c r="E68" s="12" t="n"/>
      <c r="F68" s="12" t="n"/>
    </row>
    <row r="69">
      <c r="A69" s="12" t="n"/>
      <c r="B69" s="12" t="n"/>
      <c r="C69" s="12" t="n"/>
      <c r="D69" s="12" t="n"/>
      <c r="E69" s="12" t="n"/>
      <c r="F69" s="12" t="n"/>
    </row>
    <row r="70">
      <c r="A70" s="12" t="n"/>
      <c r="B70" s="12" t="n"/>
      <c r="C70" s="12" t="n"/>
      <c r="D70" s="12" t="n"/>
      <c r="E70" s="12" t="n"/>
      <c r="F70" s="12" t="n"/>
    </row>
    <row r="71">
      <c r="A71" s="12" t="n"/>
      <c r="B71" s="12" t="n"/>
      <c r="C71" s="12" t="n"/>
      <c r="D71" s="12" t="n"/>
      <c r="E71" s="12" t="n"/>
      <c r="F71" s="12" t="n"/>
    </row>
    <row r="72">
      <c r="A72" s="12" t="n"/>
      <c r="B72" s="12" t="n"/>
      <c r="C72" s="12" t="n"/>
      <c r="D72" s="12" t="n"/>
      <c r="E72" s="12" t="n"/>
      <c r="F72" s="12" t="n"/>
    </row>
    <row r="73">
      <c r="A73" s="12" t="n"/>
      <c r="B73" s="12" t="n"/>
      <c r="C73" s="12" t="n"/>
      <c r="D73" s="12" t="n"/>
      <c r="E73" s="12" t="n"/>
      <c r="F73" s="12" t="n"/>
    </row>
    <row r="74">
      <c r="A74" s="12" t="n"/>
      <c r="B74" s="12" t="n"/>
      <c r="C74" s="12" t="n"/>
      <c r="D74" s="12" t="n"/>
      <c r="E74" s="12" t="n"/>
      <c r="F74" s="12" t="n"/>
    </row>
    <row r="75">
      <c r="A75" s="12" t="n"/>
      <c r="B75" s="12" t="n"/>
      <c r="C75" s="12" t="n"/>
      <c r="D75" s="12" t="n"/>
      <c r="E75" s="12" t="n"/>
      <c r="F75" s="12" t="n"/>
    </row>
    <row r="76">
      <c r="A76" s="12" t="n"/>
      <c r="B76" s="12" t="n"/>
      <c r="C76" s="12" t="n"/>
      <c r="D76" s="12" t="n"/>
      <c r="E76" s="12" t="n"/>
      <c r="F76" s="12" t="n"/>
    </row>
    <row r="77">
      <c r="A77" s="12" t="n"/>
      <c r="B77" s="12" t="n"/>
      <c r="C77" s="12" t="n"/>
      <c r="D77" s="12" t="n"/>
      <c r="E77" s="12" t="n"/>
      <c r="F77" s="12" t="n"/>
    </row>
    <row r="78">
      <c r="A78" s="12" t="n"/>
      <c r="B78" s="12" t="n"/>
      <c r="C78" s="12" t="n"/>
      <c r="D78" s="12" t="n"/>
      <c r="E78" s="12" t="n"/>
      <c r="F78" s="12" t="n"/>
    </row>
    <row r="79">
      <c r="A79" s="12" t="n"/>
      <c r="B79" s="12" t="n"/>
      <c r="C79" s="12" t="n"/>
      <c r="D79" s="12" t="n"/>
      <c r="E79" s="12" t="n"/>
      <c r="F79" s="12" t="n"/>
    </row>
    <row r="80">
      <c r="A80" s="12" t="n"/>
      <c r="B80" s="12" t="n"/>
      <c r="C80" s="12" t="n"/>
      <c r="D80" s="12" t="n"/>
      <c r="E80" s="12" t="n"/>
      <c r="F80" s="12" t="n"/>
    </row>
    <row r="81">
      <c r="A81" s="12" t="n"/>
      <c r="B81" s="12" t="n"/>
      <c r="C81" s="12" t="n"/>
      <c r="D81" s="12" t="n"/>
      <c r="E81" s="12" t="n"/>
      <c r="F81" s="12" t="n"/>
    </row>
    <row r="82">
      <c r="A82" s="12" t="n"/>
      <c r="B82" s="12" t="n"/>
      <c r="C82" s="12" t="n"/>
      <c r="D82" s="12" t="n"/>
      <c r="E82" s="12" t="n"/>
      <c r="F82" s="12" t="n"/>
    </row>
    <row r="83">
      <c r="A83" s="12" t="n"/>
      <c r="B83" s="12" t="n"/>
      <c r="C83" s="12" t="n"/>
      <c r="D83" s="12" t="n"/>
      <c r="E83" s="12" t="n"/>
      <c r="F83" s="12" t="n"/>
    </row>
    <row r="84">
      <c r="A84" s="12" t="n"/>
      <c r="B84" s="12" t="n"/>
      <c r="C84" s="12" t="n"/>
      <c r="D84" s="12" t="n"/>
      <c r="E84" s="12" t="n"/>
      <c r="F84" s="12" t="n"/>
    </row>
    <row r="85">
      <c r="A85" s="12" t="n"/>
      <c r="B85" s="12" t="n"/>
      <c r="C85" s="12" t="n"/>
      <c r="D85" s="12" t="n"/>
      <c r="E85" s="12" t="n"/>
      <c r="F85" s="12" t="n"/>
    </row>
    <row r="86">
      <c r="A86" s="12" t="n"/>
      <c r="B86" s="12" t="n"/>
      <c r="C86" s="12" t="n"/>
      <c r="D86" s="12" t="n"/>
      <c r="E86" s="12" t="n"/>
      <c r="F86" s="12" t="n"/>
    </row>
    <row r="87">
      <c r="A87" s="12" t="n"/>
      <c r="B87" s="12" t="n"/>
      <c r="C87" s="12" t="n"/>
      <c r="D87" s="12" t="n"/>
      <c r="E87" s="12" t="n"/>
      <c r="F87" s="12" t="n"/>
    </row>
    <row r="88">
      <c r="A88" s="12" t="n"/>
      <c r="B88" s="12" t="n"/>
      <c r="C88" s="12" t="n"/>
      <c r="D88" s="12" t="n"/>
      <c r="E88" s="12" t="n"/>
      <c r="F88" s="12" t="n"/>
    </row>
    <row r="89">
      <c r="A89" s="12" t="n"/>
      <c r="B89" s="12" t="n"/>
      <c r="C89" s="12" t="n"/>
      <c r="D89" s="12" t="n"/>
      <c r="E89" s="12" t="n"/>
      <c r="F89" s="12" t="n"/>
    </row>
    <row r="90">
      <c r="A90" s="12" t="n"/>
      <c r="B90" s="12" t="n"/>
      <c r="C90" s="12" t="n"/>
      <c r="D90" s="12" t="n"/>
      <c r="E90" s="12" t="n"/>
      <c r="F90" s="12" t="n"/>
    </row>
    <row r="91">
      <c r="A91" s="12" t="n"/>
      <c r="B91" s="12" t="n"/>
      <c r="C91" s="12" t="n"/>
      <c r="D91" s="12" t="n"/>
      <c r="E91" s="12" t="n"/>
      <c r="F91" s="12" t="n"/>
    </row>
    <row r="92">
      <c r="A92" s="12" t="n"/>
      <c r="B92" s="12" t="n"/>
      <c r="C92" s="12" t="n"/>
      <c r="D92" s="12" t="n"/>
      <c r="E92" s="12" t="n"/>
      <c r="F92" s="12" t="n"/>
    </row>
    <row r="93">
      <c r="A93" s="12" t="n"/>
      <c r="B93" s="12" t="n"/>
      <c r="C93" s="12" t="n"/>
      <c r="D93" s="12" t="n"/>
      <c r="E93" s="12" t="n"/>
      <c r="F93" s="12" t="n"/>
    </row>
    <row r="94">
      <c r="A94" s="12" t="n"/>
      <c r="B94" s="12" t="n"/>
      <c r="C94" s="12" t="n"/>
      <c r="D94" s="12" t="n"/>
      <c r="E94" s="12" t="n"/>
      <c r="F94" s="12" t="n"/>
    </row>
    <row r="95">
      <c r="A95" s="12" t="n"/>
      <c r="B95" s="12" t="n"/>
      <c r="C95" s="12" t="n"/>
      <c r="D95" s="12" t="n"/>
      <c r="E95" s="12" t="n"/>
      <c r="F95" s="12" t="n"/>
    </row>
    <row r="96">
      <c r="A96" s="12" t="n"/>
      <c r="B96" s="12" t="n"/>
      <c r="C96" s="12" t="n"/>
      <c r="D96" s="12" t="n"/>
      <c r="E96" s="12" t="n"/>
      <c r="F96" s="12" t="n"/>
    </row>
    <row r="97">
      <c r="A97" s="12" t="n"/>
      <c r="B97" s="12" t="n"/>
      <c r="C97" s="12" t="n"/>
      <c r="D97" s="12" t="n"/>
      <c r="E97" s="12" t="n"/>
      <c r="F97" s="12" t="n"/>
    </row>
    <row r="98">
      <c r="A98" s="12" t="n"/>
      <c r="B98" s="12" t="n"/>
      <c r="C98" s="12" t="n"/>
      <c r="D98" s="12" t="n"/>
      <c r="E98" s="12" t="n"/>
      <c r="F98" s="12" t="n"/>
    </row>
    <row r="99">
      <c r="A99" s="12" t="n"/>
      <c r="B99" s="12" t="n"/>
      <c r="C99" s="12" t="n"/>
      <c r="D99" s="12" t="n"/>
      <c r="E99" s="12" t="n"/>
      <c r="F99" s="12" t="n"/>
    </row>
    <row r="100">
      <c r="A100" s="12" t="n"/>
      <c r="B100" s="12" t="n"/>
      <c r="C100" s="12" t="n"/>
      <c r="D100" s="12" t="n"/>
      <c r="E100" s="12" t="n"/>
      <c r="F100" s="12" t="n"/>
    </row>
    <row r="101">
      <c r="A101" s="12" t="n"/>
      <c r="B101" s="12" t="n"/>
      <c r="C101" s="12" t="n"/>
      <c r="D101" s="12" t="n"/>
      <c r="E101" s="12" t="n"/>
      <c r="F101" s="12" t="n"/>
    </row>
    <row r="102">
      <c r="A102" s="12" t="n"/>
      <c r="B102" s="12" t="n"/>
      <c r="C102" s="12" t="n"/>
      <c r="D102" s="12" t="n"/>
      <c r="E102" s="12" t="n"/>
      <c r="F102" s="12" t="n"/>
    </row>
    <row r="103">
      <c r="A103" s="12" t="n"/>
      <c r="B103" s="12" t="n"/>
      <c r="C103" s="12" t="n"/>
      <c r="D103" s="12" t="n"/>
      <c r="E103" s="12" t="n"/>
      <c r="F103" s="12" t="n"/>
    </row>
    <row r="104">
      <c r="A104" s="12" t="n"/>
      <c r="B104" s="12" t="n"/>
      <c r="C104" s="12" t="n"/>
      <c r="D104" s="12" t="n"/>
      <c r="E104" s="12" t="n"/>
      <c r="F104" s="12" t="n"/>
    </row>
    <row r="105">
      <c r="A105" s="12" t="n"/>
      <c r="B105" s="12" t="n"/>
      <c r="C105" s="12" t="n"/>
      <c r="D105" s="12" t="n"/>
      <c r="E105" s="12" t="n"/>
      <c r="F105" s="12" t="n"/>
    </row>
    <row r="106">
      <c r="A106" s="12" t="n"/>
      <c r="B106" s="12" t="n"/>
      <c r="C106" s="12" t="n"/>
      <c r="D106" s="12" t="n"/>
      <c r="E106" s="12" t="n"/>
      <c r="F106" s="12" t="n"/>
    </row>
    <row r="107">
      <c r="A107" s="12" t="n"/>
      <c r="B107" s="12" t="n"/>
      <c r="C107" s="12" t="n"/>
      <c r="D107" s="12" t="n"/>
      <c r="E107" s="12" t="n"/>
      <c r="F107" s="12" t="n"/>
    </row>
    <row r="108">
      <c r="A108" s="12" t="n"/>
      <c r="B108" s="12" t="n"/>
      <c r="C108" s="12" t="n"/>
      <c r="D108" s="12" t="n"/>
      <c r="E108" s="12" t="n"/>
      <c r="F108" s="12" t="n"/>
    </row>
    <row r="109">
      <c r="A109" s="12" t="n"/>
      <c r="B109" s="12" t="n"/>
      <c r="C109" s="12" t="n"/>
      <c r="D109" s="12" t="n"/>
      <c r="E109" s="12" t="n"/>
      <c r="F109" s="12" t="n"/>
    </row>
    <row r="110">
      <c r="A110" s="12" t="n"/>
      <c r="B110" s="12" t="n"/>
      <c r="C110" s="12" t="n"/>
      <c r="D110" s="12" t="n"/>
      <c r="E110" s="12" t="n"/>
      <c r="F110" s="12" t="n"/>
    </row>
    <row r="111">
      <c r="A111" s="12" t="n"/>
      <c r="B111" s="12" t="n"/>
      <c r="C111" s="12" t="n"/>
      <c r="D111" s="12" t="n"/>
      <c r="E111" s="12" t="n"/>
      <c r="F111" s="12" t="n"/>
    </row>
    <row r="112">
      <c r="A112" s="12" t="n"/>
      <c r="B112" s="12" t="n"/>
      <c r="C112" s="12" t="n"/>
      <c r="D112" s="12" t="n"/>
      <c r="E112" s="12" t="n"/>
      <c r="F112" s="12" t="n"/>
    </row>
    <row r="113">
      <c r="A113" s="12" t="n"/>
      <c r="B113" s="12" t="n"/>
      <c r="C113" s="12" t="n"/>
      <c r="D113" s="12" t="n"/>
      <c r="E113" s="12" t="n"/>
      <c r="F113" s="12" t="n"/>
    </row>
    <row r="114">
      <c r="A114" s="12" t="n"/>
      <c r="B114" s="12" t="n"/>
      <c r="C114" s="12" t="n"/>
      <c r="D114" s="12" t="n"/>
      <c r="E114" s="12" t="n"/>
      <c r="F114" s="12" t="n"/>
    </row>
    <row r="115">
      <c r="A115" s="12" t="n"/>
      <c r="B115" s="12" t="n"/>
      <c r="C115" s="12" t="n"/>
      <c r="D115" s="12" t="n"/>
      <c r="E115" s="12" t="n"/>
      <c r="F115" s="12" t="n"/>
    </row>
    <row r="116">
      <c r="A116" s="12" t="n"/>
      <c r="B116" s="12" t="n"/>
      <c r="C116" s="12" t="n"/>
      <c r="D116" s="12" t="n"/>
      <c r="E116" s="12" t="n"/>
      <c r="F116" s="12" t="n"/>
    </row>
    <row r="117">
      <c r="A117" s="12" t="n"/>
      <c r="B117" s="12" t="n"/>
      <c r="C117" s="12" t="n"/>
      <c r="D117" s="12" t="n"/>
      <c r="E117" s="12" t="n"/>
      <c r="F117" s="12" t="n"/>
    </row>
    <row r="118">
      <c r="A118" s="12" t="n"/>
      <c r="B118" s="12" t="n"/>
      <c r="C118" s="12" t="n"/>
      <c r="D118" s="12" t="n"/>
      <c r="E118" s="12" t="n"/>
      <c r="F118" s="12" t="n"/>
    </row>
    <row r="119">
      <c r="A119" s="12" t="n"/>
      <c r="B119" s="12" t="n"/>
      <c r="C119" s="12" t="n"/>
      <c r="D119" s="12" t="n"/>
      <c r="E119" s="12" t="n"/>
      <c r="F119" s="12" t="n"/>
    </row>
    <row r="120">
      <c r="A120" s="12" t="n"/>
      <c r="B120" s="12" t="n"/>
      <c r="C120" s="12" t="n"/>
      <c r="D120" s="12" t="n"/>
      <c r="E120" s="12" t="n"/>
      <c r="F120" s="12" t="n"/>
    </row>
    <row r="121">
      <c r="A121" s="12" t="n"/>
      <c r="B121" s="12" t="n"/>
      <c r="C121" s="12" t="n"/>
      <c r="D121" s="12" t="n"/>
      <c r="E121" s="12" t="n"/>
      <c r="F121" s="12" t="n"/>
    </row>
  </sheetData>
  <autoFilter ref="A1:F121"/>
  <conditionalFormatting sqref="A2:A121">
    <cfRule type="expression" priority="1" dxfId="0" stopIfTrue="0">
      <formula>AND($A2&lt;&gt;"",COUNTIF($A$2:$A$121,$A2)&gt;1)</formula>
    </cfRule>
  </conditionalFormatting>
  <conditionalFormatting sqref="B2:B121">
    <cfRule type="expression" priority="2" dxfId="0" stopIfTrue="0">
      <formula>AND($B2&lt;&gt;"",COUNTIF($B$2:$B$121,$B2)&gt;1)</formula>
    </cfRule>
  </conditionalFormatting>
  <dataValidations count="3">
    <dataValidation sqref="C2:C121" showDropDown="0" showInputMessage="0" showErrorMessage="1" allowBlank="1" errorTitle="Organisational level" error="A whole number between 1 (top) and 20." type="whole" operator="between">
      <formula1>1</formula1>
      <formula2>20</formula2>
    </dataValidation>
    <dataValidation sqref="D2:D121" showDropDown="0" showInputMessage="1" showErrorMessage="1" allowBlank="0" errorTitle="Manages people?" error="Yes or No." promptTitle="Manages people?" prompt="Yes or No." type="list">
      <formula1>List_YesNo</formula1>
    </dataValidation>
    <dataValidation sqref="F2:F121" showDropDown="0" showInputMessage="1" showErrorMessage="1" allowBlank="0" errorTitle="Status" error="ACTIVE or INACTIVE." promptTitle="Status" prompt="ACTIVE or INACTIVE." type="list">
      <formula1>List_RecordStatus</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V200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8" customWidth="1" min="2" max="2"/>
    <col width="18" customWidth="1" min="3" max="3"/>
    <col width="24" customWidth="1" min="4" max="4"/>
    <col width="30" customWidth="1" min="5" max="5"/>
    <col width="18" customWidth="1" min="6" max="6"/>
    <col width="16" customWidth="1" min="7" max="7"/>
    <col width="16" customWidth="1" min="8" max="8"/>
    <col width="20" customWidth="1" min="9" max="9"/>
    <col width="18" customWidth="1" min="10" max="10"/>
    <col width="18" customWidth="1" min="11" max="11"/>
    <col width="22" customWidth="1" min="12" max="12"/>
    <col width="18" customWidth="1" min="13" max="13"/>
    <col width="22" customWidth="1" min="14" max="14"/>
    <col width="12" customWidth="1" min="15" max="15"/>
    <col width="26" customWidth="1" min="16" max="16"/>
    <col width="20" customWidth="1" min="17" max="17"/>
    <col width="26" customWidth="1" min="18" max="18"/>
    <col width="26" customWidth="1" min="19" max="19"/>
    <col width="16" customWidth="1" min="20" max="20"/>
    <col width="30" customWidth="1" min="21" max="21"/>
    <col width="22" customWidth="1" min="22" max="22"/>
  </cols>
  <sheetData>
    <row r="1" ht="40" customHeight="1">
      <c r="A1" s="9" t="inlineStr">
        <is>
          <t>Employee Code *</t>
        </is>
      </c>
      <c r="B1" s="9" t="inlineStr">
        <is>
          <t>First Name *</t>
        </is>
      </c>
      <c r="C1" s="10" t="inlineStr">
        <is>
          <t>Last Name</t>
        </is>
      </c>
      <c r="D1" s="11" t="inlineStr">
        <is>
          <t>Full Name (auto)</t>
        </is>
      </c>
      <c r="E1" s="10" t="inlineStr">
        <is>
          <t>Work Email</t>
        </is>
      </c>
      <c r="F1" s="10" t="inlineStr">
        <is>
          <t>Phone</t>
        </is>
      </c>
      <c r="G1" s="10" t="inlineStr">
        <is>
          <t>Date of Birth</t>
        </is>
      </c>
      <c r="H1" s="9" t="inlineStr">
        <is>
          <t>Joining Date *</t>
        </is>
      </c>
      <c r="I1" s="9" t="inlineStr">
        <is>
          <t>Employment Status *</t>
        </is>
      </c>
      <c r="J1" s="10" t="inlineStr">
        <is>
          <t>Last Working Day</t>
        </is>
      </c>
      <c r="K1" s="9" t="inlineStr">
        <is>
          <t>Department Code *</t>
        </is>
      </c>
      <c r="L1" s="11" t="inlineStr">
        <is>
          <t>Department (auto)</t>
        </is>
      </c>
      <c r="M1" s="9" t="inlineStr">
        <is>
          <t>Designation Code *</t>
        </is>
      </c>
      <c r="N1" s="11" t="inlineStr">
        <is>
          <t>Designation (auto)</t>
        </is>
      </c>
      <c r="O1" s="11" t="inlineStr">
        <is>
          <t>Level (auto)</t>
        </is>
      </c>
      <c r="P1" s="10" t="inlineStr">
        <is>
          <t>Job Title</t>
        </is>
      </c>
      <c r="Q1" s="10" t="inlineStr">
        <is>
          <t>Location</t>
        </is>
      </c>
      <c r="R1" s="10" t="inlineStr">
        <is>
          <t>Reports To (Employee Code)</t>
        </is>
      </c>
      <c r="S1" s="11" t="inlineStr">
        <is>
          <t>Reports To — Name (auto)</t>
        </is>
      </c>
      <c r="T1" s="10" t="inlineStr">
        <is>
          <t>Is a Manager?</t>
        </is>
      </c>
      <c r="U1" s="10" t="inlineStr">
        <is>
          <t>App Login Email</t>
        </is>
      </c>
      <c r="V1" s="10" t="inlineStr">
        <is>
          <t>Photo File Name</t>
        </is>
      </c>
    </row>
    <row r="2">
      <c r="A2" s="12" t="n"/>
      <c r="B2" s="12" t="n"/>
      <c r="C2" s="12" t="n"/>
      <c r="D2" s="13">
        <f>IF($A2="","",TRIM($B2&amp;" "&amp;$C2))</f>
        <v/>
      </c>
      <c r="E2" s="12" t="n"/>
      <c r="F2" s="12" t="n"/>
      <c r="G2" s="14" t="n"/>
      <c r="H2" s="14" t="n"/>
      <c r="I2" s="12" t="n"/>
      <c r="J2" s="14" t="n"/>
      <c r="K2" s="12" t="n"/>
      <c r="L2" s="13">
        <f>IF($K2="","",IFERROR(INDEX(Dept_Names,MATCH($K2,Dept_Codes,0)),"NOT FOUND"))</f>
        <v/>
      </c>
      <c r="M2" s="12" t="n"/>
      <c r="N2" s="13">
        <f>IF($M2="","",IFERROR(INDEX(Desig_Names,MATCH($M2,Desig_Codes,0)),"NOT FOUND"))</f>
        <v/>
      </c>
      <c r="O2" s="13">
        <f>IF($M2="","",IFERROR(INDEX(Desig_Levels,MATCH($M2,Desig_Codes,0)),""))</f>
        <v/>
      </c>
      <c r="P2" s="12" t="n"/>
      <c r="Q2" s="12" t="n"/>
      <c r="R2" s="12" t="n"/>
      <c r="S2" s="13">
        <f>IF($R2="","",IFERROR(INDEX(Emp_Names,MATCH($R2,Emp_Codes,0)),"NOT FOUND"))</f>
        <v/>
      </c>
      <c r="T2" s="12" t="n"/>
      <c r="U2" s="12" t="n"/>
      <c r="V2" s="12" t="n"/>
    </row>
    <row r="3">
      <c r="A3" s="12" t="n"/>
      <c r="B3" s="12" t="n"/>
      <c r="C3" s="12" t="n"/>
      <c r="D3" s="13">
        <f>IF($A3="","",TRIM($B3&amp;" "&amp;$C3))</f>
        <v/>
      </c>
      <c r="E3" s="12" t="n"/>
      <c r="F3" s="12" t="n"/>
      <c r="G3" s="14" t="n"/>
      <c r="H3" s="14" t="n"/>
      <c r="I3" s="12" t="n"/>
      <c r="J3" s="14" t="n"/>
      <c r="K3" s="12" t="n"/>
      <c r="L3" s="13">
        <f>IF($K3="","",IFERROR(INDEX(Dept_Names,MATCH($K3,Dept_Codes,0)),"NOT FOUND"))</f>
        <v/>
      </c>
      <c r="M3" s="12" t="n"/>
      <c r="N3" s="13">
        <f>IF($M3="","",IFERROR(INDEX(Desig_Names,MATCH($M3,Desig_Codes,0)),"NOT FOUND"))</f>
        <v/>
      </c>
      <c r="O3" s="13">
        <f>IF($M3="","",IFERROR(INDEX(Desig_Levels,MATCH($M3,Desig_Codes,0)),""))</f>
        <v/>
      </c>
      <c r="P3" s="12" t="n"/>
      <c r="Q3" s="12" t="n"/>
      <c r="R3" s="12" t="n"/>
      <c r="S3" s="13">
        <f>IF($R3="","",IFERROR(INDEX(Emp_Names,MATCH($R3,Emp_Codes,0)),"NOT FOUND"))</f>
        <v/>
      </c>
      <c r="T3" s="12" t="n"/>
      <c r="U3" s="12" t="n"/>
      <c r="V3" s="12" t="n"/>
    </row>
    <row r="4">
      <c r="A4" s="12" t="n"/>
      <c r="B4" s="12" t="n"/>
      <c r="C4" s="12" t="n"/>
      <c r="D4" s="13">
        <f>IF($A4="","",TRIM($B4&amp;" "&amp;$C4))</f>
        <v/>
      </c>
      <c r="E4" s="12" t="n"/>
      <c r="F4" s="12" t="n"/>
      <c r="G4" s="14" t="n"/>
      <c r="H4" s="14" t="n"/>
      <c r="I4" s="12" t="n"/>
      <c r="J4" s="14" t="n"/>
      <c r="K4" s="12" t="n"/>
      <c r="L4" s="13">
        <f>IF($K4="","",IFERROR(INDEX(Dept_Names,MATCH($K4,Dept_Codes,0)),"NOT FOUND"))</f>
        <v/>
      </c>
      <c r="M4" s="12" t="n"/>
      <c r="N4" s="13">
        <f>IF($M4="","",IFERROR(INDEX(Desig_Names,MATCH($M4,Desig_Codes,0)),"NOT FOUND"))</f>
        <v/>
      </c>
      <c r="O4" s="13">
        <f>IF($M4="","",IFERROR(INDEX(Desig_Levels,MATCH($M4,Desig_Codes,0)),""))</f>
        <v/>
      </c>
      <c r="P4" s="12" t="n"/>
      <c r="Q4" s="12" t="n"/>
      <c r="R4" s="12" t="n"/>
      <c r="S4" s="13">
        <f>IF($R4="","",IFERROR(INDEX(Emp_Names,MATCH($R4,Emp_Codes,0)),"NOT FOUND"))</f>
        <v/>
      </c>
      <c r="T4" s="12" t="n"/>
      <c r="U4" s="12" t="n"/>
      <c r="V4" s="12" t="n"/>
    </row>
    <row r="5">
      <c r="A5" s="12" t="n"/>
      <c r="B5" s="12" t="n"/>
      <c r="C5" s="12" t="n"/>
      <c r="D5" s="13">
        <f>IF($A5="","",TRIM($B5&amp;" "&amp;$C5))</f>
        <v/>
      </c>
      <c r="E5" s="12" t="n"/>
      <c r="F5" s="12" t="n"/>
      <c r="G5" s="14" t="n"/>
      <c r="H5" s="14" t="n"/>
      <c r="I5" s="12" t="n"/>
      <c r="J5" s="14" t="n"/>
      <c r="K5" s="12" t="n"/>
      <c r="L5" s="13">
        <f>IF($K5="","",IFERROR(INDEX(Dept_Names,MATCH($K5,Dept_Codes,0)),"NOT FOUND"))</f>
        <v/>
      </c>
      <c r="M5" s="12" t="n"/>
      <c r="N5" s="13">
        <f>IF($M5="","",IFERROR(INDEX(Desig_Names,MATCH($M5,Desig_Codes,0)),"NOT FOUND"))</f>
        <v/>
      </c>
      <c r="O5" s="13">
        <f>IF($M5="","",IFERROR(INDEX(Desig_Levels,MATCH($M5,Desig_Codes,0)),""))</f>
        <v/>
      </c>
      <c r="P5" s="12" t="n"/>
      <c r="Q5" s="12" t="n"/>
      <c r="R5" s="12" t="n"/>
      <c r="S5" s="13">
        <f>IF($R5="","",IFERROR(INDEX(Emp_Names,MATCH($R5,Emp_Codes,0)),"NOT FOUND"))</f>
        <v/>
      </c>
      <c r="T5" s="12" t="n"/>
      <c r="U5" s="12" t="n"/>
      <c r="V5" s="12" t="n"/>
    </row>
    <row r="6">
      <c r="A6" s="12" t="n"/>
      <c r="B6" s="12" t="n"/>
      <c r="C6" s="12" t="n"/>
      <c r="D6" s="13">
        <f>IF($A6="","",TRIM($B6&amp;" "&amp;$C6))</f>
        <v/>
      </c>
      <c r="E6" s="12" t="n"/>
      <c r="F6" s="12" t="n"/>
      <c r="G6" s="14" t="n"/>
      <c r="H6" s="14" t="n"/>
      <c r="I6" s="12" t="n"/>
      <c r="J6" s="14" t="n"/>
      <c r="K6" s="12" t="n"/>
      <c r="L6" s="13">
        <f>IF($K6="","",IFERROR(INDEX(Dept_Names,MATCH($K6,Dept_Codes,0)),"NOT FOUND"))</f>
        <v/>
      </c>
      <c r="M6" s="12" t="n"/>
      <c r="N6" s="13">
        <f>IF($M6="","",IFERROR(INDEX(Desig_Names,MATCH($M6,Desig_Codes,0)),"NOT FOUND"))</f>
        <v/>
      </c>
      <c r="O6" s="13">
        <f>IF($M6="","",IFERROR(INDEX(Desig_Levels,MATCH($M6,Desig_Codes,0)),""))</f>
        <v/>
      </c>
      <c r="P6" s="12" t="n"/>
      <c r="Q6" s="12" t="n"/>
      <c r="R6" s="12" t="n"/>
      <c r="S6" s="13">
        <f>IF($R6="","",IFERROR(INDEX(Emp_Names,MATCH($R6,Emp_Codes,0)),"NOT FOUND"))</f>
        <v/>
      </c>
      <c r="T6" s="12" t="n"/>
      <c r="U6" s="12" t="n"/>
      <c r="V6" s="12" t="n"/>
    </row>
    <row r="7">
      <c r="A7" s="12" t="n"/>
      <c r="B7" s="12" t="n"/>
      <c r="C7" s="12" t="n"/>
      <c r="D7" s="13">
        <f>IF($A7="","",TRIM($B7&amp;" "&amp;$C7))</f>
        <v/>
      </c>
      <c r="E7" s="12" t="n"/>
      <c r="F7" s="12" t="n"/>
      <c r="G7" s="14" t="n"/>
      <c r="H7" s="14" t="n"/>
      <c r="I7" s="12" t="n"/>
      <c r="J7" s="14" t="n"/>
      <c r="K7" s="12" t="n"/>
      <c r="L7" s="13">
        <f>IF($K7="","",IFERROR(INDEX(Dept_Names,MATCH($K7,Dept_Codes,0)),"NOT FOUND"))</f>
        <v/>
      </c>
      <c r="M7" s="12" t="n"/>
      <c r="N7" s="13">
        <f>IF($M7="","",IFERROR(INDEX(Desig_Names,MATCH($M7,Desig_Codes,0)),"NOT FOUND"))</f>
        <v/>
      </c>
      <c r="O7" s="13">
        <f>IF($M7="","",IFERROR(INDEX(Desig_Levels,MATCH($M7,Desig_Codes,0)),""))</f>
        <v/>
      </c>
      <c r="P7" s="12" t="n"/>
      <c r="Q7" s="12" t="n"/>
      <c r="R7" s="12" t="n"/>
      <c r="S7" s="13">
        <f>IF($R7="","",IFERROR(INDEX(Emp_Names,MATCH($R7,Emp_Codes,0)),"NOT FOUND"))</f>
        <v/>
      </c>
      <c r="T7" s="12" t="n"/>
      <c r="U7" s="12" t="n"/>
      <c r="V7" s="12" t="n"/>
    </row>
    <row r="8">
      <c r="A8" s="12" t="n"/>
      <c r="B8" s="12" t="n"/>
      <c r="C8" s="12" t="n"/>
      <c r="D8" s="13">
        <f>IF($A8="","",TRIM($B8&amp;" "&amp;$C8))</f>
        <v/>
      </c>
      <c r="E8" s="12" t="n"/>
      <c r="F8" s="12" t="n"/>
      <c r="G8" s="14" t="n"/>
      <c r="H8" s="14" t="n"/>
      <c r="I8" s="12" t="n"/>
      <c r="J8" s="14" t="n"/>
      <c r="K8" s="12" t="n"/>
      <c r="L8" s="13">
        <f>IF($K8="","",IFERROR(INDEX(Dept_Names,MATCH($K8,Dept_Codes,0)),"NOT FOUND"))</f>
        <v/>
      </c>
      <c r="M8" s="12" t="n"/>
      <c r="N8" s="13">
        <f>IF($M8="","",IFERROR(INDEX(Desig_Names,MATCH($M8,Desig_Codes,0)),"NOT FOUND"))</f>
        <v/>
      </c>
      <c r="O8" s="13">
        <f>IF($M8="","",IFERROR(INDEX(Desig_Levels,MATCH($M8,Desig_Codes,0)),""))</f>
        <v/>
      </c>
      <c r="P8" s="12" t="n"/>
      <c r="Q8" s="12" t="n"/>
      <c r="R8" s="12" t="n"/>
      <c r="S8" s="13">
        <f>IF($R8="","",IFERROR(INDEX(Emp_Names,MATCH($R8,Emp_Codes,0)),"NOT FOUND"))</f>
        <v/>
      </c>
      <c r="T8" s="12" t="n"/>
      <c r="U8" s="12" t="n"/>
      <c r="V8" s="12" t="n"/>
    </row>
    <row r="9">
      <c r="A9" s="12" t="n"/>
      <c r="B9" s="12" t="n"/>
      <c r="C9" s="12" t="n"/>
      <c r="D9" s="13">
        <f>IF($A9="","",TRIM($B9&amp;" "&amp;$C9))</f>
        <v/>
      </c>
      <c r="E9" s="12" t="n"/>
      <c r="F9" s="12" t="n"/>
      <c r="G9" s="14" t="n"/>
      <c r="H9" s="14" t="n"/>
      <c r="I9" s="12" t="n"/>
      <c r="J9" s="14" t="n"/>
      <c r="K9" s="12" t="n"/>
      <c r="L9" s="13">
        <f>IF($K9="","",IFERROR(INDEX(Dept_Names,MATCH($K9,Dept_Codes,0)),"NOT FOUND"))</f>
        <v/>
      </c>
      <c r="M9" s="12" t="n"/>
      <c r="N9" s="13">
        <f>IF($M9="","",IFERROR(INDEX(Desig_Names,MATCH($M9,Desig_Codes,0)),"NOT FOUND"))</f>
        <v/>
      </c>
      <c r="O9" s="13">
        <f>IF($M9="","",IFERROR(INDEX(Desig_Levels,MATCH($M9,Desig_Codes,0)),""))</f>
        <v/>
      </c>
      <c r="P9" s="12" t="n"/>
      <c r="Q9" s="12" t="n"/>
      <c r="R9" s="12" t="n"/>
      <c r="S9" s="13">
        <f>IF($R9="","",IFERROR(INDEX(Emp_Names,MATCH($R9,Emp_Codes,0)),"NOT FOUND"))</f>
        <v/>
      </c>
      <c r="T9" s="12" t="n"/>
      <c r="U9" s="12" t="n"/>
      <c r="V9" s="12" t="n"/>
    </row>
    <row r="10">
      <c r="A10" s="12" t="n"/>
      <c r="B10" s="12" t="n"/>
      <c r="C10" s="12" t="n"/>
      <c r="D10" s="13">
        <f>IF($A10="","",TRIM($B10&amp;" "&amp;$C10))</f>
        <v/>
      </c>
      <c r="E10" s="12" t="n"/>
      <c r="F10" s="12" t="n"/>
      <c r="G10" s="14" t="n"/>
      <c r="H10" s="14" t="n"/>
      <c r="I10" s="12" t="n"/>
      <c r="J10" s="14" t="n"/>
      <c r="K10" s="12" t="n"/>
      <c r="L10" s="13">
        <f>IF($K10="","",IFERROR(INDEX(Dept_Names,MATCH($K10,Dept_Codes,0)),"NOT FOUND"))</f>
        <v/>
      </c>
      <c r="M10" s="12" t="n"/>
      <c r="N10" s="13">
        <f>IF($M10="","",IFERROR(INDEX(Desig_Names,MATCH($M10,Desig_Codes,0)),"NOT FOUND"))</f>
        <v/>
      </c>
      <c r="O10" s="13">
        <f>IF($M10="","",IFERROR(INDEX(Desig_Levels,MATCH($M10,Desig_Codes,0)),""))</f>
        <v/>
      </c>
      <c r="P10" s="12" t="n"/>
      <c r="Q10" s="12" t="n"/>
      <c r="R10" s="12" t="n"/>
      <c r="S10" s="13">
        <f>IF($R10="","",IFERROR(INDEX(Emp_Names,MATCH($R10,Emp_Codes,0)),"NOT FOUND"))</f>
        <v/>
      </c>
      <c r="T10" s="12" t="n"/>
      <c r="U10" s="12" t="n"/>
      <c r="V10" s="12" t="n"/>
    </row>
    <row r="11">
      <c r="A11" s="12" t="n"/>
      <c r="B11" s="12" t="n"/>
      <c r="C11" s="12" t="n"/>
      <c r="D11" s="13">
        <f>IF($A11="","",TRIM($B11&amp;" "&amp;$C11))</f>
        <v/>
      </c>
      <c r="E11" s="12" t="n"/>
      <c r="F11" s="12" t="n"/>
      <c r="G11" s="14" t="n"/>
      <c r="H11" s="14" t="n"/>
      <c r="I11" s="12" t="n"/>
      <c r="J11" s="14" t="n"/>
      <c r="K11" s="12" t="n"/>
      <c r="L11" s="13">
        <f>IF($K11="","",IFERROR(INDEX(Dept_Names,MATCH($K11,Dept_Codes,0)),"NOT FOUND"))</f>
        <v/>
      </c>
      <c r="M11" s="12" t="n"/>
      <c r="N11" s="13">
        <f>IF($M11="","",IFERROR(INDEX(Desig_Names,MATCH($M11,Desig_Codes,0)),"NOT FOUND"))</f>
        <v/>
      </c>
      <c r="O11" s="13">
        <f>IF($M11="","",IFERROR(INDEX(Desig_Levels,MATCH($M11,Desig_Codes,0)),""))</f>
        <v/>
      </c>
      <c r="P11" s="12" t="n"/>
      <c r="Q11" s="12" t="n"/>
      <c r="R11" s="12" t="n"/>
      <c r="S11" s="13">
        <f>IF($R11="","",IFERROR(INDEX(Emp_Names,MATCH($R11,Emp_Codes,0)),"NOT FOUND"))</f>
        <v/>
      </c>
      <c r="T11" s="12" t="n"/>
      <c r="U11" s="12" t="n"/>
      <c r="V11" s="12" t="n"/>
    </row>
    <row r="12">
      <c r="A12" s="12" t="n"/>
      <c r="B12" s="12" t="n"/>
      <c r="C12" s="12" t="n"/>
      <c r="D12" s="13">
        <f>IF($A12="","",TRIM($B12&amp;" "&amp;$C12))</f>
        <v/>
      </c>
      <c r="E12" s="12" t="n"/>
      <c r="F12" s="12" t="n"/>
      <c r="G12" s="14" t="n"/>
      <c r="H12" s="14" t="n"/>
      <c r="I12" s="12" t="n"/>
      <c r="J12" s="14" t="n"/>
      <c r="K12" s="12" t="n"/>
      <c r="L12" s="13">
        <f>IF($K12="","",IFERROR(INDEX(Dept_Names,MATCH($K12,Dept_Codes,0)),"NOT FOUND"))</f>
        <v/>
      </c>
      <c r="M12" s="12" t="n"/>
      <c r="N12" s="13">
        <f>IF($M12="","",IFERROR(INDEX(Desig_Names,MATCH($M12,Desig_Codes,0)),"NOT FOUND"))</f>
        <v/>
      </c>
      <c r="O12" s="13">
        <f>IF($M12="","",IFERROR(INDEX(Desig_Levels,MATCH($M12,Desig_Codes,0)),""))</f>
        <v/>
      </c>
      <c r="P12" s="12" t="n"/>
      <c r="Q12" s="12" t="n"/>
      <c r="R12" s="12" t="n"/>
      <c r="S12" s="13">
        <f>IF($R12="","",IFERROR(INDEX(Emp_Names,MATCH($R12,Emp_Codes,0)),"NOT FOUND"))</f>
        <v/>
      </c>
      <c r="T12" s="12" t="n"/>
      <c r="U12" s="12" t="n"/>
      <c r="V12" s="12" t="n"/>
    </row>
    <row r="13">
      <c r="A13" s="12" t="n"/>
      <c r="B13" s="12" t="n"/>
      <c r="C13" s="12" t="n"/>
      <c r="D13" s="13">
        <f>IF($A13="","",TRIM($B13&amp;" "&amp;$C13))</f>
        <v/>
      </c>
      <c r="E13" s="12" t="n"/>
      <c r="F13" s="12" t="n"/>
      <c r="G13" s="14" t="n"/>
      <c r="H13" s="14" t="n"/>
      <c r="I13" s="12" t="n"/>
      <c r="J13" s="14" t="n"/>
      <c r="K13" s="12" t="n"/>
      <c r="L13" s="13">
        <f>IF($K13="","",IFERROR(INDEX(Dept_Names,MATCH($K13,Dept_Codes,0)),"NOT FOUND"))</f>
        <v/>
      </c>
      <c r="M13" s="12" t="n"/>
      <c r="N13" s="13">
        <f>IF($M13="","",IFERROR(INDEX(Desig_Names,MATCH($M13,Desig_Codes,0)),"NOT FOUND"))</f>
        <v/>
      </c>
      <c r="O13" s="13">
        <f>IF($M13="","",IFERROR(INDEX(Desig_Levels,MATCH($M13,Desig_Codes,0)),""))</f>
        <v/>
      </c>
      <c r="P13" s="12" t="n"/>
      <c r="Q13" s="12" t="n"/>
      <c r="R13" s="12" t="n"/>
      <c r="S13" s="13">
        <f>IF($R13="","",IFERROR(INDEX(Emp_Names,MATCH($R13,Emp_Codes,0)),"NOT FOUND"))</f>
        <v/>
      </c>
      <c r="T13" s="12" t="n"/>
      <c r="U13" s="12" t="n"/>
      <c r="V13" s="12" t="n"/>
    </row>
    <row r="14">
      <c r="A14" s="12" t="n"/>
      <c r="B14" s="12" t="n"/>
      <c r="C14" s="12" t="n"/>
      <c r="D14" s="13">
        <f>IF($A14="","",TRIM($B14&amp;" "&amp;$C14))</f>
        <v/>
      </c>
      <c r="E14" s="12" t="n"/>
      <c r="F14" s="12" t="n"/>
      <c r="G14" s="14" t="n"/>
      <c r="H14" s="14" t="n"/>
      <c r="I14" s="12" t="n"/>
      <c r="J14" s="14" t="n"/>
      <c r="K14" s="12" t="n"/>
      <c r="L14" s="13">
        <f>IF($K14="","",IFERROR(INDEX(Dept_Names,MATCH($K14,Dept_Codes,0)),"NOT FOUND"))</f>
        <v/>
      </c>
      <c r="M14" s="12" t="n"/>
      <c r="N14" s="13">
        <f>IF($M14="","",IFERROR(INDEX(Desig_Names,MATCH($M14,Desig_Codes,0)),"NOT FOUND"))</f>
        <v/>
      </c>
      <c r="O14" s="13">
        <f>IF($M14="","",IFERROR(INDEX(Desig_Levels,MATCH($M14,Desig_Codes,0)),""))</f>
        <v/>
      </c>
      <c r="P14" s="12" t="n"/>
      <c r="Q14" s="12" t="n"/>
      <c r="R14" s="12" t="n"/>
      <c r="S14" s="13">
        <f>IF($R14="","",IFERROR(INDEX(Emp_Names,MATCH($R14,Emp_Codes,0)),"NOT FOUND"))</f>
        <v/>
      </c>
      <c r="T14" s="12" t="n"/>
      <c r="U14" s="12" t="n"/>
      <c r="V14" s="12" t="n"/>
    </row>
    <row r="15">
      <c r="A15" s="12" t="n"/>
      <c r="B15" s="12" t="n"/>
      <c r="C15" s="12" t="n"/>
      <c r="D15" s="13">
        <f>IF($A15="","",TRIM($B15&amp;" "&amp;$C15))</f>
        <v/>
      </c>
      <c r="E15" s="12" t="n"/>
      <c r="F15" s="12" t="n"/>
      <c r="G15" s="14" t="n"/>
      <c r="H15" s="14" t="n"/>
      <c r="I15" s="12" t="n"/>
      <c r="J15" s="14" t="n"/>
      <c r="K15" s="12" t="n"/>
      <c r="L15" s="13">
        <f>IF($K15="","",IFERROR(INDEX(Dept_Names,MATCH($K15,Dept_Codes,0)),"NOT FOUND"))</f>
        <v/>
      </c>
      <c r="M15" s="12" t="n"/>
      <c r="N15" s="13">
        <f>IF($M15="","",IFERROR(INDEX(Desig_Names,MATCH($M15,Desig_Codes,0)),"NOT FOUND"))</f>
        <v/>
      </c>
      <c r="O15" s="13">
        <f>IF($M15="","",IFERROR(INDEX(Desig_Levels,MATCH($M15,Desig_Codes,0)),""))</f>
        <v/>
      </c>
      <c r="P15" s="12" t="n"/>
      <c r="Q15" s="12" t="n"/>
      <c r="R15" s="12" t="n"/>
      <c r="S15" s="13">
        <f>IF($R15="","",IFERROR(INDEX(Emp_Names,MATCH($R15,Emp_Codes,0)),"NOT FOUND"))</f>
        <v/>
      </c>
      <c r="T15" s="12" t="n"/>
      <c r="U15" s="12" t="n"/>
      <c r="V15" s="12" t="n"/>
    </row>
    <row r="16">
      <c r="A16" s="12" t="n"/>
      <c r="B16" s="12" t="n"/>
      <c r="C16" s="12" t="n"/>
      <c r="D16" s="13">
        <f>IF($A16="","",TRIM($B16&amp;" "&amp;$C16))</f>
        <v/>
      </c>
      <c r="E16" s="12" t="n"/>
      <c r="F16" s="12" t="n"/>
      <c r="G16" s="14" t="n"/>
      <c r="H16" s="14" t="n"/>
      <c r="I16" s="12" t="n"/>
      <c r="J16" s="14" t="n"/>
      <c r="K16" s="12" t="n"/>
      <c r="L16" s="13">
        <f>IF($K16="","",IFERROR(INDEX(Dept_Names,MATCH($K16,Dept_Codes,0)),"NOT FOUND"))</f>
        <v/>
      </c>
      <c r="M16" s="12" t="n"/>
      <c r="N16" s="13">
        <f>IF($M16="","",IFERROR(INDEX(Desig_Names,MATCH($M16,Desig_Codes,0)),"NOT FOUND"))</f>
        <v/>
      </c>
      <c r="O16" s="13">
        <f>IF($M16="","",IFERROR(INDEX(Desig_Levels,MATCH($M16,Desig_Codes,0)),""))</f>
        <v/>
      </c>
      <c r="P16" s="12" t="n"/>
      <c r="Q16" s="12" t="n"/>
      <c r="R16" s="12" t="n"/>
      <c r="S16" s="13">
        <f>IF($R16="","",IFERROR(INDEX(Emp_Names,MATCH($R16,Emp_Codes,0)),"NOT FOUND"))</f>
        <v/>
      </c>
      <c r="T16" s="12" t="n"/>
      <c r="U16" s="12" t="n"/>
      <c r="V16" s="12" t="n"/>
    </row>
    <row r="17">
      <c r="A17" s="12" t="n"/>
      <c r="B17" s="12" t="n"/>
      <c r="C17" s="12" t="n"/>
      <c r="D17" s="13">
        <f>IF($A17="","",TRIM($B17&amp;" "&amp;$C17))</f>
        <v/>
      </c>
      <c r="E17" s="12" t="n"/>
      <c r="F17" s="12" t="n"/>
      <c r="G17" s="14" t="n"/>
      <c r="H17" s="14" t="n"/>
      <c r="I17" s="12" t="n"/>
      <c r="J17" s="14" t="n"/>
      <c r="K17" s="12" t="n"/>
      <c r="L17" s="13">
        <f>IF($K17="","",IFERROR(INDEX(Dept_Names,MATCH($K17,Dept_Codes,0)),"NOT FOUND"))</f>
        <v/>
      </c>
      <c r="M17" s="12" t="n"/>
      <c r="N17" s="13">
        <f>IF($M17="","",IFERROR(INDEX(Desig_Names,MATCH($M17,Desig_Codes,0)),"NOT FOUND"))</f>
        <v/>
      </c>
      <c r="O17" s="13">
        <f>IF($M17="","",IFERROR(INDEX(Desig_Levels,MATCH($M17,Desig_Codes,0)),""))</f>
        <v/>
      </c>
      <c r="P17" s="12" t="n"/>
      <c r="Q17" s="12" t="n"/>
      <c r="R17" s="12" t="n"/>
      <c r="S17" s="13">
        <f>IF($R17="","",IFERROR(INDEX(Emp_Names,MATCH($R17,Emp_Codes,0)),"NOT FOUND"))</f>
        <v/>
      </c>
      <c r="T17" s="12" t="n"/>
      <c r="U17" s="12" t="n"/>
      <c r="V17" s="12" t="n"/>
    </row>
    <row r="18">
      <c r="A18" s="12" t="n"/>
      <c r="B18" s="12" t="n"/>
      <c r="C18" s="12" t="n"/>
      <c r="D18" s="13">
        <f>IF($A18="","",TRIM($B18&amp;" "&amp;$C18))</f>
        <v/>
      </c>
      <c r="E18" s="12" t="n"/>
      <c r="F18" s="12" t="n"/>
      <c r="G18" s="14" t="n"/>
      <c r="H18" s="14" t="n"/>
      <c r="I18" s="12" t="n"/>
      <c r="J18" s="14" t="n"/>
      <c r="K18" s="12" t="n"/>
      <c r="L18" s="13">
        <f>IF($K18="","",IFERROR(INDEX(Dept_Names,MATCH($K18,Dept_Codes,0)),"NOT FOUND"))</f>
        <v/>
      </c>
      <c r="M18" s="12" t="n"/>
      <c r="N18" s="13">
        <f>IF($M18="","",IFERROR(INDEX(Desig_Names,MATCH($M18,Desig_Codes,0)),"NOT FOUND"))</f>
        <v/>
      </c>
      <c r="O18" s="13">
        <f>IF($M18="","",IFERROR(INDEX(Desig_Levels,MATCH($M18,Desig_Codes,0)),""))</f>
        <v/>
      </c>
      <c r="P18" s="12" t="n"/>
      <c r="Q18" s="12" t="n"/>
      <c r="R18" s="12" t="n"/>
      <c r="S18" s="13">
        <f>IF($R18="","",IFERROR(INDEX(Emp_Names,MATCH($R18,Emp_Codes,0)),"NOT FOUND"))</f>
        <v/>
      </c>
      <c r="T18" s="12" t="n"/>
      <c r="U18" s="12" t="n"/>
      <c r="V18" s="12" t="n"/>
    </row>
    <row r="19">
      <c r="A19" s="12" t="n"/>
      <c r="B19" s="12" t="n"/>
      <c r="C19" s="12" t="n"/>
      <c r="D19" s="13">
        <f>IF($A19="","",TRIM($B19&amp;" "&amp;$C19))</f>
        <v/>
      </c>
      <c r="E19" s="12" t="n"/>
      <c r="F19" s="12" t="n"/>
      <c r="G19" s="14" t="n"/>
      <c r="H19" s="14" t="n"/>
      <c r="I19" s="12" t="n"/>
      <c r="J19" s="14" t="n"/>
      <c r="K19" s="12" t="n"/>
      <c r="L19" s="13">
        <f>IF($K19="","",IFERROR(INDEX(Dept_Names,MATCH($K19,Dept_Codes,0)),"NOT FOUND"))</f>
        <v/>
      </c>
      <c r="M19" s="12" t="n"/>
      <c r="N19" s="13">
        <f>IF($M19="","",IFERROR(INDEX(Desig_Names,MATCH($M19,Desig_Codes,0)),"NOT FOUND"))</f>
        <v/>
      </c>
      <c r="O19" s="13">
        <f>IF($M19="","",IFERROR(INDEX(Desig_Levels,MATCH($M19,Desig_Codes,0)),""))</f>
        <v/>
      </c>
      <c r="P19" s="12" t="n"/>
      <c r="Q19" s="12" t="n"/>
      <c r="R19" s="12" t="n"/>
      <c r="S19" s="13">
        <f>IF($R19="","",IFERROR(INDEX(Emp_Names,MATCH($R19,Emp_Codes,0)),"NOT FOUND"))</f>
        <v/>
      </c>
      <c r="T19" s="12" t="n"/>
      <c r="U19" s="12" t="n"/>
      <c r="V19" s="12" t="n"/>
    </row>
    <row r="20">
      <c r="A20" s="12" t="n"/>
      <c r="B20" s="12" t="n"/>
      <c r="C20" s="12" t="n"/>
      <c r="D20" s="13">
        <f>IF($A20="","",TRIM($B20&amp;" "&amp;$C20))</f>
        <v/>
      </c>
      <c r="E20" s="12" t="n"/>
      <c r="F20" s="12" t="n"/>
      <c r="G20" s="14" t="n"/>
      <c r="H20" s="14" t="n"/>
      <c r="I20" s="12" t="n"/>
      <c r="J20" s="14" t="n"/>
      <c r="K20" s="12" t="n"/>
      <c r="L20" s="13">
        <f>IF($K20="","",IFERROR(INDEX(Dept_Names,MATCH($K20,Dept_Codes,0)),"NOT FOUND"))</f>
        <v/>
      </c>
      <c r="M20" s="12" t="n"/>
      <c r="N20" s="13">
        <f>IF($M20="","",IFERROR(INDEX(Desig_Names,MATCH($M20,Desig_Codes,0)),"NOT FOUND"))</f>
        <v/>
      </c>
      <c r="O20" s="13">
        <f>IF($M20="","",IFERROR(INDEX(Desig_Levels,MATCH($M20,Desig_Codes,0)),""))</f>
        <v/>
      </c>
      <c r="P20" s="12" t="n"/>
      <c r="Q20" s="12" t="n"/>
      <c r="R20" s="12" t="n"/>
      <c r="S20" s="13">
        <f>IF($R20="","",IFERROR(INDEX(Emp_Names,MATCH($R20,Emp_Codes,0)),"NOT FOUND"))</f>
        <v/>
      </c>
      <c r="T20" s="12" t="n"/>
      <c r="U20" s="12" t="n"/>
      <c r="V20" s="12" t="n"/>
    </row>
    <row r="21">
      <c r="A21" s="12" t="n"/>
      <c r="B21" s="12" t="n"/>
      <c r="C21" s="12" t="n"/>
      <c r="D21" s="13">
        <f>IF($A21="","",TRIM($B21&amp;" "&amp;$C21))</f>
        <v/>
      </c>
      <c r="E21" s="12" t="n"/>
      <c r="F21" s="12" t="n"/>
      <c r="G21" s="14" t="n"/>
      <c r="H21" s="14" t="n"/>
      <c r="I21" s="12" t="n"/>
      <c r="J21" s="14" t="n"/>
      <c r="K21" s="12" t="n"/>
      <c r="L21" s="13">
        <f>IF($K21="","",IFERROR(INDEX(Dept_Names,MATCH($K21,Dept_Codes,0)),"NOT FOUND"))</f>
        <v/>
      </c>
      <c r="M21" s="12" t="n"/>
      <c r="N21" s="13">
        <f>IF($M21="","",IFERROR(INDEX(Desig_Names,MATCH($M21,Desig_Codes,0)),"NOT FOUND"))</f>
        <v/>
      </c>
      <c r="O21" s="13">
        <f>IF($M21="","",IFERROR(INDEX(Desig_Levels,MATCH($M21,Desig_Codes,0)),""))</f>
        <v/>
      </c>
      <c r="P21" s="12" t="n"/>
      <c r="Q21" s="12" t="n"/>
      <c r="R21" s="12" t="n"/>
      <c r="S21" s="13">
        <f>IF($R21="","",IFERROR(INDEX(Emp_Names,MATCH($R21,Emp_Codes,0)),"NOT FOUND"))</f>
        <v/>
      </c>
      <c r="T21" s="12" t="n"/>
      <c r="U21" s="12" t="n"/>
      <c r="V21" s="12" t="n"/>
    </row>
    <row r="22">
      <c r="A22" s="12" t="n"/>
      <c r="B22" s="12" t="n"/>
      <c r="C22" s="12" t="n"/>
      <c r="D22" s="13">
        <f>IF($A22="","",TRIM($B22&amp;" "&amp;$C22))</f>
        <v/>
      </c>
      <c r="E22" s="12" t="n"/>
      <c r="F22" s="12" t="n"/>
      <c r="G22" s="14" t="n"/>
      <c r="H22" s="14" t="n"/>
      <c r="I22" s="12" t="n"/>
      <c r="J22" s="14" t="n"/>
      <c r="K22" s="12" t="n"/>
      <c r="L22" s="13">
        <f>IF($K22="","",IFERROR(INDEX(Dept_Names,MATCH($K22,Dept_Codes,0)),"NOT FOUND"))</f>
        <v/>
      </c>
      <c r="M22" s="12" t="n"/>
      <c r="N22" s="13">
        <f>IF($M22="","",IFERROR(INDEX(Desig_Names,MATCH($M22,Desig_Codes,0)),"NOT FOUND"))</f>
        <v/>
      </c>
      <c r="O22" s="13">
        <f>IF($M22="","",IFERROR(INDEX(Desig_Levels,MATCH($M22,Desig_Codes,0)),""))</f>
        <v/>
      </c>
      <c r="P22" s="12" t="n"/>
      <c r="Q22" s="12" t="n"/>
      <c r="R22" s="12" t="n"/>
      <c r="S22" s="13">
        <f>IF($R22="","",IFERROR(INDEX(Emp_Names,MATCH($R22,Emp_Codes,0)),"NOT FOUND"))</f>
        <v/>
      </c>
      <c r="T22" s="12" t="n"/>
      <c r="U22" s="12" t="n"/>
      <c r="V22" s="12" t="n"/>
    </row>
    <row r="23">
      <c r="A23" s="12" t="n"/>
      <c r="B23" s="12" t="n"/>
      <c r="C23" s="12" t="n"/>
      <c r="D23" s="13">
        <f>IF($A23="","",TRIM($B23&amp;" "&amp;$C23))</f>
        <v/>
      </c>
      <c r="E23" s="12" t="n"/>
      <c r="F23" s="12" t="n"/>
      <c r="G23" s="14" t="n"/>
      <c r="H23" s="14" t="n"/>
      <c r="I23" s="12" t="n"/>
      <c r="J23" s="14" t="n"/>
      <c r="K23" s="12" t="n"/>
      <c r="L23" s="13">
        <f>IF($K23="","",IFERROR(INDEX(Dept_Names,MATCH($K23,Dept_Codes,0)),"NOT FOUND"))</f>
        <v/>
      </c>
      <c r="M23" s="12" t="n"/>
      <c r="N23" s="13">
        <f>IF($M23="","",IFERROR(INDEX(Desig_Names,MATCH($M23,Desig_Codes,0)),"NOT FOUND"))</f>
        <v/>
      </c>
      <c r="O23" s="13">
        <f>IF($M23="","",IFERROR(INDEX(Desig_Levels,MATCH($M23,Desig_Codes,0)),""))</f>
        <v/>
      </c>
      <c r="P23" s="12" t="n"/>
      <c r="Q23" s="12" t="n"/>
      <c r="R23" s="12" t="n"/>
      <c r="S23" s="13">
        <f>IF($R23="","",IFERROR(INDEX(Emp_Names,MATCH($R23,Emp_Codes,0)),"NOT FOUND"))</f>
        <v/>
      </c>
      <c r="T23" s="12" t="n"/>
      <c r="U23" s="12" t="n"/>
      <c r="V23" s="12" t="n"/>
    </row>
    <row r="24">
      <c r="A24" s="12" t="n"/>
      <c r="B24" s="12" t="n"/>
      <c r="C24" s="12" t="n"/>
      <c r="D24" s="13">
        <f>IF($A24="","",TRIM($B24&amp;" "&amp;$C24))</f>
        <v/>
      </c>
      <c r="E24" s="12" t="n"/>
      <c r="F24" s="12" t="n"/>
      <c r="G24" s="14" t="n"/>
      <c r="H24" s="14" t="n"/>
      <c r="I24" s="12" t="n"/>
      <c r="J24" s="14" t="n"/>
      <c r="K24" s="12" t="n"/>
      <c r="L24" s="13">
        <f>IF($K24="","",IFERROR(INDEX(Dept_Names,MATCH($K24,Dept_Codes,0)),"NOT FOUND"))</f>
        <v/>
      </c>
      <c r="M24" s="12" t="n"/>
      <c r="N24" s="13">
        <f>IF($M24="","",IFERROR(INDEX(Desig_Names,MATCH($M24,Desig_Codes,0)),"NOT FOUND"))</f>
        <v/>
      </c>
      <c r="O24" s="13">
        <f>IF($M24="","",IFERROR(INDEX(Desig_Levels,MATCH($M24,Desig_Codes,0)),""))</f>
        <v/>
      </c>
      <c r="P24" s="12" t="n"/>
      <c r="Q24" s="12" t="n"/>
      <c r="R24" s="12" t="n"/>
      <c r="S24" s="13">
        <f>IF($R24="","",IFERROR(INDEX(Emp_Names,MATCH($R24,Emp_Codes,0)),"NOT FOUND"))</f>
        <v/>
      </c>
      <c r="T24" s="12" t="n"/>
      <c r="U24" s="12" t="n"/>
      <c r="V24" s="12" t="n"/>
    </row>
    <row r="25">
      <c r="A25" s="12" t="n"/>
      <c r="B25" s="12" t="n"/>
      <c r="C25" s="12" t="n"/>
      <c r="D25" s="13">
        <f>IF($A25="","",TRIM($B25&amp;" "&amp;$C25))</f>
        <v/>
      </c>
      <c r="E25" s="12" t="n"/>
      <c r="F25" s="12" t="n"/>
      <c r="G25" s="14" t="n"/>
      <c r="H25" s="14" t="n"/>
      <c r="I25" s="12" t="n"/>
      <c r="J25" s="14" t="n"/>
      <c r="K25" s="12" t="n"/>
      <c r="L25" s="13">
        <f>IF($K25="","",IFERROR(INDEX(Dept_Names,MATCH($K25,Dept_Codes,0)),"NOT FOUND"))</f>
        <v/>
      </c>
      <c r="M25" s="12" t="n"/>
      <c r="N25" s="13">
        <f>IF($M25="","",IFERROR(INDEX(Desig_Names,MATCH($M25,Desig_Codes,0)),"NOT FOUND"))</f>
        <v/>
      </c>
      <c r="O25" s="13">
        <f>IF($M25="","",IFERROR(INDEX(Desig_Levels,MATCH($M25,Desig_Codes,0)),""))</f>
        <v/>
      </c>
      <c r="P25" s="12" t="n"/>
      <c r="Q25" s="12" t="n"/>
      <c r="R25" s="12" t="n"/>
      <c r="S25" s="13">
        <f>IF($R25="","",IFERROR(INDEX(Emp_Names,MATCH($R25,Emp_Codes,0)),"NOT FOUND"))</f>
        <v/>
      </c>
      <c r="T25" s="12" t="n"/>
      <c r="U25" s="12" t="n"/>
      <c r="V25" s="12" t="n"/>
    </row>
    <row r="26">
      <c r="A26" s="12" t="n"/>
      <c r="B26" s="12" t="n"/>
      <c r="C26" s="12" t="n"/>
      <c r="D26" s="13">
        <f>IF($A26="","",TRIM($B26&amp;" "&amp;$C26))</f>
        <v/>
      </c>
      <c r="E26" s="12" t="n"/>
      <c r="F26" s="12" t="n"/>
      <c r="G26" s="14" t="n"/>
      <c r="H26" s="14" t="n"/>
      <c r="I26" s="12" t="n"/>
      <c r="J26" s="14" t="n"/>
      <c r="K26" s="12" t="n"/>
      <c r="L26" s="13">
        <f>IF($K26="","",IFERROR(INDEX(Dept_Names,MATCH($K26,Dept_Codes,0)),"NOT FOUND"))</f>
        <v/>
      </c>
      <c r="M26" s="12" t="n"/>
      <c r="N26" s="13">
        <f>IF($M26="","",IFERROR(INDEX(Desig_Names,MATCH($M26,Desig_Codes,0)),"NOT FOUND"))</f>
        <v/>
      </c>
      <c r="O26" s="13">
        <f>IF($M26="","",IFERROR(INDEX(Desig_Levels,MATCH($M26,Desig_Codes,0)),""))</f>
        <v/>
      </c>
      <c r="P26" s="12" t="n"/>
      <c r="Q26" s="12" t="n"/>
      <c r="R26" s="12" t="n"/>
      <c r="S26" s="13">
        <f>IF($R26="","",IFERROR(INDEX(Emp_Names,MATCH($R26,Emp_Codes,0)),"NOT FOUND"))</f>
        <v/>
      </c>
      <c r="T26" s="12" t="n"/>
      <c r="U26" s="12" t="n"/>
      <c r="V26" s="12" t="n"/>
    </row>
    <row r="27">
      <c r="A27" s="12" t="n"/>
      <c r="B27" s="12" t="n"/>
      <c r="C27" s="12" t="n"/>
      <c r="D27" s="13">
        <f>IF($A27="","",TRIM($B27&amp;" "&amp;$C27))</f>
        <v/>
      </c>
      <c r="E27" s="12" t="n"/>
      <c r="F27" s="12" t="n"/>
      <c r="G27" s="14" t="n"/>
      <c r="H27" s="14" t="n"/>
      <c r="I27" s="12" t="n"/>
      <c r="J27" s="14" t="n"/>
      <c r="K27" s="12" t="n"/>
      <c r="L27" s="13">
        <f>IF($K27="","",IFERROR(INDEX(Dept_Names,MATCH($K27,Dept_Codes,0)),"NOT FOUND"))</f>
        <v/>
      </c>
      <c r="M27" s="12" t="n"/>
      <c r="N27" s="13">
        <f>IF($M27="","",IFERROR(INDEX(Desig_Names,MATCH($M27,Desig_Codes,0)),"NOT FOUND"))</f>
        <v/>
      </c>
      <c r="O27" s="13">
        <f>IF($M27="","",IFERROR(INDEX(Desig_Levels,MATCH($M27,Desig_Codes,0)),""))</f>
        <v/>
      </c>
      <c r="P27" s="12" t="n"/>
      <c r="Q27" s="12" t="n"/>
      <c r="R27" s="12" t="n"/>
      <c r="S27" s="13">
        <f>IF($R27="","",IFERROR(INDEX(Emp_Names,MATCH($R27,Emp_Codes,0)),"NOT FOUND"))</f>
        <v/>
      </c>
      <c r="T27" s="12" t="n"/>
      <c r="U27" s="12" t="n"/>
      <c r="V27" s="12" t="n"/>
    </row>
    <row r="28">
      <c r="A28" s="12" t="n"/>
      <c r="B28" s="12" t="n"/>
      <c r="C28" s="12" t="n"/>
      <c r="D28" s="13">
        <f>IF($A28="","",TRIM($B28&amp;" "&amp;$C28))</f>
        <v/>
      </c>
      <c r="E28" s="12" t="n"/>
      <c r="F28" s="12" t="n"/>
      <c r="G28" s="14" t="n"/>
      <c r="H28" s="14" t="n"/>
      <c r="I28" s="12" t="n"/>
      <c r="J28" s="14" t="n"/>
      <c r="K28" s="12" t="n"/>
      <c r="L28" s="13">
        <f>IF($K28="","",IFERROR(INDEX(Dept_Names,MATCH($K28,Dept_Codes,0)),"NOT FOUND"))</f>
        <v/>
      </c>
      <c r="M28" s="12" t="n"/>
      <c r="N28" s="13">
        <f>IF($M28="","",IFERROR(INDEX(Desig_Names,MATCH($M28,Desig_Codes,0)),"NOT FOUND"))</f>
        <v/>
      </c>
      <c r="O28" s="13">
        <f>IF($M28="","",IFERROR(INDEX(Desig_Levels,MATCH($M28,Desig_Codes,0)),""))</f>
        <v/>
      </c>
      <c r="P28" s="12" t="n"/>
      <c r="Q28" s="12" t="n"/>
      <c r="R28" s="12" t="n"/>
      <c r="S28" s="13">
        <f>IF($R28="","",IFERROR(INDEX(Emp_Names,MATCH($R28,Emp_Codes,0)),"NOT FOUND"))</f>
        <v/>
      </c>
      <c r="T28" s="12" t="n"/>
      <c r="U28" s="12" t="n"/>
      <c r="V28" s="12" t="n"/>
    </row>
    <row r="29">
      <c r="A29" s="12" t="n"/>
      <c r="B29" s="12" t="n"/>
      <c r="C29" s="12" t="n"/>
      <c r="D29" s="13">
        <f>IF($A29="","",TRIM($B29&amp;" "&amp;$C29))</f>
        <v/>
      </c>
      <c r="E29" s="12" t="n"/>
      <c r="F29" s="12" t="n"/>
      <c r="G29" s="14" t="n"/>
      <c r="H29" s="14" t="n"/>
      <c r="I29" s="12" t="n"/>
      <c r="J29" s="14" t="n"/>
      <c r="K29" s="12" t="n"/>
      <c r="L29" s="13">
        <f>IF($K29="","",IFERROR(INDEX(Dept_Names,MATCH($K29,Dept_Codes,0)),"NOT FOUND"))</f>
        <v/>
      </c>
      <c r="M29" s="12" t="n"/>
      <c r="N29" s="13">
        <f>IF($M29="","",IFERROR(INDEX(Desig_Names,MATCH($M29,Desig_Codes,0)),"NOT FOUND"))</f>
        <v/>
      </c>
      <c r="O29" s="13">
        <f>IF($M29="","",IFERROR(INDEX(Desig_Levels,MATCH($M29,Desig_Codes,0)),""))</f>
        <v/>
      </c>
      <c r="P29" s="12" t="n"/>
      <c r="Q29" s="12" t="n"/>
      <c r="R29" s="12" t="n"/>
      <c r="S29" s="13">
        <f>IF($R29="","",IFERROR(INDEX(Emp_Names,MATCH($R29,Emp_Codes,0)),"NOT FOUND"))</f>
        <v/>
      </c>
      <c r="T29" s="12" t="n"/>
      <c r="U29" s="12" t="n"/>
      <c r="V29" s="12" t="n"/>
    </row>
    <row r="30">
      <c r="A30" s="12" t="n"/>
      <c r="B30" s="12" t="n"/>
      <c r="C30" s="12" t="n"/>
      <c r="D30" s="13">
        <f>IF($A30="","",TRIM($B30&amp;" "&amp;$C30))</f>
        <v/>
      </c>
      <c r="E30" s="12" t="n"/>
      <c r="F30" s="12" t="n"/>
      <c r="G30" s="14" t="n"/>
      <c r="H30" s="14" t="n"/>
      <c r="I30" s="12" t="n"/>
      <c r="J30" s="14" t="n"/>
      <c r="K30" s="12" t="n"/>
      <c r="L30" s="13">
        <f>IF($K30="","",IFERROR(INDEX(Dept_Names,MATCH($K30,Dept_Codes,0)),"NOT FOUND"))</f>
        <v/>
      </c>
      <c r="M30" s="12" t="n"/>
      <c r="N30" s="13">
        <f>IF($M30="","",IFERROR(INDEX(Desig_Names,MATCH($M30,Desig_Codes,0)),"NOT FOUND"))</f>
        <v/>
      </c>
      <c r="O30" s="13">
        <f>IF($M30="","",IFERROR(INDEX(Desig_Levels,MATCH($M30,Desig_Codes,0)),""))</f>
        <v/>
      </c>
      <c r="P30" s="12" t="n"/>
      <c r="Q30" s="12" t="n"/>
      <c r="R30" s="12" t="n"/>
      <c r="S30" s="13">
        <f>IF($R30="","",IFERROR(INDEX(Emp_Names,MATCH($R30,Emp_Codes,0)),"NOT FOUND"))</f>
        <v/>
      </c>
      <c r="T30" s="12" t="n"/>
      <c r="U30" s="12" t="n"/>
      <c r="V30" s="12" t="n"/>
    </row>
    <row r="31">
      <c r="A31" s="12" t="n"/>
      <c r="B31" s="12" t="n"/>
      <c r="C31" s="12" t="n"/>
      <c r="D31" s="13">
        <f>IF($A31="","",TRIM($B31&amp;" "&amp;$C31))</f>
        <v/>
      </c>
      <c r="E31" s="12" t="n"/>
      <c r="F31" s="12" t="n"/>
      <c r="G31" s="14" t="n"/>
      <c r="H31" s="14" t="n"/>
      <c r="I31" s="12" t="n"/>
      <c r="J31" s="14" t="n"/>
      <c r="K31" s="12" t="n"/>
      <c r="L31" s="13">
        <f>IF($K31="","",IFERROR(INDEX(Dept_Names,MATCH($K31,Dept_Codes,0)),"NOT FOUND"))</f>
        <v/>
      </c>
      <c r="M31" s="12" t="n"/>
      <c r="N31" s="13">
        <f>IF($M31="","",IFERROR(INDEX(Desig_Names,MATCH($M31,Desig_Codes,0)),"NOT FOUND"))</f>
        <v/>
      </c>
      <c r="O31" s="13">
        <f>IF($M31="","",IFERROR(INDEX(Desig_Levels,MATCH($M31,Desig_Codes,0)),""))</f>
        <v/>
      </c>
      <c r="P31" s="12" t="n"/>
      <c r="Q31" s="12" t="n"/>
      <c r="R31" s="12" t="n"/>
      <c r="S31" s="13">
        <f>IF($R31="","",IFERROR(INDEX(Emp_Names,MATCH($R31,Emp_Codes,0)),"NOT FOUND"))</f>
        <v/>
      </c>
      <c r="T31" s="12" t="n"/>
      <c r="U31" s="12" t="n"/>
      <c r="V31" s="12" t="n"/>
    </row>
    <row r="32">
      <c r="A32" s="12" t="n"/>
      <c r="B32" s="12" t="n"/>
      <c r="C32" s="12" t="n"/>
      <c r="D32" s="13">
        <f>IF($A32="","",TRIM($B32&amp;" "&amp;$C32))</f>
        <v/>
      </c>
      <c r="E32" s="12" t="n"/>
      <c r="F32" s="12" t="n"/>
      <c r="G32" s="14" t="n"/>
      <c r="H32" s="14" t="n"/>
      <c r="I32" s="12" t="n"/>
      <c r="J32" s="14" t="n"/>
      <c r="K32" s="12" t="n"/>
      <c r="L32" s="13">
        <f>IF($K32="","",IFERROR(INDEX(Dept_Names,MATCH($K32,Dept_Codes,0)),"NOT FOUND"))</f>
        <v/>
      </c>
      <c r="M32" s="12" t="n"/>
      <c r="N32" s="13">
        <f>IF($M32="","",IFERROR(INDEX(Desig_Names,MATCH($M32,Desig_Codes,0)),"NOT FOUND"))</f>
        <v/>
      </c>
      <c r="O32" s="13">
        <f>IF($M32="","",IFERROR(INDEX(Desig_Levels,MATCH($M32,Desig_Codes,0)),""))</f>
        <v/>
      </c>
      <c r="P32" s="12" t="n"/>
      <c r="Q32" s="12" t="n"/>
      <c r="R32" s="12" t="n"/>
      <c r="S32" s="13">
        <f>IF($R32="","",IFERROR(INDEX(Emp_Names,MATCH($R32,Emp_Codes,0)),"NOT FOUND"))</f>
        <v/>
      </c>
      <c r="T32" s="12" t="n"/>
      <c r="U32" s="12" t="n"/>
      <c r="V32" s="12" t="n"/>
    </row>
    <row r="33">
      <c r="A33" s="12" t="n"/>
      <c r="B33" s="12" t="n"/>
      <c r="C33" s="12" t="n"/>
      <c r="D33" s="13">
        <f>IF($A33="","",TRIM($B33&amp;" "&amp;$C33))</f>
        <v/>
      </c>
      <c r="E33" s="12" t="n"/>
      <c r="F33" s="12" t="n"/>
      <c r="G33" s="14" t="n"/>
      <c r="H33" s="14" t="n"/>
      <c r="I33" s="12" t="n"/>
      <c r="J33" s="14" t="n"/>
      <c r="K33" s="12" t="n"/>
      <c r="L33" s="13">
        <f>IF($K33="","",IFERROR(INDEX(Dept_Names,MATCH($K33,Dept_Codes,0)),"NOT FOUND"))</f>
        <v/>
      </c>
      <c r="M33" s="12" t="n"/>
      <c r="N33" s="13">
        <f>IF($M33="","",IFERROR(INDEX(Desig_Names,MATCH($M33,Desig_Codes,0)),"NOT FOUND"))</f>
        <v/>
      </c>
      <c r="O33" s="13">
        <f>IF($M33="","",IFERROR(INDEX(Desig_Levels,MATCH($M33,Desig_Codes,0)),""))</f>
        <v/>
      </c>
      <c r="P33" s="12" t="n"/>
      <c r="Q33" s="12" t="n"/>
      <c r="R33" s="12" t="n"/>
      <c r="S33" s="13">
        <f>IF($R33="","",IFERROR(INDEX(Emp_Names,MATCH($R33,Emp_Codes,0)),"NOT FOUND"))</f>
        <v/>
      </c>
      <c r="T33" s="12" t="n"/>
      <c r="U33" s="12" t="n"/>
      <c r="V33" s="12" t="n"/>
    </row>
    <row r="34">
      <c r="A34" s="12" t="n"/>
      <c r="B34" s="12" t="n"/>
      <c r="C34" s="12" t="n"/>
      <c r="D34" s="13">
        <f>IF($A34="","",TRIM($B34&amp;" "&amp;$C34))</f>
        <v/>
      </c>
      <c r="E34" s="12" t="n"/>
      <c r="F34" s="12" t="n"/>
      <c r="G34" s="14" t="n"/>
      <c r="H34" s="14" t="n"/>
      <c r="I34" s="12" t="n"/>
      <c r="J34" s="14" t="n"/>
      <c r="K34" s="12" t="n"/>
      <c r="L34" s="13">
        <f>IF($K34="","",IFERROR(INDEX(Dept_Names,MATCH($K34,Dept_Codes,0)),"NOT FOUND"))</f>
        <v/>
      </c>
      <c r="M34" s="12" t="n"/>
      <c r="N34" s="13">
        <f>IF($M34="","",IFERROR(INDEX(Desig_Names,MATCH($M34,Desig_Codes,0)),"NOT FOUND"))</f>
        <v/>
      </c>
      <c r="O34" s="13">
        <f>IF($M34="","",IFERROR(INDEX(Desig_Levels,MATCH($M34,Desig_Codes,0)),""))</f>
        <v/>
      </c>
      <c r="P34" s="12" t="n"/>
      <c r="Q34" s="12" t="n"/>
      <c r="R34" s="12" t="n"/>
      <c r="S34" s="13">
        <f>IF($R34="","",IFERROR(INDEX(Emp_Names,MATCH($R34,Emp_Codes,0)),"NOT FOUND"))</f>
        <v/>
      </c>
      <c r="T34" s="12" t="n"/>
      <c r="U34" s="12" t="n"/>
      <c r="V34" s="12" t="n"/>
    </row>
    <row r="35">
      <c r="A35" s="12" t="n"/>
      <c r="B35" s="12" t="n"/>
      <c r="C35" s="12" t="n"/>
      <c r="D35" s="13">
        <f>IF($A35="","",TRIM($B35&amp;" "&amp;$C35))</f>
        <v/>
      </c>
      <c r="E35" s="12" t="n"/>
      <c r="F35" s="12" t="n"/>
      <c r="G35" s="14" t="n"/>
      <c r="H35" s="14" t="n"/>
      <c r="I35" s="12" t="n"/>
      <c r="J35" s="14" t="n"/>
      <c r="K35" s="12" t="n"/>
      <c r="L35" s="13">
        <f>IF($K35="","",IFERROR(INDEX(Dept_Names,MATCH($K35,Dept_Codes,0)),"NOT FOUND"))</f>
        <v/>
      </c>
      <c r="M35" s="12" t="n"/>
      <c r="N35" s="13">
        <f>IF($M35="","",IFERROR(INDEX(Desig_Names,MATCH($M35,Desig_Codes,0)),"NOT FOUND"))</f>
        <v/>
      </c>
      <c r="O35" s="13">
        <f>IF($M35="","",IFERROR(INDEX(Desig_Levels,MATCH($M35,Desig_Codes,0)),""))</f>
        <v/>
      </c>
      <c r="P35" s="12" t="n"/>
      <c r="Q35" s="12" t="n"/>
      <c r="R35" s="12" t="n"/>
      <c r="S35" s="13">
        <f>IF($R35="","",IFERROR(INDEX(Emp_Names,MATCH($R35,Emp_Codes,0)),"NOT FOUND"))</f>
        <v/>
      </c>
      <c r="T35" s="12" t="n"/>
      <c r="U35" s="12" t="n"/>
      <c r="V35" s="12" t="n"/>
    </row>
    <row r="36">
      <c r="A36" s="12" t="n"/>
      <c r="B36" s="12" t="n"/>
      <c r="C36" s="12" t="n"/>
      <c r="D36" s="13">
        <f>IF($A36="","",TRIM($B36&amp;" "&amp;$C36))</f>
        <v/>
      </c>
      <c r="E36" s="12" t="n"/>
      <c r="F36" s="12" t="n"/>
      <c r="G36" s="14" t="n"/>
      <c r="H36" s="14" t="n"/>
      <c r="I36" s="12" t="n"/>
      <c r="J36" s="14" t="n"/>
      <c r="K36" s="12" t="n"/>
      <c r="L36" s="13">
        <f>IF($K36="","",IFERROR(INDEX(Dept_Names,MATCH($K36,Dept_Codes,0)),"NOT FOUND"))</f>
        <v/>
      </c>
      <c r="M36" s="12" t="n"/>
      <c r="N36" s="13">
        <f>IF($M36="","",IFERROR(INDEX(Desig_Names,MATCH($M36,Desig_Codes,0)),"NOT FOUND"))</f>
        <v/>
      </c>
      <c r="O36" s="13">
        <f>IF($M36="","",IFERROR(INDEX(Desig_Levels,MATCH($M36,Desig_Codes,0)),""))</f>
        <v/>
      </c>
      <c r="P36" s="12" t="n"/>
      <c r="Q36" s="12" t="n"/>
      <c r="R36" s="12" t="n"/>
      <c r="S36" s="13">
        <f>IF($R36="","",IFERROR(INDEX(Emp_Names,MATCH($R36,Emp_Codes,0)),"NOT FOUND"))</f>
        <v/>
      </c>
      <c r="T36" s="12" t="n"/>
      <c r="U36" s="12" t="n"/>
      <c r="V36" s="12" t="n"/>
    </row>
    <row r="37">
      <c r="A37" s="12" t="n"/>
      <c r="B37" s="12" t="n"/>
      <c r="C37" s="12" t="n"/>
      <c r="D37" s="13">
        <f>IF($A37="","",TRIM($B37&amp;" "&amp;$C37))</f>
        <v/>
      </c>
      <c r="E37" s="12" t="n"/>
      <c r="F37" s="12" t="n"/>
      <c r="G37" s="14" t="n"/>
      <c r="H37" s="14" t="n"/>
      <c r="I37" s="12" t="n"/>
      <c r="J37" s="14" t="n"/>
      <c r="K37" s="12" t="n"/>
      <c r="L37" s="13">
        <f>IF($K37="","",IFERROR(INDEX(Dept_Names,MATCH($K37,Dept_Codes,0)),"NOT FOUND"))</f>
        <v/>
      </c>
      <c r="M37" s="12" t="n"/>
      <c r="N37" s="13">
        <f>IF($M37="","",IFERROR(INDEX(Desig_Names,MATCH($M37,Desig_Codes,0)),"NOT FOUND"))</f>
        <v/>
      </c>
      <c r="O37" s="13">
        <f>IF($M37="","",IFERROR(INDEX(Desig_Levels,MATCH($M37,Desig_Codes,0)),""))</f>
        <v/>
      </c>
      <c r="P37" s="12" t="n"/>
      <c r="Q37" s="12" t="n"/>
      <c r="R37" s="12" t="n"/>
      <c r="S37" s="13">
        <f>IF($R37="","",IFERROR(INDEX(Emp_Names,MATCH($R37,Emp_Codes,0)),"NOT FOUND"))</f>
        <v/>
      </c>
      <c r="T37" s="12" t="n"/>
      <c r="U37" s="12" t="n"/>
      <c r="V37" s="12" t="n"/>
    </row>
    <row r="38">
      <c r="A38" s="12" t="n"/>
      <c r="B38" s="12" t="n"/>
      <c r="C38" s="12" t="n"/>
      <c r="D38" s="13">
        <f>IF($A38="","",TRIM($B38&amp;" "&amp;$C38))</f>
        <v/>
      </c>
      <c r="E38" s="12" t="n"/>
      <c r="F38" s="12" t="n"/>
      <c r="G38" s="14" t="n"/>
      <c r="H38" s="14" t="n"/>
      <c r="I38" s="12" t="n"/>
      <c r="J38" s="14" t="n"/>
      <c r="K38" s="12" t="n"/>
      <c r="L38" s="13">
        <f>IF($K38="","",IFERROR(INDEX(Dept_Names,MATCH($K38,Dept_Codes,0)),"NOT FOUND"))</f>
        <v/>
      </c>
      <c r="M38" s="12" t="n"/>
      <c r="N38" s="13">
        <f>IF($M38="","",IFERROR(INDEX(Desig_Names,MATCH($M38,Desig_Codes,0)),"NOT FOUND"))</f>
        <v/>
      </c>
      <c r="O38" s="13">
        <f>IF($M38="","",IFERROR(INDEX(Desig_Levels,MATCH($M38,Desig_Codes,0)),""))</f>
        <v/>
      </c>
      <c r="P38" s="12" t="n"/>
      <c r="Q38" s="12" t="n"/>
      <c r="R38" s="12" t="n"/>
      <c r="S38" s="13">
        <f>IF($R38="","",IFERROR(INDEX(Emp_Names,MATCH($R38,Emp_Codes,0)),"NOT FOUND"))</f>
        <v/>
      </c>
      <c r="T38" s="12" t="n"/>
      <c r="U38" s="12" t="n"/>
      <c r="V38" s="12" t="n"/>
    </row>
    <row r="39">
      <c r="A39" s="12" t="n"/>
      <c r="B39" s="12" t="n"/>
      <c r="C39" s="12" t="n"/>
      <c r="D39" s="13">
        <f>IF($A39="","",TRIM($B39&amp;" "&amp;$C39))</f>
        <v/>
      </c>
      <c r="E39" s="12" t="n"/>
      <c r="F39" s="12" t="n"/>
      <c r="G39" s="14" t="n"/>
      <c r="H39" s="14" t="n"/>
      <c r="I39" s="12" t="n"/>
      <c r="J39" s="14" t="n"/>
      <c r="K39" s="12" t="n"/>
      <c r="L39" s="13">
        <f>IF($K39="","",IFERROR(INDEX(Dept_Names,MATCH($K39,Dept_Codes,0)),"NOT FOUND"))</f>
        <v/>
      </c>
      <c r="M39" s="12" t="n"/>
      <c r="N39" s="13">
        <f>IF($M39="","",IFERROR(INDEX(Desig_Names,MATCH($M39,Desig_Codes,0)),"NOT FOUND"))</f>
        <v/>
      </c>
      <c r="O39" s="13">
        <f>IF($M39="","",IFERROR(INDEX(Desig_Levels,MATCH($M39,Desig_Codes,0)),""))</f>
        <v/>
      </c>
      <c r="P39" s="12" t="n"/>
      <c r="Q39" s="12" t="n"/>
      <c r="R39" s="12" t="n"/>
      <c r="S39" s="13">
        <f>IF($R39="","",IFERROR(INDEX(Emp_Names,MATCH($R39,Emp_Codes,0)),"NOT FOUND"))</f>
        <v/>
      </c>
      <c r="T39" s="12" t="n"/>
      <c r="U39" s="12" t="n"/>
      <c r="V39" s="12" t="n"/>
    </row>
    <row r="40">
      <c r="A40" s="12" t="n"/>
      <c r="B40" s="12" t="n"/>
      <c r="C40" s="12" t="n"/>
      <c r="D40" s="13">
        <f>IF($A40="","",TRIM($B40&amp;" "&amp;$C40))</f>
        <v/>
      </c>
      <c r="E40" s="12" t="n"/>
      <c r="F40" s="12" t="n"/>
      <c r="G40" s="14" t="n"/>
      <c r="H40" s="14" t="n"/>
      <c r="I40" s="12" t="n"/>
      <c r="J40" s="14" t="n"/>
      <c r="K40" s="12" t="n"/>
      <c r="L40" s="13">
        <f>IF($K40="","",IFERROR(INDEX(Dept_Names,MATCH($K40,Dept_Codes,0)),"NOT FOUND"))</f>
        <v/>
      </c>
      <c r="M40" s="12" t="n"/>
      <c r="N40" s="13">
        <f>IF($M40="","",IFERROR(INDEX(Desig_Names,MATCH($M40,Desig_Codes,0)),"NOT FOUND"))</f>
        <v/>
      </c>
      <c r="O40" s="13">
        <f>IF($M40="","",IFERROR(INDEX(Desig_Levels,MATCH($M40,Desig_Codes,0)),""))</f>
        <v/>
      </c>
      <c r="P40" s="12" t="n"/>
      <c r="Q40" s="12" t="n"/>
      <c r="R40" s="12" t="n"/>
      <c r="S40" s="13">
        <f>IF($R40="","",IFERROR(INDEX(Emp_Names,MATCH($R40,Emp_Codes,0)),"NOT FOUND"))</f>
        <v/>
      </c>
      <c r="T40" s="12" t="n"/>
      <c r="U40" s="12" t="n"/>
      <c r="V40" s="12" t="n"/>
    </row>
    <row r="41">
      <c r="A41" s="12" t="n"/>
      <c r="B41" s="12" t="n"/>
      <c r="C41" s="12" t="n"/>
      <c r="D41" s="13">
        <f>IF($A41="","",TRIM($B41&amp;" "&amp;$C41))</f>
        <v/>
      </c>
      <c r="E41" s="12" t="n"/>
      <c r="F41" s="12" t="n"/>
      <c r="G41" s="14" t="n"/>
      <c r="H41" s="14" t="n"/>
      <c r="I41" s="12" t="n"/>
      <c r="J41" s="14" t="n"/>
      <c r="K41" s="12" t="n"/>
      <c r="L41" s="13">
        <f>IF($K41="","",IFERROR(INDEX(Dept_Names,MATCH($K41,Dept_Codes,0)),"NOT FOUND"))</f>
        <v/>
      </c>
      <c r="M41" s="12" t="n"/>
      <c r="N41" s="13">
        <f>IF($M41="","",IFERROR(INDEX(Desig_Names,MATCH($M41,Desig_Codes,0)),"NOT FOUND"))</f>
        <v/>
      </c>
      <c r="O41" s="13">
        <f>IF($M41="","",IFERROR(INDEX(Desig_Levels,MATCH($M41,Desig_Codes,0)),""))</f>
        <v/>
      </c>
      <c r="P41" s="12" t="n"/>
      <c r="Q41" s="12" t="n"/>
      <c r="R41" s="12" t="n"/>
      <c r="S41" s="13">
        <f>IF($R41="","",IFERROR(INDEX(Emp_Names,MATCH($R41,Emp_Codes,0)),"NOT FOUND"))</f>
        <v/>
      </c>
      <c r="T41" s="12" t="n"/>
      <c r="U41" s="12" t="n"/>
      <c r="V41" s="12" t="n"/>
    </row>
    <row r="42">
      <c r="A42" s="12" t="n"/>
      <c r="B42" s="12" t="n"/>
      <c r="C42" s="12" t="n"/>
      <c r="D42" s="13">
        <f>IF($A42="","",TRIM($B42&amp;" "&amp;$C42))</f>
        <v/>
      </c>
      <c r="E42" s="12" t="n"/>
      <c r="F42" s="12" t="n"/>
      <c r="G42" s="14" t="n"/>
      <c r="H42" s="14" t="n"/>
      <c r="I42" s="12" t="n"/>
      <c r="J42" s="14" t="n"/>
      <c r="K42" s="12" t="n"/>
      <c r="L42" s="13">
        <f>IF($K42="","",IFERROR(INDEX(Dept_Names,MATCH($K42,Dept_Codes,0)),"NOT FOUND"))</f>
        <v/>
      </c>
      <c r="M42" s="12" t="n"/>
      <c r="N42" s="13">
        <f>IF($M42="","",IFERROR(INDEX(Desig_Names,MATCH($M42,Desig_Codes,0)),"NOT FOUND"))</f>
        <v/>
      </c>
      <c r="O42" s="13">
        <f>IF($M42="","",IFERROR(INDEX(Desig_Levels,MATCH($M42,Desig_Codes,0)),""))</f>
        <v/>
      </c>
      <c r="P42" s="12" t="n"/>
      <c r="Q42" s="12" t="n"/>
      <c r="R42" s="12" t="n"/>
      <c r="S42" s="13">
        <f>IF($R42="","",IFERROR(INDEX(Emp_Names,MATCH($R42,Emp_Codes,0)),"NOT FOUND"))</f>
        <v/>
      </c>
      <c r="T42" s="12" t="n"/>
      <c r="U42" s="12" t="n"/>
      <c r="V42" s="12" t="n"/>
    </row>
    <row r="43">
      <c r="A43" s="12" t="n"/>
      <c r="B43" s="12" t="n"/>
      <c r="C43" s="12" t="n"/>
      <c r="D43" s="13">
        <f>IF($A43="","",TRIM($B43&amp;" "&amp;$C43))</f>
        <v/>
      </c>
      <c r="E43" s="12" t="n"/>
      <c r="F43" s="12" t="n"/>
      <c r="G43" s="14" t="n"/>
      <c r="H43" s="14" t="n"/>
      <c r="I43" s="12" t="n"/>
      <c r="J43" s="14" t="n"/>
      <c r="K43" s="12" t="n"/>
      <c r="L43" s="13">
        <f>IF($K43="","",IFERROR(INDEX(Dept_Names,MATCH($K43,Dept_Codes,0)),"NOT FOUND"))</f>
        <v/>
      </c>
      <c r="M43" s="12" t="n"/>
      <c r="N43" s="13">
        <f>IF($M43="","",IFERROR(INDEX(Desig_Names,MATCH($M43,Desig_Codes,0)),"NOT FOUND"))</f>
        <v/>
      </c>
      <c r="O43" s="13">
        <f>IF($M43="","",IFERROR(INDEX(Desig_Levels,MATCH($M43,Desig_Codes,0)),""))</f>
        <v/>
      </c>
      <c r="P43" s="12" t="n"/>
      <c r="Q43" s="12" t="n"/>
      <c r="R43" s="12" t="n"/>
      <c r="S43" s="13">
        <f>IF($R43="","",IFERROR(INDEX(Emp_Names,MATCH($R43,Emp_Codes,0)),"NOT FOUND"))</f>
        <v/>
      </c>
      <c r="T43" s="12" t="n"/>
      <c r="U43" s="12" t="n"/>
      <c r="V43" s="12" t="n"/>
    </row>
    <row r="44">
      <c r="A44" s="12" t="n"/>
      <c r="B44" s="12" t="n"/>
      <c r="C44" s="12" t="n"/>
      <c r="D44" s="13">
        <f>IF($A44="","",TRIM($B44&amp;" "&amp;$C44))</f>
        <v/>
      </c>
      <c r="E44" s="12" t="n"/>
      <c r="F44" s="12" t="n"/>
      <c r="G44" s="14" t="n"/>
      <c r="H44" s="14" t="n"/>
      <c r="I44" s="12" t="n"/>
      <c r="J44" s="14" t="n"/>
      <c r="K44" s="12" t="n"/>
      <c r="L44" s="13">
        <f>IF($K44="","",IFERROR(INDEX(Dept_Names,MATCH($K44,Dept_Codes,0)),"NOT FOUND"))</f>
        <v/>
      </c>
      <c r="M44" s="12" t="n"/>
      <c r="N44" s="13">
        <f>IF($M44="","",IFERROR(INDEX(Desig_Names,MATCH($M44,Desig_Codes,0)),"NOT FOUND"))</f>
        <v/>
      </c>
      <c r="O44" s="13">
        <f>IF($M44="","",IFERROR(INDEX(Desig_Levels,MATCH($M44,Desig_Codes,0)),""))</f>
        <v/>
      </c>
      <c r="P44" s="12" t="n"/>
      <c r="Q44" s="12" t="n"/>
      <c r="R44" s="12" t="n"/>
      <c r="S44" s="13">
        <f>IF($R44="","",IFERROR(INDEX(Emp_Names,MATCH($R44,Emp_Codes,0)),"NOT FOUND"))</f>
        <v/>
      </c>
      <c r="T44" s="12" t="n"/>
      <c r="U44" s="12" t="n"/>
      <c r="V44" s="12" t="n"/>
    </row>
    <row r="45">
      <c r="A45" s="12" t="n"/>
      <c r="B45" s="12" t="n"/>
      <c r="C45" s="12" t="n"/>
      <c r="D45" s="13">
        <f>IF($A45="","",TRIM($B45&amp;" "&amp;$C45))</f>
        <v/>
      </c>
      <c r="E45" s="12" t="n"/>
      <c r="F45" s="12" t="n"/>
      <c r="G45" s="14" t="n"/>
      <c r="H45" s="14" t="n"/>
      <c r="I45" s="12" t="n"/>
      <c r="J45" s="14" t="n"/>
      <c r="K45" s="12" t="n"/>
      <c r="L45" s="13">
        <f>IF($K45="","",IFERROR(INDEX(Dept_Names,MATCH($K45,Dept_Codes,0)),"NOT FOUND"))</f>
        <v/>
      </c>
      <c r="M45" s="12" t="n"/>
      <c r="N45" s="13">
        <f>IF($M45="","",IFERROR(INDEX(Desig_Names,MATCH($M45,Desig_Codes,0)),"NOT FOUND"))</f>
        <v/>
      </c>
      <c r="O45" s="13">
        <f>IF($M45="","",IFERROR(INDEX(Desig_Levels,MATCH($M45,Desig_Codes,0)),""))</f>
        <v/>
      </c>
      <c r="P45" s="12" t="n"/>
      <c r="Q45" s="12" t="n"/>
      <c r="R45" s="12" t="n"/>
      <c r="S45" s="13">
        <f>IF($R45="","",IFERROR(INDEX(Emp_Names,MATCH($R45,Emp_Codes,0)),"NOT FOUND"))</f>
        <v/>
      </c>
      <c r="T45" s="12" t="n"/>
      <c r="U45" s="12" t="n"/>
      <c r="V45" s="12" t="n"/>
    </row>
    <row r="46">
      <c r="A46" s="12" t="n"/>
      <c r="B46" s="12" t="n"/>
      <c r="C46" s="12" t="n"/>
      <c r="D46" s="13">
        <f>IF($A46="","",TRIM($B46&amp;" "&amp;$C46))</f>
        <v/>
      </c>
      <c r="E46" s="12" t="n"/>
      <c r="F46" s="12" t="n"/>
      <c r="G46" s="14" t="n"/>
      <c r="H46" s="14" t="n"/>
      <c r="I46" s="12" t="n"/>
      <c r="J46" s="14" t="n"/>
      <c r="K46" s="12" t="n"/>
      <c r="L46" s="13">
        <f>IF($K46="","",IFERROR(INDEX(Dept_Names,MATCH($K46,Dept_Codes,0)),"NOT FOUND"))</f>
        <v/>
      </c>
      <c r="M46" s="12" t="n"/>
      <c r="N46" s="13">
        <f>IF($M46="","",IFERROR(INDEX(Desig_Names,MATCH($M46,Desig_Codes,0)),"NOT FOUND"))</f>
        <v/>
      </c>
      <c r="O46" s="13">
        <f>IF($M46="","",IFERROR(INDEX(Desig_Levels,MATCH($M46,Desig_Codes,0)),""))</f>
        <v/>
      </c>
      <c r="P46" s="12" t="n"/>
      <c r="Q46" s="12" t="n"/>
      <c r="R46" s="12" t="n"/>
      <c r="S46" s="13">
        <f>IF($R46="","",IFERROR(INDEX(Emp_Names,MATCH($R46,Emp_Codes,0)),"NOT FOUND"))</f>
        <v/>
      </c>
      <c r="T46" s="12" t="n"/>
      <c r="U46" s="12" t="n"/>
      <c r="V46" s="12" t="n"/>
    </row>
    <row r="47">
      <c r="A47" s="12" t="n"/>
      <c r="B47" s="12" t="n"/>
      <c r="C47" s="12" t="n"/>
      <c r="D47" s="13">
        <f>IF($A47="","",TRIM($B47&amp;" "&amp;$C47))</f>
        <v/>
      </c>
      <c r="E47" s="12" t="n"/>
      <c r="F47" s="12" t="n"/>
      <c r="G47" s="14" t="n"/>
      <c r="H47" s="14" t="n"/>
      <c r="I47" s="12" t="n"/>
      <c r="J47" s="14" t="n"/>
      <c r="K47" s="12" t="n"/>
      <c r="L47" s="13">
        <f>IF($K47="","",IFERROR(INDEX(Dept_Names,MATCH($K47,Dept_Codes,0)),"NOT FOUND"))</f>
        <v/>
      </c>
      <c r="M47" s="12" t="n"/>
      <c r="N47" s="13">
        <f>IF($M47="","",IFERROR(INDEX(Desig_Names,MATCH($M47,Desig_Codes,0)),"NOT FOUND"))</f>
        <v/>
      </c>
      <c r="O47" s="13">
        <f>IF($M47="","",IFERROR(INDEX(Desig_Levels,MATCH($M47,Desig_Codes,0)),""))</f>
        <v/>
      </c>
      <c r="P47" s="12" t="n"/>
      <c r="Q47" s="12" t="n"/>
      <c r="R47" s="12" t="n"/>
      <c r="S47" s="13">
        <f>IF($R47="","",IFERROR(INDEX(Emp_Names,MATCH($R47,Emp_Codes,0)),"NOT FOUND"))</f>
        <v/>
      </c>
      <c r="T47" s="12" t="n"/>
      <c r="U47" s="12" t="n"/>
      <c r="V47" s="12" t="n"/>
    </row>
    <row r="48">
      <c r="A48" s="12" t="n"/>
      <c r="B48" s="12" t="n"/>
      <c r="C48" s="12" t="n"/>
      <c r="D48" s="13">
        <f>IF($A48="","",TRIM($B48&amp;" "&amp;$C48))</f>
        <v/>
      </c>
      <c r="E48" s="12" t="n"/>
      <c r="F48" s="12" t="n"/>
      <c r="G48" s="14" t="n"/>
      <c r="H48" s="14" t="n"/>
      <c r="I48" s="12" t="n"/>
      <c r="J48" s="14" t="n"/>
      <c r="K48" s="12" t="n"/>
      <c r="L48" s="13">
        <f>IF($K48="","",IFERROR(INDEX(Dept_Names,MATCH($K48,Dept_Codes,0)),"NOT FOUND"))</f>
        <v/>
      </c>
      <c r="M48" s="12" t="n"/>
      <c r="N48" s="13">
        <f>IF($M48="","",IFERROR(INDEX(Desig_Names,MATCH($M48,Desig_Codes,0)),"NOT FOUND"))</f>
        <v/>
      </c>
      <c r="O48" s="13">
        <f>IF($M48="","",IFERROR(INDEX(Desig_Levels,MATCH($M48,Desig_Codes,0)),""))</f>
        <v/>
      </c>
      <c r="P48" s="12" t="n"/>
      <c r="Q48" s="12" t="n"/>
      <c r="R48" s="12" t="n"/>
      <c r="S48" s="13">
        <f>IF($R48="","",IFERROR(INDEX(Emp_Names,MATCH($R48,Emp_Codes,0)),"NOT FOUND"))</f>
        <v/>
      </c>
      <c r="T48" s="12" t="n"/>
      <c r="U48" s="12" t="n"/>
      <c r="V48" s="12" t="n"/>
    </row>
    <row r="49">
      <c r="A49" s="12" t="n"/>
      <c r="B49" s="12" t="n"/>
      <c r="C49" s="12" t="n"/>
      <c r="D49" s="13">
        <f>IF($A49="","",TRIM($B49&amp;" "&amp;$C49))</f>
        <v/>
      </c>
      <c r="E49" s="12" t="n"/>
      <c r="F49" s="12" t="n"/>
      <c r="G49" s="14" t="n"/>
      <c r="H49" s="14" t="n"/>
      <c r="I49" s="12" t="n"/>
      <c r="J49" s="14" t="n"/>
      <c r="K49" s="12" t="n"/>
      <c r="L49" s="13">
        <f>IF($K49="","",IFERROR(INDEX(Dept_Names,MATCH($K49,Dept_Codes,0)),"NOT FOUND"))</f>
        <v/>
      </c>
      <c r="M49" s="12" t="n"/>
      <c r="N49" s="13">
        <f>IF($M49="","",IFERROR(INDEX(Desig_Names,MATCH($M49,Desig_Codes,0)),"NOT FOUND"))</f>
        <v/>
      </c>
      <c r="O49" s="13">
        <f>IF($M49="","",IFERROR(INDEX(Desig_Levels,MATCH($M49,Desig_Codes,0)),""))</f>
        <v/>
      </c>
      <c r="P49" s="12" t="n"/>
      <c r="Q49" s="12" t="n"/>
      <c r="R49" s="12" t="n"/>
      <c r="S49" s="13">
        <f>IF($R49="","",IFERROR(INDEX(Emp_Names,MATCH($R49,Emp_Codes,0)),"NOT FOUND"))</f>
        <v/>
      </c>
      <c r="T49" s="12" t="n"/>
      <c r="U49" s="12" t="n"/>
      <c r="V49" s="12" t="n"/>
    </row>
    <row r="50">
      <c r="A50" s="12" t="n"/>
      <c r="B50" s="12" t="n"/>
      <c r="C50" s="12" t="n"/>
      <c r="D50" s="13">
        <f>IF($A50="","",TRIM($B50&amp;" "&amp;$C50))</f>
        <v/>
      </c>
      <c r="E50" s="12" t="n"/>
      <c r="F50" s="12" t="n"/>
      <c r="G50" s="14" t="n"/>
      <c r="H50" s="14" t="n"/>
      <c r="I50" s="12" t="n"/>
      <c r="J50" s="14" t="n"/>
      <c r="K50" s="12" t="n"/>
      <c r="L50" s="13">
        <f>IF($K50="","",IFERROR(INDEX(Dept_Names,MATCH($K50,Dept_Codes,0)),"NOT FOUND"))</f>
        <v/>
      </c>
      <c r="M50" s="12" t="n"/>
      <c r="N50" s="13">
        <f>IF($M50="","",IFERROR(INDEX(Desig_Names,MATCH($M50,Desig_Codes,0)),"NOT FOUND"))</f>
        <v/>
      </c>
      <c r="O50" s="13">
        <f>IF($M50="","",IFERROR(INDEX(Desig_Levels,MATCH($M50,Desig_Codes,0)),""))</f>
        <v/>
      </c>
      <c r="P50" s="12" t="n"/>
      <c r="Q50" s="12" t="n"/>
      <c r="R50" s="12" t="n"/>
      <c r="S50" s="13">
        <f>IF($R50="","",IFERROR(INDEX(Emp_Names,MATCH($R50,Emp_Codes,0)),"NOT FOUND"))</f>
        <v/>
      </c>
      <c r="T50" s="12" t="n"/>
      <c r="U50" s="12" t="n"/>
      <c r="V50" s="12" t="n"/>
    </row>
    <row r="51">
      <c r="A51" s="12" t="n"/>
      <c r="B51" s="12" t="n"/>
      <c r="C51" s="12" t="n"/>
      <c r="D51" s="13">
        <f>IF($A51="","",TRIM($B51&amp;" "&amp;$C51))</f>
        <v/>
      </c>
      <c r="E51" s="12" t="n"/>
      <c r="F51" s="12" t="n"/>
      <c r="G51" s="14" t="n"/>
      <c r="H51" s="14" t="n"/>
      <c r="I51" s="12" t="n"/>
      <c r="J51" s="14" t="n"/>
      <c r="K51" s="12" t="n"/>
      <c r="L51" s="13">
        <f>IF($K51="","",IFERROR(INDEX(Dept_Names,MATCH($K51,Dept_Codes,0)),"NOT FOUND"))</f>
        <v/>
      </c>
      <c r="M51" s="12" t="n"/>
      <c r="N51" s="13">
        <f>IF($M51="","",IFERROR(INDEX(Desig_Names,MATCH($M51,Desig_Codes,0)),"NOT FOUND"))</f>
        <v/>
      </c>
      <c r="O51" s="13">
        <f>IF($M51="","",IFERROR(INDEX(Desig_Levels,MATCH($M51,Desig_Codes,0)),""))</f>
        <v/>
      </c>
      <c r="P51" s="12" t="n"/>
      <c r="Q51" s="12" t="n"/>
      <c r="R51" s="12" t="n"/>
      <c r="S51" s="13">
        <f>IF($R51="","",IFERROR(INDEX(Emp_Names,MATCH($R51,Emp_Codes,0)),"NOT FOUND"))</f>
        <v/>
      </c>
      <c r="T51" s="12" t="n"/>
      <c r="U51" s="12" t="n"/>
      <c r="V51" s="12" t="n"/>
    </row>
    <row r="52">
      <c r="A52" s="12" t="n"/>
      <c r="B52" s="12" t="n"/>
      <c r="C52" s="12" t="n"/>
      <c r="D52" s="13">
        <f>IF($A52="","",TRIM($B52&amp;" "&amp;$C52))</f>
        <v/>
      </c>
      <c r="E52" s="12" t="n"/>
      <c r="F52" s="12" t="n"/>
      <c r="G52" s="14" t="n"/>
      <c r="H52" s="14" t="n"/>
      <c r="I52" s="12" t="n"/>
      <c r="J52" s="14" t="n"/>
      <c r="K52" s="12" t="n"/>
      <c r="L52" s="13">
        <f>IF($K52="","",IFERROR(INDEX(Dept_Names,MATCH($K52,Dept_Codes,0)),"NOT FOUND"))</f>
        <v/>
      </c>
      <c r="M52" s="12" t="n"/>
      <c r="N52" s="13">
        <f>IF($M52="","",IFERROR(INDEX(Desig_Names,MATCH($M52,Desig_Codes,0)),"NOT FOUND"))</f>
        <v/>
      </c>
      <c r="O52" s="13">
        <f>IF($M52="","",IFERROR(INDEX(Desig_Levels,MATCH($M52,Desig_Codes,0)),""))</f>
        <v/>
      </c>
      <c r="P52" s="12" t="n"/>
      <c r="Q52" s="12" t="n"/>
      <c r="R52" s="12" t="n"/>
      <c r="S52" s="13">
        <f>IF($R52="","",IFERROR(INDEX(Emp_Names,MATCH($R52,Emp_Codes,0)),"NOT FOUND"))</f>
        <v/>
      </c>
      <c r="T52" s="12" t="n"/>
      <c r="U52" s="12" t="n"/>
      <c r="V52" s="12" t="n"/>
    </row>
    <row r="53">
      <c r="A53" s="12" t="n"/>
      <c r="B53" s="12" t="n"/>
      <c r="C53" s="12" t="n"/>
      <c r="D53" s="13">
        <f>IF($A53="","",TRIM($B53&amp;" "&amp;$C53))</f>
        <v/>
      </c>
      <c r="E53" s="12" t="n"/>
      <c r="F53" s="12" t="n"/>
      <c r="G53" s="14" t="n"/>
      <c r="H53" s="14" t="n"/>
      <c r="I53" s="12" t="n"/>
      <c r="J53" s="14" t="n"/>
      <c r="K53" s="12" t="n"/>
      <c r="L53" s="13">
        <f>IF($K53="","",IFERROR(INDEX(Dept_Names,MATCH($K53,Dept_Codes,0)),"NOT FOUND"))</f>
        <v/>
      </c>
      <c r="M53" s="12" t="n"/>
      <c r="N53" s="13">
        <f>IF($M53="","",IFERROR(INDEX(Desig_Names,MATCH($M53,Desig_Codes,0)),"NOT FOUND"))</f>
        <v/>
      </c>
      <c r="O53" s="13">
        <f>IF($M53="","",IFERROR(INDEX(Desig_Levels,MATCH($M53,Desig_Codes,0)),""))</f>
        <v/>
      </c>
      <c r="P53" s="12" t="n"/>
      <c r="Q53" s="12" t="n"/>
      <c r="R53" s="12" t="n"/>
      <c r="S53" s="13">
        <f>IF($R53="","",IFERROR(INDEX(Emp_Names,MATCH($R53,Emp_Codes,0)),"NOT FOUND"))</f>
        <v/>
      </c>
      <c r="T53" s="12" t="n"/>
      <c r="U53" s="12" t="n"/>
      <c r="V53" s="12" t="n"/>
    </row>
    <row r="54">
      <c r="A54" s="12" t="n"/>
      <c r="B54" s="12" t="n"/>
      <c r="C54" s="12" t="n"/>
      <c r="D54" s="13">
        <f>IF($A54="","",TRIM($B54&amp;" "&amp;$C54))</f>
        <v/>
      </c>
      <c r="E54" s="12" t="n"/>
      <c r="F54" s="12" t="n"/>
      <c r="G54" s="14" t="n"/>
      <c r="H54" s="14" t="n"/>
      <c r="I54" s="12" t="n"/>
      <c r="J54" s="14" t="n"/>
      <c r="K54" s="12" t="n"/>
      <c r="L54" s="13">
        <f>IF($K54="","",IFERROR(INDEX(Dept_Names,MATCH($K54,Dept_Codes,0)),"NOT FOUND"))</f>
        <v/>
      </c>
      <c r="M54" s="12" t="n"/>
      <c r="N54" s="13">
        <f>IF($M54="","",IFERROR(INDEX(Desig_Names,MATCH($M54,Desig_Codes,0)),"NOT FOUND"))</f>
        <v/>
      </c>
      <c r="O54" s="13">
        <f>IF($M54="","",IFERROR(INDEX(Desig_Levels,MATCH($M54,Desig_Codes,0)),""))</f>
        <v/>
      </c>
      <c r="P54" s="12" t="n"/>
      <c r="Q54" s="12" t="n"/>
      <c r="R54" s="12" t="n"/>
      <c r="S54" s="13">
        <f>IF($R54="","",IFERROR(INDEX(Emp_Names,MATCH($R54,Emp_Codes,0)),"NOT FOUND"))</f>
        <v/>
      </c>
      <c r="T54" s="12" t="n"/>
      <c r="U54" s="12" t="n"/>
      <c r="V54" s="12" t="n"/>
    </row>
    <row r="55">
      <c r="A55" s="12" t="n"/>
      <c r="B55" s="12" t="n"/>
      <c r="C55" s="12" t="n"/>
      <c r="D55" s="13">
        <f>IF($A55="","",TRIM($B55&amp;" "&amp;$C55))</f>
        <v/>
      </c>
      <c r="E55" s="12" t="n"/>
      <c r="F55" s="12" t="n"/>
      <c r="G55" s="14" t="n"/>
      <c r="H55" s="14" t="n"/>
      <c r="I55" s="12" t="n"/>
      <c r="J55" s="14" t="n"/>
      <c r="K55" s="12" t="n"/>
      <c r="L55" s="13">
        <f>IF($K55="","",IFERROR(INDEX(Dept_Names,MATCH($K55,Dept_Codes,0)),"NOT FOUND"))</f>
        <v/>
      </c>
      <c r="M55" s="12" t="n"/>
      <c r="N55" s="13">
        <f>IF($M55="","",IFERROR(INDEX(Desig_Names,MATCH($M55,Desig_Codes,0)),"NOT FOUND"))</f>
        <v/>
      </c>
      <c r="O55" s="13">
        <f>IF($M55="","",IFERROR(INDEX(Desig_Levels,MATCH($M55,Desig_Codes,0)),""))</f>
        <v/>
      </c>
      <c r="P55" s="12" t="n"/>
      <c r="Q55" s="12" t="n"/>
      <c r="R55" s="12" t="n"/>
      <c r="S55" s="13">
        <f>IF($R55="","",IFERROR(INDEX(Emp_Names,MATCH($R55,Emp_Codes,0)),"NOT FOUND"))</f>
        <v/>
      </c>
      <c r="T55" s="12" t="n"/>
      <c r="U55" s="12" t="n"/>
      <c r="V55" s="12" t="n"/>
    </row>
    <row r="56">
      <c r="A56" s="12" t="n"/>
      <c r="B56" s="12" t="n"/>
      <c r="C56" s="12" t="n"/>
      <c r="D56" s="13">
        <f>IF($A56="","",TRIM($B56&amp;" "&amp;$C56))</f>
        <v/>
      </c>
      <c r="E56" s="12" t="n"/>
      <c r="F56" s="12" t="n"/>
      <c r="G56" s="14" t="n"/>
      <c r="H56" s="14" t="n"/>
      <c r="I56" s="12" t="n"/>
      <c r="J56" s="14" t="n"/>
      <c r="K56" s="12" t="n"/>
      <c r="L56" s="13">
        <f>IF($K56="","",IFERROR(INDEX(Dept_Names,MATCH($K56,Dept_Codes,0)),"NOT FOUND"))</f>
        <v/>
      </c>
      <c r="M56" s="12" t="n"/>
      <c r="N56" s="13">
        <f>IF($M56="","",IFERROR(INDEX(Desig_Names,MATCH($M56,Desig_Codes,0)),"NOT FOUND"))</f>
        <v/>
      </c>
      <c r="O56" s="13">
        <f>IF($M56="","",IFERROR(INDEX(Desig_Levels,MATCH($M56,Desig_Codes,0)),""))</f>
        <v/>
      </c>
      <c r="P56" s="12" t="n"/>
      <c r="Q56" s="12" t="n"/>
      <c r="R56" s="12" t="n"/>
      <c r="S56" s="13">
        <f>IF($R56="","",IFERROR(INDEX(Emp_Names,MATCH($R56,Emp_Codes,0)),"NOT FOUND"))</f>
        <v/>
      </c>
      <c r="T56" s="12" t="n"/>
      <c r="U56" s="12" t="n"/>
      <c r="V56" s="12" t="n"/>
    </row>
    <row r="57">
      <c r="A57" s="12" t="n"/>
      <c r="B57" s="12" t="n"/>
      <c r="C57" s="12" t="n"/>
      <c r="D57" s="13">
        <f>IF($A57="","",TRIM($B57&amp;" "&amp;$C57))</f>
        <v/>
      </c>
      <c r="E57" s="12" t="n"/>
      <c r="F57" s="12" t="n"/>
      <c r="G57" s="14" t="n"/>
      <c r="H57" s="14" t="n"/>
      <c r="I57" s="12" t="n"/>
      <c r="J57" s="14" t="n"/>
      <c r="K57" s="12" t="n"/>
      <c r="L57" s="13">
        <f>IF($K57="","",IFERROR(INDEX(Dept_Names,MATCH($K57,Dept_Codes,0)),"NOT FOUND"))</f>
        <v/>
      </c>
      <c r="M57" s="12" t="n"/>
      <c r="N57" s="13">
        <f>IF($M57="","",IFERROR(INDEX(Desig_Names,MATCH($M57,Desig_Codes,0)),"NOT FOUND"))</f>
        <v/>
      </c>
      <c r="O57" s="13">
        <f>IF($M57="","",IFERROR(INDEX(Desig_Levels,MATCH($M57,Desig_Codes,0)),""))</f>
        <v/>
      </c>
      <c r="P57" s="12" t="n"/>
      <c r="Q57" s="12" t="n"/>
      <c r="R57" s="12" t="n"/>
      <c r="S57" s="13">
        <f>IF($R57="","",IFERROR(INDEX(Emp_Names,MATCH($R57,Emp_Codes,0)),"NOT FOUND"))</f>
        <v/>
      </c>
      <c r="T57" s="12" t="n"/>
      <c r="U57" s="12" t="n"/>
      <c r="V57" s="12" t="n"/>
    </row>
    <row r="58">
      <c r="A58" s="12" t="n"/>
      <c r="B58" s="12" t="n"/>
      <c r="C58" s="12" t="n"/>
      <c r="D58" s="13">
        <f>IF($A58="","",TRIM($B58&amp;" "&amp;$C58))</f>
        <v/>
      </c>
      <c r="E58" s="12" t="n"/>
      <c r="F58" s="12" t="n"/>
      <c r="G58" s="14" t="n"/>
      <c r="H58" s="14" t="n"/>
      <c r="I58" s="12" t="n"/>
      <c r="J58" s="14" t="n"/>
      <c r="K58" s="12" t="n"/>
      <c r="L58" s="13">
        <f>IF($K58="","",IFERROR(INDEX(Dept_Names,MATCH($K58,Dept_Codes,0)),"NOT FOUND"))</f>
        <v/>
      </c>
      <c r="M58" s="12" t="n"/>
      <c r="N58" s="13">
        <f>IF($M58="","",IFERROR(INDEX(Desig_Names,MATCH($M58,Desig_Codes,0)),"NOT FOUND"))</f>
        <v/>
      </c>
      <c r="O58" s="13">
        <f>IF($M58="","",IFERROR(INDEX(Desig_Levels,MATCH($M58,Desig_Codes,0)),""))</f>
        <v/>
      </c>
      <c r="P58" s="12" t="n"/>
      <c r="Q58" s="12" t="n"/>
      <c r="R58" s="12" t="n"/>
      <c r="S58" s="13">
        <f>IF($R58="","",IFERROR(INDEX(Emp_Names,MATCH($R58,Emp_Codes,0)),"NOT FOUND"))</f>
        <v/>
      </c>
      <c r="T58" s="12" t="n"/>
      <c r="U58" s="12" t="n"/>
      <c r="V58" s="12" t="n"/>
    </row>
    <row r="59">
      <c r="A59" s="12" t="n"/>
      <c r="B59" s="12" t="n"/>
      <c r="C59" s="12" t="n"/>
      <c r="D59" s="13">
        <f>IF($A59="","",TRIM($B59&amp;" "&amp;$C59))</f>
        <v/>
      </c>
      <c r="E59" s="12" t="n"/>
      <c r="F59" s="12" t="n"/>
      <c r="G59" s="14" t="n"/>
      <c r="H59" s="14" t="n"/>
      <c r="I59" s="12" t="n"/>
      <c r="J59" s="14" t="n"/>
      <c r="K59" s="12" t="n"/>
      <c r="L59" s="13">
        <f>IF($K59="","",IFERROR(INDEX(Dept_Names,MATCH($K59,Dept_Codes,0)),"NOT FOUND"))</f>
        <v/>
      </c>
      <c r="M59" s="12" t="n"/>
      <c r="N59" s="13">
        <f>IF($M59="","",IFERROR(INDEX(Desig_Names,MATCH($M59,Desig_Codes,0)),"NOT FOUND"))</f>
        <v/>
      </c>
      <c r="O59" s="13">
        <f>IF($M59="","",IFERROR(INDEX(Desig_Levels,MATCH($M59,Desig_Codes,0)),""))</f>
        <v/>
      </c>
      <c r="P59" s="12" t="n"/>
      <c r="Q59" s="12" t="n"/>
      <c r="R59" s="12" t="n"/>
      <c r="S59" s="13">
        <f>IF($R59="","",IFERROR(INDEX(Emp_Names,MATCH($R59,Emp_Codes,0)),"NOT FOUND"))</f>
        <v/>
      </c>
      <c r="T59" s="12" t="n"/>
      <c r="U59" s="12" t="n"/>
      <c r="V59" s="12" t="n"/>
    </row>
    <row r="60">
      <c r="A60" s="12" t="n"/>
      <c r="B60" s="12" t="n"/>
      <c r="C60" s="12" t="n"/>
      <c r="D60" s="13">
        <f>IF($A60="","",TRIM($B60&amp;" "&amp;$C60))</f>
        <v/>
      </c>
      <c r="E60" s="12" t="n"/>
      <c r="F60" s="12" t="n"/>
      <c r="G60" s="14" t="n"/>
      <c r="H60" s="14" t="n"/>
      <c r="I60" s="12" t="n"/>
      <c r="J60" s="14" t="n"/>
      <c r="K60" s="12" t="n"/>
      <c r="L60" s="13">
        <f>IF($K60="","",IFERROR(INDEX(Dept_Names,MATCH($K60,Dept_Codes,0)),"NOT FOUND"))</f>
        <v/>
      </c>
      <c r="M60" s="12" t="n"/>
      <c r="N60" s="13">
        <f>IF($M60="","",IFERROR(INDEX(Desig_Names,MATCH($M60,Desig_Codes,0)),"NOT FOUND"))</f>
        <v/>
      </c>
      <c r="O60" s="13">
        <f>IF($M60="","",IFERROR(INDEX(Desig_Levels,MATCH($M60,Desig_Codes,0)),""))</f>
        <v/>
      </c>
      <c r="P60" s="12" t="n"/>
      <c r="Q60" s="12" t="n"/>
      <c r="R60" s="12" t="n"/>
      <c r="S60" s="13">
        <f>IF($R60="","",IFERROR(INDEX(Emp_Names,MATCH($R60,Emp_Codes,0)),"NOT FOUND"))</f>
        <v/>
      </c>
      <c r="T60" s="12" t="n"/>
      <c r="U60" s="12" t="n"/>
      <c r="V60" s="12" t="n"/>
    </row>
    <row r="61">
      <c r="A61" s="12" t="n"/>
      <c r="B61" s="12" t="n"/>
      <c r="C61" s="12" t="n"/>
      <c r="D61" s="13">
        <f>IF($A61="","",TRIM($B61&amp;" "&amp;$C61))</f>
        <v/>
      </c>
      <c r="E61" s="12" t="n"/>
      <c r="F61" s="12" t="n"/>
      <c r="G61" s="14" t="n"/>
      <c r="H61" s="14" t="n"/>
      <c r="I61" s="12" t="n"/>
      <c r="J61" s="14" t="n"/>
      <c r="K61" s="12" t="n"/>
      <c r="L61" s="13">
        <f>IF($K61="","",IFERROR(INDEX(Dept_Names,MATCH($K61,Dept_Codes,0)),"NOT FOUND"))</f>
        <v/>
      </c>
      <c r="M61" s="12" t="n"/>
      <c r="N61" s="13">
        <f>IF($M61="","",IFERROR(INDEX(Desig_Names,MATCH($M61,Desig_Codes,0)),"NOT FOUND"))</f>
        <v/>
      </c>
      <c r="O61" s="13">
        <f>IF($M61="","",IFERROR(INDEX(Desig_Levels,MATCH($M61,Desig_Codes,0)),""))</f>
        <v/>
      </c>
      <c r="P61" s="12" t="n"/>
      <c r="Q61" s="12" t="n"/>
      <c r="R61" s="12" t="n"/>
      <c r="S61" s="13">
        <f>IF($R61="","",IFERROR(INDEX(Emp_Names,MATCH($R61,Emp_Codes,0)),"NOT FOUND"))</f>
        <v/>
      </c>
      <c r="T61" s="12" t="n"/>
      <c r="U61" s="12" t="n"/>
      <c r="V61" s="12" t="n"/>
    </row>
    <row r="62">
      <c r="A62" s="12" t="n"/>
      <c r="B62" s="12" t="n"/>
      <c r="C62" s="12" t="n"/>
      <c r="D62" s="13">
        <f>IF($A62="","",TRIM($B62&amp;" "&amp;$C62))</f>
        <v/>
      </c>
      <c r="E62" s="12" t="n"/>
      <c r="F62" s="12" t="n"/>
      <c r="G62" s="14" t="n"/>
      <c r="H62" s="14" t="n"/>
      <c r="I62" s="12" t="n"/>
      <c r="J62" s="14" t="n"/>
      <c r="K62" s="12" t="n"/>
      <c r="L62" s="13">
        <f>IF($K62="","",IFERROR(INDEX(Dept_Names,MATCH($K62,Dept_Codes,0)),"NOT FOUND"))</f>
        <v/>
      </c>
      <c r="M62" s="12" t="n"/>
      <c r="N62" s="13">
        <f>IF($M62="","",IFERROR(INDEX(Desig_Names,MATCH($M62,Desig_Codes,0)),"NOT FOUND"))</f>
        <v/>
      </c>
      <c r="O62" s="13">
        <f>IF($M62="","",IFERROR(INDEX(Desig_Levels,MATCH($M62,Desig_Codes,0)),""))</f>
        <v/>
      </c>
      <c r="P62" s="12" t="n"/>
      <c r="Q62" s="12" t="n"/>
      <c r="R62" s="12" t="n"/>
      <c r="S62" s="13">
        <f>IF($R62="","",IFERROR(INDEX(Emp_Names,MATCH($R62,Emp_Codes,0)),"NOT FOUND"))</f>
        <v/>
      </c>
      <c r="T62" s="12" t="n"/>
      <c r="U62" s="12" t="n"/>
      <c r="V62" s="12" t="n"/>
    </row>
    <row r="63">
      <c r="A63" s="12" t="n"/>
      <c r="B63" s="12" t="n"/>
      <c r="C63" s="12" t="n"/>
      <c r="D63" s="13">
        <f>IF($A63="","",TRIM($B63&amp;" "&amp;$C63))</f>
        <v/>
      </c>
      <c r="E63" s="12" t="n"/>
      <c r="F63" s="12" t="n"/>
      <c r="G63" s="14" t="n"/>
      <c r="H63" s="14" t="n"/>
      <c r="I63" s="12" t="n"/>
      <c r="J63" s="14" t="n"/>
      <c r="K63" s="12" t="n"/>
      <c r="L63" s="13">
        <f>IF($K63="","",IFERROR(INDEX(Dept_Names,MATCH($K63,Dept_Codes,0)),"NOT FOUND"))</f>
        <v/>
      </c>
      <c r="M63" s="12" t="n"/>
      <c r="N63" s="13">
        <f>IF($M63="","",IFERROR(INDEX(Desig_Names,MATCH($M63,Desig_Codes,0)),"NOT FOUND"))</f>
        <v/>
      </c>
      <c r="O63" s="13">
        <f>IF($M63="","",IFERROR(INDEX(Desig_Levels,MATCH($M63,Desig_Codes,0)),""))</f>
        <v/>
      </c>
      <c r="P63" s="12" t="n"/>
      <c r="Q63" s="12" t="n"/>
      <c r="R63" s="12" t="n"/>
      <c r="S63" s="13">
        <f>IF($R63="","",IFERROR(INDEX(Emp_Names,MATCH($R63,Emp_Codes,0)),"NOT FOUND"))</f>
        <v/>
      </c>
      <c r="T63" s="12" t="n"/>
      <c r="U63" s="12" t="n"/>
      <c r="V63" s="12" t="n"/>
    </row>
    <row r="64">
      <c r="A64" s="12" t="n"/>
      <c r="B64" s="12" t="n"/>
      <c r="C64" s="12" t="n"/>
      <c r="D64" s="13">
        <f>IF($A64="","",TRIM($B64&amp;" "&amp;$C64))</f>
        <v/>
      </c>
      <c r="E64" s="12" t="n"/>
      <c r="F64" s="12" t="n"/>
      <c r="G64" s="14" t="n"/>
      <c r="H64" s="14" t="n"/>
      <c r="I64" s="12" t="n"/>
      <c r="J64" s="14" t="n"/>
      <c r="K64" s="12" t="n"/>
      <c r="L64" s="13">
        <f>IF($K64="","",IFERROR(INDEX(Dept_Names,MATCH($K64,Dept_Codes,0)),"NOT FOUND"))</f>
        <v/>
      </c>
      <c r="M64" s="12" t="n"/>
      <c r="N64" s="13">
        <f>IF($M64="","",IFERROR(INDEX(Desig_Names,MATCH($M64,Desig_Codes,0)),"NOT FOUND"))</f>
        <v/>
      </c>
      <c r="O64" s="13">
        <f>IF($M64="","",IFERROR(INDEX(Desig_Levels,MATCH($M64,Desig_Codes,0)),""))</f>
        <v/>
      </c>
      <c r="P64" s="12" t="n"/>
      <c r="Q64" s="12" t="n"/>
      <c r="R64" s="12" t="n"/>
      <c r="S64" s="13">
        <f>IF($R64="","",IFERROR(INDEX(Emp_Names,MATCH($R64,Emp_Codes,0)),"NOT FOUND"))</f>
        <v/>
      </c>
      <c r="T64" s="12" t="n"/>
      <c r="U64" s="12" t="n"/>
      <c r="V64" s="12" t="n"/>
    </row>
    <row r="65">
      <c r="A65" s="12" t="n"/>
      <c r="B65" s="12" t="n"/>
      <c r="C65" s="12" t="n"/>
      <c r="D65" s="13">
        <f>IF($A65="","",TRIM($B65&amp;" "&amp;$C65))</f>
        <v/>
      </c>
      <c r="E65" s="12" t="n"/>
      <c r="F65" s="12" t="n"/>
      <c r="G65" s="14" t="n"/>
      <c r="H65" s="14" t="n"/>
      <c r="I65" s="12" t="n"/>
      <c r="J65" s="14" t="n"/>
      <c r="K65" s="12" t="n"/>
      <c r="L65" s="13">
        <f>IF($K65="","",IFERROR(INDEX(Dept_Names,MATCH($K65,Dept_Codes,0)),"NOT FOUND"))</f>
        <v/>
      </c>
      <c r="M65" s="12" t="n"/>
      <c r="N65" s="13">
        <f>IF($M65="","",IFERROR(INDEX(Desig_Names,MATCH($M65,Desig_Codes,0)),"NOT FOUND"))</f>
        <v/>
      </c>
      <c r="O65" s="13">
        <f>IF($M65="","",IFERROR(INDEX(Desig_Levels,MATCH($M65,Desig_Codes,0)),""))</f>
        <v/>
      </c>
      <c r="P65" s="12" t="n"/>
      <c r="Q65" s="12" t="n"/>
      <c r="R65" s="12" t="n"/>
      <c r="S65" s="13">
        <f>IF($R65="","",IFERROR(INDEX(Emp_Names,MATCH($R65,Emp_Codes,0)),"NOT FOUND"))</f>
        <v/>
      </c>
      <c r="T65" s="12" t="n"/>
      <c r="U65" s="12" t="n"/>
      <c r="V65" s="12" t="n"/>
    </row>
    <row r="66">
      <c r="A66" s="12" t="n"/>
      <c r="B66" s="12" t="n"/>
      <c r="C66" s="12" t="n"/>
      <c r="D66" s="13">
        <f>IF($A66="","",TRIM($B66&amp;" "&amp;$C66))</f>
        <v/>
      </c>
      <c r="E66" s="12" t="n"/>
      <c r="F66" s="12" t="n"/>
      <c r="G66" s="14" t="n"/>
      <c r="H66" s="14" t="n"/>
      <c r="I66" s="12" t="n"/>
      <c r="J66" s="14" t="n"/>
      <c r="K66" s="12" t="n"/>
      <c r="L66" s="13">
        <f>IF($K66="","",IFERROR(INDEX(Dept_Names,MATCH($K66,Dept_Codes,0)),"NOT FOUND"))</f>
        <v/>
      </c>
      <c r="M66" s="12" t="n"/>
      <c r="N66" s="13">
        <f>IF($M66="","",IFERROR(INDEX(Desig_Names,MATCH($M66,Desig_Codes,0)),"NOT FOUND"))</f>
        <v/>
      </c>
      <c r="O66" s="13">
        <f>IF($M66="","",IFERROR(INDEX(Desig_Levels,MATCH($M66,Desig_Codes,0)),""))</f>
        <v/>
      </c>
      <c r="P66" s="12" t="n"/>
      <c r="Q66" s="12" t="n"/>
      <c r="R66" s="12" t="n"/>
      <c r="S66" s="13">
        <f>IF($R66="","",IFERROR(INDEX(Emp_Names,MATCH($R66,Emp_Codes,0)),"NOT FOUND"))</f>
        <v/>
      </c>
      <c r="T66" s="12" t="n"/>
      <c r="U66" s="12" t="n"/>
      <c r="V66" s="12" t="n"/>
    </row>
    <row r="67">
      <c r="A67" s="12" t="n"/>
      <c r="B67" s="12" t="n"/>
      <c r="C67" s="12" t="n"/>
      <c r="D67" s="13">
        <f>IF($A67="","",TRIM($B67&amp;" "&amp;$C67))</f>
        <v/>
      </c>
      <c r="E67" s="12" t="n"/>
      <c r="F67" s="12" t="n"/>
      <c r="G67" s="14" t="n"/>
      <c r="H67" s="14" t="n"/>
      <c r="I67" s="12" t="n"/>
      <c r="J67" s="14" t="n"/>
      <c r="K67" s="12" t="n"/>
      <c r="L67" s="13">
        <f>IF($K67="","",IFERROR(INDEX(Dept_Names,MATCH($K67,Dept_Codes,0)),"NOT FOUND"))</f>
        <v/>
      </c>
      <c r="M67" s="12" t="n"/>
      <c r="N67" s="13">
        <f>IF($M67="","",IFERROR(INDEX(Desig_Names,MATCH($M67,Desig_Codes,0)),"NOT FOUND"))</f>
        <v/>
      </c>
      <c r="O67" s="13">
        <f>IF($M67="","",IFERROR(INDEX(Desig_Levels,MATCH($M67,Desig_Codes,0)),""))</f>
        <v/>
      </c>
      <c r="P67" s="12" t="n"/>
      <c r="Q67" s="12" t="n"/>
      <c r="R67" s="12" t="n"/>
      <c r="S67" s="13">
        <f>IF($R67="","",IFERROR(INDEX(Emp_Names,MATCH($R67,Emp_Codes,0)),"NOT FOUND"))</f>
        <v/>
      </c>
      <c r="T67" s="12" t="n"/>
      <c r="U67" s="12" t="n"/>
      <c r="V67" s="12" t="n"/>
    </row>
    <row r="68">
      <c r="A68" s="12" t="n"/>
      <c r="B68" s="12" t="n"/>
      <c r="C68" s="12" t="n"/>
      <c r="D68" s="13">
        <f>IF($A68="","",TRIM($B68&amp;" "&amp;$C68))</f>
        <v/>
      </c>
      <c r="E68" s="12" t="n"/>
      <c r="F68" s="12" t="n"/>
      <c r="G68" s="14" t="n"/>
      <c r="H68" s="14" t="n"/>
      <c r="I68" s="12" t="n"/>
      <c r="J68" s="14" t="n"/>
      <c r="K68" s="12" t="n"/>
      <c r="L68" s="13">
        <f>IF($K68="","",IFERROR(INDEX(Dept_Names,MATCH($K68,Dept_Codes,0)),"NOT FOUND"))</f>
        <v/>
      </c>
      <c r="M68" s="12" t="n"/>
      <c r="N68" s="13">
        <f>IF($M68="","",IFERROR(INDEX(Desig_Names,MATCH($M68,Desig_Codes,0)),"NOT FOUND"))</f>
        <v/>
      </c>
      <c r="O68" s="13">
        <f>IF($M68="","",IFERROR(INDEX(Desig_Levels,MATCH($M68,Desig_Codes,0)),""))</f>
        <v/>
      </c>
      <c r="P68" s="12" t="n"/>
      <c r="Q68" s="12" t="n"/>
      <c r="R68" s="12" t="n"/>
      <c r="S68" s="13">
        <f>IF($R68="","",IFERROR(INDEX(Emp_Names,MATCH($R68,Emp_Codes,0)),"NOT FOUND"))</f>
        <v/>
      </c>
      <c r="T68" s="12" t="n"/>
      <c r="U68" s="12" t="n"/>
      <c r="V68" s="12" t="n"/>
    </row>
    <row r="69">
      <c r="A69" s="12" t="n"/>
      <c r="B69" s="12" t="n"/>
      <c r="C69" s="12" t="n"/>
      <c r="D69" s="13">
        <f>IF($A69="","",TRIM($B69&amp;" "&amp;$C69))</f>
        <v/>
      </c>
      <c r="E69" s="12" t="n"/>
      <c r="F69" s="12" t="n"/>
      <c r="G69" s="14" t="n"/>
      <c r="H69" s="14" t="n"/>
      <c r="I69" s="12" t="n"/>
      <c r="J69" s="14" t="n"/>
      <c r="K69" s="12" t="n"/>
      <c r="L69" s="13">
        <f>IF($K69="","",IFERROR(INDEX(Dept_Names,MATCH($K69,Dept_Codes,0)),"NOT FOUND"))</f>
        <v/>
      </c>
      <c r="M69" s="12" t="n"/>
      <c r="N69" s="13">
        <f>IF($M69="","",IFERROR(INDEX(Desig_Names,MATCH($M69,Desig_Codes,0)),"NOT FOUND"))</f>
        <v/>
      </c>
      <c r="O69" s="13">
        <f>IF($M69="","",IFERROR(INDEX(Desig_Levels,MATCH($M69,Desig_Codes,0)),""))</f>
        <v/>
      </c>
      <c r="P69" s="12" t="n"/>
      <c r="Q69" s="12" t="n"/>
      <c r="R69" s="12" t="n"/>
      <c r="S69" s="13">
        <f>IF($R69="","",IFERROR(INDEX(Emp_Names,MATCH($R69,Emp_Codes,0)),"NOT FOUND"))</f>
        <v/>
      </c>
      <c r="T69" s="12" t="n"/>
      <c r="U69" s="12" t="n"/>
      <c r="V69" s="12" t="n"/>
    </row>
    <row r="70">
      <c r="A70" s="12" t="n"/>
      <c r="B70" s="12" t="n"/>
      <c r="C70" s="12" t="n"/>
      <c r="D70" s="13">
        <f>IF($A70="","",TRIM($B70&amp;" "&amp;$C70))</f>
        <v/>
      </c>
      <c r="E70" s="12" t="n"/>
      <c r="F70" s="12" t="n"/>
      <c r="G70" s="14" t="n"/>
      <c r="H70" s="14" t="n"/>
      <c r="I70" s="12" t="n"/>
      <c r="J70" s="14" t="n"/>
      <c r="K70" s="12" t="n"/>
      <c r="L70" s="13">
        <f>IF($K70="","",IFERROR(INDEX(Dept_Names,MATCH($K70,Dept_Codes,0)),"NOT FOUND"))</f>
        <v/>
      </c>
      <c r="M70" s="12" t="n"/>
      <c r="N70" s="13">
        <f>IF($M70="","",IFERROR(INDEX(Desig_Names,MATCH($M70,Desig_Codes,0)),"NOT FOUND"))</f>
        <v/>
      </c>
      <c r="O70" s="13">
        <f>IF($M70="","",IFERROR(INDEX(Desig_Levels,MATCH($M70,Desig_Codes,0)),""))</f>
        <v/>
      </c>
      <c r="P70" s="12" t="n"/>
      <c r="Q70" s="12" t="n"/>
      <c r="R70" s="12" t="n"/>
      <c r="S70" s="13">
        <f>IF($R70="","",IFERROR(INDEX(Emp_Names,MATCH($R70,Emp_Codes,0)),"NOT FOUND"))</f>
        <v/>
      </c>
      <c r="T70" s="12" t="n"/>
      <c r="U70" s="12" t="n"/>
      <c r="V70" s="12" t="n"/>
    </row>
    <row r="71">
      <c r="A71" s="12" t="n"/>
      <c r="B71" s="12" t="n"/>
      <c r="C71" s="12" t="n"/>
      <c r="D71" s="13">
        <f>IF($A71="","",TRIM($B71&amp;" "&amp;$C71))</f>
        <v/>
      </c>
      <c r="E71" s="12" t="n"/>
      <c r="F71" s="12" t="n"/>
      <c r="G71" s="14" t="n"/>
      <c r="H71" s="14" t="n"/>
      <c r="I71" s="12" t="n"/>
      <c r="J71" s="14" t="n"/>
      <c r="K71" s="12" t="n"/>
      <c r="L71" s="13">
        <f>IF($K71="","",IFERROR(INDEX(Dept_Names,MATCH($K71,Dept_Codes,0)),"NOT FOUND"))</f>
        <v/>
      </c>
      <c r="M71" s="12" t="n"/>
      <c r="N71" s="13">
        <f>IF($M71="","",IFERROR(INDEX(Desig_Names,MATCH($M71,Desig_Codes,0)),"NOT FOUND"))</f>
        <v/>
      </c>
      <c r="O71" s="13">
        <f>IF($M71="","",IFERROR(INDEX(Desig_Levels,MATCH($M71,Desig_Codes,0)),""))</f>
        <v/>
      </c>
      <c r="P71" s="12" t="n"/>
      <c r="Q71" s="12" t="n"/>
      <c r="R71" s="12" t="n"/>
      <c r="S71" s="13">
        <f>IF($R71="","",IFERROR(INDEX(Emp_Names,MATCH($R71,Emp_Codes,0)),"NOT FOUND"))</f>
        <v/>
      </c>
      <c r="T71" s="12" t="n"/>
      <c r="U71" s="12" t="n"/>
      <c r="V71" s="12" t="n"/>
    </row>
    <row r="72">
      <c r="A72" s="12" t="n"/>
      <c r="B72" s="12" t="n"/>
      <c r="C72" s="12" t="n"/>
      <c r="D72" s="13">
        <f>IF($A72="","",TRIM($B72&amp;" "&amp;$C72))</f>
        <v/>
      </c>
      <c r="E72" s="12" t="n"/>
      <c r="F72" s="12" t="n"/>
      <c r="G72" s="14" t="n"/>
      <c r="H72" s="14" t="n"/>
      <c r="I72" s="12" t="n"/>
      <c r="J72" s="14" t="n"/>
      <c r="K72" s="12" t="n"/>
      <c r="L72" s="13">
        <f>IF($K72="","",IFERROR(INDEX(Dept_Names,MATCH($K72,Dept_Codes,0)),"NOT FOUND"))</f>
        <v/>
      </c>
      <c r="M72" s="12" t="n"/>
      <c r="N72" s="13">
        <f>IF($M72="","",IFERROR(INDEX(Desig_Names,MATCH($M72,Desig_Codes,0)),"NOT FOUND"))</f>
        <v/>
      </c>
      <c r="O72" s="13">
        <f>IF($M72="","",IFERROR(INDEX(Desig_Levels,MATCH($M72,Desig_Codes,0)),""))</f>
        <v/>
      </c>
      <c r="P72" s="12" t="n"/>
      <c r="Q72" s="12" t="n"/>
      <c r="R72" s="12" t="n"/>
      <c r="S72" s="13">
        <f>IF($R72="","",IFERROR(INDEX(Emp_Names,MATCH($R72,Emp_Codes,0)),"NOT FOUND"))</f>
        <v/>
      </c>
      <c r="T72" s="12" t="n"/>
      <c r="U72" s="12" t="n"/>
      <c r="V72" s="12" t="n"/>
    </row>
    <row r="73">
      <c r="A73" s="12" t="n"/>
      <c r="B73" s="12" t="n"/>
      <c r="C73" s="12" t="n"/>
      <c r="D73" s="13">
        <f>IF($A73="","",TRIM($B73&amp;" "&amp;$C73))</f>
        <v/>
      </c>
      <c r="E73" s="12" t="n"/>
      <c r="F73" s="12" t="n"/>
      <c r="G73" s="14" t="n"/>
      <c r="H73" s="14" t="n"/>
      <c r="I73" s="12" t="n"/>
      <c r="J73" s="14" t="n"/>
      <c r="K73" s="12" t="n"/>
      <c r="L73" s="13">
        <f>IF($K73="","",IFERROR(INDEX(Dept_Names,MATCH($K73,Dept_Codes,0)),"NOT FOUND"))</f>
        <v/>
      </c>
      <c r="M73" s="12" t="n"/>
      <c r="N73" s="13">
        <f>IF($M73="","",IFERROR(INDEX(Desig_Names,MATCH($M73,Desig_Codes,0)),"NOT FOUND"))</f>
        <v/>
      </c>
      <c r="O73" s="13">
        <f>IF($M73="","",IFERROR(INDEX(Desig_Levels,MATCH($M73,Desig_Codes,0)),""))</f>
        <v/>
      </c>
      <c r="P73" s="12" t="n"/>
      <c r="Q73" s="12" t="n"/>
      <c r="R73" s="12" t="n"/>
      <c r="S73" s="13">
        <f>IF($R73="","",IFERROR(INDEX(Emp_Names,MATCH($R73,Emp_Codes,0)),"NOT FOUND"))</f>
        <v/>
      </c>
      <c r="T73" s="12" t="n"/>
      <c r="U73" s="12" t="n"/>
      <c r="V73" s="12" t="n"/>
    </row>
    <row r="74">
      <c r="A74" s="12" t="n"/>
      <c r="B74" s="12" t="n"/>
      <c r="C74" s="12" t="n"/>
      <c r="D74" s="13">
        <f>IF($A74="","",TRIM($B74&amp;" "&amp;$C74))</f>
        <v/>
      </c>
      <c r="E74" s="12" t="n"/>
      <c r="F74" s="12" t="n"/>
      <c r="G74" s="14" t="n"/>
      <c r="H74" s="14" t="n"/>
      <c r="I74" s="12" t="n"/>
      <c r="J74" s="14" t="n"/>
      <c r="K74" s="12" t="n"/>
      <c r="L74" s="13">
        <f>IF($K74="","",IFERROR(INDEX(Dept_Names,MATCH($K74,Dept_Codes,0)),"NOT FOUND"))</f>
        <v/>
      </c>
      <c r="M74" s="12" t="n"/>
      <c r="N74" s="13">
        <f>IF($M74="","",IFERROR(INDEX(Desig_Names,MATCH($M74,Desig_Codes,0)),"NOT FOUND"))</f>
        <v/>
      </c>
      <c r="O74" s="13">
        <f>IF($M74="","",IFERROR(INDEX(Desig_Levels,MATCH($M74,Desig_Codes,0)),""))</f>
        <v/>
      </c>
      <c r="P74" s="12" t="n"/>
      <c r="Q74" s="12" t="n"/>
      <c r="R74" s="12" t="n"/>
      <c r="S74" s="13">
        <f>IF($R74="","",IFERROR(INDEX(Emp_Names,MATCH($R74,Emp_Codes,0)),"NOT FOUND"))</f>
        <v/>
      </c>
      <c r="T74" s="12" t="n"/>
      <c r="U74" s="12" t="n"/>
      <c r="V74" s="12" t="n"/>
    </row>
    <row r="75">
      <c r="A75" s="12" t="n"/>
      <c r="B75" s="12" t="n"/>
      <c r="C75" s="12" t="n"/>
      <c r="D75" s="13">
        <f>IF($A75="","",TRIM($B75&amp;" "&amp;$C75))</f>
        <v/>
      </c>
      <c r="E75" s="12" t="n"/>
      <c r="F75" s="12" t="n"/>
      <c r="G75" s="14" t="n"/>
      <c r="H75" s="14" t="n"/>
      <c r="I75" s="12" t="n"/>
      <c r="J75" s="14" t="n"/>
      <c r="K75" s="12" t="n"/>
      <c r="L75" s="13">
        <f>IF($K75="","",IFERROR(INDEX(Dept_Names,MATCH($K75,Dept_Codes,0)),"NOT FOUND"))</f>
        <v/>
      </c>
      <c r="M75" s="12" t="n"/>
      <c r="N75" s="13">
        <f>IF($M75="","",IFERROR(INDEX(Desig_Names,MATCH($M75,Desig_Codes,0)),"NOT FOUND"))</f>
        <v/>
      </c>
      <c r="O75" s="13">
        <f>IF($M75="","",IFERROR(INDEX(Desig_Levels,MATCH($M75,Desig_Codes,0)),""))</f>
        <v/>
      </c>
      <c r="P75" s="12" t="n"/>
      <c r="Q75" s="12" t="n"/>
      <c r="R75" s="12" t="n"/>
      <c r="S75" s="13">
        <f>IF($R75="","",IFERROR(INDEX(Emp_Names,MATCH($R75,Emp_Codes,0)),"NOT FOUND"))</f>
        <v/>
      </c>
      <c r="T75" s="12" t="n"/>
      <c r="U75" s="12" t="n"/>
      <c r="V75" s="12" t="n"/>
    </row>
    <row r="76">
      <c r="A76" s="12" t="n"/>
      <c r="B76" s="12" t="n"/>
      <c r="C76" s="12" t="n"/>
      <c r="D76" s="13">
        <f>IF($A76="","",TRIM($B76&amp;" "&amp;$C76))</f>
        <v/>
      </c>
      <c r="E76" s="12" t="n"/>
      <c r="F76" s="12" t="n"/>
      <c r="G76" s="14" t="n"/>
      <c r="H76" s="14" t="n"/>
      <c r="I76" s="12" t="n"/>
      <c r="J76" s="14" t="n"/>
      <c r="K76" s="12" t="n"/>
      <c r="L76" s="13">
        <f>IF($K76="","",IFERROR(INDEX(Dept_Names,MATCH($K76,Dept_Codes,0)),"NOT FOUND"))</f>
        <v/>
      </c>
      <c r="M76" s="12" t="n"/>
      <c r="N76" s="13">
        <f>IF($M76="","",IFERROR(INDEX(Desig_Names,MATCH($M76,Desig_Codes,0)),"NOT FOUND"))</f>
        <v/>
      </c>
      <c r="O76" s="13">
        <f>IF($M76="","",IFERROR(INDEX(Desig_Levels,MATCH($M76,Desig_Codes,0)),""))</f>
        <v/>
      </c>
      <c r="P76" s="12" t="n"/>
      <c r="Q76" s="12" t="n"/>
      <c r="R76" s="12" t="n"/>
      <c r="S76" s="13">
        <f>IF($R76="","",IFERROR(INDEX(Emp_Names,MATCH($R76,Emp_Codes,0)),"NOT FOUND"))</f>
        <v/>
      </c>
      <c r="T76" s="12" t="n"/>
      <c r="U76" s="12" t="n"/>
      <c r="V76" s="12" t="n"/>
    </row>
    <row r="77">
      <c r="A77" s="12" t="n"/>
      <c r="B77" s="12" t="n"/>
      <c r="C77" s="12" t="n"/>
      <c r="D77" s="13">
        <f>IF($A77="","",TRIM($B77&amp;" "&amp;$C77))</f>
        <v/>
      </c>
      <c r="E77" s="12" t="n"/>
      <c r="F77" s="12" t="n"/>
      <c r="G77" s="14" t="n"/>
      <c r="H77" s="14" t="n"/>
      <c r="I77" s="12" t="n"/>
      <c r="J77" s="14" t="n"/>
      <c r="K77" s="12" t="n"/>
      <c r="L77" s="13">
        <f>IF($K77="","",IFERROR(INDEX(Dept_Names,MATCH($K77,Dept_Codes,0)),"NOT FOUND"))</f>
        <v/>
      </c>
      <c r="M77" s="12" t="n"/>
      <c r="N77" s="13">
        <f>IF($M77="","",IFERROR(INDEX(Desig_Names,MATCH($M77,Desig_Codes,0)),"NOT FOUND"))</f>
        <v/>
      </c>
      <c r="O77" s="13">
        <f>IF($M77="","",IFERROR(INDEX(Desig_Levels,MATCH($M77,Desig_Codes,0)),""))</f>
        <v/>
      </c>
      <c r="P77" s="12" t="n"/>
      <c r="Q77" s="12" t="n"/>
      <c r="R77" s="12" t="n"/>
      <c r="S77" s="13">
        <f>IF($R77="","",IFERROR(INDEX(Emp_Names,MATCH($R77,Emp_Codes,0)),"NOT FOUND"))</f>
        <v/>
      </c>
      <c r="T77" s="12" t="n"/>
      <c r="U77" s="12" t="n"/>
      <c r="V77" s="12" t="n"/>
    </row>
    <row r="78">
      <c r="A78" s="12" t="n"/>
      <c r="B78" s="12" t="n"/>
      <c r="C78" s="12" t="n"/>
      <c r="D78" s="13">
        <f>IF($A78="","",TRIM($B78&amp;" "&amp;$C78))</f>
        <v/>
      </c>
      <c r="E78" s="12" t="n"/>
      <c r="F78" s="12" t="n"/>
      <c r="G78" s="14" t="n"/>
      <c r="H78" s="14" t="n"/>
      <c r="I78" s="12" t="n"/>
      <c r="J78" s="14" t="n"/>
      <c r="K78" s="12" t="n"/>
      <c r="L78" s="13">
        <f>IF($K78="","",IFERROR(INDEX(Dept_Names,MATCH($K78,Dept_Codes,0)),"NOT FOUND"))</f>
        <v/>
      </c>
      <c r="M78" s="12" t="n"/>
      <c r="N78" s="13">
        <f>IF($M78="","",IFERROR(INDEX(Desig_Names,MATCH($M78,Desig_Codes,0)),"NOT FOUND"))</f>
        <v/>
      </c>
      <c r="O78" s="13">
        <f>IF($M78="","",IFERROR(INDEX(Desig_Levels,MATCH($M78,Desig_Codes,0)),""))</f>
        <v/>
      </c>
      <c r="P78" s="12" t="n"/>
      <c r="Q78" s="12" t="n"/>
      <c r="R78" s="12" t="n"/>
      <c r="S78" s="13">
        <f>IF($R78="","",IFERROR(INDEX(Emp_Names,MATCH($R78,Emp_Codes,0)),"NOT FOUND"))</f>
        <v/>
      </c>
      <c r="T78" s="12" t="n"/>
      <c r="U78" s="12" t="n"/>
      <c r="V78" s="12" t="n"/>
    </row>
    <row r="79">
      <c r="A79" s="12" t="n"/>
      <c r="B79" s="12" t="n"/>
      <c r="C79" s="12" t="n"/>
      <c r="D79" s="13">
        <f>IF($A79="","",TRIM($B79&amp;" "&amp;$C79))</f>
        <v/>
      </c>
      <c r="E79" s="12" t="n"/>
      <c r="F79" s="12" t="n"/>
      <c r="G79" s="14" t="n"/>
      <c r="H79" s="14" t="n"/>
      <c r="I79" s="12" t="n"/>
      <c r="J79" s="14" t="n"/>
      <c r="K79" s="12" t="n"/>
      <c r="L79" s="13">
        <f>IF($K79="","",IFERROR(INDEX(Dept_Names,MATCH($K79,Dept_Codes,0)),"NOT FOUND"))</f>
        <v/>
      </c>
      <c r="M79" s="12" t="n"/>
      <c r="N79" s="13">
        <f>IF($M79="","",IFERROR(INDEX(Desig_Names,MATCH($M79,Desig_Codes,0)),"NOT FOUND"))</f>
        <v/>
      </c>
      <c r="O79" s="13">
        <f>IF($M79="","",IFERROR(INDEX(Desig_Levels,MATCH($M79,Desig_Codes,0)),""))</f>
        <v/>
      </c>
      <c r="P79" s="12" t="n"/>
      <c r="Q79" s="12" t="n"/>
      <c r="R79" s="12" t="n"/>
      <c r="S79" s="13">
        <f>IF($R79="","",IFERROR(INDEX(Emp_Names,MATCH($R79,Emp_Codes,0)),"NOT FOUND"))</f>
        <v/>
      </c>
      <c r="T79" s="12" t="n"/>
      <c r="U79" s="12" t="n"/>
      <c r="V79" s="12" t="n"/>
    </row>
    <row r="80">
      <c r="A80" s="12" t="n"/>
      <c r="B80" s="12" t="n"/>
      <c r="C80" s="12" t="n"/>
      <c r="D80" s="13">
        <f>IF($A80="","",TRIM($B80&amp;" "&amp;$C80))</f>
        <v/>
      </c>
      <c r="E80" s="12" t="n"/>
      <c r="F80" s="12" t="n"/>
      <c r="G80" s="14" t="n"/>
      <c r="H80" s="14" t="n"/>
      <c r="I80" s="12" t="n"/>
      <c r="J80" s="14" t="n"/>
      <c r="K80" s="12" t="n"/>
      <c r="L80" s="13">
        <f>IF($K80="","",IFERROR(INDEX(Dept_Names,MATCH($K80,Dept_Codes,0)),"NOT FOUND"))</f>
        <v/>
      </c>
      <c r="M80" s="12" t="n"/>
      <c r="N80" s="13">
        <f>IF($M80="","",IFERROR(INDEX(Desig_Names,MATCH($M80,Desig_Codes,0)),"NOT FOUND"))</f>
        <v/>
      </c>
      <c r="O80" s="13">
        <f>IF($M80="","",IFERROR(INDEX(Desig_Levels,MATCH($M80,Desig_Codes,0)),""))</f>
        <v/>
      </c>
      <c r="P80" s="12" t="n"/>
      <c r="Q80" s="12" t="n"/>
      <c r="R80" s="12" t="n"/>
      <c r="S80" s="13">
        <f>IF($R80="","",IFERROR(INDEX(Emp_Names,MATCH($R80,Emp_Codes,0)),"NOT FOUND"))</f>
        <v/>
      </c>
      <c r="T80" s="12" t="n"/>
      <c r="U80" s="12" t="n"/>
      <c r="V80" s="12" t="n"/>
    </row>
    <row r="81">
      <c r="A81" s="12" t="n"/>
      <c r="B81" s="12" t="n"/>
      <c r="C81" s="12" t="n"/>
      <c r="D81" s="13">
        <f>IF($A81="","",TRIM($B81&amp;" "&amp;$C81))</f>
        <v/>
      </c>
      <c r="E81" s="12" t="n"/>
      <c r="F81" s="12" t="n"/>
      <c r="G81" s="14" t="n"/>
      <c r="H81" s="14" t="n"/>
      <c r="I81" s="12" t="n"/>
      <c r="J81" s="14" t="n"/>
      <c r="K81" s="12" t="n"/>
      <c r="L81" s="13">
        <f>IF($K81="","",IFERROR(INDEX(Dept_Names,MATCH($K81,Dept_Codes,0)),"NOT FOUND"))</f>
        <v/>
      </c>
      <c r="M81" s="12" t="n"/>
      <c r="N81" s="13">
        <f>IF($M81="","",IFERROR(INDEX(Desig_Names,MATCH($M81,Desig_Codes,0)),"NOT FOUND"))</f>
        <v/>
      </c>
      <c r="O81" s="13">
        <f>IF($M81="","",IFERROR(INDEX(Desig_Levels,MATCH($M81,Desig_Codes,0)),""))</f>
        <v/>
      </c>
      <c r="P81" s="12" t="n"/>
      <c r="Q81" s="12" t="n"/>
      <c r="R81" s="12" t="n"/>
      <c r="S81" s="13">
        <f>IF($R81="","",IFERROR(INDEX(Emp_Names,MATCH($R81,Emp_Codes,0)),"NOT FOUND"))</f>
        <v/>
      </c>
      <c r="T81" s="12" t="n"/>
      <c r="U81" s="12" t="n"/>
      <c r="V81" s="12" t="n"/>
    </row>
    <row r="82">
      <c r="A82" s="12" t="n"/>
      <c r="B82" s="12" t="n"/>
      <c r="C82" s="12" t="n"/>
      <c r="D82" s="13">
        <f>IF($A82="","",TRIM($B82&amp;" "&amp;$C82))</f>
        <v/>
      </c>
      <c r="E82" s="12" t="n"/>
      <c r="F82" s="12" t="n"/>
      <c r="G82" s="14" t="n"/>
      <c r="H82" s="14" t="n"/>
      <c r="I82" s="12" t="n"/>
      <c r="J82" s="14" t="n"/>
      <c r="K82" s="12" t="n"/>
      <c r="L82" s="13">
        <f>IF($K82="","",IFERROR(INDEX(Dept_Names,MATCH($K82,Dept_Codes,0)),"NOT FOUND"))</f>
        <v/>
      </c>
      <c r="M82" s="12" t="n"/>
      <c r="N82" s="13">
        <f>IF($M82="","",IFERROR(INDEX(Desig_Names,MATCH($M82,Desig_Codes,0)),"NOT FOUND"))</f>
        <v/>
      </c>
      <c r="O82" s="13">
        <f>IF($M82="","",IFERROR(INDEX(Desig_Levels,MATCH($M82,Desig_Codes,0)),""))</f>
        <v/>
      </c>
      <c r="P82" s="12" t="n"/>
      <c r="Q82" s="12" t="n"/>
      <c r="R82" s="12" t="n"/>
      <c r="S82" s="13">
        <f>IF($R82="","",IFERROR(INDEX(Emp_Names,MATCH($R82,Emp_Codes,0)),"NOT FOUND"))</f>
        <v/>
      </c>
      <c r="T82" s="12" t="n"/>
      <c r="U82" s="12" t="n"/>
      <c r="V82" s="12" t="n"/>
    </row>
    <row r="83">
      <c r="A83" s="12" t="n"/>
      <c r="B83" s="12" t="n"/>
      <c r="C83" s="12" t="n"/>
      <c r="D83" s="13">
        <f>IF($A83="","",TRIM($B83&amp;" "&amp;$C83))</f>
        <v/>
      </c>
      <c r="E83" s="12" t="n"/>
      <c r="F83" s="12" t="n"/>
      <c r="G83" s="14" t="n"/>
      <c r="H83" s="14" t="n"/>
      <c r="I83" s="12" t="n"/>
      <c r="J83" s="14" t="n"/>
      <c r="K83" s="12" t="n"/>
      <c r="L83" s="13">
        <f>IF($K83="","",IFERROR(INDEX(Dept_Names,MATCH($K83,Dept_Codes,0)),"NOT FOUND"))</f>
        <v/>
      </c>
      <c r="M83" s="12" t="n"/>
      <c r="N83" s="13">
        <f>IF($M83="","",IFERROR(INDEX(Desig_Names,MATCH($M83,Desig_Codes,0)),"NOT FOUND"))</f>
        <v/>
      </c>
      <c r="O83" s="13">
        <f>IF($M83="","",IFERROR(INDEX(Desig_Levels,MATCH($M83,Desig_Codes,0)),""))</f>
        <v/>
      </c>
      <c r="P83" s="12" t="n"/>
      <c r="Q83" s="12" t="n"/>
      <c r="R83" s="12" t="n"/>
      <c r="S83" s="13">
        <f>IF($R83="","",IFERROR(INDEX(Emp_Names,MATCH($R83,Emp_Codes,0)),"NOT FOUND"))</f>
        <v/>
      </c>
      <c r="T83" s="12" t="n"/>
      <c r="U83" s="12" t="n"/>
      <c r="V83" s="12" t="n"/>
    </row>
    <row r="84">
      <c r="A84" s="12" t="n"/>
      <c r="B84" s="12" t="n"/>
      <c r="C84" s="12" t="n"/>
      <c r="D84" s="13">
        <f>IF($A84="","",TRIM($B84&amp;" "&amp;$C84))</f>
        <v/>
      </c>
      <c r="E84" s="12" t="n"/>
      <c r="F84" s="12" t="n"/>
      <c r="G84" s="14" t="n"/>
      <c r="H84" s="14" t="n"/>
      <c r="I84" s="12" t="n"/>
      <c r="J84" s="14" t="n"/>
      <c r="K84" s="12" t="n"/>
      <c r="L84" s="13">
        <f>IF($K84="","",IFERROR(INDEX(Dept_Names,MATCH($K84,Dept_Codes,0)),"NOT FOUND"))</f>
        <v/>
      </c>
      <c r="M84" s="12" t="n"/>
      <c r="N84" s="13">
        <f>IF($M84="","",IFERROR(INDEX(Desig_Names,MATCH($M84,Desig_Codes,0)),"NOT FOUND"))</f>
        <v/>
      </c>
      <c r="O84" s="13">
        <f>IF($M84="","",IFERROR(INDEX(Desig_Levels,MATCH($M84,Desig_Codes,0)),""))</f>
        <v/>
      </c>
      <c r="P84" s="12" t="n"/>
      <c r="Q84" s="12" t="n"/>
      <c r="R84" s="12" t="n"/>
      <c r="S84" s="13">
        <f>IF($R84="","",IFERROR(INDEX(Emp_Names,MATCH($R84,Emp_Codes,0)),"NOT FOUND"))</f>
        <v/>
      </c>
      <c r="T84" s="12" t="n"/>
      <c r="U84" s="12" t="n"/>
      <c r="V84" s="12" t="n"/>
    </row>
    <row r="85">
      <c r="A85" s="12" t="n"/>
      <c r="B85" s="12" t="n"/>
      <c r="C85" s="12" t="n"/>
      <c r="D85" s="13">
        <f>IF($A85="","",TRIM($B85&amp;" "&amp;$C85))</f>
        <v/>
      </c>
      <c r="E85" s="12" t="n"/>
      <c r="F85" s="12" t="n"/>
      <c r="G85" s="14" t="n"/>
      <c r="H85" s="14" t="n"/>
      <c r="I85" s="12" t="n"/>
      <c r="J85" s="14" t="n"/>
      <c r="K85" s="12" t="n"/>
      <c r="L85" s="13">
        <f>IF($K85="","",IFERROR(INDEX(Dept_Names,MATCH($K85,Dept_Codes,0)),"NOT FOUND"))</f>
        <v/>
      </c>
      <c r="M85" s="12" t="n"/>
      <c r="N85" s="13">
        <f>IF($M85="","",IFERROR(INDEX(Desig_Names,MATCH($M85,Desig_Codes,0)),"NOT FOUND"))</f>
        <v/>
      </c>
      <c r="O85" s="13">
        <f>IF($M85="","",IFERROR(INDEX(Desig_Levels,MATCH($M85,Desig_Codes,0)),""))</f>
        <v/>
      </c>
      <c r="P85" s="12" t="n"/>
      <c r="Q85" s="12" t="n"/>
      <c r="R85" s="12" t="n"/>
      <c r="S85" s="13">
        <f>IF($R85="","",IFERROR(INDEX(Emp_Names,MATCH($R85,Emp_Codes,0)),"NOT FOUND"))</f>
        <v/>
      </c>
      <c r="T85" s="12" t="n"/>
      <c r="U85" s="12" t="n"/>
      <c r="V85" s="12" t="n"/>
    </row>
    <row r="86">
      <c r="A86" s="12" t="n"/>
      <c r="B86" s="12" t="n"/>
      <c r="C86" s="12" t="n"/>
      <c r="D86" s="13">
        <f>IF($A86="","",TRIM($B86&amp;" "&amp;$C86))</f>
        <v/>
      </c>
      <c r="E86" s="12" t="n"/>
      <c r="F86" s="12" t="n"/>
      <c r="G86" s="14" t="n"/>
      <c r="H86" s="14" t="n"/>
      <c r="I86" s="12" t="n"/>
      <c r="J86" s="14" t="n"/>
      <c r="K86" s="12" t="n"/>
      <c r="L86" s="13">
        <f>IF($K86="","",IFERROR(INDEX(Dept_Names,MATCH($K86,Dept_Codes,0)),"NOT FOUND"))</f>
        <v/>
      </c>
      <c r="M86" s="12" t="n"/>
      <c r="N86" s="13">
        <f>IF($M86="","",IFERROR(INDEX(Desig_Names,MATCH($M86,Desig_Codes,0)),"NOT FOUND"))</f>
        <v/>
      </c>
      <c r="O86" s="13">
        <f>IF($M86="","",IFERROR(INDEX(Desig_Levels,MATCH($M86,Desig_Codes,0)),""))</f>
        <v/>
      </c>
      <c r="P86" s="12" t="n"/>
      <c r="Q86" s="12" t="n"/>
      <c r="R86" s="12" t="n"/>
      <c r="S86" s="13">
        <f>IF($R86="","",IFERROR(INDEX(Emp_Names,MATCH($R86,Emp_Codes,0)),"NOT FOUND"))</f>
        <v/>
      </c>
      <c r="T86" s="12" t="n"/>
      <c r="U86" s="12" t="n"/>
      <c r="V86" s="12" t="n"/>
    </row>
    <row r="87">
      <c r="A87" s="12" t="n"/>
      <c r="B87" s="12" t="n"/>
      <c r="C87" s="12" t="n"/>
      <c r="D87" s="13">
        <f>IF($A87="","",TRIM($B87&amp;" "&amp;$C87))</f>
        <v/>
      </c>
      <c r="E87" s="12" t="n"/>
      <c r="F87" s="12" t="n"/>
      <c r="G87" s="14" t="n"/>
      <c r="H87" s="14" t="n"/>
      <c r="I87" s="12" t="n"/>
      <c r="J87" s="14" t="n"/>
      <c r="K87" s="12" t="n"/>
      <c r="L87" s="13">
        <f>IF($K87="","",IFERROR(INDEX(Dept_Names,MATCH($K87,Dept_Codes,0)),"NOT FOUND"))</f>
        <v/>
      </c>
      <c r="M87" s="12" t="n"/>
      <c r="N87" s="13">
        <f>IF($M87="","",IFERROR(INDEX(Desig_Names,MATCH($M87,Desig_Codes,0)),"NOT FOUND"))</f>
        <v/>
      </c>
      <c r="O87" s="13">
        <f>IF($M87="","",IFERROR(INDEX(Desig_Levels,MATCH($M87,Desig_Codes,0)),""))</f>
        <v/>
      </c>
      <c r="P87" s="12" t="n"/>
      <c r="Q87" s="12" t="n"/>
      <c r="R87" s="12" t="n"/>
      <c r="S87" s="13">
        <f>IF($R87="","",IFERROR(INDEX(Emp_Names,MATCH($R87,Emp_Codes,0)),"NOT FOUND"))</f>
        <v/>
      </c>
      <c r="T87" s="12" t="n"/>
      <c r="U87" s="12" t="n"/>
      <c r="V87" s="12" t="n"/>
    </row>
    <row r="88">
      <c r="A88" s="12" t="n"/>
      <c r="B88" s="12" t="n"/>
      <c r="C88" s="12" t="n"/>
      <c r="D88" s="13">
        <f>IF($A88="","",TRIM($B88&amp;" "&amp;$C88))</f>
        <v/>
      </c>
      <c r="E88" s="12" t="n"/>
      <c r="F88" s="12" t="n"/>
      <c r="G88" s="14" t="n"/>
      <c r="H88" s="14" t="n"/>
      <c r="I88" s="12" t="n"/>
      <c r="J88" s="14" t="n"/>
      <c r="K88" s="12" t="n"/>
      <c r="L88" s="13">
        <f>IF($K88="","",IFERROR(INDEX(Dept_Names,MATCH($K88,Dept_Codes,0)),"NOT FOUND"))</f>
        <v/>
      </c>
      <c r="M88" s="12" t="n"/>
      <c r="N88" s="13">
        <f>IF($M88="","",IFERROR(INDEX(Desig_Names,MATCH($M88,Desig_Codes,0)),"NOT FOUND"))</f>
        <v/>
      </c>
      <c r="O88" s="13">
        <f>IF($M88="","",IFERROR(INDEX(Desig_Levels,MATCH($M88,Desig_Codes,0)),""))</f>
        <v/>
      </c>
      <c r="P88" s="12" t="n"/>
      <c r="Q88" s="12" t="n"/>
      <c r="R88" s="12" t="n"/>
      <c r="S88" s="13">
        <f>IF($R88="","",IFERROR(INDEX(Emp_Names,MATCH($R88,Emp_Codes,0)),"NOT FOUND"))</f>
        <v/>
      </c>
      <c r="T88" s="12" t="n"/>
      <c r="U88" s="12" t="n"/>
      <c r="V88" s="12" t="n"/>
    </row>
    <row r="89">
      <c r="A89" s="12" t="n"/>
      <c r="B89" s="12" t="n"/>
      <c r="C89" s="12" t="n"/>
      <c r="D89" s="13">
        <f>IF($A89="","",TRIM($B89&amp;" "&amp;$C89))</f>
        <v/>
      </c>
      <c r="E89" s="12" t="n"/>
      <c r="F89" s="12" t="n"/>
      <c r="G89" s="14" t="n"/>
      <c r="H89" s="14" t="n"/>
      <c r="I89" s="12" t="n"/>
      <c r="J89" s="14" t="n"/>
      <c r="K89" s="12" t="n"/>
      <c r="L89" s="13">
        <f>IF($K89="","",IFERROR(INDEX(Dept_Names,MATCH($K89,Dept_Codes,0)),"NOT FOUND"))</f>
        <v/>
      </c>
      <c r="M89" s="12" t="n"/>
      <c r="N89" s="13">
        <f>IF($M89="","",IFERROR(INDEX(Desig_Names,MATCH($M89,Desig_Codes,0)),"NOT FOUND"))</f>
        <v/>
      </c>
      <c r="O89" s="13">
        <f>IF($M89="","",IFERROR(INDEX(Desig_Levels,MATCH($M89,Desig_Codes,0)),""))</f>
        <v/>
      </c>
      <c r="P89" s="12" t="n"/>
      <c r="Q89" s="12" t="n"/>
      <c r="R89" s="12" t="n"/>
      <c r="S89" s="13">
        <f>IF($R89="","",IFERROR(INDEX(Emp_Names,MATCH($R89,Emp_Codes,0)),"NOT FOUND"))</f>
        <v/>
      </c>
      <c r="T89" s="12" t="n"/>
      <c r="U89" s="12" t="n"/>
      <c r="V89" s="12" t="n"/>
    </row>
    <row r="90">
      <c r="A90" s="12" t="n"/>
      <c r="B90" s="12" t="n"/>
      <c r="C90" s="12" t="n"/>
      <c r="D90" s="13">
        <f>IF($A90="","",TRIM($B90&amp;" "&amp;$C90))</f>
        <v/>
      </c>
      <c r="E90" s="12" t="n"/>
      <c r="F90" s="12" t="n"/>
      <c r="G90" s="14" t="n"/>
      <c r="H90" s="14" t="n"/>
      <c r="I90" s="12" t="n"/>
      <c r="J90" s="14" t="n"/>
      <c r="K90" s="12" t="n"/>
      <c r="L90" s="13">
        <f>IF($K90="","",IFERROR(INDEX(Dept_Names,MATCH($K90,Dept_Codes,0)),"NOT FOUND"))</f>
        <v/>
      </c>
      <c r="M90" s="12" t="n"/>
      <c r="N90" s="13">
        <f>IF($M90="","",IFERROR(INDEX(Desig_Names,MATCH($M90,Desig_Codes,0)),"NOT FOUND"))</f>
        <v/>
      </c>
      <c r="O90" s="13">
        <f>IF($M90="","",IFERROR(INDEX(Desig_Levels,MATCH($M90,Desig_Codes,0)),""))</f>
        <v/>
      </c>
      <c r="P90" s="12" t="n"/>
      <c r="Q90" s="12" t="n"/>
      <c r="R90" s="12" t="n"/>
      <c r="S90" s="13">
        <f>IF($R90="","",IFERROR(INDEX(Emp_Names,MATCH($R90,Emp_Codes,0)),"NOT FOUND"))</f>
        <v/>
      </c>
      <c r="T90" s="12" t="n"/>
      <c r="U90" s="12" t="n"/>
      <c r="V90" s="12" t="n"/>
    </row>
    <row r="91">
      <c r="A91" s="12" t="n"/>
      <c r="B91" s="12" t="n"/>
      <c r="C91" s="12" t="n"/>
      <c r="D91" s="13">
        <f>IF($A91="","",TRIM($B91&amp;" "&amp;$C91))</f>
        <v/>
      </c>
      <c r="E91" s="12" t="n"/>
      <c r="F91" s="12" t="n"/>
      <c r="G91" s="14" t="n"/>
      <c r="H91" s="14" t="n"/>
      <c r="I91" s="12" t="n"/>
      <c r="J91" s="14" t="n"/>
      <c r="K91" s="12" t="n"/>
      <c r="L91" s="13">
        <f>IF($K91="","",IFERROR(INDEX(Dept_Names,MATCH($K91,Dept_Codes,0)),"NOT FOUND"))</f>
        <v/>
      </c>
      <c r="M91" s="12" t="n"/>
      <c r="N91" s="13">
        <f>IF($M91="","",IFERROR(INDEX(Desig_Names,MATCH($M91,Desig_Codes,0)),"NOT FOUND"))</f>
        <v/>
      </c>
      <c r="O91" s="13">
        <f>IF($M91="","",IFERROR(INDEX(Desig_Levels,MATCH($M91,Desig_Codes,0)),""))</f>
        <v/>
      </c>
      <c r="P91" s="12" t="n"/>
      <c r="Q91" s="12" t="n"/>
      <c r="R91" s="12" t="n"/>
      <c r="S91" s="13">
        <f>IF($R91="","",IFERROR(INDEX(Emp_Names,MATCH($R91,Emp_Codes,0)),"NOT FOUND"))</f>
        <v/>
      </c>
      <c r="T91" s="12" t="n"/>
      <c r="U91" s="12" t="n"/>
      <c r="V91" s="12" t="n"/>
    </row>
    <row r="92">
      <c r="A92" s="12" t="n"/>
      <c r="B92" s="12" t="n"/>
      <c r="C92" s="12" t="n"/>
      <c r="D92" s="13">
        <f>IF($A92="","",TRIM($B92&amp;" "&amp;$C92))</f>
        <v/>
      </c>
      <c r="E92" s="12" t="n"/>
      <c r="F92" s="12" t="n"/>
      <c r="G92" s="14" t="n"/>
      <c r="H92" s="14" t="n"/>
      <c r="I92" s="12" t="n"/>
      <c r="J92" s="14" t="n"/>
      <c r="K92" s="12" t="n"/>
      <c r="L92" s="13">
        <f>IF($K92="","",IFERROR(INDEX(Dept_Names,MATCH($K92,Dept_Codes,0)),"NOT FOUND"))</f>
        <v/>
      </c>
      <c r="M92" s="12" t="n"/>
      <c r="N92" s="13">
        <f>IF($M92="","",IFERROR(INDEX(Desig_Names,MATCH($M92,Desig_Codes,0)),"NOT FOUND"))</f>
        <v/>
      </c>
      <c r="O92" s="13">
        <f>IF($M92="","",IFERROR(INDEX(Desig_Levels,MATCH($M92,Desig_Codes,0)),""))</f>
        <v/>
      </c>
      <c r="P92" s="12" t="n"/>
      <c r="Q92" s="12" t="n"/>
      <c r="R92" s="12" t="n"/>
      <c r="S92" s="13">
        <f>IF($R92="","",IFERROR(INDEX(Emp_Names,MATCH($R92,Emp_Codes,0)),"NOT FOUND"))</f>
        <v/>
      </c>
      <c r="T92" s="12" t="n"/>
      <c r="U92" s="12" t="n"/>
      <c r="V92" s="12" t="n"/>
    </row>
    <row r="93">
      <c r="A93" s="12" t="n"/>
      <c r="B93" s="12" t="n"/>
      <c r="C93" s="12" t="n"/>
      <c r="D93" s="13">
        <f>IF($A93="","",TRIM($B93&amp;" "&amp;$C93))</f>
        <v/>
      </c>
      <c r="E93" s="12" t="n"/>
      <c r="F93" s="12" t="n"/>
      <c r="G93" s="14" t="n"/>
      <c r="H93" s="14" t="n"/>
      <c r="I93" s="12" t="n"/>
      <c r="J93" s="14" t="n"/>
      <c r="K93" s="12" t="n"/>
      <c r="L93" s="13">
        <f>IF($K93="","",IFERROR(INDEX(Dept_Names,MATCH($K93,Dept_Codes,0)),"NOT FOUND"))</f>
        <v/>
      </c>
      <c r="M93" s="12" t="n"/>
      <c r="N93" s="13">
        <f>IF($M93="","",IFERROR(INDEX(Desig_Names,MATCH($M93,Desig_Codes,0)),"NOT FOUND"))</f>
        <v/>
      </c>
      <c r="O93" s="13">
        <f>IF($M93="","",IFERROR(INDEX(Desig_Levels,MATCH($M93,Desig_Codes,0)),""))</f>
        <v/>
      </c>
      <c r="P93" s="12" t="n"/>
      <c r="Q93" s="12" t="n"/>
      <c r="R93" s="12" t="n"/>
      <c r="S93" s="13">
        <f>IF($R93="","",IFERROR(INDEX(Emp_Names,MATCH($R93,Emp_Codes,0)),"NOT FOUND"))</f>
        <v/>
      </c>
      <c r="T93" s="12" t="n"/>
      <c r="U93" s="12" t="n"/>
      <c r="V93" s="12" t="n"/>
    </row>
    <row r="94">
      <c r="A94" s="12" t="n"/>
      <c r="B94" s="12" t="n"/>
      <c r="C94" s="12" t="n"/>
      <c r="D94" s="13">
        <f>IF($A94="","",TRIM($B94&amp;" "&amp;$C94))</f>
        <v/>
      </c>
      <c r="E94" s="12" t="n"/>
      <c r="F94" s="12" t="n"/>
      <c r="G94" s="14" t="n"/>
      <c r="H94" s="14" t="n"/>
      <c r="I94" s="12" t="n"/>
      <c r="J94" s="14" t="n"/>
      <c r="K94" s="12" t="n"/>
      <c r="L94" s="13">
        <f>IF($K94="","",IFERROR(INDEX(Dept_Names,MATCH($K94,Dept_Codes,0)),"NOT FOUND"))</f>
        <v/>
      </c>
      <c r="M94" s="12" t="n"/>
      <c r="N94" s="13">
        <f>IF($M94="","",IFERROR(INDEX(Desig_Names,MATCH($M94,Desig_Codes,0)),"NOT FOUND"))</f>
        <v/>
      </c>
      <c r="O94" s="13">
        <f>IF($M94="","",IFERROR(INDEX(Desig_Levels,MATCH($M94,Desig_Codes,0)),""))</f>
        <v/>
      </c>
      <c r="P94" s="12" t="n"/>
      <c r="Q94" s="12" t="n"/>
      <c r="R94" s="12" t="n"/>
      <c r="S94" s="13">
        <f>IF($R94="","",IFERROR(INDEX(Emp_Names,MATCH($R94,Emp_Codes,0)),"NOT FOUND"))</f>
        <v/>
      </c>
      <c r="T94" s="12" t="n"/>
      <c r="U94" s="12" t="n"/>
      <c r="V94" s="12" t="n"/>
    </row>
    <row r="95">
      <c r="A95" s="12" t="n"/>
      <c r="B95" s="12" t="n"/>
      <c r="C95" s="12" t="n"/>
      <c r="D95" s="13">
        <f>IF($A95="","",TRIM($B95&amp;" "&amp;$C95))</f>
        <v/>
      </c>
      <c r="E95" s="12" t="n"/>
      <c r="F95" s="12" t="n"/>
      <c r="G95" s="14" t="n"/>
      <c r="H95" s="14" t="n"/>
      <c r="I95" s="12" t="n"/>
      <c r="J95" s="14" t="n"/>
      <c r="K95" s="12" t="n"/>
      <c r="L95" s="13">
        <f>IF($K95="","",IFERROR(INDEX(Dept_Names,MATCH($K95,Dept_Codes,0)),"NOT FOUND"))</f>
        <v/>
      </c>
      <c r="M95" s="12" t="n"/>
      <c r="N95" s="13">
        <f>IF($M95="","",IFERROR(INDEX(Desig_Names,MATCH($M95,Desig_Codes,0)),"NOT FOUND"))</f>
        <v/>
      </c>
      <c r="O95" s="13">
        <f>IF($M95="","",IFERROR(INDEX(Desig_Levels,MATCH($M95,Desig_Codes,0)),""))</f>
        <v/>
      </c>
      <c r="P95" s="12" t="n"/>
      <c r="Q95" s="12" t="n"/>
      <c r="R95" s="12" t="n"/>
      <c r="S95" s="13">
        <f>IF($R95="","",IFERROR(INDEX(Emp_Names,MATCH($R95,Emp_Codes,0)),"NOT FOUND"))</f>
        <v/>
      </c>
      <c r="T95" s="12" t="n"/>
      <c r="U95" s="12" t="n"/>
      <c r="V95" s="12" t="n"/>
    </row>
    <row r="96">
      <c r="A96" s="12" t="n"/>
      <c r="B96" s="12" t="n"/>
      <c r="C96" s="12" t="n"/>
      <c r="D96" s="13">
        <f>IF($A96="","",TRIM($B96&amp;" "&amp;$C96))</f>
        <v/>
      </c>
      <c r="E96" s="12" t="n"/>
      <c r="F96" s="12" t="n"/>
      <c r="G96" s="14" t="n"/>
      <c r="H96" s="14" t="n"/>
      <c r="I96" s="12" t="n"/>
      <c r="J96" s="14" t="n"/>
      <c r="K96" s="12" t="n"/>
      <c r="L96" s="13">
        <f>IF($K96="","",IFERROR(INDEX(Dept_Names,MATCH($K96,Dept_Codes,0)),"NOT FOUND"))</f>
        <v/>
      </c>
      <c r="M96" s="12" t="n"/>
      <c r="N96" s="13">
        <f>IF($M96="","",IFERROR(INDEX(Desig_Names,MATCH($M96,Desig_Codes,0)),"NOT FOUND"))</f>
        <v/>
      </c>
      <c r="O96" s="13">
        <f>IF($M96="","",IFERROR(INDEX(Desig_Levels,MATCH($M96,Desig_Codes,0)),""))</f>
        <v/>
      </c>
      <c r="P96" s="12" t="n"/>
      <c r="Q96" s="12" t="n"/>
      <c r="R96" s="12" t="n"/>
      <c r="S96" s="13">
        <f>IF($R96="","",IFERROR(INDEX(Emp_Names,MATCH($R96,Emp_Codes,0)),"NOT FOUND"))</f>
        <v/>
      </c>
      <c r="T96" s="12" t="n"/>
      <c r="U96" s="12" t="n"/>
      <c r="V96" s="12" t="n"/>
    </row>
    <row r="97">
      <c r="A97" s="12" t="n"/>
      <c r="B97" s="12" t="n"/>
      <c r="C97" s="12" t="n"/>
      <c r="D97" s="13">
        <f>IF($A97="","",TRIM($B97&amp;" "&amp;$C97))</f>
        <v/>
      </c>
      <c r="E97" s="12" t="n"/>
      <c r="F97" s="12" t="n"/>
      <c r="G97" s="14" t="n"/>
      <c r="H97" s="14" t="n"/>
      <c r="I97" s="12" t="n"/>
      <c r="J97" s="14" t="n"/>
      <c r="K97" s="12" t="n"/>
      <c r="L97" s="13">
        <f>IF($K97="","",IFERROR(INDEX(Dept_Names,MATCH($K97,Dept_Codes,0)),"NOT FOUND"))</f>
        <v/>
      </c>
      <c r="M97" s="12" t="n"/>
      <c r="N97" s="13">
        <f>IF($M97="","",IFERROR(INDEX(Desig_Names,MATCH($M97,Desig_Codes,0)),"NOT FOUND"))</f>
        <v/>
      </c>
      <c r="O97" s="13">
        <f>IF($M97="","",IFERROR(INDEX(Desig_Levels,MATCH($M97,Desig_Codes,0)),""))</f>
        <v/>
      </c>
      <c r="P97" s="12" t="n"/>
      <c r="Q97" s="12" t="n"/>
      <c r="R97" s="12" t="n"/>
      <c r="S97" s="13">
        <f>IF($R97="","",IFERROR(INDEX(Emp_Names,MATCH($R97,Emp_Codes,0)),"NOT FOUND"))</f>
        <v/>
      </c>
      <c r="T97" s="12" t="n"/>
      <c r="U97" s="12" t="n"/>
      <c r="V97" s="12" t="n"/>
    </row>
    <row r="98">
      <c r="A98" s="12" t="n"/>
      <c r="B98" s="12" t="n"/>
      <c r="C98" s="12" t="n"/>
      <c r="D98" s="13">
        <f>IF($A98="","",TRIM($B98&amp;" "&amp;$C98))</f>
        <v/>
      </c>
      <c r="E98" s="12" t="n"/>
      <c r="F98" s="12" t="n"/>
      <c r="G98" s="14" t="n"/>
      <c r="H98" s="14" t="n"/>
      <c r="I98" s="12" t="n"/>
      <c r="J98" s="14" t="n"/>
      <c r="K98" s="12" t="n"/>
      <c r="L98" s="13">
        <f>IF($K98="","",IFERROR(INDEX(Dept_Names,MATCH($K98,Dept_Codes,0)),"NOT FOUND"))</f>
        <v/>
      </c>
      <c r="M98" s="12" t="n"/>
      <c r="N98" s="13">
        <f>IF($M98="","",IFERROR(INDEX(Desig_Names,MATCH($M98,Desig_Codes,0)),"NOT FOUND"))</f>
        <v/>
      </c>
      <c r="O98" s="13">
        <f>IF($M98="","",IFERROR(INDEX(Desig_Levels,MATCH($M98,Desig_Codes,0)),""))</f>
        <v/>
      </c>
      <c r="P98" s="12" t="n"/>
      <c r="Q98" s="12" t="n"/>
      <c r="R98" s="12" t="n"/>
      <c r="S98" s="13">
        <f>IF($R98="","",IFERROR(INDEX(Emp_Names,MATCH($R98,Emp_Codes,0)),"NOT FOUND"))</f>
        <v/>
      </c>
      <c r="T98" s="12" t="n"/>
      <c r="U98" s="12" t="n"/>
      <c r="V98" s="12" t="n"/>
    </row>
    <row r="99">
      <c r="A99" s="12" t="n"/>
      <c r="B99" s="12" t="n"/>
      <c r="C99" s="12" t="n"/>
      <c r="D99" s="13">
        <f>IF($A99="","",TRIM($B99&amp;" "&amp;$C99))</f>
        <v/>
      </c>
      <c r="E99" s="12" t="n"/>
      <c r="F99" s="12" t="n"/>
      <c r="G99" s="14" t="n"/>
      <c r="H99" s="14" t="n"/>
      <c r="I99" s="12" t="n"/>
      <c r="J99" s="14" t="n"/>
      <c r="K99" s="12" t="n"/>
      <c r="L99" s="13">
        <f>IF($K99="","",IFERROR(INDEX(Dept_Names,MATCH($K99,Dept_Codes,0)),"NOT FOUND"))</f>
        <v/>
      </c>
      <c r="M99" s="12" t="n"/>
      <c r="N99" s="13">
        <f>IF($M99="","",IFERROR(INDEX(Desig_Names,MATCH($M99,Desig_Codes,0)),"NOT FOUND"))</f>
        <v/>
      </c>
      <c r="O99" s="13">
        <f>IF($M99="","",IFERROR(INDEX(Desig_Levels,MATCH($M99,Desig_Codes,0)),""))</f>
        <v/>
      </c>
      <c r="P99" s="12" t="n"/>
      <c r="Q99" s="12" t="n"/>
      <c r="R99" s="12" t="n"/>
      <c r="S99" s="13">
        <f>IF($R99="","",IFERROR(INDEX(Emp_Names,MATCH($R99,Emp_Codes,0)),"NOT FOUND"))</f>
        <v/>
      </c>
      <c r="T99" s="12" t="n"/>
      <c r="U99" s="12" t="n"/>
      <c r="V99" s="12" t="n"/>
    </row>
    <row r="100">
      <c r="A100" s="12" t="n"/>
      <c r="B100" s="12" t="n"/>
      <c r="C100" s="12" t="n"/>
      <c r="D100" s="13">
        <f>IF($A100="","",TRIM($B100&amp;" "&amp;$C100))</f>
        <v/>
      </c>
      <c r="E100" s="12" t="n"/>
      <c r="F100" s="12" t="n"/>
      <c r="G100" s="14" t="n"/>
      <c r="H100" s="14" t="n"/>
      <c r="I100" s="12" t="n"/>
      <c r="J100" s="14" t="n"/>
      <c r="K100" s="12" t="n"/>
      <c r="L100" s="13">
        <f>IF($K100="","",IFERROR(INDEX(Dept_Names,MATCH($K100,Dept_Codes,0)),"NOT FOUND"))</f>
        <v/>
      </c>
      <c r="M100" s="12" t="n"/>
      <c r="N100" s="13">
        <f>IF($M100="","",IFERROR(INDEX(Desig_Names,MATCH($M100,Desig_Codes,0)),"NOT FOUND"))</f>
        <v/>
      </c>
      <c r="O100" s="13">
        <f>IF($M100="","",IFERROR(INDEX(Desig_Levels,MATCH($M100,Desig_Codes,0)),""))</f>
        <v/>
      </c>
      <c r="P100" s="12" t="n"/>
      <c r="Q100" s="12" t="n"/>
      <c r="R100" s="12" t="n"/>
      <c r="S100" s="13">
        <f>IF($R100="","",IFERROR(INDEX(Emp_Names,MATCH($R100,Emp_Codes,0)),"NOT FOUND"))</f>
        <v/>
      </c>
      <c r="T100" s="12" t="n"/>
      <c r="U100" s="12" t="n"/>
      <c r="V100" s="12" t="n"/>
    </row>
    <row r="101">
      <c r="A101" s="12" t="n"/>
      <c r="B101" s="12" t="n"/>
      <c r="C101" s="12" t="n"/>
      <c r="D101" s="13">
        <f>IF($A101="","",TRIM($B101&amp;" "&amp;$C101))</f>
        <v/>
      </c>
      <c r="E101" s="12" t="n"/>
      <c r="F101" s="12" t="n"/>
      <c r="G101" s="14" t="n"/>
      <c r="H101" s="14" t="n"/>
      <c r="I101" s="12" t="n"/>
      <c r="J101" s="14" t="n"/>
      <c r="K101" s="12" t="n"/>
      <c r="L101" s="13">
        <f>IF($K101="","",IFERROR(INDEX(Dept_Names,MATCH($K101,Dept_Codes,0)),"NOT FOUND"))</f>
        <v/>
      </c>
      <c r="M101" s="12" t="n"/>
      <c r="N101" s="13">
        <f>IF($M101="","",IFERROR(INDEX(Desig_Names,MATCH($M101,Desig_Codes,0)),"NOT FOUND"))</f>
        <v/>
      </c>
      <c r="O101" s="13">
        <f>IF($M101="","",IFERROR(INDEX(Desig_Levels,MATCH($M101,Desig_Codes,0)),""))</f>
        <v/>
      </c>
      <c r="P101" s="12" t="n"/>
      <c r="Q101" s="12" t="n"/>
      <c r="R101" s="12" t="n"/>
      <c r="S101" s="13">
        <f>IF($R101="","",IFERROR(INDEX(Emp_Names,MATCH($R101,Emp_Codes,0)),"NOT FOUND"))</f>
        <v/>
      </c>
      <c r="T101" s="12" t="n"/>
      <c r="U101" s="12" t="n"/>
      <c r="V101" s="12" t="n"/>
    </row>
    <row r="102">
      <c r="A102" s="12" t="n"/>
      <c r="B102" s="12" t="n"/>
      <c r="C102" s="12" t="n"/>
      <c r="D102" s="13">
        <f>IF($A102="","",TRIM($B102&amp;" "&amp;$C102))</f>
        <v/>
      </c>
      <c r="E102" s="12" t="n"/>
      <c r="F102" s="12" t="n"/>
      <c r="G102" s="14" t="n"/>
      <c r="H102" s="14" t="n"/>
      <c r="I102" s="12" t="n"/>
      <c r="J102" s="14" t="n"/>
      <c r="K102" s="12" t="n"/>
      <c r="L102" s="13">
        <f>IF($K102="","",IFERROR(INDEX(Dept_Names,MATCH($K102,Dept_Codes,0)),"NOT FOUND"))</f>
        <v/>
      </c>
      <c r="M102" s="12" t="n"/>
      <c r="N102" s="13">
        <f>IF($M102="","",IFERROR(INDEX(Desig_Names,MATCH($M102,Desig_Codes,0)),"NOT FOUND"))</f>
        <v/>
      </c>
      <c r="O102" s="13">
        <f>IF($M102="","",IFERROR(INDEX(Desig_Levels,MATCH($M102,Desig_Codes,0)),""))</f>
        <v/>
      </c>
      <c r="P102" s="12" t="n"/>
      <c r="Q102" s="12" t="n"/>
      <c r="R102" s="12" t="n"/>
      <c r="S102" s="13">
        <f>IF($R102="","",IFERROR(INDEX(Emp_Names,MATCH($R102,Emp_Codes,0)),"NOT FOUND"))</f>
        <v/>
      </c>
      <c r="T102" s="12" t="n"/>
      <c r="U102" s="12" t="n"/>
      <c r="V102" s="12" t="n"/>
    </row>
    <row r="103">
      <c r="A103" s="12" t="n"/>
      <c r="B103" s="12" t="n"/>
      <c r="C103" s="12" t="n"/>
      <c r="D103" s="13">
        <f>IF($A103="","",TRIM($B103&amp;" "&amp;$C103))</f>
        <v/>
      </c>
      <c r="E103" s="12" t="n"/>
      <c r="F103" s="12" t="n"/>
      <c r="G103" s="14" t="n"/>
      <c r="H103" s="14" t="n"/>
      <c r="I103" s="12" t="n"/>
      <c r="J103" s="14" t="n"/>
      <c r="K103" s="12" t="n"/>
      <c r="L103" s="13">
        <f>IF($K103="","",IFERROR(INDEX(Dept_Names,MATCH($K103,Dept_Codes,0)),"NOT FOUND"))</f>
        <v/>
      </c>
      <c r="M103" s="12" t="n"/>
      <c r="N103" s="13">
        <f>IF($M103="","",IFERROR(INDEX(Desig_Names,MATCH($M103,Desig_Codes,0)),"NOT FOUND"))</f>
        <v/>
      </c>
      <c r="O103" s="13">
        <f>IF($M103="","",IFERROR(INDEX(Desig_Levels,MATCH($M103,Desig_Codes,0)),""))</f>
        <v/>
      </c>
      <c r="P103" s="12" t="n"/>
      <c r="Q103" s="12" t="n"/>
      <c r="R103" s="12" t="n"/>
      <c r="S103" s="13">
        <f>IF($R103="","",IFERROR(INDEX(Emp_Names,MATCH($R103,Emp_Codes,0)),"NOT FOUND"))</f>
        <v/>
      </c>
      <c r="T103" s="12" t="n"/>
      <c r="U103" s="12" t="n"/>
      <c r="V103" s="12" t="n"/>
    </row>
    <row r="104">
      <c r="A104" s="12" t="n"/>
      <c r="B104" s="12" t="n"/>
      <c r="C104" s="12" t="n"/>
      <c r="D104" s="13">
        <f>IF($A104="","",TRIM($B104&amp;" "&amp;$C104))</f>
        <v/>
      </c>
      <c r="E104" s="12" t="n"/>
      <c r="F104" s="12" t="n"/>
      <c r="G104" s="14" t="n"/>
      <c r="H104" s="14" t="n"/>
      <c r="I104" s="12" t="n"/>
      <c r="J104" s="14" t="n"/>
      <c r="K104" s="12" t="n"/>
      <c r="L104" s="13">
        <f>IF($K104="","",IFERROR(INDEX(Dept_Names,MATCH($K104,Dept_Codes,0)),"NOT FOUND"))</f>
        <v/>
      </c>
      <c r="M104" s="12" t="n"/>
      <c r="N104" s="13">
        <f>IF($M104="","",IFERROR(INDEX(Desig_Names,MATCH($M104,Desig_Codes,0)),"NOT FOUND"))</f>
        <v/>
      </c>
      <c r="O104" s="13">
        <f>IF($M104="","",IFERROR(INDEX(Desig_Levels,MATCH($M104,Desig_Codes,0)),""))</f>
        <v/>
      </c>
      <c r="P104" s="12" t="n"/>
      <c r="Q104" s="12" t="n"/>
      <c r="R104" s="12" t="n"/>
      <c r="S104" s="13">
        <f>IF($R104="","",IFERROR(INDEX(Emp_Names,MATCH($R104,Emp_Codes,0)),"NOT FOUND"))</f>
        <v/>
      </c>
      <c r="T104" s="12" t="n"/>
      <c r="U104" s="12" t="n"/>
      <c r="V104" s="12" t="n"/>
    </row>
    <row r="105">
      <c r="A105" s="12" t="n"/>
      <c r="B105" s="12" t="n"/>
      <c r="C105" s="12" t="n"/>
      <c r="D105" s="13">
        <f>IF($A105="","",TRIM($B105&amp;" "&amp;$C105))</f>
        <v/>
      </c>
      <c r="E105" s="12" t="n"/>
      <c r="F105" s="12" t="n"/>
      <c r="G105" s="14" t="n"/>
      <c r="H105" s="14" t="n"/>
      <c r="I105" s="12" t="n"/>
      <c r="J105" s="14" t="n"/>
      <c r="K105" s="12" t="n"/>
      <c r="L105" s="13">
        <f>IF($K105="","",IFERROR(INDEX(Dept_Names,MATCH($K105,Dept_Codes,0)),"NOT FOUND"))</f>
        <v/>
      </c>
      <c r="M105" s="12" t="n"/>
      <c r="N105" s="13">
        <f>IF($M105="","",IFERROR(INDEX(Desig_Names,MATCH($M105,Desig_Codes,0)),"NOT FOUND"))</f>
        <v/>
      </c>
      <c r="O105" s="13">
        <f>IF($M105="","",IFERROR(INDEX(Desig_Levels,MATCH($M105,Desig_Codes,0)),""))</f>
        <v/>
      </c>
      <c r="P105" s="12" t="n"/>
      <c r="Q105" s="12" t="n"/>
      <c r="R105" s="12" t="n"/>
      <c r="S105" s="13">
        <f>IF($R105="","",IFERROR(INDEX(Emp_Names,MATCH($R105,Emp_Codes,0)),"NOT FOUND"))</f>
        <v/>
      </c>
      <c r="T105" s="12" t="n"/>
      <c r="U105" s="12" t="n"/>
      <c r="V105" s="12" t="n"/>
    </row>
    <row r="106">
      <c r="A106" s="12" t="n"/>
      <c r="B106" s="12" t="n"/>
      <c r="C106" s="12" t="n"/>
      <c r="D106" s="13">
        <f>IF($A106="","",TRIM($B106&amp;" "&amp;$C106))</f>
        <v/>
      </c>
      <c r="E106" s="12" t="n"/>
      <c r="F106" s="12" t="n"/>
      <c r="G106" s="14" t="n"/>
      <c r="H106" s="14" t="n"/>
      <c r="I106" s="12" t="n"/>
      <c r="J106" s="14" t="n"/>
      <c r="K106" s="12" t="n"/>
      <c r="L106" s="13">
        <f>IF($K106="","",IFERROR(INDEX(Dept_Names,MATCH($K106,Dept_Codes,0)),"NOT FOUND"))</f>
        <v/>
      </c>
      <c r="M106" s="12" t="n"/>
      <c r="N106" s="13">
        <f>IF($M106="","",IFERROR(INDEX(Desig_Names,MATCH($M106,Desig_Codes,0)),"NOT FOUND"))</f>
        <v/>
      </c>
      <c r="O106" s="13">
        <f>IF($M106="","",IFERROR(INDEX(Desig_Levels,MATCH($M106,Desig_Codes,0)),""))</f>
        <v/>
      </c>
      <c r="P106" s="12" t="n"/>
      <c r="Q106" s="12" t="n"/>
      <c r="R106" s="12" t="n"/>
      <c r="S106" s="13">
        <f>IF($R106="","",IFERROR(INDEX(Emp_Names,MATCH($R106,Emp_Codes,0)),"NOT FOUND"))</f>
        <v/>
      </c>
      <c r="T106" s="12" t="n"/>
      <c r="U106" s="12" t="n"/>
      <c r="V106" s="12" t="n"/>
    </row>
    <row r="107">
      <c r="A107" s="12" t="n"/>
      <c r="B107" s="12" t="n"/>
      <c r="C107" s="12" t="n"/>
      <c r="D107" s="13">
        <f>IF($A107="","",TRIM($B107&amp;" "&amp;$C107))</f>
        <v/>
      </c>
      <c r="E107" s="12" t="n"/>
      <c r="F107" s="12" t="n"/>
      <c r="G107" s="14" t="n"/>
      <c r="H107" s="14" t="n"/>
      <c r="I107" s="12" t="n"/>
      <c r="J107" s="14" t="n"/>
      <c r="K107" s="12" t="n"/>
      <c r="L107" s="13">
        <f>IF($K107="","",IFERROR(INDEX(Dept_Names,MATCH($K107,Dept_Codes,0)),"NOT FOUND"))</f>
        <v/>
      </c>
      <c r="M107" s="12" t="n"/>
      <c r="N107" s="13">
        <f>IF($M107="","",IFERROR(INDEX(Desig_Names,MATCH($M107,Desig_Codes,0)),"NOT FOUND"))</f>
        <v/>
      </c>
      <c r="O107" s="13">
        <f>IF($M107="","",IFERROR(INDEX(Desig_Levels,MATCH($M107,Desig_Codes,0)),""))</f>
        <v/>
      </c>
      <c r="P107" s="12" t="n"/>
      <c r="Q107" s="12" t="n"/>
      <c r="R107" s="12" t="n"/>
      <c r="S107" s="13">
        <f>IF($R107="","",IFERROR(INDEX(Emp_Names,MATCH($R107,Emp_Codes,0)),"NOT FOUND"))</f>
        <v/>
      </c>
      <c r="T107" s="12" t="n"/>
      <c r="U107" s="12" t="n"/>
      <c r="V107" s="12" t="n"/>
    </row>
    <row r="108">
      <c r="A108" s="12" t="n"/>
      <c r="B108" s="12" t="n"/>
      <c r="C108" s="12" t="n"/>
      <c r="D108" s="13">
        <f>IF($A108="","",TRIM($B108&amp;" "&amp;$C108))</f>
        <v/>
      </c>
      <c r="E108" s="12" t="n"/>
      <c r="F108" s="12" t="n"/>
      <c r="G108" s="14" t="n"/>
      <c r="H108" s="14" t="n"/>
      <c r="I108" s="12" t="n"/>
      <c r="J108" s="14" t="n"/>
      <c r="K108" s="12" t="n"/>
      <c r="L108" s="13">
        <f>IF($K108="","",IFERROR(INDEX(Dept_Names,MATCH($K108,Dept_Codes,0)),"NOT FOUND"))</f>
        <v/>
      </c>
      <c r="M108" s="12" t="n"/>
      <c r="N108" s="13">
        <f>IF($M108="","",IFERROR(INDEX(Desig_Names,MATCH($M108,Desig_Codes,0)),"NOT FOUND"))</f>
        <v/>
      </c>
      <c r="O108" s="13">
        <f>IF($M108="","",IFERROR(INDEX(Desig_Levels,MATCH($M108,Desig_Codes,0)),""))</f>
        <v/>
      </c>
      <c r="P108" s="12" t="n"/>
      <c r="Q108" s="12" t="n"/>
      <c r="R108" s="12" t="n"/>
      <c r="S108" s="13">
        <f>IF($R108="","",IFERROR(INDEX(Emp_Names,MATCH($R108,Emp_Codes,0)),"NOT FOUND"))</f>
        <v/>
      </c>
      <c r="T108" s="12" t="n"/>
      <c r="U108" s="12" t="n"/>
      <c r="V108" s="12" t="n"/>
    </row>
    <row r="109">
      <c r="A109" s="12" t="n"/>
      <c r="B109" s="12" t="n"/>
      <c r="C109" s="12" t="n"/>
      <c r="D109" s="13">
        <f>IF($A109="","",TRIM($B109&amp;" "&amp;$C109))</f>
        <v/>
      </c>
      <c r="E109" s="12" t="n"/>
      <c r="F109" s="12" t="n"/>
      <c r="G109" s="14" t="n"/>
      <c r="H109" s="14" t="n"/>
      <c r="I109" s="12" t="n"/>
      <c r="J109" s="14" t="n"/>
      <c r="K109" s="12" t="n"/>
      <c r="L109" s="13">
        <f>IF($K109="","",IFERROR(INDEX(Dept_Names,MATCH($K109,Dept_Codes,0)),"NOT FOUND"))</f>
        <v/>
      </c>
      <c r="M109" s="12" t="n"/>
      <c r="N109" s="13">
        <f>IF($M109="","",IFERROR(INDEX(Desig_Names,MATCH($M109,Desig_Codes,0)),"NOT FOUND"))</f>
        <v/>
      </c>
      <c r="O109" s="13">
        <f>IF($M109="","",IFERROR(INDEX(Desig_Levels,MATCH($M109,Desig_Codes,0)),""))</f>
        <v/>
      </c>
      <c r="P109" s="12" t="n"/>
      <c r="Q109" s="12" t="n"/>
      <c r="R109" s="12" t="n"/>
      <c r="S109" s="13">
        <f>IF($R109="","",IFERROR(INDEX(Emp_Names,MATCH($R109,Emp_Codes,0)),"NOT FOUND"))</f>
        <v/>
      </c>
      <c r="T109" s="12" t="n"/>
      <c r="U109" s="12" t="n"/>
      <c r="V109" s="12" t="n"/>
    </row>
    <row r="110">
      <c r="A110" s="12" t="n"/>
      <c r="B110" s="12" t="n"/>
      <c r="C110" s="12" t="n"/>
      <c r="D110" s="13">
        <f>IF($A110="","",TRIM($B110&amp;" "&amp;$C110))</f>
        <v/>
      </c>
      <c r="E110" s="12" t="n"/>
      <c r="F110" s="12" t="n"/>
      <c r="G110" s="14" t="n"/>
      <c r="H110" s="14" t="n"/>
      <c r="I110" s="12" t="n"/>
      <c r="J110" s="14" t="n"/>
      <c r="K110" s="12" t="n"/>
      <c r="L110" s="13">
        <f>IF($K110="","",IFERROR(INDEX(Dept_Names,MATCH($K110,Dept_Codes,0)),"NOT FOUND"))</f>
        <v/>
      </c>
      <c r="M110" s="12" t="n"/>
      <c r="N110" s="13">
        <f>IF($M110="","",IFERROR(INDEX(Desig_Names,MATCH($M110,Desig_Codes,0)),"NOT FOUND"))</f>
        <v/>
      </c>
      <c r="O110" s="13">
        <f>IF($M110="","",IFERROR(INDEX(Desig_Levels,MATCH($M110,Desig_Codes,0)),""))</f>
        <v/>
      </c>
      <c r="P110" s="12" t="n"/>
      <c r="Q110" s="12" t="n"/>
      <c r="R110" s="12" t="n"/>
      <c r="S110" s="13">
        <f>IF($R110="","",IFERROR(INDEX(Emp_Names,MATCH($R110,Emp_Codes,0)),"NOT FOUND"))</f>
        <v/>
      </c>
      <c r="T110" s="12" t="n"/>
      <c r="U110" s="12" t="n"/>
      <c r="V110" s="12" t="n"/>
    </row>
    <row r="111">
      <c r="A111" s="12" t="n"/>
      <c r="B111" s="12" t="n"/>
      <c r="C111" s="12" t="n"/>
      <c r="D111" s="13">
        <f>IF($A111="","",TRIM($B111&amp;" "&amp;$C111))</f>
        <v/>
      </c>
      <c r="E111" s="12" t="n"/>
      <c r="F111" s="12" t="n"/>
      <c r="G111" s="14" t="n"/>
      <c r="H111" s="14" t="n"/>
      <c r="I111" s="12" t="n"/>
      <c r="J111" s="14" t="n"/>
      <c r="K111" s="12" t="n"/>
      <c r="L111" s="13">
        <f>IF($K111="","",IFERROR(INDEX(Dept_Names,MATCH($K111,Dept_Codes,0)),"NOT FOUND"))</f>
        <v/>
      </c>
      <c r="M111" s="12" t="n"/>
      <c r="N111" s="13">
        <f>IF($M111="","",IFERROR(INDEX(Desig_Names,MATCH($M111,Desig_Codes,0)),"NOT FOUND"))</f>
        <v/>
      </c>
      <c r="O111" s="13">
        <f>IF($M111="","",IFERROR(INDEX(Desig_Levels,MATCH($M111,Desig_Codes,0)),""))</f>
        <v/>
      </c>
      <c r="P111" s="12" t="n"/>
      <c r="Q111" s="12" t="n"/>
      <c r="R111" s="12" t="n"/>
      <c r="S111" s="13">
        <f>IF($R111="","",IFERROR(INDEX(Emp_Names,MATCH($R111,Emp_Codes,0)),"NOT FOUND"))</f>
        <v/>
      </c>
      <c r="T111" s="12" t="n"/>
      <c r="U111" s="12" t="n"/>
      <c r="V111" s="12" t="n"/>
    </row>
    <row r="112">
      <c r="A112" s="12" t="n"/>
      <c r="B112" s="12" t="n"/>
      <c r="C112" s="12" t="n"/>
      <c r="D112" s="13">
        <f>IF($A112="","",TRIM($B112&amp;" "&amp;$C112))</f>
        <v/>
      </c>
      <c r="E112" s="12" t="n"/>
      <c r="F112" s="12" t="n"/>
      <c r="G112" s="14" t="n"/>
      <c r="H112" s="14" t="n"/>
      <c r="I112" s="12" t="n"/>
      <c r="J112" s="14" t="n"/>
      <c r="K112" s="12" t="n"/>
      <c r="L112" s="13">
        <f>IF($K112="","",IFERROR(INDEX(Dept_Names,MATCH($K112,Dept_Codes,0)),"NOT FOUND"))</f>
        <v/>
      </c>
      <c r="M112" s="12" t="n"/>
      <c r="N112" s="13">
        <f>IF($M112="","",IFERROR(INDEX(Desig_Names,MATCH($M112,Desig_Codes,0)),"NOT FOUND"))</f>
        <v/>
      </c>
      <c r="O112" s="13">
        <f>IF($M112="","",IFERROR(INDEX(Desig_Levels,MATCH($M112,Desig_Codes,0)),""))</f>
        <v/>
      </c>
      <c r="P112" s="12" t="n"/>
      <c r="Q112" s="12" t="n"/>
      <c r="R112" s="12" t="n"/>
      <c r="S112" s="13">
        <f>IF($R112="","",IFERROR(INDEX(Emp_Names,MATCH($R112,Emp_Codes,0)),"NOT FOUND"))</f>
        <v/>
      </c>
      <c r="T112" s="12" t="n"/>
      <c r="U112" s="12" t="n"/>
      <c r="V112" s="12" t="n"/>
    </row>
    <row r="113">
      <c r="A113" s="12" t="n"/>
      <c r="B113" s="12" t="n"/>
      <c r="C113" s="12" t="n"/>
      <c r="D113" s="13">
        <f>IF($A113="","",TRIM($B113&amp;" "&amp;$C113))</f>
        <v/>
      </c>
      <c r="E113" s="12" t="n"/>
      <c r="F113" s="12" t="n"/>
      <c r="G113" s="14" t="n"/>
      <c r="H113" s="14" t="n"/>
      <c r="I113" s="12" t="n"/>
      <c r="J113" s="14" t="n"/>
      <c r="K113" s="12" t="n"/>
      <c r="L113" s="13">
        <f>IF($K113="","",IFERROR(INDEX(Dept_Names,MATCH($K113,Dept_Codes,0)),"NOT FOUND"))</f>
        <v/>
      </c>
      <c r="M113" s="12" t="n"/>
      <c r="N113" s="13">
        <f>IF($M113="","",IFERROR(INDEX(Desig_Names,MATCH($M113,Desig_Codes,0)),"NOT FOUND"))</f>
        <v/>
      </c>
      <c r="O113" s="13">
        <f>IF($M113="","",IFERROR(INDEX(Desig_Levels,MATCH($M113,Desig_Codes,0)),""))</f>
        <v/>
      </c>
      <c r="P113" s="12" t="n"/>
      <c r="Q113" s="12" t="n"/>
      <c r="R113" s="12" t="n"/>
      <c r="S113" s="13">
        <f>IF($R113="","",IFERROR(INDEX(Emp_Names,MATCH($R113,Emp_Codes,0)),"NOT FOUND"))</f>
        <v/>
      </c>
      <c r="T113" s="12" t="n"/>
      <c r="U113" s="12" t="n"/>
      <c r="V113" s="12" t="n"/>
    </row>
    <row r="114">
      <c r="A114" s="12" t="n"/>
      <c r="B114" s="12" t="n"/>
      <c r="C114" s="12" t="n"/>
      <c r="D114" s="13">
        <f>IF($A114="","",TRIM($B114&amp;" "&amp;$C114))</f>
        <v/>
      </c>
      <c r="E114" s="12" t="n"/>
      <c r="F114" s="12" t="n"/>
      <c r="G114" s="14" t="n"/>
      <c r="H114" s="14" t="n"/>
      <c r="I114" s="12" t="n"/>
      <c r="J114" s="14" t="n"/>
      <c r="K114" s="12" t="n"/>
      <c r="L114" s="13">
        <f>IF($K114="","",IFERROR(INDEX(Dept_Names,MATCH($K114,Dept_Codes,0)),"NOT FOUND"))</f>
        <v/>
      </c>
      <c r="M114" s="12" t="n"/>
      <c r="N114" s="13">
        <f>IF($M114="","",IFERROR(INDEX(Desig_Names,MATCH($M114,Desig_Codes,0)),"NOT FOUND"))</f>
        <v/>
      </c>
      <c r="O114" s="13">
        <f>IF($M114="","",IFERROR(INDEX(Desig_Levels,MATCH($M114,Desig_Codes,0)),""))</f>
        <v/>
      </c>
      <c r="P114" s="12" t="n"/>
      <c r="Q114" s="12" t="n"/>
      <c r="R114" s="12" t="n"/>
      <c r="S114" s="13">
        <f>IF($R114="","",IFERROR(INDEX(Emp_Names,MATCH($R114,Emp_Codes,0)),"NOT FOUND"))</f>
        <v/>
      </c>
      <c r="T114" s="12" t="n"/>
      <c r="U114" s="12" t="n"/>
      <c r="V114" s="12" t="n"/>
    </row>
    <row r="115">
      <c r="A115" s="12" t="n"/>
      <c r="B115" s="12" t="n"/>
      <c r="C115" s="12" t="n"/>
      <c r="D115" s="13">
        <f>IF($A115="","",TRIM($B115&amp;" "&amp;$C115))</f>
        <v/>
      </c>
      <c r="E115" s="12" t="n"/>
      <c r="F115" s="12" t="n"/>
      <c r="G115" s="14" t="n"/>
      <c r="H115" s="14" t="n"/>
      <c r="I115" s="12" t="n"/>
      <c r="J115" s="14" t="n"/>
      <c r="K115" s="12" t="n"/>
      <c r="L115" s="13">
        <f>IF($K115="","",IFERROR(INDEX(Dept_Names,MATCH($K115,Dept_Codes,0)),"NOT FOUND"))</f>
        <v/>
      </c>
      <c r="M115" s="12" t="n"/>
      <c r="N115" s="13">
        <f>IF($M115="","",IFERROR(INDEX(Desig_Names,MATCH($M115,Desig_Codes,0)),"NOT FOUND"))</f>
        <v/>
      </c>
      <c r="O115" s="13">
        <f>IF($M115="","",IFERROR(INDEX(Desig_Levels,MATCH($M115,Desig_Codes,0)),""))</f>
        <v/>
      </c>
      <c r="P115" s="12" t="n"/>
      <c r="Q115" s="12" t="n"/>
      <c r="R115" s="12" t="n"/>
      <c r="S115" s="13">
        <f>IF($R115="","",IFERROR(INDEX(Emp_Names,MATCH($R115,Emp_Codes,0)),"NOT FOUND"))</f>
        <v/>
      </c>
      <c r="T115" s="12" t="n"/>
      <c r="U115" s="12" t="n"/>
      <c r="V115" s="12" t="n"/>
    </row>
    <row r="116">
      <c r="A116" s="12" t="n"/>
      <c r="B116" s="12" t="n"/>
      <c r="C116" s="12" t="n"/>
      <c r="D116" s="13">
        <f>IF($A116="","",TRIM($B116&amp;" "&amp;$C116))</f>
        <v/>
      </c>
      <c r="E116" s="12" t="n"/>
      <c r="F116" s="12" t="n"/>
      <c r="G116" s="14" t="n"/>
      <c r="H116" s="14" t="n"/>
      <c r="I116" s="12" t="n"/>
      <c r="J116" s="14" t="n"/>
      <c r="K116" s="12" t="n"/>
      <c r="L116" s="13">
        <f>IF($K116="","",IFERROR(INDEX(Dept_Names,MATCH($K116,Dept_Codes,0)),"NOT FOUND"))</f>
        <v/>
      </c>
      <c r="M116" s="12" t="n"/>
      <c r="N116" s="13">
        <f>IF($M116="","",IFERROR(INDEX(Desig_Names,MATCH($M116,Desig_Codes,0)),"NOT FOUND"))</f>
        <v/>
      </c>
      <c r="O116" s="13">
        <f>IF($M116="","",IFERROR(INDEX(Desig_Levels,MATCH($M116,Desig_Codes,0)),""))</f>
        <v/>
      </c>
      <c r="P116" s="12" t="n"/>
      <c r="Q116" s="12" t="n"/>
      <c r="R116" s="12" t="n"/>
      <c r="S116" s="13">
        <f>IF($R116="","",IFERROR(INDEX(Emp_Names,MATCH($R116,Emp_Codes,0)),"NOT FOUND"))</f>
        <v/>
      </c>
      <c r="T116" s="12" t="n"/>
      <c r="U116" s="12" t="n"/>
      <c r="V116" s="12" t="n"/>
    </row>
    <row r="117">
      <c r="A117" s="12" t="n"/>
      <c r="B117" s="12" t="n"/>
      <c r="C117" s="12" t="n"/>
      <c r="D117" s="13">
        <f>IF($A117="","",TRIM($B117&amp;" "&amp;$C117))</f>
        <v/>
      </c>
      <c r="E117" s="12" t="n"/>
      <c r="F117" s="12" t="n"/>
      <c r="G117" s="14" t="n"/>
      <c r="H117" s="14" t="n"/>
      <c r="I117" s="12" t="n"/>
      <c r="J117" s="14" t="n"/>
      <c r="K117" s="12" t="n"/>
      <c r="L117" s="13">
        <f>IF($K117="","",IFERROR(INDEX(Dept_Names,MATCH($K117,Dept_Codes,0)),"NOT FOUND"))</f>
        <v/>
      </c>
      <c r="M117" s="12" t="n"/>
      <c r="N117" s="13">
        <f>IF($M117="","",IFERROR(INDEX(Desig_Names,MATCH($M117,Desig_Codes,0)),"NOT FOUND"))</f>
        <v/>
      </c>
      <c r="O117" s="13">
        <f>IF($M117="","",IFERROR(INDEX(Desig_Levels,MATCH($M117,Desig_Codes,0)),""))</f>
        <v/>
      </c>
      <c r="P117" s="12" t="n"/>
      <c r="Q117" s="12" t="n"/>
      <c r="R117" s="12" t="n"/>
      <c r="S117" s="13">
        <f>IF($R117="","",IFERROR(INDEX(Emp_Names,MATCH($R117,Emp_Codes,0)),"NOT FOUND"))</f>
        <v/>
      </c>
      <c r="T117" s="12" t="n"/>
      <c r="U117" s="12" t="n"/>
      <c r="V117" s="12" t="n"/>
    </row>
    <row r="118">
      <c r="A118" s="12" t="n"/>
      <c r="B118" s="12" t="n"/>
      <c r="C118" s="12" t="n"/>
      <c r="D118" s="13">
        <f>IF($A118="","",TRIM($B118&amp;" "&amp;$C118))</f>
        <v/>
      </c>
      <c r="E118" s="12" t="n"/>
      <c r="F118" s="12" t="n"/>
      <c r="G118" s="14" t="n"/>
      <c r="H118" s="14" t="n"/>
      <c r="I118" s="12" t="n"/>
      <c r="J118" s="14" t="n"/>
      <c r="K118" s="12" t="n"/>
      <c r="L118" s="13">
        <f>IF($K118="","",IFERROR(INDEX(Dept_Names,MATCH($K118,Dept_Codes,0)),"NOT FOUND"))</f>
        <v/>
      </c>
      <c r="M118" s="12" t="n"/>
      <c r="N118" s="13">
        <f>IF($M118="","",IFERROR(INDEX(Desig_Names,MATCH($M118,Desig_Codes,0)),"NOT FOUND"))</f>
        <v/>
      </c>
      <c r="O118" s="13">
        <f>IF($M118="","",IFERROR(INDEX(Desig_Levels,MATCH($M118,Desig_Codes,0)),""))</f>
        <v/>
      </c>
      <c r="P118" s="12" t="n"/>
      <c r="Q118" s="12" t="n"/>
      <c r="R118" s="12" t="n"/>
      <c r="S118" s="13">
        <f>IF($R118="","",IFERROR(INDEX(Emp_Names,MATCH($R118,Emp_Codes,0)),"NOT FOUND"))</f>
        <v/>
      </c>
      <c r="T118" s="12" t="n"/>
      <c r="U118" s="12" t="n"/>
      <c r="V118" s="12" t="n"/>
    </row>
    <row r="119">
      <c r="A119" s="12" t="n"/>
      <c r="B119" s="12" t="n"/>
      <c r="C119" s="12" t="n"/>
      <c r="D119" s="13">
        <f>IF($A119="","",TRIM($B119&amp;" "&amp;$C119))</f>
        <v/>
      </c>
      <c r="E119" s="12" t="n"/>
      <c r="F119" s="12" t="n"/>
      <c r="G119" s="14" t="n"/>
      <c r="H119" s="14" t="n"/>
      <c r="I119" s="12" t="n"/>
      <c r="J119" s="14" t="n"/>
      <c r="K119" s="12" t="n"/>
      <c r="L119" s="13">
        <f>IF($K119="","",IFERROR(INDEX(Dept_Names,MATCH($K119,Dept_Codes,0)),"NOT FOUND"))</f>
        <v/>
      </c>
      <c r="M119" s="12" t="n"/>
      <c r="N119" s="13">
        <f>IF($M119="","",IFERROR(INDEX(Desig_Names,MATCH($M119,Desig_Codes,0)),"NOT FOUND"))</f>
        <v/>
      </c>
      <c r="O119" s="13">
        <f>IF($M119="","",IFERROR(INDEX(Desig_Levels,MATCH($M119,Desig_Codes,0)),""))</f>
        <v/>
      </c>
      <c r="P119" s="12" t="n"/>
      <c r="Q119" s="12" t="n"/>
      <c r="R119" s="12" t="n"/>
      <c r="S119" s="13">
        <f>IF($R119="","",IFERROR(INDEX(Emp_Names,MATCH($R119,Emp_Codes,0)),"NOT FOUND"))</f>
        <v/>
      </c>
      <c r="T119" s="12" t="n"/>
      <c r="U119" s="12" t="n"/>
      <c r="V119" s="12" t="n"/>
    </row>
    <row r="120">
      <c r="A120" s="12" t="n"/>
      <c r="B120" s="12" t="n"/>
      <c r="C120" s="12" t="n"/>
      <c r="D120" s="13">
        <f>IF($A120="","",TRIM($B120&amp;" "&amp;$C120))</f>
        <v/>
      </c>
      <c r="E120" s="12" t="n"/>
      <c r="F120" s="12" t="n"/>
      <c r="G120" s="14" t="n"/>
      <c r="H120" s="14" t="n"/>
      <c r="I120" s="12" t="n"/>
      <c r="J120" s="14" t="n"/>
      <c r="K120" s="12" t="n"/>
      <c r="L120" s="13">
        <f>IF($K120="","",IFERROR(INDEX(Dept_Names,MATCH($K120,Dept_Codes,0)),"NOT FOUND"))</f>
        <v/>
      </c>
      <c r="M120" s="12" t="n"/>
      <c r="N120" s="13">
        <f>IF($M120="","",IFERROR(INDEX(Desig_Names,MATCH($M120,Desig_Codes,0)),"NOT FOUND"))</f>
        <v/>
      </c>
      <c r="O120" s="13">
        <f>IF($M120="","",IFERROR(INDEX(Desig_Levels,MATCH($M120,Desig_Codes,0)),""))</f>
        <v/>
      </c>
      <c r="P120" s="12" t="n"/>
      <c r="Q120" s="12" t="n"/>
      <c r="R120" s="12" t="n"/>
      <c r="S120" s="13">
        <f>IF($R120="","",IFERROR(INDEX(Emp_Names,MATCH($R120,Emp_Codes,0)),"NOT FOUND"))</f>
        <v/>
      </c>
      <c r="T120" s="12" t="n"/>
      <c r="U120" s="12" t="n"/>
      <c r="V120" s="12" t="n"/>
    </row>
    <row r="121">
      <c r="A121" s="12" t="n"/>
      <c r="B121" s="12" t="n"/>
      <c r="C121" s="12" t="n"/>
      <c r="D121" s="13">
        <f>IF($A121="","",TRIM($B121&amp;" "&amp;$C121))</f>
        <v/>
      </c>
      <c r="E121" s="12" t="n"/>
      <c r="F121" s="12" t="n"/>
      <c r="G121" s="14" t="n"/>
      <c r="H121" s="14" t="n"/>
      <c r="I121" s="12" t="n"/>
      <c r="J121" s="14" t="n"/>
      <c r="K121" s="12" t="n"/>
      <c r="L121" s="13">
        <f>IF($K121="","",IFERROR(INDEX(Dept_Names,MATCH($K121,Dept_Codes,0)),"NOT FOUND"))</f>
        <v/>
      </c>
      <c r="M121" s="12" t="n"/>
      <c r="N121" s="13">
        <f>IF($M121="","",IFERROR(INDEX(Desig_Names,MATCH($M121,Desig_Codes,0)),"NOT FOUND"))</f>
        <v/>
      </c>
      <c r="O121" s="13">
        <f>IF($M121="","",IFERROR(INDEX(Desig_Levels,MATCH($M121,Desig_Codes,0)),""))</f>
        <v/>
      </c>
      <c r="P121" s="12" t="n"/>
      <c r="Q121" s="12" t="n"/>
      <c r="R121" s="12" t="n"/>
      <c r="S121" s="13">
        <f>IF($R121="","",IFERROR(INDEX(Emp_Names,MATCH($R121,Emp_Codes,0)),"NOT FOUND"))</f>
        <v/>
      </c>
      <c r="T121" s="12" t="n"/>
      <c r="U121" s="12" t="n"/>
      <c r="V121" s="12" t="n"/>
    </row>
    <row r="122">
      <c r="A122" s="12" t="n"/>
      <c r="B122" s="12" t="n"/>
      <c r="C122" s="12" t="n"/>
      <c r="D122" s="13">
        <f>IF($A122="","",TRIM($B122&amp;" "&amp;$C122))</f>
        <v/>
      </c>
      <c r="E122" s="12" t="n"/>
      <c r="F122" s="12" t="n"/>
      <c r="G122" s="14" t="n"/>
      <c r="H122" s="14" t="n"/>
      <c r="I122" s="12" t="n"/>
      <c r="J122" s="14" t="n"/>
      <c r="K122" s="12" t="n"/>
      <c r="L122" s="13">
        <f>IF($K122="","",IFERROR(INDEX(Dept_Names,MATCH($K122,Dept_Codes,0)),"NOT FOUND"))</f>
        <v/>
      </c>
      <c r="M122" s="12" t="n"/>
      <c r="N122" s="13">
        <f>IF($M122="","",IFERROR(INDEX(Desig_Names,MATCH($M122,Desig_Codes,0)),"NOT FOUND"))</f>
        <v/>
      </c>
      <c r="O122" s="13">
        <f>IF($M122="","",IFERROR(INDEX(Desig_Levels,MATCH($M122,Desig_Codes,0)),""))</f>
        <v/>
      </c>
      <c r="P122" s="12" t="n"/>
      <c r="Q122" s="12" t="n"/>
      <c r="R122" s="12" t="n"/>
      <c r="S122" s="13">
        <f>IF($R122="","",IFERROR(INDEX(Emp_Names,MATCH($R122,Emp_Codes,0)),"NOT FOUND"))</f>
        <v/>
      </c>
      <c r="T122" s="12" t="n"/>
      <c r="U122" s="12" t="n"/>
      <c r="V122" s="12" t="n"/>
    </row>
    <row r="123">
      <c r="A123" s="12" t="n"/>
      <c r="B123" s="12" t="n"/>
      <c r="C123" s="12" t="n"/>
      <c r="D123" s="13">
        <f>IF($A123="","",TRIM($B123&amp;" "&amp;$C123))</f>
        <v/>
      </c>
      <c r="E123" s="12" t="n"/>
      <c r="F123" s="12" t="n"/>
      <c r="G123" s="14" t="n"/>
      <c r="H123" s="14" t="n"/>
      <c r="I123" s="12" t="n"/>
      <c r="J123" s="14" t="n"/>
      <c r="K123" s="12" t="n"/>
      <c r="L123" s="13">
        <f>IF($K123="","",IFERROR(INDEX(Dept_Names,MATCH($K123,Dept_Codes,0)),"NOT FOUND"))</f>
        <v/>
      </c>
      <c r="M123" s="12" t="n"/>
      <c r="N123" s="13">
        <f>IF($M123="","",IFERROR(INDEX(Desig_Names,MATCH($M123,Desig_Codes,0)),"NOT FOUND"))</f>
        <v/>
      </c>
      <c r="O123" s="13">
        <f>IF($M123="","",IFERROR(INDEX(Desig_Levels,MATCH($M123,Desig_Codes,0)),""))</f>
        <v/>
      </c>
      <c r="P123" s="12" t="n"/>
      <c r="Q123" s="12" t="n"/>
      <c r="R123" s="12" t="n"/>
      <c r="S123" s="13">
        <f>IF($R123="","",IFERROR(INDEX(Emp_Names,MATCH($R123,Emp_Codes,0)),"NOT FOUND"))</f>
        <v/>
      </c>
      <c r="T123" s="12" t="n"/>
      <c r="U123" s="12" t="n"/>
      <c r="V123" s="12" t="n"/>
    </row>
    <row r="124">
      <c r="A124" s="12" t="n"/>
      <c r="B124" s="12" t="n"/>
      <c r="C124" s="12" t="n"/>
      <c r="D124" s="13">
        <f>IF($A124="","",TRIM($B124&amp;" "&amp;$C124))</f>
        <v/>
      </c>
      <c r="E124" s="12" t="n"/>
      <c r="F124" s="12" t="n"/>
      <c r="G124" s="14" t="n"/>
      <c r="H124" s="14" t="n"/>
      <c r="I124" s="12" t="n"/>
      <c r="J124" s="14" t="n"/>
      <c r="K124" s="12" t="n"/>
      <c r="L124" s="13">
        <f>IF($K124="","",IFERROR(INDEX(Dept_Names,MATCH($K124,Dept_Codes,0)),"NOT FOUND"))</f>
        <v/>
      </c>
      <c r="M124" s="12" t="n"/>
      <c r="N124" s="13">
        <f>IF($M124="","",IFERROR(INDEX(Desig_Names,MATCH($M124,Desig_Codes,0)),"NOT FOUND"))</f>
        <v/>
      </c>
      <c r="O124" s="13">
        <f>IF($M124="","",IFERROR(INDEX(Desig_Levels,MATCH($M124,Desig_Codes,0)),""))</f>
        <v/>
      </c>
      <c r="P124" s="12" t="n"/>
      <c r="Q124" s="12" t="n"/>
      <c r="R124" s="12" t="n"/>
      <c r="S124" s="13">
        <f>IF($R124="","",IFERROR(INDEX(Emp_Names,MATCH($R124,Emp_Codes,0)),"NOT FOUND"))</f>
        <v/>
      </c>
      <c r="T124" s="12" t="n"/>
      <c r="U124" s="12" t="n"/>
      <c r="V124" s="12" t="n"/>
    </row>
    <row r="125">
      <c r="A125" s="12" t="n"/>
      <c r="B125" s="12" t="n"/>
      <c r="C125" s="12" t="n"/>
      <c r="D125" s="13">
        <f>IF($A125="","",TRIM($B125&amp;" "&amp;$C125))</f>
        <v/>
      </c>
      <c r="E125" s="12" t="n"/>
      <c r="F125" s="12" t="n"/>
      <c r="G125" s="14" t="n"/>
      <c r="H125" s="14" t="n"/>
      <c r="I125" s="12" t="n"/>
      <c r="J125" s="14" t="n"/>
      <c r="K125" s="12" t="n"/>
      <c r="L125" s="13">
        <f>IF($K125="","",IFERROR(INDEX(Dept_Names,MATCH($K125,Dept_Codes,0)),"NOT FOUND"))</f>
        <v/>
      </c>
      <c r="M125" s="12" t="n"/>
      <c r="N125" s="13">
        <f>IF($M125="","",IFERROR(INDEX(Desig_Names,MATCH($M125,Desig_Codes,0)),"NOT FOUND"))</f>
        <v/>
      </c>
      <c r="O125" s="13">
        <f>IF($M125="","",IFERROR(INDEX(Desig_Levels,MATCH($M125,Desig_Codes,0)),""))</f>
        <v/>
      </c>
      <c r="P125" s="12" t="n"/>
      <c r="Q125" s="12" t="n"/>
      <c r="R125" s="12" t="n"/>
      <c r="S125" s="13">
        <f>IF($R125="","",IFERROR(INDEX(Emp_Names,MATCH($R125,Emp_Codes,0)),"NOT FOUND"))</f>
        <v/>
      </c>
      <c r="T125" s="12" t="n"/>
      <c r="U125" s="12" t="n"/>
      <c r="V125" s="12" t="n"/>
    </row>
    <row r="126">
      <c r="A126" s="12" t="n"/>
      <c r="B126" s="12" t="n"/>
      <c r="C126" s="12" t="n"/>
      <c r="D126" s="13">
        <f>IF($A126="","",TRIM($B126&amp;" "&amp;$C126))</f>
        <v/>
      </c>
      <c r="E126" s="12" t="n"/>
      <c r="F126" s="12" t="n"/>
      <c r="G126" s="14" t="n"/>
      <c r="H126" s="14" t="n"/>
      <c r="I126" s="12" t="n"/>
      <c r="J126" s="14" t="n"/>
      <c r="K126" s="12" t="n"/>
      <c r="L126" s="13">
        <f>IF($K126="","",IFERROR(INDEX(Dept_Names,MATCH($K126,Dept_Codes,0)),"NOT FOUND"))</f>
        <v/>
      </c>
      <c r="M126" s="12" t="n"/>
      <c r="N126" s="13">
        <f>IF($M126="","",IFERROR(INDEX(Desig_Names,MATCH($M126,Desig_Codes,0)),"NOT FOUND"))</f>
        <v/>
      </c>
      <c r="O126" s="13">
        <f>IF($M126="","",IFERROR(INDEX(Desig_Levels,MATCH($M126,Desig_Codes,0)),""))</f>
        <v/>
      </c>
      <c r="P126" s="12" t="n"/>
      <c r="Q126" s="12" t="n"/>
      <c r="R126" s="12" t="n"/>
      <c r="S126" s="13">
        <f>IF($R126="","",IFERROR(INDEX(Emp_Names,MATCH($R126,Emp_Codes,0)),"NOT FOUND"))</f>
        <v/>
      </c>
      <c r="T126" s="12" t="n"/>
      <c r="U126" s="12" t="n"/>
      <c r="V126" s="12" t="n"/>
    </row>
    <row r="127">
      <c r="A127" s="12" t="n"/>
      <c r="B127" s="12" t="n"/>
      <c r="C127" s="12" t="n"/>
      <c r="D127" s="13">
        <f>IF($A127="","",TRIM($B127&amp;" "&amp;$C127))</f>
        <v/>
      </c>
      <c r="E127" s="12" t="n"/>
      <c r="F127" s="12" t="n"/>
      <c r="G127" s="14" t="n"/>
      <c r="H127" s="14" t="n"/>
      <c r="I127" s="12" t="n"/>
      <c r="J127" s="14" t="n"/>
      <c r="K127" s="12" t="n"/>
      <c r="L127" s="13">
        <f>IF($K127="","",IFERROR(INDEX(Dept_Names,MATCH($K127,Dept_Codes,0)),"NOT FOUND"))</f>
        <v/>
      </c>
      <c r="M127" s="12" t="n"/>
      <c r="N127" s="13">
        <f>IF($M127="","",IFERROR(INDEX(Desig_Names,MATCH($M127,Desig_Codes,0)),"NOT FOUND"))</f>
        <v/>
      </c>
      <c r="O127" s="13">
        <f>IF($M127="","",IFERROR(INDEX(Desig_Levels,MATCH($M127,Desig_Codes,0)),""))</f>
        <v/>
      </c>
      <c r="P127" s="12" t="n"/>
      <c r="Q127" s="12" t="n"/>
      <c r="R127" s="12" t="n"/>
      <c r="S127" s="13">
        <f>IF($R127="","",IFERROR(INDEX(Emp_Names,MATCH($R127,Emp_Codes,0)),"NOT FOUND"))</f>
        <v/>
      </c>
      <c r="T127" s="12" t="n"/>
      <c r="U127" s="12" t="n"/>
      <c r="V127" s="12" t="n"/>
    </row>
    <row r="128">
      <c r="A128" s="12" t="n"/>
      <c r="B128" s="12" t="n"/>
      <c r="C128" s="12" t="n"/>
      <c r="D128" s="13">
        <f>IF($A128="","",TRIM($B128&amp;" "&amp;$C128))</f>
        <v/>
      </c>
      <c r="E128" s="12" t="n"/>
      <c r="F128" s="12" t="n"/>
      <c r="G128" s="14" t="n"/>
      <c r="H128" s="14" t="n"/>
      <c r="I128" s="12" t="n"/>
      <c r="J128" s="14" t="n"/>
      <c r="K128" s="12" t="n"/>
      <c r="L128" s="13">
        <f>IF($K128="","",IFERROR(INDEX(Dept_Names,MATCH($K128,Dept_Codes,0)),"NOT FOUND"))</f>
        <v/>
      </c>
      <c r="M128" s="12" t="n"/>
      <c r="N128" s="13">
        <f>IF($M128="","",IFERROR(INDEX(Desig_Names,MATCH($M128,Desig_Codes,0)),"NOT FOUND"))</f>
        <v/>
      </c>
      <c r="O128" s="13">
        <f>IF($M128="","",IFERROR(INDEX(Desig_Levels,MATCH($M128,Desig_Codes,0)),""))</f>
        <v/>
      </c>
      <c r="P128" s="12" t="n"/>
      <c r="Q128" s="12" t="n"/>
      <c r="R128" s="12" t="n"/>
      <c r="S128" s="13">
        <f>IF($R128="","",IFERROR(INDEX(Emp_Names,MATCH($R128,Emp_Codes,0)),"NOT FOUND"))</f>
        <v/>
      </c>
      <c r="T128" s="12" t="n"/>
      <c r="U128" s="12" t="n"/>
      <c r="V128" s="12" t="n"/>
    </row>
    <row r="129">
      <c r="A129" s="12" t="n"/>
      <c r="B129" s="12" t="n"/>
      <c r="C129" s="12" t="n"/>
      <c r="D129" s="13">
        <f>IF($A129="","",TRIM($B129&amp;" "&amp;$C129))</f>
        <v/>
      </c>
      <c r="E129" s="12" t="n"/>
      <c r="F129" s="12" t="n"/>
      <c r="G129" s="14" t="n"/>
      <c r="H129" s="14" t="n"/>
      <c r="I129" s="12" t="n"/>
      <c r="J129" s="14" t="n"/>
      <c r="K129" s="12" t="n"/>
      <c r="L129" s="13">
        <f>IF($K129="","",IFERROR(INDEX(Dept_Names,MATCH($K129,Dept_Codes,0)),"NOT FOUND"))</f>
        <v/>
      </c>
      <c r="M129" s="12" t="n"/>
      <c r="N129" s="13">
        <f>IF($M129="","",IFERROR(INDEX(Desig_Names,MATCH($M129,Desig_Codes,0)),"NOT FOUND"))</f>
        <v/>
      </c>
      <c r="O129" s="13">
        <f>IF($M129="","",IFERROR(INDEX(Desig_Levels,MATCH($M129,Desig_Codes,0)),""))</f>
        <v/>
      </c>
      <c r="P129" s="12" t="n"/>
      <c r="Q129" s="12" t="n"/>
      <c r="R129" s="12" t="n"/>
      <c r="S129" s="13">
        <f>IF($R129="","",IFERROR(INDEX(Emp_Names,MATCH($R129,Emp_Codes,0)),"NOT FOUND"))</f>
        <v/>
      </c>
      <c r="T129" s="12" t="n"/>
      <c r="U129" s="12" t="n"/>
      <c r="V129" s="12" t="n"/>
    </row>
    <row r="130">
      <c r="A130" s="12" t="n"/>
      <c r="B130" s="12" t="n"/>
      <c r="C130" s="12" t="n"/>
      <c r="D130" s="13">
        <f>IF($A130="","",TRIM($B130&amp;" "&amp;$C130))</f>
        <v/>
      </c>
      <c r="E130" s="12" t="n"/>
      <c r="F130" s="12" t="n"/>
      <c r="G130" s="14" t="n"/>
      <c r="H130" s="14" t="n"/>
      <c r="I130" s="12" t="n"/>
      <c r="J130" s="14" t="n"/>
      <c r="K130" s="12" t="n"/>
      <c r="L130" s="13">
        <f>IF($K130="","",IFERROR(INDEX(Dept_Names,MATCH($K130,Dept_Codes,0)),"NOT FOUND"))</f>
        <v/>
      </c>
      <c r="M130" s="12" t="n"/>
      <c r="N130" s="13">
        <f>IF($M130="","",IFERROR(INDEX(Desig_Names,MATCH($M130,Desig_Codes,0)),"NOT FOUND"))</f>
        <v/>
      </c>
      <c r="O130" s="13">
        <f>IF($M130="","",IFERROR(INDEX(Desig_Levels,MATCH($M130,Desig_Codes,0)),""))</f>
        <v/>
      </c>
      <c r="P130" s="12" t="n"/>
      <c r="Q130" s="12" t="n"/>
      <c r="R130" s="12" t="n"/>
      <c r="S130" s="13">
        <f>IF($R130="","",IFERROR(INDEX(Emp_Names,MATCH($R130,Emp_Codes,0)),"NOT FOUND"))</f>
        <v/>
      </c>
      <c r="T130" s="12" t="n"/>
      <c r="U130" s="12" t="n"/>
      <c r="V130" s="12" t="n"/>
    </row>
    <row r="131">
      <c r="A131" s="12" t="n"/>
      <c r="B131" s="12" t="n"/>
      <c r="C131" s="12" t="n"/>
      <c r="D131" s="13">
        <f>IF($A131="","",TRIM($B131&amp;" "&amp;$C131))</f>
        <v/>
      </c>
      <c r="E131" s="12" t="n"/>
      <c r="F131" s="12" t="n"/>
      <c r="G131" s="14" t="n"/>
      <c r="H131" s="14" t="n"/>
      <c r="I131" s="12" t="n"/>
      <c r="J131" s="14" t="n"/>
      <c r="K131" s="12" t="n"/>
      <c r="L131" s="13">
        <f>IF($K131="","",IFERROR(INDEX(Dept_Names,MATCH($K131,Dept_Codes,0)),"NOT FOUND"))</f>
        <v/>
      </c>
      <c r="M131" s="12" t="n"/>
      <c r="N131" s="13">
        <f>IF($M131="","",IFERROR(INDEX(Desig_Names,MATCH($M131,Desig_Codes,0)),"NOT FOUND"))</f>
        <v/>
      </c>
      <c r="O131" s="13">
        <f>IF($M131="","",IFERROR(INDEX(Desig_Levels,MATCH($M131,Desig_Codes,0)),""))</f>
        <v/>
      </c>
      <c r="P131" s="12" t="n"/>
      <c r="Q131" s="12" t="n"/>
      <c r="R131" s="12" t="n"/>
      <c r="S131" s="13">
        <f>IF($R131="","",IFERROR(INDEX(Emp_Names,MATCH($R131,Emp_Codes,0)),"NOT FOUND"))</f>
        <v/>
      </c>
      <c r="T131" s="12" t="n"/>
      <c r="U131" s="12" t="n"/>
      <c r="V131" s="12" t="n"/>
    </row>
    <row r="132">
      <c r="A132" s="12" t="n"/>
      <c r="B132" s="12" t="n"/>
      <c r="C132" s="12" t="n"/>
      <c r="D132" s="13">
        <f>IF($A132="","",TRIM($B132&amp;" "&amp;$C132))</f>
        <v/>
      </c>
      <c r="E132" s="12" t="n"/>
      <c r="F132" s="12" t="n"/>
      <c r="G132" s="14" t="n"/>
      <c r="H132" s="14" t="n"/>
      <c r="I132" s="12" t="n"/>
      <c r="J132" s="14" t="n"/>
      <c r="K132" s="12" t="n"/>
      <c r="L132" s="13">
        <f>IF($K132="","",IFERROR(INDEX(Dept_Names,MATCH($K132,Dept_Codes,0)),"NOT FOUND"))</f>
        <v/>
      </c>
      <c r="M132" s="12" t="n"/>
      <c r="N132" s="13">
        <f>IF($M132="","",IFERROR(INDEX(Desig_Names,MATCH($M132,Desig_Codes,0)),"NOT FOUND"))</f>
        <v/>
      </c>
      <c r="O132" s="13">
        <f>IF($M132="","",IFERROR(INDEX(Desig_Levels,MATCH($M132,Desig_Codes,0)),""))</f>
        <v/>
      </c>
      <c r="P132" s="12" t="n"/>
      <c r="Q132" s="12" t="n"/>
      <c r="R132" s="12" t="n"/>
      <c r="S132" s="13">
        <f>IF($R132="","",IFERROR(INDEX(Emp_Names,MATCH($R132,Emp_Codes,0)),"NOT FOUND"))</f>
        <v/>
      </c>
      <c r="T132" s="12" t="n"/>
      <c r="U132" s="12" t="n"/>
      <c r="V132" s="12" t="n"/>
    </row>
    <row r="133">
      <c r="A133" s="12" t="n"/>
      <c r="B133" s="12" t="n"/>
      <c r="C133" s="12" t="n"/>
      <c r="D133" s="13">
        <f>IF($A133="","",TRIM($B133&amp;" "&amp;$C133))</f>
        <v/>
      </c>
      <c r="E133" s="12" t="n"/>
      <c r="F133" s="12" t="n"/>
      <c r="G133" s="14" t="n"/>
      <c r="H133" s="14" t="n"/>
      <c r="I133" s="12" t="n"/>
      <c r="J133" s="14" t="n"/>
      <c r="K133" s="12" t="n"/>
      <c r="L133" s="13">
        <f>IF($K133="","",IFERROR(INDEX(Dept_Names,MATCH($K133,Dept_Codes,0)),"NOT FOUND"))</f>
        <v/>
      </c>
      <c r="M133" s="12" t="n"/>
      <c r="N133" s="13">
        <f>IF($M133="","",IFERROR(INDEX(Desig_Names,MATCH($M133,Desig_Codes,0)),"NOT FOUND"))</f>
        <v/>
      </c>
      <c r="O133" s="13">
        <f>IF($M133="","",IFERROR(INDEX(Desig_Levels,MATCH($M133,Desig_Codes,0)),""))</f>
        <v/>
      </c>
      <c r="P133" s="12" t="n"/>
      <c r="Q133" s="12" t="n"/>
      <c r="R133" s="12" t="n"/>
      <c r="S133" s="13">
        <f>IF($R133="","",IFERROR(INDEX(Emp_Names,MATCH($R133,Emp_Codes,0)),"NOT FOUND"))</f>
        <v/>
      </c>
      <c r="T133" s="12" t="n"/>
      <c r="U133" s="12" t="n"/>
      <c r="V133" s="12" t="n"/>
    </row>
    <row r="134">
      <c r="A134" s="12" t="n"/>
      <c r="B134" s="12" t="n"/>
      <c r="C134" s="12" t="n"/>
      <c r="D134" s="13">
        <f>IF($A134="","",TRIM($B134&amp;" "&amp;$C134))</f>
        <v/>
      </c>
      <c r="E134" s="12" t="n"/>
      <c r="F134" s="12" t="n"/>
      <c r="G134" s="14" t="n"/>
      <c r="H134" s="14" t="n"/>
      <c r="I134" s="12" t="n"/>
      <c r="J134" s="14" t="n"/>
      <c r="K134" s="12" t="n"/>
      <c r="L134" s="13">
        <f>IF($K134="","",IFERROR(INDEX(Dept_Names,MATCH($K134,Dept_Codes,0)),"NOT FOUND"))</f>
        <v/>
      </c>
      <c r="M134" s="12" t="n"/>
      <c r="N134" s="13">
        <f>IF($M134="","",IFERROR(INDEX(Desig_Names,MATCH($M134,Desig_Codes,0)),"NOT FOUND"))</f>
        <v/>
      </c>
      <c r="O134" s="13">
        <f>IF($M134="","",IFERROR(INDEX(Desig_Levels,MATCH($M134,Desig_Codes,0)),""))</f>
        <v/>
      </c>
      <c r="P134" s="12" t="n"/>
      <c r="Q134" s="12" t="n"/>
      <c r="R134" s="12" t="n"/>
      <c r="S134" s="13">
        <f>IF($R134="","",IFERROR(INDEX(Emp_Names,MATCH($R134,Emp_Codes,0)),"NOT FOUND"))</f>
        <v/>
      </c>
      <c r="T134" s="12" t="n"/>
      <c r="U134" s="12" t="n"/>
      <c r="V134" s="12" t="n"/>
    </row>
    <row r="135">
      <c r="A135" s="12" t="n"/>
      <c r="B135" s="12" t="n"/>
      <c r="C135" s="12" t="n"/>
      <c r="D135" s="13">
        <f>IF($A135="","",TRIM($B135&amp;" "&amp;$C135))</f>
        <v/>
      </c>
      <c r="E135" s="12" t="n"/>
      <c r="F135" s="12" t="n"/>
      <c r="G135" s="14" t="n"/>
      <c r="H135" s="14" t="n"/>
      <c r="I135" s="12" t="n"/>
      <c r="J135" s="14" t="n"/>
      <c r="K135" s="12" t="n"/>
      <c r="L135" s="13">
        <f>IF($K135="","",IFERROR(INDEX(Dept_Names,MATCH($K135,Dept_Codes,0)),"NOT FOUND"))</f>
        <v/>
      </c>
      <c r="M135" s="12" t="n"/>
      <c r="N135" s="13">
        <f>IF($M135="","",IFERROR(INDEX(Desig_Names,MATCH($M135,Desig_Codes,0)),"NOT FOUND"))</f>
        <v/>
      </c>
      <c r="O135" s="13">
        <f>IF($M135="","",IFERROR(INDEX(Desig_Levels,MATCH($M135,Desig_Codes,0)),""))</f>
        <v/>
      </c>
      <c r="P135" s="12" t="n"/>
      <c r="Q135" s="12" t="n"/>
      <c r="R135" s="12" t="n"/>
      <c r="S135" s="13">
        <f>IF($R135="","",IFERROR(INDEX(Emp_Names,MATCH($R135,Emp_Codes,0)),"NOT FOUND"))</f>
        <v/>
      </c>
      <c r="T135" s="12" t="n"/>
      <c r="U135" s="12" t="n"/>
      <c r="V135" s="12" t="n"/>
    </row>
    <row r="136">
      <c r="A136" s="12" t="n"/>
      <c r="B136" s="12" t="n"/>
      <c r="C136" s="12" t="n"/>
      <c r="D136" s="13">
        <f>IF($A136="","",TRIM($B136&amp;" "&amp;$C136))</f>
        <v/>
      </c>
      <c r="E136" s="12" t="n"/>
      <c r="F136" s="12" t="n"/>
      <c r="G136" s="14" t="n"/>
      <c r="H136" s="14" t="n"/>
      <c r="I136" s="12" t="n"/>
      <c r="J136" s="14" t="n"/>
      <c r="K136" s="12" t="n"/>
      <c r="L136" s="13">
        <f>IF($K136="","",IFERROR(INDEX(Dept_Names,MATCH($K136,Dept_Codes,0)),"NOT FOUND"))</f>
        <v/>
      </c>
      <c r="M136" s="12" t="n"/>
      <c r="N136" s="13">
        <f>IF($M136="","",IFERROR(INDEX(Desig_Names,MATCH($M136,Desig_Codes,0)),"NOT FOUND"))</f>
        <v/>
      </c>
      <c r="O136" s="13">
        <f>IF($M136="","",IFERROR(INDEX(Desig_Levels,MATCH($M136,Desig_Codes,0)),""))</f>
        <v/>
      </c>
      <c r="P136" s="12" t="n"/>
      <c r="Q136" s="12" t="n"/>
      <c r="R136" s="12" t="n"/>
      <c r="S136" s="13">
        <f>IF($R136="","",IFERROR(INDEX(Emp_Names,MATCH($R136,Emp_Codes,0)),"NOT FOUND"))</f>
        <v/>
      </c>
      <c r="T136" s="12" t="n"/>
      <c r="U136" s="12" t="n"/>
      <c r="V136" s="12" t="n"/>
    </row>
    <row r="137">
      <c r="A137" s="12" t="n"/>
      <c r="B137" s="12" t="n"/>
      <c r="C137" s="12" t="n"/>
      <c r="D137" s="13">
        <f>IF($A137="","",TRIM($B137&amp;" "&amp;$C137))</f>
        <v/>
      </c>
      <c r="E137" s="12" t="n"/>
      <c r="F137" s="12" t="n"/>
      <c r="G137" s="14" t="n"/>
      <c r="H137" s="14" t="n"/>
      <c r="I137" s="12" t="n"/>
      <c r="J137" s="14" t="n"/>
      <c r="K137" s="12" t="n"/>
      <c r="L137" s="13">
        <f>IF($K137="","",IFERROR(INDEX(Dept_Names,MATCH($K137,Dept_Codes,0)),"NOT FOUND"))</f>
        <v/>
      </c>
      <c r="M137" s="12" t="n"/>
      <c r="N137" s="13">
        <f>IF($M137="","",IFERROR(INDEX(Desig_Names,MATCH($M137,Desig_Codes,0)),"NOT FOUND"))</f>
        <v/>
      </c>
      <c r="O137" s="13">
        <f>IF($M137="","",IFERROR(INDEX(Desig_Levels,MATCH($M137,Desig_Codes,0)),""))</f>
        <v/>
      </c>
      <c r="P137" s="12" t="n"/>
      <c r="Q137" s="12" t="n"/>
      <c r="R137" s="12" t="n"/>
      <c r="S137" s="13">
        <f>IF($R137="","",IFERROR(INDEX(Emp_Names,MATCH($R137,Emp_Codes,0)),"NOT FOUND"))</f>
        <v/>
      </c>
      <c r="T137" s="12" t="n"/>
      <c r="U137" s="12" t="n"/>
      <c r="V137" s="12" t="n"/>
    </row>
    <row r="138">
      <c r="A138" s="12" t="n"/>
      <c r="B138" s="12" t="n"/>
      <c r="C138" s="12" t="n"/>
      <c r="D138" s="13">
        <f>IF($A138="","",TRIM($B138&amp;" "&amp;$C138))</f>
        <v/>
      </c>
      <c r="E138" s="12" t="n"/>
      <c r="F138" s="12" t="n"/>
      <c r="G138" s="14" t="n"/>
      <c r="H138" s="14" t="n"/>
      <c r="I138" s="12" t="n"/>
      <c r="J138" s="14" t="n"/>
      <c r="K138" s="12" t="n"/>
      <c r="L138" s="13">
        <f>IF($K138="","",IFERROR(INDEX(Dept_Names,MATCH($K138,Dept_Codes,0)),"NOT FOUND"))</f>
        <v/>
      </c>
      <c r="M138" s="12" t="n"/>
      <c r="N138" s="13">
        <f>IF($M138="","",IFERROR(INDEX(Desig_Names,MATCH($M138,Desig_Codes,0)),"NOT FOUND"))</f>
        <v/>
      </c>
      <c r="O138" s="13">
        <f>IF($M138="","",IFERROR(INDEX(Desig_Levels,MATCH($M138,Desig_Codes,0)),""))</f>
        <v/>
      </c>
      <c r="P138" s="12" t="n"/>
      <c r="Q138" s="12" t="n"/>
      <c r="R138" s="12" t="n"/>
      <c r="S138" s="13">
        <f>IF($R138="","",IFERROR(INDEX(Emp_Names,MATCH($R138,Emp_Codes,0)),"NOT FOUND"))</f>
        <v/>
      </c>
      <c r="T138" s="12" t="n"/>
      <c r="U138" s="12" t="n"/>
      <c r="V138" s="12" t="n"/>
    </row>
    <row r="139">
      <c r="A139" s="12" t="n"/>
      <c r="B139" s="12" t="n"/>
      <c r="C139" s="12" t="n"/>
      <c r="D139" s="13">
        <f>IF($A139="","",TRIM($B139&amp;" "&amp;$C139))</f>
        <v/>
      </c>
      <c r="E139" s="12" t="n"/>
      <c r="F139" s="12" t="n"/>
      <c r="G139" s="14" t="n"/>
      <c r="H139" s="14" t="n"/>
      <c r="I139" s="12" t="n"/>
      <c r="J139" s="14" t="n"/>
      <c r="K139" s="12" t="n"/>
      <c r="L139" s="13">
        <f>IF($K139="","",IFERROR(INDEX(Dept_Names,MATCH($K139,Dept_Codes,0)),"NOT FOUND"))</f>
        <v/>
      </c>
      <c r="M139" s="12" t="n"/>
      <c r="N139" s="13">
        <f>IF($M139="","",IFERROR(INDEX(Desig_Names,MATCH($M139,Desig_Codes,0)),"NOT FOUND"))</f>
        <v/>
      </c>
      <c r="O139" s="13">
        <f>IF($M139="","",IFERROR(INDEX(Desig_Levels,MATCH($M139,Desig_Codes,0)),""))</f>
        <v/>
      </c>
      <c r="P139" s="12" t="n"/>
      <c r="Q139" s="12" t="n"/>
      <c r="R139" s="12" t="n"/>
      <c r="S139" s="13">
        <f>IF($R139="","",IFERROR(INDEX(Emp_Names,MATCH($R139,Emp_Codes,0)),"NOT FOUND"))</f>
        <v/>
      </c>
      <c r="T139" s="12" t="n"/>
      <c r="U139" s="12" t="n"/>
      <c r="V139" s="12" t="n"/>
    </row>
    <row r="140">
      <c r="A140" s="12" t="n"/>
      <c r="B140" s="12" t="n"/>
      <c r="C140" s="12" t="n"/>
      <c r="D140" s="13">
        <f>IF($A140="","",TRIM($B140&amp;" "&amp;$C140))</f>
        <v/>
      </c>
      <c r="E140" s="12" t="n"/>
      <c r="F140" s="12" t="n"/>
      <c r="G140" s="14" t="n"/>
      <c r="H140" s="14" t="n"/>
      <c r="I140" s="12" t="n"/>
      <c r="J140" s="14" t="n"/>
      <c r="K140" s="12" t="n"/>
      <c r="L140" s="13">
        <f>IF($K140="","",IFERROR(INDEX(Dept_Names,MATCH($K140,Dept_Codes,0)),"NOT FOUND"))</f>
        <v/>
      </c>
      <c r="M140" s="12" t="n"/>
      <c r="N140" s="13">
        <f>IF($M140="","",IFERROR(INDEX(Desig_Names,MATCH($M140,Desig_Codes,0)),"NOT FOUND"))</f>
        <v/>
      </c>
      <c r="O140" s="13">
        <f>IF($M140="","",IFERROR(INDEX(Desig_Levels,MATCH($M140,Desig_Codes,0)),""))</f>
        <v/>
      </c>
      <c r="P140" s="12" t="n"/>
      <c r="Q140" s="12" t="n"/>
      <c r="R140" s="12" t="n"/>
      <c r="S140" s="13">
        <f>IF($R140="","",IFERROR(INDEX(Emp_Names,MATCH($R140,Emp_Codes,0)),"NOT FOUND"))</f>
        <v/>
      </c>
      <c r="T140" s="12" t="n"/>
      <c r="U140" s="12" t="n"/>
      <c r="V140" s="12" t="n"/>
    </row>
    <row r="141">
      <c r="A141" s="12" t="n"/>
      <c r="B141" s="12" t="n"/>
      <c r="C141" s="12" t="n"/>
      <c r="D141" s="13">
        <f>IF($A141="","",TRIM($B141&amp;" "&amp;$C141))</f>
        <v/>
      </c>
      <c r="E141" s="12" t="n"/>
      <c r="F141" s="12" t="n"/>
      <c r="G141" s="14" t="n"/>
      <c r="H141" s="14" t="n"/>
      <c r="I141" s="12" t="n"/>
      <c r="J141" s="14" t="n"/>
      <c r="K141" s="12" t="n"/>
      <c r="L141" s="13">
        <f>IF($K141="","",IFERROR(INDEX(Dept_Names,MATCH($K141,Dept_Codes,0)),"NOT FOUND"))</f>
        <v/>
      </c>
      <c r="M141" s="12" t="n"/>
      <c r="N141" s="13">
        <f>IF($M141="","",IFERROR(INDEX(Desig_Names,MATCH($M141,Desig_Codes,0)),"NOT FOUND"))</f>
        <v/>
      </c>
      <c r="O141" s="13">
        <f>IF($M141="","",IFERROR(INDEX(Desig_Levels,MATCH($M141,Desig_Codes,0)),""))</f>
        <v/>
      </c>
      <c r="P141" s="12" t="n"/>
      <c r="Q141" s="12" t="n"/>
      <c r="R141" s="12" t="n"/>
      <c r="S141" s="13">
        <f>IF($R141="","",IFERROR(INDEX(Emp_Names,MATCH($R141,Emp_Codes,0)),"NOT FOUND"))</f>
        <v/>
      </c>
      <c r="T141" s="12" t="n"/>
      <c r="U141" s="12" t="n"/>
      <c r="V141" s="12" t="n"/>
    </row>
    <row r="142">
      <c r="A142" s="12" t="n"/>
      <c r="B142" s="12" t="n"/>
      <c r="C142" s="12" t="n"/>
      <c r="D142" s="13">
        <f>IF($A142="","",TRIM($B142&amp;" "&amp;$C142))</f>
        <v/>
      </c>
      <c r="E142" s="12" t="n"/>
      <c r="F142" s="12" t="n"/>
      <c r="G142" s="14" t="n"/>
      <c r="H142" s="14" t="n"/>
      <c r="I142" s="12" t="n"/>
      <c r="J142" s="14" t="n"/>
      <c r="K142" s="12" t="n"/>
      <c r="L142" s="13">
        <f>IF($K142="","",IFERROR(INDEX(Dept_Names,MATCH($K142,Dept_Codes,0)),"NOT FOUND"))</f>
        <v/>
      </c>
      <c r="M142" s="12" t="n"/>
      <c r="N142" s="13">
        <f>IF($M142="","",IFERROR(INDEX(Desig_Names,MATCH($M142,Desig_Codes,0)),"NOT FOUND"))</f>
        <v/>
      </c>
      <c r="O142" s="13">
        <f>IF($M142="","",IFERROR(INDEX(Desig_Levels,MATCH($M142,Desig_Codes,0)),""))</f>
        <v/>
      </c>
      <c r="P142" s="12" t="n"/>
      <c r="Q142" s="12" t="n"/>
      <c r="R142" s="12" t="n"/>
      <c r="S142" s="13">
        <f>IF($R142="","",IFERROR(INDEX(Emp_Names,MATCH($R142,Emp_Codes,0)),"NOT FOUND"))</f>
        <v/>
      </c>
      <c r="T142" s="12" t="n"/>
      <c r="U142" s="12" t="n"/>
      <c r="V142" s="12" t="n"/>
    </row>
    <row r="143">
      <c r="A143" s="12" t="n"/>
      <c r="B143" s="12" t="n"/>
      <c r="C143" s="12" t="n"/>
      <c r="D143" s="13">
        <f>IF($A143="","",TRIM($B143&amp;" "&amp;$C143))</f>
        <v/>
      </c>
      <c r="E143" s="12" t="n"/>
      <c r="F143" s="12" t="n"/>
      <c r="G143" s="14" t="n"/>
      <c r="H143" s="14" t="n"/>
      <c r="I143" s="12" t="n"/>
      <c r="J143" s="14" t="n"/>
      <c r="K143" s="12" t="n"/>
      <c r="L143" s="13">
        <f>IF($K143="","",IFERROR(INDEX(Dept_Names,MATCH($K143,Dept_Codes,0)),"NOT FOUND"))</f>
        <v/>
      </c>
      <c r="M143" s="12" t="n"/>
      <c r="N143" s="13">
        <f>IF($M143="","",IFERROR(INDEX(Desig_Names,MATCH($M143,Desig_Codes,0)),"NOT FOUND"))</f>
        <v/>
      </c>
      <c r="O143" s="13">
        <f>IF($M143="","",IFERROR(INDEX(Desig_Levels,MATCH($M143,Desig_Codes,0)),""))</f>
        <v/>
      </c>
      <c r="P143" s="12" t="n"/>
      <c r="Q143" s="12" t="n"/>
      <c r="R143" s="12" t="n"/>
      <c r="S143" s="13">
        <f>IF($R143="","",IFERROR(INDEX(Emp_Names,MATCH($R143,Emp_Codes,0)),"NOT FOUND"))</f>
        <v/>
      </c>
      <c r="T143" s="12" t="n"/>
      <c r="U143" s="12" t="n"/>
      <c r="V143" s="12" t="n"/>
    </row>
    <row r="144">
      <c r="A144" s="12" t="n"/>
      <c r="B144" s="12" t="n"/>
      <c r="C144" s="12" t="n"/>
      <c r="D144" s="13">
        <f>IF($A144="","",TRIM($B144&amp;" "&amp;$C144))</f>
        <v/>
      </c>
      <c r="E144" s="12" t="n"/>
      <c r="F144" s="12" t="n"/>
      <c r="G144" s="14" t="n"/>
      <c r="H144" s="14" t="n"/>
      <c r="I144" s="12" t="n"/>
      <c r="J144" s="14" t="n"/>
      <c r="K144" s="12" t="n"/>
      <c r="L144" s="13">
        <f>IF($K144="","",IFERROR(INDEX(Dept_Names,MATCH($K144,Dept_Codes,0)),"NOT FOUND"))</f>
        <v/>
      </c>
      <c r="M144" s="12" t="n"/>
      <c r="N144" s="13">
        <f>IF($M144="","",IFERROR(INDEX(Desig_Names,MATCH($M144,Desig_Codes,0)),"NOT FOUND"))</f>
        <v/>
      </c>
      <c r="O144" s="13">
        <f>IF($M144="","",IFERROR(INDEX(Desig_Levels,MATCH($M144,Desig_Codes,0)),""))</f>
        <v/>
      </c>
      <c r="P144" s="12" t="n"/>
      <c r="Q144" s="12" t="n"/>
      <c r="R144" s="12" t="n"/>
      <c r="S144" s="13">
        <f>IF($R144="","",IFERROR(INDEX(Emp_Names,MATCH($R144,Emp_Codes,0)),"NOT FOUND"))</f>
        <v/>
      </c>
      <c r="T144" s="12" t="n"/>
      <c r="U144" s="12" t="n"/>
      <c r="V144" s="12" t="n"/>
    </row>
    <row r="145">
      <c r="A145" s="12" t="n"/>
      <c r="B145" s="12" t="n"/>
      <c r="C145" s="12" t="n"/>
      <c r="D145" s="13">
        <f>IF($A145="","",TRIM($B145&amp;" "&amp;$C145))</f>
        <v/>
      </c>
      <c r="E145" s="12" t="n"/>
      <c r="F145" s="12" t="n"/>
      <c r="G145" s="14" t="n"/>
      <c r="H145" s="14" t="n"/>
      <c r="I145" s="12" t="n"/>
      <c r="J145" s="14" t="n"/>
      <c r="K145" s="12" t="n"/>
      <c r="L145" s="13">
        <f>IF($K145="","",IFERROR(INDEX(Dept_Names,MATCH($K145,Dept_Codes,0)),"NOT FOUND"))</f>
        <v/>
      </c>
      <c r="M145" s="12" t="n"/>
      <c r="N145" s="13">
        <f>IF($M145="","",IFERROR(INDEX(Desig_Names,MATCH($M145,Desig_Codes,0)),"NOT FOUND"))</f>
        <v/>
      </c>
      <c r="O145" s="13">
        <f>IF($M145="","",IFERROR(INDEX(Desig_Levels,MATCH($M145,Desig_Codes,0)),""))</f>
        <v/>
      </c>
      <c r="P145" s="12" t="n"/>
      <c r="Q145" s="12" t="n"/>
      <c r="R145" s="12" t="n"/>
      <c r="S145" s="13">
        <f>IF($R145="","",IFERROR(INDEX(Emp_Names,MATCH($R145,Emp_Codes,0)),"NOT FOUND"))</f>
        <v/>
      </c>
      <c r="T145" s="12" t="n"/>
      <c r="U145" s="12" t="n"/>
      <c r="V145" s="12" t="n"/>
    </row>
    <row r="146">
      <c r="A146" s="12" t="n"/>
      <c r="B146" s="12" t="n"/>
      <c r="C146" s="12" t="n"/>
      <c r="D146" s="13">
        <f>IF($A146="","",TRIM($B146&amp;" "&amp;$C146))</f>
        <v/>
      </c>
      <c r="E146" s="12" t="n"/>
      <c r="F146" s="12" t="n"/>
      <c r="G146" s="14" t="n"/>
      <c r="H146" s="14" t="n"/>
      <c r="I146" s="12" t="n"/>
      <c r="J146" s="14" t="n"/>
      <c r="K146" s="12" t="n"/>
      <c r="L146" s="13">
        <f>IF($K146="","",IFERROR(INDEX(Dept_Names,MATCH($K146,Dept_Codes,0)),"NOT FOUND"))</f>
        <v/>
      </c>
      <c r="M146" s="12" t="n"/>
      <c r="N146" s="13">
        <f>IF($M146="","",IFERROR(INDEX(Desig_Names,MATCH($M146,Desig_Codes,0)),"NOT FOUND"))</f>
        <v/>
      </c>
      <c r="O146" s="13">
        <f>IF($M146="","",IFERROR(INDEX(Desig_Levels,MATCH($M146,Desig_Codes,0)),""))</f>
        <v/>
      </c>
      <c r="P146" s="12" t="n"/>
      <c r="Q146" s="12" t="n"/>
      <c r="R146" s="12" t="n"/>
      <c r="S146" s="13">
        <f>IF($R146="","",IFERROR(INDEX(Emp_Names,MATCH($R146,Emp_Codes,0)),"NOT FOUND"))</f>
        <v/>
      </c>
      <c r="T146" s="12" t="n"/>
      <c r="U146" s="12" t="n"/>
      <c r="V146" s="12" t="n"/>
    </row>
    <row r="147">
      <c r="A147" s="12" t="n"/>
      <c r="B147" s="12" t="n"/>
      <c r="C147" s="12" t="n"/>
      <c r="D147" s="13">
        <f>IF($A147="","",TRIM($B147&amp;" "&amp;$C147))</f>
        <v/>
      </c>
      <c r="E147" s="12" t="n"/>
      <c r="F147" s="12" t="n"/>
      <c r="G147" s="14" t="n"/>
      <c r="H147" s="14" t="n"/>
      <c r="I147" s="12" t="n"/>
      <c r="J147" s="14" t="n"/>
      <c r="K147" s="12" t="n"/>
      <c r="L147" s="13">
        <f>IF($K147="","",IFERROR(INDEX(Dept_Names,MATCH($K147,Dept_Codes,0)),"NOT FOUND"))</f>
        <v/>
      </c>
      <c r="M147" s="12" t="n"/>
      <c r="N147" s="13">
        <f>IF($M147="","",IFERROR(INDEX(Desig_Names,MATCH($M147,Desig_Codes,0)),"NOT FOUND"))</f>
        <v/>
      </c>
      <c r="O147" s="13">
        <f>IF($M147="","",IFERROR(INDEX(Desig_Levels,MATCH($M147,Desig_Codes,0)),""))</f>
        <v/>
      </c>
      <c r="P147" s="12" t="n"/>
      <c r="Q147" s="12" t="n"/>
      <c r="R147" s="12" t="n"/>
      <c r="S147" s="13">
        <f>IF($R147="","",IFERROR(INDEX(Emp_Names,MATCH($R147,Emp_Codes,0)),"NOT FOUND"))</f>
        <v/>
      </c>
      <c r="T147" s="12" t="n"/>
      <c r="U147" s="12" t="n"/>
      <c r="V147" s="12" t="n"/>
    </row>
    <row r="148">
      <c r="A148" s="12" t="n"/>
      <c r="B148" s="12" t="n"/>
      <c r="C148" s="12" t="n"/>
      <c r="D148" s="13">
        <f>IF($A148="","",TRIM($B148&amp;" "&amp;$C148))</f>
        <v/>
      </c>
      <c r="E148" s="12" t="n"/>
      <c r="F148" s="12" t="n"/>
      <c r="G148" s="14" t="n"/>
      <c r="H148" s="14" t="n"/>
      <c r="I148" s="12" t="n"/>
      <c r="J148" s="14" t="n"/>
      <c r="K148" s="12" t="n"/>
      <c r="L148" s="13">
        <f>IF($K148="","",IFERROR(INDEX(Dept_Names,MATCH($K148,Dept_Codes,0)),"NOT FOUND"))</f>
        <v/>
      </c>
      <c r="M148" s="12" t="n"/>
      <c r="N148" s="13">
        <f>IF($M148="","",IFERROR(INDEX(Desig_Names,MATCH($M148,Desig_Codes,0)),"NOT FOUND"))</f>
        <v/>
      </c>
      <c r="O148" s="13">
        <f>IF($M148="","",IFERROR(INDEX(Desig_Levels,MATCH($M148,Desig_Codes,0)),""))</f>
        <v/>
      </c>
      <c r="P148" s="12" t="n"/>
      <c r="Q148" s="12" t="n"/>
      <c r="R148" s="12" t="n"/>
      <c r="S148" s="13">
        <f>IF($R148="","",IFERROR(INDEX(Emp_Names,MATCH($R148,Emp_Codes,0)),"NOT FOUND"))</f>
        <v/>
      </c>
      <c r="T148" s="12" t="n"/>
      <c r="U148" s="12" t="n"/>
      <c r="V148" s="12" t="n"/>
    </row>
    <row r="149">
      <c r="A149" s="12" t="n"/>
      <c r="B149" s="12" t="n"/>
      <c r="C149" s="12" t="n"/>
      <c r="D149" s="13">
        <f>IF($A149="","",TRIM($B149&amp;" "&amp;$C149))</f>
        <v/>
      </c>
      <c r="E149" s="12" t="n"/>
      <c r="F149" s="12" t="n"/>
      <c r="G149" s="14" t="n"/>
      <c r="H149" s="14" t="n"/>
      <c r="I149" s="12" t="n"/>
      <c r="J149" s="14" t="n"/>
      <c r="K149" s="12" t="n"/>
      <c r="L149" s="13">
        <f>IF($K149="","",IFERROR(INDEX(Dept_Names,MATCH($K149,Dept_Codes,0)),"NOT FOUND"))</f>
        <v/>
      </c>
      <c r="M149" s="12" t="n"/>
      <c r="N149" s="13">
        <f>IF($M149="","",IFERROR(INDEX(Desig_Names,MATCH($M149,Desig_Codes,0)),"NOT FOUND"))</f>
        <v/>
      </c>
      <c r="O149" s="13">
        <f>IF($M149="","",IFERROR(INDEX(Desig_Levels,MATCH($M149,Desig_Codes,0)),""))</f>
        <v/>
      </c>
      <c r="P149" s="12" t="n"/>
      <c r="Q149" s="12" t="n"/>
      <c r="R149" s="12" t="n"/>
      <c r="S149" s="13">
        <f>IF($R149="","",IFERROR(INDEX(Emp_Names,MATCH($R149,Emp_Codes,0)),"NOT FOUND"))</f>
        <v/>
      </c>
      <c r="T149" s="12" t="n"/>
      <c r="U149" s="12" t="n"/>
      <c r="V149" s="12" t="n"/>
    </row>
    <row r="150">
      <c r="A150" s="12" t="n"/>
      <c r="B150" s="12" t="n"/>
      <c r="C150" s="12" t="n"/>
      <c r="D150" s="13">
        <f>IF($A150="","",TRIM($B150&amp;" "&amp;$C150))</f>
        <v/>
      </c>
      <c r="E150" s="12" t="n"/>
      <c r="F150" s="12" t="n"/>
      <c r="G150" s="14" t="n"/>
      <c r="H150" s="14" t="n"/>
      <c r="I150" s="12" t="n"/>
      <c r="J150" s="14" t="n"/>
      <c r="K150" s="12" t="n"/>
      <c r="L150" s="13">
        <f>IF($K150="","",IFERROR(INDEX(Dept_Names,MATCH($K150,Dept_Codes,0)),"NOT FOUND"))</f>
        <v/>
      </c>
      <c r="M150" s="12" t="n"/>
      <c r="N150" s="13">
        <f>IF($M150="","",IFERROR(INDEX(Desig_Names,MATCH($M150,Desig_Codes,0)),"NOT FOUND"))</f>
        <v/>
      </c>
      <c r="O150" s="13">
        <f>IF($M150="","",IFERROR(INDEX(Desig_Levels,MATCH($M150,Desig_Codes,0)),""))</f>
        <v/>
      </c>
      <c r="P150" s="12" t="n"/>
      <c r="Q150" s="12" t="n"/>
      <c r="R150" s="12" t="n"/>
      <c r="S150" s="13">
        <f>IF($R150="","",IFERROR(INDEX(Emp_Names,MATCH($R150,Emp_Codes,0)),"NOT FOUND"))</f>
        <v/>
      </c>
      <c r="T150" s="12" t="n"/>
      <c r="U150" s="12" t="n"/>
      <c r="V150" s="12" t="n"/>
    </row>
    <row r="151">
      <c r="A151" s="12" t="n"/>
      <c r="B151" s="12" t="n"/>
      <c r="C151" s="12" t="n"/>
      <c r="D151" s="13">
        <f>IF($A151="","",TRIM($B151&amp;" "&amp;$C151))</f>
        <v/>
      </c>
      <c r="E151" s="12" t="n"/>
      <c r="F151" s="12" t="n"/>
      <c r="G151" s="14" t="n"/>
      <c r="H151" s="14" t="n"/>
      <c r="I151" s="12" t="n"/>
      <c r="J151" s="14" t="n"/>
      <c r="K151" s="12" t="n"/>
      <c r="L151" s="13">
        <f>IF($K151="","",IFERROR(INDEX(Dept_Names,MATCH($K151,Dept_Codes,0)),"NOT FOUND"))</f>
        <v/>
      </c>
      <c r="M151" s="12" t="n"/>
      <c r="N151" s="13">
        <f>IF($M151="","",IFERROR(INDEX(Desig_Names,MATCH($M151,Desig_Codes,0)),"NOT FOUND"))</f>
        <v/>
      </c>
      <c r="O151" s="13">
        <f>IF($M151="","",IFERROR(INDEX(Desig_Levels,MATCH($M151,Desig_Codes,0)),""))</f>
        <v/>
      </c>
      <c r="P151" s="12" t="n"/>
      <c r="Q151" s="12" t="n"/>
      <c r="R151" s="12" t="n"/>
      <c r="S151" s="13">
        <f>IF($R151="","",IFERROR(INDEX(Emp_Names,MATCH($R151,Emp_Codes,0)),"NOT FOUND"))</f>
        <v/>
      </c>
      <c r="T151" s="12" t="n"/>
      <c r="U151" s="12" t="n"/>
      <c r="V151" s="12" t="n"/>
    </row>
    <row r="152">
      <c r="A152" s="12" t="n"/>
      <c r="B152" s="12" t="n"/>
      <c r="C152" s="12" t="n"/>
      <c r="D152" s="13">
        <f>IF($A152="","",TRIM($B152&amp;" "&amp;$C152))</f>
        <v/>
      </c>
      <c r="E152" s="12" t="n"/>
      <c r="F152" s="12" t="n"/>
      <c r="G152" s="14" t="n"/>
      <c r="H152" s="14" t="n"/>
      <c r="I152" s="12" t="n"/>
      <c r="J152" s="14" t="n"/>
      <c r="K152" s="12" t="n"/>
      <c r="L152" s="13">
        <f>IF($K152="","",IFERROR(INDEX(Dept_Names,MATCH($K152,Dept_Codes,0)),"NOT FOUND"))</f>
        <v/>
      </c>
      <c r="M152" s="12" t="n"/>
      <c r="N152" s="13">
        <f>IF($M152="","",IFERROR(INDEX(Desig_Names,MATCH($M152,Desig_Codes,0)),"NOT FOUND"))</f>
        <v/>
      </c>
      <c r="O152" s="13">
        <f>IF($M152="","",IFERROR(INDEX(Desig_Levels,MATCH($M152,Desig_Codes,0)),""))</f>
        <v/>
      </c>
      <c r="P152" s="12" t="n"/>
      <c r="Q152" s="12" t="n"/>
      <c r="R152" s="12" t="n"/>
      <c r="S152" s="13">
        <f>IF($R152="","",IFERROR(INDEX(Emp_Names,MATCH($R152,Emp_Codes,0)),"NOT FOUND"))</f>
        <v/>
      </c>
      <c r="T152" s="12" t="n"/>
      <c r="U152" s="12" t="n"/>
      <c r="V152" s="12" t="n"/>
    </row>
    <row r="153">
      <c r="A153" s="12" t="n"/>
      <c r="B153" s="12" t="n"/>
      <c r="C153" s="12" t="n"/>
      <c r="D153" s="13">
        <f>IF($A153="","",TRIM($B153&amp;" "&amp;$C153))</f>
        <v/>
      </c>
      <c r="E153" s="12" t="n"/>
      <c r="F153" s="12" t="n"/>
      <c r="G153" s="14" t="n"/>
      <c r="H153" s="14" t="n"/>
      <c r="I153" s="12" t="n"/>
      <c r="J153" s="14" t="n"/>
      <c r="K153" s="12" t="n"/>
      <c r="L153" s="13">
        <f>IF($K153="","",IFERROR(INDEX(Dept_Names,MATCH($K153,Dept_Codes,0)),"NOT FOUND"))</f>
        <v/>
      </c>
      <c r="M153" s="12" t="n"/>
      <c r="N153" s="13">
        <f>IF($M153="","",IFERROR(INDEX(Desig_Names,MATCH($M153,Desig_Codes,0)),"NOT FOUND"))</f>
        <v/>
      </c>
      <c r="O153" s="13">
        <f>IF($M153="","",IFERROR(INDEX(Desig_Levels,MATCH($M153,Desig_Codes,0)),""))</f>
        <v/>
      </c>
      <c r="P153" s="12" t="n"/>
      <c r="Q153" s="12" t="n"/>
      <c r="R153" s="12" t="n"/>
      <c r="S153" s="13">
        <f>IF($R153="","",IFERROR(INDEX(Emp_Names,MATCH($R153,Emp_Codes,0)),"NOT FOUND"))</f>
        <v/>
      </c>
      <c r="T153" s="12" t="n"/>
      <c r="U153" s="12" t="n"/>
      <c r="V153" s="12" t="n"/>
    </row>
    <row r="154">
      <c r="A154" s="12" t="n"/>
      <c r="B154" s="12" t="n"/>
      <c r="C154" s="12" t="n"/>
      <c r="D154" s="13">
        <f>IF($A154="","",TRIM($B154&amp;" "&amp;$C154))</f>
        <v/>
      </c>
      <c r="E154" s="12" t="n"/>
      <c r="F154" s="12" t="n"/>
      <c r="G154" s="14" t="n"/>
      <c r="H154" s="14" t="n"/>
      <c r="I154" s="12" t="n"/>
      <c r="J154" s="14" t="n"/>
      <c r="K154" s="12" t="n"/>
      <c r="L154" s="13">
        <f>IF($K154="","",IFERROR(INDEX(Dept_Names,MATCH($K154,Dept_Codes,0)),"NOT FOUND"))</f>
        <v/>
      </c>
      <c r="M154" s="12" t="n"/>
      <c r="N154" s="13">
        <f>IF($M154="","",IFERROR(INDEX(Desig_Names,MATCH($M154,Desig_Codes,0)),"NOT FOUND"))</f>
        <v/>
      </c>
      <c r="O154" s="13">
        <f>IF($M154="","",IFERROR(INDEX(Desig_Levels,MATCH($M154,Desig_Codes,0)),""))</f>
        <v/>
      </c>
      <c r="P154" s="12" t="n"/>
      <c r="Q154" s="12" t="n"/>
      <c r="R154" s="12" t="n"/>
      <c r="S154" s="13">
        <f>IF($R154="","",IFERROR(INDEX(Emp_Names,MATCH($R154,Emp_Codes,0)),"NOT FOUND"))</f>
        <v/>
      </c>
      <c r="T154" s="12" t="n"/>
      <c r="U154" s="12" t="n"/>
      <c r="V154" s="12" t="n"/>
    </row>
    <row r="155">
      <c r="A155" s="12" t="n"/>
      <c r="B155" s="12" t="n"/>
      <c r="C155" s="12" t="n"/>
      <c r="D155" s="13">
        <f>IF($A155="","",TRIM($B155&amp;" "&amp;$C155))</f>
        <v/>
      </c>
      <c r="E155" s="12" t="n"/>
      <c r="F155" s="12" t="n"/>
      <c r="G155" s="14" t="n"/>
      <c r="H155" s="14" t="n"/>
      <c r="I155" s="12" t="n"/>
      <c r="J155" s="14" t="n"/>
      <c r="K155" s="12" t="n"/>
      <c r="L155" s="13">
        <f>IF($K155="","",IFERROR(INDEX(Dept_Names,MATCH($K155,Dept_Codes,0)),"NOT FOUND"))</f>
        <v/>
      </c>
      <c r="M155" s="12" t="n"/>
      <c r="N155" s="13">
        <f>IF($M155="","",IFERROR(INDEX(Desig_Names,MATCH($M155,Desig_Codes,0)),"NOT FOUND"))</f>
        <v/>
      </c>
      <c r="O155" s="13">
        <f>IF($M155="","",IFERROR(INDEX(Desig_Levels,MATCH($M155,Desig_Codes,0)),""))</f>
        <v/>
      </c>
      <c r="P155" s="12" t="n"/>
      <c r="Q155" s="12" t="n"/>
      <c r="R155" s="12" t="n"/>
      <c r="S155" s="13">
        <f>IF($R155="","",IFERROR(INDEX(Emp_Names,MATCH($R155,Emp_Codes,0)),"NOT FOUND"))</f>
        <v/>
      </c>
      <c r="T155" s="12" t="n"/>
      <c r="U155" s="12" t="n"/>
      <c r="V155" s="12" t="n"/>
    </row>
    <row r="156">
      <c r="A156" s="12" t="n"/>
      <c r="B156" s="12" t="n"/>
      <c r="C156" s="12" t="n"/>
      <c r="D156" s="13">
        <f>IF($A156="","",TRIM($B156&amp;" "&amp;$C156))</f>
        <v/>
      </c>
      <c r="E156" s="12" t="n"/>
      <c r="F156" s="12" t="n"/>
      <c r="G156" s="14" t="n"/>
      <c r="H156" s="14" t="n"/>
      <c r="I156" s="12" t="n"/>
      <c r="J156" s="14" t="n"/>
      <c r="K156" s="12" t="n"/>
      <c r="L156" s="13">
        <f>IF($K156="","",IFERROR(INDEX(Dept_Names,MATCH($K156,Dept_Codes,0)),"NOT FOUND"))</f>
        <v/>
      </c>
      <c r="M156" s="12" t="n"/>
      <c r="N156" s="13">
        <f>IF($M156="","",IFERROR(INDEX(Desig_Names,MATCH($M156,Desig_Codes,0)),"NOT FOUND"))</f>
        <v/>
      </c>
      <c r="O156" s="13">
        <f>IF($M156="","",IFERROR(INDEX(Desig_Levels,MATCH($M156,Desig_Codes,0)),""))</f>
        <v/>
      </c>
      <c r="P156" s="12" t="n"/>
      <c r="Q156" s="12" t="n"/>
      <c r="R156" s="12" t="n"/>
      <c r="S156" s="13">
        <f>IF($R156="","",IFERROR(INDEX(Emp_Names,MATCH($R156,Emp_Codes,0)),"NOT FOUND"))</f>
        <v/>
      </c>
      <c r="T156" s="12" t="n"/>
      <c r="U156" s="12" t="n"/>
      <c r="V156" s="12" t="n"/>
    </row>
    <row r="157">
      <c r="A157" s="12" t="n"/>
      <c r="B157" s="12" t="n"/>
      <c r="C157" s="12" t="n"/>
      <c r="D157" s="13">
        <f>IF($A157="","",TRIM($B157&amp;" "&amp;$C157))</f>
        <v/>
      </c>
      <c r="E157" s="12" t="n"/>
      <c r="F157" s="12" t="n"/>
      <c r="G157" s="14" t="n"/>
      <c r="H157" s="14" t="n"/>
      <c r="I157" s="12" t="n"/>
      <c r="J157" s="14" t="n"/>
      <c r="K157" s="12" t="n"/>
      <c r="L157" s="13">
        <f>IF($K157="","",IFERROR(INDEX(Dept_Names,MATCH($K157,Dept_Codes,0)),"NOT FOUND"))</f>
        <v/>
      </c>
      <c r="M157" s="12" t="n"/>
      <c r="N157" s="13">
        <f>IF($M157="","",IFERROR(INDEX(Desig_Names,MATCH($M157,Desig_Codes,0)),"NOT FOUND"))</f>
        <v/>
      </c>
      <c r="O157" s="13">
        <f>IF($M157="","",IFERROR(INDEX(Desig_Levels,MATCH($M157,Desig_Codes,0)),""))</f>
        <v/>
      </c>
      <c r="P157" s="12" t="n"/>
      <c r="Q157" s="12" t="n"/>
      <c r="R157" s="12" t="n"/>
      <c r="S157" s="13">
        <f>IF($R157="","",IFERROR(INDEX(Emp_Names,MATCH($R157,Emp_Codes,0)),"NOT FOUND"))</f>
        <v/>
      </c>
      <c r="T157" s="12" t="n"/>
      <c r="U157" s="12" t="n"/>
      <c r="V157" s="12" t="n"/>
    </row>
    <row r="158">
      <c r="A158" s="12" t="n"/>
      <c r="B158" s="12" t="n"/>
      <c r="C158" s="12" t="n"/>
      <c r="D158" s="13">
        <f>IF($A158="","",TRIM($B158&amp;" "&amp;$C158))</f>
        <v/>
      </c>
      <c r="E158" s="12" t="n"/>
      <c r="F158" s="12" t="n"/>
      <c r="G158" s="14" t="n"/>
      <c r="H158" s="14" t="n"/>
      <c r="I158" s="12" t="n"/>
      <c r="J158" s="14" t="n"/>
      <c r="K158" s="12" t="n"/>
      <c r="L158" s="13">
        <f>IF($K158="","",IFERROR(INDEX(Dept_Names,MATCH($K158,Dept_Codes,0)),"NOT FOUND"))</f>
        <v/>
      </c>
      <c r="M158" s="12" t="n"/>
      <c r="N158" s="13">
        <f>IF($M158="","",IFERROR(INDEX(Desig_Names,MATCH($M158,Desig_Codes,0)),"NOT FOUND"))</f>
        <v/>
      </c>
      <c r="O158" s="13">
        <f>IF($M158="","",IFERROR(INDEX(Desig_Levels,MATCH($M158,Desig_Codes,0)),""))</f>
        <v/>
      </c>
      <c r="P158" s="12" t="n"/>
      <c r="Q158" s="12" t="n"/>
      <c r="R158" s="12" t="n"/>
      <c r="S158" s="13">
        <f>IF($R158="","",IFERROR(INDEX(Emp_Names,MATCH($R158,Emp_Codes,0)),"NOT FOUND"))</f>
        <v/>
      </c>
      <c r="T158" s="12" t="n"/>
      <c r="U158" s="12" t="n"/>
      <c r="V158" s="12" t="n"/>
    </row>
    <row r="159">
      <c r="A159" s="12" t="n"/>
      <c r="B159" s="12" t="n"/>
      <c r="C159" s="12" t="n"/>
      <c r="D159" s="13">
        <f>IF($A159="","",TRIM($B159&amp;" "&amp;$C159))</f>
        <v/>
      </c>
      <c r="E159" s="12" t="n"/>
      <c r="F159" s="12" t="n"/>
      <c r="G159" s="14" t="n"/>
      <c r="H159" s="14" t="n"/>
      <c r="I159" s="12" t="n"/>
      <c r="J159" s="14" t="n"/>
      <c r="K159" s="12" t="n"/>
      <c r="L159" s="13">
        <f>IF($K159="","",IFERROR(INDEX(Dept_Names,MATCH($K159,Dept_Codes,0)),"NOT FOUND"))</f>
        <v/>
      </c>
      <c r="M159" s="12" t="n"/>
      <c r="N159" s="13">
        <f>IF($M159="","",IFERROR(INDEX(Desig_Names,MATCH($M159,Desig_Codes,0)),"NOT FOUND"))</f>
        <v/>
      </c>
      <c r="O159" s="13">
        <f>IF($M159="","",IFERROR(INDEX(Desig_Levels,MATCH($M159,Desig_Codes,0)),""))</f>
        <v/>
      </c>
      <c r="P159" s="12" t="n"/>
      <c r="Q159" s="12" t="n"/>
      <c r="R159" s="12" t="n"/>
      <c r="S159" s="13">
        <f>IF($R159="","",IFERROR(INDEX(Emp_Names,MATCH($R159,Emp_Codes,0)),"NOT FOUND"))</f>
        <v/>
      </c>
      <c r="T159" s="12" t="n"/>
      <c r="U159" s="12" t="n"/>
      <c r="V159" s="12" t="n"/>
    </row>
    <row r="160">
      <c r="A160" s="12" t="n"/>
      <c r="B160" s="12" t="n"/>
      <c r="C160" s="12" t="n"/>
      <c r="D160" s="13">
        <f>IF($A160="","",TRIM($B160&amp;" "&amp;$C160))</f>
        <v/>
      </c>
      <c r="E160" s="12" t="n"/>
      <c r="F160" s="12" t="n"/>
      <c r="G160" s="14" t="n"/>
      <c r="H160" s="14" t="n"/>
      <c r="I160" s="12" t="n"/>
      <c r="J160" s="14" t="n"/>
      <c r="K160" s="12" t="n"/>
      <c r="L160" s="13">
        <f>IF($K160="","",IFERROR(INDEX(Dept_Names,MATCH($K160,Dept_Codes,0)),"NOT FOUND"))</f>
        <v/>
      </c>
      <c r="M160" s="12" t="n"/>
      <c r="N160" s="13">
        <f>IF($M160="","",IFERROR(INDEX(Desig_Names,MATCH($M160,Desig_Codes,0)),"NOT FOUND"))</f>
        <v/>
      </c>
      <c r="O160" s="13">
        <f>IF($M160="","",IFERROR(INDEX(Desig_Levels,MATCH($M160,Desig_Codes,0)),""))</f>
        <v/>
      </c>
      <c r="P160" s="12" t="n"/>
      <c r="Q160" s="12" t="n"/>
      <c r="R160" s="12" t="n"/>
      <c r="S160" s="13">
        <f>IF($R160="","",IFERROR(INDEX(Emp_Names,MATCH($R160,Emp_Codes,0)),"NOT FOUND"))</f>
        <v/>
      </c>
      <c r="T160" s="12" t="n"/>
      <c r="U160" s="12" t="n"/>
      <c r="V160" s="12" t="n"/>
    </row>
    <row r="161">
      <c r="A161" s="12" t="n"/>
      <c r="B161" s="12" t="n"/>
      <c r="C161" s="12" t="n"/>
      <c r="D161" s="13">
        <f>IF($A161="","",TRIM($B161&amp;" "&amp;$C161))</f>
        <v/>
      </c>
      <c r="E161" s="12" t="n"/>
      <c r="F161" s="12" t="n"/>
      <c r="G161" s="14" t="n"/>
      <c r="H161" s="14" t="n"/>
      <c r="I161" s="12" t="n"/>
      <c r="J161" s="14" t="n"/>
      <c r="K161" s="12" t="n"/>
      <c r="L161" s="13">
        <f>IF($K161="","",IFERROR(INDEX(Dept_Names,MATCH($K161,Dept_Codes,0)),"NOT FOUND"))</f>
        <v/>
      </c>
      <c r="M161" s="12" t="n"/>
      <c r="N161" s="13">
        <f>IF($M161="","",IFERROR(INDEX(Desig_Names,MATCH($M161,Desig_Codes,0)),"NOT FOUND"))</f>
        <v/>
      </c>
      <c r="O161" s="13">
        <f>IF($M161="","",IFERROR(INDEX(Desig_Levels,MATCH($M161,Desig_Codes,0)),""))</f>
        <v/>
      </c>
      <c r="P161" s="12" t="n"/>
      <c r="Q161" s="12" t="n"/>
      <c r="R161" s="12" t="n"/>
      <c r="S161" s="13">
        <f>IF($R161="","",IFERROR(INDEX(Emp_Names,MATCH($R161,Emp_Codes,0)),"NOT FOUND"))</f>
        <v/>
      </c>
      <c r="T161" s="12" t="n"/>
      <c r="U161" s="12" t="n"/>
      <c r="V161" s="12" t="n"/>
    </row>
    <row r="162">
      <c r="A162" s="12" t="n"/>
      <c r="B162" s="12" t="n"/>
      <c r="C162" s="12" t="n"/>
      <c r="D162" s="13">
        <f>IF($A162="","",TRIM($B162&amp;" "&amp;$C162))</f>
        <v/>
      </c>
      <c r="E162" s="12" t="n"/>
      <c r="F162" s="12" t="n"/>
      <c r="G162" s="14" t="n"/>
      <c r="H162" s="14" t="n"/>
      <c r="I162" s="12" t="n"/>
      <c r="J162" s="14" t="n"/>
      <c r="K162" s="12" t="n"/>
      <c r="L162" s="13">
        <f>IF($K162="","",IFERROR(INDEX(Dept_Names,MATCH($K162,Dept_Codes,0)),"NOT FOUND"))</f>
        <v/>
      </c>
      <c r="M162" s="12" t="n"/>
      <c r="N162" s="13">
        <f>IF($M162="","",IFERROR(INDEX(Desig_Names,MATCH($M162,Desig_Codes,0)),"NOT FOUND"))</f>
        <v/>
      </c>
      <c r="O162" s="13">
        <f>IF($M162="","",IFERROR(INDEX(Desig_Levels,MATCH($M162,Desig_Codes,0)),""))</f>
        <v/>
      </c>
      <c r="P162" s="12" t="n"/>
      <c r="Q162" s="12" t="n"/>
      <c r="R162" s="12" t="n"/>
      <c r="S162" s="13">
        <f>IF($R162="","",IFERROR(INDEX(Emp_Names,MATCH($R162,Emp_Codes,0)),"NOT FOUND"))</f>
        <v/>
      </c>
      <c r="T162" s="12" t="n"/>
      <c r="U162" s="12" t="n"/>
      <c r="V162" s="12" t="n"/>
    </row>
    <row r="163">
      <c r="A163" s="12" t="n"/>
      <c r="B163" s="12" t="n"/>
      <c r="C163" s="12" t="n"/>
      <c r="D163" s="13">
        <f>IF($A163="","",TRIM($B163&amp;" "&amp;$C163))</f>
        <v/>
      </c>
      <c r="E163" s="12" t="n"/>
      <c r="F163" s="12" t="n"/>
      <c r="G163" s="14" t="n"/>
      <c r="H163" s="14" t="n"/>
      <c r="I163" s="12" t="n"/>
      <c r="J163" s="14" t="n"/>
      <c r="K163" s="12" t="n"/>
      <c r="L163" s="13">
        <f>IF($K163="","",IFERROR(INDEX(Dept_Names,MATCH($K163,Dept_Codes,0)),"NOT FOUND"))</f>
        <v/>
      </c>
      <c r="M163" s="12" t="n"/>
      <c r="N163" s="13">
        <f>IF($M163="","",IFERROR(INDEX(Desig_Names,MATCH($M163,Desig_Codes,0)),"NOT FOUND"))</f>
        <v/>
      </c>
      <c r="O163" s="13">
        <f>IF($M163="","",IFERROR(INDEX(Desig_Levels,MATCH($M163,Desig_Codes,0)),""))</f>
        <v/>
      </c>
      <c r="P163" s="12" t="n"/>
      <c r="Q163" s="12" t="n"/>
      <c r="R163" s="12" t="n"/>
      <c r="S163" s="13">
        <f>IF($R163="","",IFERROR(INDEX(Emp_Names,MATCH($R163,Emp_Codes,0)),"NOT FOUND"))</f>
        <v/>
      </c>
      <c r="T163" s="12" t="n"/>
      <c r="U163" s="12" t="n"/>
      <c r="V163" s="12" t="n"/>
    </row>
    <row r="164">
      <c r="A164" s="12" t="n"/>
      <c r="B164" s="12" t="n"/>
      <c r="C164" s="12" t="n"/>
      <c r="D164" s="13">
        <f>IF($A164="","",TRIM($B164&amp;" "&amp;$C164))</f>
        <v/>
      </c>
      <c r="E164" s="12" t="n"/>
      <c r="F164" s="12" t="n"/>
      <c r="G164" s="14" t="n"/>
      <c r="H164" s="14" t="n"/>
      <c r="I164" s="12" t="n"/>
      <c r="J164" s="14" t="n"/>
      <c r="K164" s="12" t="n"/>
      <c r="L164" s="13">
        <f>IF($K164="","",IFERROR(INDEX(Dept_Names,MATCH($K164,Dept_Codes,0)),"NOT FOUND"))</f>
        <v/>
      </c>
      <c r="M164" s="12" t="n"/>
      <c r="N164" s="13">
        <f>IF($M164="","",IFERROR(INDEX(Desig_Names,MATCH($M164,Desig_Codes,0)),"NOT FOUND"))</f>
        <v/>
      </c>
      <c r="O164" s="13">
        <f>IF($M164="","",IFERROR(INDEX(Desig_Levels,MATCH($M164,Desig_Codes,0)),""))</f>
        <v/>
      </c>
      <c r="P164" s="12" t="n"/>
      <c r="Q164" s="12" t="n"/>
      <c r="R164" s="12" t="n"/>
      <c r="S164" s="13">
        <f>IF($R164="","",IFERROR(INDEX(Emp_Names,MATCH($R164,Emp_Codes,0)),"NOT FOUND"))</f>
        <v/>
      </c>
      <c r="T164" s="12" t="n"/>
      <c r="U164" s="12" t="n"/>
      <c r="V164" s="12" t="n"/>
    </row>
    <row r="165">
      <c r="A165" s="12" t="n"/>
      <c r="B165" s="12" t="n"/>
      <c r="C165" s="12" t="n"/>
      <c r="D165" s="13">
        <f>IF($A165="","",TRIM($B165&amp;" "&amp;$C165))</f>
        <v/>
      </c>
      <c r="E165" s="12" t="n"/>
      <c r="F165" s="12" t="n"/>
      <c r="G165" s="14" t="n"/>
      <c r="H165" s="14" t="n"/>
      <c r="I165" s="12" t="n"/>
      <c r="J165" s="14" t="n"/>
      <c r="K165" s="12" t="n"/>
      <c r="L165" s="13">
        <f>IF($K165="","",IFERROR(INDEX(Dept_Names,MATCH($K165,Dept_Codes,0)),"NOT FOUND"))</f>
        <v/>
      </c>
      <c r="M165" s="12" t="n"/>
      <c r="N165" s="13">
        <f>IF($M165="","",IFERROR(INDEX(Desig_Names,MATCH($M165,Desig_Codes,0)),"NOT FOUND"))</f>
        <v/>
      </c>
      <c r="O165" s="13">
        <f>IF($M165="","",IFERROR(INDEX(Desig_Levels,MATCH($M165,Desig_Codes,0)),""))</f>
        <v/>
      </c>
      <c r="P165" s="12" t="n"/>
      <c r="Q165" s="12" t="n"/>
      <c r="R165" s="12" t="n"/>
      <c r="S165" s="13">
        <f>IF($R165="","",IFERROR(INDEX(Emp_Names,MATCH($R165,Emp_Codes,0)),"NOT FOUND"))</f>
        <v/>
      </c>
      <c r="T165" s="12" t="n"/>
      <c r="U165" s="12" t="n"/>
      <c r="V165" s="12" t="n"/>
    </row>
    <row r="166">
      <c r="A166" s="12" t="n"/>
      <c r="B166" s="12" t="n"/>
      <c r="C166" s="12" t="n"/>
      <c r="D166" s="13">
        <f>IF($A166="","",TRIM($B166&amp;" "&amp;$C166))</f>
        <v/>
      </c>
      <c r="E166" s="12" t="n"/>
      <c r="F166" s="12" t="n"/>
      <c r="G166" s="14" t="n"/>
      <c r="H166" s="14" t="n"/>
      <c r="I166" s="12" t="n"/>
      <c r="J166" s="14" t="n"/>
      <c r="K166" s="12" t="n"/>
      <c r="L166" s="13">
        <f>IF($K166="","",IFERROR(INDEX(Dept_Names,MATCH($K166,Dept_Codes,0)),"NOT FOUND"))</f>
        <v/>
      </c>
      <c r="M166" s="12" t="n"/>
      <c r="N166" s="13">
        <f>IF($M166="","",IFERROR(INDEX(Desig_Names,MATCH($M166,Desig_Codes,0)),"NOT FOUND"))</f>
        <v/>
      </c>
      <c r="O166" s="13">
        <f>IF($M166="","",IFERROR(INDEX(Desig_Levels,MATCH($M166,Desig_Codes,0)),""))</f>
        <v/>
      </c>
      <c r="P166" s="12" t="n"/>
      <c r="Q166" s="12" t="n"/>
      <c r="R166" s="12" t="n"/>
      <c r="S166" s="13">
        <f>IF($R166="","",IFERROR(INDEX(Emp_Names,MATCH($R166,Emp_Codes,0)),"NOT FOUND"))</f>
        <v/>
      </c>
      <c r="T166" s="12" t="n"/>
      <c r="U166" s="12" t="n"/>
      <c r="V166" s="12" t="n"/>
    </row>
    <row r="167">
      <c r="A167" s="12" t="n"/>
      <c r="B167" s="12" t="n"/>
      <c r="C167" s="12" t="n"/>
      <c r="D167" s="13">
        <f>IF($A167="","",TRIM($B167&amp;" "&amp;$C167))</f>
        <v/>
      </c>
      <c r="E167" s="12" t="n"/>
      <c r="F167" s="12" t="n"/>
      <c r="G167" s="14" t="n"/>
      <c r="H167" s="14" t="n"/>
      <c r="I167" s="12" t="n"/>
      <c r="J167" s="14" t="n"/>
      <c r="K167" s="12" t="n"/>
      <c r="L167" s="13">
        <f>IF($K167="","",IFERROR(INDEX(Dept_Names,MATCH($K167,Dept_Codes,0)),"NOT FOUND"))</f>
        <v/>
      </c>
      <c r="M167" s="12" t="n"/>
      <c r="N167" s="13">
        <f>IF($M167="","",IFERROR(INDEX(Desig_Names,MATCH($M167,Desig_Codes,0)),"NOT FOUND"))</f>
        <v/>
      </c>
      <c r="O167" s="13">
        <f>IF($M167="","",IFERROR(INDEX(Desig_Levels,MATCH($M167,Desig_Codes,0)),""))</f>
        <v/>
      </c>
      <c r="P167" s="12" t="n"/>
      <c r="Q167" s="12" t="n"/>
      <c r="R167" s="12" t="n"/>
      <c r="S167" s="13">
        <f>IF($R167="","",IFERROR(INDEX(Emp_Names,MATCH($R167,Emp_Codes,0)),"NOT FOUND"))</f>
        <v/>
      </c>
      <c r="T167" s="12" t="n"/>
      <c r="U167" s="12" t="n"/>
      <c r="V167" s="12" t="n"/>
    </row>
    <row r="168">
      <c r="A168" s="12" t="n"/>
      <c r="B168" s="12" t="n"/>
      <c r="C168" s="12" t="n"/>
      <c r="D168" s="13">
        <f>IF($A168="","",TRIM($B168&amp;" "&amp;$C168))</f>
        <v/>
      </c>
      <c r="E168" s="12" t="n"/>
      <c r="F168" s="12" t="n"/>
      <c r="G168" s="14" t="n"/>
      <c r="H168" s="14" t="n"/>
      <c r="I168" s="12" t="n"/>
      <c r="J168" s="14" t="n"/>
      <c r="K168" s="12" t="n"/>
      <c r="L168" s="13">
        <f>IF($K168="","",IFERROR(INDEX(Dept_Names,MATCH($K168,Dept_Codes,0)),"NOT FOUND"))</f>
        <v/>
      </c>
      <c r="M168" s="12" t="n"/>
      <c r="N168" s="13">
        <f>IF($M168="","",IFERROR(INDEX(Desig_Names,MATCH($M168,Desig_Codes,0)),"NOT FOUND"))</f>
        <v/>
      </c>
      <c r="O168" s="13">
        <f>IF($M168="","",IFERROR(INDEX(Desig_Levels,MATCH($M168,Desig_Codes,0)),""))</f>
        <v/>
      </c>
      <c r="P168" s="12" t="n"/>
      <c r="Q168" s="12" t="n"/>
      <c r="R168" s="12" t="n"/>
      <c r="S168" s="13">
        <f>IF($R168="","",IFERROR(INDEX(Emp_Names,MATCH($R168,Emp_Codes,0)),"NOT FOUND"))</f>
        <v/>
      </c>
      <c r="T168" s="12" t="n"/>
      <c r="U168" s="12" t="n"/>
      <c r="V168" s="12" t="n"/>
    </row>
    <row r="169">
      <c r="A169" s="12" t="n"/>
      <c r="B169" s="12" t="n"/>
      <c r="C169" s="12" t="n"/>
      <c r="D169" s="13">
        <f>IF($A169="","",TRIM($B169&amp;" "&amp;$C169))</f>
        <v/>
      </c>
      <c r="E169" s="12" t="n"/>
      <c r="F169" s="12" t="n"/>
      <c r="G169" s="14" t="n"/>
      <c r="H169" s="14" t="n"/>
      <c r="I169" s="12" t="n"/>
      <c r="J169" s="14" t="n"/>
      <c r="K169" s="12" t="n"/>
      <c r="L169" s="13">
        <f>IF($K169="","",IFERROR(INDEX(Dept_Names,MATCH($K169,Dept_Codes,0)),"NOT FOUND"))</f>
        <v/>
      </c>
      <c r="M169" s="12" t="n"/>
      <c r="N169" s="13">
        <f>IF($M169="","",IFERROR(INDEX(Desig_Names,MATCH($M169,Desig_Codes,0)),"NOT FOUND"))</f>
        <v/>
      </c>
      <c r="O169" s="13">
        <f>IF($M169="","",IFERROR(INDEX(Desig_Levels,MATCH($M169,Desig_Codes,0)),""))</f>
        <v/>
      </c>
      <c r="P169" s="12" t="n"/>
      <c r="Q169" s="12" t="n"/>
      <c r="R169" s="12" t="n"/>
      <c r="S169" s="13">
        <f>IF($R169="","",IFERROR(INDEX(Emp_Names,MATCH($R169,Emp_Codes,0)),"NOT FOUND"))</f>
        <v/>
      </c>
      <c r="T169" s="12" t="n"/>
      <c r="U169" s="12" t="n"/>
      <c r="V169" s="12" t="n"/>
    </row>
    <row r="170">
      <c r="A170" s="12" t="n"/>
      <c r="B170" s="12" t="n"/>
      <c r="C170" s="12" t="n"/>
      <c r="D170" s="13">
        <f>IF($A170="","",TRIM($B170&amp;" "&amp;$C170))</f>
        <v/>
      </c>
      <c r="E170" s="12" t="n"/>
      <c r="F170" s="12" t="n"/>
      <c r="G170" s="14" t="n"/>
      <c r="H170" s="14" t="n"/>
      <c r="I170" s="12" t="n"/>
      <c r="J170" s="14" t="n"/>
      <c r="K170" s="12" t="n"/>
      <c r="L170" s="13">
        <f>IF($K170="","",IFERROR(INDEX(Dept_Names,MATCH($K170,Dept_Codes,0)),"NOT FOUND"))</f>
        <v/>
      </c>
      <c r="M170" s="12" t="n"/>
      <c r="N170" s="13">
        <f>IF($M170="","",IFERROR(INDEX(Desig_Names,MATCH($M170,Desig_Codes,0)),"NOT FOUND"))</f>
        <v/>
      </c>
      <c r="O170" s="13">
        <f>IF($M170="","",IFERROR(INDEX(Desig_Levels,MATCH($M170,Desig_Codes,0)),""))</f>
        <v/>
      </c>
      <c r="P170" s="12" t="n"/>
      <c r="Q170" s="12" t="n"/>
      <c r="R170" s="12" t="n"/>
      <c r="S170" s="13">
        <f>IF($R170="","",IFERROR(INDEX(Emp_Names,MATCH($R170,Emp_Codes,0)),"NOT FOUND"))</f>
        <v/>
      </c>
      <c r="T170" s="12" t="n"/>
      <c r="U170" s="12" t="n"/>
      <c r="V170" s="12" t="n"/>
    </row>
    <row r="171">
      <c r="A171" s="12" t="n"/>
      <c r="B171" s="12" t="n"/>
      <c r="C171" s="12" t="n"/>
      <c r="D171" s="13">
        <f>IF($A171="","",TRIM($B171&amp;" "&amp;$C171))</f>
        <v/>
      </c>
      <c r="E171" s="12" t="n"/>
      <c r="F171" s="12" t="n"/>
      <c r="G171" s="14" t="n"/>
      <c r="H171" s="14" t="n"/>
      <c r="I171" s="12" t="n"/>
      <c r="J171" s="14" t="n"/>
      <c r="K171" s="12" t="n"/>
      <c r="L171" s="13">
        <f>IF($K171="","",IFERROR(INDEX(Dept_Names,MATCH($K171,Dept_Codes,0)),"NOT FOUND"))</f>
        <v/>
      </c>
      <c r="M171" s="12" t="n"/>
      <c r="N171" s="13">
        <f>IF($M171="","",IFERROR(INDEX(Desig_Names,MATCH($M171,Desig_Codes,0)),"NOT FOUND"))</f>
        <v/>
      </c>
      <c r="O171" s="13">
        <f>IF($M171="","",IFERROR(INDEX(Desig_Levels,MATCH($M171,Desig_Codes,0)),""))</f>
        <v/>
      </c>
      <c r="P171" s="12" t="n"/>
      <c r="Q171" s="12" t="n"/>
      <c r="R171" s="12" t="n"/>
      <c r="S171" s="13">
        <f>IF($R171="","",IFERROR(INDEX(Emp_Names,MATCH($R171,Emp_Codes,0)),"NOT FOUND"))</f>
        <v/>
      </c>
      <c r="T171" s="12" t="n"/>
      <c r="U171" s="12" t="n"/>
      <c r="V171" s="12" t="n"/>
    </row>
    <row r="172">
      <c r="A172" s="12" t="n"/>
      <c r="B172" s="12" t="n"/>
      <c r="C172" s="12" t="n"/>
      <c r="D172" s="13">
        <f>IF($A172="","",TRIM($B172&amp;" "&amp;$C172))</f>
        <v/>
      </c>
      <c r="E172" s="12" t="n"/>
      <c r="F172" s="12" t="n"/>
      <c r="G172" s="14" t="n"/>
      <c r="H172" s="14" t="n"/>
      <c r="I172" s="12" t="n"/>
      <c r="J172" s="14" t="n"/>
      <c r="K172" s="12" t="n"/>
      <c r="L172" s="13">
        <f>IF($K172="","",IFERROR(INDEX(Dept_Names,MATCH($K172,Dept_Codes,0)),"NOT FOUND"))</f>
        <v/>
      </c>
      <c r="M172" s="12" t="n"/>
      <c r="N172" s="13">
        <f>IF($M172="","",IFERROR(INDEX(Desig_Names,MATCH($M172,Desig_Codes,0)),"NOT FOUND"))</f>
        <v/>
      </c>
      <c r="O172" s="13">
        <f>IF($M172="","",IFERROR(INDEX(Desig_Levels,MATCH($M172,Desig_Codes,0)),""))</f>
        <v/>
      </c>
      <c r="P172" s="12" t="n"/>
      <c r="Q172" s="12" t="n"/>
      <c r="R172" s="12" t="n"/>
      <c r="S172" s="13">
        <f>IF($R172="","",IFERROR(INDEX(Emp_Names,MATCH($R172,Emp_Codes,0)),"NOT FOUND"))</f>
        <v/>
      </c>
      <c r="T172" s="12" t="n"/>
      <c r="U172" s="12" t="n"/>
      <c r="V172" s="12" t="n"/>
    </row>
    <row r="173">
      <c r="A173" s="12" t="n"/>
      <c r="B173" s="12" t="n"/>
      <c r="C173" s="12" t="n"/>
      <c r="D173" s="13">
        <f>IF($A173="","",TRIM($B173&amp;" "&amp;$C173))</f>
        <v/>
      </c>
      <c r="E173" s="12" t="n"/>
      <c r="F173" s="12" t="n"/>
      <c r="G173" s="14" t="n"/>
      <c r="H173" s="14" t="n"/>
      <c r="I173" s="12" t="n"/>
      <c r="J173" s="14" t="n"/>
      <c r="K173" s="12" t="n"/>
      <c r="L173" s="13">
        <f>IF($K173="","",IFERROR(INDEX(Dept_Names,MATCH($K173,Dept_Codes,0)),"NOT FOUND"))</f>
        <v/>
      </c>
      <c r="M173" s="12" t="n"/>
      <c r="N173" s="13">
        <f>IF($M173="","",IFERROR(INDEX(Desig_Names,MATCH($M173,Desig_Codes,0)),"NOT FOUND"))</f>
        <v/>
      </c>
      <c r="O173" s="13">
        <f>IF($M173="","",IFERROR(INDEX(Desig_Levels,MATCH($M173,Desig_Codes,0)),""))</f>
        <v/>
      </c>
      <c r="P173" s="12" t="n"/>
      <c r="Q173" s="12" t="n"/>
      <c r="R173" s="12" t="n"/>
      <c r="S173" s="13">
        <f>IF($R173="","",IFERROR(INDEX(Emp_Names,MATCH($R173,Emp_Codes,0)),"NOT FOUND"))</f>
        <v/>
      </c>
      <c r="T173" s="12" t="n"/>
      <c r="U173" s="12" t="n"/>
      <c r="V173" s="12" t="n"/>
    </row>
    <row r="174">
      <c r="A174" s="12" t="n"/>
      <c r="B174" s="12" t="n"/>
      <c r="C174" s="12" t="n"/>
      <c r="D174" s="13">
        <f>IF($A174="","",TRIM($B174&amp;" "&amp;$C174))</f>
        <v/>
      </c>
      <c r="E174" s="12" t="n"/>
      <c r="F174" s="12" t="n"/>
      <c r="G174" s="14" t="n"/>
      <c r="H174" s="14" t="n"/>
      <c r="I174" s="12" t="n"/>
      <c r="J174" s="14" t="n"/>
      <c r="K174" s="12" t="n"/>
      <c r="L174" s="13">
        <f>IF($K174="","",IFERROR(INDEX(Dept_Names,MATCH($K174,Dept_Codes,0)),"NOT FOUND"))</f>
        <v/>
      </c>
      <c r="M174" s="12" t="n"/>
      <c r="N174" s="13">
        <f>IF($M174="","",IFERROR(INDEX(Desig_Names,MATCH($M174,Desig_Codes,0)),"NOT FOUND"))</f>
        <v/>
      </c>
      <c r="O174" s="13">
        <f>IF($M174="","",IFERROR(INDEX(Desig_Levels,MATCH($M174,Desig_Codes,0)),""))</f>
        <v/>
      </c>
      <c r="P174" s="12" t="n"/>
      <c r="Q174" s="12" t="n"/>
      <c r="R174" s="12" t="n"/>
      <c r="S174" s="13">
        <f>IF($R174="","",IFERROR(INDEX(Emp_Names,MATCH($R174,Emp_Codes,0)),"NOT FOUND"))</f>
        <v/>
      </c>
      <c r="T174" s="12" t="n"/>
      <c r="U174" s="12" t="n"/>
      <c r="V174" s="12" t="n"/>
    </row>
    <row r="175">
      <c r="A175" s="12" t="n"/>
      <c r="B175" s="12" t="n"/>
      <c r="C175" s="12" t="n"/>
      <c r="D175" s="13">
        <f>IF($A175="","",TRIM($B175&amp;" "&amp;$C175))</f>
        <v/>
      </c>
      <c r="E175" s="12" t="n"/>
      <c r="F175" s="12" t="n"/>
      <c r="G175" s="14" t="n"/>
      <c r="H175" s="14" t="n"/>
      <c r="I175" s="12" t="n"/>
      <c r="J175" s="14" t="n"/>
      <c r="K175" s="12" t="n"/>
      <c r="L175" s="13">
        <f>IF($K175="","",IFERROR(INDEX(Dept_Names,MATCH($K175,Dept_Codes,0)),"NOT FOUND"))</f>
        <v/>
      </c>
      <c r="M175" s="12" t="n"/>
      <c r="N175" s="13">
        <f>IF($M175="","",IFERROR(INDEX(Desig_Names,MATCH($M175,Desig_Codes,0)),"NOT FOUND"))</f>
        <v/>
      </c>
      <c r="O175" s="13">
        <f>IF($M175="","",IFERROR(INDEX(Desig_Levels,MATCH($M175,Desig_Codes,0)),""))</f>
        <v/>
      </c>
      <c r="P175" s="12" t="n"/>
      <c r="Q175" s="12" t="n"/>
      <c r="R175" s="12" t="n"/>
      <c r="S175" s="13">
        <f>IF($R175="","",IFERROR(INDEX(Emp_Names,MATCH($R175,Emp_Codes,0)),"NOT FOUND"))</f>
        <v/>
      </c>
      <c r="T175" s="12" t="n"/>
      <c r="U175" s="12" t="n"/>
      <c r="V175" s="12" t="n"/>
    </row>
    <row r="176">
      <c r="A176" s="12" t="n"/>
      <c r="B176" s="12" t="n"/>
      <c r="C176" s="12" t="n"/>
      <c r="D176" s="13">
        <f>IF($A176="","",TRIM($B176&amp;" "&amp;$C176))</f>
        <v/>
      </c>
      <c r="E176" s="12" t="n"/>
      <c r="F176" s="12" t="n"/>
      <c r="G176" s="14" t="n"/>
      <c r="H176" s="14" t="n"/>
      <c r="I176" s="12" t="n"/>
      <c r="J176" s="14" t="n"/>
      <c r="K176" s="12" t="n"/>
      <c r="L176" s="13">
        <f>IF($K176="","",IFERROR(INDEX(Dept_Names,MATCH($K176,Dept_Codes,0)),"NOT FOUND"))</f>
        <v/>
      </c>
      <c r="M176" s="12" t="n"/>
      <c r="N176" s="13">
        <f>IF($M176="","",IFERROR(INDEX(Desig_Names,MATCH($M176,Desig_Codes,0)),"NOT FOUND"))</f>
        <v/>
      </c>
      <c r="O176" s="13">
        <f>IF($M176="","",IFERROR(INDEX(Desig_Levels,MATCH($M176,Desig_Codes,0)),""))</f>
        <v/>
      </c>
      <c r="P176" s="12" t="n"/>
      <c r="Q176" s="12" t="n"/>
      <c r="R176" s="12" t="n"/>
      <c r="S176" s="13">
        <f>IF($R176="","",IFERROR(INDEX(Emp_Names,MATCH($R176,Emp_Codes,0)),"NOT FOUND"))</f>
        <v/>
      </c>
      <c r="T176" s="12" t="n"/>
      <c r="U176" s="12" t="n"/>
      <c r="V176" s="12" t="n"/>
    </row>
    <row r="177">
      <c r="A177" s="12" t="n"/>
      <c r="B177" s="12" t="n"/>
      <c r="C177" s="12" t="n"/>
      <c r="D177" s="13">
        <f>IF($A177="","",TRIM($B177&amp;" "&amp;$C177))</f>
        <v/>
      </c>
      <c r="E177" s="12" t="n"/>
      <c r="F177" s="12" t="n"/>
      <c r="G177" s="14" t="n"/>
      <c r="H177" s="14" t="n"/>
      <c r="I177" s="12" t="n"/>
      <c r="J177" s="14" t="n"/>
      <c r="K177" s="12" t="n"/>
      <c r="L177" s="13">
        <f>IF($K177="","",IFERROR(INDEX(Dept_Names,MATCH($K177,Dept_Codes,0)),"NOT FOUND"))</f>
        <v/>
      </c>
      <c r="M177" s="12" t="n"/>
      <c r="N177" s="13">
        <f>IF($M177="","",IFERROR(INDEX(Desig_Names,MATCH($M177,Desig_Codes,0)),"NOT FOUND"))</f>
        <v/>
      </c>
      <c r="O177" s="13">
        <f>IF($M177="","",IFERROR(INDEX(Desig_Levels,MATCH($M177,Desig_Codes,0)),""))</f>
        <v/>
      </c>
      <c r="P177" s="12" t="n"/>
      <c r="Q177" s="12" t="n"/>
      <c r="R177" s="12" t="n"/>
      <c r="S177" s="13">
        <f>IF($R177="","",IFERROR(INDEX(Emp_Names,MATCH($R177,Emp_Codes,0)),"NOT FOUND"))</f>
        <v/>
      </c>
      <c r="T177" s="12" t="n"/>
      <c r="U177" s="12" t="n"/>
      <c r="V177" s="12" t="n"/>
    </row>
    <row r="178">
      <c r="A178" s="12" t="n"/>
      <c r="B178" s="12" t="n"/>
      <c r="C178" s="12" t="n"/>
      <c r="D178" s="13">
        <f>IF($A178="","",TRIM($B178&amp;" "&amp;$C178))</f>
        <v/>
      </c>
      <c r="E178" s="12" t="n"/>
      <c r="F178" s="12" t="n"/>
      <c r="G178" s="14" t="n"/>
      <c r="H178" s="14" t="n"/>
      <c r="I178" s="12" t="n"/>
      <c r="J178" s="14" t="n"/>
      <c r="K178" s="12" t="n"/>
      <c r="L178" s="13">
        <f>IF($K178="","",IFERROR(INDEX(Dept_Names,MATCH($K178,Dept_Codes,0)),"NOT FOUND"))</f>
        <v/>
      </c>
      <c r="M178" s="12" t="n"/>
      <c r="N178" s="13">
        <f>IF($M178="","",IFERROR(INDEX(Desig_Names,MATCH($M178,Desig_Codes,0)),"NOT FOUND"))</f>
        <v/>
      </c>
      <c r="O178" s="13">
        <f>IF($M178="","",IFERROR(INDEX(Desig_Levels,MATCH($M178,Desig_Codes,0)),""))</f>
        <v/>
      </c>
      <c r="P178" s="12" t="n"/>
      <c r="Q178" s="12" t="n"/>
      <c r="R178" s="12" t="n"/>
      <c r="S178" s="13">
        <f>IF($R178="","",IFERROR(INDEX(Emp_Names,MATCH($R178,Emp_Codes,0)),"NOT FOUND"))</f>
        <v/>
      </c>
      <c r="T178" s="12" t="n"/>
      <c r="U178" s="12" t="n"/>
      <c r="V178" s="12" t="n"/>
    </row>
    <row r="179">
      <c r="A179" s="12" t="n"/>
      <c r="B179" s="12" t="n"/>
      <c r="C179" s="12" t="n"/>
      <c r="D179" s="13">
        <f>IF($A179="","",TRIM($B179&amp;" "&amp;$C179))</f>
        <v/>
      </c>
      <c r="E179" s="12" t="n"/>
      <c r="F179" s="12" t="n"/>
      <c r="G179" s="14" t="n"/>
      <c r="H179" s="14" t="n"/>
      <c r="I179" s="12" t="n"/>
      <c r="J179" s="14" t="n"/>
      <c r="K179" s="12" t="n"/>
      <c r="L179" s="13">
        <f>IF($K179="","",IFERROR(INDEX(Dept_Names,MATCH($K179,Dept_Codes,0)),"NOT FOUND"))</f>
        <v/>
      </c>
      <c r="M179" s="12" t="n"/>
      <c r="N179" s="13">
        <f>IF($M179="","",IFERROR(INDEX(Desig_Names,MATCH($M179,Desig_Codes,0)),"NOT FOUND"))</f>
        <v/>
      </c>
      <c r="O179" s="13">
        <f>IF($M179="","",IFERROR(INDEX(Desig_Levels,MATCH($M179,Desig_Codes,0)),""))</f>
        <v/>
      </c>
      <c r="P179" s="12" t="n"/>
      <c r="Q179" s="12" t="n"/>
      <c r="R179" s="12" t="n"/>
      <c r="S179" s="13">
        <f>IF($R179="","",IFERROR(INDEX(Emp_Names,MATCH($R179,Emp_Codes,0)),"NOT FOUND"))</f>
        <v/>
      </c>
      <c r="T179" s="12" t="n"/>
      <c r="U179" s="12" t="n"/>
      <c r="V179" s="12" t="n"/>
    </row>
    <row r="180">
      <c r="A180" s="12" t="n"/>
      <c r="B180" s="12" t="n"/>
      <c r="C180" s="12" t="n"/>
      <c r="D180" s="13">
        <f>IF($A180="","",TRIM($B180&amp;" "&amp;$C180))</f>
        <v/>
      </c>
      <c r="E180" s="12" t="n"/>
      <c r="F180" s="12" t="n"/>
      <c r="G180" s="14" t="n"/>
      <c r="H180" s="14" t="n"/>
      <c r="I180" s="12" t="n"/>
      <c r="J180" s="14" t="n"/>
      <c r="K180" s="12" t="n"/>
      <c r="L180" s="13">
        <f>IF($K180="","",IFERROR(INDEX(Dept_Names,MATCH($K180,Dept_Codes,0)),"NOT FOUND"))</f>
        <v/>
      </c>
      <c r="M180" s="12" t="n"/>
      <c r="N180" s="13">
        <f>IF($M180="","",IFERROR(INDEX(Desig_Names,MATCH($M180,Desig_Codes,0)),"NOT FOUND"))</f>
        <v/>
      </c>
      <c r="O180" s="13">
        <f>IF($M180="","",IFERROR(INDEX(Desig_Levels,MATCH($M180,Desig_Codes,0)),""))</f>
        <v/>
      </c>
      <c r="P180" s="12" t="n"/>
      <c r="Q180" s="12" t="n"/>
      <c r="R180" s="12" t="n"/>
      <c r="S180" s="13">
        <f>IF($R180="","",IFERROR(INDEX(Emp_Names,MATCH($R180,Emp_Codes,0)),"NOT FOUND"))</f>
        <v/>
      </c>
      <c r="T180" s="12" t="n"/>
      <c r="U180" s="12" t="n"/>
      <c r="V180" s="12" t="n"/>
    </row>
    <row r="181">
      <c r="A181" s="12" t="n"/>
      <c r="B181" s="12" t="n"/>
      <c r="C181" s="12" t="n"/>
      <c r="D181" s="13">
        <f>IF($A181="","",TRIM($B181&amp;" "&amp;$C181))</f>
        <v/>
      </c>
      <c r="E181" s="12" t="n"/>
      <c r="F181" s="12" t="n"/>
      <c r="G181" s="14" t="n"/>
      <c r="H181" s="14" t="n"/>
      <c r="I181" s="12" t="n"/>
      <c r="J181" s="14" t="n"/>
      <c r="K181" s="12" t="n"/>
      <c r="L181" s="13">
        <f>IF($K181="","",IFERROR(INDEX(Dept_Names,MATCH($K181,Dept_Codes,0)),"NOT FOUND"))</f>
        <v/>
      </c>
      <c r="M181" s="12" t="n"/>
      <c r="N181" s="13">
        <f>IF($M181="","",IFERROR(INDEX(Desig_Names,MATCH($M181,Desig_Codes,0)),"NOT FOUND"))</f>
        <v/>
      </c>
      <c r="O181" s="13">
        <f>IF($M181="","",IFERROR(INDEX(Desig_Levels,MATCH($M181,Desig_Codes,0)),""))</f>
        <v/>
      </c>
      <c r="P181" s="12" t="n"/>
      <c r="Q181" s="12" t="n"/>
      <c r="R181" s="12" t="n"/>
      <c r="S181" s="13">
        <f>IF($R181="","",IFERROR(INDEX(Emp_Names,MATCH($R181,Emp_Codes,0)),"NOT FOUND"))</f>
        <v/>
      </c>
      <c r="T181" s="12" t="n"/>
      <c r="U181" s="12" t="n"/>
      <c r="V181" s="12" t="n"/>
    </row>
    <row r="182">
      <c r="A182" s="12" t="n"/>
      <c r="B182" s="12" t="n"/>
      <c r="C182" s="12" t="n"/>
      <c r="D182" s="13">
        <f>IF($A182="","",TRIM($B182&amp;" "&amp;$C182))</f>
        <v/>
      </c>
      <c r="E182" s="12" t="n"/>
      <c r="F182" s="12" t="n"/>
      <c r="G182" s="14" t="n"/>
      <c r="H182" s="14" t="n"/>
      <c r="I182" s="12" t="n"/>
      <c r="J182" s="14" t="n"/>
      <c r="K182" s="12" t="n"/>
      <c r="L182" s="13">
        <f>IF($K182="","",IFERROR(INDEX(Dept_Names,MATCH($K182,Dept_Codes,0)),"NOT FOUND"))</f>
        <v/>
      </c>
      <c r="M182" s="12" t="n"/>
      <c r="N182" s="13">
        <f>IF($M182="","",IFERROR(INDEX(Desig_Names,MATCH($M182,Desig_Codes,0)),"NOT FOUND"))</f>
        <v/>
      </c>
      <c r="O182" s="13">
        <f>IF($M182="","",IFERROR(INDEX(Desig_Levels,MATCH($M182,Desig_Codes,0)),""))</f>
        <v/>
      </c>
      <c r="P182" s="12" t="n"/>
      <c r="Q182" s="12" t="n"/>
      <c r="R182" s="12" t="n"/>
      <c r="S182" s="13">
        <f>IF($R182="","",IFERROR(INDEX(Emp_Names,MATCH($R182,Emp_Codes,0)),"NOT FOUND"))</f>
        <v/>
      </c>
      <c r="T182" s="12" t="n"/>
      <c r="U182" s="12" t="n"/>
      <c r="V182" s="12" t="n"/>
    </row>
    <row r="183">
      <c r="A183" s="12" t="n"/>
      <c r="B183" s="12" t="n"/>
      <c r="C183" s="12" t="n"/>
      <c r="D183" s="13">
        <f>IF($A183="","",TRIM($B183&amp;" "&amp;$C183))</f>
        <v/>
      </c>
      <c r="E183" s="12" t="n"/>
      <c r="F183" s="12" t="n"/>
      <c r="G183" s="14" t="n"/>
      <c r="H183" s="14" t="n"/>
      <c r="I183" s="12" t="n"/>
      <c r="J183" s="14" t="n"/>
      <c r="K183" s="12" t="n"/>
      <c r="L183" s="13">
        <f>IF($K183="","",IFERROR(INDEX(Dept_Names,MATCH($K183,Dept_Codes,0)),"NOT FOUND"))</f>
        <v/>
      </c>
      <c r="M183" s="12" t="n"/>
      <c r="N183" s="13">
        <f>IF($M183="","",IFERROR(INDEX(Desig_Names,MATCH($M183,Desig_Codes,0)),"NOT FOUND"))</f>
        <v/>
      </c>
      <c r="O183" s="13">
        <f>IF($M183="","",IFERROR(INDEX(Desig_Levels,MATCH($M183,Desig_Codes,0)),""))</f>
        <v/>
      </c>
      <c r="P183" s="12" t="n"/>
      <c r="Q183" s="12" t="n"/>
      <c r="R183" s="12" t="n"/>
      <c r="S183" s="13">
        <f>IF($R183="","",IFERROR(INDEX(Emp_Names,MATCH($R183,Emp_Codes,0)),"NOT FOUND"))</f>
        <v/>
      </c>
      <c r="T183" s="12" t="n"/>
      <c r="U183" s="12" t="n"/>
      <c r="V183" s="12" t="n"/>
    </row>
    <row r="184">
      <c r="A184" s="12" t="n"/>
      <c r="B184" s="12" t="n"/>
      <c r="C184" s="12" t="n"/>
      <c r="D184" s="13">
        <f>IF($A184="","",TRIM($B184&amp;" "&amp;$C184))</f>
        <v/>
      </c>
      <c r="E184" s="12" t="n"/>
      <c r="F184" s="12" t="n"/>
      <c r="G184" s="14" t="n"/>
      <c r="H184" s="14" t="n"/>
      <c r="I184" s="12" t="n"/>
      <c r="J184" s="14" t="n"/>
      <c r="K184" s="12" t="n"/>
      <c r="L184" s="13">
        <f>IF($K184="","",IFERROR(INDEX(Dept_Names,MATCH($K184,Dept_Codes,0)),"NOT FOUND"))</f>
        <v/>
      </c>
      <c r="M184" s="12" t="n"/>
      <c r="N184" s="13">
        <f>IF($M184="","",IFERROR(INDEX(Desig_Names,MATCH($M184,Desig_Codes,0)),"NOT FOUND"))</f>
        <v/>
      </c>
      <c r="O184" s="13">
        <f>IF($M184="","",IFERROR(INDEX(Desig_Levels,MATCH($M184,Desig_Codes,0)),""))</f>
        <v/>
      </c>
      <c r="P184" s="12" t="n"/>
      <c r="Q184" s="12" t="n"/>
      <c r="R184" s="12" t="n"/>
      <c r="S184" s="13">
        <f>IF($R184="","",IFERROR(INDEX(Emp_Names,MATCH($R184,Emp_Codes,0)),"NOT FOUND"))</f>
        <v/>
      </c>
      <c r="T184" s="12" t="n"/>
      <c r="U184" s="12" t="n"/>
      <c r="V184" s="12" t="n"/>
    </row>
    <row r="185">
      <c r="A185" s="12" t="n"/>
      <c r="B185" s="12" t="n"/>
      <c r="C185" s="12" t="n"/>
      <c r="D185" s="13">
        <f>IF($A185="","",TRIM($B185&amp;" "&amp;$C185))</f>
        <v/>
      </c>
      <c r="E185" s="12" t="n"/>
      <c r="F185" s="12" t="n"/>
      <c r="G185" s="14" t="n"/>
      <c r="H185" s="14" t="n"/>
      <c r="I185" s="12" t="n"/>
      <c r="J185" s="14" t="n"/>
      <c r="K185" s="12" t="n"/>
      <c r="L185" s="13">
        <f>IF($K185="","",IFERROR(INDEX(Dept_Names,MATCH($K185,Dept_Codes,0)),"NOT FOUND"))</f>
        <v/>
      </c>
      <c r="M185" s="12" t="n"/>
      <c r="N185" s="13">
        <f>IF($M185="","",IFERROR(INDEX(Desig_Names,MATCH($M185,Desig_Codes,0)),"NOT FOUND"))</f>
        <v/>
      </c>
      <c r="O185" s="13">
        <f>IF($M185="","",IFERROR(INDEX(Desig_Levels,MATCH($M185,Desig_Codes,0)),""))</f>
        <v/>
      </c>
      <c r="P185" s="12" t="n"/>
      <c r="Q185" s="12" t="n"/>
      <c r="R185" s="12" t="n"/>
      <c r="S185" s="13">
        <f>IF($R185="","",IFERROR(INDEX(Emp_Names,MATCH($R185,Emp_Codes,0)),"NOT FOUND"))</f>
        <v/>
      </c>
      <c r="T185" s="12" t="n"/>
      <c r="U185" s="12" t="n"/>
      <c r="V185" s="12" t="n"/>
    </row>
    <row r="186">
      <c r="A186" s="12" t="n"/>
      <c r="B186" s="12" t="n"/>
      <c r="C186" s="12" t="n"/>
      <c r="D186" s="13">
        <f>IF($A186="","",TRIM($B186&amp;" "&amp;$C186))</f>
        <v/>
      </c>
      <c r="E186" s="12" t="n"/>
      <c r="F186" s="12" t="n"/>
      <c r="G186" s="14" t="n"/>
      <c r="H186" s="14" t="n"/>
      <c r="I186" s="12" t="n"/>
      <c r="J186" s="14" t="n"/>
      <c r="K186" s="12" t="n"/>
      <c r="L186" s="13">
        <f>IF($K186="","",IFERROR(INDEX(Dept_Names,MATCH($K186,Dept_Codes,0)),"NOT FOUND"))</f>
        <v/>
      </c>
      <c r="M186" s="12" t="n"/>
      <c r="N186" s="13">
        <f>IF($M186="","",IFERROR(INDEX(Desig_Names,MATCH($M186,Desig_Codes,0)),"NOT FOUND"))</f>
        <v/>
      </c>
      <c r="O186" s="13">
        <f>IF($M186="","",IFERROR(INDEX(Desig_Levels,MATCH($M186,Desig_Codes,0)),""))</f>
        <v/>
      </c>
      <c r="P186" s="12" t="n"/>
      <c r="Q186" s="12" t="n"/>
      <c r="R186" s="12" t="n"/>
      <c r="S186" s="13">
        <f>IF($R186="","",IFERROR(INDEX(Emp_Names,MATCH($R186,Emp_Codes,0)),"NOT FOUND"))</f>
        <v/>
      </c>
      <c r="T186" s="12" t="n"/>
      <c r="U186" s="12" t="n"/>
      <c r="V186" s="12" t="n"/>
    </row>
    <row r="187">
      <c r="A187" s="12" t="n"/>
      <c r="B187" s="12" t="n"/>
      <c r="C187" s="12" t="n"/>
      <c r="D187" s="13">
        <f>IF($A187="","",TRIM($B187&amp;" "&amp;$C187))</f>
        <v/>
      </c>
      <c r="E187" s="12" t="n"/>
      <c r="F187" s="12" t="n"/>
      <c r="G187" s="14" t="n"/>
      <c r="H187" s="14" t="n"/>
      <c r="I187" s="12" t="n"/>
      <c r="J187" s="14" t="n"/>
      <c r="K187" s="12" t="n"/>
      <c r="L187" s="13">
        <f>IF($K187="","",IFERROR(INDEX(Dept_Names,MATCH($K187,Dept_Codes,0)),"NOT FOUND"))</f>
        <v/>
      </c>
      <c r="M187" s="12" t="n"/>
      <c r="N187" s="13">
        <f>IF($M187="","",IFERROR(INDEX(Desig_Names,MATCH($M187,Desig_Codes,0)),"NOT FOUND"))</f>
        <v/>
      </c>
      <c r="O187" s="13">
        <f>IF($M187="","",IFERROR(INDEX(Desig_Levels,MATCH($M187,Desig_Codes,0)),""))</f>
        <v/>
      </c>
      <c r="P187" s="12" t="n"/>
      <c r="Q187" s="12" t="n"/>
      <c r="R187" s="12" t="n"/>
      <c r="S187" s="13">
        <f>IF($R187="","",IFERROR(INDEX(Emp_Names,MATCH($R187,Emp_Codes,0)),"NOT FOUND"))</f>
        <v/>
      </c>
      <c r="T187" s="12" t="n"/>
      <c r="U187" s="12" t="n"/>
      <c r="V187" s="12" t="n"/>
    </row>
    <row r="188">
      <c r="A188" s="12" t="n"/>
      <c r="B188" s="12" t="n"/>
      <c r="C188" s="12" t="n"/>
      <c r="D188" s="13">
        <f>IF($A188="","",TRIM($B188&amp;" "&amp;$C188))</f>
        <v/>
      </c>
      <c r="E188" s="12" t="n"/>
      <c r="F188" s="12" t="n"/>
      <c r="G188" s="14" t="n"/>
      <c r="H188" s="14" t="n"/>
      <c r="I188" s="12" t="n"/>
      <c r="J188" s="14" t="n"/>
      <c r="K188" s="12" t="n"/>
      <c r="L188" s="13">
        <f>IF($K188="","",IFERROR(INDEX(Dept_Names,MATCH($K188,Dept_Codes,0)),"NOT FOUND"))</f>
        <v/>
      </c>
      <c r="M188" s="12" t="n"/>
      <c r="N188" s="13">
        <f>IF($M188="","",IFERROR(INDEX(Desig_Names,MATCH($M188,Desig_Codes,0)),"NOT FOUND"))</f>
        <v/>
      </c>
      <c r="O188" s="13">
        <f>IF($M188="","",IFERROR(INDEX(Desig_Levels,MATCH($M188,Desig_Codes,0)),""))</f>
        <v/>
      </c>
      <c r="P188" s="12" t="n"/>
      <c r="Q188" s="12" t="n"/>
      <c r="R188" s="12" t="n"/>
      <c r="S188" s="13">
        <f>IF($R188="","",IFERROR(INDEX(Emp_Names,MATCH($R188,Emp_Codes,0)),"NOT FOUND"))</f>
        <v/>
      </c>
      <c r="T188" s="12" t="n"/>
      <c r="U188" s="12" t="n"/>
      <c r="V188" s="12" t="n"/>
    </row>
    <row r="189">
      <c r="A189" s="12" t="n"/>
      <c r="B189" s="12" t="n"/>
      <c r="C189" s="12" t="n"/>
      <c r="D189" s="13">
        <f>IF($A189="","",TRIM($B189&amp;" "&amp;$C189))</f>
        <v/>
      </c>
      <c r="E189" s="12" t="n"/>
      <c r="F189" s="12" t="n"/>
      <c r="G189" s="14" t="n"/>
      <c r="H189" s="14" t="n"/>
      <c r="I189" s="12" t="n"/>
      <c r="J189" s="14" t="n"/>
      <c r="K189" s="12" t="n"/>
      <c r="L189" s="13">
        <f>IF($K189="","",IFERROR(INDEX(Dept_Names,MATCH($K189,Dept_Codes,0)),"NOT FOUND"))</f>
        <v/>
      </c>
      <c r="M189" s="12" t="n"/>
      <c r="N189" s="13">
        <f>IF($M189="","",IFERROR(INDEX(Desig_Names,MATCH($M189,Desig_Codes,0)),"NOT FOUND"))</f>
        <v/>
      </c>
      <c r="O189" s="13">
        <f>IF($M189="","",IFERROR(INDEX(Desig_Levels,MATCH($M189,Desig_Codes,0)),""))</f>
        <v/>
      </c>
      <c r="P189" s="12" t="n"/>
      <c r="Q189" s="12" t="n"/>
      <c r="R189" s="12" t="n"/>
      <c r="S189" s="13">
        <f>IF($R189="","",IFERROR(INDEX(Emp_Names,MATCH($R189,Emp_Codes,0)),"NOT FOUND"))</f>
        <v/>
      </c>
      <c r="T189" s="12" t="n"/>
      <c r="U189" s="12" t="n"/>
      <c r="V189" s="12" t="n"/>
    </row>
    <row r="190">
      <c r="A190" s="12" t="n"/>
      <c r="B190" s="12" t="n"/>
      <c r="C190" s="12" t="n"/>
      <c r="D190" s="13">
        <f>IF($A190="","",TRIM($B190&amp;" "&amp;$C190))</f>
        <v/>
      </c>
      <c r="E190" s="12" t="n"/>
      <c r="F190" s="12" t="n"/>
      <c r="G190" s="14" t="n"/>
      <c r="H190" s="14" t="n"/>
      <c r="I190" s="12" t="n"/>
      <c r="J190" s="14" t="n"/>
      <c r="K190" s="12" t="n"/>
      <c r="L190" s="13">
        <f>IF($K190="","",IFERROR(INDEX(Dept_Names,MATCH($K190,Dept_Codes,0)),"NOT FOUND"))</f>
        <v/>
      </c>
      <c r="M190" s="12" t="n"/>
      <c r="N190" s="13">
        <f>IF($M190="","",IFERROR(INDEX(Desig_Names,MATCH($M190,Desig_Codes,0)),"NOT FOUND"))</f>
        <v/>
      </c>
      <c r="O190" s="13">
        <f>IF($M190="","",IFERROR(INDEX(Desig_Levels,MATCH($M190,Desig_Codes,0)),""))</f>
        <v/>
      </c>
      <c r="P190" s="12" t="n"/>
      <c r="Q190" s="12" t="n"/>
      <c r="R190" s="12" t="n"/>
      <c r="S190" s="13">
        <f>IF($R190="","",IFERROR(INDEX(Emp_Names,MATCH($R190,Emp_Codes,0)),"NOT FOUND"))</f>
        <v/>
      </c>
      <c r="T190" s="12" t="n"/>
      <c r="U190" s="12" t="n"/>
      <c r="V190" s="12" t="n"/>
    </row>
    <row r="191">
      <c r="A191" s="12" t="n"/>
      <c r="B191" s="12" t="n"/>
      <c r="C191" s="12" t="n"/>
      <c r="D191" s="13">
        <f>IF($A191="","",TRIM($B191&amp;" "&amp;$C191))</f>
        <v/>
      </c>
      <c r="E191" s="12" t="n"/>
      <c r="F191" s="12" t="n"/>
      <c r="G191" s="14" t="n"/>
      <c r="H191" s="14" t="n"/>
      <c r="I191" s="12" t="n"/>
      <c r="J191" s="14" t="n"/>
      <c r="K191" s="12" t="n"/>
      <c r="L191" s="13">
        <f>IF($K191="","",IFERROR(INDEX(Dept_Names,MATCH($K191,Dept_Codes,0)),"NOT FOUND"))</f>
        <v/>
      </c>
      <c r="M191" s="12" t="n"/>
      <c r="N191" s="13">
        <f>IF($M191="","",IFERROR(INDEX(Desig_Names,MATCH($M191,Desig_Codes,0)),"NOT FOUND"))</f>
        <v/>
      </c>
      <c r="O191" s="13">
        <f>IF($M191="","",IFERROR(INDEX(Desig_Levels,MATCH($M191,Desig_Codes,0)),""))</f>
        <v/>
      </c>
      <c r="P191" s="12" t="n"/>
      <c r="Q191" s="12" t="n"/>
      <c r="R191" s="12" t="n"/>
      <c r="S191" s="13">
        <f>IF($R191="","",IFERROR(INDEX(Emp_Names,MATCH($R191,Emp_Codes,0)),"NOT FOUND"))</f>
        <v/>
      </c>
      <c r="T191" s="12" t="n"/>
      <c r="U191" s="12" t="n"/>
      <c r="V191" s="12" t="n"/>
    </row>
    <row r="192">
      <c r="A192" s="12" t="n"/>
      <c r="B192" s="12" t="n"/>
      <c r="C192" s="12" t="n"/>
      <c r="D192" s="13">
        <f>IF($A192="","",TRIM($B192&amp;" "&amp;$C192))</f>
        <v/>
      </c>
      <c r="E192" s="12" t="n"/>
      <c r="F192" s="12" t="n"/>
      <c r="G192" s="14" t="n"/>
      <c r="H192" s="14" t="n"/>
      <c r="I192" s="12" t="n"/>
      <c r="J192" s="14" t="n"/>
      <c r="K192" s="12" t="n"/>
      <c r="L192" s="13">
        <f>IF($K192="","",IFERROR(INDEX(Dept_Names,MATCH($K192,Dept_Codes,0)),"NOT FOUND"))</f>
        <v/>
      </c>
      <c r="M192" s="12" t="n"/>
      <c r="N192" s="13">
        <f>IF($M192="","",IFERROR(INDEX(Desig_Names,MATCH($M192,Desig_Codes,0)),"NOT FOUND"))</f>
        <v/>
      </c>
      <c r="O192" s="13">
        <f>IF($M192="","",IFERROR(INDEX(Desig_Levels,MATCH($M192,Desig_Codes,0)),""))</f>
        <v/>
      </c>
      <c r="P192" s="12" t="n"/>
      <c r="Q192" s="12" t="n"/>
      <c r="R192" s="12" t="n"/>
      <c r="S192" s="13">
        <f>IF($R192="","",IFERROR(INDEX(Emp_Names,MATCH($R192,Emp_Codes,0)),"NOT FOUND"))</f>
        <v/>
      </c>
      <c r="T192" s="12" t="n"/>
      <c r="U192" s="12" t="n"/>
      <c r="V192" s="12" t="n"/>
    </row>
    <row r="193">
      <c r="A193" s="12" t="n"/>
      <c r="B193" s="12" t="n"/>
      <c r="C193" s="12" t="n"/>
      <c r="D193" s="13">
        <f>IF($A193="","",TRIM($B193&amp;" "&amp;$C193))</f>
        <v/>
      </c>
      <c r="E193" s="12" t="n"/>
      <c r="F193" s="12" t="n"/>
      <c r="G193" s="14" t="n"/>
      <c r="H193" s="14" t="n"/>
      <c r="I193" s="12" t="n"/>
      <c r="J193" s="14" t="n"/>
      <c r="K193" s="12" t="n"/>
      <c r="L193" s="13">
        <f>IF($K193="","",IFERROR(INDEX(Dept_Names,MATCH($K193,Dept_Codes,0)),"NOT FOUND"))</f>
        <v/>
      </c>
      <c r="M193" s="12" t="n"/>
      <c r="N193" s="13">
        <f>IF($M193="","",IFERROR(INDEX(Desig_Names,MATCH($M193,Desig_Codes,0)),"NOT FOUND"))</f>
        <v/>
      </c>
      <c r="O193" s="13">
        <f>IF($M193="","",IFERROR(INDEX(Desig_Levels,MATCH($M193,Desig_Codes,0)),""))</f>
        <v/>
      </c>
      <c r="P193" s="12" t="n"/>
      <c r="Q193" s="12" t="n"/>
      <c r="R193" s="12" t="n"/>
      <c r="S193" s="13">
        <f>IF($R193="","",IFERROR(INDEX(Emp_Names,MATCH($R193,Emp_Codes,0)),"NOT FOUND"))</f>
        <v/>
      </c>
      <c r="T193" s="12" t="n"/>
      <c r="U193" s="12" t="n"/>
      <c r="V193" s="12" t="n"/>
    </row>
    <row r="194">
      <c r="A194" s="12" t="n"/>
      <c r="B194" s="12" t="n"/>
      <c r="C194" s="12" t="n"/>
      <c r="D194" s="13">
        <f>IF($A194="","",TRIM($B194&amp;" "&amp;$C194))</f>
        <v/>
      </c>
      <c r="E194" s="12" t="n"/>
      <c r="F194" s="12" t="n"/>
      <c r="G194" s="14" t="n"/>
      <c r="H194" s="14" t="n"/>
      <c r="I194" s="12" t="n"/>
      <c r="J194" s="14" t="n"/>
      <c r="K194" s="12" t="n"/>
      <c r="L194" s="13">
        <f>IF($K194="","",IFERROR(INDEX(Dept_Names,MATCH($K194,Dept_Codes,0)),"NOT FOUND"))</f>
        <v/>
      </c>
      <c r="M194" s="12" t="n"/>
      <c r="N194" s="13">
        <f>IF($M194="","",IFERROR(INDEX(Desig_Names,MATCH($M194,Desig_Codes,0)),"NOT FOUND"))</f>
        <v/>
      </c>
      <c r="O194" s="13">
        <f>IF($M194="","",IFERROR(INDEX(Desig_Levels,MATCH($M194,Desig_Codes,0)),""))</f>
        <v/>
      </c>
      <c r="P194" s="12" t="n"/>
      <c r="Q194" s="12" t="n"/>
      <c r="R194" s="12" t="n"/>
      <c r="S194" s="13">
        <f>IF($R194="","",IFERROR(INDEX(Emp_Names,MATCH($R194,Emp_Codes,0)),"NOT FOUND"))</f>
        <v/>
      </c>
      <c r="T194" s="12" t="n"/>
      <c r="U194" s="12" t="n"/>
      <c r="V194" s="12" t="n"/>
    </row>
    <row r="195">
      <c r="A195" s="12" t="n"/>
      <c r="B195" s="12" t="n"/>
      <c r="C195" s="12" t="n"/>
      <c r="D195" s="13">
        <f>IF($A195="","",TRIM($B195&amp;" "&amp;$C195))</f>
        <v/>
      </c>
      <c r="E195" s="12" t="n"/>
      <c r="F195" s="12" t="n"/>
      <c r="G195" s="14" t="n"/>
      <c r="H195" s="14" t="n"/>
      <c r="I195" s="12" t="n"/>
      <c r="J195" s="14" t="n"/>
      <c r="K195" s="12" t="n"/>
      <c r="L195" s="13">
        <f>IF($K195="","",IFERROR(INDEX(Dept_Names,MATCH($K195,Dept_Codes,0)),"NOT FOUND"))</f>
        <v/>
      </c>
      <c r="M195" s="12" t="n"/>
      <c r="N195" s="13">
        <f>IF($M195="","",IFERROR(INDEX(Desig_Names,MATCH($M195,Desig_Codes,0)),"NOT FOUND"))</f>
        <v/>
      </c>
      <c r="O195" s="13">
        <f>IF($M195="","",IFERROR(INDEX(Desig_Levels,MATCH($M195,Desig_Codes,0)),""))</f>
        <v/>
      </c>
      <c r="P195" s="12" t="n"/>
      <c r="Q195" s="12" t="n"/>
      <c r="R195" s="12" t="n"/>
      <c r="S195" s="13">
        <f>IF($R195="","",IFERROR(INDEX(Emp_Names,MATCH($R195,Emp_Codes,0)),"NOT FOUND"))</f>
        <v/>
      </c>
      <c r="T195" s="12" t="n"/>
      <c r="U195" s="12" t="n"/>
      <c r="V195" s="12" t="n"/>
    </row>
    <row r="196">
      <c r="A196" s="12" t="n"/>
      <c r="B196" s="12" t="n"/>
      <c r="C196" s="12" t="n"/>
      <c r="D196" s="13">
        <f>IF($A196="","",TRIM($B196&amp;" "&amp;$C196))</f>
        <v/>
      </c>
      <c r="E196" s="12" t="n"/>
      <c r="F196" s="12" t="n"/>
      <c r="G196" s="14" t="n"/>
      <c r="H196" s="14" t="n"/>
      <c r="I196" s="12" t="n"/>
      <c r="J196" s="14" t="n"/>
      <c r="K196" s="12" t="n"/>
      <c r="L196" s="13">
        <f>IF($K196="","",IFERROR(INDEX(Dept_Names,MATCH($K196,Dept_Codes,0)),"NOT FOUND"))</f>
        <v/>
      </c>
      <c r="M196" s="12" t="n"/>
      <c r="N196" s="13">
        <f>IF($M196="","",IFERROR(INDEX(Desig_Names,MATCH($M196,Desig_Codes,0)),"NOT FOUND"))</f>
        <v/>
      </c>
      <c r="O196" s="13">
        <f>IF($M196="","",IFERROR(INDEX(Desig_Levels,MATCH($M196,Desig_Codes,0)),""))</f>
        <v/>
      </c>
      <c r="P196" s="12" t="n"/>
      <c r="Q196" s="12" t="n"/>
      <c r="R196" s="12" t="n"/>
      <c r="S196" s="13">
        <f>IF($R196="","",IFERROR(INDEX(Emp_Names,MATCH($R196,Emp_Codes,0)),"NOT FOUND"))</f>
        <v/>
      </c>
      <c r="T196" s="12" t="n"/>
      <c r="U196" s="12" t="n"/>
      <c r="V196" s="12" t="n"/>
    </row>
    <row r="197">
      <c r="A197" s="12" t="n"/>
      <c r="B197" s="12" t="n"/>
      <c r="C197" s="12" t="n"/>
      <c r="D197" s="13">
        <f>IF($A197="","",TRIM($B197&amp;" "&amp;$C197))</f>
        <v/>
      </c>
      <c r="E197" s="12" t="n"/>
      <c r="F197" s="12" t="n"/>
      <c r="G197" s="14" t="n"/>
      <c r="H197" s="14" t="n"/>
      <c r="I197" s="12" t="n"/>
      <c r="J197" s="14" t="n"/>
      <c r="K197" s="12" t="n"/>
      <c r="L197" s="13">
        <f>IF($K197="","",IFERROR(INDEX(Dept_Names,MATCH($K197,Dept_Codes,0)),"NOT FOUND"))</f>
        <v/>
      </c>
      <c r="M197" s="12" t="n"/>
      <c r="N197" s="13">
        <f>IF($M197="","",IFERROR(INDEX(Desig_Names,MATCH($M197,Desig_Codes,0)),"NOT FOUND"))</f>
        <v/>
      </c>
      <c r="O197" s="13">
        <f>IF($M197="","",IFERROR(INDEX(Desig_Levels,MATCH($M197,Desig_Codes,0)),""))</f>
        <v/>
      </c>
      <c r="P197" s="12" t="n"/>
      <c r="Q197" s="12" t="n"/>
      <c r="R197" s="12" t="n"/>
      <c r="S197" s="13">
        <f>IF($R197="","",IFERROR(INDEX(Emp_Names,MATCH($R197,Emp_Codes,0)),"NOT FOUND"))</f>
        <v/>
      </c>
      <c r="T197" s="12" t="n"/>
      <c r="U197" s="12" t="n"/>
      <c r="V197" s="12" t="n"/>
    </row>
    <row r="198">
      <c r="A198" s="12" t="n"/>
      <c r="B198" s="12" t="n"/>
      <c r="C198" s="12" t="n"/>
      <c r="D198" s="13">
        <f>IF($A198="","",TRIM($B198&amp;" "&amp;$C198))</f>
        <v/>
      </c>
      <c r="E198" s="12" t="n"/>
      <c r="F198" s="12" t="n"/>
      <c r="G198" s="14" t="n"/>
      <c r="H198" s="14" t="n"/>
      <c r="I198" s="12" t="n"/>
      <c r="J198" s="14" t="n"/>
      <c r="K198" s="12" t="n"/>
      <c r="L198" s="13">
        <f>IF($K198="","",IFERROR(INDEX(Dept_Names,MATCH($K198,Dept_Codes,0)),"NOT FOUND"))</f>
        <v/>
      </c>
      <c r="M198" s="12" t="n"/>
      <c r="N198" s="13">
        <f>IF($M198="","",IFERROR(INDEX(Desig_Names,MATCH($M198,Desig_Codes,0)),"NOT FOUND"))</f>
        <v/>
      </c>
      <c r="O198" s="13">
        <f>IF($M198="","",IFERROR(INDEX(Desig_Levels,MATCH($M198,Desig_Codes,0)),""))</f>
        <v/>
      </c>
      <c r="P198" s="12" t="n"/>
      <c r="Q198" s="12" t="n"/>
      <c r="R198" s="12" t="n"/>
      <c r="S198" s="13">
        <f>IF($R198="","",IFERROR(INDEX(Emp_Names,MATCH($R198,Emp_Codes,0)),"NOT FOUND"))</f>
        <v/>
      </c>
      <c r="T198" s="12" t="n"/>
      <c r="U198" s="12" t="n"/>
      <c r="V198" s="12" t="n"/>
    </row>
    <row r="199">
      <c r="A199" s="12" t="n"/>
      <c r="B199" s="12" t="n"/>
      <c r="C199" s="12" t="n"/>
      <c r="D199" s="13">
        <f>IF($A199="","",TRIM($B199&amp;" "&amp;$C199))</f>
        <v/>
      </c>
      <c r="E199" s="12" t="n"/>
      <c r="F199" s="12" t="n"/>
      <c r="G199" s="14" t="n"/>
      <c r="H199" s="14" t="n"/>
      <c r="I199" s="12" t="n"/>
      <c r="J199" s="14" t="n"/>
      <c r="K199" s="12" t="n"/>
      <c r="L199" s="13">
        <f>IF($K199="","",IFERROR(INDEX(Dept_Names,MATCH($K199,Dept_Codes,0)),"NOT FOUND"))</f>
        <v/>
      </c>
      <c r="M199" s="12" t="n"/>
      <c r="N199" s="13">
        <f>IF($M199="","",IFERROR(INDEX(Desig_Names,MATCH($M199,Desig_Codes,0)),"NOT FOUND"))</f>
        <v/>
      </c>
      <c r="O199" s="13">
        <f>IF($M199="","",IFERROR(INDEX(Desig_Levels,MATCH($M199,Desig_Codes,0)),""))</f>
        <v/>
      </c>
      <c r="P199" s="12" t="n"/>
      <c r="Q199" s="12" t="n"/>
      <c r="R199" s="12" t="n"/>
      <c r="S199" s="13">
        <f>IF($R199="","",IFERROR(INDEX(Emp_Names,MATCH($R199,Emp_Codes,0)),"NOT FOUND"))</f>
        <v/>
      </c>
      <c r="T199" s="12" t="n"/>
      <c r="U199" s="12" t="n"/>
      <c r="V199" s="12" t="n"/>
    </row>
    <row r="200">
      <c r="A200" s="12" t="n"/>
      <c r="B200" s="12" t="n"/>
      <c r="C200" s="12" t="n"/>
      <c r="D200" s="13">
        <f>IF($A200="","",TRIM($B200&amp;" "&amp;$C200))</f>
        <v/>
      </c>
      <c r="E200" s="12" t="n"/>
      <c r="F200" s="12" t="n"/>
      <c r="G200" s="14" t="n"/>
      <c r="H200" s="14" t="n"/>
      <c r="I200" s="12" t="n"/>
      <c r="J200" s="14" t="n"/>
      <c r="K200" s="12" t="n"/>
      <c r="L200" s="13">
        <f>IF($K200="","",IFERROR(INDEX(Dept_Names,MATCH($K200,Dept_Codes,0)),"NOT FOUND"))</f>
        <v/>
      </c>
      <c r="M200" s="12" t="n"/>
      <c r="N200" s="13">
        <f>IF($M200="","",IFERROR(INDEX(Desig_Names,MATCH($M200,Desig_Codes,0)),"NOT FOUND"))</f>
        <v/>
      </c>
      <c r="O200" s="13">
        <f>IF($M200="","",IFERROR(INDEX(Desig_Levels,MATCH($M200,Desig_Codes,0)),""))</f>
        <v/>
      </c>
      <c r="P200" s="12" t="n"/>
      <c r="Q200" s="12" t="n"/>
      <c r="R200" s="12" t="n"/>
      <c r="S200" s="13">
        <f>IF($R200="","",IFERROR(INDEX(Emp_Names,MATCH($R200,Emp_Codes,0)),"NOT FOUND"))</f>
        <v/>
      </c>
      <c r="T200" s="12" t="n"/>
      <c r="U200" s="12" t="n"/>
      <c r="V200" s="12" t="n"/>
    </row>
    <row r="201">
      <c r="A201" s="12" t="n"/>
      <c r="B201" s="12" t="n"/>
      <c r="C201" s="12" t="n"/>
      <c r="D201" s="13">
        <f>IF($A201="","",TRIM($B201&amp;" "&amp;$C201))</f>
        <v/>
      </c>
      <c r="E201" s="12" t="n"/>
      <c r="F201" s="12" t="n"/>
      <c r="G201" s="14" t="n"/>
      <c r="H201" s="14" t="n"/>
      <c r="I201" s="12" t="n"/>
      <c r="J201" s="14" t="n"/>
      <c r="K201" s="12" t="n"/>
      <c r="L201" s="13">
        <f>IF($K201="","",IFERROR(INDEX(Dept_Names,MATCH($K201,Dept_Codes,0)),"NOT FOUND"))</f>
        <v/>
      </c>
      <c r="M201" s="12" t="n"/>
      <c r="N201" s="13">
        <f>IF($M201="","",IFERROR(INDEX(Desig_Names,MATCH($M201,Desig_Codes,0)),"NOT FOUND"))</f>
        <v/>
      </c>
      <c r="O201" s="13">
        <f>IF($M201="","",IFERROR(INDEX(Desig_Levels,MATCH($M201,Desig_Codes,0)),""))</f>
        <v/>
      </c>
      <c r="P201" s="12" t="n"/>
      <c r="Q201" s="12" t="n"/>
      <c r="R201" s="12" t="n"/>
      <c r="S201" s="13">
        <f>IF($R201="","",IFERROR(INDEX(Emp_Names,MATCH($R201,Emp_Codes,0)),"NOT FOUND"))</f>
        <v/>
      </c>
      <c r="T201" s="12" t="n"/>
      <c r="U201" s="12" t="n"/>
      <c r="V201" s="12" t="n"/>
    </row>
    <row r="202">
      <c r="A202" s="12" t="n"/>
      <c r="B202" s="12" t="n"/>
      <c r="C202" s="12" t="n"/>
      <c r="D202" s="13">
        <f>IF($A202="","",TRIM($B202&amp;" "&amp;$C202))</f>
        <v/>
      </c>
      <c r="E202" s="12" t="n"/>
      <c r="F202" s="12" t="n"/>
      <c r="G202" s="14" t="n"/>
      <c r="H202" s="14" t="n"/>
      <c r="I202" s="12" t="n"/>
      <c r="J202" s="14" t="n"/>
      <c r="K202" s="12" t="n"/>
      <c r="L202" s="13">
        <f>IF($K202="","",IFERROR(INDEX(Dept_Names,MATCH($K202,Dept_Codes,0)),"NOT FOUND"))</f>
        <v/>
      </c>
      <c r="M202" s="12" t="n"/>
      <c r="N202" s="13">
        <f>IF($M202="","",IFERROR(INDEX(Desig_Names,MATCH($M202,Desig_Codes,0)),"NOT FOUND"))</f>
        <v/>
      </c>
      <c r="O202" s="13">
        <f>IF($M202="","",IFERROR(INDEX(Desig_Levels,MATCH($M202,Desig_Codes,0)),""))</f>
        <v/>
      </c>
      <c r="P202" s="12" t="n"/>
      <c r="Q202" s="12" t="n"/>
      <c r="R202" s="12" t="n"/>
      <c r="S202" s="13">
        <f>IF($R202="","",IFERROR(INDEX(Emp_Names,MATCH($R202,Emp_Codes,0)),"NOT FOUND"))</f>
        <v/>
      </c>
      <c r="T202" s="12" t="n"/>
      <c r="U202" s="12" t="n"/>
      <c r="V202" s="12" t="n"/>
    </row>
    <row r="203">
      <c r="A203" s="12" t="n"/>
      <c r="B203" s="12" t="n"/>
      <c r="C203" s="12" t="n"/>
      <c r="D203" s="13">
        <f>IF($A203="","",TRIM($B203&amp;" "&amp;$C203))</f>
        <v/>
      </c>
      <c r="E203" s="12" t="n"/>
      <c r="F203" s="12" t="n"/>
      <c r="G203" s="14" t="n"/>
      <c r="H203" s="14" t="n"/>
      <c r="I203" s="12" t="n"/>
      <c r="J203" s="14" t="n"/>
      <c r="K203" s="12" t="n"/>
      <c r="L203" s="13">
        <f>IF($K203="","",IFERROR(INDEX(Dept_Names,MATCH($K203,Dept_Codes,0)),"NOT FOUND"))</f>
        <v/>
      </c>
      <c r="M203" s="12" t="n"/>
      <c r="N203" s="13">
        <f>IF($M203="","",IFERROR(INDEX(Desig_Names,MATCH($M203,Desig_Codes,0)),"NOT FOUND"))</f>
        <v/>
      </c>
      <c r="O203" s="13">
        <f>IF($M203="","",IFERROR(INDEX(Desig_Levels,MATCH($M203,Desig_Codes,0)),""))</f>
        <v/>
      </c>
      <c r="P203" s="12" t="n"/>
      <c r="Q203" s="12" t="n"/>
      <c r="R203" s="12" t="n"/>
      <c r="S203" s="13">
        <f>IF($R203="","",IFERROR(INDEX(Emp_Names,MATCH($R203,Emp_Codes,0)),"NOT FOUND"))</f>
        <v/>
      </c>
      <c r="T203" s="12" t="n"/>
      <c r="U203" s="12" t="n"/>
      <c r="V203" s="12" t="n"/>
    </row>
    <row r="204">
      <c r="A204" s="12" t="n"/>
      <c r="B204" s="12" t="n"/>
      <c r="C204" s="12" t="n"/>
      <c r="D204" s="13">
        <f>IF($A204="","",TRIM($B204&amp;" "&amp;$C204))</f>
        <v/>
      </c>
      <c r="E204" s="12" t="n"/>
      <c r="F204" s="12" t="n"/>
      <c r="G204" s="14" t="n"/>
      <c r="H204" s="14" t="n"/>
      <c r="I204" s="12" t="n"/>
      <c r="J204" s="14" t="n"/>
      <c r="K204" s="12" t="n"/>
      <c r="L204" s="13">
        <f>IF($K204="","",IFERROR(INDEX(Dept_Names,MATCH($K204,Dept_Codes,0)),"NOT FOUND"))</f>
        <v/>
      </c>
      <c r="M204" s="12" t="n"/>
      <c r="N204" s="13">
        <f>IF($M204="","",IFERROR(INDEX(Desig_Names,MATCH($M204,Desig_Codes,0)),"NOT FOUND"))</f>
        <v/>
      </c>
      <c r="O204" s="13">
        <f>IF($M204="","",IFERROR(INDEX(Desig_Levels,MATCH($M204,Desig_Codes,0)),""))</f>
        <v/>
      </c>
      <c r="P204" s="12" t="n"/>
      <c r="Q204" s="12" t="n"/>
      <c r="R204" s="12" t="n"/>
      <c r="S204" s="13">
        <f>IF($R204="","",IFERROR(INDEX(Emp_Names,MATCH($R204,Emp_Codes,0)),"NOT FOUND"))</f>
        <v/>
      </c>
      <c r="T204" s="12" t="n"/>
      <c r="U204" s="12" t="n"/>
      <c r="V204" s="12" t="n"/>
    </row>
    <row r="205">
      <c r="A205" s="12" t="n"/>
      <c r="B205" s="12" t="n"/>
      <c r="C205" s="12" t="n"/>
      <c r="D205" s="13">
        <f>IF($A205="","",TRIM($B205&amp;" "&amp;$C205))</f>
        <v/>
      </c>
      <c r="E205" s="12" t="n"/>
      <c r="F205" s="12" t="n"/>
      <c r="G205" s="14" t="n"/>
      <c r="H205" s="14" t="n"/>
      <c r="I205" s="12" t="n"/>
      <c r="J205" s="14" t="n"/>
      <c r="K205" s="12" t="n"/>
      <c r="L205" s="13">
        <f>IF($K205="","",IFERROR(INDEX(Dept_Names,MATCH($K205,Dept_Codes,0)),"NOT FOUND"))</f>
        <v/>
      </c>
      <c r="M205" s="12" t="n"/>
      <c r="N205" s="13">
        <f>IF($M205="","",IFERROR(INDEX(Desig_Names,MATCH($M205,Desig_Codes,0)),"NOT FOUND"))</f>
        <v/>
      </c>
      <c r="O205" s="13">
        <f>IF($M205="","",IFERROR(INDEX(Desig_Levels,MATCH($M205,Desig_Codes,0)),""))</f>
        <v/>
      </c>
      <c r="P205" s="12" t="n"/>
      <c r="Q205" s="12" t="n"/>
      <c r="R205" s="12" t="n"/>
      <c r="S205" s="13">
        <f>IF($R205="","",IFERROR(INDEX(Emp_Names,MATCH($R205,Emp_Codes,0)),"NOT FOUND"))</f>
        <v/>
      </c>
      <c r="T205" s="12" t="n"/>
      <c r="U205" s="12" t="n"/>
      <c r="V205" s="12" t="n"/>
    </row>
    <row r="206">
      <c r="A206" s="12" t="n"/>
      <c r="B206" s="12" t="n"/>
      <c r="C206" s="12" t="n"/>
      <c r="D206" s="13">
        <f>IF($A206="","",TRIM($B206&amp;" "&amp;$C206))</f>
        <v/>
      </c>
      <c r="E206" s="12" t="n"/>
      <c r="F206" s="12" t="n"/>
      <c r="G206" s="14" t="n"/>
      <c r="H206" s="14" t="n"/>
      <c r="I206" s="12" t="n"/>
      <c r="J206" s="14" t="n"/>
      <c r="K206" s="12" t="n"/>
      <c r="L206" s="13">
        <f>IF($K206="","",IFERROR(INDEX(Dept_Names,MATCH($K206,Dept_Codes,0)),"NOT FOUND"))</f>
        <v/>
      </c>
      <c r="M206" s="12" t="n"/>
      <c r="N206" s="13">
        <f>IF($M206="","",IFERROR(INDEX(Desig_Names,MATCH($M206,Desig_Codes,0)),"NOT FOUND"))</f>
        <v/>
      </c>
      <c r="O206" s="13">
        <f>IF($M206="","",IFERROR(INDEX(Desig_Levels,MATCH($M206,Desig_Codes,0)),""))</f>
        <v/>
      </c>
      <c r="P206" s="12" t="n"/>
      <c r="Q206" s="12" t="n"/>
      <c r="R206" s="12" t="n"/>
      <c r="S206" s="13">
        <f>IF($R206="","",IFERROR(INDEX(Emp_Names,MATCH($R206,Emp_Codes,0)),"NOT FOUND"))</f>
        <v/>
      </c>
      <c r="T206" s="12" t="n"/>
      <c r="U206" s="12" t="n"/>
      <c r="V206" s="12" t="n"/>
    </row>
    <row r="207">
      <c r="A207" s="12" t="n"/>
      <c r="B207" s="12" t="n"/>
      <c r="C207" s="12" t="n"/>
      <c r="D207" s="13">
        <f>IF($A207="","",TRIM($B207&amp;" "&amp;$C207))</f>
        <v/>
      </c>
      <c r="E207" s="12" t="n"/>
      <c r="F207" s="12" t="n"/>
      <c r="G207" s="14" t="n"/>
      <c r="H207" s="14" t="n"/>
      <c r="I207" s="12" t="n"/>
      <c r="J207" s="14" t="n"/>
      <c r="K207" s="12" t="n"/>
      <c r="L207" s="13">
        <f>IF($K207="","",IFERROR(INDEX(Dept_Names,MATCH($K207,Dept_Codes,0)),"NOT FOUND"))</f>
        <v/>
      </c>
      <c r="M207" s="12" t="n"/>
      <c r="N207" s="13">
        <f>IF($M207="","",IFERROR(INDEX(Desig_Names,MATCH($M207,Desig_Codes,0)),"NOT FOUND"))</f>
        <v/>
      </c>
      <c r="O207" s="13">
        <f>IF($M207="","",IFERROR(INDEX(Desig_Levels,MATCH($M207,Desig_Codes,0)),""))</f>
        <v/>
      </c>
      <c r="P207" s="12" t="n"/>
      <c r="Q207" s="12" t="n"/>
      <c r="R207" s="12" t="n"/>
      <c r="S207" s="13">
        <f>IF($R207="","",IFERROR(INDEX(Emp_Names,MATCH($R207,Emp_Codes,0)),"NOT FOUND"))</f>
        <v/>
      </c>
      <c r="T207" s="12" t="n"/>
      <c r="U207" s="12" t="n"/>
      <c r="V207" s="12" t="n"/>
    </row>
    <row r="208">
      <c r="A208" s="12" t="n"/>
      <c r="B208" s="12" t="n"/>
      <c r="C208" s="12" t="n"/>
      <c r="D208" s="13">
        <f>IF($A208="","",TRIM($B208&amp;" "&amp;$C208))</f>
        <v/>
      </c>
      <c r="E208" s="12" t="n"/>
      <c r="F208" s="12" t="n"/>
      <c r="G208" s="14" t="n"/>
      <c r="H208" s="14" t="n"/>
      <c r="I208" s="12" t="n"/>
      <c r="J208" s="14" t="n"/>
      <c r="K208" s="12" t="n"/>
      <c r="L208" s="13">
        <f>IF($K208="","",IFERROR(INDEX(Dept_Names,MATCH($K208,Dept_Codes,0)),"NOT FOUND"))</f>
        <v/>
      </c>
      <c r="M208" s="12" t="n"/>
      <c r="N208" s="13">
        <f>IF($M208="","",IFERROR(INDEX(Desig_Names,MATCH($M208,Desig_Codes,0)),"NOT FOUND"))</f>
        <v/>
      </c>
      <c r="O208" s="13">
        <f>IF($M208="","",IFERROR(INDEX(Desig_Levels,MATCH($M208,Desig_Codes,0)),""))</f>
        <v/>
      </c>
      <c r="P208" s="12" t="n"/>
      <c r="Q208" s="12" t="n"/>
      <c r="R208" s="12" t="n"/>
      <c r="S208" s="13">
        <f>IF($R208="","",IFERROR(INDEX(Emp_Names,MATCH($R208,Emp_Codes,0)),"NOT FOUND"))</f>
        <v/>
      </c>
      <c r="T208" s="12" t="n"/>
      <c r="U208" s="12" t="n"/>
      <c r="V208" s="12" t="n"/>
    </row>
    <row r="209">
      <c r="A209" s="12" t="n"/>
      <c r="B209" s="12" t="n"/>
      <c r="C209" s="12" t="n"/>
      <c r="D209" s="13">
        <f>IF($A209="","",TRIM($B209&amp;" "&amp;$C209))</f>
        <v/>
      </c>
      <c r="E209" s="12" t="n"/>
      <c r="F209" s="12" t="n"/>
      <c r="G209" s="14" t="n"/>
      <c r="H209" s="14" t="n"/>
      <c r="I209" s="12" t="n"/>
      <c r="J209" s="14" t="n"/>
      <c r="K209" s="12" t="n"/>
      <c r="L209" s="13">
        <f>IF($K209="","",IFERROR(INDEX(Dept_Names,MATCH($K209,Dept_Codes,0)),"NOT FOUND"))</f>
        <v/>
      </c>
      <c r="M209" s="12" t="n"/>
      <c r="N209" s="13">
        <f>IF($M209="","",IFERROR(INDEX(Desig_Names,MATCH($M209,Desig_Codes,0)),"NOT FOUND"))</f>
        <v/>
      </c>
      <c r="O209" s="13">
        <f>IF($M209="","",IFERROR(INDEX(Desig_Levels,MATCH($M209,Desig_Codes,0)),""))</f>
        <v/>
      </c>
      <c r="P209" s="12" t="n"/>
      <c r="Q209" s="12" t="n"/>
      <c r="R209" s="12" t="n"/>
      <c r="S209" s="13">
        <f>IF($R209="","",IFERROR(INDEX(Emp_Names,MATCH($R209,Emp_Codes,0)),"NOT FOUND"))</f>
        <v/>
      </c>
      <c r="T209" s="12" t="n"/>
      <c r="U209" s="12" t="n"/>
      <c r="V209" s="12" t="n"/>
    </row>
    <row r="210">
      <c r="A210" s="12" t="n"/>
      <c r="B210" s="12" t="n"/>
      <c r="C210" s="12" t="n"/>
      <c r="D210" s="13">
        <f>IF($A210="","",TRIM($B210&amp;" "&amp;$C210))</f>
        <v/>
      </c>
      <c r="E210" s="12" t="n"/>
      <c r="F210" s="12" t="n"/>
      <c r="G210" s="14" t="n"/>
      <c r="H210" s="14" t="n"/>
      <c r="I210" s="12" t="n"/>
      <c r="J210" s="14" t="n"/>
      <c r="K210" s="12" t="n"/>
      <c r="L210" s="13">
        <f>IF($K210="","",IFERROR(INDEX(Dept_Names,MATCH($K210,Dept_Codes,0)),"NOT FOUND"))</f>
        <v/>
      </c>
      <c r="M210" s="12" t="n"/>
      <c r="N210" s="13">
        <f>IF($M210="","",IFERROR(INDEX(Desig_Names,MATCH($M210,Desig_Codes,0)),"NOT FOUND"))</f>
        <v/>
      </c>
      <c r="O210" s="13">
        <f>IF($M210="","",IFERROR(INDEX(Desig_Levels,MATCH($M210,Desig_Codes,0)),""))</f>
        <v/>
      </c>
      <c r="P210" s="12" t="n"/>
      <c r="Q210" s="12" t="n"/>
      <c r="R210" s="12" t="n"/>
      <c r="S210" s="13">
        <f>IF($R210="","",IFERROR(INDEX(Emp_Names,MATCH($R210,Emp_Codes,0)),"NOT FOUND"))</f>
        <v/>
      </c>
      <c r="T210" s="12" t="n"/>
      <c r="U210" s="12" t="n"/>
      <c r="V210" s="12" t="n"/>
    </row>
    <row r="211">
      <c r="A211" s="12" t="n"/>
      <c r="B211" s="12" t="n"/>
      <c r="C211" s="12" t="n"/>
      <c r="D211" s="13">
        <f>IF($A211="","",TRIM($B211&amp;" "&amp;$C211))</f>
        <v/>
      </c>
      <c r="E211" s="12" t="n"/>
      <c r="F211" s="12" t="n"/>
      <c r="G211" s="14" t="n"/>
      <c r="H211" s="14" t="n"/>
      <c r="I211" s="12" t="n"/>
      <c r="J211" s="14" t="n"/>
      <c r="K211" s="12" t="n"/>
      <c r="L211" s="13">
        <f>IF($K211="","",IFERROR(INDEX(Dept_Names,MATCH($K211,Dept_Codes,0)),"NOT FOUND"))</f>
        <v/>
      </c>
      <c r="M211" s="12" t="n"/>
      <c r="N211" s="13">
        <f>IF($M211="","",IFERROR(INDEX(Desig_Names,MATCH($M211,Desig_Codes,0)),"NOT FOUND"))</f>
        <v/>
      </c>
      <c r="O211" s="13">
        <f>IF($M211="","",IFERROR(INDEX(Desig_Levels,MATCH($M211,Desig_Codes,0)),""))</f>
        <v/>
      </c>
      <c r="P211" s="12" t="n"/>
      <c r="Q211" s="12" t="n"/>
      <c r="R211" s="12" t="n"/>
      <c r="S211" s="13">
        <f>IF($R211="","",IFERROR(INDEX(Emp_Names,MATCH($R211,Emp_Codes,0)),"NOT FOUND"))</f>
        <v/>
      </c>
      <c r="T211" s="12" t="n"/>
      <c r="U211" s="12" t="n"/>
      <c r="V211" s="12" t="n"/>
    </row>
    <row r="212">
      <c r="A212" s="12" t="n"/>
      <c r="B212" s="12" t="n"/>
      <c r="C212" s="12" t="n"/>
      <c r="D212" s="13">
        <f>IF($A212="","",TRIM($B212&amp;" "&amp;$C212))</f>
        <v/>
      </c>
      <c r="E212" s="12" t="n"/>
      <c r="F212" s="12" t="n"/>
      <c r="G212" s="14" t="n"/>
      <c r="H212" s="14" t="n"/>
      <c r="I212" s="12" t="n"/>
      <c r="J212" s="14" t="n"/>
      <c r="K212" s="12" t="n"/>
      <c r="L212" s="13">
        <f>IF($K212="","",IFERROR(INDEX(Dept_Names,MATCH($K212,Dept_Codes,0)),"NOT FOUND"))</f>
        <v/>
      </c>
      <c r="M212" s="12" t="n"/>
      <c r="N212" s="13">
        <f>IF($M212="","",IFERROR(INDEX(Desig_Names,MATCH($M212,Desig_Codes,0)),"NOT FOUND"))</f>
        <v/>
      </c>
      <c r="O212" s="13">
        <f>IF($M212="","",IFERROR(INDEX(Desig_Levels,MATCH($M212,Desig_Codes,0)),""))</f>
        <v/>
      </c>
      <c r="P212" s="12" t="n"/>
      <c r="Q212" s="12" t="n"/>
      <c r="R212" s="12" t="n"/>
      <c r="S212" s="13">
        <f>IF($R212="","",IFERROR(INDEX(Emp_Names,MATCH($R212,Emp_Codes,0)),"NOT FOUND"))</f>
        <v/>
      </c>
      <c r="T212" s="12" t="n"/>
      <c r="U212" s="12" t="n"/>
      <c r="V212" s="12" t="n"/>
    </row>
    <row r="213">
      <c r="A213" s="12" t="n"/>
      <c r="B213" s="12" t="n"/>
      <c r="C213" s="12" t="n"/>
      <c r="D213" s="13">
        <f>IF($A213="","",TRIM($B213&amp;" "&amp;$C213))</f>
        <v/>
      </c>
      <c r="E213" s="12" t="n"/>
      <c r="F213" s="12" t="n"/>
      <c r="G213" s="14" t="n"/>
      <c r="H213" s="14" t="n"/>
      <c r="I213" s="12" t="n"/>
      <c r="J213" s="14" t="n"/>
      <c r="K213" s="12" t="n"/>
      <c r="L213" s="13">
        <f>IF($K213="","",IFERROR(INDEX(Dept_Names,MATCH($K213,Dept_Codes,0)),"NOT FOUND"))</f>
        <v/>
      </c>
      <c r="M213" s="12" t="n"/>
      <c r="N213" s="13">
        <f>IF($M213="","",IFERROR(INDEX(Desig_Names,MATCH($M213,Desig_Codes,0)),"NOT FOUND"))</f>
        <v/>
      </c>
      <c r="O213" s="13">
        <f>IF($M213="","",IFERROR(INDEX(Desig_Levels,MATCH($M213,Desig_Codes,0)),""))</f>
        <v/>
      </c>
      <c r="P213" s="12" t="n"/>
      <c r="Q213" s="12" t="n"/>
      <c r="R213" s="12" t="n"/>
      <c r="S213" s="13">
        <f>IF($R213="","",IFERROR(INDEX(Emp_Names,MATCH($R213,Emp_Codes,0)),"NOT FOUND"))</f>
        <v/>
      </c>
      <c r="T213" s="12" t="n"/>
      <c r="U213" s="12" t="n"/>
      <c r="V213" s="12" t="n"/>
    </row>
    <row r="214">
      <c r="A214" s="12" t="n"/>
      <c r="B214" s="12" t="n"/>
      <c r="C214" s="12" t="n"/>
      <c r="D214" s="13">
        <f>IF($A214="","",TRIM($B214&amp;" "&amp;$C214))</f>
        <v/>
      </c>
      <c r="E214" s="12" t="n"/>
      <c r="F214" s="12" t="n"/>
      <c r="G214" s="14" t="n"/>
      <c r="H214" s="14" t="n"/>
      <c r="I214" s="12" t="n"/>
      <c r="J214" s="14" t="n"/>
      <c r="K214" s="12" t="n"/>
      <c r="L214" s="13">
        <f>IF($K214="","",IFERROR(INDEX(Dept_Names,MATCH($K214,Dept_Codes,0)),"NOT FOUND"))</f>
        <v/>
      </c>
      <c r="M214" s="12" t="n"/>
      <c r="N214" s="13">
        <f>IF($M214="","",IFERROR(INDEX(Desig_Names,MATCH($M214,Desig_Codes,0)),"NOT FOUND"))</f>
        <v/>
      </c>
      <c r="O214" s="13">
        <f>IF($M214="","",IFERROR(INDEX(Desig_Levels,MATCH($M214,Desig_Codes,0)),""))</f>
        <v/>
      </c>
      <c r="P214" s="12" t="n"/>
      <c r="Q214" s="12" t="n"/>
      <c r="R214" s="12" t="n"/>
      <c r="S214" s="13">
        <f>IF($R214="","",IFERROR(INDEX(Emp_Names,MATCH($R214,Emp_Codes,0)),"NOT FOUND"))</f>
        <v/>
      </c>
      <c r="T214" s="12" t="n"/>
      <c r="U214" s="12" t="n"/>
      <c r="V214" s="12" t="n"/>
    </row>
    <row r="215">
      <c r="A215" s="12" t="n"/>
      <c r="B215" s="12" t="n"/>
      <c r="C215" s="12" t="n"/>
      <c r="D215" s="13">
        <f>IF($A215="","",TRIM($B215&amp;" "&amp;$C215))</f>
        <v/>
      </c>
      <c r="E215" s="12" t="n"/>
      <c r="F215" s="12" t="n"/>
      <c r="G215" s="14" t="n"/>
      <c r="H215" s="14" t="n"/>
      <c r="I215" s="12" t="n"/>
      <c r="J215" s="14" t="n"/>
      <c r="K215" s="12" t="n"/>
      <c r="L215" s="13">
        <f>IF($K215="","",IFERROR(INDEX(Dept_Names,MATCH($K215,Dept_Codes,0)),"NOT FOUND"))</f>
        <v/>
      </c>
      <c r="M215" s="12" t="n"/>
      <c r="N215" s="13">
        <f>IF($M215="","",IFERROR(INDEX(Desig_Names,MATCH($M215,Desig_Codes,0)),"NOT FOUND"))</f>
        <v/>
      </c>
      <c r="O215" s="13">
        <f>IF($M215="","",IFERROR(INDEX(Desig_Levels,MATCH($M215,Desig_Codes,0)),""))</f>
        <v/>
      </c>
      <c r="P215" s="12" t="n"/>
      <c r="Q215" s="12" t="n"/>
      <c r="R215" s="12" t="n"/>
      <c r="S215" s="13">
        <f>IF($R215="","",IFERROR(INDEX(Emp_Names,MATCH($R215,Emp_Codes,0)),"NOT FOUND"))</f>
        <v/>
      </c>
      <c r="T215" s="12" t="n"/>
      <c r="U215" s="12" t="n"/>
      <c r="V215" s="12" t="n"/>
    </row>
    <row r="216">
      <c r="A216" s="12" t="n"/>
      <c r="B216" s="12" t="n"/>
      <c r="C216" s="12" t="n"/>
      <c r="D216" s="13">
        <f>IF($A216="","",TRIM($B216&amp;" "&amp;$C216))</f>
        <v/>
      </c>
      <c r="E216" s="12" t="n"/>
      <c r="F216" s="12" t="n"/>
      <c r="G216" s="14" t="n"/>
      <c r="H216" s="14" t="n"/>
      <c r="I216" s="12" t="n"/>
      <c r="J216" s="14" t="n"/>
      <c r="K216" s="12" t="n"/>
      <c r="L216" s="13">
        <f>IF($K216="","",IFERROR(INDEX(Dept_Names,MATCH($K216,Dept_Codes,0)),"NOT FOUND"))</f>
        <v/>
      </c>
      <c r="M216" s="12" t="n"/>
      <c r="N216" s="13">
        <f>IF($M216="","",IFERROR(INDEX(Desig_Names,MATCH($M216,Desig_Codes,0)),"NOT FOUND"))</f>
        <v/>
      </c>
      <c r="O216" s="13">
        <f>IF($M216="","",IFERROR(INDEX(Desig_Levels,MATCH($M216,Desig_Codes,0)),""))</f>
        <v/>
      </c>
      <c r="P216" s="12" t="n"/>
      <c r="Q216" s="12" t="n"/>
      <c r="R216" s="12" t="n"/>
      <c r="S216" s="13">
        <f>IF($R216="","",IFERROR(INDEX(Emp_Names,MATCH($R216,Emp_Codes,0)),"NOT FOUND"))</f>
        <v/>
      </c>
      <c r="T216" s="12" t="n"/>
      <c r="U216" s="12" t="n"/>
      <c r="V216" s="12" t="n"/>
    </row>
    <row r="217">
      <c r="A217" s="12" t="n"/>
      <c r="B217" s="12" t="n"/>
      <c r="C217" s="12" t="n"/>
      <c r="D217" s="13">
        <f>IF($A217="","",TRIM($B217&amp;" "&amp;$C217))</f>
        <v/>
      </c>
      <c r="E217" s="12" t="n"/>
      <c r="F217" s="12" t="n"/>
      <c r="G217" s="14" t="n"/>
      <c r="H217" s="14" t="n"/>
      <c r="I217" s="12" t="n"/>
      <c r="J217" s="14" t="n"/>
      <c r="K217" s="12" t="n"/>
      <c r="L217" s="13">
        <f>IF($K217="","",IFERROR(INDEX(Dept_Names,MATCH($K217,Dept_Codes,0)),"NOT FOUND"))</f>
        <v/>
      </c>
      <c r="M217" s="12" t="n"/>
      <c r="N217" s="13">
        <f>IF($M217="","",IFERROR(INDEX(Desig_Names,MATCH($M217,Desig_Codes,0)),"NOT FOUND"))</f>
        <v/>
      </c>
      <c r="O217" s="13">
        <f>IF($M217="","",IFERROR(INDEX(Desig_Levels,MATCH($M217,Desig_Codes,0)),""))</f>
        <v/>
      </c>
      <c r="P217" s="12" t="n"/>
      <c r="Q217" s="12" t="n"/>
      <c r="R217" s="12" t="n"/>
      <c r="S217" s="13">
        <f>IF($R217="","",IFERROR(INDEX(Emp_Names,MATCH($R217,Emp_Codes,0)),"NOT FOUND"))</f>
        <v/>
      </c>
      <c r="T217" s="12" t="n"/>
      <c r="U217" s="12" t="n"/>
      <c r="V217" s="12" t="n"/>
    </row>
    <row r="218">
      <c r="A218" s="12" t="n"/>
      <c r="B218" s="12" t="n"/>
      <c r="C218" s="12" t="n"/>
      <c r="D218" s="13">
        <f>IF($A218="","",TRIM($B218&amp;" "&amp;$C218))</f>
        <v/>
      </c>
      <c r="E218" s="12" t="n"/>
      <c r="F218" s="12" t="n"/>
      <c r="G218" s="14" t="n"/>
      <c r="H218" s="14" t="n"/>
      <c r="I218" s="12" t="n"/>
      <c r="J218" s="14" t="n"/>
      <c r="K218" s="12" t="n"/>
      <c r="L218" s="13">
        <f>IF($K218="","",IFERROR(INDEX(Dept_Names,MATCH($K218,Dept_Codes,0)),"NOT FOUND"))</f>
        <v/>
      </c>
      <c r="M218" s="12" t="n"/>
      <c r="N218" s="13">
        <f>IF($M218="","",IFERROR(INDEX(Desig_Names,MATCH($M218,Desig_Codes,0)),"NOT FOUND"))</f>
        <v/>
      </c>
      <c r="O218" s="13">
        <f>IF($M218="","",IFERROR(INDEX(Desig_Levels,MATCH($M218,Desig_Codes,0)),""))</f>
        <v/>
      </c>
      <c r="P218" s="12" t="n"/>
      <c r="Q218" s="12" t="n"/>
      <c r="R218" s="12" t="n"/>
      <c r="S218" s="13">
        <f>IF($R218="","",IFERROR(INDEX(Emp_Names,MATCH($R218,Emp_Codes,0)),"NOT FOUND"))</f>
        <v/>
      </c>
      <c r="T218" s="12" t="n"/>
      <c r="U218" s="12" t="n"/>
      <c r="V218" s="12" t="n"/>
    </row>
    <row r="219">
      <c r="A219" s="12" t="n"/>
      <c r="B219" s="12" t="n"/>
      <c r="C219" s="12" t="n"/>
      <c r="D219" s="13">
        <f>IF($A219="","",TRIM($B219&amp;" "&amp;$C219))</f>
        <v/>
      </c>
      <c r="E219" s="12" t="n"/>
      <c r="F219" s="12" t="n"/>
      <c r="G219" s="14" t="n"/>
      <c r="H219" s="14" t="n"/>
      <c r="I219" s="12" t="n"/>
      <c r="J219" s="14" t="n"/>
      <c r="K219" s="12" t="n"/>
      <c r="L219" s="13">
        <f>IF($K219="","",IFERROR(INDEX(Dept_Names,MATCH($K219,Dept_Codes,0)),"NOT FOUND"))</f>
        <v/>
      </c>
      <c r="M219" s="12" t="n"/>
      <c r="N219" s="13">
        <f>IF($M219="","",IFERROR(INDEX(Desig_Names,MATCH($M219,Desig_Codes,0)),"NOT FOUND"))</f>
        <v/>
      </c>
      <c r="O219" s="13">
        <f>IF($M219="","",IFERROR(INDEX(Desig_Levels,MATCH($M219,Desig_Codes,0)),""))</f>
        <v/>
      </c>
      <c r="P219" s="12" t="n"/>
      <c r="Q219" s="12" t="n"/>
      <c r="R219" s="12" t="n"/>
      <c r="S219" s="13">
        <f>IF($R219="","",IFERROR(INDEX(Emp_Names,MATCH($R219,Emp_Codes,0)),"NOT FOUND"))</f>
        <v/>
      </c>
      <c r="T219" s="12" t="n"/>
      <c r="U219" s="12" t="n"/>
      <c r="V219" s="12" t="n"/>
    </row>
    <row r="220">
      <c r="A220" s="12" t="n"/>
      <c r="B220" s="12" t="n"/>
      <c r="C220" s="12" t="n"/>
      <c r="D220" s="13">
        <f>IF($A220="","",TRIM($B220&amp;" "&amp;$C220))</f>
        <v/>
      </c>
      <c r="E220" s="12" t="n"/>
      <c r="F220" s="12" t="n"/>
      <c r="G220" s="14" t="n"/>
      <c r="H220" s="14" t="n"/>
      <c r="I220" s="12" t="n"/>
      <c r="J220" s="14" t="n"/>
      <c r="K220" s="12" t="n"/>
      <c r="L220" s="13">
        <f>IF($K220="","",IFERROR(INDEX(Dept_Names,MATCH($K220,Dept_Codes,0)),"NOT FOUND"))</f>
        <v/>
      </c>
      <c r="M220" s="12" t="n"/>
      <c r="N220" s="13">
        <f>IF($M220="","",IFERROR(INDEX(Desig_Names,MATCH($M220,Desig_Codes,0)),"NOT FOUND"))</f>
        <v/>
      </c>
      <c r="O220" s="13">
        <f>IF($M220="","",IFERROR(INDEX(Desig_Levels,MATCH($M220,Desig_Codes,0)),""))</f>
        <v/>
      </c>
      <c r="P220" s="12" t="n"/>
      <c r="Q220" s="12" t="n"/>
      <c r="R220" s="12" t="n"/>
      <c r="S220" s="13">
        <f>IF($R220="","",IFERROR(INDEX(Emp_Names,MATCH($R220,Emp_Codes,0)),"NOT FOUND"))</f>
        <v/>
      </c>
      <c r="T220" s="12" t="n"/>
      <c r="U220" s="12" t="n"/>
      <c r="V220" s="12" t="n"/>
    </row>
    <row r="221">
      <c r="A221" s="12" t="n"/>
      <c r="B221" s="12" t="n"/>
      <c r="C221" s="12" t="n"/>
      <c r="D221" s="13">
        <f>IF($A221="","",TRIM($B221&amp;" "&amp;$C221))</f>
        <v/>
      </c>
      <c r="E221" s="12" t="n"/>
      <c r="F221" s="12" t="n"/>
      <c r="G221" s="14" t="n"/>
      <c r="H221" s="14" t="n"/>
      <c r="I221" s="12" t="n"/>
      <c r="J221" s="14" t="n"/>
      <c r="K221" s="12" t="n"/>
      <c r="L221" s="13">
        <f>IF($K221="","",IFERROR(INDEX(Dept_Names,MATCH($K221,Dept_Codes,0)),"NOT FOUND"))</f>
        <v/>
      </c>
      <c r="M221" s="12" t="n"/>
      <c r="N221" s="13">
        <f>IF($M221="","",IFERROR(INDEX(Desig_Names,MATCH($M221,Desig_Codes,0)),"NOT FOUND"))</f>
        <v/>
      </c>
      <c r="O221" s="13">
        <f>IF($M221="","",IFERROR(INDEX(Desig_Levels,MATCH($M221,Desig_Codes,0)),""))</f>
        <v/>
      </c>
      <c r="P221" s="12" t="n"/>
      <c r="Q221" s="12" t="n"/>
      <c r="R221" s="12" t="n"/>
      <c r="S221" s="13">
        <f>IF($R221="","",IFERROR(INDEX(Emp_Names,MATCH($R221,Emp_Codes,0)),"NOT FOUND"))</f>
        <v/>
      </c>
      <c r="T221" s="12" t="n"/>
      <c r="U221" s="12" t="n"/>
      <c r="V221" s="12" t="n"/>
    </row>
    <row r="222">
      <c r="A222" s="12" t="n"/>
      <c r="B222" s="12" t="n"/>
      <c r="C222" s="12" t="n"/>
      <c r="D222" s="13">
        <f>IF($A222="","",TRIM($B222&amp;" "&amp;$C222))</f>
        <v/>
      </c>
      <c r="E222" s="12" t="n"/>
      <c r="F222" s="12" t="n"/>
      <c r="G222" s="14" t="n"/>
      <c r="H222" s="14" t="n"/>
      <c r="I222" s="12" t="n"/>
      <c r="J222" s="14" t="n"/>
      <c r="K222" s="12" t="n"/>
      <c r="L222" s="13">
        <f>IF($K222="","",IFERROR(INDEX(Dept_Names,MATCH($K222,Dept_Codes,0)),"NOT FOUND"))</f>
        <v/>
      </c>
      <c r="M222" s="12" t="n"/>
      <c r="N222" s="13">
        <f>IF($M222="","",IFERROR(INDEX(Desig_Names,MATCH($M222,Desig_Codes,0)),"NOT FOUND"))</f>
        <v/>
      </c>
      <c r="O222" s="13">
        <f>IF($M222="","",IFERROR(INDEX(Desig_Levels,MATCH($M222,Desig_Codes,0)),""))</f>
        <v/>
      </c>
      <c r="P222" s="12" t="n"/>
      <c r="Q222" s="12" t="n"/>
      <c r="R222" s="12" t="n"/>
      <c r="S222" s="13">
        <f>IF($R222="","",IFERROR(INDEX(Emp_Names,MATCH($R222,Emp_Codes,0)),"NOT FOUND"))</f>
        <v/>
      </c>
      <c r="T222" s="12" t="n"/>
      <c r="U222" s="12" t="n"/>
      <c r="V222" s="12" t="n"/>
    </row>
    <row r="223">
      <c r="A223" s="12" t="n"/>
      <c r="B223" s="12" t="n"/>
      <c r="C223" s="12" t="n"/>
      <c r="D223" s="13">
        <f>IF($A223="","",TRIM($B223&amp;" "&amp;$C223))</f>
        <v/>
      </c>
      <c r="E223" s="12" t="n"/>
      <c r="F223" s="12" t="n"/>
      <c r="G223" s="14" t="n"/>
      <c r="H223" s="14" t="n"/>
      <c r="I223" s="12" t="n"/>
      <c r="J223" s="14" t="n"/>
      <c r="K223" s="12" t="n"/>
      <c r="L223" s="13">
        <f>IF($K223="","",IFERROR(INDEX(Dept_Names,MATCH($K223,Dept_Codes,0)),"NOT FOUND"))</f>
        <v/>
      </c>
      <c r="M223" s="12" t="n"/>
      <c r="N223" s="13">
        <f>IF($M223="","",IFERROR(INDEX(Desig_Names,MATCH($M223,Desig_Codes,0)),"NOT FOUND"))</f>
        <v/>
      </c>
      <c r="O223" s="13">
        <f>IF($M223="","",IFERROR(INDEX(Desig_Levels,MATCH($M223,Desig_Codes,0)),""))</f>
        <v/>
      </c>
      <c r="P223" s="12" t="n"/>
      <c r="Q223" s="12" t="n"/>
      <c r="R223" s="12" t="n"/>
      <c r="S223" s="13">
        <f>IF($R223="","",IFERROR(INDEX(Emp_Names,MATCH($R223,Emp_Codes,0)),"NOT FOUND"))</f>
        <v/>
      </c>
      <c r="T223" s="12" t="n"/>
      <c r="U223" s="12" t="n"/>
      <c r="V223" s="12" t="n"/>
    </row>
    <row r="224">
      <c r="A224" s="12" t="n"/>
      <c r="B224" s="12" t="n"/>
      <c r="C224" s="12" t="n"/>
      <c r="D224" s="13">
        <f>IF($A224="","",TRIM($B224&amp;" "&amp;$C224))</f>
        <v/>
      </c>
      <c r="E224" s="12" t="n"/>
      <c r="F224" s="12" t="n"/>
      <c r="G224" s="14" t="n"/>
      <c r="H224" s="14" t="n"/>
      <c r="I224" s="12" t="n"/>
      <c r="J224" s="14" t="n"/>
      <c r="K224" s="12" t="n"/>
      <c r="L224" s="13">
        <f>IF($K224="","",IFERROR(INDEX(Dept_Names,MATCH($K224,Dept_Codes,0)),"NOT FOUND"))</f>
        <v/>
      </c>
      <c r="M224" s="12" t="n"/>
      <c r="N224" s="13">
        <f>IF($M224="","",IFERROR(INDEX(Desig_Names,MATCH($M224,Desig_Codes,0)),"NOT FOUND"))</f>
        <v/>
      </c>
      <c r="O224" s="13">
        <f>IF($M224="","",IFERROR(INDEX(Desig_Levels,MATCH($M224,Desig_Codes,0)),""))</f>
        <v/>
      </c>
      <c r="P224" s="12" t="n"/>
      <c r="Q224" s="12" t="n"/>
      <c r="R224" s="12" t="n"/>
      <c r="S224" s="13">
        <f>IF($R224="","",IFERROR(INDEX(Emp_Names,MATCH($R224,Emp_Codes,0)),"NOT FOUND"))</f>
        <v/>
      </c>
      <c r="T224" s="12" t="n"/>
      <c r="U224" s="12" t="n"/>
      <c r="V224" s="12" t="n"/>
    </row>
    <row r="225">
      <c r="A225" s="12" t="n"/>
      <c r="B225" s="12" t="n"/>
      <c r="C225" s="12" t="n"/>
      <c r="D225" s="13">
        <f>IF($A225="","",TRIM($B225&amp;" "&amp;$C225))</f>
        <v/>
      </c>
      <c r="E225" s="12" t="n"/>
      <c r="F225" s="12" t="n"/>
      <c r="G225" s="14" t="n"/>
      <c r="H225" s="14" t="n"/>
      <c r="I225" s="12" t="n"/>
      <c r="J225" s="14" t="n"/>
      <c r="K225" s="12" t="n"/>
      <c r="L225" s="13">
        <f>IF($K225="","",IFERROR(INDEX(Dept_Names,MATCH($K225,Dept_Codes,0)),"NOT FOUND"))</f>
        <v/>
      </c>
      <c r="M225" s="12" t="n"/>
      <c r="N225" s="13">
        <f>IF($M225="","",IFERROR(INDEX(Desig_Names,MATCH($M225,Desig_Codes,0)),"NOT FOUND"))</f>
        <v/>
      </c>
      <c r="O225" s="13">
        <f>IF($M225="","",IFERROR(INDEX(Desig_Levels,MATCH($M225,Desig_Codes,0)),""))</f>
        <v/>
      </c>
      <c r="P225" s="12" t="n"/>
      <c r="Q225" s="12" t="n"/>
      <c r="R225" s="12" t="n"/>
      <c r="S225" s="13">
        <f>IF($R225="","",IFERROR(INDEX(Emp_Names,MATCH($R225,Emp_Codes,0)),"NOT FOUND"))</f>
        <v/>
      </c>
      <c r="T225" s="12" t="n"/>
      <c r="U225" s="12" t="n"/>
      <c r="V225" s="12" t="n"/>
    </row>
    <row r="226">
      <c r="A226" s="12" t="n"/>
      <c r="B226" s="12" t="n"/>
      <c r="C226" s="12" t="n"/>
      <c r="D226" s="13">
        <f>IF($A226="","",TRIM($B226&amp;" "&amp;$C226))</f>
        <v/>
      </c>
      <c r="E226" s="12" t="n"/>
      <c r="F226" s="12" t="n"/>
      <c r="G226" s="14" t="n"/>
      <c r="H226" s="14" t="n"/>
      <c r="I226" s="12" t="n"/>
      <c r="J226" s="14" t="n"/>
      <c r="K226" s="12" t="n"/>
      <c r="L226" s="13">
        <f>IF($K226="","",IFERROR(INDEX(Dept_Names,MATCH($K226,Dept_Codes,0)),"NOT FOUND"))</f>
        <v/>
      </c>
      <c r="M226" s="12" t="n"/>
      <c r="N226" s="13">
        <f>IF($M226="","",IFERROR(INDEX(Desig_Names,MATCH($M226,Desig_Codes,0)),"NOT FOUND"))</f>
        <v/>
      </c>
      <c r="O226" s="13">
        <f>IF($M226="","",IFERROR(INDEX(Desig_Levels,MATCH($M226,Desig_Codes,0)),""))</f>
        <v/>
      </c>
      <c r="P226" s="12" t="n"/>
      <c r="Q226" s="12" t="n"/>
      <c r="R226" s="12" t="n"/>
      <c r="S226" s="13">
        <f>IF($R226="","",IFERROR(INDEX(Emp_Names,MATCH($R226,Emp_Codes,0)),"NOT FOUND"))</f>
        <v/>
      </c>
      <c r="T226" s="12" t="n"/>
      <c r="U226" s="12" t="n"/>
      <c r="V226" s="12" t="n"/>
    </row>
    <row r="227">
      <c r="A227" s="12" t="n"/>
      <c r="B227" s="12" t="n"/>
      <c r="C227" s="12" t="n"/>
      <c r="D227" s="13">
        <f>IF($A227="","",TRIM($B227&amp;" "&amp;$C227))</f>
        <v/>
      </c>
      <c r="E227" s="12" t="n"/>
      <c r="F227" s="12" t="n"/>
      <c r="G227" s="14" t="n"/>
      <c r="H227" s="14" t="n"/>
      <c r="I227" s="12" t="n"/>
      <c r="J227" s="14" t="n"/>
      <c r="K227" s="12" t="n"/>
      <c r="L227" s="13">
        <f>IF($K227="","",IFERROR(INDEX(Dept_Names,MATCH($K227,Dept_Codes,0)),"NOT FOUND"))</f>
        <v/>
      </c>
      <c r="M227" s="12" t="n"/>
      <c r="N227" s="13">
        <f>IF($M227="","",IFERROR(INDEX(Desig_Names,MATCH($M227,Desig_Codes,0)),"NOT FOUND"))</f>
        <v/>
      </c>
      <c r="O227" s="13">
        <f>IF($M227="","",IFERROR(INDEX(Desig_Levels,MATCH($M227,Desig_Codes,0)),""))</f>
        <v/>
      </c>
      <c r="P227" s="12" t="n"/>
      <c r="Q227" s="12" t="n"/>
      <c r="R227" s="12" t="n"/>
      <c r="S227" s="13">
        <f>IF($R227="","",IFERROR(INDEX(Emp_Names,MATCH($R227,Emp_Codes,0)),"NOT FOUND"))</f>
        <v/>
      </c>
      <c r="T227" s="12" t="n"/>
      <c r="U227" s="12" t="n"/>
      <c r="V227" s="12" t="n"/>
    </row>
    <row r="228">
      <c r="A228" s="12" t="n"/>
      <c r="B228" s="12" t="n"/>
      <c r="C228" s="12" t="n"/>
      <c r="D228" s="13">
        <f>IF($A228="","",TRIM($B228&amp;" "&amp;$C228))</f>
        <v/>
      </c>
      <c r="E228" s="12" t="n"/>
      <c r="F228" s="12" t="n"/>
      <c r="G228" s="14" t="n"/>
      <c r="H228" s="14" t="n"/>
      <c r="I228" s="12" t="n"/>
      <c r="J228" s="14" t="n"/>
      <c r="K228" s="12" t="n"/>
      <c r="L228" s="13">
        <f>IF($K228="","",IFERROR(INDEX(Dept_Names,MATCH($K228,Dept_Codes,0)),"NOT FOUND"))</f>
        <v/>
      </c>
      <c r="M228" s="12" t="n"/>
      <c r="N228" s="13">
        <f>IF($M228="","",IFERROR(INDEX(Desig_Names,MATCH($M228,Desig_Codes,0)),"NOT FOUND"))</f>
        <v/>
      </c>
      <c r="O228" s="13">
        <f>IF($M228="","",IFERROR(INDEX(Desig_Levels,MATCH($M228,Desig_Codes,0)),""))</f>
        <v/>
      </c>
      <c r="P228" s="12" t="n"/>
      <c r="Q228" s="12" t="n"/>
      <c r="R228" s="12" t="n"/>
      <c r="S228" s="13">
        <f>IF($R228="","",IFERROR(INDEX(Emp_Names,MATCH($R228,Emp_Codes,0)),"NOT FOUND"))</f>
        <v/>
      </c>
      <c r="T228" s="12" t="n"/>
      <c r="U228" s="12" t="n"/>
      <c r="V228" s="12" t="n"/>
    </row>
    <row r="229">
      <c r="A229" s="12" t="n"/>
      <c r="B229" s="12" t="n"/>
      <c r="C229" s="12" t="n"/>
      <c r="D229" s="13">
        <f>IF($A229="","",TRIM($B229&amp;" "&amp;$C229))</f>
        <v/>
      </c>
      <c r="E229" s="12" t="n"/>
      <c r="F229" s="12" t="n"/>
      <c r="G229" s="14" t="n"/>
      <c r="H229" s="14" t="n"/>
      <c r="I229" s="12" t="n"/>
      <c r="J229" s="14" t="n"/>
      <c r="K229" s="12" t="n"/>
      <c r="L229" s="13">
        <f>IF($K229="","",IFERROR(INDEX(Dept_Names,MATCH($K229,Dept_Codes,0)),"NOT FOUND"))</f>
        <v/>
      </c>
      <c r="M229" s="12" t="n"/>
      <c r="N229" s="13">
        <f>IF($M229="","",IFERROR(INDEX(Desig_Names,MATCH($M229,Desig_Codes,0)),"NOT FOUND"))</f>
        <v/>
      </c>
      <c r="O229" s="13">
        <f>IF($M229="","",IFERROR(INDEX(Desig_Levels,MATCH($M229,Desig_Codes,0)),""))</f>
        <v/>
      </c>
      <c r="P229" s="12" t="n"/>
      <c r="Q229" s="12" t="n"/>
      <c r="R229" s="12" t="n"/>
      <c r="S229" s="13">
        <f>IF($R229="","",IFERROR(INDEX(Emp_Names,MATCH($R229,Emp_Codes,0)),"NOT FOUND"))</f>
        <v/>
      </c>
      <c r="T229" s="12" t="n"/>
      <c r="U229" s="12" t="n"/>
      <c r="V229" s="12" t="n"/>
    </row>
    <row r="230">
      <c r="A230" s="12" t="n"/>
      <c r="B230" s="12" t="n"/>
      <c r="C230" s="12" t="n"/>
      <c r="D230" s="13">
        <f>IF($A230="","",TRIM($B230&amp;" "&amp;$C230))</f>
        <v/>
      </c>
      <c r="E230" s="12" t="n"/>
      <c r="F230" s="12" t="n"/>
      <c r="G230" s="14" t="n"/>
      <c r="H230" s="14" t="n"/>
      <c r="I230" s="12" t="n"/>
      <c r="J230" s="14" t="n"/>
      <c r="K230" s="12" t="n"/>
      <c r="L230" s="13">
        <f>IF($K230="","",IFERROR(INDEX(Dept_Names,MATCH($K230,Dept_Codes,0)),"NOT FOUND"))</f>
        <v/>
      </c>
      <c r="M230" s="12" t="n"/>
      <c r="N230" s="13">
        <f>IF($M230="","",IFERROR(INDEX(Desig_Names,MATCH($M230,Desig_Codes,0)),"NOT FOUND"))</f>
        <v/>
      </c>
      <c r="O230" s="13">
        <f>IF($M230="","",IFERROR(INDEX(Desig_Levels,MATCH($M230,Desig_Codes,0)),""))</f>
        <v/>
      </c>
      <c r="P230" s="12" t="n"/>
      <c r="Q230" s="12" t="n"/>
      <c r="R230" s="12" t="n"/>
      <c r="S230" s="13">
        <f>IF($R230="","",IFERROR(INDEX(Emp_Names,MATCH($R230,Emp_Codes,0)),"NOT FOUND"))</f>
        <v/>
      </c>
      <c r="T230" s="12" t="n"/>
      <c r="U230" s="12" t="n"/>
      <c r="V230" s="12" t="n"/>
    </row>
    <row r="231">
      <c r="A231" s="12" t="n"/>
      <c r="B231" s="12" t="n"/>
      <c r="C231" s="12" t="n"/>
      <c r="D231" s="13">
        <f>IF($A231="","",TRIM($B231&amp;" "&amp;$C231))</f>
        <v/>
      </c>
      <c r="E231" s="12" t="n"/>
      <c r="F231" s="12" t="n"/>
      <c r="G231" s="14" t="n"/>
      <c r="H231" s="14" t="n"/>
      <c r="I231" s="12" t="n"/>
      <c r="J231" s="14" t="n"/>
      <c r="K231" s="12" t="n"/>
      <c r="L231" s="13">
        <f>IF($K231="","",IFERROR(INDEX(Dept_Names,MATCH($K231,Dept_Codes,0)),"NOT FOUND"))</f>
        <v/>
      </c>
      <c r="M231" s="12" t="n"/>
      <c r="N231" s="13">
        <f>IF($M231="","",IFERROR(INDEX(Desig_Names,MATCH($M231,Desig_Codes,0)),"NOT FOUND"))</f>
        <v/>
      </c>
      <c r="O231" s="13">
        <f>IF($M231="","",IFERROR(INDEX(Desig_Levels,MATCH($M231,Desig_Codes,0)),""))</f>
        <v/>
      </c>
      <c r="P231" s="12" t="n"/>
      <c r="Q231" s="12" t="n"/>
      <c r="R231" s="12" t="n"/>
      <c r="S231" s="13">
        <f>IF($R231="","",IFERROR(INDEX(Emp_Names,MATCH($R231,Emp_Codes,0)),"NOT FOUND"))</f>
        <v/>
      </c>
      <c r="T231" s="12" t="n"/>
      <c r="U231" s="12" t="n"/>
      <c r="V231" s="12" t="n"/>
    </row>
    <row r="232">
      <c r="A232" s="12" t="n"/>
      <c r="B232" s="12" t="n"/>
      <c r="C232" s="12" t="n"/>
      <c r="D232" s="13">
        <f>IF($A232="","",TRIM($B232&amp;" "&amp;$C232))</f>
        <v/>
      </c>
      <c r="E232" s="12" t="n"/>
      <c r="F232" s="12" t="n"/>
      <c r="G232" s="14" t="n"/>
      <c r="H232" s="14" t="n"/>
      <c r="I232" s="12" t="n"/>
      <c r="J232" s="14" t="n"/>
      <c r="K232" s="12" t="n"/>
      <c r="L232" s="13">
        <f>IF($K232="","",IFERROR(INDEX(Dept_Names,MATCH($K232,Dept_Codes,0)),"NOT FOUND"))</f>
        <v/>
      </c>
      <c r="M232" s="12" t="n"/>
      <c r="N232" s="13">
        <f>IF($M232="","",IFERROR(INDEX(Desig_Names,MATCH($M232,Desig_Codes,0)),"NOT FOUND"))</f>
        <v/>
      </c>
      <c r="O232" s="13">
        <f>IF($M232="","",IFERROR(INDEX(Desig_Levels,MATCH($M232,Desig_Codes,0)),""))</f>
        <v/>
      </c>
      <c r="P232" s="12" t="n"/>
      <c r="Q232" s="12" t="n"/>
      <c r="R232" s="12" t="n"/>
      <c r="S232" s="13">
        <f>IF($R232="","",IFERROR(INDEX(Emp_Names,MATCH($R232,Emp_Codes,0)),"NOT FOUND"))</f>
        <v/>
      </c>
      <c r="T232" s="12" t="n"/>
      <c r="U232" s="12" t="n"/>
      <c r="V232" s="12" t="n"/>
    </row>
    <row r="233">
      <c r="A233" s="12" t="n"/>
      <c r="B233" s="12" t="n"/>
      <c r="C233" s="12" t="n"/>
      <c r="D233" s="13">
        <f>IF($A233="","",TRIM($B233&amp;" "&amp;$C233))</f>
        <v/>
      </c>
      <c r="E233" s="12" t="n"/>
      <c r="F233" s="12" t="n"/>
      <c r="G233" s="14" t="n"/>
      <c r="H233" s="14" t="n"/>
      <c r="I233" s="12" t="n"/>
      <c r="J233" s="14" t="n"/>
      <c r="K233" s="12" t="n"/>
      <c r="L233" s="13">
        <f>IF($K233="","",IFERROR(INDEX(Dept_Names,MATCH($K233,Dept_Codes,0)),"NOT FOUND"))</f>
        <v/>
      </c>
      <c r="M233" s="12" t="n"/>
      <c r="N233" s="13">
        <f>IF($M233="","",IFERROR(INDEX(Desig_Names,MATCH($M233,Desig_Codes,0)),"NOT FOUND"))</f>
        <v/>
      </c>
      <c r="O233" s="13">
        <f>IF($M233="","",IFERROR(INDEX(Desig_Levels,MATCH($M233,Desig_Codes,0)),""))</f>
        <v/>
      </c>
      <c r="P233" s="12" t="n"/>
      <c r="Q233" s="12" t="n"/>
      <c r="R233" s="12" t="n"/>
      <c r="S233" s="13">
        <f>IF($R233="","",IFERROR(INDEX(Emp_Names,MATCH($R233,Emp_Codes,0)),"NOT FOUND"))</f>
        <v/>
      </c>
      <c r="T233" s="12" t="n"/>
      <c r="U233" s="12" t="n"/>
      <c r="V233" s="12" t="n"/>
    </row>
    <row r="234">
      <c r="A234" s="12" t="n"/>
      <c r="B234" s="12" t="n"/>
      <c r="C234" s="12" t="n"/>
      <c r="D234" s="13">
        <f>IF($A234="","",TRIM($B234&amp;" "&amp;$C234))</f>
        <v/>
      </c>
      <c r="E234" s="12" t="n"/>
      <c r="F234" s="12" t="n"/>
      <c r="G234" s="14" t="n"/>
      <c r="H234" s="14" t="n"/>
      <c r="I234" s="12" t="n"/>
      <c r="J234" s="14" t="n"/>
      <c r="K234" s="12" t="n"/>
      <c r="L234" s="13">
        <f>IF($K234="","",IFERROR(INDEX(Dept_Names,MATCH($K234,Dept_Codes,0)),"NOT FOUND"))</f>
        <v/>
      </c>
      <c r="M234" s="12" t="n"/>
      <c r="N234" s="13">
        <f>IF($M234="","",IFERROR(INDEX(Desig_Names,MATCH($M234,Desig_Codes,0)),"NOT FOUND"))</f>
        <v/>
      </c>
      <c r="O234" s="13">
        <f>IF($M234="","",IFERROR(INDEX(Desig_Levels,MATCH($M234,Desig_Codes,0)),""))</f>
        <v/>
      </c>
      <c r="P234" s="12" t="n"/>
      <c r="Q234" s="12" t="n"/>
      <c r="R234" s="12" t="n"/>
      <c r="S234" s="13">
        <f>IF($R234="","",IFERROR(INDEX(Emp_Names,MATCH($R234,Emp_Codes,0)),"NOT FOUND"))</f>
        <v/>
      </c>
      <c r="T234" s="12" t="n"/>
      <c r="U234" s="12" t="n"/>
      <c r="V234" s="12" t="n"/>
    </row>
    <row r="235">
      <c r="A235" s="12" t="n"/>
      <c r="B235" s="12" t="n"/>
      <c r="C235" s="12" t="n"/>
      <c r="D235" s="13">
        <f>IF($A235="","",TRIM($B235&amp;" "&amp;$C235))</f>
        <v/>
      </c>
      <c r="E235" s="12" t="n"/>
      <c r="F235" s="12" t="n"/>
      <c r="G235" s="14" t="n"/>
      <c r="H235" s="14" t="n"/>
      <c r="I235" s="12" t="n"/>
      <c r="J235" s="14" t="n"/>
      <c r="K235" s="12" t="n"/>
      <c r="L235" s="13">
        <f>IF($K235="","",IFERROR(INDEX(Dept_Names,MATCH($K235,Dept_Codes,0)),"NOT FOUND"))</f>
        <v/>
      </c>
      <c r="M235" s="12" t="n"/>
      <c r="N235" s="13">
        <f>IF($M235="","",IFERROR(INDEX(Desig_Names,MATCH($M235,Desig_Codes,0)),"NOT FOUND"))</f>
        <v/>
      </c>
      <c r="O235" s="13">
        <f>IF($M235="","",IFERROR(INDEX(Desig_Levels,MATCH($M235,Desig_Codes,0)),""))</f>
        <v/>
      </c>
      <c r="P235" s="12" t="n"/>
      <c r="Q235" s="12" t="n"/>
      <c r="R235" s="12" t="n"/>
      <c r="S235" s="13">
        <f>IF($R235="","",IFERROR(INDEX(Emp_Names,MATCH($R235,Emp_Codes,0)),"NOT FOUND"))</f>
        <v/>
      </c>
      <c r="T235" s="12" t="n"/>
      <c r="U235" s="12" t="n"/>
      <c r="V235" s="12" t="n"/>
    </row>
    <row r="236">
      <c r="A236" s="12" t="n"/>
      <c r="B236" s="12" t="n"/>
      <c r="C236" s="12" t="n"/>
      <c r="D236" s="13">
        <f>IF($A236="","",TRIM($B236&amp;" "&amp;$C236))</f>
        <v/>
      </c>
      <c r="E236" s="12" t="n"/>
      <c r="F236" s="12" t="n"/>
      <c r="G236" s="14" t="n"/>
      <c r="H236" s="14" t="n"/>
      <c r="I236" s="12" t="n"/>
      <c r="J236" s="14" t="n"/>
      <c r="K236" s="12" t="n"/>
      <c r="L236" s="13">
        <f>IF($K236="","",IFERROR(INDEX(Dept_Names,MATCH($K236,Dept_Codes,0)),"NOT FOUND"))</f>
        <v/>
      </c>
      <c r="M236" s="12" t="n"/>
      <c r="N236" s="13">
        <f>IF($M236="","",IFERROR(INDEX(Desig_Names,MATCH($M236,Desig_Codes,0)),"NOT FOUND"))</f>
        <v/>
      </c>
      <c r="O236" s="13">
        <f>IF($M236="","",IFERROR(INDEX(Desig_Levels,MATCH($M236,Desig_Codes,0)),""))</f>
        <v/>
      </c>
      <c r="P236" s="12" t="n"/>
      <c r="Q236" s="12" t="n"/>
      <c r="R236" s="12" t="n"/>
      <c r="S236" s="13">
        <f>IF($R236="","",IFERROR(INDEX(Emp_Names,MATCH($R236,Emp_Codes,0)),"NOT FOUND"))</f>
        <v/>
      </c>
      <c r="T236" s="12" t="n"/>
      <c r="U236" s="12" t="n"/>
      <c r="V236" s="12" t="n"/>
    </row>
    <row r="237">
      <c r="A237" s="12" t="n"/>
      <c r="B237" s="12" t="n"/>
      <c r="C237" s="12" t="n"/>
      <c r="D237" s="13">
        <f>IF($A237="","",TRIM($B237&amp;" "&amp;$C237))</f>
        <v/>
      </c>
      <c r="E237" s="12" t="n"/>
      <c r="F237" s="12" t="n"/>
      <c r="G237" s="14" t="n"/>
      <c r="H237" s="14" t="n"/>
      <c r="I237" s="12" t="n"/>
      <c r="J237" s="14" t="n"/>
      <c r="K237" s="12" t="n"/>
      <c r="L237" s="13">
        <f>IF($K237="","",IFERROR(INDEX(Dept_Names,MATCH($K237,Dept_Codes,0)),"NOT FOUND"))</f>
        <v/>
      </c>
      <c r="M237" s="12" t="n"/>
      <c r="N237" s="13">
        <f>IF($M237="","",IFERROR(INDEX(Desig_Names,MATCH($M237,Desig_Codes,0)),"NOT FOUND"))</f>
        <v/>
      </c>
      <c r="O237" s="13">
        <f>IF($M237="","",IFERROR(INDEX(Desig_Levels,MATCH($M237,Desig_Codes,0)),""))</f>
        <v/>
      </c>
      <c r="P237" s="12" t="n"/>
      <c r="Q237" s="12" t="n"/>
      <c r="R237" s="12" t="n"/>
      <c r="S237" s="13">
        <f>IF($R237="","",IFERROR(INDEX(Emp_Names,MATCH($R237,Emp_Codes,0)),"NOT FOUND"))</f>
        <v/>
      </c>
      <c r="T237" s="12" t="n"/>
      <c r="U237" s="12" t="n"/>
      <c r="V237" s="12" t="n"/>
    </row>
    <row r="238">
      <c r="A238" s="12" t="n"/>
      <c r="B238" s="12" t="n"/>
      <c r="C238" s="12" t="n"/>
      <c r="D238" s="13">
        <f>IF($A238="","",TRIM($B238&amp;" "&amp;$C238))</f>
        <v/>
      </c>
      <c r="E238" s="12" t="n"/>
      <c r="F238" s="12" t="n"/>
      <c r="G238" s="14" t="n"/>
      <c r="H238" s="14" t="n"/>
      <c r="I238" s="12" t="n"/>
      <c r="J238" s="14" t="n"/>
      <c r="K238" s="12" t="n"/>
      <c r="L238" s="13">
        <f>IF($K238="","",IFERROR(INDEX(Dept_Names,MATCH($K238,Dept_Codes,0)),"NOT FOUND"))</f>
        <v/>
      </c>
      <c r="M238" s="12" t="n"/>
      <c r="N238" s="13">
        <f>IF($M238="","",IFERROR(INDEX(Desig_Names,MATCH($M238,Desig_Codes,0)),"NOT FOUND"))</f>
        <v/>
      </c>
      <c r="O238" s="13">
        <f>IF($M238="","",IFERROR(INDEX(Desig_Levels,MATCH($M238,Desig_Codes,0)),""))</f>
        <v/>
      </c>
      <c r="P238" s="12" t="n"/>
      <c r="Q238" s="12" t="n"/>
      <c r="R238" s="12" t="n"/>
      <c r="S238" s="13">
        <f>IF($R238="","",IFERROR(INDEX(Emp_Names,MATCH($R238,Emp_Codes,0)),"NOT FOUND"))</f>
        <v/>
      </c>
      <c r="T238" s="12" t="n"/>
      <c r="U238" s="12" t="n"/>
      <c r="V238" s="12" t="n"/>
    </row>
    <row r="239">
      <c r="A239" s="12" t="n"/>
      <c r="B239" s="12" t="n"/>
      <c r="C239" s="12" t="n"/>
      <c r="D239" s="13">
        <f>IF($A239="","",TRIM($B239&amp;" "&amp;$C239))</f>
        <v/>
      </c>
      <c r="E239" s="12" t="n"/>
      <c r="F239" s="12" t="n"/>
      <c r="G239" s="14" t="n"/>
      <c r="H239" s="14" t="n"/>
      <c r="I239" s="12" t="n"/>
      <c r="J239" s="14" t="n"/>
      <c r="K239" s="12" t="n"/>
      <c r="L239" s="13">
        <f>IF($K239="","",IFERROR(INDEX(Dept_Names,MATCH($K239,Dept_Codes,0)),"NOT FOUND"))</f>
        <v/>
      </c>
      <c r="M239" s="12" t="n"/>
      <c r="N239" s="13">
        <f>IF($M239="","",IFERROR(INDEX(Desig_Names,MATCH($M239,Desig_Codes,0)),"NOT FOUND"))</f>
        <v/>
      </c>
      <c r="O239" s="13">
        <f>IF($M239="","",IFERROR(INDEX(Desig_Levels,MATCH($M239,Desig_Codes,0)),""))</f>
        <v/>
      </c>
      <c r="P239" s="12" t="n"/>
      <c r="Q239" s="12" t="n"/>
      <c r="R239" s="12" t="n"/>
      <c r="S239" s="13">
        <f>IF($R239="","",IFERROR(INDEX(Emp_Names,MATCH($R239,Emp_Codes,0)),"NOT FOUND"))</f>
        <v/>
      </c>
      <c r="T239" s="12" t="n"/>
      <c r="U239" s="12" t="n"/>
      <c r="V239" s="12" t="n"/>
    </row>
    <row r="240">
      <c r="A240" s="12" t="n"/>
      <c r="B240" s="12" t="n"/>
      <c r="C240" s="12" t="n"/>
      <c r="D240" s="13">
        <f>IF($A240="","",TRIM($B240&amp;" "&amp;$C240))</f>
        <v/>
      </c>
      <c r="E240" s="12" t="n"/>
      <c r="F240" s="12" t="n"/>
      <c r="G240" s="14" t="n"/>
      <c r="H240" s="14" t="n"/>
      <c r="I240" s="12" t="n"/>
      <c r="J240" s="14" t="n"/>
      <c r="K240" s="12" t="n"/>
      <c r="L240" s="13">
        <f>IF($K240="","",IFERROR(INDEX(Dept_Names,MATCH($K240,Dept_Codes,0)),"NOT FOUND"))</f>
        <v/>
      </c>
      <c r="M240" s="12" t="n"/>
      <c r="N240" s="13">
        <f>IF($M240="","",IFERROR(INDEX(Desig_Names,MATCH($M240,Desig_Codes,0)),"NOT FOUND"))</f>
        <v/>
      </c>
      <c r="O240" s="13">
        <f>IF($M240="","",IFERROR(INDEX(Desig_Levels,MATCH($M240,Desig_Codes,0)),""))</f>
        <v/>
      </c>
      <c r="P240" s="12" t="n"/>
      <c r="Q240" s="12" t="n"/>
      <c r="R240" s="12" t="n"/>
      <c r="S240" s="13">
        <f>IF($R240="","",IFERROR(INDEX(Emp_Names,MATCH($R240,Emp_Codes,0)),"NOT FOUND"))</f>
        <v/>
      </c>
      <c r="T240" s="12" t="n"/>
      <c r="U240" s="12" t="n"/>
      <c r="V240" s="12" t="n"/>
    </row>
    <row r="241">
      <c r="A241" s="12" t="n"/>
      <c r="B241" s="12" t="n"/>
      <c r="C241" s="12" t="n"/>
      <c r="D241" s="13">
        <f>IF($A241="","",TRIM($B241&amp;" "&amp;$C241))</f>
        <v/>
      </c>
      <c r="E241" s="12" t="n"/>
      <c r="F241" s="12" t="n"/>
      <c r="G241" s="14" t="n"/>
      <c r="H241" s="14" t="n"/>
      <c r="I241" s="12" t="n"/>
      <c r="J241" s="14" t="n"/>
      <c r="K241" s="12" t="n"/>
      <c r="L241" s="13">
        <f>IF($K241="","",IFERROR(INDEX(Dept_Names,MATCH($K241,Dept_Codes,0)),"NOT FOUND"))</f>
        <v/>
      </c>
      <c r="M241" s="12" t="n"/>
      <c r="N241" s="13">
        <f>IF($M241="","",IFERROR(INDEX(Desig_Names,MATCH($M241,Desig_Codes,0)),"NOT FOUND"))</f>
        <v/>
      </c>
      <c r="O241" s="13">
        <f>IF($M241="","",IFERROR(INDEX(Desig_Levels,MATCH($M241,Desig_Codes,0)),""))</f>
        <v/>
      </c>
      <c r="P241" s="12" t="n"/>
      <c r="Q241" s="12" t="n"/>
      <c r="R241" s="12" t="n"/>
      <c r="S241" s="13">
        <f>IF($R241="","",IFERROR(INDEX(Emp_Names,MATCH($R241,Emp_Codes,0)),"NOT FOUND"))</f>
        <v/>
      </c>
      <c r="T241" s="12" t="n"/>
      <c r="U241" s="12" t="n"/>
      <c r="V241" s="12" t="n"/>
    </row>
    <row r="242">
      <c r="A242" s="12" t="n"/>
      <c r="B242" s="12" t="n"/>
      <c r="C242" s="12" t="n"/>
      <c r="D242" s="13">
        <f>IF($A242="","",TRIM($B242&amp;" "&amp;$C242))</f>
        <v/>
      </c>
      <c r="E242" s="12" t="n"/>
      <c r="F242" s="12" t="n"/>
      <c r="G242" s="14" t="n"/>
      <c r="H242" s="14" t="n"/>
      <c r="I242" s="12" t="n"/>
      <c r="J242" s="14" t="n"/>
      <c r="K242" s="12" t="n"/>
      <c r="L242" s="13">
        <f>IF($K242="","",IFERROR(INDEX(Dept_Names,MATCH($K242,Dept_Codes,0)),"NOT FOUND"))</f>
        <v/>
      </c>
      <c r="M242" s="12" t="n"/>
      <c r="N242" s="13">
        <f>IF($M242="","",IFERROR(INDEX(Desig_Names,MATCH($M242,Desig_Codes,0)),"NOT FOUND"))</f>
        <v/>
      </c>
      <c r="O242" s="13">
        <f>IF($M242="","",IFERROR(INDEX(Desig_Levels,MATCH($M242,Desig_Codes,0)),""))</f>
        <v/>
      </c>
      <c r="P242" s="12" t="n"/>
      <c r="Q242" s="12" t="n"/>
      <c r="R242" s="12" t="n"/>
      <c r="S242" s="13">
        <f>IF($R242="","",IFERROR(INDEX(Emp_Names,MATCH($R242,Emp_Codes,0)),"NOT FOUND"))</f>
        <v/>
      </c>
      <c r="T242" s="12" t="n"/>
      <c r="U242" s="12" t="n"/>
      <c r="V242" s="12" t="n"/>
    </row>
    <row r="243">
      <c r="A243" s="12" t="n"/>
      <c r="B243" s="12" t="n"/>
      <c r="C243" s="12" t="n"/>
      <c r="D243" s="13">
        <f>IF($A243="","",TRIM($B243&amp;" "&amp;$C243))</f>
        <v/>
      </c>
      <c r="E243" s="12" t="n"/>
      <c r="F243" s="12" t="n"/>
      <c r="G243" s="14" t="n"/>
      <c r="H243" s="14" t="n"/>
      <c r="I243" s="12" t="n"/>
      <c r="J243" s="14" t="n"/>
      <c r="K243" s="12" t="n"/>
      <c r="L243" s="13">
        <f>IF($K243="","",IFERROR(INDEX(Dept_Names,MATCH($K243,Dept_Codes,0)),"NOT FOUND"))</f>
        <v/>
      </c>
      <c r="M243" s="12" t="n"/>
      <c r="N243" s="13">
        <f>IF($M243="","",IFERROR(INDEX(Desig_Names,MATCH($M243,Desig_Codes,0)),"NOT FOUND"))</f>
        <v/>
      </c>
      <c r="O243" s="13">
        <f>IF($M243="","",IFERROR(INDEX(Desig_Levels,MATCH($M243,Desig_Codes,0)),""))</f>
        <v/>
      </c>
      <c r="P243" s="12" t="n"/>
      <c r="Q243" s="12" t="n"/>
      <c r="R243" s="12" t="n"/>
      <c r="S243" s="13">
        <f>IF($R243="","",IFERROR(INDEX(Emp_Names,MATCH($R243,Emp_Codes,0)),"NOT FOUND"))</f>
        <v/>
      </c>
      <c r="T243" s="12" t="n"/>
      <c r="U243" s="12" t="n"/>
      <c r="V243" s="12" t="n"/>
    </row>
    <row r="244">
      <c r="A244" s="12" t="n"/>
      <c r="B244" s="12" t="n"/>
      <c r="C244" s="12" t="n"/>
      <c r="D244" s="13">
        <f>IF($A244="","",TRIM($B244&amp;" "&amp;$C244))</f>
        <v/>
      </c>
      <c r="E244" s="12" t="n"/>
      <c r="F244" s="12" t="n"/>
      <c r="G244" s="14" t="n"/>
      <c r="H244" s="14" t="n"/>
      <c r="I244" s="12" t="n"/>
      <c r="J244" s="14" t="n"/>
      <c r="K244" s="12" t="n"/>
      <c r="L244" s="13">
        <f>IF($K244="","",IFERROR(INDEX(Dept_Names,MATCH($K244,Dept_Codes,0)),"NOT FOUND"))</f>
        <v/>
      </c>
      <c r="M244" s="12" t="n"/>
      <c r="N244" s="13">
        <f>IF($M244="","",IFERROR(INDEX(Desig_Names,MATCH($M244,Desig_Codes,0)),"NOT FOUND"))</f>
        <v/>
      </c>
      <c r="O244" s="13">
        <f>IF($M244="","",IFERROR(INDEX(Desig_Levels,MATCH($M244,Desig_Codes,0)),""))</f>
        <v/>
      </c>
      <c r="P244" s="12" t="n"/>
      <c r="Q244" s="12" t="n"/>
      <c r="R244" s="12" t="n"/>
      <c r="S244" s="13">
        <f>IF($R244="","",IFERROR(INDEX(Emp_Names,MATCH($R244,Emp_Codes,0)),"NOT FOUND"))</f>
        <v/>
      </c>
      <c r="T244" s="12" t="n"/>
      <c r="U244" s="12" t="n"/>
      <c r="V244" s="12" t="n"/>
    </row>
    <row r="245">
      <c r="A245" s="12" t="n"/>
      <c r="B245" s="12" t="n"/>
      <c r="C245" s="12" t="n"/>
      <c r="D245" s="13">
        <f>IF($A245="","",TRIM($B245&amp;" "&amp;$C245))</f>
        <v/>
      </c>
      <c r="E245" s="12" t="n"/>
      <c r="F245" s="12" t="n"/>
      <c r="G245" s="14" t="n"/>
      <c r="H245" s="14" t="n"/>
      <c r="I245" s="12" t="n"/>
      <c r="J245" s="14" t="n"/>
      <c r="K245" s="12" t="n"/>
      <c r="L245" s="13">
        <f>IF($K245="","",IFERROR(INDEX(Dept_Names,MATCH($K245,Dept_Codes,0)),"NOT FOUND"))</f>
        <v/>
      </c>
      <c r="M245" s="12" t="n"/>
      <c r="N245" s="13">
        <f>IF($M245="","",IFERROR(INDEX(Desig_Names,MATCH($M245,Desig_Codes,0)),"NOT FOUND"))</f>
        <v/>
      </c>
      <c r="O245" s="13">
        <f>IF($M245="","",IFERROR(INDEX(Desig_Levels,MATCH($M245,Desig_Codes,0)),""))</f>
        <v/>
      </c>
      <c r="P245" s="12" t="n"/>
      <c r="Q245" s="12" t="n"/>
      <c r="R245" s="12" t="n"/>
      <c r="S245" s="13">
        <f>IF($R245="","",IFERROR(INDEX(Emp_Names,MATCH($R245,Emp_Codes,0)),"NOT FOUND"))</f>
        <v/>
      </c>
      <c r="T245" s="12" t="n"/>
      <c r="U245" s="12" t="n"/>
      <c r="V245" s="12" t="n"/>
    </row>
    <row r="246">
      <c r="A246" s="12" t="n"/>
      <c r="B246" s="12" t="n"/>
      <c r="C246" s="12" t="n"/>
      <c r="D246" s="13">
        <f>IF($A246="","",TRIM($B246&amp;" "&amp;$C246))</f>
        <v/>
      </c>
      <c r="E246" s="12" t="n"/>
      <c r="F246" s="12" t="n"/>
      <c r="G246" s="14" t="n"/>
      <c r="H246" s="14" t="n"/>
      <c r="I246" s="12" t="n"/>
      <c r="J246" s="14" t="n"/>
      <c r="K246" s="12" t="n"/>
      <c r="L246" s="13">
        <f>IF($K246="","",IFERROR(INDEX(Dept_Names,MATCH($K246,Dept_Codes,0)),"NOT FOUND"))</f>
        <v/>
      </c>
      <c r="M246" s="12" t="n"/>
      <c r="N246" s="13">
        <f>IF($M246="","",IFERROR(INDEX(Desig_Names,MATCH($M246,Desig_Codes,0)),"NOT FOUND"))</f>
        <v/>
      </c>
      <c r="O246" s="13">
        <f>IF($M246="","",IFERROR(INDEX(Desig_Levels,MATCH($M246,Desig_Codes,0)),""))</f>
        <v/>
      </c>
      <c r="P246" s="12" t="n"/>
      <c r="Q246" s="12" t="n"/>
      <c r="R246" s="12" t="n"/>
      <c r="S246" s="13">
        <f>IF($R246="","",IFERROR(INDEX(Emp_Names,MATCH($R246,Emp_Codes,0)),"NOT FOUND"))</f>
        <v/>
      </c>
      <c r="T246" s="12" t="n"/>
      <c r="U246" s="12" t="n"/>
      <c r="V246" s="12" t="n"/>
    </row>
    <row r="247">
      <c r="A247" s="12" t="n"/>
      <c r="B247" s="12" t="n"/>
      <c r="C247" s="12" t="n"/>
      <c r="D247" s="13">
        <f>IF($A247="","",TRIM($B247&amp;" "&amp;$C247))</f>
        <v/>
      </c>
      <c r="E247" s="12" t="n"/>
      <c r="F247" s="12" t="n"/>
      <c r="G247" s="14" t="n"/>
      <c r="H247" s="14" t="n"/>
      <c r="I247" s="12" t="n"/>
      <c r="J247" s="14" t="n"/>
      <c r="K247" s="12" t="n"/>
      <c r="L247" s="13">
        <f>IF($K247="","",IFERROR(INDEX(Dept_Names,MATCH($K247,Dept_Codes,0)),"NOT FOUND"))</f>
        <v/>
      </c>
      <c r="M247" s="12" t="n"/>
      <c r="N247" s="13">
        <f>IF($M247="","",IFERROR(INDEX(Desig_Names,MATCH($M247,Desig_Codes,0)),"NOT FOUND"))</f>
        <v/>
      </c>
      <c r="O247" s="13">
        <f>IF($M247="","",IFERROR(INDEX(Desig_Levels,MATCH($M247,Desig_Codes,0)),""))</f>
        <v/>
      </c>
      <c r="P247" s="12" t="n"/>
      <c r="Q247" s="12" t="n"/>
      <c r="R247" s="12" t="n"/>
      <c r="S247" s="13">
        <f>IF($R247="","",IFERROR(INDEX(Emp_Names,MATCH($R247,Emp_Codes,0)),"NOT FOUND"))</f>
        <v/>
      </c>
      <c r="T247" s="12" t="n"/>
      <c r="U247" s="12" t="n"/>
      <c r="V247" s="12" t="n"/>
    </row>
    <row r="248">
      <c r="A248" s="12" t="n"/>
      <c r="B248" s="12" t="n"/>
      <c r="C248" s="12" t="n"/>
      <c r="D248" s="13">
        <f>IF($A248="","",TRIM($B248&amp;" "&amp;$C248))</f>
        <v/>
      </c>
      <c r="E248" s="12" t="n"/>
      <c r="F248" s="12" t="n"/>
      <c r="G248" s="14" t="n"/>
      <c r="H248" s="14" t="n"/>
      <c r="I248" s="12" t="n"/>
      <c r="J248" s="14" t="n"/>
      <c r="K248" s="12" t="n"/>
      <c r="L248" s="13">
        <f>IF($K248="","",IFERROR(INDEX(Dept_Names,MATCH($K248,Dept_Codes,0)),"NOT FOUND"))</f>
        <v/>
      </c>
      <c r="M248" s="12" t="n"/>
      <c r="N248" s="13">
        <f>IF($M248="","",IFERROR(INDEX(Desig_Names,MATCH($M248,Desig_Codes,0)),"NOT FOUND"))</f>
        <v/>
      </c>
      <c r="O248" s="13">
        <f>IF($M248="","",IFERROR(INDEX(Desig_Levels,MATCH($M248,Desig_Codes,0)),""))</f>
        <v/>
      </c>
      <c r="P248" s="12" t="n"/>
      <c r="Q248" s="12" t="n"/>
      <c r="R248" s="12" t="n"/>
      <c r="S248" s="13">
        <f>IF($R248="","",IFERROR(INDEX(Emp_Names,MATCH($R248,Emp_Codes,0)),"NOT FOUND"))</f>
        <v/>
      </c>
      <c r="T248" s="12" t="n"/>
      <c r="U248" s="12" t="n"/>
      <c r="V248" s="12" t="n"/>
    </row>
    <row r="249">
      <c r="A249" s="12" t="n"/>
      <c r="B249" s="12" t="n"/>
      <c r="C249" s="12" t="n"/>
      <c r="D249" s="13">
        <f>IF($A249="","",TRIM($B249&amp;" "&amp;$C249))</f>
        <v/>
      </c>
      <c r="E249" s="12" t="n"/>
      <c r="F249" s="12" t="n"/>
      <c r="G249" s="14" t="n"/>
      <c r="H249" s="14" t="n"/>
      <c r="I249" s="12" t="n"/>
      <c r="J249" s="14" t="n"/>
      <c r="K249" s="12" t="n"/>
      <c r="L249" s="13">
        <f>IF($K249="","",IFERROR(INDEX(Dept_Names,MATCH($K249,Dept_Codes,0)),"NOT FOUND"))</f>
        <v/>
      </c>
      <c r="M249" s="12" t="n"/>
      <c r="N249" s="13">
        <f>IF($M249="","",IFERROR(INDEX(Desig_Names,MATCH($M249,Desig_Codes,0)),"NOT FOUND"))</f>
        <v/>
      </c>
      <c r="O249" s="13">
        <f>IF($M249="","",IFERROR(INDEX(Desig_Levels,MATCH($M249,Desig_Codes,0)),""))</f>
        <v/>
      </c>
      <c r="P249" s="12" t="n"/>
      <c r="Q249" s="12" t="n"/>
      <c r="R249" s="12" t="n"/>
      <c r="S249" s="13">
        <f>IF($R249="","",IFERROR(INDEX(Emp_Names,MATCH($R249,Emp_Codes,0)),"NOT FOUND"))</f>
        <v/>
      </c>
      <c r="T249" s="12" t="n"/>
      <c r="U249" s="12" t="n"/>
      <c r="V249" s="12" t="n"/>
    </row>
    <row r="250">
      <c r="A250" s="12" t="n"/>
      <c r="B250" s="12" t="n"/>
      <c r="C250" s="12" t="n"/>
      <c r="D250" s="13">
        <f>IF($A250="","",TRIM($B250&amp;" "&amp;$C250))</f>
        <v/>
      </c>
      <c r="E250" s="12" t="n"/>
      <c r="F250" s="12" t="n"/>
      <c r="G250" s="14" t="n"/>
      <c r="H250" s="14" t="n"/>
      <c r="I250" s="12" t="n"/>
      <c r="J250" s="14" t="n"/>
      <c r="K250" s="12" t="n"/>
      <c r="L250" s="13">
        <f>IF($K250="","",IFERROR(INDEX(Dept_Names,MATCH($K250,Dept_Codes,0)),"NOT FOUND"))</f>
        <v/>
      </c>
      <c r="M250" s="12" t="n"/>
      <c r="N250" s="13">
        <f>IF($M250="","",IFERROR(INDEX(Desig_Names,MATCH($M250,Desig_Codes,0)),"NOT FOUND"))</f>
        <v/>
      </c>
      <c r="O250" s="13">
        <f>IF($M250="","",IFERROR(INDEX(Desig_Levels,MATCH($M250,Desig_Codes,0)),""))</f>
        <v/>
      </c>
      <c r="P250" s="12" t="n"/>
      <c r="Q250" s="12" t="n"/>
      <c r="R250" s="12" t="n"/>
      <c r="S250" s="13">
        <f>IF($R250="","",IFERROR(INDEX(Emp_Names,MATCH($R250,Emp_Codes,0)),"NOT FOUND"))</f>
        <v/>
      </c>
      <c r="T250" s="12" t="n"/>
      <c r="U250" s="12" t="n"/>
      <c r="V250" s="12" t="n"/>
    </row>
    <row r="251">
      <c r="A251" s="12" t="n"/>
      <c r="B251" s="12" t="n"/>
      <c r="C251" s="12" t="n"/>
      <c r="D251" s="13">
        <f>IF($A251="","",TRIM($B251&amp;" "&amp;$C251))</f>
        <v/>
      </c>
      <c r="E251" s="12" t="n"/>
      <c r="F251" s="12" t="n"/>
      <c r="G251" s="14" t="n"/>
      <c r="H251" s="14" t="n"/>
      <c r="I251" s="12" t="n"/>
      <c r="J251" s="14" t="n"/>
      <c r="K251" s="12" t="n"/>
      <c r="L251" s="13">
        <f>IF($K251="","",IFERROR(INDEX(Dept_Names,MATCH($K251,Dept_Codes,0)),"NOT FOUND"))</f>
        <v/>
      </c>
      <c r="M251" s="12" t="n"/>
      <c r="N251" s="13">
        <f>IF($M251="","",IFERROR(INDEX(Desig_Names,MATCH($M251,Desig_Codes,0)),"NOT FOUND"))</f>
        <v/>
      </c>
      <c r="O251" s="13">
        <f>IF($M251="","",IFERROR(INDEX(Desig_Levels,MATCH($M251,Desig_Codes,0)),""))</f>
        <v/>
      </c>
      <c r="P251" s="12" t="n"/>
      <c r="Q251" s="12" t="n"/>
      <c r="R251" s="12" t="n"/>
      <c r="S251" s="13">
        <f>IF($R251="","",IFERROR(INDEX(Emp_Names,MATCH($R251,Emp_Codes,0)),"NOT FOUND"))</f>
        <v/>
      </c>
      <c r="T251" s="12" t="n"/>
      <c r="U251" s="12" t="n"/>
      <c r="V251" s="12" t="n"/>
    </row>
    <row r="252">
      <c r="A252" s="12" t="n"/>
      <c r="B252" s="12" t="n"/>
      <c r="C252" s="12" t="n"/>
      <c r="D252" s="13">
        <f>IF($A252="","",TRIM($B252&amp;" "&amp;$C252))</f>
        <v/>
      </c>
      <c r="E252" s="12" t="n"/>
      <c r="F252" s="12" t="n"/>
      <c r="G252" s="14" t="n"/>
      <c r="H252" s="14" t="n"/>
      <c r="I252" s="12" t="n"/>
      <c r="J252" s="14" t="n"/>
      <c r="K252" s="12" t="n"/>
      <c r="L252" s="13">
        <f>IF($K252="","",IFERROR(INDEX(Dept_Names,MATCH($K252,Dept_Codes,0)),"NOT FOUND"))</f>
        <v/>
      </c>
      <c r="M252" s="12" t="n"/>
      <c r="N252" s="13">
        <f>IF($M252="","",IFERROR(INDEX(Desig_Names,MATCH($M252,Desig_Codes,0)),"NOT FOUND"))</f>
        <v/>
      </c>
      <c r="O252" s="13">
        <f>IF($M252="","",IFERROR(INDEX(Desig_Levels,MATCH($M252,Desig_Codes,0)),""))</f>
        <v/>
      </c>
      <c r="P252" s="12" t="n"/>
      <c r="Q252" s="12" t="n"/>
      <c r="R252" s="12" t="n"/>
      <c r="S252" s="13">
        <f>IF($R252="","",IFERROR(INDEX(Emp_Names,MATCH($R252,Emp_Codes,0)),"NOT FOUND"))</f>
        <v/>
      </c>
      <c r="T252" s="12" t="n"/>
      <c r="U252" s="12" t="n"/>
      <c r="V252" s="12" t="n"/>
    </row>
    <row r="253">
      <c r="A253" s="12" t="n"/>
      <c r="B253" s="12" t="n"/>
      <c r="C253" s="12" t="n"/>
      <c r="D253" s="13">
        <f>IF($A253="","",TRIM($B253&amp;" "&amp;$C253))</f>
        <v/>
      </c>
      <c r="E253" s="12" t="n"/>
      <c r="F253" s="12" t="n"/>
      <c r="G253" s="14" t="n"/>
      <c r="H253" s="14" t="n"/>
      <c r="I253" s="12" t="n"/>
      <c r="J253" s="14" t="n"/>
      <c r="K253" s="12" t="n"/>
      <c r="L253" s="13">
        <f>IF($K253="","",IFERROR(INDEX(Dept_Names,MATCH($K253,Dept_Codes,0)),"NOT FOUND"))</f>
        <v/>
      </c>
      <c r="M253" s="12" t="n"/>
      <c r="N253" s="13">
        <f>IF($M253="","",IFERROR(INDEX(Desig_Names,MATCH($M253,Desig_Codes,0)),"NOT FOUND"))</f>
        <v/>
      </c>
      <c r="O253" s="13">
        <f>IF($M253="","",IFERROR(INDEX(Desig_Levels,MATCH($M253,Desig_Codes,0)),""))</f>
        <v/>
      </c>
      <c r="P253" s="12" t="n"/>
      <c r="Q253" s="12" t="n"/>
      <c r="R253" s="12" t="n"/>
      <c r="S253" s="13">
        <f>IF($R253="","",IFERROR(INDEX(Emp_Names,MATCH($R253,Emp_Codes,0)),"NOT FOUND"))</f>
        <v/>
      </c>
      <c r="T253" s="12" t="n"/>
      <c r="U253" s="12" t="n"/>
      <c r="V253" s="12" t="n"/>
    </row>
    <row r="254">
      <c r="A254" s="12" t="n"/>
      <c r="B254" s="12" t="n"/>
      <c r="C254" s="12" t="n"/>
      <c r="D254" s="13">
        <f>IF($A254="","",TRIM($B254&amp;" "&amp;$C254))</f>
        <v/>
      </c>
      <c r="E254" s="12" t="n"/>
      <c r="F254" s="12" t="n"/>
      <c r="G254" s="14" t="n"/>
      <c r="H254" s="14" t="n"/>
      <c r="I254" s="12" t="n"/>
      <c r="J254" s="14" t="n"/>
      <c r="K254" s="12" t="n"/>
      <c r="L254" s="13">
        <f>IF($K254="","",IFERROR(INDEX(Dept_Names,MATCH($K254,Dept_Codes,0)),"NOT FOUND"))</f>
        <v/>
      </c>
      <c r="M254" s="12" t="n"/>
      <c r="N254" s="13">
        <f>IF($M254="","",IFERROR(INDEX(Desig_Names,MATCH($M254,Desig_Codes,0)),"NOT FOUND"))</f>
        <v/>
      </c>
      <c r="O254" s="13">
        <f>IF($M254="","",IFERROR(INDEX(Desig_Levels,MATCH($M254,Desig_Codes,0)),""))</f>
        <v/>
      </c>
      <c r="P254" s="12" t="n"/>
      <c r="Q254" s="12" t="n"/>
      <c r="R254" s="12" t="n"/>
      <c r="S254" s="13">
        <f>IF($R254="","",IFERROR(INDEX(Emp_Names,MATCH($R254,Emp_Codes,0)),"NOT FOUND"))</f>
        <v/>
      </c>
      <c r="T254" s="12" t="n"/>
      <c r="U254" s="12" t="n"/>
      <c r="V254" s="12" t="n"/>
    </row>
    <row r="255">
      <c r="A255" s="12" t="n"/>
      <c r="B255" s="12" t="n"/>
      <c r="C255" s="12" t="n"/>
      <c r="D255" s="13">
        <f>IF($A255="","",TRIM($B255&amp;" "&amp;$C255))</f>
        <v/>
      </c>
      <c r="E255" s="12" t="n"/>
      <c r="F255" s="12" t="n"/>
      <c r="G255" s="14" t="n"/>
      <c r="H255" s="14" t="n"/>
      <c r="I255" s="12" t="n"/>
      <c r="J255" s="14" t="n"/>
      <c r="K255" s="12" t="n"/>
      <c r="L255" s="13">
        <f>IF($K255="","",IFERROR(INDEX(Dept_Names,MATCH($K255,Dept_Codes,0)),"NOT FOUND"))</f>
        <v/>
      </c>
      <c r="M255" s="12" t="n"/>
      <c r="N255" s="13">
        <f>IF($M255="","",IFERROR(INDEX(Desig_Names,MATCH($M255,Desig_Codes,0)),"NOT FOUND"))</f>
        <v/>
      </c>
      <c r="O255" s="13">
        <f>IF($M255="","",IFERROR(INDEX(Desig_Levels,MATCH($M255,Desig_Codes,0)),""))</f>
        <v/>
      </c>
      <c r="P255" s="12" t="n"/>
      <c r="Q255" s="12" t="n"/>
      <c r="R255" s="12" t="n"/>
      <c r="S255" s="13">
        <f>IF($R255="","",IFERROR(INDEX(Emp_Names,MATCH($R255,Emp_Codes,0)),"NOT FOUND"))</f>
        <v/>
      </c>
      <c r="T255" s="12" t="n"/>
      <c r="U255" s="12" t="n"/>
      <c r="V255" s="12" t="n"/>
    </row>
    <row r="256">
      <c r="A256" s="12" t="n"/>
      <c r="B256" s="12" t="n"/>
      <c r="C256" s="12" t="n"/>
      <c r="D256" s="13">
        <f>IF($A256="","",TRIM($B256&amp;" "&amp;$C256))</f>
        <v/>
      </c>
      <c r="E256" s="12" t="n"/>
      <c r="F256" s="12" t="n"/>
      <c r="G256" s="14" t="n"/>
      <c r="H256" s="14" t="n"/>
      <c r="I256" s="12" t="n"/>
      <c r="J256" s="14" t="n"/>
      <c r="K256" s="12" t="n"/>
      <c r="L256" s="13">
        <f>IF($K256="","",IFERROR(INDEX(Dept_Names,MATCH($K256,Dept_Codes,0)),"NOT FOUND"))</f>
        <v/>
      </c>
      <c r="M256" s="12" t="n"/>
      <c r="N256" s="13">
        <f>IF($M256="","",IFERROR(INDEX(Desig_Names,MATCH($M256,Desig_Codes,0)),"NOT FOUND"))</f>
        <v/>
      </c>
      <c r="O256" s="13">
        <f>IF($M256="","",IFERROR(INDEX(Desig_Levels,MATCH($M256,Desig_Codes,0)),""))</f>
        <v/>
      </c>
      <c r="P256" s="12" t="n"/>
      <c r="Q256" s="12" t="n"/>
      <c r="R256" s="12" t="n"/>
      <c r="S256" s="13">
        <f>IF($R256="","",IFERROR(INDEX(Emp_Names,MATCH($R256,Emp_Codes,0)),"NOT FOUND"))</f>
        <v/>
      </c>
      <c r="T256" s="12" t="n"/>
      <c r="U256" s="12" t="n"/>
      <c r="V256" s="12" t="n"/>
    </row>
    <row r="257">
      <c r="A257" s="12" t="n"/>
      <c r="B257" s="12" t="n"/>
      <c r="C257" s="12" t="n"/>
      <c r="D257" s="13">
        <f>IF($A257="","",TRIM($B257&amp;" "&amp;$C257))</f>
        <v/>
      </c>
      <c r="E257" s="12" t="n"/>
      <c r="F257" s="12" t="n"/>
      <c r="G257" s="14" t="n"/>
      <c r="H257" s="14" t="n"/>
      <c r="I257" s="12" t="n"/>
      <c r="J257" s="14" t="n"/>
      <c r="K257" s="12" t="n"/>
      <c r="L257" s="13">
        <f>IF($K257="","",IFERROR(INDEX(Dept_Names,MATCH($K257,Dept_Codes,0)),"NOT FOUND"))</f>
        <v/>
      </c>
      <c r="M257" s="12" t="n"/>
      <c r="N257" s="13">
        <f>IF($M257="","",IFERROR(INDEX(Desig_Names,MATCH($M257,Desig_Codes,0)),"NOT FOUND"))</f>
        <v/>
      </c>
      <c r="O257" s="13">
        <f>IF($M257="","",IFERROR(INDEX(Desig_Levels,MATCH($M257,Desig_Codes,0)),""))</f>
        <v/>
      </c>
      <c r="P257" s="12" t="n"/>
      <c r="Q257" s="12" t="n"/>
      <c r="R257" s="12" t="n"/>
      <c r="S257" s="13">
        <f>IF($R257="","",IFERROR(INDEX(Emp_Names,MATCH($R257,Emp_Codes,0)),"NOT FOUND"))</f>
        <v/>
      </c>
      <c r="T257" s="12" t="n"/>
      <c r="U257" s="12" t="n"/>
      <c r="V257" s="12" t="n"/>
    </row>
    <row r="258">
      <c r="A258" s="12" t="n"/>
      <c r="B258" s="12" t="n"/>
      <c r="C258" s="12" t="n"/>
      <c r="D258" s="13">
        <f>IF($A258="","",TRIM($B258&amp;" "&amp;$C258))</f>
        <v/>
      </c>
      <c r="E258" s="12" t="n"/>
      <c r="F258" s="12" t="n"/>
      <c r="G258" s="14" t="n"/>
      <c r="H258" s="14" t="n"/>
      <c r="I258" s="12" t="n"/>
      <c r="J258" s="14" t="n"/>
      <c r="K258" s="12" t="n"/>
      <c r="L258" s="13">
        <f>IF($K258="","",IFERROR(INDEX(Dept_Names,MATCH($K258,Dept_Codes,0)),"NOT FOUND"))</f>
        <v/>
      </c>
      <c r="M258" s="12" t="n"/>
      <c r="N258" s="13">
        <f>IF($M258="","",IFERROR(INDEX(Desig_Names,MATCH($M258,Desig_Codes,0)),"NOT FOUND"))</f>
        <v/>
      </c>
      <c r="O258" s="13">
        <f>IF($M258="","",IFERROR(INDEX(Desig_Levels,MATCH($M258,Desig_Codes,0)),""))</f>
        <v/>
      </c>
      <c r="P258" s="12" t="n"/>
      <c r="Q258" s="12" t="n"/>
      <c r="R258" s="12" t="n"/>
      <c r="S258" s="13">
        <f>IF($R258="","",IFERROR(INDEX(Emp_Names,MATCH($R258,Emp_Codes,0)),"NOT FOUND"))</f>
        <v/>
      </c>
      <c r="T258" s="12" t="n"/>
      <c r="U258" s="12" t="n"/>
      <c r="V258" s="12" t="n"/>
    </row>
    <row r="259">
      <c r="A259" s="12" t="n"/>
      <c r="B259" s="12" t="n"/>
      <c r="C259" s="12" t="n"/>
      <c r="D259" s="13">
        <f>IF($A259="","",TRIM($B259&amp;" "&amp;$C259))</f>
        <v/>
      </c>
      <c r="E259" s="12" t="n"/>
      <c r="F259" s="12" t="n"/>
      <c r="G259" s="14" t="n"/>
      <c r="H259" s="14" t="n"/>
      <c r="I259" s="12" t="n"/>
      <c r="J259" s="14" t="n"/>
      <c r="K259" s="12" t="n"/>
      <c r="L259" s="13">
        <f>IF($K259="","",IFERROR(INDEX(Dept_Names,MATCH($K259,Dept_Codes,0)),"NOT FOUND"))</f>
        <v/>
      </c>
      <c r="M259" s="12" t="n"/>
      <c r="N259" s="13">
        <f>IF($M259="","",IFERROR(INDEX(Desig_Names,MATCH($M259,Desig_Codes,0)),"NOT FOUND"))</f>
        <v/>
      </c>
      <c r="O259" s="13">
        <f>IF($M259="","",IFERROR(INDEX(Desig_Levels,MATCH($M259,Desig_Codes,0)),""))</f>
        <v/>
      </c>
      <c r="P259" s="12" t="n"/>
      <c r="Q259" s="12" t="n"/>
      <c r="R259" s="12" t="n"/>
      <c r="S259" s="13">
        <f>IF($R259="","",IFERROR(INDEX(Emp_Names,MATCH($R259,Emp_Codes,0)),"NOT FOUND"))</f>
        <v/>
      </c>
      <c r="T259" s="12" t="n"/>
      <c r="U259" s="12" t="n"/>
      <c r="V259" s="12" t="n"/>
    </row>
    <row r="260">
      <c r="A260" s="12" t="n"/>
      <c r="B260" s="12" t="n"/>
      <c r="C260" s="12" t="n"/>
      <c r="D260" s="13">
        <f>IF($A260="","",TRIM($B260&amp;" "&amp;$C260))</f>
        <v/>
      </c>
      <c r="E260" s="12" t="n"/>
      <c r="F260" s="12" t="n"/>
      <c r="G260" s="14" t="n"/>
      <c r="H260" s="14" t="n"/>
      <c r="I260" s="12" t="n"/>
      <c r="J260" s="14" t="n"/>
      <c r="K260" s="12" t="n"/>
      <c r="L260" s="13">
        <f>IF($K260="","",IFERROR(INDEX(Dept_Names,MATCH($K260,Dept_Codes,0)),"NOT FOUND"))</f>
        <v/>
      </c>
      <c r="M260" s="12" t="n"/>
      <c r="N260" s="13">
        <f>IF($M260="","",IFERROR(INDEX(Desig_Names,MATCH($M260,Desig_Codes,0)),"NOT FOUND"))</f>
        <v/>
      </c>
      <c r="O260" s="13">
        <f>IF($M260="","",IFERROR(INDEX(Desig_Levels,MATCH($M260,Desig_Codes,0)),""))</f>
        <v/>
      </c>
      <c r="P260" s="12" t="n"/>
      <c r="Q260" s="12" t="n"/>
      <c r="R260" s="12" t="n"/>
      <c r="S260" s="13">
        <f>IF($R260="","",IFERROR(INDEX(Emp_Names,MATCH($R260,Emp_Codes,0)),"NOT FOUND"))</f>
        <v/>
      </c>
      <c r="T260" s="12" t="n"/>
      <c r="U260" s="12" t="n"/>
      <c r="V260" s="12" t="n"/>
    </row>
    <row r="261">
      <c r="A261" s="12" t="n"/>
      <c r="B261" s="12" t="n"/>
      <c r="C261" s="12" t="n"/>
      <c r="D261" s="13">
        <f>IF($A261="","",TRIM($B261&amp;" "&amp;$C261))</f>
        <v/>
      </c>
      <c r="E261" s="12" t="n"/>
      <c r="F261" s="12" t="n"/>
      <c r="G261" s="14" t="n"/>
      <c r="H261" s="14" t="n"/>
      <c r="I261" s="12" t="n"/>
      <c r="J261" s="14" t="n"/>
      <c r="K261" s="12" t="n"/>
      <c r="L261" s="13">
        <f>IF($K261="","",IFERROR(INDEX(Dept_Names,MATCH($K261,Dept_Codes,0)),"NOT FOUND"))</f>
        <v/>
      </c>
      <c r="M261" s="12" t="n"/>
      <c r="N261" s="13">
        <f>IF($M261="","",IFERROR(INDEX(Desig_Names,MATCH($M261,Desig_Codes,0)),"NOT FOUND"))</f>
        <v/>
      </c>
      <c r="O261" s="13">
        <f>IF($M261="","",IFERROR(INDEX(Desig_Levels,MATCH($M261,Desig_Codes,0)),""))</f>
        <v/>
      </c>
      <c r="P261" s="12" t="n"/>
      <c r="Q261" s="12" t="n"/>
      <c r="R261" s="12" t="n"/>
      <c r="S261" s="13">
        <f>IF($R261="","",IFERROR(INDEX(Emp_Names,MATCH($R261,Emp_Codes,0)),"NOT FOUND"))</f>
        <v/>
      </c>
      <c r="T261" s="12" t="n"/>
      <c r="U261" s="12" t="n"/>
      <c r="V261" s="12" t="n"/>
    </row>
    <row r="262">
      <c r="A262" s="12" t="n"/>
      <c r="B262" s="12" t="n"/>
      <c r="C262" s="12" t="n"/>
      <c r="D262" s="13">
        <f>IF($A262="","",TRIM($B262&amp;" "&amp;$C262))</f>
        <v/>
      </c>
      <c r="E262" s="12" t="n"/>
      <c r="F262" s="12" t="n"/>
      <c r="G262" s="14" t="n"/>
      <c r="H262" s="14" t="n"/>
      <c r="I262" s="12" t="n"/>
      <c r="J262" s="14" t="n"/>
      <c r="K262" s="12" t="n"/>
      <c r="L262" s="13">
        <f>IF($K262="","",IFERROR(INDEX(Dept_Names,MATCH($K262,Dept_Codes,0)),"NOT FOUND"))</f>
        <v/>
      </c>
      <c r="M262" s="12" t="n"/>
      <c r="N262" s="13">
        <f>IF($M262="","",IFERROR(INDEX(Desig_Names,MATCH($M262,Desig_Codes,0)),"NOT FOUND"))</f>
        <v/>
      </c>
      <c r="O262" s="13">
        <f>IF($M262="","",IFERROR(INDEX(Desig_Levels,MATCH($M262,Desig_Codes,0)),""))</f>
        <v/>
      </c>
      <c r="P262" s="12" t="n"/>
      <c r="Q262" s="12" t="n"/>
      <c r="R262" s="12" t="n"/>
      <c r="S262" s="13">
        <f>IF($R262="","",IFERROR(INDEX(Emp_Names,MATCH($R262,Emp_Codes,0)),"NOT FOUND"))</f>
        <v/>
      </c>
      <c r="T262" s="12" t="n"/>
      <c r="U262" s="12" t="n"/>
      <c r="V262" s="12" t="n"/>
    </row>
    <row r="263">
      <c r="A263" s="12" t="n"/>
      <c r="B263" s="12" t="n"/>
      <c r="C263" s="12" t="n"/>
      <c r="D263" s="13">
        <f>IF($A263="","",TRIM($B263&amp;" "&amp;$C263))</f>
        <v/>
      </c>
      <c r="E263" s="12" t="n"/>
      <c r="F263" s="12" t="n"/>
      <c r="G263" s="14" t="n"/>
      <c r="H263" s="14" t="n"/>
      <c r="I263" s="12" t="n"/>
      <c r="J263" s="14" t="n"/>
      <c r="K263" s="12" t="n"/>
      <c r="L263" s="13">
        <f>IF($K263="","",IFERROR(INDEX(Dept_Names,MATCH($K263,Dept_Codes,0)),"NOT FOUND"))</f>
        <v/>
      </c>
      <c r="M263" s="12" t="n"/>
      <c r="N263" s="13">
        <f>IF($M263="","",IFERROR(INDEX(Desig_Names,MATCH($M263,Desig_Codes,0)),"NOT FOUND"))</f>
        <v/>
      </c>
      <c r="O263" s="13">
        <f>IF($M263="","",IFERROR(INDEX(Desig_Levels,MATCH($M263,Desig_Codes,0)),""))</f>
        <v/>
      </c>
      <c r="P263" s="12" t="n"/>
      <c r="Q263" s="12" t="n"/>
      <c r="R263" s="12" t="n"/>
      <c r="S263" s="13">
        <f>IF($R263="","",IFERROR(INDEX(Emp_Names,MATCH($R263,Emp_Codes,0)),"NOT FOUND"))</f>
        <v/>
      </c>
      <c r="T263" s="12" t="n"/>
      <c r="U263" s="12" t="n"/>
      <c r="V263" s="12" t="n"/>
    </row>
    <row r="264">
      <c r="A264" s="12" t="n"/>
      <c r="B264" s="12" t="n"/>
      <c r="C264" s="12" t="n"/>
      <c r="D264" s="13">
        <f>IF($A264="","",TRIM($B264&amp;" "&amp;$C264))</f>
        <v/>
      </c>
      <c r="E264" s="12" t="n"/>
      <c r="F264" s="12" t="n"/>
      <c r="G264" s="14" t="n"/>
      <c r="H264" s="14" t="n"/>
      <c r="I264" s="12" t="n"/>
      <c r="J264" s="14" t="n"/>
      <c r="K264" s="12" t="n"/>
      <c r="L264" s="13">
        <f>IF($K264="","",IFERROR(INDEX(Dept_Names,MATCH($K264,Dept_Codes,0)),"NOT FOUND"))</f>
        <v/>
      </c>
      <c r="M264" s="12" t="n"/>
      <c r="N264" s="13">
        <f>IF($M264="","",IFERROR(INDEX(Desig_Names,MATCH($M264,Desig_Codes,0)),"NOT FOUND"))</f>
        <v/>
      </c>
      <c r="O264" s="13">
        <f>IF($M264="","",IFERROR(INDEX(Desig_Levels,MATCH($M264,Desig_Codes,0)),""))</f>
        <v/>
      </c>
      <c r="P264" s="12" t="n"/>
      <c r="Q264" s="12" t="n"/>
      <c r="R264" s="12" t="n"/>
      <c r="S264" s="13">
        <f>IF($R264="","",IFERROR(INDEX(Emp_Names,MATCH($R264,Emp_Codes,0)),"NOT FOUND"))</f>
        <v/>
      </c>
      <c r="T264" s="12" t="n"/>
      <c r="U264" s="12" t="n"/>
      <c r="V264" s="12" t="n"/>
    </row>
    <row r="265">
      <c r="A265" s="12" t="n"/>
      <c r="B265" s="12" t="n"/>
      <c r="C265" s="12" t="n"/>
      <c r="D265" s="13">
        <f>IF($A265="","",TRIM($B265&amp;" "&amp;$C265))</f>
        <v/>
      </c>
      <c r="E265" s="12" t="n"/>
      <c r="F265" s="12" t="n"/>
      <c r="G265" s="14" t="n"/>
      <c r="H265" s="14" t="n"/>
      <c r="I265" s="12" t="n"/>
      <c r="J265" s="14" t="n"/>
      <c r="K265" s="12" t="n"/>
      <c r="L265" s="13">
        <f>IF($K265="","",IFERROR(INDEX(Dept_Names,MATCH($K265,Dept_Codes,0)),"NOT FOUND"))</f>
        <v/>
      </c>
      <c r="M265" s="12" t="n"/>
      <c r="N265" s="13">
        <f>IF($M265="","",IFERROR(INDEX(Desig_Names,MATCH($M265,Desig_Codes,0)),"NOT FOUND"))</f>
        <v/>
      </c>
      <c r="O265" s="13">
        <f>IF($M265="","",IFERROR(INDEX(Desig_Levels,MATCH($M265,Desig_Codes,0)),""))</f>
        <v/>
      </c>
      <c r="P265" s="12" t="n"/>
      <c r="Q265" s="12" t="n"/>
      <c r="R265" s="12" t="n"/>
      <c r="S265" s="13">
        <f>IF($R265="","",IFERROR(INDEX(Emp_Names,MATCH($R265,Emp_Codes,0)),"NOT FOUND"))</f>
        <v/>
      </c>
      <c r="T265" s="12" t="n"/>
      <c r="U265" s="12" t="n"/>
      <c r="V265" s="12" t="n"/>
    </row>
    <row r="266">
      <c r="A266" s="12" t="n"/>
      <c r="B266" s="12" t="n"/>
      <c r="C266" s="12" t="n"/>
      <c r="D266" s="13">
        <f>IF($A266="","",TRIM($B266&amp;" "&amp;$C266))</f>
        <v/>
      </c>
      <c r="E266" s="12" t="n"/>
      <c r="F266" s="12" t="n"/>
      <c r="G266" s="14" t="n"/>
      <c r="H266" s="14" t="n"/>
      <c r="I266" s="12" t="n"/>
      <c r="J266" s="14" t="n"/>
      <c r="K266" s="12" t="n"/>
      <c r="L266" s="13">
        <f>IF($K266="","",IFERROR(INDEX(Dept_Names,MATCH($K266,Dept_Codes,0)),"NOT FOUND"))</f>
        <v/>
      </c>
      <c r="M266" s="12" t="n"/>
      <c r="N266" s="13">
        <f>IF($M266="","",IFERROR(INDEX(Desig_Names,MATCH($M266,Desig_Codes,0)),"NOT FOUND"))</f>
        <v/>
      </c>
      <c r="O266" s="13">
        <f>IF($M266="","",IFERROR(INDEX(Desig_Levels,MATCH($M266,Desig_Codes,0)),""))</f>
        <v/>
      </c>
      <c r="P266" s="12" t="n"/>
      <c r="Q266" s="12" t="n"/>
      <c r="R266" s="12" t="n"/>
      <c r="S266" s="13">
        <f>IF($R266="","",IFERROR(INDEX(Emp_Names,MATCH($R266,Emp_Codes,0)),"NOT FOUND"))</f>
        <v/>
      </c>
      <c r="T266" s="12" t="n"/>
      <c r="U266" s="12" t="n"/>
      <c r="V266" s="12" t="n"/>
    </row>
    <row r="267">
      <c r="A267" s="12" t="n"/>
      <c r="B267" s="12" t="n"/>
      <c r="C267" s="12" t="n"/>
      <c r="D267" s="13">
        <f>IF($A267="","",TRIM($B267&amp;" "&amp;$C267))</f>
        <v/>
      </c>
      <c r="E267" s="12" t="n"/>
      <c r="F267" s="12" t="n"/>
      <c r="G267" s="14" t="n"/>
      <c r="H267" s="14" t="n"/>
      <c r="I267" s="12" t="n"/>
      <c r="J267" s="14" t="n"/>
      <c r="K267" s="12" t="n"/>
      <c r="L267" s="13">
        <f>IF($K267="","",IFERROR(INDEX(Dept_Names,MATCH($K267,Dept_Codes,0)),"NOT FOUND"))</f>
        <v/>
      </c>
      <c r="M267" s="12" t="n"/>
      <c r="N267" s="13">
        <f>IF($M267="","",IFERROR(INDEX(Desig_Names,MATCH($M267,Desig_Codes,0)),"NOT FOUND"))</f>
        <v/>
      </c>
      <c r="O267" s="13">
        <f>IF($M267="","",IFERROR(INDEX(Desig_Levels,MATCH($M267,Desig_Codes,0)),""))</f>
        <v/>
      </c>
      <c r="P267" s="12" t="n"/>
      <c r="Q267" s="12" t="n"/>
      <c r="R267" s="12" t="n"/>
      <c r="S267" s="13">
        <f>IF($R267="","",IFERROR(INDEX(Emp_Names,MATCH($R267,Emp_Codes,0)),"NOT FOUND"))</f>
        <v/>
      </c>
      <c r="T267" s="12" t="n"/>
      <c r="U267" s="12" t="n"/>
      <c r="V267" s="12" t="n"/>
    </row>
    <row r="268">
      <c r="A268" s="12" t="n"/>
      <c r="B268" s="12" t="n"/>
      <c r="C268" s="12" t="n"/>
      <c r="D268" s="13">
        <f>IF($A268="","",TRIM($B268&amp;" "&amp;$C268))</f>
        <v/>
      </c>
      <c r="E268" s="12" t="n"/>
      <c r="F268" s="12" t="n"/>
      <c r="G268" s="14" t="n"/>
      <c r="H268" s="14" t="n"/>
      <c r="I268" s="12" t="n"/>
      <c r="J268" s="14" t="n"/>
      <c r="K268" s="12" t="n"/>
      <c r="L268" s="13">
        <f>IF($K268="","",IFERROR(INDEX(Dept_Names,MATCH($K268,Dept_Codes,0)),"NOT FOUND"))</f>
        <v/>
      </c>
      <c r="M268" s="12" t="n"/>
      <c r="N268" s="13">
        <f>IF($M268="","",IFERROR(INDEX(Desig_Names,MATCH($M268,Desig_Codes,0)),"NOT FOUND"))</f>
        <v/>
      </c>
      <c r="O268" s="13">
        <f>IF($M268="","",IFERROR(INDEX(Desig_Levels,MATCH($M268,Desig_Codes,0)),""))</f>
        <v/>
      </c>
      <c r="P268" s="12" t="n"/>
      <c r="Q268" s="12" t="n"/>
      <c r="R268" s="12" t="n"/>
      <c r="S268" s="13">
        <f>IF($R268="","",IFERROR(INDEX(Emp_Names,MATCH($R268,Emp_Codes,0)),"NOT FOUND"))</f>
        <v/>
      </c>
      <c r="T268" s="12" t="n"/>
      <c r="U268" s="12" t="n"/>
      <c r="V268" s="12" t="n"/>
    </row>
    <row r="269">
      <c r="A269" s="12" t="n"/>
      <c r="B269" s="12" t="n"/>
      <c r="C269" s="12" t="n"/>
      <c r="D269" s="13">
        <f>IF($A269="","",TRIM($B269&amp;" "&amp;$C269))</f>
        <v/>
      </c>
      <c r="E269" s="12" t="n"/>
      <c r="F269" s="12" t="n"/>
      <c r="G269" s="14" t="n"/>
      <c r="H269" s="14" t="n"/>
      <c r="I269" s="12" t="n"/>
      <c r="J269" s="14" t="n"/>
      <c r="K269" s="12" t="n"/>
      <c r="L269" s="13">
        <f>IF($K269="","",IFERROR(INDEX(Dept_Names,MATCH($K269,Dept_Codes,0)),"NOT FOUND"))</f>
        <v/>
      </c>
      <c r="M269" s="12" t="n"/>
      <c r="N269" s="13">
        <f>IF($M269="","",IFERROR(INDEX(Desig_Names,MATCH($M269,Desig_Codes,0)),"NOT FOUND"))</f>
        <v/>
      </c>
      <c r="O269" s="13">
        <f>IF($M269="","",IFERROR(INDEX(Desig_Levels,MATCH($M269,Desig_Codes,0)),""))</f>
        <v/>
      </c>
      <c r="P269" s="12" t="n"/>
      <c r="Q269" s="12" t="n"/>
      <c r="R269" s="12" t="n"/>
      <c r="S269" s="13">
        <f>IF($R269="","",IFERROR(INDEX(Emp_Names,MATCH($R269,Emp_Codes,0)),"NOT FOUND"))</f>
        <v/>
      </c>
      <c r="T269" s="12" t="n"/>
      <c r="U269" s="12" t="n"/>
      <c r="V269" s="12" t="n"/>
    </row>
    <row r="270">
      <c r="A270" s="12" t="n"/>
      <c r="B270" s="12" t="n"/>
      <c r="C270" s="12" t="n"/>
      <c r="D270" s="13">
        <f>IF($A270="","",TRIM($B270&amp;" "&amp;$C270))</f>
        <v/>
      </c>
      <c r="E270" s="12" t="n"/>
      <c r="F270" s="12" t="n"/>
      <c r="G270" s="14" t="n"/>
      <c r="H270" s="14" t="n"/>
      <c r="I270" s="12" t="n"/>
      <c r="J270" s="14" t="n"/>
      <c r="K270" s="12" t="n"/>
      <c r="L270" s="13">
        <f>IF($K270="","",IFERROR(INDEX(Dept_Names,MATCH($K270,Dept_Codes,0)),"NOT FOUND"))</f>
        <v/>
      </c>
      <c r="M270" s="12" t="n"/>
      <c r="N270" s="13">
        <f>IF($M270="","",IFERROR(INDEX(Desig_Names,MATCH($M270,Desig_Codes,0)),"NOT FOUND"))</f>
        <v/>
      </c>
      <c r="O270" s="13">
        <f>IF($M270="","",IFERROR(INDEX(Desig_Levels,MATCH($M270,Desig_Codes,0)),""))</f>
        <v/>
      </c>
      <c r="P270" s="12" t="n"/>
      <c r="Q270" s="12" t="n"/>
      <c r="R270" s="12" t="n"/>
      <c r="S270" s="13">
        <f>IF($R270="","",IFERROR(INDEX(Emp_Names,MATCH($R270,Emp_Codes,0)),"NOT FOUND"))</f>
        <v/>
      </c>
      <c r="T270" s="12" t="n"/>
      <c r="U270" s="12" t="n"/>
      <c r="V270" s="12" t="n"/>
    </row>
    <row r="271">
      <c r="A271" s="12" t="n"/>
      <c r="B271" s="12" t="n"/>
      <c r="C271" s="12" t="n"/>
      <c r="D271" s="13">
        <f>IF($A271="","",TRIM($B271&amp;" "&amp;$C271))</f>
        <v/>
      </c>
      <c r="E271" s="12" t="n"/>
      <c r="F271" s="12" t="n"/>
      <c r="G271" s="14" t="n"/>
      <c r="H271" s="14" t="n"/>
      <c r="I271" s="12" t="n"/>
      <c r="J271" s="14" t="n"/>
      <c r="K271" s="12" t="n"/>
      <c r="L271" s="13">
        <f>IF($K271="","",IFERROR(INDEX(Dept_Names,MATCH($K271,Dept_Codes,0)),"NOT FOUND"))</f>
        <v/>
      </c>
      <c r="M271" s="12" t="n"/>
      <c r="N271" s="13">
        <f>IF($M271="","",IFERROR(INDEX(Desig_Names,MATCH($M271,Desig_Codes,0)),"NOT FOUND"))</f>
        <v/>
      </c>
      <c r="O271" s="13">
        <f>IF($M271="","",IFERROR(INDEX(Desig_Levels,MATCH($M271,Desig_Codes,0)),""))</f>
        <v/>
      </c>
      <c r="P271" s="12" t="n"/>
      <c r="Q271" s="12" t="n"/>
      <c r="R271" s="12" t="n"/>
      <c r="S271" s="13">
        <f>IF($R271="","",IFERROR(INDEX(Emp_Names,MATCH($R271,Emp_Codes,0)),"NOT FOUND"))</f>
        <v/>
      </c>
      <c r="T271" s="12" t="n"/>
      <c r="U271" s="12" t="n"/>
      <c r="V271" s="12" t="n"/>
    </row>
    <row r="272">
      <c r="A272" s="12" t="n"/>
      <c r="B272" s="12" t="n"/>
      <c r="C272" s="12" t="n"/>
      <c r="D272" s="13">
        <f>IF($A272="","",TRIM($B272&amp;" "&amp;$C272))</f>
        <v/>
      </c>
      <c r="E272" s="12" t="n"/>
      <c r="F272" s="12" t="n"/>
      <c r="G272" s="14" t="n"/>
      <c r="H272" s="14" t="n"/>
      <c r="I272" s="12" t="n"/>
      <c r="J272" s="14" t="n"/>
      <c r="K272" s="12" t="n"/>
      <c r="L272" s="13">
        <f>IF($K272="","",IFERROR(INDEX(Dept_Names,MATCH($K272,Dept_Codes,0)),"NOT FOUND"))</f>
        <v/>
      </c>
      <c r="M272" s="12" t="n"/>
      <c r="N272" s="13">
        <f>IF($M272="","",IFERROR(INDEX(Desig_Names,MATCH($M272,Desig_Codes,0)),"NOT FOUND"))</f>
        <v/>
      </c>
      <c r="O272" s="13">
        <f>IF($M272="","",IFERROR(INDEX(Desig_Levels,MATCH($M272,Desig_Codes,0)),""))</f>
        <v/>
      </c>
      <c r="P272" s="12" t="n"/>
      <c r="Q272" s="12" t="n"/>
      <c r="R272" s="12" t="n"/>
      <c r="S272" s="13">
        <f>IF($R272="","",IFERROR(INDEX(Emp_Names,MATCH($R272,Emp_Codes,0)),"NOT FOUND"))</f>
        <v/>
      </c>
      <c r="T272" s="12" t="n"/>
      <c r="U272" s="12" t="n"/>
      <c r="V272" s="12" t="n"/>
    </row>
    <row r="273">
      <c r="A273" s="12" t="n"/>
      <c r="B273" s="12" t="n"/>
      <c r="C273" s="12" t="n"/>
      <c r="D273" s="13">
        <f>IF($A273="","",TRIM($B273&amp;" "&amp;$C273))</f>
        <v/>
      </c>
      <c r="E273" s="12" t="n"/>
      <c r="F273" s="12" t="n"/>
      <c r="G273" s="14" t="n"/>
      <c r="H273" s="14" t="n"/>
      <c r="I273" s="12" t="n"/>
      <c r="J273" s="14" t="n"/>
      <c r="K273" s="12" t="n"/>
      <c r="L273" s="13">
        <f>IF($K273="","",IFERROR(INDEX(Dept_Names,MATCH($K273,Dept_Codes,0)),"NOT FOUND"))</f>
        <v/>
      </c>
      <c r="M273" s="12" t="n"/>
      <c r="N273" s="13">
        <f>IF($M273="","",IFERROR(INDEX(Desig_Names,MATCH($M273,Desig_Codes,0)),"NOT FOUND"))</f>
        <v/>
      </c>
      <c r="O273" s="13">
        <f>IF($M273="","",IFERROR(INDEX(Desig_Levels,MATCH($M273,Desig_Codes,0)),""))</f>
        <v/>
      </c>
      <c r="P273" s="12" t="n"/>
      <c r="Q273" s="12" t="n"/>
      <c r="R273" s="12" t="n"/>
      <c r="S273" s="13">
        <f>IF($R273="","",IFERROR(INDEX(Emp_Names,MATCH($R273,Emp_Codes,0)),"NOT FOUND"))</f>
        <v/>
      </c>
      <c r="T273" s="12" t="n"/>
      <c r="U273" s="12" t="n"/>
      <c r="V273" s="12" t="n"/>
    </row>
    <row r="274">
      <c r="A274" s="12" t="n"/>
      <c r="B274" s="12" t="n"/>
      <c r="C274" s="12" t="n"/>
      <c r="D274" s="13">
        <f>IF($A274="","",TRIM($B274&amp;" "&amp;$C274))</f>
        <v/>
      </c>
      <c r="E274" s="12" t="n"/>
      <c r="F274" s="12" t="n"/>
      <c r="G274" s="14" t="n"/>
      <c r="H274" s="14" t="n"/>
      <c r="I274" s="12" t="n"/>
      <c r="J274" s="14" t="n"/>
      <c r="K274" s="12" t="n"/>
      <c r="L274" s="13">
        <f>IF($K274="","",IFERROR(INDEX(Dept_Names,MATCH($K274,Dept_Codes,0)),"NOT FOUND"))</f>
        <v/>
      </c>
      <c r="M274" s="12" t="n"/>
      <c r="N274" s="13">
        <f>IF($M274="","",IFERROR(INDEX(Desig_Names,MATCH($M274,Desig_Codes,0)),"NOT FOUND"))</f>
        <v/>
      </c>
      <c r="O274" s="13">
        <f>IF($M274="","",IFERROR(INDEX(Desig_Levels,MATCH($M274,Desig_Codes,0)),""))</f>
        <v/>
      </c>
      <c r="P274" s="12" t="n"/>
      <c r="Q274" s="12" t="n"/>
      <c r="R274" s="12" t="n"/>
      <c r="S274" s="13">
        <f>IF($R274="","",IFERROR(INDEX(Emp_Names,MATCH($R274,Emp_Codes,0)),"NOT FOUND"))</f>
        <v/>
      </c>
      <c r="T274" s="12" t="n"/>
      <c r="U274" s="12" t="n"/>
      <c r="V274" s="12" t="n"/>
    </row>
    <row r="275">
      <c r="A275" s="12" t="n"/>
      <c r="B275" s="12" t="n"/>
      <c r="C275" s="12" t="n"/>
      <c r="D275" s="13">
        <f>IF($A275="","",TRIM($B275&amp;" "&amp;$C275))</f>
        <v/>
      </c>
      <c r="E275" s="12" t="n"/>
      <c r="F275" s="12" t="n"/>
      <c r="G275" s="14" t="n"/>
      <c r="H275" s="14" t="n"/>
      <c r="I275" s="12" t="n"/>
      <c r="J275" s="14" t="n"/>
      <c r="K275" s="12" t="n"/>
      <c r="L275" s="13">
        <f>IF($K275="","",IFERROR(INDEX(Dept_Names,MATCH($K275,Dept_Codes,0)),"NOT FOUND"))</f>
        <v/>
      </c>
      <c r="M275" s="12" t="n"/>
      <c r="N275" s="13">
        <f>IF($M275="","",IFERROR(INDEX(Desig_Names,MATCH($M275,Desig_Codes,0)),"NOT FOUND"))</f>
        <v/>
      </c>
      <c r="O275" s="13">
        <f>IF($M275="","",IFERROR(INDEX(Desig_Levels,MATCH($M275,Desig_Codes,0)),""))</f>
        <v/>
      </c>
      <c r="P275" s="12" t="n"/>
      <c r="Q275" s="12" t="n"/>
      <c r="R275" s="12" t="n"/>
      <c r="S275" s="13">
        <f>IF($R275="","",IFERROR(INDEX(Emp_Names,MATCH($R275,Emp_Codes,0)),"NOT FOUND"))</f>
        <v/>
      </c>
      <c r="T275" s="12" t="n"/>
      <c r="U275" s="12" t="n"/>
      <c r="V275" s="12" t="n"/>
    </row>
    <row r="276">
      <c r="A276" s="12" t="n"/>
      <c r="B276" s="12" t="n"/>
      <c r="C276" s="12" t="n"/>
      <c r="D276" s="13">
        <f>IF($A276="","",TRIM($B276&amp;" "&amp;$C276))</f>
        <v/>
      </c>
      <c r="E276" s="12" t="n"/>
      <c r="F276" s="12" t="n"/>
      <c r="G276" s="14" t="n"/>
      <c r="H276" s="14" t="n"/>
      <c r="I276" s="12" t="n"/>
      <c r="J276" s="14" t="n"/>
      <c r="K276" s="12" t="n"/>
      <c r="L276" s="13">
        <f>IF($K276="","",IFERROR(INDEX(Dept_Names,MATCH($K276,Dept_Codes,0)),"NOT FOUND"))</f>
        <v/>
      </c>
      <c r="M276" s="12" t="n"/>
      <c r="N276" s="13">
        <f>IF($M276="","",IFERROR(INDEX(Desig_Names,MATCH($M276,Desig_Codes,0)),"NOT FOUND"))</f>
        <v/>
      </c>
      <c r="O276" s="13">
        <f>IF($M276="","",IFERROR(INDEX(Desig_Levels,MATCH($M276,Desig_Codes,0)),""))</f>
        <v/>
      </c>
      <c r="P276" s="12" t="n"/>
      <c r="Q276" s="12" t="n"/>
      <c r="R276" s="12" t="n"/>
      <c r="S276" s="13">
        <f>IF($R276="","",IFERROR(INDEX(Emp_Names,MATCH($R276,Emp_Codes,0)),"NOT FOUND"))</f>
        <v/>
      </c>
      <c r="T276" s="12" t="n"/>
      <c r="U276" s="12" t="n"/>
      <c r="V276" s="12" t="n"/>
    </row>
    <row r="277">
      <c r="A277" s="12" t="n"/>
      <c r="B277" s="12" t="n"/>
      <c r="C277" s="12" t="n"/>
      <c r="D277" s="13">
        <f>IF($A277="","",TRIM($B277&amp;" "&amp;$C277))</f>
        <v/>
      </c>
      <c r="E277" s="12" t="n"/>
      <c r="F277" s="12" t="n"/>
      <c r="G277" s="14" t="n"/>
      <c r="H277" s="14" t="n"/>
      <c r="I277" s="12" t="n"/>
      <c r="J277" s="14" t="n"/>
      <c r="K277" s="12" t="n"/>
      <c r="L277" s="13">
        <f>IF($K277="","",IFERROR(INDEX(Dept_Names,MATCH($K277,Dept_Codes,0)),"NOT FOUND"))</f>
        <v/>
      </c>
      <c r="M277" s="12" t="n"/>
      <c r="N277" s="13">
        <f>IF($M277="","",IFERROR(INDEX(Desig_Names,MATCH($M277,Desig_Codes,0)),"NOT FOUND"))</f>
        <v/>
      </c>
      <c r="O277" s="13">
        <f>IF($M277="","",IFERROR(INDEX(Desig_Levels,MATCH($M277,Desig_Codes,0)),""))</f>
        <v/>
      </c>
      <c r="P277" s="12" t="n"/>
      <c r="Q277" s="12" t="n"/>
      <c r="R277" s="12" t="n"/>
      <c r="S277" s="13">
        <f>IF($R277="","",IFERROR(INDEX(Emp_Names,MATCH($R277,Emp_Codes,0)),"NOT FOUND"))</f>
        <v/>
      </c>
      <c r="T277" s="12" t="n"/>
      <c r="U277" s="12" t="n"/>
      <c r="V277" s="12" t="n"/>
    </row>
    <row r="278">
      <c r="A278" s="12" t="n"/>
      <c r="B278" s="12" t="n"/>
      <c r="C278" s="12" t="n"/>
      <c r="D278" s="13">
        <f>IF($A278="","",TRIM($B278&amp;" "&amp;$C278))</f>
        <v/>
      </c>
      <c r="E278" s="12" t="n"/>
      <c r="F278" s="12" t="n"/>
      <c r="G278" s="14" t="n"/>
      <c r="H278" s="14" t="n"/>
      <c r="I278" s="12" t="n"/>
      <c r="J278" s="14" t="n"/>
      <c r="K278" s="12" t="n"/>
      <c r="L278" s="13">
        <f>IF($K278="","",IFERROR(INDEX(Dept_Names,MATCH($K278,Dept_Codes,0)),"NOT FOUND"))</f>
        <v/>
      </c>
      <c r="M278" s="12" t="n"/>
      <c r="N278" s="13">
        <f>IF($M278="","",IFERROR(INDEX(Desig_Names,MATCH($M278,Desig_Codes,0)),"NOT FOUND"))</f>
        <v/>
      </c>
      <c r="O278" s="13">
        <f>IF($M278="","",IFERROR(INDEX(Desig_Levels,MATCH($M278,Desig_Codes,0)),""))</f>
        <v/>
      </c>
      <c r="P278" s="12" t="n"/>
      <c r="Q278" s="12" t="n"/>
      <c r="R278" s="12" t="n"/>
      <c r="S278" s="13">
        <f>IF($R278="","",IFERROR(INDEX(Emp_Names,MATCH($R278,Emp_Codes,0)),"NOT FOUND"))</f>
        <v/>
      </c>
      <c r="T278" s="12" t="n"/>
      <c r="U278" s="12" t="n"/>
      <c r="V278" s="12" t="n"/>
    </row>
    <row r="279">
      <c r="A279" s="12" t="n"/>
      <c r="B279" s="12" t="n"/>
      <c r="C279" s="12" t="n"/>
      <c r="D279" s="13">
        <f>IF($A279="","",TRIM($B279&amp;" "&amp;$C279))</f>
        <v/>
      </c>
      <c r="E279" s="12" t="n"/>
      <c r="F279" s="12" t="n"/>
      <c r="G279" s="14" t="n"/>
      <c r="H279" s="14" t="n"/>
      <c r="I279" s="12" t="n"/>
      <c r="J279" s="14" t="n"/>
      <c r="K279" s="12" t="n"/>
      <c r="L279" s="13">
        <f>IF($K279="","",IFERROR(INDEX(Dept_Names,MATCH($K279,Dept_Codes,0)),"NOT FOUND"))</f>
        <v/>
      </c>
      <c r="M279" s="12" t="n"/>
      <c r="N279" s="13">
        <f>IF($M279="","",IFERROR(INDEX(Desig_Names,MATCH($M279,Desig_Codes,0)),"NOT FOUND"))</f>
        <v/>
      </c>
      <c r="O279" s="13">
        <f>IF($M279="","",IFERROR(INDEX(Desig_Levels,MATCH($M279,Desig_Codes,0)),""))</f>
        <v/>
      </c>
      <c r="P279" s="12" t="n"/>
      <c r="Q279" s="12" t="n"/>
      <c r="R279" s="12" t="n"/>
      <c r="S279" s="13">
        <f>IF($R279="","",IFERROR(INDEX(Emp_Names,MATCH($R279,Emp_Codes,0)),"NOT FOUND"))</f>
        <v/>
      </c>
      <c r="T279" s="12" t="n"/>
      <c r="U279" s="12" t="n"/>
      <c r="V279" s="12" t="n"/>
    </row>
    <row r="280">
      <c r="A280" s="12" t="n"/>
      <c r="B280" s="12" t="n"/>
      <c r="C280" s="12" t="n"/>
      <c r="D280" s="13">
        <f>IF($A280="","",TRIM($B280&amp;" "&amp;$C280))</f>
        <v/>
      </c>
      <c r="E280" s="12" t="n"/>
      <c r="F280" s="12" t="n"/>
      <c r="G280" s="14" t="n"/>
      <c r="H280" s="14" t="n"/>
      <c r="I280" s="12" t="n"/>
      <c r="J280" s="14" t="n"/>
      <c r="K280" s="12" t="n"/>
      <c r="L280" s="13">
        <f>IF($K280="","",IFERROR(INDEX(Dept_Names,MATCH($K280,Dept_Codes,0)),"NOT FOUND"))</f>
        <v/>
      </c>
      <c r="M280" s="12" t="n"/>
      <c r="N280" s="13">
        <f>IF($M280="","",IFERROR(INDEX(Desig_Names,MATCH($M280,Desig_Codes,0)),"NOT FOUND"))</f>
        <v/>
      </c>
      <c r="O280" s="13">
        <f>IF($M280="","",IFERROR(INDEX(Desig_Levels,MATCH($M280,Desig_Codes,0)),""))</f>
        <v/>
      </c>
      <c r="P280" s="12" t="n"/>
      <c r="Q280" s="12" t="n"/>
      <c r="R280" s="12" t="n"/>
      <c r="S280" s="13">
        <f>IF($R280="","",IFERROR(INDEX(Emp_Names,MATCH($R280,Emp_Codes,0)),"NOT FOUND"))</f>
        <v/>
      </c>
      <c r="T280" s="12" t="n"/>
      <c r="U280" s="12" t="n"/>
      <c r="V280" s="12" t="n"/>
    </row>
    <row r="281">
      <c r="A281" s="12" t="n"/>
      <c r="B281" s="12" t="n"/>
      <c r="C281" s="12" t="n"/>
      <c r="D281" s="13">
        <f>IF($A281="","",TRIM($B281&amp;" "&amp;$C281))</f>
        <v/>
      </c>
      <c r="E281" s="12" t="n"/>
      <c r="F281" s="12" t="n"/>
      <c r="G281" s="14" t="n"/>
      <c r="H281" s="14" t="n"/>
      <c r="I281" s="12" t="n"/>
      <c r="J281" s="14" t="n"/>
      <c r="K281" s="12" t="n"/>
      <c r="L281" s="13">
        <f>IF($K281="","",IFERROR(INDEX(Dept_Names,MATCH($K281,Dept_Codes,0)),"NOT FOUND"))</f>
        <v/>
      </c>
      <c r="M281" s="12" t="n"/>
      <c r="N281" s="13">
        <f>IF($M281="","",IFERROR(INDEX(Desig_Names,MATCH($M281,Desig_Codes,0)),"NOT FOUND"))</f>
        <v/>
      </c>
      <c r="O281" s="13">
        <f>IF($M281="","",IFERROR(INDEX(Desig_Levels,MATCH($M281,Desig_Codes,0)),""))</f>
        <v/>
      </c>
      <c r="P281" s="12" t="n"/>
      <c r="Q281" s="12" t="n"/>
      <c r="R281" s="12" t="n"/>
      <c r="S281" s="13">
        <f>IF($R281="","",IFERROR(INDEX(Emp_Names,MATCH($R281,Emp_Codes,0)),"NOT FOUND"))</f>
        <v/>
      </c>
      <c r="T281" s="12" t="n"/>
      <c r="U281" s="12" t="n"/>
      <c r="V281" s="12" t="n"/>
    </row>
    <row r="282">
      <c r="A282" s="12" t="n"/>
      <c r="B282" s="12" t="n"/>
      <c r="C282" s="12" t="n"/>
      <c r="D282" s="13">
        <f>IF($A282="","",TRIM($B282&amp;" "&amp;$C282))</f>
        <v/>
      </c>
      <c r="E282" s="12" t="n"/>
      <c r="F282" s="12" t="n"/>
      <c r="G282" s="14" t="n"/>
      <c r="H282" s="14" t="n"/>
      <c r="I282" s="12" t="n"/>
      <c r="J282" s="14" t="n"/>
      <c r="K282" s="12" t="n"/>
      <c r="L282" s="13">
        <f>IF($K282="","",IFERROR(INDEX(Dept_Names,MATCH($K282,Dept_Codes,0)),"NOT FOUND"))</f>
        <v/>
      </c>
      <c r="M282" s="12" t="n"/>
      <c r="N282" s="13">
        <f>IF($M282="","",IFERROR(INDEX(Desig_Names,MATCH($M282,Desig_Codes,0)),"NOT FOUND"))</f>
        <v/>
      </c>
      <c r="O282" s="13">
        <f>IF($M282="","",IFERROR(INDEX(Desig_Levels,MATCH($M282,Desig_Codes,0)),""))</f>
        <v/>
      </c>
      <c r="P282" s="12" t="n"/>
      <c r="Q282" s="12" t="n"/>
      <c r="R282" s="12" t="n"/>
      <c r="S282" s="13">
        <f>IF($R282="","",IFERROR(INDEX(Emp_Names,MATCH($R282,Emp_Codes,0)),"NOT FOUND"))</f>
        <v/>
      </c>
      <c r="T282" s="12" t="n"/>
      <c r="U282" s="12" t="n"/>
      <c r="V282" s="12" t="n"/>
    </row>
    <row r="283">
      <c r="A283" s="12" t="n"/>
      <c r="B283" s="12" t="n"/>
      <c r="C283" s="12" t="n"/>
      <c r="D283" s="13">
        <f>IF($A283="","",TRIM($B283&amp;" "&amp;$C283))</f>
        <v/>
      </c>
      <c r="E283" s="12" t="n"/>
      <c r="F283" s="12" t="n"/>
      <c r="G283" s="14" t="n"/>
      <c r="H283" s="14" t="n"/>
      <c r="I283" s="12" t="n"/>
      <c r="J283" s="14" t="n"/>
      <c r="K283" s="12" t="n"/>
      <c r="L283" s="13">
        <f>IF($K283="","",IFERROR(INDEX(Dept_Names,MATCH($K283,Dept_Codes,0)),"NOT FOUND"))</f>
        <v/>
      </c>
      <c r="M283" s="12" t="n"/>
      <c r="N283" s="13">
        <f>IF($M283="","",IFERROR(INDEX(Desig_Names,MATCH($M283,Desig_Codes,0)),"NOT FOUND"))</f>
        <v/>
      </c>
      <c r="O283" s="13">
        <f>IF($M283="","",IFERROR(INDEX(Desig_Levels,MATCH($M283,Desig_Codes,0)),""))</f>
        <v/>
      </c>
      <c r="P283" s="12" t="n"/>
      <c r="Q283" s="12" t="n"/>
      <c r="R283" s="12" t="n"/>
      <c r="S283" s="13">
        <f>IF($R283="","",IFERROR(INDEX(Emp_Names,MATCH($R283,Emp_Codes,0)),"NOT FOUND"))</f>
        <v/>
      </c>
      <c r="T283" s="12" t="n"/>
      <c r="U283" s="12" t="n"/>
      <c r="V283" s="12" t="n"/>
    </row>
    <row r="284">
      <c r="A284" s="12" t="n"/>
      <c r="B284" s="12" t="n"/>
      <c r="C284" s="12" t="n"/>
      <c r="D284" s="13">
        <f>IF($A284="","",TRIM($B284&amp;" "&amp;$C284))</f>
        <v/>
      </c>
      <c r="E284" s="12" t="n"/>
      <c r="F284" s="12" t="n"/>
      <c r="G284" s="14" t="n"/>
      <c r="H284" s="14" t="n"/>
      <c r="I284" s="12" t="n"/>
      <c r="J284" s="14" t="n"/>
      <c r="K284" s="12" t="n"/>
      <c r="L284" s="13">
        <f>IF($K284="","",IFERROR(INDEX(Dept_Names,MATCH($K284,Dept_Codes,0)),"NOT FOUND"))</f>
        <v/>
      </c>
      <c r="M284" s="12" t="n"/>
      <c r="N284" s="13">
        <f>IF($M284="","",IFERROR(INDEX(Desig_Names,MATCH($M284,Desig_Codes,0)),"NOT FOUND"))</f>
        <v/>
      </c>
      <c r="O284" s="13">
        <f>IF($M284="","",IFERROR(INDEX(Desig_Levels,MATCH($M284,Desig_Codes,0)),""))</f>
        <v/>
      </c>
      <c r="P284" s="12" t="n"/>
      <c r="Q284" s="12" t="n"/>
      <c r="R284" s="12" t="n"/>
      <c r="S284" s="13">
        <f>IF($R284="","",IFERROR(INDEX(Emp_Names,MATCH($R284,Emp_Codes,0)),"NOT FOUND"))</f>
        <v/>
      </c>
      <c r="T284" s="12" t="n"/>
      <c r="U284" s="12" t="n"/>
      <c r="V284" s="12" t="n"/>
    </row>
    <row r="285">
      <c r="A285" s="12" t="n"/>
      <c r="B285" s="12" t="n"/>
      <c r="C285" s="12" t="n"/>
      <c r="D285" s="13">
        <f>IF($A285="","",TRIM($B285&amp;" "&amp;$C285))</f>
        <v/>
      </c>
      <c r="E285" s="12" t="n"/>
      <c r="F285" s="12" t="n"/>
      <c r="G285" s="14" t="n"/>
      <c r="H285" s="14" t="n"/>
      <c r="I285" s="12" t="n"/>
      <c r="J285" s="14" t="n"/>
      <c r="K285" s="12" t="n"/>
      <c r="L285" s="13">
        <f>IF($K285="","",IFERROR(INDEX(Dept_Names,MATCH($K285,Dept_Codes,0)),"NOT FOUND"))</f>
        <v/>
      </c>
      <c r="M285" s="12" t="n"/>
      <c r="N285" s="13">
        <f>IF($M285="","",IFERROR(INDEX(Desig_Names,MATCH($M285,Desig_Codes,0)),"NOT FOUND"))</f>
        <v/>
      </c>
      <c r="O285" s="13">
        <f>IF($M285="","",IFERROR(INDEX(Desig_Levels,MATCH($M285,Desig_Codes,0)),""))</f>
        <v/>
      </c>
      <c r="P285" s="12" t="n"/>
      <c r="Q285" s="12" t="n"/>
      <c r="R285" s="12" t="n"/>
      <c r="S285" s="13">
        <f>IF($R285="","",IFERROR(INDEX(Emp_Names,MATCH($R285,Emp_Codes,0)),"NOT FOUND"))</f>
        <v/>
      </c>
      <c r="T285" s="12" t="n"/>
      <c r="U285" s="12" t="n"/>
      <c r="V285" s="12" t="n"/>
    </row>
    <row r="286">
      <c r="A286" s="12" t="n"/>
      <c r="B286" s="12" t="n"/>
      <c r="C286" s="12" t="n"/>
      <c r="D286" s="13">
        <f>IF($A286="","",TRIM($B286&amp;" "&amp;$C286))</f>
        <v/>
      </c>
      <c r="E286" s="12" t="n"/>
      <c r="F286" s="12" t="n"/>
      <c r="G286" s="14" t="n"/>
      <c r="H286" s="14" t="n"/>
      <c r="I286" s="12" t="n"/>
      <c r="J286" s="14" t="n"/>
      <c r="K286" s="12" t="n"/>
      <c r="L286" s="13">
        <f>IF($K286="","",IFERROR(INDEX(Dept_Names,MATCH($K286,Dept_Codes,0)),"NOT FOUND"))</f>
        <v/>
      </c>
      <c r="M286" s="12" t="n"/>
      <c r="N286" s="13">
        <f>IF($M286="","",IFERROR(INDEX(Desig_Names,MATCH($M286,Desig_Codes,0)),"NOT FOUND"))</f>
        <v/>
      </c>
      <c r="O286" s="13">
        <f>IF($M286="","",IFERROR(INDEX(Desig_Levels,MATCH($M286,Desig_Codes,0)),""))</f>
        <v/>
      </c>
      <c r="P286" s="12" t="n"/>
      <c r="Q286" s="12" t="n"/>
      <c r="R286" s="12" t="n"/>
      <c r="S286" s="13">
        <f>IF($R286="","",IFERROR(INDEX(Emp_Names,MATCH($R286,Emp_Codes,0)),"NOT FOUND"))</f>
        <v/>
      </c>
      <c r="T286" s="12" t="n"/>
      <c r="U286" s="12" t="n"/>
      <c r="V286" s="12" t="n"/>
    </row>
    <row r="287">
      <c r="A287" s="12" t="n"/>
      <c r="B287" s="12" t="n"/>
      <c r="C287" s="12" t="n"/>
      <c r="D287" s="13">
        <f>IF($A287="","",TRIM($B287&amp;" "&amp;$C287))</f>
        <v/>
      </c>
      <c r="E287" s="12" t="n"/>
      <c r="F287" s="12" t="n"/>
      <c r="G287" s="14" t="n"/>
      <c r="H287" s="14" t="n"/>
      <c r="I287" s="12" t="n"/>
      <c r="J287" s="14" t="n"/>
      <c r="K287" s="12" t="n"/>
      <c r="L287" s="13">
        <f>IF($K287="","",IFERROR(INDEX(Dept_Names,MATCH($K287,Dept_Codes,0)),"NOT FOUND"))</f>
        <v/>
      </c>
      <c r="M287" s="12" t="n"/>
      <c r="N287" s="13">
        <f>IF($M287="","",IFERROR(INDEX(Desig_Names,MATCH($M287,Desig_Codes,0)),"NOT FOUND"))</f>
        <v/>
      </c>
      <c r="O287" s="13">
        <f>IF($M287="","",IFERROR(INDEX(Desig_Levels,MATCH($M287,Desig_Codes,0)),""))</f>
        <v/>
      </c>
      <c r="P287" s="12" t="n"/>
      <c r="Q287" s="12" t="n"/>
      <c r="R287" s="12" t="n"/>
      <c r="S287" s="13">
        <f>IF($R287="","",IFERROR(INDEX(Emp_Names,MATCH($R287,Emp_Codes,0)),"NOT FOUND"))</f>
        <v/>
      </c>
      <c r="T287" s="12" t="n"/>
      <c r="U287" s="12" t="n"/>
      <c r="V287" s="12" t="n"/>
    </row>
    <row r="288">
      <c r="A288" s="12" t="n"/>
      <c r="B288" s="12" t="n"/>
      <c r="C288" s="12" t="n"/>
      <c r="D288" s="13">
        <f>IF($A288="","",TRIM($B288&amp;" "&amp;$C288))</f>
        <v/>
      </c>
      <c r="E288" s="12" t="n"/>
      <c r="F288" s="12" t="n"/>
      <c r="G288" s="14" t="n"/>
      <c r="H288" s="14" t="n"/>
      <c r="I288" s="12" t="n"/>
      <c r="J288" s="14" t="n"/>
      <c r="K288" s="12" t="n"/>
      <c r="L288" s="13">
        <f>IF($K288="","",IFERROR(INDEX(Dept_Names,MATCH($K288,Dept_Codes,0)),"NOT FOUND"))</f>
        <v/>
      </c>
      <c r="M288" s="12" t="n"/>
      <c r="N288" s="13">
        <f>IF($M288="","",IFERROR(INDEX(Desig_Names,MATCH($M288,Desig_Codes,0)),"NOT FOUND"))</f>
        <v/>
      </c>
      <c r="O288" s="13">
        <f>IF($M288="","",IFERROR(INDEX(Desig_Levels,MATCH($M288,Desig_Codes,0)),""))</f>
        <v/>
      </c>
      <c r="P288" s="12" t="n"/>
      <c r="Q288" s="12" t="n"/>
      <c r="R288" s="12" t="n"/>
      <c r="S288" s="13">
        <f>IF($R288="","",IFERROR(INDEX(Emp_Names,MATCH($R288,Emp_Codes,0)),"NOT FOUND"))</f>
        <v/>
      </c>
      <c r="T288" s="12" t="n"/>
      <c r="U288" s="12" t="n"/>
      <c r="V288" s="12" t="n"/>
    </row>
    <row r="289">
      <c r="A289" s="12" t="n"/>
      <c r="B289" s="12" t="n"/>
      <c r="C289" s="12" t="n"/>
      <c r="D289" s="13">
        <f>IF($A289="","",TRIM($B289&amp;" "&amp;$C289))</f>
        <v/>
      </c>
      <c r="E289" s="12" t="n"/>
      <c r="F289" s="12" t="n"/>
      <c r="G289" s="14" t="n"/>
      <c r="H289" s="14" t="n"/>
      <c r="I289" s="12" t="n"/>
      <c r="J289" s="14" t="n"/>
      <c r="K289" s="12" t="n"/>
      <c r="L289" s="13">
        <f>IF($K289="","",IFERROR(INDEX(Dept_Names,MATCH($K289,Dept_Codes,0)),"NOT FOUND"))</f>
        <v/>
      </c>
      <c r="M289" s="12" t="n"/>
      <c r="N289" s="13">
        <f>IF($M289="","",IFERROR(INDEX(Desig_Names,MATCH($M289,Desig_Codes,0)),"NOT FOUND"))</f>
        <v/>
      </c>
      <c r="O289" s="13">
        <f>IF($M289="","",IFERROR(INDEX(Desig_Levels,MATCH($M289,Desig_Codes,0)),""))</f>
        <v/>
      </c>
      <c r="P289" s="12" t="n"/>
      <c r="Q289" s="12" t="n"/>
      <c r="R289" s="12" t="n"/>
      <c r="S289" s="13">
        <f>IF($R289="","",IFERROR(INDEX(Emp_Names,MATCH($R289,Emp_Codes,0)),"NOT FOUND"))</f>
        <v/>
      </c>
      <c r="T289" s="12" t="n"/>
      <c r="U289" s="12" t="n"/>
      <c r="V289" s="12" t="n"/>
    </row>
    <row r="290">
      <c r="A290" s="12" t="n"/>
      <c r="B290" s="12" t="n"/>
      <c r="C290" s="12" t="n"/>
      <c r="D290" s="13">
        <f>IF($A290="","",TRIM($B290&amp;" "&amp;$C290))</f>
        <v/>
      </c>
      <c r="E290" s="12" t="n"/>
      <c r="F290" s="12" t="n"/>
      <c r="G290" s="14" t="n"/>
      <c r="H290" s="14" t="n"/>
      <c r="I290" s="12" t="n"/>
      <c r="J290" s="14" t="n"/>
      <c r="K290" s="12" t="n"/>
      <c r="L290" s="13">
        <f>IF($K290="","",IFERROR(INDEX(Dept_Names,MATCH($K290,Dept_Codes,0)),"NOT FOUND"))</f>
        <v/>
      </c>
      <c r="M290" s="12" t="n"/>
      <c r="N290" s="13">
        <f>IF($M290="","",IFERROR(INDEX(Desig_Names,MATCH($M290,Desig_Codes,0)),"NOT FOUND"))</f>
        <v/>
      </c>
      <c r="O290" s="13">
        <f>IF($M290="","",IFERROR(INDEX(Desig_Levels,MATCH($M290,Desig_Codes,0)),""))</f>
        <v/>
      </c>
      <c r="P290" s="12" t="n"/>
      <c r="Q290" s="12" t="n"/>
      <c r="R290" s="12" t="n"/>
      <c r="S290" s="13">
        <f>IF($R290="","",IFERROR(INDEX(Emp_Names,MATCH($R290,Emp_Codes,0)),"NOT FOUND"))</f>
        <v/>
      </c>
      <c r="T290" s="12" t="n"/>
      <c r="U290" s="12" t="n"/>
      <c r="V290" s="12" t="n"/>
    </row>
    <row r="291">
      <c r="A291" s="12" t="n"/>
      <c r="B291" s="12" t="n"/>
      <c r="C291" s="12" t="n"/>
      <c r="D291" s="13">
        <f>IF($A291="","",TRIM($B291&amp;" "&amp;$C291))</f>
        <v/>
      </c>
      <c r="E291" s="12" t="n"/>
      <c r="F291" s="12" t="n"/>
      <c r="G291" s="14" t="n"/>
      <c r="H291" s="14" t="n"/>
      <c r="I291" s="12" t="n"/>
      <c r="J291" s="14" t="n"/>
      <c r="K291" s="12" t="n"/>
      <c r="L291" s="13">
        <f>IF($K291="","",IFERROR(INDEX(Dept_Names,MATCH($K291,Dept_Codes,0)),"NOT FOUND"))</f>
        <v/>
      </c>
      <c r="M291" s="12" t="n"/>
      <c r="N291" s="13">
        <f>IF($M291="","",IFERROR(INDEX(Desig_Names,MATCH($M291,Desig_Codes,0)),"NOT FOUND"))</f>
        <v/>
      </c>
      <c r="O291" s="13">
        <f>IF($M291="","",IFERROR(INDEX(Desig_Levels,MATCH($M291,Desig_Codes,0)),""))</f>
        <v/>
      </c>
      <c r="P291" s="12" t="n"/>
      <c r="Q291" s="12" t="n"/>
      <c r="R291" s="12" t="n"/>
      <c r="S291" s="13">
        <f>IF($R291="","",IFERROR(INDEX(Emp_Names,MATCH($R291,Emp_Codes,0)),"NOT FOUND"))</f>
        <v/>
      </c>
      <c r="T291" s="12" t="n"/>
      <c r="U291" s="12" t="n"/>
      <c r="V291" s="12" t="n"/>
    </row>
    <row r="292">
      <c r="A292" s="12" t="n"/>
      <c r="B292" s="12" t="n"/>
      <c r="C292" s="12" t="n"/>
      <c r="D292" s="13">
        <f>IF($A292="","",TRIM($B292&amp;" "&amp;$C292))</f>
        <v/>
      </c>
      <c r="E292" s="12" t="n"/>
      <c r="F292" s="12" t="n"/>
      <c r="G292" s="14" t="n"/>
      <c r="H292" s="14" t="n"/>
      <c r="I292" s="12" t="n"/>
      <c r="J292" s="14" t="n"/>
      <c r="K292" s="12" t="n"/>
      <c r="L292" s="13">
        <f>IF($K292="","",IFERROR(INDEX(Dept_Names,MATCH($K292,Dept_Codes,0)),"NOT FOUND"))</f>
        <v/>
      </c>
      <c r="M292" s="12" t="n"/>
      <c r="N292" s="13">
        <f>IF($M292="","",IFERROR(INDEX(Desig_Names,MATCH($M292,Desig_Codes,0)),"NOT FOUND"))</f>
        <v/>
      </c>
      <c r="O292" s="13">
        <f>IF($M292="","",IFERROR(INDEX(Desig_Levels,MATCH($M292,Desig_Codes,0)),""))</f>
        <v/>
      </c>
      <c r="P292" s="12" t="n"/>
      <c r="Q292" s="12" t="n"/>
      <c r="R292" s="12" t="n"/>
      <c r="S292" s="13">
        <f>IF($R292="","",IFERROR(INDEX(Emp_Names,MATCH($R292,Emp_Codes,0)),"NOT FOUND"))</f>
        <v/>
      </c>
      <c r="T292" s="12" t="n"/>
      <c r="U292" s="12" t="n"/>
      <c r="V292" s="12" t="n"/>
    </row>
    <row r="293">
      <c r="A293" s="12" t="n"/>
      <c r="B293" s="12" t="n"/>
      <c r="C293" s="12" t="n"/>
      <c r="D293" s="13">
        <f>IF($A293="","",TRIM($B293&amp;" "&amp;$C293))</f>
        <v/>
      </c>
      <c r="E293" s="12" t="n"/>
      <c r="F293" s="12" t="n"/>
      <c r="G293" s="14" t="n"/>
      <c r="H293" s="14" t="n"/>
      <c r="I293" s="12" t="n"/>
      <c r="J293" s="14" t="n"/>
      <c r="K293" s="12" t="n"/>
      <c r="L293" s="13">
        <f>IF($K293="","",IFERROR(INDEX(Dept_Names,MATCH($K293,Dept_Codes,0)),"NOT FOUND"))</f>
        <v/>
      </c>
      <c r="M293" s="12" t="n"/>
      <c r="N293" s="13">
        <f>IF($M293="","",IFERROR(INDEX(Desig_Names,MATCH($M293,Desig_Codes,0)),"NOT FOUND"))</f>
        <v/>
      </c>
      <c r="O293" s="13">
        <f>IF($M293="","",IFERROR(INDEX(Desig_Levels,MATCH($M293,Desig_Codes,0)),""))</f>
        <v/>
      </c>
      <c r="P293" s="12" t="n"/>
      <c r="Q293" s="12" t="n"/>
      <c r="R293" s="12" t="n"/>
      <c r="S293" s="13">
        <f>IF($R293="","",IFERROR(INDEX(Emp_Names,MATCH($R293,Emp_Codes,0)),"NOT FOUND"))</f>
        <v/>
      </c>
      <c r="T293" s="12" t="n"/>
      <c r="U293" s="12" t="n"/>
      <c r="V293" s="12" t="n"/>
    </row>
    <row r="294">
      <c r="A294" s="12" t="n"/>
      <c r="B294" s="12" t="n"/>
      <c r="C294" s="12" t="n"/>
      <c r="D294" s="13">
        <f>IF($A294="","",TRIM($B294&amp;" "&amp;$C294))</f>
        <v/>
      </c>
      <c r="E294" s="12" t="n"/>
      <c r="F294" s="12" t="n"/>
      <c r="G294" s="14" t="n"/>
      <c r="H294" s="14" t="n"/>
      <c r="I294" s="12" t="n"/>
      <c r="J294" s="14" t="n"/>
      <c r="K294" s="12" t="n"/>
      <c r="L294" s="13">
        <f>IF($K294="","",IFERROR(INDEX(Dept_Names,MATCH($K294,Dept_Codes,0)),"NOT FOUND"))</f>
        <v/>
      </c>
      <c r="M294" s="12" t="n"/>
      <c r="N294" s="13">
        <f>IF($M294="","",IFERROR(INDEX(Desig_Names,MATCH($M294,Desig_Codes,0)),"NOT FOUND"))</f>
        <v/>
      </c>
      <c r="O294" s="13">
        <f>IF($M294="","",IFERROR(INDEX(Desig_Levels,MATCH($M294,Desig_Codes,0)),""))</f>
        <v/>
      </c>
      <c r="P294" s="12" t="n"/>
      <c r="Q294" s="12" t="n"/>
      <c r="R294" s="12" t="n"/>
      <c r="S294" s="13">
        <f>IF($R294="","",IFERROR(INDEX(Emp_Names,MATCH($R294,Emp_Codes,0)),"NOT FOUND"))</f>
        <v/>
      </c>
      <c r="T294" s="12" t="n"/>
      <c r="U294" s="12" t="n"/>
      <c r="V294" s="12" t="n"/>
    </row>
    <row r="295">
      <c r="A295" s="12" t="n"/>
      <c r="B295" s="12" t="n"/>
      <c r="C295" s="12" t="n"/>
      <c r="D295" s="13">
        <f>IF($A295="","",TRIM($B295&amp;" "&amp;$C295))</f>
        <v/>
      </c>
      <c r="E295" s="12" t="n"/>
      <c r="F295" s="12" t="n"/>
      <c r="G295" s="14" t="n"/>
      <c r="H295" s="14" t="n"/>
      <c r="I295" s="12" t="n"/>
      <c r="J295" s="14" t="n"/>
      <c r="K295" s="12" t="n"/>
      <c r="L295" s="13">
        <f>IF($K295="","",IFERROR(INDEX(Dept_Names,MATCH($K295,Dept_Codes,0)),"NOT FOUND"))</f>
        <v/>
      </c>
      <c r="M295" s="12" t="n"/>
      <c r="N295" s="13">
        <f>IF($M295="","",IFERROR(INDEX(Desig_Names,MATCH($M295,Desig_Codes,0)),"NOT FOUND"))</f>
        <v/>
      </c>
      <c r="O295" s="13">
        <f>IF($M295="","",IFERROR(INDEX(Desig_Levels,MATCH($M295,Desig_Codes,0)),""))</f>
        <v/>
      </c>
      <c r="P295" s="12" t="n"/>
      <c r="Q295" s="12" t="n"/>
      <c r="R295" s="12" t="n"/>
      <c r="S295" s="13">
        <f>IF($R295="","",IFERROR(INDEX(Emp_Names,MATCH($R295,Emp_Codes,0)),"NOT FOUND"))</f>
        <v/>
      </c>
      <c r="T295" s="12" t="n"/>
      <c r="U295" s="12" t="n"/>
      <c r="V295" s="12" t="n"/>
    </row>
    <row r="296">
      <c r="A296" s="12" t="n"/>
      <c r="B296" s="12" t="n"/>
      <c r="C296" s="12" t="n"/>
      <c r="D296" s="13">
        <f>IF($A296="","",TRIM($B296&amp;" "&amp;$C296))</f>
        <v/>
      </c>
      <c r="E296" s="12" t="n"/>
      <c r="F296" s="12" t="n"/>
      <c r="G296" s="14" t="n"/>
      <c r="H296" s="14" t="n"/>
      <c r="I296" s="12" t="n"/>
      <c r="J296" s="14" t="n"/>
      <c r="K296" s="12" t="n"/>
      <c r="L296" s="13">
        <f>IF($K296="","",IFERROR(INDEX(Dept_Names,MATCH($K296,Dept_Codes,0)),"NOT FOUND"))</f>
        <v/>
      </c>
      <c r="M296" s="12" t="n"/>
      <c r="N296" s="13">
        <f>IF($M296="","",IFERROR(INDEX(Desig_Names,MATCH($M296,Desig_Codes,0)),"NOT FOUND"))</f>
        <v/>
      </c>
      <c r="O296" s="13">
        <f>IF($M296="","",IFERROR(INDEX(Desig_Levels,MATCH($M296,Desig_Codes,0)),""))</f>
        <v/>
      </c>
      <c r="P296" s="12" t="n"/>
      <c r="Q296" s="12" t="n"/>
      <c r="R296" s="12" t="n"/>
      <c r="S296" s="13">
        <f>IF($R296="","",IFERROR(INDEX(Emp_Names,MATCH($R296,Emp_Codes,0)),"NOT FOUND"))</f>
        <v/>
      </c>
      <c r="T296" s="12" t="n"/>
      <c r="U296" s="12" t="n"/>
      <c r="V296" s="12" t="n"/>
    </row>
    <row r="297">
      <c r="A297" s="12" t="n"/>
      <c r="B297" s="12" t="n"/>
      <c r="C297" s="12" t="n"/>
      <c r="D297" s="13">
        <f>IF($A297="","",TRIM($B297&amp;" "&amp;$C297))</f>
        <v/>
      </c>
      <c r="E297" s="12" t="n"/>
      <c r="F297" s="12" t="n"/>
      <c r="G297" s="14" t="n"/>
      <c r="H297" s="14" t="n"/>
      <c r="I297" s="12" t="n"/>
      <c r="J297" s="14" t="n"/>
      <c r="K297" s="12" t="n"/>
      <c r="L297" s="13">
        <f>IF($K297="","",IFERROR(INDEX(Dept_Names,MATCH($K297,Dept_Codes,0)),"NOT FOUND"))</f>
        <v/>
      </c>
      <c r="M297" s="12" t="n"/>
      <c r="N297" s="13">
        <f>IF($M297="","",IFERROR(INDEX(Desig_Names,MATCH($M297,Desig_Codes,0)),"NOT FOUND"))</f>
        <v/>
      </c>
      <c r="O297" s="13">
        <f>IF($M297="","",IFERROR(INDEX(Desig_Levels,MATCH($M297,Desig_Codes,0)),""))</f>
        <v/>
      </c>
      <c r="P297" s="12" t="n"/>
      <c r="Q297" s="12" t="n"/>
      <c r="R297" s="12" t="n"/>
      <c r="S297" s="13">
        <f>IF($R297="","",IFERROR(INDEX(Emp_Names,MATCH($R297,Emp_Codes,0)),"NOT FOUND"))</f>
        <v/>
      </c>
      <c r="T297" s="12" t="n"/>
      <c r="U297" s="12" t="n"/>
      <c r="V297" s="12" t="n"/>
    </row>
    <row r="298">
      <c r="A298" s="12" t="n"/>
      <c r="B298" s="12" t="n"/>
      <c r="C298" s="12" t="n"/>
      <c r="D298" s="13">
        <f>IF($A298="","",TRIM($B298&amp;" "&amp;$C298))</f>
        <v/>
      </c>
      <c r="E298" s="12" t="n"/>
      <c r="F298" s="12" t="n"/>
      <c r="G298" s="14" t="n"/>
      <c r="H298" s="14" t="n"/>
      <c r="I298" s="12" t="n"/>
      <c r="J298" s="14" t="n"/>
      <c r="K298" s="12" t="n"/>
      <c r="L298" s="13">
        <f>IF($K298="","",IFERROR(INDEX(Dept_Names,MATCH($K298,Dept_Codes,0)),"NOT FOUND"))</f>
        <v/>
      </c>
      <c r="M298" s="12" t="n"/>
      <c r="N298" s="13">
        <f>IF($M298="","",IFERROR(INDEX(Desig_Names,MATCH($M298,Desig_Codes,0)),"NOT FOUND"))</f>
        <v/>
      </c>
      <c r="O298" s="13">
        <f>IF($M298="","",IFERROR(INDEX(Desig_Levels,MATCH($M298,Desig_Codes,0)),""))</f>
        <v/>
      </c>
      <c r="P298" s="12" t="n"/>
      <c r="Q298" s="12" t="n"/>
      <c r="R298" s="12" t="n"/>
      <c r="S298" s="13">
        <f>IF($R298="","",IFERROR(INDEX(Emp_Names,MATCH($R298,Emp_Codes,0)),"NOT FOUND"))</f>
        <v/>
      </c>
      <c r="T298" s="12" t="n"/>
      <c r="U298" s="12" t="n"/>
      <c r="V298" s="12" t="n"/>
    </row>
    <row r="299">
      <c r="A299" s="12" t="n"/>
      <c r="B299" s="12" t="n"/>
      <c r="C299" s="12" t="n"/>
      <c r="D299" s="13">
        <f>IF($A299="","",TRIM($B299&amp;" "&amp;$C299))</f>
        <v/>
      </c>
      <c r="E299" s="12" t="n"/>
      <c r="F299" s="12" t="n"/>
      <c r="G299" s="14" t="n"/>
      <c r="H299" s="14" t="n"/>
      <c r="I299" s="12" t="n"/>
      <c r="J299" s="14" t="n"/>
      <c r="K299" s="12" t="n"/>
      <c r="L299" s="13">
        <f>IF($K299="","",IFERROR(INDEX(Dept_Names,MATCH($K299,Dept_Codes,0)),"NOT FOUND"))</f>
        <v/>
      </c>
      <c r="M299" s="12" t="n"/>
      <c r="N299" s="13">
        <f>IF($M299="","",IFERROR(INDEX(Desig_Names,MATCH($M299,Desig_Codes,0)),"NOT FOUND"))</f>
        <v/>
      </c>
      <c r="O299" s="13">
        <f>IF($M299="","",IFERROR(INDEX(Desig_Levels,MATCH($M299,Desig_Codes,0)),""))</f>
        <v/>
      </c>
      <c r="P299" s="12" t="n"/>
      <c r="Q299" s="12" t="n"/>
      <c r="R299" s="12" t="n"/>
      <c r="S299" s="13">
        <f>IF($R299="","",IFERROR(INDEX(Emp_Names,MATCH($R299,Emp_Codes,0)),"NOT FOUND"))</f>
        <v/>
      </c>
      <c r="T299" s="12" t="n"/>
      <c r="U299" s="12" t="n"/>
      <c r="V299" s="12" t="n"/>
    </row>
    <row r="300">
      <c r="A300" s="12" t="n"/>
      <c r="B300" s="12" t="n"/>
      <c r="C300" s="12" t="n"/>
      <c r="D300" s="13">
        <f>IF($A300="","",TRIM($B300&amp;" "&amp;$C300))</f>
        <v/>
      </c>
      <c r="E300" s="12" t="n"/>
      <c r="F300" s="12" t="n"/>
      <c r="G300" s="14" t="n"/>
      <c r="H300" s="14" t="n"/>
      <c r="I300" s="12" t="n"/>
      <c r="J300" s="14" t="n"/>
      <c r="K300" s="12" t="n"/>
      <c r="L300" s="13">
        <f>IF($K300="","",IFERROR(INDEX(Dept_Names,MATCH($K300,Dept_Codes,0)),"NOT FOUND"))</f>
        <v/>
      </c>
      <c r="M300" s="12" t="n"/>
      <c r="N300" s="13">
        <f>IF($M300="","",IFERROR(INDEX(Desig_Names,MATCH($M300,Desig_Codes,0)),"NOT FOUND"))</f>
        <v/>
      </c>
      <c r="O300" s="13">
        <f>IF($M300="","",IFERROR(INDEX(Desig_Levels,MATCH($M300,Desig_Codes,0)),""))</f>
        <v/>
      </c>
      <c r="P300" s="12" t="n"/>
      <c r="Q300" s="12" t="n"/>
      <c r="R300" s="12" t="n"/>
      <c r="S300" s="13">
        <f>IF($R300="","",IFERROR(INDEX(Emp_Names,MATCH($R300,Emp_Codes,0)),"NOT FOUND"))</f>
        <v/>
      </c>
      <c r="T300" s="12" t="n"/>
      <c r="U300" s="12" t="n"/>
      <c r="V300" s="12" t="n"/>
    </row>
    <row r="301">
      <c r="A301" s="12" t="n"/>
      <c r="B301" s="12" t="n"/>
      <c r="C301" s="12" t="n"/>
      <c r="D301" s="13">
        <f>IF($A301="","",TRIM($B301&amp;" "&amp;$C301))</f>
        <v/>
      </c>
      <c r="E301" s="12" t="n"/>
      <c r="F301" s="12" t="n"/>
      <c r="G301" s="14" t="n"/>
      <c r="H301" s="14" t="n"/>
      <c r="I301" s="12" t="n"/>
      <c r="J301" s="14" t="n"/>
      <c r="K301" s="12" t="n"/>
      <c r="L301" s="13">
        <f>IF($K301="","",IFERROR(INDEX(Dept_Names,MATCH($K301,Dept_Codes,0)),"NOT FOUND"))</f>
        <v/>
      </c>
      <c r="M301" s="12" t="n"/>
      <c r="N301" s="13">
        <f>IF($M301="","",IFERROR(INDEX(Desig_Names,MATCH($M301,Desig_Codes,0)),"NOT FOUND"))</f>
        <v/>
      </c>
      <c r="O301" s="13">
        <f>IF($M301="","",IFERROR(INDEX(Desig_Levels,MATCH($M301,Desig_Codes,0)),""))</f>
        <v/>
      </c>
      <c r="P301" s="12" t="n"/>
      <c r="Q301" s="12" t="n"/>
      <c r="R301" s="12" t="n"/>
      <c r="S301" s="13">
        <f>IF($R301="","",IFERROR(INDEX(Emp_Names,MATCH($R301,Emp_Codes,0)),"NOT FOUND"))</f>
        <v/>
      </c>
      <c r="T301" s="12" t="n"/>
      <c r="U301" s="12" t="n"/>
      <c r="V301" s="12" t="n"/>
    </row>
    <row r="302">
      <c r="A302" s="12" t="n"/>
      <c r="B302" s="12" t="n"/>
      <c r="C302" s="12" t="n"/>
      <c r="D302" s="13">
        <f>IF($A302="","",TRIM($B302&amp;" "&amp;$C302))</f>
        <v/>
      </c>
      <c r="E302" s="12" t="n"/>
      <c r="F302" s="12" t="n"/>
      <c r="G302" s="14" t="n"/>
      <c r="H302" s="14" t="n"/>
      <c r="I302" s="12" t="n"/>
      <c r="J302" s="14" t="n"/>
      <c r="K302" s="12" t="n"/>
      <c r="L302" s="13">
        <f>IF($K302="","",IFERROR(INDEX(Dept_Names,MATCH($K302,Dept_Codes,0)),"NOT FOUND"))</f>
        <v/>
      </c>
      <c r="M302" s="12" t="n"/>
      <c r="N302" s="13">
        <f>IF($M302="","",IFERROR(INDEX(Desig_Names,MATCH($M302,Desig_Codes,0)),"NOT FOUND"))</f>
        <v/>
      </c>
      <c r="O302" s="13">
        <f>IF($M302="","",IFERROR(INDEX(Desig_Levels,MATCH($M302,Desig_Codes,0)),""))</f>
        <v/>
      </c>
      <c r="P302" s="12" t="n"/>
      <c r="Q302" s="12" t="n"/>
      <c r="R302" s="12" t="n"/>
      <c r="S302" s="13">
        <f>IF($R302="","",IFERROR(INDEX(Emp_Names,MATCH($R302,Emp_Codes,0)),"NOT FOUND"))</f>
        <v/>
      </c>
      <c r="T302" s="12" t="n"/>
      <c r="U302" s="12" t="n"/>
      <c r="V302" s="12" t="n"/>
    </row>
    <row r="303">
      <c r="A303" s="12" t="n"/>
      <c r="B303" s="12" t="n"/>
      <c r="C303" s="12" t="n"/>
      <c r="D303" s="13">
        <f>IF($A303="","",TRIM($B303&amp;" "&amp;$C303))</f>
        <v/>
      </c>
      <c r="E303" s="12" t="n"/>
      <c r="F303" s="12" t="n"/>
      <c r="G303" s="14" t="n"/>
      <c r="H303" s="14" t="n"/>
      <c r="I303" s="12" t="n"/>
      <c r="J303" s="14" t="n"/>
      <c r="K303" s="12" t="n"/>
      <c r="L303" s="13">
        <f>IF($K303="","",IFERROR(INDEX(Dept_Names,MATCH($K303,Dept_Codes,0)),"NOT FOUND"))</f>
        <v/>
      </c>
      <c r="M303" s="12" t="n"/>
      <c r="N303" s="13">
        <f>IF($M303="","",IFERROR(INDEX(Desig_Names,MATCH($M303,Desig_Codes,0)),"NOT FOUND"))</f>
        <v/>
      </c>
      <c r="O303" s="13">
        <f>IF($M303="","",IFERROR(INDEX(Desig_Levels,MATCH($M303,Desig_Codes,0)),""))</f>
        <v/>
      </c>
      <c r="P303" s="12" t="n"/>
      <c r="Q303" s="12" t="n"/>
      <c r="R303" s="12" t="n"/>
      <c r="S303" s="13">
        <f>IF($R303="","",IFERROR(INDEX(Emp_Names,MATCH($R303,Emp_Codes,0)),"NOT FOUND"))</f>
        <v/>
      </c>
      <c r="T303" s="12" t="n"/>
      <c r="U303" s="12" t="n"/>
      <c r="V303" s="12" t="n"/>
    </row>
    <row r="304">
      <c r="A304" s="12" t="n"/>
      <c r="B304" s="12" t="n"/>
      <c r="C304" s="12" t="n"/>
      <c r="D304" s="13">
        <f>IF($A304="","",TRIM($B304&amp;" "&amp;$C304))</f>
        <v/>
      </c>
      <c r="E304" s="12" t="n"/>
      <c r="F304" s="12" t="n"/>
      <c r="G304" s="14" t="n"/>
      <c r="H304" s="14" t="n"/>
      <c r="I304" s="12" t="n"/>
      <c r="J304" s="14" t="n"/>
      <c r="K304" s="12" t="n"/>
      <c r="L304" s="13">
        <f>IF($K304="","",IFERROR(INDEX(Dept_Names,MATCH($K304,Dept_Codes,0)),"NOT FOUND"))</f>
        <v/>
      </c>
      <c r="M304" s="12" t="n"/>
      <c r="N304" s="13">
        <f>IF($M304="","",IFERROR(INDEX(Desig_Names,MATCH($M304,Desig_Codes,0)),"NOT FOUND"))</f>
        <v/>
      </c>
      <c r="O304" s="13">
        <f>IF($M304="","",IFERROR(INDEX(Desig_Levels,MATCH($M304,Desig_Codes,0)),""))</f>
        <v/>
      </c>
      <c r="P304" s="12" t="n"/>
      <c r="Q304" s="12" t="n"/>
      <c r="R304" s="12" t="n"/>
      <c r="S304" s="13">
        <f>IF($R304="","",IFERROR(INDEX(Emp_Names,MATCH($R304,Emp_Codes,0)),"NOT FOUND"))</f>
        <v/>
      </c>
      <c r="T304" s="12" t="n"/>
      <c r="U304" s="12" t="n"/>
      <c r="V304" s="12" t="n"/>
    </row>
    <row r="305">
      <c r="A305" s="12" t="n"/>
      <c r="B305" s="12" t="n"/>
      <c r="C305" s="12" t="n"/>
      <c r="D305" s="13">
        <f>IF($A305="","",TRIM($B305&amp;" "&amp;$C305))</f>
        <v/>
      </c>
      <c r="E305" s="12" t="n"/>
      <c r="F305" s="12" t="n"/>
      <c r="G305" s="14" t="n"/>
      <c r="H305" s="14" t="n"/>
      <c r="I305" s="12" t="n"/>
      <c r="J305" s="14" t="n"/>
      <c r="K305" s="12" t="n"/>
      <c r="L305" s="13">
        <f>IF($K305="","",IFERROR(INDEX(Dept_Names,MATCH($K305,Dept_Codes,0)),"NOT FOUND"))</f>
        <v/>
      </c>
      <c r="M305" s="12" t="n"/>
      <c r="N305" s="13">
        <f>IF($M305="","",IFERROR(INDEX(Desig_Names,MATCH($M305,Desig_Codes,0)),"NOT FOUND"))</f>
        <v/>
      </c>
      <c r="O305" s="13">
        <f>IF($M305="","",IFERROR(INDEX(Desig_Levels,MATCH($M305,Desig_Codes,0)),""))</f>
        <v/>
      </c>
      <c r="P305" s="12" t="n"/>
      <c r="Q305" s="12" t="n"/>
      <c r="R305" s="12" t="n"/>
      <c r="S305" s="13">
        <f>IF($R305="","",IFERROR(INDEX(Emp_Names,MATCH($R305,Emp_Codes,0)),"NOT FOUND"))</f>
        <v/>
      </c>
      <c r="T305" s="12" t="n"/>
      <c r="U305" s="12" t="n"/>
      <c r="V305" s="12" t="n"/>
    </row>
    <row r="306">
      <c r="A306" s="12" t="n"/>
      <c r="B306" s="12" t="n"/>
      <c r="C306" s="12" t="n"/>
      <c r="D306" s="13">
        <f>IF($A306="","",TRIM($B306&amp;" "&amp;$C306))</f>
        <v/>
      </c>
      <c r="E306" s="12" t="n"/>
      <c r="F306" s="12" t="n"/>
      <c r="G306" s="14" t="n"/>
      <c r="H306" s="14" t="n"/>
      <c r="I306" s="12" t="n"/>
      <c r="J306" s="14" t="n"/>
      <c r="K306" s="12" t="n"/>
      <c r="L306" s="13">
        <f>IF($K306="","",IFERROR(INDEX(Dept_Names,MATCH($K306,Dept_Codes,0)),"NOT FOUND"))</f>
        <v/>
      </c>
      <c r="M306" s="12" t="n"/>
      <c r="N306" s="13">
        <f>IF($M306="","",IFERROR(INDEX(Desig_Names,MATCH($M306,Desig_Codes,0)),"NOT FOUND"))</f>
        <v/>
      </c>
      <c r="O306" s="13">
        <f>IF($M306="","",IFERROR(INDEX(Desig_Levels,MATCH($M306,Desig_Codes,0)),""))</f>
        <v/>
      </c>
      <c r="P306" s="12" t="n"/>
      <c r="Q306" s="12" t="n"/>
      <c r="R306" s="12" t="n"/>
      <c r="S306" s="13">
        <f>IF($R306="","",IFERROR(INDEX(Emp_Names,MATCH($R306,Emp_Codes,0)),"NOT FOUND"))</f>
        <v/>
      </c>
      <c r="T306" s="12" t="n"/>
      <c r="U306" s="12" t="n"/>
      <c r="V306" s="12" t="n"/>
    </row>
    <row r="307">
      <c r="A307" s="12" t="n"/>
      <c r="B307" s="12" t="n"/>
      <c r="C307" s="12" t="n"/>
      <c r="D307" s="13">
        <f>IF($A307="","",TRIM($B307&amp;" "&amp;$C307))</f>
        <v/>
      </c>
      <c r="E307" s="12" t="n"/>
      <c r="F307" s="12" t="n"/>
      <c r="G307" s="14" t="n"/>
      <c r="H307" s="14" t="n"/>
      <c r="I307" s="12" t="n"/>
      <c r="J307" s="14" t="n"/>
      <c r="K307" s="12" t="n"/>
      <c r="L307" s="13">
        <f>IF($K307="","",IFERROR(INDEX(Dept_Names,MATCH($K307,Dept_Codes,0)),"NOT FOUND"))</f>
        <v/>
      </c>
      <c r="M307" s="12" t="n"/>
      <c r="N307" s="13">
        <f>IF($M307="","",IFERROR(INDEX(Desig_Names,MATCH($M307,Desig_Codes,0)),"NOT FOUND"))</f>
        <v/>
      </c>
      <c r="O307" s="13">
        <f>IF($M307="","",IFERROR(INDEX(Desig_Levels,MATCH($M307,Desig_Codes,0)),""))</f>
        <v/>
      </c>
      <c r="P307" s="12" t="n"/>
      <c r="Q307" s="12" t="n"/>
      <c r="R307" s="12" t="n"/>
      <c r="S307" s="13">
        <f>IF($R307="","",IFERROR(INDEX(Emp_Names,MATCH($R307,Emp_Codes,0)),"NOT FOUND"))</f>
        <v/>
      </c>
      <c r="T307" s="12" t="n"/>
      <c r="U307" s="12" t="n"/>
      <c r="V307" s="12" t="n"/>
    </row>
    <row r="308">
      <c r="A308" s="12" t="n"/>
      <c r="B308" s="12" t="n"/>
      <c r="C308" s="12" t="n"/>
      <c r="D308" s="13">
        <f>IF($A308="","",TRIM($B308&amp;" "&amp;$C308))</f>
        <v/>
      </c>
      <c r="E308" s="12" t="n"/>
      <c r="F308" s="12" t="n"/>
      <c r="G308" s="14" t="n"/>
      <c r="H308" s="14" t="n"/>
      <c r="I308" s="12" t="n"/>
      <c r="J308" s="14" t="n"/>
      <c r="K308" s="12" t="n"/>
      <c r="L308" s="13">
        <f>IF($K308="","",IFERROR(INDEX(Dept_Names,MATCH($K308,Dept_Codes,0)),"NOT FOUND"))</f>
        <v/>
      </c>
      <c r="M308" s="12" t="n"/>
      <c r="N308" s="13">
        <f>IF($M308="","",IFERROR(INDEX(Desig_Names,MATCH($M308,Desig_Codes,0)),"NOT FOUND"))</f>
        <v/>
      </c>
      <c r="O308" s="13">
        <f>IF($M308="","",IFERROR(INDEX(Desig_Levels,MATCH($M308,Desig_Codes,0)),""))</f>
        <v/>
      </c>
      <c r="P308" s="12" t="n"/>
      <c r="Q308" s="12" t="n"/>
      <c r="R308" s="12" t="n"/>
      <c r="S308" s="13">
        <f>IF($R308="","",IFERROR(INDEX(Emp_Names,MATCH($R308,Emp_Codes,0)),"NOT FOUND"))</f>
        <v/>
      </c>
      <c r="T308" s="12" t="n"/>
      <c r="U308" s="12" t="n"/>
      <c r="V308" s="12" t="n"/>
    </row>
    <row r="309">
      <c r="A309" s="12" t="n"/>
      <c r="B309" s="12" t="n"/>
      <c r="C309" s="12" t="n"/>
      <c r="D309" s="13">
        <f>IF($A309="","",TRIM($B309&amp;" "&amp;$C309))</f>
        <v/>
      </c>
      <c r="E309" s="12" t="n"/>
      <c r="F309" s="12" t="n"/>
      <c r="G309" s="14" t="n"/>
      <c r="H309" s="14" t="n"/>
      <c r="I309" s="12" t="n"/>
      <c r="J309" s="14" t="n"/>
      <c r="K309" s="12" t="n"/>
      <c r="L309" s="13">
        <f>IF($K309="","",IFERROR(INDEX(Dept_Names,MATCH($K309,Dept_Codes,0)),"NOT FOUND"))</f>
        <v/>
      </c>
      <c r="M309" s="12" t="n"/>
      <c r="N309" s="13">
        <f>IF($M309="","",IFERROR(INDEX(Desig_Names,MATCH($M309,Desig_Codes,0)),"NOT FOUND"))</f>
        <v/>
      </c>
      <c r="O309" s="13">
        <f>IF($M309="","",IFERROR(INDEX(Desig_Levels,MATCH($M309,Desig_Codes,0)),""))</f>
        <v/>
      </c>
      <c r="P309" s="12" t="n"/>
      <c r="Q309" s="12" t="n"/>
      <c r="R309" s="12" t="n"/>
      <c r="S309" s="13">
        <f>IF($R309="","",IFERROR(INDEX(Emp_Names,MATCH($R309,Emp_Codes,0)),"NOT FOUND"))</f>
        <v/>
      </c>
      <c r="T309" s="12" t="n"/>
      <c r="U309" s="12" t="n"/>
      <c r="V309" s="12" t="n"/>
    </row>
    <row r="310">
      <c r="A310" s="12" t="n"/>
      <c r="B310" s="12" t="n"/>
      <c r="C310" s="12" t="n"/>
      <c r="D310" s="13">
        <f>IF($A310="","",TRIM($B310&amp;" "&amp;$C310))</f>
        <v/>
      </c>
      <c r="E310" s="12" t="n"/>
      <c r="F310" s="12" t="n"/>
      <c r="G310" s="14" t="n"/>
      <c r="H310" s="14" t="n"/>
      <c r="I310" s="12" t="n"/>
      <c r="J310" s="14" t="n"/>
      <c r="K310" s="12" t="n"/>
      <c r="L310" s="13">
        <f>IF($K310="","",IFERROR(INDEX(Dept_Names,MATCH($K310,Dept_Codes,0)),"NOT FOUND"))</f>
        <v/>
      </c>
      <c r="M310" s="12" t="n"/>
      <c r="N310" s="13">
        <f>IF($M310="","",IFERROR(INDEX(Desig_Names,MATCH($M310,Desig_Codes,0)),"NOT FOUND"))</f>
        <v/>
      </c>
      <c r="O310" s="13">
        <f>IF($M310="","",IFERROR(INDEX(Desig_Levels,MATCH($M310,Desig_Codes,0)),""))</f>
        <v/>
      </c>
      <c r="P310" s="12" t="n"/>
      <c r="Q310" s="12" t="n"/>
      <c r="R310" s="12" t="n"/>
      <c r="S310" s="13">
        <f>IF($R310="","",IFERROR(INDEX(Emp_Names,MATCH($R310,Emp_Codes,0)),"NOT FOUND"))</f>
        <v/>
      </c>
      <c r="T310" s="12" t="n"/>
      <c r="U310" s="12" t="n"/>
      <c r="V310" s="12" t="n"/>
    </row>
    <row r="311">
      <c r="A311" s="12" t="n"/>
      <c r="B311" s="12" t="n"/>
      <c r="C311" s="12" t="n"/>
      <c r="D311" s="13">
        <f>IF($A311="","",TRIM($B311&amp;" "&amp;$C311))</f>
        <v/>
      </c>
      <c r="E311" s="12" t="n"/>
      <c r="F311" s="12" t="n"/>
      <c r="G311" s="14" t="n"/>
      <c r="H311" s="14" t="n"/>
      <c r="I311" s="12" t="n"/>
      <c r="J311" s="14" t="n"/>
      <c r="K311" s="12" t="n"/>
      <c r="L311" s="13">
        <f>IF($K311="","",IFERROR(INDEX(Dept_Names,MATCH($K311,Dept_Codes,0)),"NOT FOUND"))</f>
        <v/>
      </c>
      <c r="M311" s="12" t="n"/>
      <c r="N311" s="13">
        <f>IF($M311="","",IFERROR(INDEX(Desig_Names,MATCH($M311,Desig_Codes,0)),"NOT FOUND"))</f>
        <v/>
      </c>
      <c r="O311" s="13">
        <f>IF($M311="","",IFERROR(INDEX(Desig_Levels,MATCH($M311,Desig_Codes,0)),""))</f>
        <v/>
      </c>
      <c r="P311" s="12" t="n"/>
      <c r="Q311" s="12" t="n"/>
      <c r="R311" s="12" t="n"/>
      <c r="S311" s="13">
        <f>IF($R311="","",IFERROR(INDEX(Emp_Names,MATCH($R311,Emp_Codes,0)),"NOT FOUND"))</f>
        <v/>
      </c>
      <c r="T311" s="12" t="n"/>
      <c r="U311" s="12" t="n"/>
      <c r="V311" s="12" t="n"/>
    </row>
    <row r="312">
      <c r="A312" s="12" t="n"/>
      <c r="B312" s="12" t="n"/>
      <c r="C312" s="12" t="n"/>
      <c r="D312" s="13">
        <f>IF($A312="","",TRIM($B312&amp;" "&amp;$C312))</f>
        <v/>
      </c>
      <c r="E312" s="12" t="n"/>
      <c r="F312" s="12" t="n"/>
      <c r="G312" s="14" t="n"/>
      <c r="H312" s="14" t="n"/>
      <c r="I312" s="12" t="n"/>
      <c r="J312" s="14" t="n"/>
      <c r="K312" s="12" t="n"/>
      <c r="L312" s="13">
        <f>IF($K312="","",IFERROR(INDEX(Dept_Names,MATCH($K312,Dept_Codes,0)),"NOT FOUND"))</f>
        <v/>
      </c>
      <c r="M312" s="12" t="n"/>
      <c r="N312" s="13">
        <f>IF($M312="","",IFERROR(INDEX(Desig_Names,MATCH($M312,Desig_Codes,0)),"NOT FOUND"))</f>
        <v/>
      </c>
      <c r="O312" s="13">
        <f>IF($M312="","",IFERROR(INDEX(Desig_Levels,MATCH($M312,Desig_Codes,0)),""))</f>
        <v/>
      </c>
      <c r="P312" s="12" t="n"/>
      <c r="Q312" s="12" t="n"/>
      <c r="R312" s="12" t="n"/>
      <c r="S312" s="13">
        <f>IF($R312="","",IFERROR(INDEX(Emp_Names,MATCH($R312,Emp_Codes,0)),"NOT FOUND"))</f>
        <v/>
      </c>
      <c r="T312" s="12" t="n"/>
      <c r="U312" s="12" t="n"/>
      <c r="V312" s="12" t="n"/>
    </row>
    <row r="313">
      <c r="A313" s="12" t="n"/>
      <c r="B313" s="12" t="n"/>
      <c r="C313" s="12" t="n"/>
      <c r="D313" s="13">
        <f>IF($A313="","",TRIM($B313&amp;" "&amp;$C313))</f>
        <v/>
      </c>
      <c r="E313" s="12" t="n"/>
      <c r="F313" s="12" t="n"/>
      <c r="G313" s="14" t="n"/>
      <c r="H313" s="14" t="n"/>
      <c r="I313" s="12" t="n"/>
      <c r="J313" s="14" t="n"/>
      <c r="K313" s="12" t="n"/>
      <c r="L313" s="13">
        <f>IF($K313="","",IFERROR(INDEX(Dept_Names,MATCH($K313,Dept_Codes,0)),"NOT FOUND"))</f>
        <v/>
      </c>
      <c r="M313" s="12" t="n"/>
      <c r="N313" s="13">
        <f>IF($M313="","",IFERROR(INDEX(Desig_Names,MATCH($M313,Desig_Codes,0)),"NOT FOUND"))</f>
        <v/>
      </c>
      <c r="O313" s="13">
        <f>IF($M313="","",IFERROR(INDEX(Desig_Levels,MATCH($M313,Desig_Codes,0)),""))</f>
        <v/>
      </c>
      <c r="P313" s="12" t="n"/>
      <c r="Q313" s="12" t="n"/>
      <c r="R313" s="12" t="n"/>
      <c r="S313" s="13">
        <f>IF($R313="","",IFERROR(INDEX(Emp_Names,MATCH($R313,Emp_Codes,0)),"NOT FOUND"))</f>
        <v/>
      </c>
      <c r="T313" s="12" t="n"/>
      <c r="U313" s="12" t="n"/>
      <c r="V313" s="12" t="n"/>
    </row>
    <row r="314">
      <c r="A314" s="12" t="n"/>
      <c r="B314" s="12" t="n"/>
      <c r="C314" s="12" t="n"/>
      <c r="D314" s="13">
        <f>IF($A314="","",TRIM($B314&amp;" "&amp;$C314))</f>
        <v/>
      </c>
      <c r="E314" s="12" t="n"/>
      <c r="F314" s="12" t="n"/>
      <c r="G314" s="14" t="n"/>
      <c r="H314" s="14" t="n"/>
      <c r="I314" s="12" t="n"/>
      <c r="J314" s="14" t="n"/>
      <c r="K314" s="12" t="n"/>
      <c r="L314" s="13">
        <f>IF($K314="","",IFERROR(INDEX(Dept_Names,MATCH($K314,Dept_Codes,0)),"NOT FOUND"))</f>
        <v/>
      </c>
      <c r="M314" s="12" t="n"/>
      <c r="N314" s="13">
        <f>IF($M314="","",IFERROR(INDEX(Desig_Names,MATCH($M314,Desig_Codes,0)),"NOT FOUND"))</f>
        <v/>
      </c>
      <c r="O314" s="13">
        <f>IF($M314="","",IFERROR(INDEX(Desig_Levels,MATCH($M314,Desig_Codes,0)),""))</f>
        <v/>
      </c>
      <c r="P314" s="12" t="n"/>
      <c r="Q314" s="12" t="n"/>
      <c r="R314" s="12" t="n"/>
      <c r="S314" s="13">
        <f>IF($R314="","",IFERROR(INDEX(Emp_Names,MATCH($R314,Emp_Codes,0)),"NOT FOUND"))</f>
        <v/>
      </c>
      <c r="T314" s="12" t="n"/>
      <c r="U314" s="12" t="n"/>
      <c r="V314" s="12" t="n"/>
    </row>
    <row r="315">
      <c r="A315" s="12" t="n"/>
      <c r="B315" s="12" t="n"/>
      <c r="C315" s="12" t="n"/>
      <c r="D315" s="13">
        <f>IF($A315="","",TRIM($B315&amp;" "&amp;$C315))</f>
        <v/>
      </c>
      <c r="E315" s="12" t="n"/>
      <c r="F315" s="12" t="n"/>
      <c r="G315" s="14" t="n"/>
      <c r="H315" s="14" t="n"/>
      <c r="I315" s="12" t="n"/>
      <c r="J315" s="14" t="n"/>
      <c r="K315" s="12" t="n"/>
      <c r="L315" s="13">
        <f>IF($K315="","",IFERROR(INDEX(Dept_Names,MATCH($K315,Dept_Codes,0)),"NOT FOUND"))</f>
        <v/>
      </c>
      <c r="M315" s="12" t="n"/>
      <c r="N315" s="13">
        <f>IF($M315="","",IFERROR(INDEX(Desig_Names,MATCH($M315,Desig_Codes,0)),"NOT FOUND"))</f>
        <v/>
      </c>
      <c r="O315" s="13">
        <f>IF($M315="","",IFERROR(INDEX(Desig_Levels,MATCH($M315,Desig_Codes,0)),""))</f>
        <v/>
      </c>
      <c r="P315" s="12" t="n"/>
      <c r="Q315" s="12" t="n"/>
      <c r="R315" s="12" t="n"/>
      <c r="S315" s="13">
        <f>IF($R315="","",IFERROR(INDEX(Emp_Names,MATCH($R315,Emp_Codes,0)),"NOT FOUND"))</f>
        <v/>
      </c>
      <c r="T315" s="12" t="n"/>
      <c r="U315" s="12" t="n"/>
      <c r="V315" s="12" t="n"/>
    </row>
    <row r="316">
      <c r="A316" s="12" t="n"/>
      <c r="B316" s="12" t="n"/>
      <c r="C316" s="12" t="n"/>
      <c r="D316" s="13">
        <f>IF($A316="","",TRIM($B316&amp;" "&amp;$C316))</f>
        <v/>
      </c>
      <c r="E316" s="12" t="n"/>
      <c r="F316" s="12" t="n"/>
      <c r="G316" s="14" t="n"/>
      <c r="H316" s="14" t="n"/>
      <c r="I316" s="12" t="n"/>
      <c r="J316" s="14" t="n"/>
      <c r="K316" s="12" t="n"/>
      <c r="L316" s="13">
        <f>IF($K316="","",IFERROR(INDEX(Dept_Names,MATCH($K316,Dept_Codes,0)),"NOT FOUND"))</f>
        <v/>
      </c>
      <c r="M316" s="12" t="n"/>
      <c r="N316" s="13">
        <f>IF($M316="","",IFERROR(INDEX(Desig_Names,MATCH($M316,Desig_Codes,0)),"NOT FOUND"))</f>
        <v/>
      </c>
      <c r="O316" s="13">
        <f>IF($M316="","",IFERROR(INDEX(Desig_Levels,MATCH($M316,Desig_Codes,0)),""))</f>
        <v/>
      </c>
      <c r="P316" s="12" t="n"/>
      <c r="Q316" s="12" t="n"/>
      <c r="R316" s="12" t="n"/>
      <c r="S316" s="13">
        <f>IF($R316="","",IFERROR(INDEX(Emp_Names,MATCH($R316,Emp_Codes,0)),"NOT FOUND"))</f>
        <v/>
      </c>
      <c r="T316" s="12" t="n"/>
      <c r="U316" s="12" t="n"/>
      <c r="V316" s="12" t="n"/>
    </row>
    <row r="317">
      <c r="A317" s="12" t="n"/>
      <c r="B317" s="12" t="n"/>
      <c r="C317" s="12" t="n"/>
      <c r="D317" s="13">
        <f>IF($A317="","",TRIM($B317&amp;" "&amp;$C317))</f>
        <v/>
      </c>
      <c r="E317" s="12" t="n"/>
      <c r="F317" s="12" t="n"/>
      <c r="G317" s="14" t="n"/>
      <c r="H317" s="14" t="n"/>
      <c r="I317" s="12" t="n"/>
      <c r="J317" s="14" t="n"/>
      <c r="K317" s="12" t="n"/>
      <c r="L317" s="13">
        <f>IF($K317="","",IFERROR(INDEX(Dept_Names,MATCH($K317,Dept_Codes,0)),"NOT FOUND"))</f>
        <v/>
      </c>
      <c r="M317" s="12" t="n"/>
      <c r="N317" s="13">
        <f>IF($M317="","",IFERROR(INDEX(Desig_Names,MATCH($M317,Desig_Codes,0)),"NOT FOUND"))</f>
        <v/>
      </c>
      <c r="O317" s="13">
        <f>IF($M317="","",IFERROR(INDEX(Desig_Levels,MATCH($M317,Desig_Codes,0)),""))</f>
        <v/>
      </c>
      <c r="P317" s="12" t="n"/>
      <c r="Q317" s="12" t="n"/>
      <c r="R317" s="12" t="n"/>
      <c r="S317" s="13">
        <f>IF($R317="","",IFERROR(INDEX(Emp_Names,MATCH($R317,Emp_Codes,0)),"NOT FOUND"))</f>
        <v/>
      </c>
      <c r="T317" s="12" t="n"/>
      <c r="U317" s="12" t="n"/>
      <c r="V317" s="12" t="n"/>
    </row>
    <row r="318">
      <c r="A318" s="12" t="n"/>
      <c r="B318" s="12" t="n"/>
      <c r="C318" s="12" t="n"/>
      <c r="D318" s="13">
        <f>IF($A318="","",TRIM($B318&amp;" "&amp;$C318))</f>
        <v/>
      </c>
      <c r="E318" s="12" t="n"/>
      <c r="F318" s="12" t="n"/>
      <c r="G318" s="14" t="n"/>
      <c r="H318" s="14" t="n"/>
      <c r="I318" s="12" t="n"/>
      <c r="J318" s="14" t="n"/>
      <c r="K318" s="12" t="n"/>
      <c r="L318" s="13">
        <f>IF($K318="","",IFERROR(INDEX(Dept_Names,MATCH($K318,Dept_Codes,0)),"NOT FOUND"))</f>
        <v/>
      </c>
      <c r="M318" s="12" t="n"/>
      <c r="N318" s="13">
        <f>IF($M318="","",IFERROR(INDEX(Desig_Names,MATCH($M318,Desig_Codes,0)),"NOT FOUND"))</f>
        <v/>
      </c>
      <c r="O318" s="13">
        <f>IF($M318="","",IFERROR(INDEX(Desig_Levels,MATCH($M318,Desig_Codes,0)),""))</f>
        <v/>
      </c>
      <c r="P318" s="12" t="n"/>
      <c r="Q318" s="12" t="n"/>
      <c r="R318" s="12" t="n"/>
      <c r="S318" s="13">
        <f>IF($R318="","",IFERROR(INDEX(Emp_Names,MATCH($R318,Emp_Codes,0)),"NOT FOUND"))</f>
        <v/>
      </c>
      <c r="T318" s="12" t="n"/>
      <c r="U318" s="12" t="n"/>
      <c r="V318" s="12" t="n"/>
    </row>
    <row r="319">
      <c r="A319" s="12" t="n"/>
      <c r="B319" s="12" t="n"/>
      <c r="C319" s="12" t="n"/>
      <c r="D319" s="13">
        <f>IF($A319="","",TRIM($B319&amp;" "&amp;$C319))</f>
        <v/>
      </c>
      <c r="E319" s="12" t="n"/>
      <c r="F319" s="12" t="n"/>
      <c r="G319" s="14" t="n"/>
      <c r="H319" s="14" t="n"/>
      <c r="I319" s="12" t="n"/>
      <c r="J319" s="14" t="n"/>
      <c r="K319" s="12" t="n"/>
      <c r="L319" s="13">
        <f>IF($K319="","",IFERROR(INDEX(Dept_Names,MATCH($K319,Dept_Codes,0)),"NOT FOUND"))</f>
        <v/>
      </c>
      <c r="M319" s="12" t="n"/>
      <c r="N319" s="13">
        <f>IF($M319="","",IFERROR(INDEX(Desig_Names,MATCH($M319,Desig_Codes,0)),"NOT FOUND"))</f>
        <v/>
      </c>
      <c r="O319" s="13">
        <f>IF($M319="","",IFERROR(INDEX(Desig_Levels,MATCH($M319,Desig_Codes,0)),""))</f>
        <v/>
      </c>
      <c r="P319" s="12" t="n"/>
      <c r="Q319" s="12" t="n"/>
      <c r="R319" s="12" t="n"/>
      <c r="S319" s="13">
        <f>IF($R319="","",IFERROR(INDEX(Emp_Names,MATCH($R319,Emp_Codes,0)),"NOT FOUND"))</f>
        <v/>
      </c>
      <c r="T319" s="12" t="n"/>
      <c r="U319" s="12" t="n"/>
      <c r="V319" s="12" t="n"/>
    </row>
    <row r="320">
      <c r="A320" s="12" t="n"/>
      <c r="B320" s="12" t="n"/>
      <c r="C320" s="12" t="n"/>
      <c r="D320" s="13">
        <f>IF($A320="","",TRIM($B320&amp;" "&amp;$C320))</f>
        <v/>
      </c>
      <c r="E320" s="12" t="n"/>
      <c r="F320" s="12" t="n"/>
      <c r="G320" s="14" t="n"/>
      <c r="H320" s="14" t="n"/>
      <c r="I320" s="12" t="n"/>
      <c r="J320" s="14" t="n"/>
      <c r="K320" s="12" t="n"/>
      <c r="L320" s="13">
        <f>IF($K320="","",IFERROR(INDEX(Dept_Names,MATCH($K320,Dept_Codes,0)),"NOT FOUND"))</f>
        <v/>
      </c>
      <c r="M320" s="12" t="n"/>
      <c r="N320" s="13">
        <f>IF($M320="","",IFERROR(INDEX(Desig_Names,MATCH($M320,Desig_Codes,0)),"NOT FOUND"))</f>
        <v/>
      </c>
      <c r="O320" s="13">
        <f>IF($M320="","",IFERROR(INDEX(Desig_Levels,MATCH($M320,Desig_Codes,0)),""))</f>
        <v/>
      </c>
      <c r="P320" s="12" t="n"/>
      <c r="Q320" s="12" t="n"/>
      <c r="R320" s="12" t="n"/>
      <c r="S320" s="13">
        <f>IF($R320="","",IFERROR(INDEX(Emp_Names,MATCH($R320,Emp_Codes,0)),"NOT FOUND"))</f>
        <v/>
      </c>
      <c r="T320" s="12" t="n"/>
      <c r="U320" s="12" t="n"/>
      <c r="V320" s="12" t="n"/>
    </row>
    <row r="321">
      <c r="A321" s="12" t="n"/>
      <c r="B321" s="12" t="n"/>
      <c r="C321" s="12" t="n"/>
      <c r="D321" s="13">
        <f>IF($A321="","",TRIM($B321&amp;" "&amp;$C321))</f>
        <v/>
      </c>
      <c r="E321" s="12" t="n"/>
      <c r="F321" s="12" t="n"/>
      <c r="G321" s="14" t="n"/>
      <c r="H321" s="14" t="n"/>
      <c r="I321" s="12" t="n"/>
      <c r="J321" s="14" t="n"/>
      <c r="K321" s="12" t="n"/>
      <c r="L321" s="13">
        <f>IF($K321="","",IFERROR(INDEX(Dept_Names,MATCH($K321,Dept_Codes,0)),"NOT FOUND"))</f>
        <v/>
      </c>
      <c r="M321" s="12" t="n"/>
      <c r="N321" s="13">
        <f>IF($M321="","",IFERROR(INDEX(Desig_Names,MATCH($M321,Desig_Codes,0)),"NOT FOUND"))</f>
        <v/>
      </c>
      <c r="O321" s="13">
        <f>IF($M321="","",IFERROR(INDEX(Desig_Levels,MATCH($M321,Desig_Codes,0)),""))</f>
        <v/>
      </c>
      <c r="P321" s="12" t="n"/>
      <c r="Q321" s="12" t="n"/>
      <c r="R321" s="12" t="n"/>
      <c r="S321" s="13">
        <f>IF($R321="","",IFERROR(INDEX(Emp_Names,MATCH($R321,Emp_Codes,0)),"NOT FOUND"))</f>
        <v/>
      </c>
      <c r="T321" s="12" t="n"/>
      <c r="U321" s="12" t="n"/>
      <c r="V321" s="12" t="n"/>
    </row>
    <row r="322">
      <c r="A322" s="12" t="n"/>
      <c r="B322" s="12" t="n"/>
      <c r="C322" s="12" t="n"/>
      <c r="D322" s="13">
        <f>IF($A322="","",TRIM($B322&amp;" "&amp;$C322))</f>
        <v/>
      </c>
      <c r="E322" s="12" t="n"/>
      <c r="F322" s="12" t="n"/>
      <c r="G322" s="14" t="n"/>
      <c r="H322" s="14" t="n"/>
      <c r="I322" s="12" t="n"/>
      <c r="J322" s="14" t="n"/>
      <c r="K322" s="12" t="n"/>
      <c r="L322" s="13">
        <f>IF($K322="","",IFERROR(INDEX(Dept_Names,MATCH($K322,Dept_Codes,0)),"NOT FOUND"))</f>
        <v/>
      </c>
      <c r="M322" s="12" t="n"/>
      <c r="N322" s="13">
        <f>IF($M322="","",IFERROR(INDEX(Desig_Names,MATCH($M322,Desig_Codes,0)),"NOT FOUND"))</f>
        <v/>
      </c>
      <c r="O322" s="13">
        <f>IF($M322="","",IFERROR(INDEX(Desig_Levels,MATCH($M322,Desig_Codes,0)),""))</f>
        <v/>
      </c>
      <c r="P322" s="12" t="n"/>
      <c r="Q322" s="12" t="n"/>
      <c r="R322" s="12" t="n"/>
      <c r="S322" s="13">
        <f>IF($R322="","",IFERROR(INDEX(Emp_Names,MATCH($R322,Emp_Codes,0)),"NOT FOUND"))</f>
        <v/>
      </c>
      <c r="T322" s="12" t="n"/>
      <c r="U322" s="12" t="n"/>
      <c r="V322" s="12" t="n"/>
    </row>
    <row r="323">
      <c r="A323" s="12" t="n"/>
      <c r="B323" s="12" t="n"/>
      <c r="C323" s="12" t="n"/>
      <c r="D323" s="13">
        <f>IF($A323="","",TRIM($B323&amp;" "&amp;$C323))</f>
        <v/>
      </c>
      <c r="E323" s="12" t="n"/>
      <c r="F323" s="12" t="n"/>
      <c r="G323" s="14" t="n"/>
      <c r="H323" s="14" t="n"/>
      <c r="I323" s="12" t="n"/>
      <c r="J323" s="14" t="n"/>
      <c r="K323" s="12" t="n"/>
      <c r="L323" s="13">
        <f>IF($K323="","",IFERROR(INDEX(Dept_Names,MATCH($K323,Dept_Codes,0)),"NOT FOUND"))</f>
        <v/>
      </c>
      <c r="M323" s="12" t="n"/>
      <c r="N323" s="13">
        <f>IF($M323="","",IFERROR(INDEX(Desig_Names,MATCH($M323,Desig_Codes,0)),"NOT FOUND"))</f>
        <v/>
      </c>
      <c r="O323" s="13">
        <f>IF($M323="","",IFERROR(INDEX(Desig_Levels,MATCH($M323,Desig_Codes,0)),""))</f>
        <v/>
      </c>
      <c r="P323" s="12" t="n"/>
      <c r="Q323" s="12" t="n"/>
      <c r="R323" s="12" t="n"/>
      <c r="S323" s="13">
        <f>IF($R323="","",IFERROR(INDEX(Emp_Names,MATCH($R323,Emp_Codes,0)),"NOT FOUND"))</f>
        <v/>
      </c>
      <c r="T323" s="12" t="n"/>
      <c r="U323" s="12" t="n"/>
      <c r="V323" s="12" t="n"/>
    </row>
    <row r="324">
      <c r="A324" s="12" t="n"/>
      <c r="B324" s="12" t="n"/>
      <c r="C324" s="12" t="n"/>
      <c r="D324" s="13">
        <f>IF($A324="","",TRIM($B324&amp;" "&amp;$C324))</f>
        <v/>
      </c>
      <c r="E324" s="12" t="n"/>
      <c r="F324" s="12" t="n"/>
      <c r="G324" s="14" t="n"/>
      <c r="H324" s="14" t="n"/>
      <c r="I324" s="12" t="n"/>
      <c r="J324" s="14" t="n"/>
      <c r="K324" s="12" t="n"/>
      <c r="L324" s="13">
        <f>IF($K324="","",IFERROR(INDEX(Dept_Names,MATCH($K324,Dept_Codes,0)),"NOT FOUND"))</f>
        <v/>
      </c>
      <c r="M324" s="12" t="n"/>
      <c r="N324" s="13">
        <f>IF($M324="","",IFERROR(INDEX(Desig_Names,MATCH($M324,Desig_Codes,0)),"NOT FOUND"))</f>
        <v/>
      </c>
      <c r="O324" s="13">
        <f>IF($M324="","",IFERROR(INDEX(Desig_Levels,MATCH($M324,Desig_Codes,0)),""))</f>
        <v/>
      </c>
      <c r="P324" s="12" t="n"/>
      <c r="Q324" s="12" t="n"/>
      <c r="R324" s="12" t="n"/>
      <c r="S324" s="13">
        <f>IF($R324="","",IFERROR(INDEX(Emp_Names,MATCH($R324,Emp_Codes,0)),"NOT FOUND"))</f>
        <v/>
      </c>
      <c r="T324" s="12" t="n"/>
      <c r="U324" s="12" t="n"/>
      <c r="V324" s="12" t="n"/>
    </row>
    <row r="325">
      <c r="A325" s="12" t="n"/>
      <c r="B325" s="12" t="n"/>
      <c r="C325" s="12" t="n"/>
      <c r="D325" s="13">
        <f>IF($A325="","",TRIM($B325&amp;" "&amp;$C325))</f>
        <v/>
      </c>
      <c r="E325" s="12" t="n"/>
      <c r="F325" s="12" t="n"/>
      <c r="G325" s="14" t="n"/>
      <c r="H325" s="14" t="n"/>
      <c r="I325" s="12" t="n"/>
      <c r="J325" s="14" t="n"/>
      <c r="K325" s="12" t="n"/>
      <c r="L325" s="13">
        <f>IF($K325="","",IFERROR(INDEX(Dept_Names,MATCH($K325,Dept_Codes,0)),"NOT FOUND"))</f>
        <v/>
      </c>
      <c r="M325" s="12" t="n"/>
      <c r="N325" s="13">
        <f>IF($M325="","",IFERROR(INDEX(Desig_Names,MATCH($M325,Desig_Codes,0)),"NOT FOUND"))</f>
        <v/>
      </c>
      <c r="O325" s="13">
        <f>IF($M325="","",IFERROR(INDEX(Desig_Levels,MATCH($M325,Desig_Codes,0)),""))</f>
        <v/>
      </c>
      <c r="P325" s="12" t="n"/>
      <c r="Q325" s="12" t="n"/>
      <c r="R325" s="12" t="n"/>
      <c r="S325" s="13">
        <f>IF($R325="","",IFERROR(INDEX(Emp_Names,MATCH($R325,Emp_Codes,0)),"NOT FOUND"))</f>
        <v/>
      </c>
      <c r="T325" s="12" t="n"/>
      <c r="U325" s="12" t="n"/>
      <c r="V325" s="12" t="n"/>
    </row>
    <row r="326">
      <c r="A326" s="12" t="n"/>
      <c r="B326" s="12" t="n"/>
      <c r="C326" s="12" t="n"/>
      <c r="D326" s="13">
        <f>IF($A326="","",TRIM($B326&amp;" "&amp;$C326))</f>
        <v/>
      </c>
      <c r="E326" s="12" t="n"/>
      <c r="F326" s="12" t="n"/>
      <c r="G326" s="14" t="n"/>
      <c r="H326" s="14" t="n"/>
      <c r="I326" s="12" t="n"/>
      <c r="J326" s="14" t="n"/>
      <c r="K326" s="12" t="n"/>
      <c r="L326" s="13">
        <f>IF($K326="","",IFERROR(INDEX(Dept_Names,MATCH($K326,Dept_Codes,0)),"NOT FOUND"))</f>
        <v/>
      </c>
      <c r="M326" s="12" t="n"/>
      <c r="N326" s="13">
        <f>IF($M326="","",IFERROR(INDEX(Desig_Names,MATCH($M326,Desig_Codes,0)),"NOT FOUND"))</f>
        <v/>
      </c>
      <c r="O326" s="13">
        <f>IF($M326="","",IFERROR(INDEX(Desig_Levels,MATCH($M326,Desig_Codes,0)),""))</f>
        <v/>
      </c>
      <c r="P326" s="12" t="n"/>
      <c r="Q326" s="12" t="n"/>
      <c r="R326" s="12" t="n"/>
      <c r="S326" s="13">
        <f>IF($R326="","",IFERROR(INDEX(Emp_Names,MATCH($R326,Emp_Codes,0)),"NOT FOUND"))</f>
        <v/>
      </c>
      <c r="T326" s="12" t="n"/>
      <c r="U326" s="12" t="n"/>
      <c r="V326" s="12" t="n"/>
    </row>
    <row r="327">
      <c r="A327" s="12" t="n"/>
      <c r="B327" s="12" t="n"/>
      <c r="C327" s="12" t="n"/>
      <c r="D327" s="13">
        <f>IF($A327="","",TRIM($B327&amp;" "&amp;$C327))</f>
        <v/>
      </c>
      <c r="E327" s="12" t="n"/>
      <c r="F327" s="12" t="n"/>
      <c r="G327" s="14" t="n"/>
      <c r="H327" s="14" t="n"/>
      <c r="I327" s="12" t="n"/>
      <c r="J327" s="14" t="n"/>
      <c r="K327" s="12" t="n"/>
      <c r="L327" s="13">
        <f>IF($K327="","",IFERROR(INDEX(Dept_Names,MATCH($K327,Dept_Codes,0)),"NOT FOUND"))</f>
        <v/>
      </c>
      <c r="M327" s="12" t="n"/>
      <c r="N327" s="13">
        <f>IF($M327="","",IFERROR(INDEX(Desig_Names,MATCH($M327,Desig_Codes,0)),"NOT FOUND"))</f>
        <v/>
      </c>
      <c r="O327" s="13">
        <f>IF($M327="","",IFERROR(INDEX(Desig_Levels,MATCH($M327,Desig_Codes,0)),""))</f>
        <v/>
      </c>
      <c r="P327" s="12" t="n"/>
      <c r="Q327" s="12" t="n"/>
      <c r="R327" s="12" t="n"/>
      <c r="S327" s="13">
        <f>IF($R327="","",IFERROR(INDEX(Emp_Names,MATCH($R327,Emp_Codes,0)),"NOT FOUND"))</f>
        <v/>
      </c>
      <c r="T327" s="12" t="n"/>
      <c r="U327" s="12" t="n"/>
      <c r="V327" s="12" t="n"/>
    </row>
    <row r="328">
      <c r="A328" s="12" t="n"/>
      <c r="B328" s="12" t="n"/>
      <c r="C328" s="12" t="n"/>
      <c r="D328" s="13">
        <f>IF($A328="","",TRIM($B328&amp;" "&amp;$C328))</f>
        <v/>
      </c>
      <c r="E328" s="12" t="n"/>
      <c r="F328" s="12" t="n"/>
      <c r="G328" s="14" t="n"/>
      <c r="H328" s="14" t="n"/>
      <c r="I328" s="12" t="n"/>
      <c r="J328" s="14" t="n"/>
      <c r="K328" s="12" t="n"/>
      <c r="L328" s="13">
        <f>IF($K328="","",IFERROR(INDEX(Dept_Names,MATCH($K328,Dept_Codes,0)),"NOT FOUND"))</f>
        <v/>
      </c>
      <c r="M328" s="12" t="n"/>
      <c r="N328" s="13">
        <f>IF($M328="","",IFERROR(INDEX(Desig_Names,MATCH($M328,Desig_Codes,0)),"NOT FOUND"))</f>
        <v/>
      </c>
      <c r="O328" s="13">
        <f>IF($M328="","",IFERROR(INDEX(Desig_Levels,MATCH($M328,Desig_Codes,0)),""))</f>
        <v/>
      </c>
      <c r="P328" s="12" t="n"/>
      <c r="Q328" s="12" t="n"/>
      <c r="R328" s="12" t="n"/>
      <c r="S328" s="13">
        <f>IF($R328="","",IFERROR(INDEX(Emp_Names,MATCH($R328,Emp_Codes,0)),"NOT FOUND"))</f>
        <v/>
      </c>
      <c r="T328" s="12" t="n"/>
      <c r="U328" s="12" t="n"/>
      <c r="V328" s="12" t="n"/>
    </row>
    <row r="329">
      <c r="A329" s="12" t="n"/>
      <c r="B329" s="12" t="n"/>
      <c r="C329" s="12" t="n"/>
      <c r="D329" s="13">
        <f>IF($A329="","",TRIM($B329&amp;" "&amp;$C329))</f>
        <v/>
      </c>
      <c r="E329" s="12" t="n"/>
      <c r="F329" s="12" t="n"/>
      <c r="G329" s="14" t="n"/>
      <c r="H329" s="14" t="n"/>
      <c r="I329" s="12" t="n"/>
      <c r="J329" s="14" t="n"/>
      <c r="K329" s="12" t="n"/>
      <c r="L329" s="13">
        <f>IF($K329="","",IFERROR(INDEX(Dept_Names,MATCH($K329,Dept_Codes,0)),"NOT FOUND"))</f>
        <v/>
      </c>
      <c r="M329" s="12" t="n"/>
      <c r="N329" s="13">
        <f>IF($M329="","",IFERROR(INDEX(Desig_Names,MATCH($M329,Desig_Codes,0)),"NOT FOUND"))</f>
        <v/>
      </c>
      <c r="O329" s="13">
        <f>IF($M329="","",IFERROR(INDEX(Desig_Levels,MATCH($M329,Desig_Codes,0)),""))</f>
        <v/>
      </c>
      <c r="P329" s="12" t="n"/>
      <c r="Q329" s="12" t="n"/>
      <c r="R329" s="12" t="n"/>
      <c r="S329" s="13">
        <f>IF($R329="","",IFERROR(INDEX(Emp_Names,MATCH($R329,Emp_Codes,0)),"NOT FOUND"))</f>
        <v/>
      </c>
      <c r="T329" s="12" t="n"/>
      <c r="U329" s="12" t="n"/>
      <c r="V329" s="12" t="n"/>
    </row>
    <row r="330">
      <c r="A330" s="12" t="n"/>
      <c r="B330" s="12" t="n"/>
      <c r="C330" s="12" t="n"/>
      <c r="D330" s="13">
        <f>IF($A330="","",TRIM($B330&amp;" "&amp;$C330))</f>
        <v/>
      </c>
      <c r="E330" s="12" t="n"/>
      <c r="F330" s="12" t="n"/>
      <c r="G330" s="14" t="n"/>
      <c r="H330" s="14" t="n"/>
      <c r="I330" s="12" t="n"/>
      <c r="J330" s="14" t="n"/>
      <c r="K330" s="12" t="n"/>
      <c r="L330" s="13">
        <f>IF($K330="","",IFERROR(INDEX(Dept_Names,MATCH($K330,Dept_Codes,0)),"NOT FOUND"))</f>
        <v/>
      </c>
      <c r="M330" s="12" t="n"/>
      <c r="N330" s="13">
        <f>IF($M330="","",IFERROR(INDEX(Desig_Names,MATCH($M330,Desig_Codes,0)),"NOT FOUND"))</f>
        <v/>
      </c>
      <c r="O330" s="13">
        <f>IF($M330="","",IFERROR(INDEX(Desig_Levels,MATCH($M330,Desig_Codes,0)),""))</f>
        <v/>
      </c>
      <c r="P330" s="12" t="n"/>
      <c r="Q330" s="12" t="n"/>
      <c r="R330" s="12" t="n"/>
      <c r="S330" s="13">
        <f>IF($R330="","",IFERROR(INDEX(Emp_Names,MATCH($R330,Emp_Codes,0)),"NOT FOUND"))</f>
        <v/>
      </c>
      <c r="T330" s="12" t="n"/>
      <c r="U330" s="12" t="n"/>
      <c r="V330" s="12" t="n"/>
    </row>
    <row r="331">
      <c r="A331" s="12" t="n"/>
      <c r="B331" s="12" t="n"/>
      <c r="C331" s="12" t="n"/>
      <c r="D331" s="13">
        <f>IF($A331="","",TRIM($B331&amp;" "&amp;$C331))</f>
        <v/>
      </c>
      <c r="E331" s="12" t="n"/>
      <c r="F331" s="12" t="n"/>
      <c r="G331" s="14" t="n"/>
      <c r="H331" s="14" t="n"/>
      <c r="I331" s="12" t="n"/>
      <c r="J331" s="14" t="n"/>
      <c r="K331" s="12" t="n"/>
      <c r="L331" s="13">
        <f>IF($K331="","",IFERROR(INDEX(Dept_Names,MATCH($K331,Dept_Codes,0)),"NOT FOUND"))</f>
        <v/>
      </c>
      <c r="M331" s="12" t="n"/>
      <c r="N331" s="13">
        <f>IF($M331="","",IFERROR(INDEX(Desig_Names,MATCH($M331,Desig_Codes,0)),"NOT FOUND"))</f>
        <v/>
      </c>
      <c r="O331" s="13">
        <f>IF($M331="","",IFERROR(INDEX(Desig_Levels,MATCH($M331,Desig_Codes,0)),""))</f>
        <v/>
      </c>
      <c r="P331" s="12" t="n"/>
      <c r="Q331" s="12" t="n"/>
      <c r="R331" s="12" t="n"/>
      <c r="S331" s="13">
        <f>IF($R331="","",IFERROR(INDEX(Emp_Names,MATCH($R331,Emp_Codes,0)),"NOT FOUND"))</f>
        <v/>
      </c>
      <c r="T331" s="12" t="n"/>
      <c r="U331" s="12" t="n"/>
      <c r="V331" s="12" t="n"/>
    </row>
    <row r="332">
      <c r="A332" s="12" t="n"/>
      <c r="B332" s="12" t="n"/>
      <c r="C332" s="12" t="n"/>
      <c r="D332" s="13">
        <f>IF($A332="","",TRIM($B332&amp;" "&amp;$C332))</f>
        <v/>
      </c>
      <c r="E332" s="12" t="n"/>
      <c r="F332" s="12" t="n"/>
      <c r="G332" s="14" t="n"/>
      <c r="H332" s="14" t="n"/>
      <c r="I332" s="12" t="n"/>
      <c r="J332" s="14" t="n"/>
      <c r="K332" s="12" t="n"/>
      <c r="L332" s="13">
        <f>IF($K332="","",IFERROR(INDEX(Dept_Names,MATCH($K332,Dept_Codes,0)),"NOT FOUND"))</f>
        <v/>
      </c>
      <c r="M332" s="12" t="n"/>
      <c r="N332" s="13">
        <f>IF($M332="","",IFERROR(INDEX(Desig_Names,MATCH($M332,Desig_Codes,0)),"NOT FOUND"))</f>
        <v/>
      </c>
      <c r="O332" s="13">
        <f>IF($M332="","",IFERROR(INDEX(Desig_Levels,MATCH($M332,Desig_Codes,0)),""))</f>
        <v/>
      </c>
      <c r="P332" s="12" t="n"/>
      <c r="Q332" s="12" t="n"/>
      <c r="R332" s="12" t="n"/>
      <c r="S332" s="13">
        <f>IF($R332="","",IFERROR(INDEX(Emp_Names,MATCH($R332,Emp_Codes,0)),"NOT FOUND"))</f>
        <v/>
      </c>
      <c r="T332" s="12" t="n"/>
      <c r="U332" s="12" t="n"/>
      <c r="V332" s="12" t="n"/>
    </row>
    <row r="333">
      <c r="A333" s="12" t="n"/>
      <c r="B333" s="12" t="n"/>
      <c r="C333" s="12" t="n"/>
      <c r="D333" s="13">
        <f>IF($A333="","",TRIM($B333&amp;" "&amp;$C333))</f>
        <v/>
      </c>
      <c r="E333" s="12" t="n"/>
      <c r="F333" s="12" t="n"/>
      <c r="G333" s="14" t="n"/>
      <c r="H333" s="14" t="n"/>
      <c r="I333" s="12" t="n"/>
      <c r="J333" s="14" t="n"/>
      <c r="K333" s="12" t="n"/>
      <c r="L333" s="13">
        <f>IF($K333="","",IFERROR(INDEX(Dept_Names,MATCH($K333,Dept_Codes,0)),"NOT FOUND"))</f>
        <v/>
      </c>
      <c r="M333" s="12" t="n"/>
      <c r="N333" s="13">
        <f>IF($M333="","",IFERROR(INDEX(Desig_Names,MATCH($M333,Desig_Codes,0)),"NOT FOUND"))</f>
        <v/>
      </c>
      <c r="O333" s="13">
        <f>IF($M333="","",IFERROR(INDEX(Desig_Levels,MATCH($M333,Desig_Codes,0)),""))</f>
        <v/>
      </c>
      <c r="P333" s="12" t="n"/>
      <c r="Q333" s="12" t="n"/>
      <c r="R333" s="12" t="n"/>
      <c r="S333" s="13">
        <f>IF($R333="","",IFERROR(INDEX(Emp_Names,MATCH($R333,Emp_Codes,0)),"NOT FOUND"))</f>
        <v/>
      </c>
      <c r="T333" s="12" t="n"/>
      <c r="U333" s="12" t="n"/>
      <c r="V333" s="12" t="n"/>
    </row>
    <row r="334">
      <c r="A334" s="12" t="n"/>
      <c r="B334" s="12" t="n"/>
      <c r="C334" s="12" t="n"/>
      <c r="D334" s="13">
        <f>IF($A334="","",TRIM($B334&amp;" "&amp;$C334))</f>
        <v/>
      </c>
      <c r="E334" s="12" t="n"/>
      <c r="F334" s="12" t="n"/>
      <c r="G334" s="14" t="n"/>
      <c r="H334" s="14" t="n"/>
      <c r="I334" s="12" t="n"/>
      <c r="J334" s="14" t="n"/>
      <c r="K334" s="12" t="n"/>
      <c r="L334" s="13">
        <f>IF($K334="","",IFERROR(INDEX(Dept_Names,MATCH($K334,Dept_Codes,0)),"NOT FOUND"))</f>
        <v/>
      </c>
      <c r="M334" s="12" t="n"/>
      <c r="N334" s="13">
        <f>IF($M334="","",IFERROR(INDEX(Desig_Names,MATCH($M334,Desig_Codes,0)),"NOT FOUND"))</f>
        <v/>
      </c>
      <c r="O334" s="13">
        <f>IF($M334="","",IFERROR(INDEX(Desig_Levels,MATCH($M334,Desig_Codes,0)),""))</f>
        <v/>
      </c>
      <c r="P334" s="12" t="n"/>
      <c r="Q334" s="12" t="n"/>
      <c r="R334" s="12" t="n"/>
      <c r="S334" s="13">
        <f>IF($R334="","",IFERROR(INDEX(Emp_Names,MATCH($R334,Emp_Codes,0)),"NOT FOUND"))</f>
        <v/>
      </c>
      <c r="T334" s="12" t="n"/>
      <c r="U334" s="12" t="n"/>
      <c r="V334" s="12" t="n"/>
    </row>
    <row r="335">
      <c r="A335" s="12" t="n"/>
      <c r="B335" s="12" t="n"/>
      <c r="C335" s="12" t="n"/>
      <c r="D335" s="13">
        <f>IF($A335="","",TRIM($B335&amp;" "&amp;$C335))</f>
        <v/>
      </c>
      <c r="E335" s="12" t="n"/>
      <c r="F335" s="12" t="n"/>
      <c r="G335" s="14" t="n"/>
      <c r="H335" s="14" t="n"/>
      <c r="I335" s="12" t="n"/>
      <c r="J335" s="14" t="n"/>
      <c r="K335" s="12" t="n"/>
      <c r="L335" s="13">
        <f>IF($K335="","",IFERROR(INDEX(Dept_Names,MATCH($K335,Dept_Codes,0)),"NOT FOUND"))</f>
        <v/>
      </c>
      <c r="M335" s="12" t="n"/>
      <c r="N335" s="13">
        <f>IF($M335="","",IFERROR(INDEX(Desig_Names,MATCH($M335,Desig_Codes,0)),"NOT FOUND"))</f>
        <v/>
      </c>
      <c r="O335" s="13">
        <f>IF($M335="","",IFERROR(INDEX(Desig_Levels,MATCH($M335,Desig_Codes,0)),""))</f>
        <v/>
      </c>
      <c r="P335" s="12" t="n"/>
      <c r="Q335" s="12" t="n"/>
      <c r="R335" s="12" t="n"/>
      <c r="S335" s="13">
        <f>IF($R335="","",IFERROR(INDEX(Emp_Names,MATCH($R335,Emp_Codes,0)),"NOT FOUND"))</f>
        <v/>
      </c>
      <c r="T335" s="12" t="n"/>
      <c r="U335" s="12" t="n"/>
      <c r="V335" s="12" t="n"/>
    </row>
    <row r="336">
      <c r="A336" s="12" t="n"/>
      <c r="B336" s="12" t="n"/>
      <c r="C336" s="12" t="n"/>
      <c r="D336" s="13">
        <f>IF($A336="","",TRIM($B336&amp;" "&amp;$C336))</f>
        <v/>
      </c>
      <c r="E336" s="12" t="n"/>
      <c r="F336" s="12" t="n"/>
      <c r="G336" s="14" t="n"/>
      <c r="H336" s="14" t="n"/>
      <c r="I336" s="12" t="n"/>
      <c r="J336" s="14" t="n"/>
      <c r="K336" s="12" t="n"/>
      <c r="L336" s="13">
        <f>IF($K336="","",IFERROR(INDEX(Dept_Names,MATCH($K336,Dept_Codes,0)),"NOT FOUND"))</f>
        <v/>
      </c>
      <c r="M336" s="12" t="n"/>
      <c r="N336" s="13">
        <f>IF($M336="","",IFERROR(INDEX(Desig_Names,MATCH($M336,Desig_Codes,0)),"NOT FOUND"))</f>
        <v/>
      </c>
      <c r="O336" s="13">
        <f>IF($M336="","",IFERROR(INDEX(Desig_Levels,MATCH($M336,Desig_Codes,0)),""))</f>
        <v/>
      </c>
      <c r="P336" s="12" t="n"/>
      <c r="Q336" s="12" t="n"/>
      <c r="R336" s="12" t="n"/>
      <c r="S336" s="13">
        <f>IF($R336="","",IFERROR(INDEX(Emp_Names,MATCH($R336,Emp_Codes,0)),"NOT FOUND"))</f>
        <v/>
      </c>
      <c r="T336" s="12" t="n"/>
      <c r="U336" s="12" t="n"/>
      <c r="V336" s="12" t="n"/>
    </row>
    <row r="337">
      <c r="A337" s="12" t="n"/>
      <c r="B337" s="12" t="n"/>
      <c r="C337" s="12" t="n"/>
      <c r="D337" s="13">
        <f>IF($A337="","",TRIM($B337&amp;" "&amp;$C337))</f>
        <v/>
      </c>
      <c r="E337" s="12" t="n"/>
      <c r="F337" s="12" t="n"/>
      <c r="G337" s="14" t="n"/>
      <c r="H337" s="14" t="n"/>
      <c r="I337" s="12" t="n"/>
      <c r="J337" s="14" t="n"/>
      <c r="K337" s="12" t="n"/>
      <c r="L337" s="13">
        <f>IF($K337="","",IFERROR(INDEX(Dept_Names,MATCH($K337,Dept_Codes,0)),"NOT FOUND"))</f>
        <v/>
      </c>
      <c r="M337" s="12" t="n"/>
      <c r="N337" s="13">
        <f>IF($M337="","",IFERROR(INDEX(Desig_Names,MATCH($M337,Desig_Codes,0)),"NOT FOUND"))</f>
        <v/>
      </c>
      <c r="O337" s="13">
        <f>IF($M337="","",IFERROR(INDEX(Desig_Levels,MATCH($M337,Desig_Codes,0)),""))</f>
        <v/>
      </c>
      <c r="P337" s="12" t="n"/>
      <c r="Q337" s="12" t="n"/>
      <c r="R337" s="12" t="n"/>
      <c r="S337" s="13">
        <f>IF($R337="","",IFERROR(INDEX(Emp_Names,MATCH($R337,Emp_Codes,0)),"NOT FOUND"))</f>
        <v/>
      </c>
      <c r="T337" s="12" t="n"/>
      <c r="U337" s="12" t="n"/>
      <c r="V337" s="12" t="n"/>
    </row>
    <row r="338">
      <c r="A338" s="12" t="n"/>
      <c r="B338" s="12" t="n"/>
      <c r="C338" s="12" t="n"/>
      <c r="D338" s="13">
        <f>IF($A338="","",TRIM($B338&amp;" "&amp;$C338))</f>
        <v/>
      </c>
      <c r="E338" s="12" t="n"/>
      <c r="F338" s="12" t="n"/>
      <c r="G338" s="14" t="n"/>
      <c r="H338" s="14" t="n"/>
      <c r="I338" s="12" t="n"/>
      <c r="J338" s="14" t="n"/>
      <c r="K338" s="12" t="n"/>
      <c r="L338" s="13">
        <f>IF($K338="","",IFERROR(INDEX(Dept_Names,MATCH($K338,Dept_Codes,0)),"NOT FOUND"))</f>
        <v/>
      </c>
      <c r="M338" s="12" t="n"/>
      <c r="N338" s="13">
        <f>IF($M338="","",IFERROR(INDEX(Desig_Names,MATCH($M338,Desig_Codes,0)),"NOT FOUND"))</f>
        <v/>
      </c>
      <c r="O338" s="13">
        <f>IF($M338="","",IFERROR(INDEX(Desig_Levels,MATCH($M338,Desig_Codes,0)),""))</f>
        <v/>
      </c>
      <c r="P338" s="12" t="n"/>
      <c r="Q338" s="12" t="n"/>
      <c r="R338" s="12" t="n"/>
      <c r="S338" s="13">
        <f>IF($R338="","",IFERROR(INDEX(Emp_Names,MATCH($R338,Emp_Codes,0)),"NOT FOUND"))</f>
        <v/>
      </c>
      <c r="T338" s="12" t="n"/>
      <c r="U338" s="12" t="n"/>
      <c r="V338" s="12" t="n"/>
    </row>
    <row r="339">
      <c r="A339" s="12" t="n"/>
      <c r="B339" s="12" t="n"/>
      <c r="C339" s="12" t="n"/>
      <c r="D339" s="13">
        <f>IF($A339="","",TRIM($B339&amp;" "&amp;$C339))</f>
        <v/>
      </c>
      <c r="E339" s="12" t="n"/>
      <c r="F339" s="12" t="n"/>
      <c r="G339" s="14" t="n"/>
      <c r="H339" s="14" t="n"/>
      <c r="I339" s="12" t="n"/>
      <c r="J339" s="14" t="n"/>
      <c r="K339" s="12" t="n"/>
      <c r="L339" s="13">
        <f>IF($K339="","",IFERROR(INDEX(Dept_Names,MATCH($K339,Dept_Codes,0)),"NOT FOUND"))</f>
        <v/>
      </c>
      <c r="M339" s="12" t="n"/>
      <c r="N339" s="13">
        <f>IF($M339="","",IFERROR(INDEX(Desig_Names,MATCH($M339,Desig_Codes,0)),"NOT FOUND"))</f>
        <v/>
      </c>
      <c r="O339" s="13">
        <f>IF($M339="","",IFERROR(INDEX(Desig_Levels,MATCH($M339,Desig_Codes,0)),""))</f>
        <v/>
      </c>
      <c r="P339" s="12" t="n"/>
      <c r="Q339" s="12" t="n"/>
      <c r="R339" s="12" t="n"/>
      <c r="S339" s="13">
        <f>IF($R339="","",IFERROR(INDEX(Emp_Names,MATCH($R339,Emp_Codes,0)),"NOT FOUND"))</f>
        <v/>
      </c>
      <c r="T339" s="12" t="n"/>
      <c r="U339" s="12" t="n"/>
      <c r="V339" s="12" t="n"/>
    </row>
    <row r="340">
      <c r="A340" s="12" t="n"/>
      <c r="B340" s="12" t="n"/>
      <c r="C340" s="12" t="n"/>
      <c r="D340" s="13">
        <f>IF($A340="","",TRIM($B340&amp;" "&amp;$C340))</f>
        <v/>
      </c>
      <c r="E340" s="12" t="n"/>
      <c r="F340" s="12" t="n"/>
      <c r="G340" s="14" t="n"/>
      <c r="H340" s="14" t="n"/>
      <c r="I340" s="12" t="n"/>
      <c r="J340" s="14" t="n"/>
      <c r="K340" s="12" t="n"/>
      <c r="L340" s="13">
        <f>IF($K340="","",IFERROR(INDEX(Dept_Names,MATCH($K340,Dept_Codes,0)),"NOT FOUND"))</f>
        <v/>
      </c>
      <c r="M340" s="12" t="n"/>
      <c r="N340" s="13">
        <f>IF($M340="","",IFERROR(INDEX(Desig_Names,MATCH($M340,Desig_Codes,0)),"NOT FOUND"))</f>
        <v/>
      </c>
      <c r="O340" s="13">
        <f>IF($M340="","",IFERROR(INDEX(Desig_Levels,MATCH($M340,Desig_Codes,0)),""))</f>
        <v/>
      </c>
      <c r="P340" s="12" t="n"/>
      <c r="Q340" s="12" t="n"/>
      <c r="R340" s="12" t="n"/>
      <c r="S340" s="13">
        <f>IF($R340="","",IFERROR(INDEX(Emp_Names,MATCH($R340,Emp_Codes,0)),"NOT FOUND"))</f>
        <v/>
      </c>
      <c r="T340" s="12" t="n"/>
      <c r="U340" s="12" t="n"/>
      <c r="V340" s="12" t="n"/>
    </row>
    <row r="341">
      <c r="A341" s="12" t="n"/>
      <c r="B341" s="12" t="n"/>
      <c r="C341" s="12" t="n"/>
      <c r="D341" s="13">
        <f>IF($A341="","",TRIM($B341&amp;" "&amp;$C341))</f>
        <v/>
      </c>
      <c r="E341" s="12" t="n"/>
      <c r="F341" s="12" t="n"/>
      <c r="G341" s="14" t="n"/>
      <c r="H341" s="14" t="n"/>
      <c r="I341" s="12" t="n"/>
      <c r="J341" s="14" t="n"/>
      <c r="K341" s="12" t="n"/>
      <c r="L341" s="13">
        <f>IF($K341="","",IFERROR(INDEX(Dept_Names,MATCH($K341,Dept_Codes,0)),"NOT FOUND"))</f>
        <v/>
      </c>
      <c r="M341" s="12" t="n"/>
      <c r="N341" s="13">
        <f>IF($M341="","",IFERROR(INDEX(Desig_Names,MATCH($M341,Desig_Codes,0)),"NOT FOUND"))</f>
        <v/>
      </c>
      <c r="O341" s="13">
        <f>IF($M341="","",IFERROR(INDEX(Desig_Levels,MATCH($M341,Desig_Codes,0)),""))</f>
        <v/>
      </c>
      <c r="P341" s="12" t="n"/>
      <c r="Q341" s="12" t="n"/>
      <c r="R341" s="12" t="n"/>
      <c r="S341" s="13">
        <f>IF($R341="","",IFERROR(INDEX(Emp_Names,MATCH($R341,Emp_Codes,0)),"NOT FOUND"))</f>
        <v/>
      </c>
      <c r="T341" s="12" t="n"/>
      <c r="U341" s="12" t="n"/>
      <c r="V341" s="12" t="n"/>
    </row>
    <row r="342">
      <c r="A342" s="12" t="n"/>
      <c r="B342" s="12" t="n"/>
      <c r="C342" s="12" t="n"/>
      <c r="D342" s="13">
        <f>IF($A342="","",TRIM($B342&amp;" "&amp;$C342))</f>
        <v/>
      </c>
      <c r="E342" s="12" t="n"/>
      <c r="F342" s="12" t="n"/>
      <c r="G342" s="14" t="n"/>
      <c r="H342" s="14" t="n"/>
      <c r="I342" s="12" t="n"/>
      <c r="J342" s="14" t="n"/>
      <c r="K342" s="12" t="n"/>
      <c r="L342" s="13">
        <f>IF($K342="","",IFERROR(INDEX(Dept_Names,MATCH($K342,Dept_Codes,0)),"NOT FOUND"))</f>
        <v/>
      </c>
      <c r="M342" s="12" t="n"/>
      <c r="N342" s="13">
        <f>IF($M342="","",IFERROR(INDEX(Desig_Names,MATCH($M342,Desig_Codes,0)),"NOT FOUND"))</f>
        <v/>
      </c>
      <c r="O342" s="13">
        <f>IF($M342="","",IFERROR(INDEX(Desig_Levels,MATCH($M342,Desig_Codes,0)),""))</f>
        <v/>
      </c>
      <c r="P342" s="12" t="n"/>
      <c r="Q342" s="12" t="n"/>
      <c r="R342" s="12" t="n"/>
      <c r="S342" s="13">
        <f>IF($R342="","",IFERROR(INDEX(Emp_Names,MATCH($R342,Emp_Codes,0)),"NOT FOUND"))</f>
        <v/>
      </c>
      <c r="T342" s="12" t="n"/>
      <c r="U342" s="12" t="n"/>
      <c r="V342" s="12" t="n"/>
    </row>
    <row r="343">
      <c r="A343" s="12" t="n"/>
      <c r="B343" s="12" t="n"/>
      <c r="C343" s="12" t="n"/>
      <c r="D343" s="13">
        <f>IF($A343="","",TRIM($B343&amp;" "&amp;$C343))</f>
        <v/>
      </c>
      <c r="E343" s="12" t="n"/>
      <c r="F343" s="12" t="n"/>
      <c r="G343" s="14" t="n"/>
      <c r="H343" s="14" t="n"/>
      <c r="I343" s="12" t="n"/>
      <c r="J343" s="14" t="n"/>
      <c r="K343" s="12" t="n"/>
      <c r="L343" s="13">
        <f>IF($K343="","",IFERROR(INDEX(Dept_Names,MATCH($K343,Dept_Codes,0)),"NOT FOUND"))</f>
        <v/>
      </c>
      <c r="M343" s="12" t="n"/>
      <c r="N343" s="13">
        <f>IF($M343="","",IFERROR(INDEX(Desig_Names,MATCH($M343,Desig_Codes,0)),"NOT FOUND"))</f>
        <v/>
      </c>
      <c r="O343" s="13">
        <f>IF($M343="","",IFERROR(INDEX(Desig_Levels,MATCH($M343,Desig_Codes,0)),""))</f>
        <v/>
      </c>
      <c r="P343" s="12" t="n"/>
      <c r="Q343" s="12" t="n"/>
      <c r="R343" s="12" t="n"/>
      <c r="S343" s="13">
        <f>IF($R343="","",IFERROR(INDEX(Emp_Names,MATCH($R343,Emp_Codes,0)),"NOT FOUND"))</f>
        <v/>
      </c>
      <c r="T343" s="12" t="n"/>
      <c r="U343" s="12" t="n"/>
      <c r="V343" s="12" t="n"/>
    </row>
    <row r="344">
      <c r="A344" s="12" t="n"/>
      <c r="B344" s="12" t="n"/>
      <c r="C344" s="12" t="n"/>
      <c r="D344" s="13">
        <f>IF($A344="","",TRIM($B344&amp;" "&amp;$C344))</f>
        <v/>
      </c>
      <c r="E344" s="12" t="n"/>
      <c r="F344" s="12" t="n"/>
      <c r="G344" s="14" t="n"/>
      <c r="H344" s="14" t="n"/>
      <c r="I344" s="12" t="n"/>
      <c r="J344" s="14" t="n"/>
      <c r="K344" s="12" t="n"/>
      <c r="L344" s="13">
        <f>IF($K344="","",IFERROR(INDEX(Dept_Names,MATCH($K344,Dept_Codes,0)),"NOT FOUND"))</f>
        <v/>
      </c>
      <c r="M344" s="12" t="n"/>
      <c r="N344" s="13">
        <f>IF($M344="","",IFERROR(INDEX(Desig_Names,MATCH($M344,Desig_Codes,0)),"NOT FOUND"))</f>
        <v/>
      </c>
      <c r="O344" s="13">
        <f>IF($M344="","",IFERROR(INDEX(Desig_Levels,MATCH($M344,Desig_Codes,0)),""))</f>
        <v/>
      </c>
      <c r="P344" s="12" t="n"/>
      <c r="Q344" s="12" t="n"/>
      <c r="R344" s="12" t="n"/>
      <c r="S344" s="13">
        <f>IF($R344="","",IFERROR(INDEX(Emp_Names,MATCH($R344,Emp_Codes,0)),"NOT FOUND"))</f>
        <v/>
      </c>
      <c r="T344" s="12" t="n"/>
      <c r="U344" s="12" t="n"/>
      <c r="V344" s="12" t="n"/>
    </row>
    <row r="345">
      <c r="A345" s="12" t="n"/>
      <c r="B345" s="12" t="n"/>
      <c r="C345" s="12" t="n"/>
      <c r="D345" s="13">
        <f>IF($A345="","",TRIM($B345&amp;" "&amp;$C345))</f>
        <v/>
      </c>
      <c r="E345" s="12" t="n"/>
      <c r="F345" s="12" t="n"/>
      <c r="G345" s="14" t="n"/>
      <c r="H345" s="14" t="n"/>
      <c r="I345" s="12" t="n"/>
      <c r="J345" s="14" t="n"/>
      <c r="K345" s="12" t="n"/>
      <c r="L345" s="13">
        <f>IF($K345="","",IFERROR(INDEX(Dept_Names,MATCH($K345,Dept_Codes,0)),"NOT FOUND"))</f>
        <v/>
      </c>
      <c r="M345" s="12" t="n"/>
      <c r="N345" s="13">
        <f>IF($M345="","",IFERROR(INDEX(Desig_Names,MATCH($M345,Desig_Codes,0)),"NOT FOUND"))</f>
        <v/>
      </c>
      <c r="O345" s="13">
        <f>IF($M345="","",IFERROR(INDEX(Desig_Levels,MATCH($M345,Desig_Codes,0)),""))</f>
        <v/>
      </c>
      <c r="P345" s="12" t="n"/>
      <c r="Q345" s="12" t="n"/>
      <c r="R345" s="12" t="n"/>
      <c r="S345" s="13">
        <f>IF($R345="","",IFERROR(INDEX(Emp_Names,MATCH($R345,Emp_Codes,0)),"NOT FOUND"))</f>
        <v/>
      </c>
      <c r="T345" s="12" t="n"/>
      <c r="U345" s="12" t="n"/>
      <c r="V345" s="12" t="n"/>
    </row>
    <row r="346">
      <c r="A346" s="12" t="n"/>
      <c r="B346" s="12" t="n"/>
      <c r="C346" s="12" t="n"/>
      <c r="D346" s="13">
        <f>IF($A346="","",TRIM($B346&amp;" "&amp;$C346))</f>
        <v/>
      </c>
      <c r="E346" s="12" t="n"/>
      <c r="F346" s="12" t="n"/>
      <c r="G346" s="14" t="n"/>
      <c r="H346" s="14" t="n"/>
      <c r="I346" s="12" t="n"/>
      <c r="J346" s="14" t="n"/>
      <c r="K346" s="12" t="n"/>
      <c r="L346" s="13">
        <f>IF($K346="","",IFERROR(INDEX(Dept_Names,MATCH($K346,Dept_Codes,0)),"NOT FOUND"))</f>
        <v/>
      </c>
      <c r="M346" s="12" t="n"/>
      <c r="N346" s="13">
        <f>IF($M346="","",IFERROR(INDEX(Desig_Names,MATCH($M346,Desig_Codes,0)),"NOT FOUND"))</f>
        <v/>
      </c>
      <c r="O346" s="13">
        <f>IF($M346="","",IFERROR(INDEX(Desig_Levels,MATCH($M346,Desig_Codes,0)),""))</f>
        <v/>
      </c>
      <c r="P346" s="12" t="n"/>
      <c r="Q346" s="12" t="n"/>
      <c r="R346" s="12" t="n"/>
      <c r="S346" s="13">
        <f>IF($R346="","",IFERROR(INDEX(Emp_Names,MATCH($R346,Emp_Codes,0)),"NOT FOUND"))</f>
        <v/>
      </c>
      <c r="T346" s="12" t="n"/>
      <c r="U346" s="12" t="n"/>
      <c r="V346" s="12" t="n"/>
    </row>
    <row r="347">
      <c r="A347" s="12" t="n"/>
      <c r="B347" s="12" t="n"/>
      <c r="C347" s="12" t="n"/>
      <c r="D347" s="13">
        <f>IF($A347="","",TRIM($B347&amp;" "&amp;$C347))</f>
        <v/>
      </c>
      <c r="E347" s="12" t="n"/>
      <c r="F347" s="12" t="n"/>
      <c r="G347" s="14" t="n"/>
      <c r="H347" s="14" t="n"/>
      <c r="I347" s="12" t="n"/>
      <c r="J347" s="14" t="n"/>
      <c r="K347" s="12" t="n"/>
      <c r="L347" s="13">
        <f>IF($K347="","",IFERROR(INDEX(Dept_Names,MATCH($K347,Dept_Codes,0)),"NOT FOUND"))</f>
        <v/>
      </c>
      <c r="M347" s="12" t="n"/>
      <c r="N347" s="13">
        <f>IF($M347="","",IFERROR(INDEX(Desig_Names,MATCH($M347,Desig_Codes,0)),"NOT FOUND"))</f>
        <v/>
      </c>
      <c r="O347" s="13">
        <f>IF($M347="","",IFERROR(INDEX(Desig_Levels,MATCH($M347,Desig_Codes,0)),""))</f>
        <v/>
      </c>
      <c r="P347" s="12" t="n"/>
      <c r="Q347" s="12" t="n"/>
      <c r="R347" s="12" t="n"/>
      <c r="S347" s="13">
        <f>IF($R347="","",IFERROR(INDEX(Emp_Names,MATCH($R347,Emp_Codes,0)),"NOT FOUND"))</f>
        <v/>
      </c>
      <c r="T347" s="12" t="n"/>
      <c r="U347" s="12" t="n"/>
      <c r="V347" s="12" t="n"/>
    </row>
    <row r="348">
      <c r="A348" s="12" t="n"/>
      <c r="B348" s="12" t="n"/>
      <c r="C348" s="12" t="n"/>
      <c r="D348" s="13">
        <f>IF($A348="","",TRIM($B348&amp;" "&amp;$C348))</f>
        <v/>
      </c>
      <c r="E348" s="12" t="n"/>
      <c r="F348" s="12" t="n"/>
      <c r="G348" s="14" t="n"/>
      <c r="H348" s="14" t="n"/>
      <c r="I348" s="12" t="n"/>
      <c r="J348" s="14" t="n"/>
      <c r="K348" s="12" t="n"/>
      <c r="L348" s="13">
        <f>IF($K348="","",IFERROR(INDEX(Dept_Names,MATCH($K348,Dept_Codes,0)),"NOT FOUND"))</f>
        <v/>
      </c>
      <c r="M348" s="12" t="n"/>
      <c r="N348" s="13">
        <f>IF($M348="","",IFERROR(INDEX(Desig_Names,MATCH($M348,Desig_Codes,0)),"NOT FOUND"))</f>
        <v/>
      </c>
      <c r="O348" s="13">
        <f>IF($M348="","",IFERROR(INDEX(Desig_Levels,MATCH($M348,Desig_Codes,0)),""))</f>
        <v/>
      </c>
      <c r="P348" s="12" t="n"/>
      <c r="Q348" s="12" t="n"/>
      <c r="R348" s="12" t="n"/>
      <c r="S348" s="13">
        <f>IF($R348="","",IFERROR(INDEX(Emp_Names,MATCH($R348,Emp_Codes,0)),"NOT FOUND"))</f>
        <v/>
      </c>
      <c r="T348" s="12" t="n"/>
      <c r="U348" s="12" t="n"/>
      <c r="V348" s="12" t="n"/>
    </row>
    <row r="349">
      <c r="A349" s="12" t="n"/>
      <c r="B349" s="12" t="n"/>
      <c r="C349" s="12" t="n"/>
      <c r="D349" s="13">
        <f>IF($A349="","",TRIM($B349&amp;" "&amp;$C349))</f>
        <v/>
      </c>
      <c r="E349" s="12" t="n"/>
      <c r="F349" s="12" t="n"/>
      <c r="G349" s="14" t="n"/>
      <c r="H349" s="14" t="n"/>
      <c r="I349" s="12" t="n"/>
      <c r="J349" s="14" t="n"/>
      <c r="K349" s="12" t="n"/>
      <c r="L349" s="13">
        <f>IF($K349="","",IFERROR(INDEX(Dept_Names,MATCH($K349,Dept_Codes,0)),"NOT FOUND"))</f>
        <v/>
      </c>
      <c r="M349" s="12" t="n"/>
      <c r="N349" s="13">
        <f>IF($M349="","",IFERROR(INDEX(Desig_Names,MATCH($M349,Desig_Codes,0)),"NOT FOUND"))</f>
        <v/>
      </c>
      <c r="O349" s="13">
        <f>IF($M349="","",IFERROR(INDEX(Desig_Levels,MATCH($M349,Desig_Codes,0)),""))</f>
        <v/>
      </c>
      <c r="P349" s="12" t="n"/>
      <c r="Q349" s="12" t="n"/>
      <c r="R349" s="12" t="n"/>
      <c r="S349" s="13">
        <f>IF($R349="","",IFERROR(INDEX(Emp_Names,MATCH($R349,Emp_Codes,0)),"NOT FOUND"))</f>
        <v/>
      </c>
      <c r="T349" s="12" t="n"/>
      <c r="U349" s="12" t="n"/>
      <c r="V349" s="12" t="n"/>
    </row>
    <row r="350">
      <c r="A350" s="12" t="n"/>
      <c r="B350" s="12" t="n"/>
      <c r="C350" s="12" t="n"/>
      <c r="D350" s="13">
        <f>IF($A350="","",TRIM($B350&amp;" "&amp;$C350))</f>
        <v/>
      </c>
      <c r="E350" s="12" t="n"/>
      <c r="F350" s="12" t="n"/>
      <c r="G350" s="14" t="n"/>
      <c r="H350" s="14" t="n"/>
      <c r="I350" s="12" t="n"/>
      <c r="J350" s="14" t="n"/>
      <c r="K350" s="12" t="n"/>
      <c r="L350" s="13">
        <f>IF($K350="","",IFERROR(INDEX(Dept_Names,MATCH($K350,Dept_Codes,0)),"NOT FOUND"))</f>
        <v/>
      </c>
      <c r="M350" s="12" t="n"/>
      <c r="N350" s="13">
        <f>IF($M350="","",IFERROR(INDEX(Desig_Names,MATCH($M350,Desig_Codes,0)),"NOT FOUND"))</f>
        <v/>
      </c>
      <c r="O350" s="13">
        <f>IF($M350="","",IFERROR(INDEX(Desig_Levels,MATCH($M350,Desig_Codes,0)),""))</f>
        <v/>
      </c>
      <c r="P350" s="12" t="n"/>
      <c r="Q350" s="12" t="n"/>
      <c r="R350" s="12" t="n"/>
      <c r="S350" s="13">
        <f>IF($R350="","",IFERROR(INDEX(Emp_Names,MATCH($R350,Emp_Codes,0)),"NOT FOUND"))</f>
        <v/>
      </c>
      <c r="T350" s="12" t="n"/>
      <c r="U350" s="12" t="n"/>
      <c r="V350" s="12" t="n"/>
    </row>
    <row r="351">
      <c r="A351" s="12" t="n"/>
      <c r="B351" s="12" t="n"/>
      <c r="C351" s="12" t="n"/>
      <c r="D351" s="13">
        <f>IF($A351="","",TRIM($B351&amp;" "&amp;$C351))</f>
        <v/>
      </c>
      <c r="E351" s="12" t="n"/>
      <c r="F351" s="12" t="n"/>
      <c r="G351" s="14" t="n"/>
      <c r="H351" s="14" t="n"/>
      <c r="I351" s="12" t="n"/>
      <c r="J351" s="14" t="n"/>
      <c r="K351" s="12" t="n"/>
      <c r="L351" s="13">
        <f>IF($K351="","",IFERROR(INDEX(Dept_Names,MATCH($K351,Dept_Codes,0)),"NOT FOUND"))</f>
        <v/>
      </c>
      <c r="M351" s="12" t="n"/>
      <c r="N351" s="13">
        <f>IF($M351="","",IFERROR(INDEX(Desig_Names,MATCH($M351,Desig_Codes,0)),"NOT FOUND"))</f>
        <v/>
      </c>
      <c r="O351" s="13">
        <f>IF($M351="","",IFERROR(INDEX(Desig_Levels,MATCH($M351,Desig_Codes,0)),""))</f>
        <v/>
      </c>
      <c r="P351" s="12" t="n"/>
      <c r="Q351" s="12" t="n"/>
      <c r="R351" s="12" t="n"/>
      <c r="S351" s="13">
        <f>IF($R351="","",IFERROR(INDEX(Emp_Names,MATCH($R351,Emp_Codes,0)),"NOT FOUND"))</f>
        <v/>
      </c>
      <c r="T351" s="12" t="n"/>
      <c r="U351" s="12" t="n"/>
      <c r="V351" s="12" t="n"/>
    </row>
    <row r="352">
      <c r="A352" s="12" t="n"/>
      <c r="B352" s="12" t="n"/>
      <c r="C352" s="12" t="n"/>
      <c r="D352" s="13">
        <f>IF($A352="","",TRIM($B352&amp;" "&amp;$C352))</f>
        <v/>
      </c>
      <c r="E352" s="12" t="n"/>
      <c r="F352" s="12" t="n"/>
      <c r="G352" s="14" t="n"/>
      <c r="H352" s="14" t="n"/>
      <c r="I352" s="12" t="n"/>
      <c r="J352" s="14" t="n"/>
      <c r="K352" s="12" t="n"/>
      <c r="L352" s="13">
        <f>IF($K352="","",IFERROR(INDEX(Dept_Names,MATCH($K352,Dept_Codes,0)),"NOT FOUND"))</f>
        <v/>
      </c>
      <c r="M352" s="12" t="n"/>
      <c r="N352" s="13">
        <f>IF($M352="","",IFERROR(INDEX(Desig_Names,MATCH($M352,Desig_Codes,0)),"NOT FOUND"))</f>
        <v/>
      </c>
      <c r="O352" s="13">
        <f>IF($M352="","",IFERROR(INDEX(Desig_Levels,MATCH($M352,Desig_Codes,0)),""))</f>
        <v/>
      </c>
      <c r="P352" s="12" t="n"/>
      <c r="Q352" s="12" t="n"/>
      <c r="R352" s="12" t="n"/>
      <c r="S352" s="13">
        <f>IF($R352="","",IFERROR(INDEX(Emp_Names,MATCH($R352,Emp_Codes,0)),"NOT FOUND"))</f>
        <v/>
      </c>
      <c r="T352" s="12" t="n"/>
      <c r="U352" s="12" t="n"/>
      <c r="V352" s="12" t="n"/>
    </row>
    <row r="353">
      <c r="A353" s="12" t="n"/>
      <c r="B353" s="12" t="n"/>
      <c r="C353" s="12" t="n"/>
      <c r="D353" s="13">
        <f>IF($A353="","",TRIM($B353&amp;" "&amp;$C353))</f>
        <v/>
      </c>
      <c r="E353" s="12" t="n"/>
      <c r="F353" s="12" t="n"/>
      <c r="G353" s="14" t="n"/>
      <c r="H353" s="14" t="n"/>
      <c r="I353" s="12" t="n"/>
      <c r="J353" s="14" t="n"/>
      <c r="K353" s="12" t="n"/>
      <c r="L353" s="13">
        <f>IF($K353="","",IFERROR(INDEX(Dept_Names,MATCH($K353,Dept_Codes,0)),"NOT FOUND"))</f>
        <v/>
      </c>
      <c r="M353" s="12" t="n"/>
      <c r="N353" s="13">
        <f>IF($M353="","",IFERROR(INDEX(Desig_Names,MATCH($M353,Desig_Codes,0)),"NOT FOUND"))</f>
        <v/>
      </c>
      <c r="O353" s="13">
        <f>IF($M353="","",IFERROR(INDEX(Desig_Levels,MATCH($M353,Desig_Codes,0)),""))</f>
        <v/>
      </c>
      <c r="P353" s="12" t="n"/>
      <c r="Q353" s="12" t="n"/>
      <c r="R353" s="12" t="n"/>
      <c r="S353" s="13">
        <f>IF($R353="","",IFERROR(INDEX(Emp_Names,MATCH($R353,Emp_Codes,0)),"NOT FOUND"))</f>
        <v/>
      </c>
      <c r="T353" s="12" t="n"/>
      <c r="U353" s="12" t="n"/>
      <c r="V353" s="12" t="n"/>
    </row>
    <row r="354">
      <c r="A354" s="12" t="n"/>
      <c r="B354" s="12" t="n"/>
      <c r="C354" s="12" t="n"/>
      <c r="D354" s="13">
        <f>IF($A354="","",TRIM($B354&amp;" "&amp;$C354))</f>
        <v/>
      </c>
      <c r="E354" s="12" t="n"/>
      <c r="F354" s="12" t="n"/>
      <c r="G354" s="14" t="n"/>
      <c r="H354" s="14" t="n"/>
      <c r="I354" s="12" t="n"/>
      <c r="J354" s="14" t="n"/>
      <c r="K354" s="12" t="n"/>
      <c r="L354" s="13">
        <f>IF($K354="","",IFERROR(INDEX(Dept_Names,MATCH($K354,Dept_Codes,0)),"NOT FOUND"))</f>
        <v/>
      </c>
      <c r="M354" s="12" t="n"/>
      <c r="N354" s="13">
        <f>IF($M354="","",IFERROR(INDEX(Desig_Names,MATCH($M354,Desig_Codes,0)),"NOT FOUND"))</f>
        <v/>
      </c>
      <c r="O354" s="13">
        <f>IF($M354="","",IFERROR(INDEX(Desig_Levels,MATCH($M354,Desig_Codes,0)),""))</f>
        <v/>
      </c>
      <c r="P354" s="12" t="n"/>
      <c r="Q354" s="12" t="n"/>
      <c r="R354" s="12" t="n"/>
      <c r="S354" s="13">
        <f>IF($R354="","",IFERROR(INDEX(Emp_Names,MATCH($R354,Emp_Codes,0)),"NOT FOUND"))</f>
        <v/>
      </c>
      <c r="T354" s="12" t="n"/>
      <c r="U354" s="12" t="n"/>
      <c r="V354" s="12" t="n"/>
    </row>
    <row r="355">
      <c r="A355" s="12" t="n"/>
      <c r="B355" s="12" t="n"/>
      <c r="C355" s="12" t="n"/>
      <c r="D355" s="13">
        <f>IF($A355="","",TRIM($B355&amp;" "&amp;$C355))</f>
        <v/>
      </c>
      <c r="E355" s="12" t="n"/>
      <c r="F355" s="12" t="n"/>
      <c r="G355" s="14" t="n"/>
      <c r="H355" s="14" t="n"/>
      <c r="I355" s="12" t="n"/>
      <c r="J355" s="14" t="n"/>
      <c r="K355" s="12" t="n"/>
      <c r="L355" s="13">
        <f>IF($K355="","",IFERROR(INDEX(Dept_Names,MATCH($K355,Dept_Codes,0)),"NOT FOUND"))</f>
        <v/>
      </c>
      <c r="M355" s="12" t="n"/>
      <c r="N355" s="13">
        <f>IF($M355="","",IFERROR(INDEX(Desig_Names,MATCH($M355,Desig_Codes,0)),"NOT FOUND"))</f>
        <v/>
      </c>
      <c r="O355" s="13">
        <f>IF($M355="","",IFERROR(INDEX(Desig_Levels,MATCH($M355,Desig_Codes,0)),""))</f>
        <v/>
      </c>
      <c r="P355" s="12" t="n"/>
      <c r="Q355" s="12" t="n"/>
      <c r="R355" s="12" t="n"/>
      <c r="S355" s="13">
        <f>IF($R355="","",IFERROR(INDEX(Emp_Names,MATCH($R355,Emp_Codes,0)),"NOT FOUND"))</f>
        <v/>
      </c>
      <c r="T355" s="12" t="n"/>
      <c r="U355" s="12" t="n"/>
      <c r="V355" s="12" t="n"/>
    </row>
    <row r="356">
      <c r="A356" s="12" t="n"/>
      <c r="B356" s="12" t="n"/>
      <c r="C356" s="12" t="n"/>
      <c r="D356" s="13">
        <f>IF($A356="","",TRIM($B356&amp;" "&amp;$C356))</f>
        <v/>
      </c>
      <c r="E356" s="12" t="n"/>
      <c r="F356" s="12" t="n"/>
      <c r="G356" s="14" t="n"/>
      <c r="H356" s="14" t="n"/>
      <c r="I356" s="12" t="n"/>
      <c r="J356" s="14" t="n"/>
      <c r="K356" s="12" t="n"/>
      <c r="L356" s="13">
        <f>IF($K356="","",IFERROR(INDEX(Dept_Names,MATCH($K356,Dept_Codes,0)),"NOT FOUND"))</f>
        <v/>
      </c>
      <c r="M356" s="12" t="n"/>
      <c r="N356" s="13">
        <f>IF($M356="","",IFERROR(INDEX(Desig_Names,MATCH($M356,Desig_Codes,0)),"NOT FOUND"))</f>
        <v/>
      </c>
      <c r="O356" s="13">
        <f>IF($M356="","",IFERROR(INDEX(Desig_Levels,MATCH($M356,Desig_Codes,0)),""))</f>
        <v/>
      </c>
      <c r="P356" s="12" t="n"/>
      <c r="Q356" s="12" t="n"/>
      <c r="R356" s="12" t="n"/>
      <c r="S356" s="13">
        <f>IF($R356="","",IFERROR(INDEX(Emp_Names,MATCH($R356,Emp_Codes,0)),"NOT FOUND"))</f>
        <v/>
      </c>
      <c r="T356" s="12" t="n"/>
      <c r="U356" s="12" t="n"/>
      <c r="V356" s="12" t="n"/>
    </row>
    <row r="357">
      <c r="A357" s="12" t="n"/>
      <c r="B357" s="12" t="n"/>
      <c r="C357" s="12" t="n"/>
      <c r="D357" s="13">
        <f>IF($A357="","",TRIM($B357&amp;" "&amp;$C357))</f>
        <v/>
      </c>
      <c r="E357" s="12" t="n"/>
      <c r="F357" s="12" t="n"/>
      <c r="G357" s="14" t="n"/>
      <c r="H357" s="14" t="n"/>
      <c r="I357" s="12" t="n"/>
      <c r="J357" s="14" t="n"/>
      <c r="K357" s="12" t="n"/>
      <c r="L357" s="13">
        <f>IF($K357="","",IFERROR(INDEX(Dept_Names,MATCH($K357,Dept_Codes,0)),"NOT FOUND"))</f>
        <v/>
      </c>
      <c r="M357" s="12" t="n"/>
      <c r="N357" s="13">
        <f>IF($M357="","",IFERROR(INDEX(Desig_Names,MATCH($M357,Desig_Codes,0)),"NOT FOUND"))</f>
        <v/>
      </c>
      <c r="O357" s="13">
        <f>IF($M357="","",IFERROR(INDEX(Desig_Levels,MATCH($M357,Desig_Codes,0)),""))</f>
        <v/>
      </c>
      <c r="P357" s="12" t="n"/>
      <c r="Q357" s="12" t="n"/>
      <c r="R357" s="12" t="n"/>
      <c r="S357" s="13">
        <f>IF($R357="","",IFERROR(INDEX(Emp_Names,MATCH($R357,Emp_Codes,0)),"NOT FOUND"))</f>
        <v/>
      </c>
      <c r="T357" s="12" t="n"/>
      <c r="U357" s="12" t="n"/>
      <c r="V357" s="12" t="n"/>
    </row>
    <row r="358">
      <c r="A358" s="12" t="n"/>
      <c r="B358" s="12" t="n"/>
      <c r="C358" s="12" t="n"/>
      <c r="D358" s="13">
        <f>IF($A358="","",TRIM($B358&amp;" "&amp;$C358))</f>
        <v/>
      </c>
      <c r="E358" s="12" t="n"/>
      <c r="F358" s="12" t="n"/>
      <c r="G358" s="14" t="n"/>
      <c r="H358" s="14" t="n"/>
      <c r="I358" s="12" t="n"/>
      <c r="J358" s="14" t="n"/>
      <c r="K358" s="12" t="n"/>
      <c r="L358" s="13">
        <f>IF($K358="","",IFERROR(INDEX(Dept_Names,MATCH($K358,Dept_Codes,0)),"NOT FOUND"))</f>
        <v/>
      </c>
      <c r="M358" s="12" t="n"/>
      <c r="N358" s="13">
        <f>IF($M358="","",IFERROR(INDEX(Desig_Names,MATCH($M358,Desig_Codes,0)),"NOT FOUND"))</f>
        <v/>
      </c>
      <c r="O358" s="13">
        <f>IF($M358="","",IFERROR(INDEX(Desig_Levels,MATCH($M358,Desig_Codes,0)),""))</f>
        <v/>
      </c>
      <c r="P358" s="12" t="n"/>
      <c r="Q358" s="12" t="n"/>
      <c r="R358" s="12" t="n"/>
      <c r="S358" s="13">
        <f>IF($R358="","",IFERROR(INDEX(Emp_Names,MATCH($R358,Emp_Codes,0)),"NOT FOUND"))</f>
        <v/>
      </c>
      <c r="T358" s="12" t="n"/>
      <c r="U358" s="12" t="n"/>
      <c r="V358" s="12" t="n"/>
    </row>
    <row r="359">
      <c r="A359" s="12" t="n"/>
      <c r="B359" s="12" t="n"/>
      <c r="C359" s="12" t="n"/>
      <c r="D359" s="13">
        <f>IF($A359="","",TRIM($B359&amp;" "&amp;$C359))</f>
        <v/>
      </c>
      <c r="E359" s="12" t="n"/>
      <c r="F359" s="12" t="n"/>
      <c r="G359" s="14" t="n"/>
      <c r="H359" s="14" t="n"/>
      <c r="I359" s="12" t="n"/>
      <c r="J359" s="14" t="n"/>
      <c r="K359" s="12" t="n"/>
      <c r="L359" s="13">
        <f>IF($K359="","",IFERROR(INDEX(Dept_Names,MATCH($K359,Dept_Codes,0)),"NOT FOUND"))</f>
        <v/>
      </c>
      <c r="M359" s="12" t="n"/>
      <c r="N359" s="13">
        <f>IF($M359="","",IFERROR(INDEX(Desig_Names,MATCH($M359,Desig_Codes,0)),"NOT FOUND"))</f>
        <v/>
      </c>
      <c r="O359" s="13">
        <f>IF($M359="","",IFERROR(INDEX(Desig_Levels,MATCH($M359,Desig_Codes,0)),""))</f>
        <v/>
      </c>
      <c r="P359" s="12" t="n"/>
      <c r="Q359" s="12" t="n"/>
      <c r="R359" s="12" t="n"/>
      <c r="S359" s="13">
        <f>IF($R359="","",IFERROR(INDEX(Emp_Names,MATCH($R359,Emp_Codes,0)),"NOT FOUND"))</f>
        <v/>
      </c>
      <c r="T359" s="12" t="n"/>
      <c r="U359" s="12" t="n"/>
      <c r="V359" s="12" t="n"/>
    </row>
    <row r="360">
      <c r="A360" s="12" t="n"/>
      <c r="B360" s="12" t="n"/>
      <c r="C360" s="12" t="n"/>
      <c r="D360" s="13">
        <f>IF($A360="","",TRIM($B360&amp;" "&amp;$C360))</f>
        <v/>
      </c>
      <c r="E360" s="12" t="n"/>
      <c r="F360" s="12" t="n"/>
      <c r="G360" s="14" t="n"/>
      <c r="H360" s="14" t="n"/>
      <c r="I360" s="12" t="n"/>
      <c r="J360" s="14" t="n"/>
      <c r="K360" s="12" t="n"/>
      <c r="L360" s="13">
        <f>IF($K360="","",IFERROR(INDEX(Dept_Names,MATCH($K360,Dept_Codes,0)),"NOT FOUND"))</f>
        <v/>
      </c>
      <c r="M360" s="12" t="n"/>
      <c r="N360" s="13">
        <f>IF($M360="","",IFERROR(INDEX(Desig_Names,MATCH($M360,Desig_Codes,0)),"NOT FOUND"))</f>
        <v/>
      </c>
      <c r="O360" s="13">
        <f>IF($M360="","",IFERROR(INDEX(Desig_Levels,MATCH($M360,Desig_Codes,0)),""))</f>
        <v/>
      </c>
      <c r="P360" s="12" t="n"/>
      <c r="Q360" s="12" t="n"/>
      <c r="R360" s="12" t="n"/>
      <c r="S360" s="13">
        <f>IF($R360="","",IFERROR(INDEX(Emp_Names,MATCH($R360,Emp_Codes,0)),"NOT FOUND"))</f>
        <v/>
      </c>
      <c r="T360" s="12" t="n"/>
      <c r="U360" s="12" t="n"/>
      <c r="V360" s="12" t="n"/>
    </row>
    <row r="361">
      <c r="A361" s="12" t="n"/>
      <c r="B361" s="12" t="n"/>
      <c r="C361" s="12" t="n"/>
      <c r="D361" s="13">
        <f>IF($A361="","",TRIM($B361&amp;" "&amp;$C361))</f>
        <v/>
      </c>
      <c r="E361" s="12" t="n"/>
      <c r="F361" s="12" t="n"/>
      <c r="G361" s="14" t="n"/>
      <c r="H361" s="14" t="n"/>
      <c r="I361" s="12" t="n"/>
      <c r="J361" s="14" t="n"/>
      <c r="K361" s="12" t="n"/>
      <c r="L361" s="13">
        <f>IF($K361="","",IFERROR(INDEX(Dept_Names,MATCH($K361,Dept_Codes,0)),"NOT FOUND"))</f>
        <v/>
      </c>
      <c r="M361" s="12" t="n"/>
      <c r="N361" s="13">
        <f>IF($M361="","",IFERROR(INDEX(Desig_Names,MATCH($M361,Desig_Codes,0)),"NOT FOUND"))</f>
        <v/>
      </c>
      <c r="O361" s="13">
        <f>IF($M361="","",IFERROR(INDEX(Desig_Levels,MATCH($M361,Desig_Codes,0)),""))</f>
        <v/>
      </c>
      <c r="P361" s="12" t="n"/>
      <c r="Q361" s="12" t="n"/>
      <c r="R361" s="12" t="n"/>
      <c r="S361" s="13">
        <f>IF($R361="","",IFERROR(INDEX(Emp_Names,MATCH($R361,Emp_Codes,0)),"NOT FOUND"))</f>
        <v/>
      </c>
      <c r="T361" s="12" t="n"/>
      <c r="U361" s="12" t="n"/>
      <c r="V361" s="12" t="n"/>
    </row>
    <row r="362">
      <c r="A362" s="12" t="n"/>
      <c r="B362" s="12" t="n"/>
      <c r="C362" s="12" t="n"/>
      <c r="D362" s="13">
        <f>IF($A362="","",TRIM($B362&amp;" "&amp;$C362))</f>
        <v/>
      </c>
      <c r="E362" s="12" t="n"/>
      <c r="F362" s="12" t="n"/>
      <c r="G362" s="14" t="n"/>
      <c r="H362" s="14" t="n"/>
      <c r="I362" s="12" t="n"/>
      <c r="J362" s="14" t="n"/>
      <c r="K362" s="12" t="n"/>
      <c r="L362" s="13">
        <f>IF($K362="","",IFERROR(INDEX(Dept_Names,MATCH($K362,Dept_Codes,0)),"NOT FOUND"))</f>
        <v/>
      </c>
      <c r="M362" s="12" t="n"/>
      <c r="N362" s="13">
        <f>IF($M362="","",IFERROR(INDEX(Desig_Names,MATCH($M362,Desig_Codes,0)),"NOT FOUND"))</f>
        <v/>
      </c>
      <c r="O362" s="13">
        <f>IF($M362="","",IFERROR(INDEX(Desig_Levels,MATCH($M362,Desig_Codes,0)),""))</f>
        <v/>
      </c>
      <c r="P362" s="12" t="n"/>
      <c r="Q362" s="12" t="n"/>
      <c r="R362" s="12" t="n"/>
      <c r="S362" s="13">
        <f>IF($R362="","",IFERROR(INDEX(Emp_Names,MATCH($R362,Emp_Codes,0)),"NOT FOUND"))</f>
        <v/>
      </c>
      <c r="T362" s="12" t="n"/>
      <c r="U362" s="12" t="n"/>
      <c r="V362" s="12" t="n"/>
    </row>
    <row r="363">
      <c r="A363" s="12" t="n"/>
      <c r="B363" s="12" t="n"/>
      <c r="C363" s="12" t="n"/>
      <c r="D363" s="13">
        <f>IF($A363="","",TRIM($B363&amp;" "&amp;$C363))</f>
        <v/>
      </c>
      <c r="E363" s="12" t="n"/>
      <c r="F363" s="12" t="n"/>
      <c r="G363" s="14" t="n"/>
      <c r="H363" s="14" t="n"/>
      <c r="I363" s="12" t="n"/>
      <c r="J363" s="14" t="n"/>
      <c r="K363" s="12" t="n"/>
      <c r="L363" s="13">
        <f>IF($K363="","",IFERROR(INDEX(Dept_Names,MATCH($K363,Dept_Codes,0)),"NOT FOUND"))</f>
        <v/>
      </c>
      <c r="M363" s="12" t="n"/>
      <c r="N363" s="13">
        <f>IF($M363="","",IFERROR(INDEX(Desig_Names,MATCH($M363,Desig_Codes,0)),"NOT FOUND"))</f>
        <v/>
      </c>
      <c r="O363" s="13">
        <f>IF($M363="","",IFERROR(INDEX(Desig_Levels,MATCH($M363,Desig_Codes,0)),""))</f>
        <v/>
      </c>
      <c r="P363" s="12" t="n"/>
      <c r="Q363" s="12" t="n"/>
      <c r="R363" s="12" t="n"/>
      <c r="S363" s="13">
        <f>IF($R363="","",IFERROR(INDEX(Emp_Names,MATCH($R363,Emp_Codes,0)),"NOT FOUND"))</f>
        <v/>
      </c>
      <c r="T363" s="12" t="n"/>
      <c r="U363" s="12" t="n"/>
      <c r="V363" s="12" t="n"/>
    </row>
    <row r="364">
      <c r="A364" s="12" t="n"/>
      <c r="B364" s="12" t="n"/>
      <c r="C364" s="12" t="n"/>
      <c r="D364" s="13">
        <f>IF($A364="","",TRIM($B364&amp;" "&amp;$C364))</f>
        <v/>
      </c>
      <c r="E364" s="12" t="n"/>
      <c r="F364" s="12" t="n"/>
      <c r="G364" s="14" t="n"/>
      <c r="H364" s="14" t="n"/>
      <c r="I364" s="12" t="n"/>
      <c r="J364" s="14" t="n"/>
      <c r="K364" s="12" t="n"/>
      <c r="L364" s="13">
        <f>IF($K364="","",IFERROR(INDEX(Dept_Names,MATCH($K364,Dept_Codes,0)),"NOT FOUND"))</f>
        <v/>
      </c>
      <c r="M364" s="12" t="n"/>
      <c r="N364" s="13">
        <f>IF($M364="","",IFERROR(INDEX(Desig_Names,MATCH($M364,Desig_Codes,0)),"NOT FOUND"))</f>
        <v/>
      </c>
      <c r="O364" s="13">
        <f>IF($M364="","",IFERROR(INDEX(Desig_Levels,MATCH($M364,Desig_Codes,0)),""))</f>
        <v/>
      </c>
      <c r="P364" s="12" t="n"/>
      <c r="Q364" s="12" t="n"/>
      <c r="R364" s="12" t="n"/>
      <c r="S364" s="13">
        <f>IF($R364="","",IFERROR(INDEX(Emp_Names,MATCH($R364,Emp_Codes,0)),"NOT FOUND"))</f>
        <v/>
      </c>
      <c r="T364" s="12" t="n"/>
      <c r="U364" s="12" t="n"/>
      <c r="V364" s="12" t="n"/>
    </row>
    <row r="365">
      <c r="A365" s="12" t="n"/>
      <c r="B365" s="12" t="n"/>
      <c r="C365" s="12" t="n"/>
      <c r="D365" s="13">
        <f>IF($A365="","",TRIM($B365&amp;" "&amp;$C365))</f>
        <v/>
      </c>
      <c r="E365" s="12" t="n"/>
      <c r="F365" s="12" t="n"/>
      <c r="G365" s="14" t="n"/>
      <c r="H365" s="14" t="n"/>
      <c r="I365" s="12" t="n"/>
      <c r="J365" s="14" t="n"/>
      <c r="K365" s="12" t="n"/>
      <c r="L365" s="13">
        <f>IF($K365="","",IFERROR(INDEX(Dept_Names,MATCH($K365,Dept_Codes,0)),"NOT FOUND"))</f>
        <v/>
      </c>
      <c r="M365" s="12" t="n"/>
      <c r="N365" s="13">
        <f>IF($M365="","",IFERROR(INDEX(Desig_Names,MATCH($M365,Desig_Codes,0)),"NOT FOUND"))</f>
        <v/>
      </c>
      <c r="O365" s="13">
        <f>IF($M365="","",IFERROR(INDEX(Desig_Levels,MATCH($M365,Desig_Codes,0)),""))</f>
        <v/>
      </c>
      <c r="P365" s="12" t="n"/>
      <c r="Q365" s="12" t="n"/>
      <c r="R365" s="12" t="n"/>
      <c r="S365" s="13">
        <f>IF($R365="","",IFERROR(INDEX(Emp_Names,MATCH($R365,Emp_Codes,0)),"NOT FOUND"))</f>
        <v/>
      </c>
      <c r="T365" s="12" t="n"/>
      <c r="U365" s="12" t="n"/>
      <c r="V365" s="12" t="n"/>
    </row>
    <row r="366">
      <c r="A366" s="12" t="n"/>
      <c r="B366" s="12" t="n"/>
      <c r="C366" s="12" t="n"/>
      <c r="D366" s="13">
        <f>IF($A366="","",TRIM($B366&amp;" "&amp;$C366))</f>
        <v/>
      </c>
      <c r="E366" s="12" t="n"/>
      <c r="F366" s="12" t="n"/>
      <c r="G366" s="14" t="n"/>
      <c r="H366" s="14" t="n"/>
      <c r="I366" s="12" t="n"/>
      <c r="J366" s="14" t="n"/>
      <c r="K366" s="12" t="n"/>
      <c r="L366" s="13">
        <f>IF($K366="","",IFERROR(INDEX(Dept_Names,MATCH($K366,Dept_Codes,0)),"NOT FOUND"))</f>
        <v/>
      </c>
      <c r="M366" s="12" t="n"/>
      <c r="N366" s="13">
        <f>IF($M366="","",IFERROR(INDEX(Desig_Names,MATCH($M366,Desig_Codes,0)),"NOT FOUND"))</f>
        <v/>
      </c>
      <c r="O366" s="13">
        <f>IF($M366="","",IFERROR(INDEX(Desig_Levels,MATCH($M366,Desig_Codes,0)),""))</f>
        <v/>
      </c>
      <c r="P366" s="12" t="n"/>
      <c r="Q366" s="12" t="n"/>
      <c r="R366" s="12" t="n"/>
      <c r="S366" s="13">
        <f>IF($R366="","",IFERROR(INDEX(Emp_Names,MATCH($R366,Emp_Codes,0)),"NOT FOUND"))</f>
        <v/>
      </c>
      <c r="T366" s="12" t="n"/>
      <c r="U366" s="12" t="n"/>
      <c r="V366" s="12" t="n"/>
    </row>
    <row r="367">
      <c r="A367" s="12" t="n"/>
      <c r="B367" s="12" t="n"/>
      <c r="C367" s="12" t="n"/>
      <c r="D367" s="13">
        <f>IF($A367="","",TRIM($B367&amp;" "&amp;$C367))</f>
        <v/>
      </c>
      <c r="E367" s="12" t="n"/>
      <c r="F367" s="12" t="n"/>
      <c r="G367" s="14" t="n"/>
      <c r="H367" s="14" t="n"/>
      <c r="I367" s="12" t="n"/>
      <c r="J367" s="14" t="n"/>
      <c r="K367" s="12" t="n"/>
      <c r="L367" s="13">
        <f>IF($K367="","",IFERROR(INDEX(Dept_Names,MATCH($K367,Dept_Codes,0)),"NOT FOUND"))</f>
        <v/>
      </c>
      <c r="M367" s="12" t="n"/>
      <c r="N367" s="13">
        <f>IF($M367="","",IFERROR(INDEX(Desig_Names,MATCH($M367,Desig_Codes,0)),"NOT FOUND"))</f>
        <v/>
      </c>
      <c r="O367" s="13">
        <f>IF($M367="","",IFERROR(INDEX(Desig_Levels,MATCH($M367,Desig_Codes,0)),""))</f>
        <v/>
      </c>
      <c r="P367" s="12" t="n"/>
      <c r="Q367" s="12" t="n"/>
      <c r="R367" s="12" t="n"/>
      <c r="S367" s="13">
        <f>IF($R367="","",IFERROR(INDEX(Emp_Names,MATCH($R367,Emp_Codes,0)),"NOT FOUND"))</f>
        <v/>
      </c>
      <c r="T367" s="12" t="n"/>
      <c r="U367" s="12" t="n"/>
      <c r="V367" s="12" t="n"/>
    </row>
    <row r="368">
      <c r="A368" s="12" t="n"/>
      <c r="B368" s="12" t="n"/>
      <c r="C368" s="12" t="n"/>
      <c r="D368" s="13">
        <f>IF($A368="","",TRIM($B368&amp;" "&amp;$C368))</f>
        <v/>
      </c>
      <c r="E368" s="12" t="n"/>
      <c r="F368" s="12" t="n"/>
      <c r="G368" s="14" t="n"/>
      <c r="H368" s="14" t="n"/>
      <c r="I368" s="12" t="n"/>
      <c r="J368" s="14" t="n"/>
      <c r="K368" s="12" t="n"/>
      <c r="L368" s="13">
        <f>IF($K368="","",IFERROR(INDEX(Dept_Names,MATCH($K368,Dept_Codes,0)),"NOT FOUND"))</f>
        <v/>
      </c>
      <c r="M368" s="12" t="n"/>
      <c r="N368" s="13">
        <f>IF($M368="","",IFERROR(INDEX(Desig_Names,MATCH($M368,Desig_Codes,0)),"NOT FOUND"))</f>
        <v/>
      </c>
      <c r="O368" s="13">
        <f>IF($M368="","",IFERROR(INDEX(Desig_Levels,MATCH($M368,Desig_Codes,0)),""))</f>
        <v/>
      </c>
      <c r="P368" s="12" t="n"/>
      <c r="Q368" s="12" t="n"/>
      <c r="R368" s="12" t="n"/>
      <c r="S368" s="13">
        <f>IF($R368="","",IFERROR(INDEX(Emp_Names,MATCH($R368,Emp_Codes,0)),"NOT FOUND"))</f>
        <v/>
      </c>
      <c r="T368" s="12" t="n"/>
      <c r="U368" s="12" t="n"/>
      <c r="V368" s="12" t="n"/>
    </row>
    <row r="369">
      <c r="A369" s="12" t="n"/>
      <c r="B369" s="12" t="n"/>
      <c r="C369" s="12" t="n"/>
      <c r="D369" s="13">
        <f>IF($A369="","",TRIM($B369&amp;" "&amp;$C369))</f>
        <v/>
      </c>
      <c r="E369" s="12" t="n"/>
      <c r="F369" s="12" t="n"/>
      <c r="G369" s="14" t="n"/>
      <c r="H369" s="14" t="n"/>
      <c r="I369" s="12" t="n"/>
      <c r="J369" s="14" t="n"/>
      <c r="K369" s="12" t="n"/>
      <c r="L369" s="13">
        <f>IF($K369="","",IFERROR(INDEX(Dept_Names,MATCH($K369,Dept_Codes,0)),"NOT FOUND"))</f>
        <v/>
      </c>
      <c r="M369" s="12" t="n"/>
      <c r="N369" s="13">
        <f>IF($M369="","",IFERROR(INDEX(Desig_Names,MATCH($M369,Desig_Codes,0)),"NOT FOUND"))</f>
        <v/>
      </c>
      <c r="O369" s="13">
        <f>IF($M369="","",IFERROR(INDEX(Desig_Levels,MATCH($M369,Desig_Codes,0)),""))</f>
        <v/>
      </c>
      <c r="P369" s="12" t="n"/>
      <c r="Q369" s="12" t="n"/>
      <c r="R369" s="12" t="n"/>
      <c r="S369" s="13">
        <f>IF($R369="","",IFERROR(INDEX(Emp_Names,MATCH($R369,Emp_Codes,0)),"NOT FOUND"))</f>
        <v/>
      </c>
      <c r="T369" s="12" t="n"/>
      <c r="U369" s="12" t="n"/>
      <c r="V369" s="12" t="n"/>
    </row>
    <row r="370">
      <c r="A370" s="12" t="n"/>
      <c r="B370" s="12" t="n"/>
      <c r="C370" s="12" t="n"/>
      <c r="D370" s="13">
        <f>IF($A370="","",TRIM($B370&amp;" "&amp;$C370))</f>
        <v/>
      </c>
      <c r="E370" s="12" t="n"/>
      <c r="F370" s="12" t="n"/>
      <c r="G370" s="14" t="n"/>
      <c r="H370" s="14" t="n"/>
      <c r="I370" s="12" t="n"/>
      <c r="J370" s="14" t="n"/>
      <c r="K370" s="12" t="n"/>
      <c r="L370" s="13">
        <f>IF($K370="","",IFERROR(INDEX(Dept_Names,MATCH($K370,Dept_Codes,0)),"NOT FOUND"))</f>
        <v/>
      </c>
      <c r="M370" s="12" t="n"/>
      <c r="N370" s="13">
        <f>IF($M370="","",IFERROR(INDEX(Desig_Names,MATCH($M370,Desig_Codes,0)),"NOT FOUND"))</f>
        <v/>
      </c>
      <c r="O370" s="13">
        <f>IF($M370="","",IFERROR(INDEX(Desig_Levels,MATCH($M370,Desig_Codes,0)),""))</f>
        <v/>
      </c>
      <c r="P370" s="12" t="n"/>
      <c r="Q370" s="12" t="n"/>
      <c r="R370" s="12" t="n"/>
      <c r="S370" s="13">
        <f>IF($R370="","",IFERROR(INDEX(Emp_Names,MATCH($R370,Emp_Codes,0)),"NOT FOUND"))</f>
        <v/>
      </c>
      <c r="T370" s="12" t="n"/>
      <c r="U370" s="12" t="n"/>
      <c r="V370" s="12" t="n"/>
    </row>
    <row r="371">
      <c r="A371" s="12" t="n"/>
      <c r="B371" s="12" t="n"/>
      <c r="C371" s="12" t="n"/>
      <c r="D371" s="13">
        <f>IF($A371="","",TRIM($B371&amp;" "&amp;$C371))</f>
        <v/>
      </c>
      <c r="E371" s="12" t="n"/>
      <c r="F371" s="12" t="n"/>
      <c r="G371" s="14" t="n"/>
      <c r="H371" s="14" t="n"/>
      <c r="I371" s="12" t="n"/>
      <c r="J371" s="14" t="n"/>
      <c r="K371" s="12" t="n"/>
      <c r="L371" s="13">
        <f>IF($K371="","",IFERROR(INDEX(Dept_Names,MATCH($K371,Dept_Codes,0)),"NOT FOUND"))</f>
        <v/>
      </c>
      <c r="M371" s="12" t="n"/>
      <c r="N371" s="13">
        <f>IF($M371="","",IFERROR(INDEX(Desig_Names,MATCH($M371,Desig_Codes,0)),"NOT FOUND"))</f>
        <v/>
      </c>
      <c r="O371" s="13">
        <f>IF($M371="","",IFERROR(INDEX(Desig_Levels,MATCH($M371,Desig_Codes,0)),""))</f>
        <v/>
      </c>
      <c r="P371" s="12" t="n"/>
      <c r="Q371" s="12" t="n"/>
      <c r="R371" s="12" t="n"/>
      <c r="S371" s="13">
        <f>IF($R371="","",IFERROR(INDEX(Emp_Names,MATCH($R371,Emp_Codes,0)),"NOT FOUND"))</f>
        <v/>
      </c>
      <c r="T371" s="12" t="n"/>
      <c r="U371" s="12" t="n"/>
      <c r="V371" s="12" t="n"/>
    </row>
    <row r="372">
      <c r="A372" s="12" t="n"/>
      <c r="B372" s="12" t="n"/>
      <c r="C372" s="12" t="n"/>
      <c r="D372" s="13">
        <f>IF($A372="","",TRIM($B372&amp;" "&amp;$C372))</f>
        <v/>
      </c>
      <c r="E372" s="12" t="n"/>
      <c r="F372" s="12" t="n"/>
      <c r="G372" s="14" t="n"/>
      <c r="H372" s="14" t="n"/>
      <c r="I372" s="12" t="n"/>
      <c r="J372" s="14" t="n"/>
      <c r="K372" s="12" t="n"/>
      <c r="L372" s="13">
        <f>IF($K372="","",IFERROR(INDEX(Dept_Names,MATCH($K372,Dept_Codes,0)),"NOT FOUND"))</f>
        <v/>
      </c>
      <c r="M372" s="12" t="n"/>
      <c r="N372" s="13">
        <f>IF($M372="","",IFERROR(INDEX(Desig_Names,MATCH($M372,Desig_Codes,0)),"NOT FOUND"))</f>
        <v/>
      </c>
      <c r="O372" s="13">
        <f>IF($M372="","",IFERROR(INDEX(Desig_Levels,MATCH($M372,Desig_Codes,0)),""))</f>
        <v/>
      </c>
      <c r="P372" s="12" t="n"/>
      <c r="Q372" s="12" t="n"/>
      <c r="R372" s="12" t="n"/>
      <c r="S372" s="13">
        <f>IF($R372="","",IFERROR(INDEX(Emp_Names,MATCH($R372,Emp_Codes,0)),"NOT FOUND"))</f>
        <v/>
      </c>
      <c r="T372" s="12" t="n"/>
      <c r="U372" s="12" t="n"/>
      <c r="V372" s="12" t="n"/>
    </row>
    <row r="373">
      <c r="A373" s="12" t="n"/>
      <c r="B373" s="12" t="n"/>
      <c r="C373" s="12" t="n"/>
      <c r="D373" s="13">
        <f>IF($A373="","",TRIM($B373&amp;" "&amp;$C373))</f>
        <v/>
      </c>
      <c r="E373" s="12" t="n"/>
      <c r="F373" s="12" t="n"/>
      <c r="G373" s="14" t="n"/>
      <c r="H373" s="14" t="n"/>
      <c r="I373" s="12" t="n"/>
      <c r="J373" s="14" t="n"/>
      <c r="K373" s="12" t="n"/>
      <c r="L373" s="13">
        <f>IF($K373="","",IFERROR(INDEX(Dept_Names,MATCH($K373,Dept_Codes,0)),"NOT FOUND"))</f>
        <v/>
      </c>
      <c r="M373" s="12" t="n"/>
      <c r="N373" s="13">
        <f>IF($M373="","",IFERROR(INDEX(Desig_Names,MATCH($M373,Desig_Codes,0)),"NOT FOUND"))</f>
        <v/>
      </c>
      <c r="O373" s="13">
        <f>IF($M373="","",IFERROR(INDEX(Desig_Levels,MATCH($M373,Desig_Codes,0)),""))</f>
        <v/>
      </c>
      <c r="P373" s="12" t="n"/>
      <c r="Q373" s="12" t="n"/>
      <c r="R373" s="12" t="n"/>
      <c r="S373" s="13">
        <f>IF($R373="","",IFERROR(INDEX(Emp_Names,MATCH($R373,Emp_Codes,0)),"NOT FOUND"))</f>
        <v/>
      </c>
      <c r="T373" s="12" t="n"/>
      <c r="U373" s="12" t="n"/>
      <c r="V373" s="12" t="n"/>
    </row>
    <row r="374">
      <c r="A374" s="12" t="n"/>
      <c r="B374" s="12" t="n"/>
      <c r="C374" s="12" t="n"/>
      <c r="D374" s="13">
        <f>IF($A374="","",TRIM($B374&amp;" "&amp;$C374))</f>
        <v/>
      </c>
      <c r="E374" s="12" t="n"/>
      <c r="F374" s="12" t="n"/>
      <c r="G374" s="14" t="n"/>
      <c r="H374" s="14" t="n"/>
      <c r="I374" s="12" t="n"/>
      <c r="J374" s="14" t="n"/>
      <c r="K374" s="12" t="n"/>
      <c r="L374" s="13">
        <f>IF($K374="","",IFERROR(INDEX(Dept_Names,MATCH($K374,Dept_Codes,0)),"NOT FOUND"))</f>
        <v/>
      </c>
      <c r="M374" s="12" t="n"/>
      <c r="N374" s="13">
        <f>IF($M374="","",IFERROR(INDEX(Desig_Names,MATCH($M374,Desig_Codes,0)),"NOT FOUND"))</f>
        <v/>
      </c>
      <c r="O374" s="13">
        <f>IF($M374="","",IFERROR(INDEX(Desig_Levels,MATCH($M374,Desig_Codes,0)),""))</f>
        <v/>
      </c>
      <c r="P374" s="12" t="n"/>
      <c r="Q374" s="12" t="n"/>
      <c r="R374" s="12" t="n"/>
      <c r="S374" s="13">
        <f>IF($R374="","",IFERROR(INDEX(Emp_Names,MATCH($R374,Emp_Codes,0)),"NOT FOUND"))</f>
        <v/>
      </c>
      <c r="T374" s="12" t="n"/>
      <c r="U374" s="12" t="n"/>
      <c r="V374" s="12" t="n"/>
    </row>
    <row r="375">
      <c r="A375" s="12" t="n"/>
      <c r="B375" s="12" t="n"/>
      <c r="C375" s="12" t="n"/>
      <c r="D375" s="13">
        <f>IF($A375="","",TRIM($B375&amp;" "&amp;$C375))</f>
        <v/>
      </c>
      <c r="E375" s="12" t="n"/>
      <c r="F375" s="12" t="n"/>
      <c r="G375" s="14" t="n"/>
      <c r="H375" s="14" t="n"/>
      <c r="I375" s="12" t="n"/>
      <c r="J375" s="14" t="n"/>
      <c r="K375" s="12" t="n"/>
      <c r="L375" s="13">
        <f>IF($K375="","",IFERROR(INDEX(Dept_Names,MATCH($K375,Dept_Codes,0)),"NOT FOUND"))</f>
        <v/>
      </c>
      <c r="M375" s="12" t="n"/>
      <c r="N375" s="13">
        <f>IF($M375="","",IFERROR(INDEX(Desig_Names,MATCH($M375,Desig_Codes,0)),"NOT FOUND"))</f>
        <v/>
      </c>
      <c r="O375" s="13">
        <f>IF($M375="","",IFERROR(INDEX(Desig_Levels,MATCH($M375,Desig_Codes,0)),""))</f>
        <v/>
      </c>
      <c r="P375" s="12" t="n"/>
      <c r="Q375" s="12" t="n"/>
      <c r="R375" s="12" t="n"/>
      <c r="S375" s="13">
        <f>IF($R375="","",IFERROR(INDEX(Emp_Names,MATCH($R375,Emp_Codes,0)),"NOT FOUND"))</f>
        <v/>
      </c>
      <c r="T375" s="12" t="n"/>
      <c r="U375" s="12" t="n"/>
      <c r="V375" s="12" t="n"/>
    </row>
    <row r="376">
      <c r="A376" s="12" t="n"/>
      <c r="B376" s="12" t="n"/>
      <c r="C376" s="12" t="n"/>
      <c r="D376" s="13">
        <f>IF($A376="","",TRIM($B376&amp;" "&amp;$C376))</f>
        <v/>
      </c>
      <c r="E376" s="12" t="n"/>
      <c r="F376" s="12" t="n"/>
      <c r="G376" s="14" t="n"/>
      <c r="H376" s="14" t="n"/>
      <c r="I376" s="12" t="n"/>
      <c r="J376" s="14" t="n"/>
      <c r="K376" s="12" t="n"/>
      <c r="L376" s="13">
        <f>IF($K376="","",IFERROR(INDEX(Dept_Names,MATCH($K376,Dept_Codes,0)),"NOT FOUND"))</f>
        <v/>
      </c>
      <c r="M376" s="12" t="n"/>
      <c r="N376" s="13">
        <f>IF($M376="","",IFERROR(INDEX(Desig_Names,MATCH($M376,Desig_Codes,0)),"NOT FOUND"))</f>
        <v/>
      </c>
      <c r="O376" s="13">
        <f>IF($M376="","",IFERROR(INDEX(Desig_Levels,MATCH($M376,Desig_Codes,0)),""))</f>
        <v/>
      </c>
      <c r="P376" s="12" t="n"/>
      <c r="Q376" s="12" t="n"/>
      <c r="R376" s="12" t="n"/>
      <c r="S376" s="13">
        <f>IF($R376="","",IFERROR(INDEX(Emp_Names,MATCH($R376,Emp_Codes,0)),"NOT FOUND"))</f>
        <v/>
      </c>
      <c r="T376" s="12" t="n"/>
      <c r="U376" s="12" t="n"/>
      <c r="V376" s="12" t="n"/>
    </row>
    <row r="377">
      <c r="A377" s="12" t="n"/>
      <c r="B377" s="12" t="n"/>
      <c r="C377" s="12" t="n"/>
      <c r="D377" s="13">
        <f>IF($A377="","",TRIM($B377&amp;" "&amp;$C377))</f>
        <v/>
      </c>
      <c r="E377" s="12" t="n"/>
      <c r="F377" s="12" t="n"/>
      <c r="G377" s="14" t="n"/>
      <c r="H377" s="14" t="n"/>
      <c r="I377" s="12" t="n"/>
      <c r="J377" s="14" t="n"/>
      <c r="K377" s="12" t="n"/>
      <c r="L377" s="13">
        <f>IF($K377="","",IFERROR(INDEX(Dept_Names,MATCH($K377,Dept_Codes,0)),"NOT FOUND"))</f>
        <v/>
      </c>
      <c r="M377" s="12" t="n"/>
      <c r="N377" s="13">
        <f>IF($M377="","",IFERROR(INDEX(Desig_Names,MATCH($M377,Desig_Codes,0)),"NOT FOUND"))</f>
        <v/>
      </c>
      <c r="O377" s="13">
        <f>IF($M377="","",IFERROR(INDEX(Desig_Levels,MATCH($M377,Desig_Codes,0)),""))</f>
        <v/>
      </c>
      <c r="P377" s="12" t="n"/>
      <c r="Q377" s="12" t="n"/>
      <c r="R377" s="12" t="n"/>
      <c r="S377" s="13">
        <f>IF($R377="","",IFERROR(INDEX(Emp_Names,MATCH($R377,Emp_Codes,0)),"NOT FOUND"))</f>
        <v/>
      </c>
      <c r="T377" s="12" t="n"/>
      <c r="U377" s="12" t="n"/>
      <c r="V377" s="12" t="n"/>
    </row>
    <row r="378">
      <c r="A378" s="12" t="n"/>
      <c r="B378" s="12" t="n"/>
      <c r="C378" s="12" t="n"/>
      <c r="D378" s="13">
        <f>IF($A378="","",TRIM($B378&amp;" "&amp;$C378))</f>
        <v/>
      </c>
      <c r="E378" s="12" t="n"/>
      <c r="F378" s="12" t="n"/>
      <c r="G378" s="14" t="n"/>
      <c r="H378" s="14" t="n"/>
      <c r="I378" s="12" t="n"/>
      <c r="J378" s="14" t="n"/>
      <c r="K378" s="12" t="n"/>
      <c r="L378" s="13">
        <f>IF($K378="","",IFERROR(INDEX(Dept_Names,MATCH($K378,Dept_Codes,0)),"NOT FOUND"))</f>
        <v/>
      </c>
      <c r="M378" s="12" t="n"/>
      <c r="N378" s="13">
        <f>IF($M378="","",IFERROR(INDEX(Desig_Names,MATCH($M378,Desig_Codes,0)),"NOT FOUND"))</f>
        <v/>
      </c>
      <c r="O378" s="13">
        <f>IF($M378="","",IFERROR(INDEX(Desig_Levels,MATCH($M378,Desig_Codes,0)),""))</f>
        <v/>
      </c>
      <c r="P378" s="12" t="n"/>
      <c r="Q378" s="12" t="n"/>
      <c r="R378" s="12" t="n"/>
      <c r="S378" s="13">
        <f>IF($R378="","",IFERROR(INDEX(Emp_Names,MATCH($R378,Emp_Codes,0)),"NOT FOUND"))</f>
        <v/>
      </c>
      <c r="T378" s="12" t="n"/>
      <c r="U378" s="12" t="n"/>
      <c r="V378" s="12" t="n"/>
    </row>
    <row r="379">
      <c r="A379" s="12" t="n"/>
      <c r="B379" s="12" t="n"/>
      <c r="C379" s="12" t="n"/>
      <c r="D379" s="13">
        <f>IF($A379="","",TRIM($B379&amp;" "&amp;$C379))</f>
        <v/>
      </c>
      <c r="E379" s="12" t="n"/>
      <c r="F379" s="12" t="n"/>
      <c r="G379" s="14" t="n"/>
      <c r="H379" s="14" t="n"/>
      <c r="I379" s="12" t="n"/>
      <c r="J379" s="14" t="n"/>
      <c r="K379" s="12" t="n"/>
      <c r="L379" s="13">
        <f>IF($K379="","",IFERROR(INDEX(Dept_Names,MATCH($K379,Dept_Codes,0)),"NOT FOUND"))</f>
        <v/>
      </c>
      <c r="M379" s="12" t="n"/>
      <c r="N379" s="13">
        <f>IF($M379="","",IFERROR(INDEX(Desig_Names,MATCH($M379,Desig_Codes,0)),"NOT FOUND"))</f>
        <v/>
      </c>
      <c r="O379" s="13">
        <f>IF($M379="","",IFERROR(INDEX(Desig_Levels,MATCH($M379,Desig_Codes,0)),""))</f>
        <v/>
      </c>
      <c r="P379" s="12" t="n"/>
      <c r="Q379" s="12" t="n"/>
      <c r="R379" s="12" t="n"/>
      <c r="S379" s="13">
        <f>IF($R379="","",IFERROR(INDEX(Emp_Names,MATCH($R379,Emp_Codes,0)),"NOT FOUND"))</f>
        <v/>
      </c>
      <c r="T379" s="12" t="n"/>
      <c r="U379" s="12" t="n"/>
      <c r="V379" s="12" t="n"/>
    </row>
    <row r="380">
      <c r="A380" s="12" t="n"/>
      <c r="B380" s="12" t="n"/>
      <c r="C380" s="12" t="n"/>
      <c r="D380" s="13">
        <f>IF($A380="","",TRIM($B380&amp;" "&amp;$C380))</f>
        <v/>
      </c>
      <c r="E380" s="12" t="n"/>
      <c r="F380" s="12" t="n"/>
      <c r="G380" s="14" t="n"/>
      <c r="H380" s="14" t="n"/>
      <c r="I380" s="12" t="n"/>
      <c r="J380" s="14" t="n"/>
      <c r="K380" s="12" t="n"/>
      <c r="L380" s="13">
        <f>IF($K380="","",IFERROR(INDEX(Dept_Names,MATCH($K380,Dept_Codes,0)),"NOT FOUND"))</f>
        <v/>
      </c>
      <c r="M380" s="12" t="n"/>
      <c r="N380" s="13">
        <f>IF($M380="","",IFERROR(INDEX(Desig_Names,MATCH($M380,Desig_Codes,0)),"NOT FOUND"))</f>
        <v/>
      </c>
      <c r="O380" s="13">
        <f>IF($M380="","",IFERROR(INDEX(Desig_Levels,MATCH($M380,Desig_Codes,0)),""))</f>
        <v/>
      </c>
      <c r="P380" s="12" t="n"/>
      <c r="Q380" s="12" t="n"/>
      <c r="R380" s="12" t="n"/>
      <c r="S380" s="13">
        <f>IF($R380="","",IFERROR(INDEX(Emp_Names,MATCH($R380,Emp_Codes,0)),"NOT FOUND"))</f>
        <v/>
      </c>
      <c r="T380" s="12" t="n"/>
      <c r="U380" s="12" t="n"/>
      <c r="V380" s="12" t="n"/>
    </row>
    <row r="381">
      <c r="A381" s="12" t="n"/>
      <c r="B381" s="12" t="n"/>
      <c r="C381" s="12" t="n"/>
      <c r="D381" s="13">
        <f>IF($A381="","",TRIM($B381&amp;" "&amp;$C381))</f>
        <v/>
      </c>
      <c r="E381" s="12" t="n"/>
      <c r="F381" s="12" t="n"/>
      <c r="G381" s="14" t="n"/>
      <c r="H381" s="14" t="n"/>
      <c r="I381" s="12" t="n"/>
      <c r="J381" s="14" t="n"/>
      <c r="K381" s="12" t="n"/>
      <c r="L381" s="13">
        <f>IF($K381="","",IFERROR(INDEX(Dept_Names,MATCH($K381,Dept_Codes,0)),"NOT FOUND"))</f>
        <v/>
      </c>
      <c r="M381" s="12" t="n"/>
      <c r="N381" s="13">
        <f>IF($M381="","",IFERROR(INDEX(Desig_Names,MATCH($M381,Desig_Codes,0)),"NOT FOUND"))</f>
        <v/>
      </c>
      <c r="O381" s="13">
        <f>IF($M381="","",IFERROR(INDEX(Desig_Levels,MATCH($M381,Desig_Codes,0)),""))</f>
        <v/>
      </c>
      <c r="P381" s="12" t="n"/>
      <c r="Q381" s="12" t="n"/>
      <c r="R381" s="12" t="n"/>
      <c r="S381" s="13">
        <f>IF($R381="","",IFERROR(INDEX(Emp_Names,MATCH($R381,Emp_Codes,0)),"NOT FOUND"))</f>
        <v/>
      </c>
      <c r="T381" s="12" t="n"/>
      <c r="U381" s="12" t="n"/>
      <c r="V381" s="12" t="n"/>
    </row>
    <row r="382">
      <c r="A382" s="12" t="n"/>
      <c r="B382" s="12" t="n"/>
      <c r="C382" s="12" t="n"/>
      <c r="D382" s="13">
        <f>IF($A382="","",TRIM($B382&amp;" "&amp;$C382))</f>
        <v/>
      </c>
      <c r="E382" s="12" t="n"/>
      <c r="F382" s="12" t="n"/>
      <c r="G382" s="14" t="n"/>
      <c r="H382" s="14" t="n"/>
      <c r="I382" s="12" t="n"/>
      <c r="J382" s="14" t="n"/>
      <c r="K382" s="12" t="n"/>
      <c r="L382" s="13">
        <f>IF($K382="","",IFERROR(INDEX(Dept_Names,MATCH($K382,Dept_Codes,0)),"NOT FOUND"))</f>
        <v/>
      </c>
      <c r="M382" s="12" t="n"/>
      <c r="N382" s="13">
        <f>IF($M382="","",IFERROR(INDEX(Desig_Names,MATCH($M382,Desig_Codes,0)),"NOT FOUND"))</f>
        <v/>
      </c>
      <c r="O382" s="13">
        <f>IF($M382="","",IFERROR(INDEX(Desig_Levels,MATCH($M382,Desig_Codes,0)),""))</f>
        <v/>
      </c>
      <c r="P382" s="12" t="n"/>
      <c r="Q382" s="12" t="n"/>
      <c r="R382" s="12" t="n"/>
      <c r="S382" s="13">
        <f>IF($R382="","",IFERROR(INDEX(Emp_Names,MATCH($R382,Emp_Codes,0)),"NOT FOUND"))</f>
        <v/>
      </c>
      <c r="T382" s="12" t="n"/>
      <c r="U382" s="12" t="n"/>
      <c r="V382" s="12" t="n"/>
    </row>
    <row r="383">
      <c r="A383" s="12" t="n"/>
      <c r="B383" s="12" t="n"/>
      <c r="C383" s="12" t="n"/>
      <c r="D383" s="13">
        <f>IF($A383="","",TRIM($B383&amp;" "&amp;$C383))</f>
        <v/>
      </c>
      <c r="E383" s="12" t="n"/>
      <c r="F383" s="12" t="n"/>
      <c r="G383" s="14" t="n"/>
      <c r="H383" s="14" t="n"/>
      <c r="I383" s="12" t="n"/>
      <c r="J383" s="14" t="n"/>
      <c r="K383" s="12" t="n"/>
      <c r="L383" s="13">
        <f>IF($K383="","",IFERROR(INDEX(Dept_Names,MATCH($K383,Dept_Codes,0)),"NOT FOUND"))</f>
        <v/>
      </c>
      <c r="M383" s="12" t="n"/>
      <c r="N383" s="13">
        <f>IF($M383="","",IFERROR(INDEX(Desig_Names,MATCH($M383,Desig_Codes,0)),"NOT FOUND"))</f>
        <v/>
      </c>
      <c r="O383" s="13">
        <f>IF($M383="","",IFERROR(INDEX(Desig_Levels,MATCH($M383,Desig_Codes,0)),""))</f>
        <v/>
      </c>
      <c r="P383" s="12" t="n"/>
      <c r="Q383" s="12" t="n"/>
      <c r="R383" s="12" t="n"/>
      <c r="S383" s="13">
        <f>IF($R383="","",IFERROR(INDEX(Emp_Names,MATCH($R383,Emp_Codes,0)),"NOT FOUND"))</f>
        <v/>
      </c>
      <c r="T383" s="12" t="n"/>
      <c r="U383" s="12" t="n"/>
      <c r="V383" s="12" t="n"/>
    </row>
    <row r="384">
      <c r="A384" s="12" t="n"/>
      <c r="B384" s="12" t="n"/>
      <c r="C384" s="12" t="n"/>
      <c r="D384" s="13">
        <f>IF($A384="","",TRIM($B384&amp;" "&amp;$C384))</f>
        <v/>
      </c>
      <c r="E384" s="12" t="n"/>
      <c r="F384" s="12" t="n"/>
      <c r="G384" s="14" t="n"/>
      <c r="H384" s="14" t="n"/>
      <c r="I384" s="12" t="n"/>
      <c r="J384" s="14" t="n"/>
      <c r="K384" s="12" t="n"/>
      <c r="L384" s="13">
        <f>IF($K384="","",IFERROR(INDEX(Dept_Names,MATCH($K384,Dept_Codes,0)),"NOT FOUND"))</f>
        <v/>
      </c>
      <c r="M384" s="12" t="n"/>
      <c r="N384" s="13">
        <f>IF($M384="","",IFERROR(INDEX(Desig_Names,MATCH($M384,Desig_Codes,0)),"NOT FOUND"))</f>
        <v/>
      </c>
      <c r="O384" s="13">
        <f>IF($M384="","",IFERROR(INDEX(Desig_Levels,MATCH($M384,Desig_Codes,0)),""))</f>
        <v/>
      </c>
      <c r="P384" s="12" t="n"/>
      <c r="Q384" s="12" t="n"/>
      <c r="R384" s="12" t="n"/>
      <c r="S384" s="13">
        <f>IF($R384="","",IFERROR(INDEX(Emp_Names,MATCH($R384,Emp_Codes,0)),"NOT FOUND"))</f>
        <v/>
      </c>
      <c r="T384" s="12" t="n"/>
      <c r="U384" s="12" t="n"/>
      <c r="V384" s="12" t="n"/>
    </row>
    <row r="385">
      <c r="A385" s="12" t="n"/>
      <c r="B385" s="12" t="n"/>
      <c r="C385" s="12" t="n"/>
      <c r="D385" s="13">
        <f>IF($A385="","",TRIM($B385&amp;" "&amp;$C385))</f>
        <v/>
      </c>
      <c r="E385" s="12" t="n"/>
      <c r="F385" s="12" t="n"/>
      <c r="G385" s="14" t="n"/>
      <c r="H385" s="14" t="n"/>
      <c r="I385" s="12" t="n"/>
      <c r="J385" s="14" t="n"/>
      <c r="K385" s="12" t="n"/>
      <c r="L385" s="13">
        <f>IF($K385="","",IFERROR(INDEX(Dept_Names,MATCH($K385,Dept_Codes,0)),"NOT FOUND"))</f>
        <v/>
      </c>
      <c r="M385" s="12" t="n"/>
      <c r="N385" s="13">
        <f>IF($M385="","",IFERROR(INDEX(Desig_Names,MATCH($M385,Desig_Codes,0)),"NOT FOUND"))</f>
        <v/>
      </c>
      <c r="O385" s="13">
        <f>IF($M385="","",IFERROR(INDEX(Desig_Levels,MATCH($M385,Desig_Codes,0)),""))</f>
        <v/>
      </c>
      <c r="P385" s="12" t="n"/>
      <c r="Q385" s="12" t="n"/>
      <c r="R385" s="12" t="n"/>
      <c r="S385" s="13">
        <f>IF($R385="","",IFERROR(INDEX(Emp_Names,MATCH($R385,Emp_Codes,0)),"NOT FOUND"))</f>
        <v/>
      </c>
      <c r="T385" s="12" t="n"/>
      <c r="U385" s="12" t="n"/>
      <c r="V385" s="12" t="n"/>
    </row>
    <row r="386">
      <c r="A386" s="12" t="n"/>
      <c r="B386" s="12" t="n"/>
      <c r="C386" s="12" t="n"/>
      <c r="D386" s="13">
        <f>IF($A386="","",TRIM($B386&amp;" "&amp;$C386))</f>
        <v/>
      </c>
      <c r="E386" s="12" t="n"/>
      <c r="F386" s="12" t="n"/>
      <c r="G386" s="14" t="n"/>
      <c r="H386" s="14" t="n"/>
      <c r="I386" s="12" t="n"/>
      <c r="J386" s="14" t="n"/>
      <c r="K386" s="12" t="n"/>
      <c r="L386" s="13">
        <f>IF($K386="","",IFERROR(INDEX(Dept_Names,MATCH($K386,Dept_Codes,0)),"NOT FOUND"))</f>
        <v/>
      </c>
      <c r="M386" s="12" t="n"/>
      <c r="N386" s="13">
        <f>IF($M386="","",IFERROR(INDEX(Desig_Names,MATCH($M386,Desig_Codes,0)),"NOT FOUND"))</f>
        <v/>
      </c>
      <c r="O386" s="13">
        <f>IF($M386="","",IFERROR(INDEX(Desig_Levels,MATCH($M386,Desig_Codes,0)),""))</f>
        <v/>
      </c>
      <c r="P386" s="12" t="n"/>
      <c r="Q386" s="12" t="n"/>
      <c r="R386" s="12" t="n"/>
      <c r="S386" s="13">
        <f>IF($R386="","",IFERROR(INDEX(Emp_Names,MATCH($R386,Emp_Codes,0)),"NOT FOUND"))</f>
        <v/>
      </c>
      <c r="T386" s="12" t="n"/>
      <c r="U386" s="12" t="n"/>
      <c r="V386" s="12" t="n"/>
    </row>
    <row r="387">
      <c r="A387" s="12" t="n"/>
      <c r="B387" s="12" t="n"/>
      <c r="C387" s="12" t="n"/>
      <c r="D387" s="13">
        <f>IF($A387="","",TRIM($B387&amp;" "&amp;$C387))</f>
        <v/>
      </c>
      <c r="E387" s="12" t="n"/>
      <c r="F387" s="12" t="n"/>
      <c r="G387" s="14" t="n"/>
      <c r="H387" s="14" t="n"/>
      <c r="I387" s="12" t="n"/>
      <c r="J387" s="14" t="n"/>
      <c r="K387" s="12" t="n"/>
      <c r="L387" s="13">
        <f>IF($K387="","",IFERROR(INDEX(Dept_Names,MATCH($K387,Dept_Codes,0)),"NOT FOUND"))</f>
        <v/>
      </c>
      <c r="M387" s="12" t="n"/>
      <c r="N387" s="13">
        <f>IF($M387="","",IFERROR(INDEX(Desig_Names,MATCH($M387,Desig_Codes,0)),"NOT FOUND"))</f>
        <v/>
      </c>
      <c r="O387" s="13">
        <f>IF($M387="","",IFERROR(INDEX(Desig_Levels,MATCH($M387,Desig_Codes,0)),""))</f>
        <v/>
      </c>
      <c r="P387" s="12" t="n"/>
      <c r="Q387" s="12" t="n"/>
      <c r="R387" s="12" t="n"/>
      <c r="S387" s="13">
        <f>IF($R387="","",IFERROR(INDEX(Emp_Names,MATCH($R387,Emp_Codes,0)),"NOT FOUND"))</f>
        <v/>
      </c>
      <c r="T387" s="12" t="n"/>
      <c r="U387" s="12" t="n"/>
      <c r="V387" s="12" t="n"/>
    </row>
    <row r="388">
      <c r="A388" s="12" t="n"/>
      <c r="B388" s="12" t="n"/>
      <c r="C388" s="12" t="n"/>
      <c r="D388" s="13">
        <f>IF($A388="","",TRIM($B388&amp;" "&amp;$C388))</f>
        <v/>
      </c>
      <c r="E388" s="12" t="n"/>
      <c r="F388" s="12" t="n"/>
      <c r="G388" s="14" t="n"/>
      <c r="H388" s="14" t="n"/>
      <c r="I388" s="12" t="n"/>
      <c r="J388" s="14" t="n"/>
      <c r="K388" s="12" t="n"/>
      <c r="L388" s="13">
        <f>IF($K388="","",IFERROR(INDEX(Dept_Names,MATCH($K388,Dept_Codes,0)),"NOT FOUND"))</f>
        <v/>
      </c>
      <c r="M388" s="12" t="n"/>
      <c r="N388" s="13">
        <f>IF($M388="","",IFERROR(INDEX(Desig_Names,MATCH($M388,Desig_Codes,0)),"NOT FOUND"))</f>
        <v/>
      </c>
      <c r="O388" s="13">
        <f>IF($M388="","",IFERROR(INDEX(Desig_Levels,MATCH($M388,Desig_Codes,0)),""))</f>
        <v/>
      </c>
      <c r="P388" s="12" t="n"/>
      <c r="Q388" s="12" t="n"/>
      <c r="R388" s="12" t="n"/>
      <c r="S388" s="13">
        <f>IF($R388="","",IFERROR(INDEX(Emp_Names,MATCH($R388,Emp_Codes,0)),"NOT FOUND"))</f>
        <v/>
      </c>
      <c r="T388" s="12" t="n"/>
      <c r="U388" s="12" t="n"/>
      <c r="V388" s="12" t="n"/>
    </row>
    <row r="389">
      <c r="A389" s="12" t="n"/>
      <c r="B389" s="12" t="n"/>
      <c r="C389" s="12" t="n"/>
      <c r="D389" s="13">
        <f>IF($A389="","",TRIM($B389&amp;" "&amp;$C389))</f>
        <v/>
      </c>
      <c r="E389" s="12" t="n"/>
      <c r="F389" s="12" t="n"/>
      <c r="G389" s="14" t="n"/>
      <c r="H389" s="14" t="n"/>
      <c r="I389" s="12" t="n"/>
      <c r="J389" s="14" t="n"/>
      <c r="K389" s="12" t="n"/>
      <c r="L389" s="13">
        <f>IF($K389="","",IFERROR(INDEX(Dept_Names,MATCH($K389,Dept_Codes,0)),"NOT FOUND"))</f>
        <v/>
      </c>
      <c r="M389" s="12" t="n"/>
      <c r="N389" s="13">
        <f>IF($M389="","",IFERROR(INDEX(Desig_Names,MATCH($M389,Desig_Codes,0)),"NOT FOUND"))</f>
        <v/>
      </c>
      <c r="O389" s="13">
        <f>IF($M389="","",IFERROR(INDEX(Desig_Levels,MATCH($M389,Desig_Codes,0)),""))</f>
        <v/>
      </c>
      <c r="P389" s="12" t="n"/>
      <c r="Q389" s="12" t="n"/>
      <c r="R389" s="12" t="n"/>
      <c r="S389" s="13">
        <f>IF($R389="","",IFERROR(INDEX(Emp_Names,MATCH($R389,Emp_Codes,0)),"NOT FOUND"))</f>
        <v/>
      </c>
      <c r="T389" s="12" t="n"/>
      <c r="U389" s="12" t="n"/>
      <c r="V389" s="12" t="n"/>
    </row>
    <row r="390">
      <c r="A390" s="12" t="n"/>
      <c r="B390" s="12" t="n"/>
      <c r="C390" s="12" t="n"/>
      <c r="D390" s="13">
        <f>IF($A390="","",TRIM($B390&amp;" "&amp;$C390))</f>
        <v/>
      </c>
      <c r="E390" s="12" t="n"/>
      <c r="F390" s="12" t="n"/>
      <c r="G390" s="14" t="n"/>
      <c r="H390" s="14" t="n"/>
      <c r="I390" s="12" t="n"/>
      <c r="J390" s="14" t="n"/>
      <c r="K390" s="12" t="n"/>
      <c r="L390" s="13">
        <f>IF($K390="","",IFERROR(INDEX(Dept_Names,MATCH($K390,Dept_Codes,0)),"NOT FOUND"))</f>
        <v/>
      </c>
      <c r="M390" s="12" t="n"/>
      <c r="N390" s="13">
        <f>IF($M390="","",IFERROR(INDEX(Desig_Names,MATCH($M390,Desig_Codes,0)),"NOT FOUND"))</f>
        <v/>
      </c>
      <c r="O390" s="13">
        <f>IF($M390="","",IFERROR(INDEX(Desig_Levels,MATCH($M390,Desig_Codes,0)),""))</f>
        <v/>
      </c>
      <c r="P390" s="12" t="n"/>
      <c r="Q390" s="12" t="n"/>
      <c r="R390" s="12" t="n"/>
      <c r="S390" s="13">
        <f>IF($R390="","",IFERROR(INDEX(Emp_Names,MATCH($R390,Emp_Codes,0)),"NOT FOUND"))</f>
        <v/>
      </c>
      <c r="T390" s="12" t="n"/>
      <c r="U390" s="12" t="n"/>
      <c r="V390" s="12" t="n"/>
    </row>
    <row r="391">
      <c r="A391" s="12" t="n"/>
      <c r="B391" s="12" t="n"/>
      <c r="C391" s="12" t="n"/>
      <c r="D391" s="13">
        <f>IF($A391="","",TRIM($B391&amp;" "&amp;$C391))</f>
        <v/>
      </c>
      <c r="E391" s="12" t="n"/>
      <c r="F391" s="12" t="n"/>
      <c r="G391" s="14" t="n"/>
      <c r="H391" s="14" t="n"/>
      <c r="I391" s="12" t="n"/>
      <c r="J391" s="14" t="n"/>
      <c r="K391" s="12" t="n"/>
      <c r="L391" s="13">
        <f>IF($K391="","",IFERROR(INDEX(Dept_Names,MATCH($K391,Dept_Codes,0)),"NOT FOUND"))</f>
        <v/>
      </c>
      <c r="M391" s="12" t="n"/>
      <c r="N391" s="13">
        <f>IF($M391="","",IFERROR(INDEX(Desig_Names,MATCH($M391,Desig_Codes,0)),"NOT FOUND"))</f>
        <v/>
      </c>
      <c r="O391" s="13">
        <f>IF($M391="","",IFERROR(INDEX(Desig_Levels,MATCH($M391,Desig_Codes,0)),""))</f>
        <v/>
      </c>
      <c r="P391" s="12" t="n"/>
      <c r="Q391" s="12" t="n"/>
      <c r="R391" s="12" t="n"/>
      <c r="S391" s="13">
        <f>IF($R391="","",IFERROR(INDEX(Emp_Names,MATCH($R391,Emp_Codes,0)),"NOT FOUND"))</f>
        <v/>
      </c>
      <c r="T391" s="12" t="n"/>
      <c r="U391" s="12" t="n"/>
      <c r="V391" s="12" t="n"/>
    </row>
    <row r="392">
      <c r="A392" s="12" t="n"/>
      <c r="B392" s="12" t="n"/>
      <c r="C392" s="12" t="n"/>
      <c r="D392" s="13">
        <f>IF($A392="","",TRIM($B392&amp;" "&amp;$C392))</f>
        <v/>
      </c>
      <c r="E392" s="12" t="n"/>
      <c r="F392" s="12" t="n"/>
      <c r="G392" s="14" t="n"/>
      <c r="H392" s="14" t="n"/>
      <c r="I392" s="12" t="n"/>
      <c r="J392" s="14" t="n"/>
      <c r="K392" s="12" t="n"/>
      <c r="L392" s="13">
        <f>IF($K392="","",IFERROR(INDEX(Dept_Names,MATCH($K392,Dept_Codes,0)),"NOT FOUND"))</f>
        <v/>
      </c>
      <c r="M392" s="12" t="n"/>
      <c r="N392" s="13">
        <f>IF($M392="","",IFERROR(INDEX(Desig_Names,MATCH($M392,Desig_Codes,0)),"NOT FOUND"))</f>
        <v/>
      </c>
      <c r="O392" s="13">
        <f>IF($M392="","",IFERROR(INDEX(Desig_Levels,MATCH($M392,Desig_Codes,0)),""))</f>
        <v/>
      </c>
      <c r="P392" s="12" t="n"/>
      <c r="Q392" s="12" t="n"/>
      <c r="R392" s="12" t="n"/>
      <c r="S392" s="13">
        <f>IF($R392="","",IFERROR(INDEX(Emp_Names,MATCH($R392,Emp_Codes,0)),"NOT FOUND"))</f>
        <v/>
      </c>
      <c r="T392" s="12" t="n"/>
      <c r="U392" s="12" t="n"/>
      <c r="V392" s="12" t="n"/>
    </row>
    <row r="393">
      <c r="A393" s="12" t="n"/>
      <c r="B393" s="12" t="n"/>
      <c r="C393" s="12" t="n"/>
      <c r="D393" s="13">
        <f>IF($A393="","",TRIM($B393&amp;" "&amp;$C393))</f>
        <v/>
      </c>
      <c r="E393" s="12" t="n"/>
      <c r="F393" s="12" t="n"/>
      <c r="G393" s="14" t="n"/>
      <c r="H393" s="14" t="n"/>
      <c r="I393" s="12" t="n"/>
      <c r="J393" s="14" t="n"/>
      <c r="K393" s="12" t="n"/>
      <c r="L393" s="13">
        <f>IF($K393="","",IFERROR(INDEX(Dept_Names,MATCH($K393,Dept_Codes,0)),"NOT FOUND"))</f>
        <v/>
      </c>
      <c r="M393" s="12" t="n"/>
      <c r="N393" s="13">
        <f>IF($M393="","",IFERROR(INDEX(Desig_Names,MATCH($M393,Desig_Codes,0)),"NOT FOUND"))</f>
        <v/>
      </c>
      <c r="O393" s="13">
        <f>IF($M393="","",IFERROR(INDEX(Desig_Levels,MATCH($M393,Desig_Codes,0)),""))</f>
        <v/>
      </c>
      <c r="P393" s="12" t="n"/>
      <c r="Q393" s="12" t="n"/>
      <c r="R393" s="12" t="n"/>
      <c r="S393" s="13">
        <f>IF($R393="","",IFERROR(INDEX(Emp_Names,MATCH($R393,Emp_Codes,0)),"NOT FOUND"))</f>
        <v/>
      </c>
      <c r="T393" s="12" t="n"/>
      <c r="U393" s="12" t="n"/>
      <c r="V393" s="12" t="n"/>
    </row>
    <row r="394">
      <c r="A394" s="12" t="n"/>
      <c r="B394" s="12" t="n"/>
      <c r="C394" s="12" t="n"/>
      <c r="D394" s="13">
        <f>IF($A394="","",TRIM($B394&amp;" "&amp;$C394))</f>
        <v/>
      </c>
      <c r="E394" s="12" t="n"/>
      <c r="F394" s="12" t="n"/>
      <c r="G394" s="14" t="n"/>
      <c r="H394" s="14" t="n"/>
      <c r="I394" s="12" t="n"/>
      <c r="J394" s="14" t="n"/>
      <c r="K394" s="12" t="n"/>
      <c r="L394" s="13">
        <f>IF($K394="","",IFERROR(INDEX(Dept_Names,MATCH($K394,Dept_Codes,0)),"NOT FOUND"))</f>
        <v/>
      </c>
      <c r="M394" s="12" t="n"/>
      <c r="N394" s="13">
        <f>IF($M394="","",IFERROR(INDEX(Desig_Names,MATCH($M394,Desig_Codes,0)),"NOT FOUND"))</f>
        <v/>
      </c>
      <c r="O394" s="13">
        <f>IF($M394="","",IFERROR(INDEX(Desig_Levels,MATCH($M394,Desig_Codes,0)),""))</f>
        <v/>
      </c>
      <c r="P394" s="12" t="n"/>
      <c r="Q394" s="12" t="n"/>
      <c r="R394" s="12" t="n"/>
      <c r="S394" s="13">
        <f>IF($R394="","",IFERROR(INDEX(Emp_Names,MATCH($R394,Emp_Codes,0)),"NOT FOUND"))</f>
        <v/>
      </c>
      <c r="T394" s="12" t="n"/>
      <c r="U394" s="12" t="n"/>
      <c r="V394" s="12" t="n"/>
    </row>
    <row r="395">
      <c r="A395" s="12" t="n"/>
      <c r="B395" s="12" t="n"/>
      <c r="C395" s="12" t="n"/>
      <c r="D395" s="13">
        <f>IF($A395="","",TRIM($B395&amp;" "&amp;$C395))</f>
        <v/>
      </c>
      <c r="E395" s="12" t="n"/>
      <c r="F395" s="12" t="n"/>
      <c r="G395" s="14" t="n"/>
      <c r="H395" s="14" t="n"/>
      <c r="I395" s="12" t="n"/>
      <c r="J395" s="14" t="n"/>
      <c r="K395" s="12" t="n"/>
      <c r="L395" s="13">
        <f>IF($K395="","",IFERROR(INDEX(Dept_Names,MATCH($K395,Dept_Codes,0)),"NOT FOUND"))</f>
        <v/>
      </c>
      <c r="M395" s="12" t="n"/>
      <c r="N395" s="13">
        <f>IF($M395="","",IFERROR(INDEX(Desig_Names,MATCH($M395,Desig_Codes,0)),"NOT FOUND"))</f>
        <v/>
      </c>
      <c r="O395" s="13">
        <f>IF($M395="","",IFERROR(INDEX(Desig_Levels,MATCH($M395,Desig_Codes,0)),""))</f>
        <v/>
      </c>
      <c r="P395" s="12" t="n"/>
      <c r="Q395" s="12" t="n"/>
      <c r="R395" s="12" t="n"/>
      <c r="S395" s="13">
        <f>IF($R395="","",IFERROR(INDEX(Emp_Names,MATCH($R395,Emp_Codes,0)),"NOT FOUND"))</f>
        <v/>
      </c>
      <c r="T395" s="12" t="n"/>
      <c r="U395" s="12" t="n"/>
      <c r="V395" s="12" t="n"/>
    </row>
    <row r="396">
      <c r="A396" s="12" t="n"/>
      <c r="B396" s="12" t="n"/>
      <c r="C396" s="12" t="n"/>
      <c r="D396" s="13">
        <f>IF($A396="","",TRIM($B396&amp;" "&amp;$C396))</f>
        <v/>
      </c>
      <c r="E396" s="12" t="n"/>
      <c r="F396" s="12" t="n"/>
      <c r="G396" s="14" t="n"/>
      <c r="H396" s="14" t="n"/>
      <c r="I396" s="12" t="n"/>
      <c r="J396" s="14" t="n"/>
      <c r="K396" s="12" t="n"/>
      <c r="L396" s="13">
        <f>IF($K396="","",IFERROR(INDEX(Dept_Names,MATCH($K396,Dept_Codes,0)),"NOT FOUND"))</f>
        <v/>
      </c>
      <c r="M396" s="12" t="n"/>
      <c r="N396" s="13">
        <f>IF($M396="","",IFERROR(INDEX(Desig_Names,MATCH($M396,Desig_Codes,0)),"NOT FOUND"))</f>
        <v/>
      </c>
      <c r="O396" s="13">
        <f>IF($M396="","",IFERROR(INDEX(Desig_Levels,MATCH($M396,Desig_Codes,0)),""))</f>
        <v/>
      </c>
      <c r="P396" s="12" t="n"/>
      <c r="Q396" s="12" t="n"/>
      <c r="R396" s="12" t="n"/>
      <c r="S396" s="13">
        <f>IF($R396="","",IFERROR(INDEX(Emp_Names,MATCH($R396,Emp_Codes,0)),"NOT FOUND"))</f>
        <v/>
      </c>
      <c r="T396" s="12" t="n"/>
      <c r="U396" s="12" t="n"/>
      <c r="V396" s="12" t="n"/>
    </row>
    <row r="397">
      <c r="A397" s="12" t="n"/>
      <c r="B397" s="12" t="n"/>
      <c r="C397" s="12" t="n"/>
      <c r="D397" s="13">
        <f>IF($A397="","",TRIM($B397&amp;" "&amp;$C397))</f>
        <v/>
      </c>
      <c r="E397" s="12" t="n"/>
      <c r="F397" s="12" t="n"/>
      <c r="G397" s="14" t="n"/>
      <c r="H397" s="14" t="n"/>
      <c r="I397" s="12" t="n"/>
      <c r="J397" s="14" t="n"/>
      <c r="K397" s="12" t="n"/>
      <c r="L397" s="13">
        <f>IF($K397="","",IFERROR(INDEX(Dept_Names,MATCH($K397,Dept_Codes,0)),"NOT FOUND"))</f>
        <v/>
      </c>
      <c r="M397" s="12" t="n"/>
      <c r="N397" s="13">
        <f>IF($M397="","",IFERROR(INDEX(Desig_Names,MATCH($M397,Desig_Codes,0)),"NOT FOUND"))</f>
        <v/>
      </c>
      <c r="O397" s="13">
        <f>IF($M397="","",IFERROR(INDEX(Desig_Levels,MATCH($M397,Desig_Codes,0)),""))</f>
        <v/>
      </c>
      <c r="P397" s="12" t="n"/>
      <c r="Q397" s="12" t="n"/>
      <c r="R397" s="12" t="n"/>
      <c r="S397" s="13">
        <f>IF($R397="","",IFERROR(INDEX(Emp_Names,MATCH($R397,Emp_Codes,0)),"NOT FOUND"))</f>
        <v/>
      </c>
      <c r="T397" s="12" t="n"/>
      <c r="U397" s="12" t="n"/>
      <c r="V397" s="12" t="n"/>
    </row>
    <row r="398">
      <c r="A398" s="12" t="n"/>
      <c r="B398" s="12" t="n"/>
      <c r="C398" s="12" t="n"/>
      <c r="D398" s="13">
        <f>IF($A398="","",TRIM($B398&amp;" "&amp;$C398))</f>
        <v/>
      </c>
      <c r="E398" s="12" t="n"/>
      <c r="F398" s="12" t="n"/>
      <c r="G398" s="14" t="n"/>
      <c r="H398" s="14" t="n"/>
      <c r="I398" s="12" t="n"/>
      <c r="J398" s="14" t="n"/>
      <c r="K398" s="12" t="n"/>
      <c r="L398" s="13">
        <f>IF($K398="","",IFERROR(INDEX(Dept_Names,MATCH($K398,Dept_Codes,0)),"NOT FOUND"))</f>
        <v/>
      </c>
      <c r="M398" s="12" t="n"/>
      <c r="N398" s="13">
        <f>IF($M398="","",IFERROR(INDEX(Desig_Names,MATCH($M398,Desig_Codes,0)),"NOT FOUND"))</f>
        <v/>
      </c>
      <c r="O398" s="13">
        <f>IF($M398="","",IFERROR(INDEX(Desig_Levels,MATCH($M398,Desig_Codes,0)),""))</f>
        <v/>
      </c>
      <c r="P398" s="12" t="n"/>
      <c r="Q398" s="12" t="n"/>
      <c r="R398" s="12" t="n"/>
      <c r="S398" s="13">
        <f>IF($R398="","",IFERROR(INDEX(Emp_Names,MATCH($R398,Emp_Codes,0)),"NOT FOUND"))</f>
        <v/>
      </c>
      <c r="T398" s="12" t="n"/>
      <c r="U398" s="12" t="n"/>
      <c r="V398" s="12" t="n"/>
    </row>
    <row r="399">
      <c r="A399" s="12" t="n"/>
      <c r="B399" s="12" t="n"/>
      <c r="C399" s="12" t="n"/>
      <c r="D399" s="13">
        <f>IF($A399="","",TRIM($B399&amp;" "&amp;$C399))</f>
        <v/>
      </c>
      <c r="E399" s="12" t="n"/>
      <c r="F399" s="12" t="n"/>
      <c r="G399" s="14" t="n"/>
      <c r="H399" s="14" t="n"/>
      <c r="I399" s="12" t="n"/>
      <c r="J399" s="14" t="n"/>
      <c r="K399" s="12" t="n"/>
      <c r="L399" s="13">
        <f>IF($K399="","",IFERROR(INDEX(Dept_Names,MATCH($K399,Dept_Codes,0)),"NOT FOUND"))</f>
        <v/>
      </c>
      <c r="M399" s="12" t="n"/>
      <c r="N399" s="13">
        <f>IF($M399="","",IFERROR(INDEX(Desig_Names,MATCH($M399,Desig_Codes,0)),"NOT FOUND"))</f>
        <v/>
      </c>
      <c r="O399" s="13">
        <f>IF($M399="","",IFERROR(INDEX(Desig_Levels,MATCH($M399,Desig_Codes,0)),""))</f>
        <v/>
      </c>
      <c r="P399" s="12" t="n"/>
      <c r="Q399" s="12" t="n"/>
      <c r="R399" s="12" t="n"/>
      <c r="S399" s="13">
        <f>IF($R399="","",IFERROR(INDEX(Emp_Names,MATCH($R399,Emp_Codes,0)),"NOT FOUND"))</f>
        <v/>
      </c>
      <c r="T399" s="12" t="n"/>
      <c r="U399" s="12" t="n"/>
      <c r="V399" s="12" t="n"/>
    </row>
    <row r="400">
      <c r="A400" s="12" t="n"/>
      <c r="B400" s="12" t="n"/>
      <c r="C400" s="12" t="n"/>
      <c r="D400" s="13">
        <f>IF($A400="","",TRIM($B400&amp;" "&amp;$C400))</f>
        <v/>
      </c>
      <c r="E400" s="12" t="n"/>
      <c r="F400" s="12" t="n"/>
      <c r="G400" s="14" t="n"/>
      <c r="H400" s="14" t="n"/>
      <c r="I400" s="12" t="n"/>
      <c r="J400" s="14" t="n"/>
      <c r="K400" s="12" t="n"/>
      <c r="L400" s="13">
        <f>IF($K400="","",IFERROR(INDEX(Dept_Names,MATCH($K400,Dept_Codes,0)),"NOT FOUND"))</f>
        <v/>
      </c>
      <c r="M400" s="12" t="n"/>
      <c r="N400" s="13">
        <f>IF($M400="","",IFERROR(INDEX(Desig_Names,MATCH($M400,Desig_Codes,0)),"NOT FOUND"))</f>
        <v/>
      </c>
      <c r="O400" s="13">
        <f>IF($M400="","",IFERROR(INDEX(Desig_Levels,MATCH($M400,Desig_Codes,0)),""))</f>
        <v/>
      </c>
      <c r="P400" s="12" t="n"/>
      <c r="Q400" s="12" t="n"/>
      <c r="R400" s="12" t="n"/>
      <c r="S400" s="13">
        <f>IF($R400="","",IFERROR(INDEX(Emp_Names,MATCH($R400,Emp_Codes,0)),"NOT FOUND"))</f>
        <v/>
      </c>
      <c r="T400" s="12" t="n"/>
      <c r="U400" s="12" t="n"/>
      <c r="V400" s="12" t="n"/>
    </row>
    <row r="401">
      <c r="A401" s="12" t="n"/>
      <c r="B401" s="12" t="n"/>
      <c r="C401" s="12" t="n"/>
      <c r="D401" s="13">
        <f>IF($A401="","",TRIM($B401&amp;" "&amp;$C401))</f>
        <v/>
      </c>
      <c r="E401" s="12" t="n"/>
      <c r="F401" s="12" t="n"/>
      <c r="G401" s="14" t="n"/>
      <c r="H401" s="14" t="n"/>
      <c r="I401" s="12" t="n"/>
      <c r="J401" s="14" t="n"/>
      <c r="K401" s="12" t="n"/>
      <c r="L401" s="13">
        <f>IF($K401="","",IFERROR(INDEX(Dept_Names,MATCH($K401,Dept_Codes,0)),"NOT FOUND"))</f>
        <v/>
      </c>
      <c r="M401" s="12" t="n"/>
      <c r="N401" s="13">
        <f>IF($M401="","",IFERROR(INDEX(Desig_Names,MATCH($M401,Desig_Codes,0)),"NOT FOUND"))</f>
        <v/>
      </c>
      <c r="O401" s="13">
        <f>IF($M401="","",IFERROR(INDEX(Desig_Levels,MATCH($M401,Desig_Codes,0)),""))</f>
        <v/>
      </c>
      <c r="P401" s="12" t="n"/>
      <c r="Q401" s="12" t="n"/>
      <c r="R401" s="12" t="n"/>
      <c r="S401" s="13">
        <f>IF($R401="","",IFERROR(INDEX(Emp_Names,MATCH($R401,Emp_Codes,0)),"NOT FOUND"))</f>
        <v/>
      </c>
      <c r="T401" s="12" t="n"/>
      <c r="U401" s="12" t="n"/>
      <c r="V401" s="12" t="n"/>
    </row>
    <row r="402">
      <c r="A402" s="12" t="n"/>
      <c r="B402" s="12" t="n"/>
      <c r="C402" s="12" t="n"/>
      <c r="D402" s="13">
        <f>IF($A402="","",TRIM($B402&amp;" "&amp;$C402))</f>
        <v/>
      </c>
      <c r="E402" s="12" t="n"/>
      <c r="F402" s="12" t="n"/>
      <c r="G402" s="14" t="n"/>
      <c r="H402" s="14" t="n"/>
      <c r="I402" s="12" t="n"/>
      <c r="J402" s="14" t="n"/>
      <c r="K402" s="12" t="n"/>
      <c r="L402" s="13">
        <f>IF($K402="","",IFERROR(INDEX(Dept_Names,MATCH($K402,Dept_Codes,0)),"NOT FOUND"))</f>
        <v/>
      </c>
      <c r="M402" s="12" t="n"/>
      <c r="N402" s="13">
        <f>IF($M402="","",IFERROR(INDEX(Desig_Names,MATCH($M402,Desig_Codes,0)),"NOT FOUND"))</f>
        <v/>
      </c>
      <c r="O402" s="13">
        <f>IF($M402="","",IFERROR(INDEX(Desig_Levels,MATCH($M402,Desig_Codes,0)),""))</f>
        <v/>
      </c>
      <c r="P402" s="12" t="n"/>
      <c r="Q402" s="12" t="n"/>
      <c r="R402" s="12" t="n"/>
      <c r="S402" s="13">
        <f>IF($R402="","",IFERROR(INDEX(Emp_Names,MATCH($R402,Emp_Codes,0)),"NOT FOUND"))</f>
        <v/>
      </c>
      <c r="T402" s="12" t="n"/>
      <c r="U402" s="12" t="n"/>
      <c r="V402" s="12" t="n"/>
    </row>
    <row r="403">
      <c r="A403" s="12" t="n"/>
      <c r="B403" s="12" t="n"/>
      <c r="C403" s="12" t="n"/>
      <c r="D403" s="13">
        <f>IF($A403="","",TRIM($B403&amp;" "&amp;$C403))</f>
        <v/>
      </c>
      <c r="E403" s="12" t="n"/>
      <c r="F403" s="12" t="n"/>
      <c r="G403" s="14" t="n"/>
      <c r="H403" s="14" t="n"/>
      <c r="I403" s="12" t="n"/>
      <c r="J403" s="14" t="n"/>
      <c r="K403" s="12" t="n"/>
      <c r="L403" s="13">
        <f>IF($K403="","",IFERROR(INDEX(Dept_Names,MATCH($K403,Dept_Codes,0)),"NOT FOUND"))</f>
        <v/>
      </c>
      <c r="M403" s="12" t="n"/>
      <c r="N403" s="13">
        <f>IF($M403="","",IFERROR(INDEX(Desig_Names,MATCH($M403,Desig_Codes,0)),"NOT FOUND"))</f>
        <v/>
      </c>
      <c r="O403" s="13">
        <f>IF($M403="","",IFERROR(INDEX(Desig_Levels,MATCH($M403,Desig_Codes,0)),""))</f>
        <v/>
      </c>
      <c r="P403" s="12" t="n"/>
      <c r="Q403" s="12" t="n"/>
      <c r="R403" s="12" t="n"/>
      <c r="S403" s="13">
        <f>IF($R403="","",IFERROR(INDEX(Emp_Names,MATCH($R403,Emp_Codes,0)),"NOT FOUND"))</f>
        <v/>
      </c>
      <c r="T403" s="12" t="n"/>
      <c r="U403" s="12" t="n"/>
      <c r="V403" s="12" t="n"/>
    </row>
    <row r="404">
      <c r="A404" s="12" t="n"/>
      <c r="B404" s="12" t="n"/>
      <c r="C404" s="12" t="n"/>
      <c r="D404" s="13">
        <f>IF($A404="","",TRIM($B404&amp;" "&amp;$C404))</f>
        <v/>
      </c>
      <c r="E404" s="12" t="n"/>
      <c r="F404" s="12" t="n"/>
      <c r="G404" s="14" t="n"/>
      <c r="H404" s="14" t="n"/>
      <c r="I404" s="12" t="n"/>
      <c r="J404" s="14" t="n"/>
      <c r="K404" s="12" t="n"/>
      <c r="L404" s="13">
        <f>IF($K404="","",IFERROR(INDEX(Dept_Names,MATCH($K404,Dept_Codes,0)),"NOT FOUND"))</f>
        <v/>
      </c>
      <c r="M404" s="12" t="n"/>
      <c r="N404" s="13">
        <f>IF($M404="","",IFERROR(INDEX(Desig_Names,MATCH($M404,Desig_Codes,0)),"NOT FOUND"))</f>
        <v/>
      </c>
      <c r="O404" s="13">
        <f>IF($M404="","",IFERROR(INDEX(Desig_Levels,MATCH($M404,Desig_Codes,0)),""))</f>
        <v/>
      </c>
      <c r="P404" s="12" t="n"/>
      <c r="Q404" s="12" t="n"/>
      <c r="R404" s="12" t="n"/>
      <c r="S404" s="13">
        <f>IF($R404="","",IFERROR(INDEX(Emp_Names,MATCH($R404,Emp_Codes,0)),"NOT FOUND"))</f>
        <v/>
      </c>
      <c r="T404" s="12" t="n"/>
      <c r="U404" s="12" t="n"/>
      <c r="V404" s="12" t="n"/>
    </row>
    <row r="405">
      <c r="A405" s="12" t="n"/>
      <c r="B405" s="12" t="n"/>
      <c r="C405" s="12" t="n"/>
      <c r="D405" s="13">
        <f>IF($A405="","",TRIM($B405&amp;" "&amp;$C405))</f>
        <v/>
      </c>
      <c r="E405" s="12" t="n"/>
      <c r="F405" s="12" t="n"/>
      <c r="G405" s="14" t="n"/>
      <c r="H405" s="14" t="n"/>
      <c r="I405" s="12" t="n"/>
      <c r="J405" s="14" t="n"/>
      <c r="K405" s="12" t="n"/>
      <c r="L405" s="13">
        <f>IF($K405="","",IFERROR(INDEX(Dept_Names,MATCH($K405,Dept_Codes,0)),"NOT FOUND"))</f>
        <v/>
      </c>
      <c r="M405" s="12" t="n"/>
      <c r="N405" s="13">
        <f>IF($M405="","",IFERROR(INDEX(Desig_Names,MATCH($M405,Desig_Codes,0)),"NOT FOUND"))</f>
        <v/>
      </c>
      <c r="O405" s="13">
        <f>IF($M405="","",IFERROR(INDEX(Desig_Levels,MATCH($M405,Desig_Codes,0)),""))</f>
        <v/>
      </c>
      <c r="P405" s="12" t="n"/>
      <c r="Q405" s="12" t="n"/>
      <c r="R405" s="12" t="n"/>
      <c r="S405" s="13">
        <f>IF($R405="","",IFERROR(INDEX(Emp_Names,MATCH($R405,Emp_Codes,0)),"NOT FOUND"))</f>
        <v/>
      </c>
      <c r="T405" s="12" t="n"/>
      <c r="U405" s="12" t="n"/>
      <c r="V405" s="12" t="n"/>
    </row>
    <row r="406">
      <c r="A406" s="12" t="n"/>
      <c r="B406" s="12" t="n"/>
      <c r="C406" s="12" t="n"/>
      <c r="D406" s="13">
        <f>IF($A406="","",TRIM($B406&amp;" "&amp;$C406))</f>
        <v/>
      </c>
      <c r="E406" s="12" t="n"/>
      <c r="F406" s="12" t="n"/>
      <c r="G406" s="14" t="n"/>
      <c r="H406" s="14" t="n"/>
      <c r="I406" s="12" t="n"/>
      <c r="J406" s="14" t="n"/>
      <c r="K406" s="12" t="n"/>
      <c r="L406" s="13">
        <f>IF($K406="","",IFERROR(INDEX(Dept_Names,MATCH($K406,Dept_Codes,0)),"NOT FOUND"))</f>
        <v/>
      </c>
      <c r="M406" s="12" t="n"/>
      <c r="N406" s="13">
        <f>IF($M406="","",IFERROR(INDEX(Desig_Names,MATCH($M406,Desig_Codes,0)),"NOT FOUND"))</f>
        <v/>
      </c>
      <c r="O406" s="13">
        <f>IF($M406="","",IFERROR(INDEX(Desig_Levels,MATCH($M406,Desig_Codes,0)),""))</f>
        <v/>
      </c>
      <c r="P406" s="12" t="n"/>
      <c r="Q406" s="12" t="n"/>
      <c r="R406" s="12" t="n"/>
      <c r="S406" s="13">
        <f>IF($R406="","",IFERROR(INDEX(Emp_Names,MATCH($R406,Emp_Codes,0)),"NOT FOUND"))</f>
        <v/>
      </c>
      <c r="T406" s="12" t="n"/>
      <c r="U406" s="12" t="n"/>
      <c r="V406" s="12" t="n"/>
    </row>
    <row r="407">
      <c r="A407" s="12" t="n"/>
      <c r="B407" s="12" t="n"/>
      <c r="C407" s="12" t="n"/>
      <c r="D407" s="13">
        <f>IF($A407="","",TRIM($B407&amp;" "&amp;$C407))</f>
        <v/>
      </c>
      <c r="E407" s="12" t="n"/>
      <c r="F407" s="12" t="n"/>
      <c r="G407" s="14" t="n"/>
      <c r="H407" s="14" t="n"/>
      <c r="I407" s="12" t="n"/>
      <c r="J407" s="14" t="n"/>
      <c r="K407" s="12" t="n"/>
      <c r="L407" s="13">
        <f>IF($K407="","",IFERROR(INDEX(Dept_Names,MATCH($K407,Dept_Codes,0)),"NOT FOUND"))</f>
        <v/>
      </c>
      <c r="M407" s="12" t="n"/>
      <c r="N407" s="13">
        <f>IF($M407="","",IFERROR(INDEX(Desig_Names,MATCH($M407,Desig_Codes,0)),"NOT FOUND"))</f>
        <v/>
      </c>
      <c r="O407" s="13">
        <f>IF($M407="","",IFERROR(INDEX(Desig_Levels,MATCH($M407,Desig_Codes,0)),""))</f>
        <v/>
      </c>
      <c r="P407" s="12" t="n"/>
      <c r="Q407" s="12" t="n"/>
      <c r="R407" s="12" t="n"/>
      <c r="S407" s="13">
        <f>IF($R407="","",IFERROR(INDEX(Emp_Names,MATCH($R407,Emp_Codes,0)),"NOT FOUND"))</f>
        <v/>
      </c>
      <c r="T407" s="12" t="n"/>
      <c r="U407" s="12" t="n"/>
      <c r="V407" s="12" t="n"/>
    </row>
    <row r="408">
      <c r="A408" s="12" t="n"/>
      <c r="B408" s="12" t="n"/>
      <c r="C408" s="12" t="n"/>
      <c r="D408" s="13">
        <f>IF($A408="","",TRIM($B408&amp;" "&amp;$C408))</f>
        <v/>
      </c>
      <c r="E408" s="12" t="n"/>
      <c r="F408" s="12" t="n"/>
      <c r="G408" s="14" t="n"/>
      <c r="H408" s="14" t="n"/>
      <c r="I408" s="12" t="n"/>
      <c r="J408" s="14" t="n"/>
      <c r="K408" s="12" t="n"/>
      <c r="L408" s="13">
        <f>IF($K408="","",IFERROR(INDEX(Dept_Names,MATCH($K408,Dept_Codes,0)),"NOT FOUND"))</f>
        <v/>
      </c>
      <c r="M408" s="12" t="n"/>
      <c r="N408" s="13">
        <f>IF($M408="","",IFERROR(INDEX(Desig_Names,MATCH($M408,Desig_Codes,0)),"NOT FOUND"))</f>
        <v/>
      </c>
      <c r="O408" s="13">
        <f>IF($M408="","",IFERROR(INDEX(Desig_Levels,MATCH($M408,Desig_Codes,0)),""))</f>
        <v/>
      </c>
      <c r="P408" s="12" t="n"/>
      <c r="Q408" s="12" t="n"/>
      <c r="R408" s="12" t="n"/>
      <c r="S408" s="13">
        <f>IF($R408="","",IFERROR(INDEX(Emp_Names,MATCH($R408,Emp_Codes,0)),"NOT FOUND"))</f>
        <v/>
      </c>
      <c r="T408" s="12" t="n"/>
      <c r="U408" s="12" t="n"/>
      <c r="V408" s="12" t="n"/>
    </row>
    <row r="409">
      <c r="A409" s="12" t="n"/>
      <c r="B409" s="12" t="n"/>
      <c r="C409" s="12" t="n"/>
      <c r="D409" s="13">
        <f>IF($A409="","",TRIM($B409&amp;" "&amp;$C409))</f>
        <v/>
      </c>
      <c r="E409" s="12" t="n"/>
      <c r="F409" s="12" t="n"/>
      <c r="G409" s="14" t="n"/>
      <c r="H409" s="14" t="n"/>
      <c r="I409" s="12" t="n"/>
      <c r="J409" s="14" t="n"/>
      <c r="K409" s="12" t="n"/>
      <c r="L409" s="13">
        <f>IF($K409="","",IFERROR(INDEX(Dept_Names,MATCH($K409,Dept_Codes,0)),"NOT FOUND"))</f>
        <v/>
      </c>
      <c r="M409" s="12" t="n"/>
      <c r="N409" s="13">
        <f>IF($M409="","",IFERROR(INDEX(Desig_Names,MATCH($M409,Desig_Codes,0)),"NOT FOUND"))</f>
        <v/>
      </c>
      <c r="O409" s="13">
        <f>IF($M409="","",IFERROR(INDEX(Desig_Levels,MATCH($M409,Desig_Codes,0)),""))</f>
        <v/>
      </c>
      <c r="P409" s="12" t="n"/>
      <c r="Q409" s="12" t="n"/>
      <c r="R409" s="12" t="n"/>
      <c r="S409" s="13">
        <f>IF($R409="","",IFERROR(INDEX(Emp_Names,MATCH($R409,Emp_Codes,0)),"NOT FOUND"))</f>
        <v/>
      </c>
      <c r="T409" s="12" t="n"/>
      <c r="U409" s="12" t="n"/>
      <c r="V409" s="12" t="n"/>
    </row>
    <row r="410">
      <c r="A410" s="12" t="n"/>
      <c r="B410" s="12" t="n"/>
      <c r="C410" s="12" t="n"/>
      <c r="D410" s="13">
        <f>IF($A410="","",TRIM($B410&amp;" "&amp;$C410))</f>
        <v/>
      </c>
      <c r="E410" s="12" t="n"/>
      <c r="F410" s="12" t="n"/>
      <c r="G410" s="14" t="n"/>
      <c r="H410" s="14" t="n"/>
      <c r="I410" s="12" t="n"/>
      <c r="J410" s="14" t="n"/>
      <c r="K410" s="12" t="n"/>
      <c r="L410" s="13">
        <f>IF($K410="","",IFERROR(INDEX(Dept_Names,MATCH($K410,Dept_Codes,0)),"NOT FOUND"))</f>
        <v/>
      </c>
      <c r="M410" s="12" t="n"/>
      <c r="N410" s="13">
        <f>IF($M410="","",IFERROR(INDEX(Desig_Names,MATCH($M410,Desig_Codes,0)),"NOT FOUND"))</f>
        <v/>
      </c>
      <c r="O410" s="13">
        <f>IF($M410="","",IFERROR(INDEX(Desig_Levels,MATCH($M410,Desig_Codes,0)),""))</f>
        <v/>
      </c>
      <c r="P410" s="12" t="n"/>
      <c r="Q410" s="12" t="n"/>
      <c r="R410" s="12" t="n"/>
      <c r="S410" s="13">
        <f>IF($R410="","",IFERROR(INDEX(Emp_Names,MATCH($R410,Emp_Codes,0)),"NOT FOUND"))</f>
        <v/>
      </c>
      <c r="T410" s="12" t="n"/>
      <c r="U410" s="12" t="n"/>
      <c r="V410" s="12" t="n"/>
    </row>
    <row r="411">
      <c r="A411" s="12" t="n"/>
      <c r="B411" s="12" t="n"/>
      <c r="C411" s="12" t="n"/>
      <c r="D411" s="13">
        <f>IF($A411="","",TRIM($B411&amp;" "&amp;$C411))</f>
        <v/>
      </c>
      <c r="E411" s="12" t="n"/>
      <c r="F411" s="12" t="n"/>
      <c r="G411" s="14" t="n"/>
      <c r="H411" s="14" t="n"/>
      <c r="I411" s="12" t="n"/>
      <c r="J411" s="14" t="n"/>
      <c r="K411" s="12" t="n"/>
      <c r="L411" s="13">
        <f>IF($K411="","",IFERROR(INDEX(Dept_Names,MATCH($K411,Dept_Codes,0)),"NOT FOUND"))</f>
        <v/>
      </c>
      <c r="M411" s="12" t="n"/>
      <c r="N411" s="13">
        <f>IF($M411="","",IFERROR(INDEX(Desig_Names,MATCH($M411,Desig_Codes,0)),"NOT FOUND"))</f>
        <v/>
      </c>
      <c r="O411" s="13">
        <f>IF($M411="","",IFERROR(INDEX(Desig_Levels,MATCH($M411,Desig_Codes,0)),""))</f>
        <v/>
      </c>
      <c r="P411" s="12" t="n"/>
      <c r="Q411" s="12" t="n"/>
      <c r="R411" s="12" t="n"/>
      <c r="S411" s="13">
        <f>IF($R411="","",IFERROR(INDEX(Emp_Names,MATCH($R411,Emp_Codes,0)),"NOT FOUND"))</f>
        <v/>
      </c>
      <c r="T411" s="12" t="n"/>
      <c r="U411" s="12" t="n"/>
      <c r="V411" s="12" t="n"/>
    </row>
    <row r="412">
      <c r="A412" s="12" t="n"/>
      <c r="B412" s="12" t="n"/>
      <c r="C412" s="12" t="n"/>
      <c r="D412" s="13">
        <f>IF($A412="","",TRIM($B412&amp;" "&amp;$C412))</f>
        <v/>
      </c>
      <c r="E412" s="12" t="n"/>
      <c r="F412" s="12" t="n"/>
      <c r="G412" s="14" t="n"/>
      <c r="H412" s="14" t="n"/>
      <c r="I412" s="12" t="n"/>
      <c r="J412" s="14" t="n"/>
      <c r="K412" s="12" t="n"/>
      <c r="L412" s="13">
        <f>IF($K412="","",IFERROR(INDEX(Dept_Names,MATCH($K412,Dept_Codes,0)),"NOT FOUND"))</f>
        <v/>
      </c>
      <c r="M412" s="12" t="n"/>
      <c r="N412" s="13">
        <f>IF($M412="","",IFERROR(INDEX(Desig_Names,MATCH($M412,Desig_Codes,0)),"NOT FOUND"))</f>
        <v/>
      </c>
      <c r="O412" s="13">
        <f>IF($M412="","",IFERROR(INDEX(Desig_Levels,MATCH($M412,Desig_Codes,0)),""))</f>
        <v/>
      </c>
      <c r="P412" s="12" t="n"/>
      <c r="Q412" s="12" t="n"/>
      <c r="R412" s="12" t="n"/>
      <c r="S412" s="13">
        <f>IF($R412="","",IFERROR(INDEX(Emp_Names,MATCH($R412,Emp_Codes,0)),"NOT FOUND"))</f>
        <v/>
      </c>
      <c r="T412" s="12" t="n"/>
      <c r="U412" s="12" t="n"/>
      <c r="V412" s="12" t="n"/>
    </row>
    <row r="413">
      <c r="A413" s="12" t="n"/>
      <c r="B413" s="12" t="n"/>
      <c r="C413" s="12" t="n"/>
      <c r="D413" s="13">
        <f>IF($A413="","",TRIM($B413&amp;" "&amp;$C413))</f>
        <v/>
      </c>
      <c r="E413" s="12" t="n"/>
      <c r="F413" s="12" t="n"/>
      <c r="G413" s="14" t="n"/>
      <c r="H413" s="14" t="n"/>
      <c r="I413" s="12" t="n"/>
      <c r="J413" s="14" t="n"/>
      <c r="K413" s="12" t="n"/>
      <c r="L413" s="13">
        <f>IF($K413="","",IFERROR(INDEX(Dept_Names,MATCH($K413,Dept_Codes,0)),"NOT FOUND"))</f>
        <v/>
      </c>
      <c r="M413" s="12" t="n"/>
      <c r="N413" s="13">
        <f>IF($M413="","",IFERROR(INDEX(Desig_Names,MATCH($M413,Desig_Codes,0)),"NOT FOUND"))</f>
        <v/>
      </c>
      <c r="O413" s="13">
        <f>IF($M413="","",IFERROR(INDEX(Desig_Levels,MATCH($M413,Desig_Codes,0)),""))</f>
        <v/>
      </c>
      <c r="P413" s="12" t="n"/>
      <c r="Q413" s="12" t="n"/>
      <c r="R413" s="12" t="n"/>
      <c r="S413" s="13">
        <f>IF($R413="","",IFERROR(INDEX(Emp_Names,MATCH($R413,Emp_Codes,0)),"NOT FOUND"))</f>
        <v/>
      </c>
      <c r="T413" s="12" t="n"/>
      <c r="U413" s="12" t="n"/>
      <c r="V413" s="12" t="n"/>
    </row>
    <row r="414">
      <c r="A414" s="12" t="n"/>
      <c r="B414" s="12" t="n"/>
      <c r="C414" s="12" t="n"/>
      <c r="D414" s="13">
        <f>IF($A414="","",TRIM($B414&amp;" "&amp;$C414))</f>
        <v/>
      </c>
      <c r="E414" s="12" t="n"/>
      <c r="F414" s="12" t="n"/>
      <c r="G414" s="14" t="n"/>
      <c r="H414" s="14" t="n"/>
      <c r="I414" s="12" t="n"/>
      <c r="J414" s="14" t="n"/>
      <c r="K414" s="12" t="n"/>
      <c r="L414" s="13">
        <f>IF($K414="","",IFERROR(INDEX(Dept_Names,MATCH($K414,Dept_Codes,0)),"NOT FOUND"))</f>
        <v/>
      </c>
      <c r="M414" s="12" t="n"/>
      <c r="N414" s="13">
        <f>IF($M414="","",IFERROR(INDEX(Desig_Names,MATCH($M414,Desig_Codes,0)),"NOT FOUND"))</f>
        <v/>
      </c>
      <c r="O414" s="13">
        <f>IF($M414="","",IFERROR(INDEX(Desig_Levels,MATCH($M414,Desig_Codes,0)),""))</f>
        <v/>
      </c>
      <c r="P414" s="12" t="n"/>
      <c r="Q414" s="12" t="n"/>
      <c r="R414" s="12" t="n"/>
      <c r="S414" s="13">
        <f>IF($R414="","",IFERROR(INDEX(Emp_Names,MATCH($R414,Emp_Codes,0)),"NOT FOUND"))</f>
        <v/>
      </c>
      <c r="T414" s="12" t="n"/>
      <c r="U414" s="12" t="n"/>
      <c r="V414" s="12" t="n"/>
    </row>
    <row r="415">
      <c r="A415" s="12" t="n"/>
      <c r="B415" s="12" t="n"/>
      <c r="C415" s="12" t="n"/>
      <c r="D415" s="13">
        <f>IF($A415="","",TRIM($B415&amp;" "&amp;$C415))</f>
        <v/>
      </c>
      <c r="E415" s="12" t="n"/>
      <c r="F415" s="12" t="n"/>
      <c r="G415" s="14" t="n"/>
      <c r="H415" s="14" t="n"/>
      <c r="I415" s="12" t="n"/>
      <c r="J415" s="14" t="n"/>
      <c r="K415" s="12" t="n"/>
      <c r="L415" s="13">
        <f>IF($K415="","",IFERROR(INDEX(Dept_Names,MATCH($K415,Dept_Codes,0)),"NOT FOUND"))</f>
        <v/>
      </c>
      <c r="M415" s="12" t="n"/>
      <c r="N415" s="13">
        <f>IF($M415="","",IFERROR(INDEX(Desig_Names,MATCH($M415,Desig_Codes,0)),"NOT FOUND"))</f>
        <v/>
      </c>
      <c r="O415" s="13">
        <f>IF($M415="","",IFERROR(INDEX(Desig_Levels,MATCH($M415,Desig_Codes,0)),""))</f>
        <v/>
      </c>
      <c r="P415" s="12" t="n"/>
      <c r="Q415" s="12" t="n"/>
      <c r="R415" s="12" t="n"/>
      <c r="S415" s="13">
        <f>IF($R415="","",IFERROR(INDEX(Emp_Names,MATCH($R415,Emp_Codes,0)),"NOT FOUND"))</f>
        <v/>
      </c>
      <c r="T415" s="12" t="n"/>
      <c r="U415" s="12" t="n"/>
      <c r="V415" s="12" t="n"/>
    </row>
    <row r="416">
      <c r="A416" s="12" t="n"/>
      <c r="B416" s="12" t="n"/>
      <c r="C416" s="12" t="n"/>
      <c r="D416" s="13">
        <f>IF($A416="","",TRIM($B416&amp;" "&amp;$C416))</f>
        <v/>
      </c>
      <c r="E416" s="12" t="n"/>
      <c r="F416" s="12" t="n"/>
      <c r="G416" s="14" t="n"/>
      <c r="H416" s="14" t="n"/>
      <c r="I416" s="12" t="n"/>
      <c r="J416" s="14" t="n"/>
      <c r="K416" s="12" t="n"/>
      <c r="L416" s="13">
        <f>IF($K416="","",IFERROR(INDEX(Dept_Names,MATCH($K416,Dept_Codes,0)),"NOT FOUND"))</f>
        <v/>
      </c>
      <c r="M416" s="12" t="n"/>
      <c r="N416" s="13">
        <f>IF($M416="","",IFERROR(INDEX(Desig_Names,MATCH($M416,Desig_Codes,0)),"NOT FOUND"))</f>
        <v/>
      </c>
      <c r="O416" s="13">
        <f>IF($M416="","",IFERROR(INDEX(Desig_Levels,MATCH($M416,Desig_Codes,0)),""))</f>
        <v/>
      </c>
      <c r="P416" s="12" t="n"/>
      <c r="Q416" s="12" t="n"/>
      <c r="R416" s="12" t="n"/>
      <c r="S416" s="13">
        <f>IF($R416="","",IFERROR(INDEX(Emp_Names,MATCH($R416,Emp_Codes,0)),"NOT FOUND"))</f>
        <v/>
      </c>
      <c r="T416" s="12" t="n"/>
      <c r="U416" s="12" t="n"/>
      <c r="V416" s="12" t="n"/>
    </row>
    <row r="417">
      <c r="A417" s="12" t="n"/>
      <c r="B417" s="12" t="n"/>
      <c r="C417" s="12" t="n"/>
      <c r="D417" s="13">
        <f>IF($A417="","",TRIM($B417&amp;" "&amp;$C417))</f>
        <v/>
      </c>
      <c r="E417" s="12" t="n"/>
      <c r="F417" s="12" t="n"/>
      <c r="G417" s="14" t="n"/>
      <c r="H417" s="14" t="n"/>
      <c r="I417" s="12" t="n"/>
      <c r="J417" s="14" t="n"/>
      <c r="K417" s="12" t="n"/>
      <c r="L417" s="13">
        <f>IF($K417="","",IFERROR(INDEX(Dept_Names,MATCH($K417,Dept_Codes,0)),"NOT FOUND"))</f>
        <v/>
      </c>
      <c r="M417" s="12" t="n"/>
      <c r="N417" s="13">
        <f>IF($M417="","",IFERROR(INDEX(Desig_Names,MATCH($M417,Desig_Codes,0)),"NOT FOUND"))</f>
        <v/>
      </c>
      <c r="O417" s="13">
        <f>IF($M417="","",IFERROR(INDEX(Desig_Levels,MATCH($M417,Desig_Codes,0)),""))</f>
        <v/>
      </c>
      <c r="P417" s="12" t="n"/>
      <c r="Q417" s="12" t="n"/>
      <c r="R417" s="12" t="n"/>
      <c r="S417" s="13">
        <f>IF($R417="","",IFERROR(INDEX(Emp_Names,MATCH($R417,Emp_Codes,0)),"NOT FOUND"))</f>
        <v/>
      </c>
      <c r="T417" s="12" t="n"/>
      <c r="U417" s="12" t="n"/>
      <c r="V417" s="12" t="n"/>
    </row>
    <row r="418">
      <c r="A418" s="12" t="n"/>
      <c r="B418" s="12" t="n"/>
      <c r="C418" s="12" t="n"/>
      <c r="D418" s="13">
        <f>IF($A418="","",TRIM($B418&amp;" "&amp;$C418))</f>
        <v/>
      </c>
      <c r="E418" s="12" t="n"/>
      <c r="F418" s="12" t="n"/>
      <c r="G418" s="14" t="n"/>
      <c r="H418" s="14" t="n"/>
      <c r="I418" s="12" t="n"/>
      <c r="J418" s="14" t="n"/>
      <c r="K418" s="12" t="n"/>
      <c r="L418" s="13">
        <f>IF($K418="","",IFERROR(INDEX(Dept_Names,MATCH($K418,Dept_Codes,0)),"NOT FOUND"))</f>
        <v/>
      </c>
      <c r="M418" s="12" t="n"/>
      <c r="N418" s="13">
        <f>IF($M418="","",IFERROR(INDEX(Desig_Names,MATCH($M418,Desig_Codes,0)),"NOT FOUND"))</f>
        <v/>
      </c>
      <c r="O418" s="13">
        <f>IF($M418="","",IFERROR(INDEX(Desig_Levels,MATCH($M418,Desig_Codes,0)),""))</f>
        <v/>
      </c>
      <c r="P418" s="12" t="n"/>
      <c r="Q418" s="12" t="n"/>
      <c r="R418" s="12" t="n"/>
      <c r="S418" s="13">
        <f>IF($R418="","",IFERROR(INDEX(Emp_Names,MATCH($R418,Emp_Codes,0)),"NOT FOUND"))</f>
        <v/>
      </c>
      <c r="T418" s="12" t="n"/>
      <c r="U418" s="12" t="n"/>
      <c r="V418" s="12" t="n"/>
    </row>
    <row r="419">
      <c r="A419" s="12" t="n"/>
      <c r="B419" s="12" t="n"/>
      <c r="C419" s="12" t="n"/>
      <c r="D419" s="13">
        <f>IF($A419="","",TRIM($B419&amp;" "&amp;$C419))</f>
        <v/>
      </c>
      <c r="E419" s="12" t="n"/>
      <c r="F419" s="12" t="n"/>
      <c r="G419" s="14" t="n"/>
      <c r="H419" s="14" t="n"/>
      <c r="I419" s="12" t="n"/>
      <c r="J419" s="14" t="n"/>
      <c r="K419" s="12" t="n"/>
      <c r="L419" s="13">
        <f>IF($K419="","",IFERROR(INDEX(Dept_Names,MATCH($K419,Dept_Codes,0)),"NOT FOUND"))</f>
        <v/>
      </c>
      <c r="M419" s="12" t="n"/>
      <c r="N419" s="13">
        <f>IF($M419="","",IFERROR(INDEX(Desig_Names,MATCH($M419,Desig_Codes,0)),"NOT FOUND"))</f>
        <v/>
      </c>
      <c r="O419" s="13">
        <f>IF($M419="","",IFERROR(INDEX(Desig_Levels,MATCH($M419,Desig_Codes,0)),""))</f>
        <v/>
      </c>
      <c r="P419" s="12" t="n"/>
      <c r="Q419" s="12" t="n"/>
      <c r="R419" s="12" t="n"/>
      <c r="S419" s="13">
        <f>IF($R419="","",IFERROR(INDEX(Emp_Names,MATCH($R419,Emp_Codes,0)),"NOT FOUND"))</f>
        <v/>
      </c>
      <c r="T419" s="12" t="n"/>
      <c r="U419" s="12" t="n"/>
      <c r="V419" s="12" t="n"/>
    </row>
    <row r="420">
      <c r="A420" s="12" t="n"/>
      <c r="B420" s="12" t="n"/>
      <c r="C420" s="12" t="n"/>
      <c r="D420" s="13">
        <f>IF($A420="","",TRIM($B420&amp;" "&amp;$C420))</f>
        <v/>
      </c>
      <c r="E420" s="12" t="n"/>
      <c r="F420" s="12" t="n"/>
      <c r="G420" s="14" t="n"/>
      <c r="H420" s="14" t="n"/>
      <c r="I420" s="12" t="n"/>
      <c r="J420" s="14" t="n"/>
      <c r="K420" s="12" t="n"/>
      <c r="L420" s="13">
        <f>IF($K420="","",IFERROR(INDEX(Dept_Names,MATCH($K420,Dept_Codes,0)),"NOT FOUND"))</f>
        <v/>
      </c>
      <c r="M420" s="12" t="n"/>
      <c r="N420" s="13">
        <f>IF($M420="","",IFERROR(INDEX(Desig_Names,MATCH($M420,Desig_Codes,0)),"NOT FOUND"))</f>
        <v/>
      </c>
      <c r="O420" s="13">
        <f>IF($M420="","",IFERROR(INDEX(Desig_Levels,MATCH($M420,Desig_Codes,0)),""))</f>
        <v/>
      </c>
      <c r="P420" s="12" t="n"/>
      <c r="Q420" s="12" t="n"/>
      <c r="R420" s="12" t="n"/>
      <c r="S420" s="13">
        <f>IF($R420="","",IFERROR(INDEX(Emp_Names,MATCH($R420,Emp_Codes,0)),"NOT FOUND"))</f>
        <v/>
      </c>
      <c r="T420" s="12" t="n"/>
      <c r="U420" s="12" t="n"/>
      <c r="V420" s="12" t="n"/>
    </row>
    <row r="421">
      <c r="A421" s="12" t="n"/>
      <c r="B421" s="12" t="n"/>
      <c r="C421" s="12" t="n"/>
      <c r="D421" s="13">
        <f>IF($A421="","",TRIM($B421&amp;" "&amp;$C421))</f>
        <v/>
      </c>
      <c r="E421" s="12" t="n"/>
      <c r="F421" s="12" t="n"/>
      <c r="G421" s="14" t="n"/>
      <c r="H421" s="14" t="n"/>
      <c r="I421" s="12" t="n"/>
      <c r="J421" s="14" t="n"/>
      <c r="K421" s="12" t="n"/>
      <c r="L421" s="13">
        <f>IF($K421="","",IFERROR(INDEX(Dept_Names,MATCH($K421,Dept_Codes,0)),"NOT FOUND"))</f>
        <v/>
      </c>
      <c r="M421" s="12" t="n"/>
      <c r="N421" s="13">
        <f>IF($M421="","",IFERROR(INDEX(Desig_Names,MATCH($M421,Desig_Codes,0)),"NOT FOUND"))</f>
        <v/>
      </c>
      <c r="O421" s="13">
        <f>IF($M421="","",IFERROR(INDEX(Desig_Levels,MATCH($M421,Desig_Codes,0)),""))</f>
        <v/>
      </c>
      <c r="P421" s="12" t="n"/>
      <c r="Q421" s="12" t="n"/>
      <c r="R421" s="12" t="n"/>
      <c r="S421" s="13">
        <f>IF($R421="","",IFERROR(INDEX(Emp_Names,MATCH($R421,Emp_Codes,0)),"NOT FOUND"))</f>
        <v/>
      </c>
      <c r="T421" s="12" t="n"/>
      <c r="U421" s="12" t="n"/>
      <c r="V421" s="12" t="n"/>
    </row>
    <row r="422">
      <c r="A422" s="12" t="n"/>
      <c r="B422" s="12" t="n"/>
      <c r="C422" s="12" t="n"/>
      <c r="D422" s="13">
        <f>IF($A422="","",TRIM($B422&amp;" "&amp;$C422))</f>
        <v/>
      </c>
      <c r="E422" s="12" t="n"/>
      <c r="F422" s="12" t="n"/>
      <c r="G422" s="14" t="n"/>
      <c r="H422" s="14" t="n"/>
      <c r="I422" s="12" t="n"/>
      <c r="J422" s="14" t="n"/>
      <c r="K422" s="12" t="n"/>
      <c r="L422" s="13">
        <f>IF($K422="","",IFERROR(INDEX(Dept_Names,MATCH($K422,Dept_Codes,0)),"NOT FOUND"))</f>
        <v/>
      </c>
      <c r="M422" s="12" t="n"/>
      <c r="N422" s="13">
        <f>IF($M422="","",IFERROR(INDEX(Desig_Names,MATCH($M422,Desig_Codes,0)),"NOT FOUND"))</f>
        <v/>
      </c>
      <c r="O422" s="13">
        <f>IF($M422="","",IFERROR(INDEX(Desig_Levels,MATCH($M422,Desig_Codes,0)),""))</f>
        <v/>
      </c>
      <c r="P422" s="12" t="n"/>
      <c r="Q422" s="12" t="n"/>
      <c r="R422" s="12" t="n"/>
      <c r="S422" s="13">
        <f>IF($R422="","",IFERROR(INDEX(Emp_Names,MATCH($R422,Emp_Codes,0)),"NOT FOUND"))</f>
        <v/>
      </c>
      <c r="T422" s="12" t="n"/>
      <c r="U422" s="12" t="n"/>
      <c r="V422" s="12" t="n"/>
    </row>
    <row r="423">
      <c r="A423" s="12" t="n"/>
      <c r="B423" s="12" t="n"/>
      <c r="C423" s="12" t="n"/>
      <c r="D423" s="13">
        <f>IF($A423="","",TRIM($B423&amp;" "&amp;$C423))</f>
        <v/>
      </c>
      <c r="E423" s="12" t="n"/>
      <c r="F423" s="12" t="n"/>
      <c r="G423" s="14" t="n"/>
      <c r="H423" s="14" t="n"/>
      <c r="I423" s="12" t="n"/>
      <c r="J423" s="14" t="n"/>
      <c r="K423" s="12" t="n"/>
      <c r="L423" s="13">
        <f>IF($K423="","",IFERROR(INDEX(Dept_Names,MATCH($K423,Dept_Codes,0)),"NOT FOUND"))</f>
        <v/>
      </c>
      <c r="M423" s="12" t="n"/>
      <c r="N423" s="13">
        <f>IF($M423="","",IFERROR(INDEX(Desig_Names,MATCH($M423,Desig_Codes,0)),"NOT FOUND"))</f>
        <v/>
      </c>
      <c r="O423" s="13">
        <f>IF($M423="","",IFERROR(INDEX(Desig_Levels,MATCH($M423,Desig_Codes,0)),""))</f>
        <v/>
      </c>
      <c r="P423" s="12" t="n"/>
      <c r="Q423" s="12" t="n"/>
      <c r="R423" s="12" t="n"/>
      <c r="S423" s="13">
        <f>IF($R423="","",IFERROR(INDEX(Emp_Names,MATCH($R423,Emp_Codes,0)),"NOT FOUND"))</f>
        <v/>
      </c>
      <c r="T423" s="12" t="n"/>
      <c r="U423" s="12" t="n"/>
      <c r="V423" s="12" t="n"/>
    </row>
    <row r="424">
      <c r="A424" s="12" t="n"/>
      <c r="B424" s="12" t="n"/>
      <c r="C424" s="12" t="n"/>
      <c r="D424" s="13">
        <f>IF($A424="","",TRIM($B424&amp;" "&amp;$C424))</f>
        <v/>
      </c>
      <c r="E424" s="12" t="n"/>
      <c r="F424" s="12" t="n"/>
      <c r="G424" s="14" t="n"/>
      <c r="H424" s="14" t="n"/>
      <c r="I424" s="12" t="n"/>
      <c r="J424" s="14" t="n"/>
      <c r="K424" s="12" t="n"/>
      <c r="L424" s="13">
        <f>IF($K424="","",IFERROR(INDEX(Dept_Names,MATCH($K424,Dept_Codes,0)),"NOT FOUND"))</f>
        <v/>
      </c>
      <c r="M424" s="12" t="n"/>
      <c r="N424" s="13">
        <f>IF($M424="","",IFERROR(INDEX(Desig_Names,MATCH($M424,Desig_Codes,0)),"NOT FOUND"))</f>
        <v/>
      </c>
      <c r="O424" s="13">
        <f>IF($M424="","",IFERROR(INDEX(Desig_Levels,MATCH($M424,Desig_Codes,0)),""))</f>
        <v/>
      </c>
      <c r="P424" s="12" t="n"/>
      <c r="Q424" s="12" t="n"/>
      <c r="R424" s="12" t="n"/>
      <c r="S424" s="13">
        <f>IF($R424="","",IFERROR(INDEX(Emp_Names,MATCH($R424,Emp_Codes,0)),"NOT FOUND"))</f>
        <v/>
      </c>
      <c r="T424" s="12" t="n"/>
      <c r="U424" s="12" t="n"/>
      <c r="V424" s="12" t="n"/>
    </row>
    <row r="425">
      <c r="A425" s="12" t="n"/>
      <c r="B425" s="12" t="n"/>
      <c r="C425" s="12" t="n"/>
      <c r="D425" s="13">
        <f>IF($A425="","",TRIM($B425&amp;" "&amp;$C425))</f>
        <v/>
      </c>
      <c r="E425" s="12" t="n"/>
      <c r="F425" s="12" t="n"/>
      <c r="G425" s="14" t="n"/>
      <c r="H425" s="14" t="n"/>
      <c r="I425" s="12" t="n"/>
      <c r="J425" s="14" t="n"/>
      <c r="K425" s="12" t="n"/>
      <c r="L425" s="13">
        <f>IF($K425="","",IFERROR(INDEX(Dept_Names,MATCH($K425,Dept_Codes,0)),"NOT FOUND"))</f>
        <v/>
      </c>
      <c r="M425" s="12" t="n"/>
      <c r="N425" s="13">
        <f>IF($M425="","",IFERROR(INDEX(Desig_Names,MATCH($M425,Desig_Codes,0)),"NOT FOUND"))</f>
        <v/>
      </c>
      <c r="O425" s="13">
        <f>IF($M425="","",IFERROR(INDEX(Desig_Levels,MATCH($M425,Desig_Codes,0)),""))</f>
        <v/>
      </c>
      <c r="P425" s="12" t="n"/>
      <c r="Q425" s="12" t="n"/>
      <c r="R425" s="12" t="n"/>
      <c r="S425" s="13">
        <f>IF($R425="","",IFERROR(INDEX(Emp_Names,MATCH($R425,Emp_Codes,0)),"NOT FOUND"))</f>
        <v/>
      </c>
      <c r="T425" s="12" t="n"/>
      <c r="U425" s="12" t="n"/>
      <c r="V425" s="12" t="n"/>
    </row>
    <row r="426">
      <c r="A426" s="12" t="n"/>
      <c r="B426" s="12" t="n"/>
      <c r="C426" s="12" t="n"/>
      <c r="D426" s="13">
        <f>IF($A426="","",TRIM($B426&amp;" "&amp;$C426))</f>
        <v/>
      </c>
      <c r="E426" s="12" t="n"/>
      <c r="F426" s="12" t="n"/>
      <c r="G426" s="14" t="n"/>
      <c r="H426" s="14" t="n"/>
      <c r="I426" s="12" t="n"/>
      <c r="J426" s="14" t="n"/>
      <c r="K426" s="12" t="n"/>
      <c r="L426" s="13">
        <f>IF($K426="","",IFERROR(INDEX(Dept_Names,MATCH($K426,Dept_Codes,0)),"NOT FOUND"))</f>
        <v/>
      </c>
      <c r="M426" s="12" t="n"/>
      <c r="N426" s="13">
        <f>IF($M426="","",IFERROR(INDEX(Desig_Names,MATCH($M426,Desig_Codes,0)),"NOT FOUND"))</f>
        <v/>
      </c>
      <c r="O426" s="13">
        <f>IF($M426="","",IFERROR(INDEX(Desig_Levels,MATCH($M426,Desig_Codes,0)),""))</f>
        <v/>
      </c>
      <c r="P426" s="12" t="n"/>
      <c r="Q426" s="12" t="n"/>
      <c r="R426" s="12" t="n"/>
      <c r="S426" s="13">
        <f>IF($R426="","",IFERROR(INDEX(Emp_Names,MATCH($R426,Emp_Codes,0)),"NOT FOUND"))</f>
        <v/>
      </c>
      <c r="T426" s="12" t="n"/>
      <c r="U426" s="12" t="n"/>
      <c r="V426" s="12" t="n"/>
    </row>
    <row r="427">
      <c r="A427" s="12" t="n"/>
      <c r="B427" s="12" t="n"/>
      <c r="C427" s="12" t="n"/>
      <c r="D427" s="13">
        <f>IF($A427="","",TRIM($B427&amp;" "&amp;$C427))</f>
        <v/>
      </c>
      <c r="E427" s="12" t="n"/>
      <c r="F427" s="12" t="n"/>
      <c r="G427" s="14" t="n"/>
      <c r="H427" s="14" t="n"/>
      <c r="I427" s="12" t="n"/>
      <c r="J427" s="14" t="n"/>
      <c r="K427" s="12" t="n"/>
      <c r="L427" s="13">
        <f>IF($K427="","",IFERROR(INDEX(Dept_Names,MATCH($K427,Dept_Codes,0)),"NOT FOUND"))</f>
        <v/>
      </c>
      <c r="M427" s="12" t="n"/>
      <c r="N427" s="13">
        <f>IF($M427="","",IFERROR(INDEX(Desig_Names,MATCH($M427,Desig_Codes,0)),"NOT FOUND"))</f>
        <v/>
      </c>
      <c r="O427" s="13">
        <f>IF($M427="","",IFERROR(INDEX(Desig_Levels,MATCH($M427,Desig_Codes,0)),""))</f>
        <v/>
      </c>
      <c r="P427" s="12" t="n"/>
      <c r="Q427" s="12" t="n"/>
      <c r="R427" s="12" t="n"/>
      <c r="S427" s="13">
        <f>IF($R427="","",IFERROR(INDEX(Emp_Names,MATCH($R427,Emp_Codes,0)),"NOT FOUND"))</f>
        <v/>
      </c>
      <c r="T427" s="12" t="n"/>
      <c r="U427" s="12" t="n"/>
      <c r="V427" s="12" t="n"/>
    </row>
    <row r="428">
      <c r="A428" s="12" t="n"/>
      <c r="B428" s="12" t="n"/>
      <c r="C428" s="12" t="n"/>
      <c r="D428" s="13">
        <f>IF($A428="","",TRIM($B428&amp;" "&amp;$C428))</f>
        <v/>
      </c>
      <c r="E428" s="12" t="n"/>
      <c r="F428" s="12" t="n"/>
      <c r="G428" s="14" t="n"/>
      <c r="H428" s="14" t="n"/>
      <c r="I428" s="12" t="n"/>
      <c r="J428" s="14" t="n"/>
      <c r="K428" s="12" t="n"/>
      <c r="L428" s="13">
        <f>IF($K428="","",IFERROR(INDEX(Dept_Names,MATCH($K428,Dept_Codes,0)),"NOT FOUND"))</f>
        <v/>
      </c>
      <c r="M428" s="12" t="n"/>
      <c r="N428" s="13">
        <f>IF($M428="","",IFERROR(INDEX(Desig_Names,MATCH($M428,Desig_Codes,0)),"NOT FOUND"))</f>
        <v/>
      </c>
      <c r="O428" s="13">
        <f>IF($M428="","",IFERROR(INDEX(Desig_Levels,MATCH($M428,Desig_Codes,0)),""))</f>
        <v/>
      </c>
      <c r="P428" s="12" t="n"/>
      <c r="Q428" s="12" t="n"/>
      <c r="R428" s="12" t="n"/>
      <c r="S428" s="13">
        <f>IF($R428="","",IFERROR(INDEX(Emp_Names,MATCH($R428,Emp_Codes,0)),"NOT FOUND"))</f>
        <v/>
      </c>
      <c r="T428" s="12" t="n"/>
      <c r="U428" s="12" t="n"/>
      <c r="V428" s="12" t="n"/>
    </row>
    <row r="429">
      <c r="A429" s="12" t="n"/>
      <c r="B429" s="12" t="n"/>
      <c r="C429" s="12" t="n"/>
      <c r="D429" s="13">
        <f>IF($A429="","",TRIM($B429&amp;" "&amp;$C429))</f>
        <v/>
      </c>
      <c r="E429" s="12" t="n"/>
      <c r="F429" s="12" t="n"/>
      <c r="G429" s="14" t="n"/>
      <c r="H429" s="14" t="n"/>
      <c r="I429" s="12" t="n"/>
      <c r="J429" s="14" t="n"/>
      <c r="K429" s="12" t="n"/>
      <c r="L429" s="13">
        <f>IF($K429="","",IFERROR(INDEX(Dept_Names,MATCH($K429,Dept_Codes,0)),"NOT FOUND"))</f>
        <v/>
      </c>
      <c r="M429" s="12" t="n"/>
      <c r="N429" s="13">
        <f>IF($M429="","",IFERROR(INDEX(Desig_Names,MATCH($M429,Desig_Codes,0)),"NOT FOUND"))</f>
        <v/>
      </c>
      <c r="O429" s="13">
        <f>IF($M429="","",IFERROR(INDEX(Desig_Levels,MATCH($M429,Desig_Codes,0)),""))</f>
        <v/>
      </c>
      <c r="P429" s="12" t="n"/>
      <c r="Q429" s="12" t="n"/>
      <c r="R429" s="12" t="n"/>
      <c r="S429" s="13">
        <f>IF($R429="","",IFERROR(INDEX(Emp_Names,MATCH($R429,Emp_Codes,0)),"NOT FOUND"))</f>
        <v/>
      </c>
      <c r="T429" s="12" t="n"/>
      <c r="U429" s="12" t="n"/>
      <c r="V429" s="12" t="n"/>
    </row>
    <row r="430">
      <c r="A430" s="12" t="n"/>
      <c r="B430" s="12" t="n"/>
      <c r="C430" s="12" t="n"/>
      <c r="D430" s="13">
        <f>IF($A430="","",TRIM($B430&amp;" "&amp;$C430))</f>
        <v/>
      </c>
      <c r="E430" s="12" t="n"/>
      <c r="F430" s="12" t="n"/>
      <c r="G430" s="14" t="n"/>
      <c r="H430" s="14" t="n"/>
      <c r="I430" s="12" t="n"/>
      <c r="J430" s="14" t="n"/>
      <c r="K430" s="12" t="n"/>
      <c r="L430" s="13">
        <f>IF($K430="","",IFERROR(INDEX(Dept_Names,MATCH($K430,Dept_Codes,0)),"NOT FOUND"))</f>
        <v/>
      </c>
      <c r="M430" s="12" t="n"/>
      <c r="N430" s="13">
        <f>IF($M430="","",IFERROR(INDEX(Desig_Names,MATCH($M430,Desig_Codes,0)),"NOT FOUND"))</f>
        <v/>
      </c>
      <c r="O430" s="13">
        <f>IF($M430="","",IFERROR(INDEX(Desig_Levels,MATCH($M430,Desig_Codes,0)),""))</f>
        <v/>
      </c>
      <c r="P430" s="12" t="n"/>
      <c r="Q430" s="12" t="n"/>
      <c r="R430" s="12" t="n"/>
      <c r="S430" s="13">
        <f>IF($R430="","",IFERROR(INDEX(Emp_Names,MATCH($R430,Emp_Codes,0)),"NOT FOUND"))</f>
        <v/>
      </c>
      <c r="T430" s="12" t="n"/>
      <c r="U430" s="12" t="n"/>
      <c r="V430" s="12" t="n"/>
    </row>
    <row r="431">
      <c r="A431" s="12" t="n"/>
      <c r="B431" s="12" t="n"/>
      <c r="C431" s="12" t="n"/>
      <c r="D431" s="13">
        <f>IF($A431="","",TRIM($B431&amp;" "&amp;$C431))</f>
        <v/>
      </c>
      <c r="E431" s="12" t="n"/>
      <c r="F431" s="12" t="n"/>
      <c r="G431" s="14" t="n"/>
      <c r="H431" s="14" t="n"/>
      <c r="I431" s="12" t="n"/>
      <c r="J431" s="14" t="n"/>
      <c r="K431" s="12" t="n"/>
      <c r="L431" s="13">
        <f>IF($K431="","",IFERROR(INDEX(Dept_Names,MATCH($K431,Dept_Codes,0)),"NOT FOUND"))</f>
        <v/>
      </c>
      <c r="M431" s="12" t="n"/>
      <c r="N431" s="13">
        <f>IF($M431="","",IFERROR(INDEX(Desig_Names,MATCH($M431,Desig_Codes,0)),"NOT FOUND"))</f>
        <v/>
      </c>
      <c r="O431" s="13">
        <f>IF($M431="","",IFERROR(INDEX(Desig_Levels,MATCH($M431,Desig_Codes,0)),""))</f>
        <v/>
      </c>
      <c r="P431" s="12" t="n"/>
      <c r="Q431" s="12" t="n"/>
      <c r="R431" s="12" t="n"/>
      <c r="S431" s="13">
        <f>IF($R431="","",IFERROR(INDEX(Emp_Names,MATCH($R431,Emp_Codes,0)),"NOT FOUND"))</f>
        <v/>
      </c>
      <c r="T431" s="12" t="n"/>
      <c r="U431" s="12" t="n"/>
      <c r="V431" s="12" t="n"/>
    </row>
    <row r="432">
      <c r="A432" s="12" t="n"/>
      <c r="B432" s="12" t="n"/>
      <c r="C432" s="12" t="n"/>
      <c r="D432" s="13">
        <f>IF($A432="","",TRIM($B432&amp;" "&amp;$C432))</f>
        <v/>
      </c>
      <c r="E432" s="12" t="n"/>
      <c r="F432" s="12" t="n"/>
      <c r="G432" s="14" t="n"/>
      <c r="H432" s="14" t="n"/>
      <c r="I432" s="12" t="n"/>
      <c r="J432" s="14" t="n"/>
      <c r="K432" s="12" t="n"/>
      <c r="L432" s="13">
        <f>IF($K432="","",IFERROR(INDEX(Dept_Names,MATCH($K432,Dept_Codes,0)),"NOT FOUND"))</f>
        <v/>
      </c>
      <c r="M432" s="12" t="n"/>
      <c r="N432" s="13">
        <f>IF($M432="","",IFERROR(INDEX(Desig_Names,MATCH($M432,Desig_Codes,0)),"NOT FOUND"))</f>
        <v/>
      </c>
      <c r="O432" s="13">
        <f>IF($M432="","",IFERROR(INDEX(Desig_Levels,MATCH($M432,Desig_Codes,0)),""))</f>
        <v/>
      </c>
      <c r="P432" s="12" t="n"/>
      <c r="Q432" s="12" t="n"/>
      <c r="R432" s="12" t="n"/>
      <c r="S432" s="13">
        <f>IF($R432="","",IFERROR(INDEX(Emp_Names,MATCH($R432,Emp_Codes,0)),"NOT FOUND"))</f>
        <v/>
      </c>
      <c r="T432" s="12" t="n"/>
      <c r="U432" s="12" t="n"/>
      <c r="V432" s="12" t="n"/>
    </row>
    <row r="433">
      <c r="A433" s="12" t="n"/>
      <c r="B433" s="12" t="n"/>
      <c r="C433" s="12" t="n"/>
      <c r="D433" s="13">
        <f>IF($A433="","",TRIM($B433&amp;" "&amp;$C433))</f>
        <v/>
      </c>
      <c r="E433" s="12" t="n"/>
      <c r="F433" s="12" t="n"/>
      <c r="G433" s="14" t="n"/>
      <c r="H433" s="14" t="n"/>
      <c r="I433" s="12" t="n"/>
      <c r="J433" s="14" t="n"/>
      <c r="K433" s="12" t="n"/>
      <c r="L433" s="13">
        <f>IF($K433="","",IFERROR(INDEX(Dept_Names,MATCH($K433,Dept_Codes,0)),"NOT FOUND"))</f>
        <v/>
      </c>
      <c r="M433" s="12" t="n"/>
      <c r="N433" s="13">
        <f>IF($M433="","",IFERROR(INDEX(Desig_Names,MATCH($M433,Desig_Codes,0)),"NOT FOUND"))</f>
        <v/>
      </c>
      <c r="O433" s="13">
        <f>IF($M433="","",IFERROR(INDEX(Desig_Levels,MATCH($M433,Desig_Codes,0)),""))</f>
        <v/>
      </c>
      <c r="P433" s="12" t="n"/>
      <c r="Q433" s="12" t="n"/>
      <c r="R433" s="12" t="n"/>
      <c r="S433" s="13">
        <f>IF($R433="","",IFERROR(INDEX(Emp_Names,MATCH($R433,Emp_Codes,0)),"NOT FOUND"))</f>
        <v/>
      </c>
      <c r="T433" s="12" t="n"/>
      <c r="U433" s="12" t="n"/>
      <c r="V433" s="12" t="n"/>
    </row>
    <row r="434">
      <c r="A434" s="12" t="n"/>
      <c r="B434" s="12" t="n"/>
      <c r="C434" s="12" t="n"/>
      <c r="D434" s="13">
        <f>IF($A434="","",TRIM($B434&amp;" "&amp;$C434))</f>
        <v/>
      </c>
      <c r="E434" s="12" t="n"/>
      <c r="F434" s="12" t="n"/>
      <c r="G434" s="14" t="n"/>
      <c r="H434" s="14" t="n"/>
      <c r="I434" s="12" t="n"/>
      <c r="J434" s="14" t="n"/>
      <c r="K434" s="12" t="n"/>
      <c r="L434" s="13">
        <f>IF($K434="","",IFERROR(INDEX(Dept_Names,MATCH($K434,Dept_Codes,0)),"NOT FOUND"))</f>
        <v/>
      </c>
      <c r="M434" s="12" t="n"/>
      <c r="N434" s="13">
        <f>IF($M434="","",IFERROR(INDEX(Desig_Names,MATCH($M434,Desig_Codes,0)),"NOT FOUND"))</f>
        <v/>
      </c>
      <c r="O434" s="13">
        <f>IF($M434="","",IFERROR(INDEX(Desig_Levels,MATCH($M434,Desig_Codes,0)),""))</f>
        <v/>
      </c>
      <c r="P434" s="12" t="n"/>
      <c r="Q434" s="12" t="n"/>
      <c r="R434" s="12" t="n"/>
      <c r="S434" s="13">
        <f>IF($R434="","",IFERROR(INDEX(Emp_Names,MATCH($R434,Emp_Codes,0)),"NOT FOUND"))</f>
        <v/>
      </c>
      <c r="T434" s="12" t="n"/>
      <c r="U434" s="12" t="n"/>
      <c r="V434" s="12" t="n"/>
    </row>
    <row r="435">
      <c r="A435" s="12" t="n"/>
      <c r="B435" s="12" t="n"/>
      <c r="C435" s="12" t="n"/>
      <c r="D435" s="13">
        <f>IF($A435="","",TRIM($B435&amp;" "&amp;$C435))</f>
        <v/>
      </c>
      <c r="E435" s="12" t="n"/>
      <c r="F435" s="12" t="n"/>
      <c r="G435" s="14" t="n"/>
      <c r="H435" s="14" t="n"/>
      <c r="I435" s="12" t="n"/>
      <c r="J435" s="14" t="n"/>
      <c r="K435" s="12" t="n"/>
      <c r="L435" s="13">
        <f>IF($K435="","",IFERROR(INDEX(Dept_Names,MATCH($K435,Dept_Codes,0)),"NOT FOUND"))</f>
        <v/>
      </c>
      <c r="M435" s="12" t="n"/>
      <c r="N435" s="13">
        <f>IF($M435="","",IFERROR(INDEX(Desig_Names,MATCH($M435,Desig_Codes,0)),"NOT FOUND"))</f>
        <v/>
      </c>
      <c r="O435" s="13">
        <f>IF($M435="","",IFERROR(INDEX(Desig_Levels,MATCH($M435,Desig_Codes,0)),""))</f>
        <v/>
      </c>
      <c r="P435" s="12" t="n"/>
      <c r="Q435" s="12" t="n"/>
      <c r="R435" s="12" t="n"/>
      <c r="S435" s="13">
        <f>IF($R435="","",IFERROR(INDEX(Emp_Names,MATCH($R435,Emp_Codes,0)),"NOT FOUND"))</f>
        <v/>
      </c>
      <c r="T435" s="12" t="n"/>
      <c r="U435" s="12" t="n"/>
      <c r="V435" s="12" t="n"/>
    </row>
    <row r="436">
      <c r="A436" s="12" t="n"/>
      <c r="B436" s="12" t="n"/>
      <c r="C436" s="12" t="n"/>
      <c r="D436" s="13">
        <f>IF($A436="","",TRIM($B436&amp;" "&amp;$C436))</f>
        <v/>
      </c>
      <c r="E436" s="12" t="n"/>
      <c r="F436" s="12" t="n"/>
      <c r="G436" s="14" t="n"/>
      <c r="H436" s="14" t="n"/>
      <c r="I436" s="12" t="n"/>
      <c r="J436" s="14" t="n"/>
      <c r="K436" s="12" t="n"/>
      <c r="L436" s="13">
        <f>IF($K436="","",IFERROR(INDEX(Dept_Names,MATCH($K436,Dept_Codes,0)),"NOT FOUND"))</f>
        <v/>
      </c>
      <c r="M436" s="12" t="n"/>
      <c r="N436" s="13">
        <f>IF($M436="","",IFERROR(INDEX(Desig_Names,MATCH($M436,Desig_Codes,0)),"NOT FOUND"))</f>
        <v/>
      </c>
      <c r="O436" s="13">
        <f>IF($M436="","",IFERROR(INDEX(Desig_Levels,MATCH($M436,Desig_Codes,0)),""))</f>
        <v/>
      </c>
      <c r="P436" s="12" t="n"/>
      <c r="Q436" s="12" t="n"/>
      <c r="R436" s="12" t="n"/>
      <c r="S436" s="13">
        <f>IF($R436="","",IFERROR(INDEX(Emp_Names,MATCH($R436,Emp_Codes,0)),"NOT FOUND"))</f>
        <v/>
      </c>
      <c r="T436" s="12" t="n"/>
      <c r="U436" s="12" t="n"/>
      <c r="V436" s="12" t="n"/>
    </row>
    <row r="437">
      <c r="A437" s="12" t="n"/>
      <c r="B437" s="12" t="n"/>
      <c r="C437" s="12" t="n"/>
      <c r="D437" s="13">
        <f>IF($A437="","",TRIM($B437&amp;" "&amp;$C437))</f>
        <v/>
      </c>
      <c r="E437" s="12" t="n"/>
      <c r="F437" s="12" t="n"/>
      <c r="G437" s="14" t="n"/>
      <c r="H437" s="14" t="n"/>
      <c r="I437" s="12" t="n"/>
      <c r="J437" s="14" t="n"/>
      <c r="K437" s="12" t="n"/>
      <c r="L437" s="13">
        <f>IF($K437="","",IFERROR(INDEX(Dept_Names,MATCH($K437,Dept_Codes,0)),"NOT FOUND"))</f>
        <v/>
      </c>
      <c r="M437" s="12" t="n"/>
      <c r="N437" s="13">
        <f>IF($M437="","",IFERROR(INDEX(Desig_Names,MATCH($M437,Desig_Codes,0)),"NOT FOUND"))</f>
        <v/>
      </c>
      <c r="O437" s="13">
        <f>IF($M437="","",IFERROR(INDEX(Desig_Levels,MATCH($M437,Desig_Codes,0)),""))</f>
        <v/>
      </c>
      <c r="P437" s="12" t="n"/>
      <c r="Q437" s="12" t="n"/>
      <c r="R437" s="12" t="n"/>
      <c r="S437" s="13">
        <f>IF($R437="","",IFERROR(INDEX(Emp_Names,MATCH($R437,Emp_Codes,0)),"NOT FOUND"))</f>
        <v/>
      </c>
      <c r="T437" s="12" t="n"/>
      <c r="U437" s="12" t="n"/>
      <c r="V437" s="12" t="n"/>
    </row>
    <row r="438">
      <c r="A438" s="12" t="n"/>
      <c r="B438" s="12" t="n"/>
      <c r="C438" s="12" t="n"/>
      <c r="D438" s="13">
        <f>IF($A438="","",TRIM($B438&amp;" "&amp;$C438))</f>
        <v/>
      </c>
      <c r="E438" s="12" t="n"/>
      <c r="F438" s="12" t="n"/>
      <c r="G438" s="14" t="n"/>
      <c r="H438" s="14" t="n"/>
      <c r="I438" s="12" t="n"/>
      <c r="J438" s="14" t="n"/>
      <c r="K438" s="12" t="n"/>
      <c r="L438" s="13">
        <f>IF($K438="","",IFERROR(INDEX(Dept_Names,MATCH($K438,Dept_Codes,0)),"NOT FOUND"))</f>
        <v/>
      </c>
      <c r="M438" s="12" t="n"/>
      <c r="N438" s="13">
        <f>IF($M438="","",IFERROR(INDEX(Desig_Names,MATCH($M438,Desig_Codes,0)),"NOT FOUND"))</f>
        <v/>
      </c>
      <c r="O438" s="13">
        <f>IF($M438="","",IFERROR(INDEX(Desig_Levels,MATCH($M438,Desig_Codes,0)),""))</f>
        <v/>
      </c>
      <c r="P438" s="12" t="n"/>
      <c r="Q438" s="12" t="n"/>
      <c r="R438" s="12" t="n"/>
      <c r="S438" s="13">
        <f>IF($R438="","",IFERROR(INDEX(Emp_Names,MATCH($R438,Emp_Codes,0)),"NOT FOUND"))</f>
        <v/>
      </c>
      <c r="T438" s="12" t="n"/>
      <c r="U438" s="12" t="n"/>
      <c r="V438" s="12" t="n"/>
    </row>
    <row r="439">
      <c r="A439" s="12" t="n"/>
      <c r="B439" s="12" t="n"/>
      <c r="C439" s="12" t="n"/>
      <c r="D439" s="13">
        <f>IF($A439="","",TRIM($B439&amp;" "&amp;$C439))</f>
        <v/>
      </c>
      <c r="E439" s="12" t="n"/>
      <c r="F439" s="12" t="n"/>
      <c r="G439" s="14" t="n"/>
      <c r="H439" s="14" t="n"/>
      <c r="I439" s="12" t="n"/>
      <c r="J439" s="14" t="n"/>
      <c r="K439" s="12" t="n"/>
      <c r="L439" s="13">
        <f>IF($K439="","",IFERROR(INDEX(Dept_Names,MATCH($K439,Dept_Codes,0)),"NOT FOUND"))</f>
        <v/>
      </c>
      <c r="M439" s="12" t="n"/>
      <c r="N439" s="13">
        <f>IF($M439="","",IFERROR(INDEX(Desig_Names,MATCH($M439,Desig_Codes,0)),"NOT FOUND"))</f>
        <v/>
      </c>
      <c r="O439" s="13">
        <f>IF($M439="","",IFERROR(INDEX(Desig_Levels,MATCH($M439,Desig_Codes,0)),""))</f>
        <v/>
      </c>
      <c r="P439" s="12" t="n"/>
      <c r="Q439" s="12" t="n"/>
      <c r="R439" s="12" t="n"/>
      <c r="S439" s="13">
        <f>IF($R439="","",IFERROR(INDEX(Emp_Names,MATCH($R439,Emp_Codes,0)),"NOT FOUND"))</f>
        <v/>
      </c>
      <c r="T439" s="12" t="n"/>
      <c r="U439" s="12" t="n"/>
      <c r="V439" s="12" t="n"/>
    </row>
    <row r="440">
      <c r="A440" s="12" t="n"/>
      <c r="B440" s="12" t="n"/>
      <c r="C440" s="12" t="n"/>
      <c r="D440" s="13">
        <f>IF($A440="","",TRIM($B440&amp;" "&amp;$C440))</f>
        <v/>
      </c>
      <c r="E440" s="12" t="n"/>
      <c r="F440" s="12" t="n"/>
      <c r="G440" s="14" t="n"/>
      <c r="H440" s="14" t="n"/>
      <c r="I440" s="12" t="n"/>
      <c r="J440" s="14" t="n"/>
      <c r="K440" s="12" t="n"/>
      <c r="L440" s="13">
        <f>IF($K440="","",IFERROR(INDEX(Dept_Names,MATCH($K440,Dept_Codes,0)),"NOT FOUND"))</f>
        <v/>
      </c>
      <c r="M440" s="12" t="n"/>
      <c r="N440" s="13">
        <f>IF($M440="","",IFERROR(INDEX(Desig_Names,MATCH($M440,Desig_Codes,0)),"NOT FOUND"))</f>
        <v/>
      </c>
      <c r="O440" s="13">
        <f>IF($M440="","",IFERROR(INDEX(Desig_Levels,MATCH($M440,Desig_Codes,0)),""))</f>
        <v/>
      </c>
      <c r="P440" s="12" t="n"/>
      <c r="Q440" s="12" t="n"/>
      <c r="R440" s="12" t="n"/>
      <c r="S440" s="13">
        <f>IF($R440="","",IFERROR(INDEX(Emp_Names,MATCH($R440,Emp_Codes,0)),"NOT FOUND"))</f>
        <v/>
      </c>
      <c r="T440" s="12" t="n"/>
      <c r="U440" s="12" t="n"/>
      <c r="V440" s="12" t="n"/>
    </row>
    <row r="441">
      <c r="A441" s="12" t="n"/>
      <c r="B441" s="12" t="n"/>
      <c r="C441" s="12" t="n"/>
      <c r="D441" s="13">
        <f>IF($A441="","",TRIM($B441&amp;" "&amp;$C441))</f>
        <v/>
      </c>
      <c r="E441" s="12" t="n"/>
      <c r="F441" s="12" t="n"/>
      <c r="G441" s="14" t="n"/>
      <c r="H441" s="14" t="n"/>
      <c r="I441" s="12" t="n"/>
      <c r="J441" s="14" t="n"/>
      <c r="K441" s="12" t="n"/>
      <c r="L441" s="13">
        <f>IF($K441="","",IFERROR(INDEX(Dept_Names,MATCH($K441,Dept_Codes,0)),"NOT FOUND"))</f>
        <v/>
      </c>
      <c r="M441" s="12" t="n"/>
      <c r="N441" s="13">
        <f>IF($M441="","",IFERROR(INDEX(Desig_Names,MATCH($M441,Desig_Codes,0)),"NOT FOUND"))</f>
        <v/>
      </c>
      <c r="O441" s="13">
        <f>IF($M441="","",IFERROR(INDEX(Desig_Levels,MATCH($M441,Desig_Codes,0)),""))</f>
        <v/>
      </c>
      <c r="P441" s="12" t="n"/>
      <c r="Q441" s="12" t="n"/>
      <c r="R441" s="12" t="n"/>
      <c r="S441" s="13">
        <f>IF($R441="","",IFERROR(INDEX(Emp_Names,MATCH($R441,Emp_Codes,0)),"NOT FOUND"))</f>
        <v/>
      </c>
      <c r="T441" s="12" t="n"/>
      <c r="U441" s="12" t="n"/>
      <c r="V441" s="12" t="n"/>
    </row>
    <row r="442">
      <c r="A442" s="12" t="n"/>
      <c r="B442" s="12" t="n"/>
      <c r="C442" s="12" t="n"/>
      <c r="D442" s="13">
        <f>IF($A442="","",TRIM($B442&amp;" "&amp;$C442))</f>
        <v/>
      </c>
      <c r="E442" s="12" t="n"/>
      <c r="F442" s="12" t="n"/>
      <c r="G442" s="14" t="n"/>
      <c r="H442" s="14" t="n"/>
      <c r="I442" s="12" t="n"/>
      <c r="J442" s="14" t="n"/>
      <c r="K442" s="12" t="n"/>
      <c r="L442" s="13">
        <f>IF($K442="","",IFERROR(INDEX(Dept_Names,MATCH($K442,Dept_Codes,0)),"NOT FOUND"))</f>
        <v/>
      </c>
      <c r="M442" s="12" t="n"/>
      <c r="N442" s="13">
        <f>IF($M442="","",IFERROR(INDEX(Desig_Names,MATCH($M442,Desig_Codes,0)),"NOT FOUND"))</f>
        <v/>
      </c>
      <c r="O442" s="13">
        <f>IF($M442="","",IFERROR(INDEX(Desig_Levels,MATCH($M442,Desig_Codes,0)),""))</f>
        <v/>
      </c>
      <c r="P442" s="12" t="n"/>
      <c r="Q442" s="12" t="n"/>
      <c r="R442" s="12" t="n"/>
      <c r="S442" s="13">
        <f>IF($R442="","",IFERROR(INDEX(Emp_Names,MATCH($R442,Emp_Codes,0)),"NOT FOUND"))</f>
        <v/>
      </c>
      <c r="T442" s="12" t="n"/>
      <c r="U442" s="12" t="n"/>
      <c r="V442" s="12" t="n"/>
    </row>
    <row r="443">
      <c r="A443" s="12" t="n"/>
      <c r="B443" s="12" t="n"/>
      <c r="C443" s="12" t="n"/>
      <c r="D443" s="13">
        <f>IF($A443="","",TRIM($B443&amp;" "&amp;$C443))</f>
        <v/>
      </c>
      <c r="E443" s="12" t="n"/>
      <c r="F443" s="12" t="n"/>
      <c r="G443" s="14" t="n"/>
      <c r="H443" s="14" t="n"/>
      <c r="I443" s="12" t="n"/>
      <c r="J443" s="14" t="n"/>
      <c r="K443" s="12" t="n"/>
      <c r="L443" s="13">
        <f>IF($K443="","",IFERROR(INDEX(Dept_Names,MATCH($K443,Dept_Codes,0)),"NOT FOUND"))</f>
        <v/>
      </c>
      <c r="M443" s="12" t="n"/>
      <c r="N443" s="13">
        <f>IF($M443="","",IFERROR(INDEX(Desig_Names,MATCH($M443,Desig_Codes,0)),"NOT FOUND"))</f>
        <v/>
      </c>
      <c r="O443" s="13">
        <f>IF($M443="","",IFERROR(INDEX(Desig_Levels,MATCH($M443,Desig_Codes,0)),""))</f>
        <v/>
      </c>
      <c r="P443" s="12" t="n"/>
      <c r="Q443" s="12" t="n"/>
      <c r="R443" s="12" t="n"/>
      <c r="S443" s="13">
        <f>IF($R443="","",IFERROR(INDEX(Emp_Names,MATCH($R443,Emp_Codes,0)),"NOT FOUND"))</f>
        <v/>
      </c>
      <c r="T443" s="12" t="n"/>
      <c r="U443" s="12" t="n"/>
      <c r="V443" s="12" t="n"/>
    </row>
    <row r="444">
      <c r="A444" s="12" t="n"/>
      <c r="B444" s="12" t="n"/>
      <c r="C444" s="12" t="n"/>
      <c r="D444" s="13">
        <f>IF($A444="","",TRIM($B444&amp;" "&amp;$C444))</f>
        <v/>
      </c>
      <c r="E444" s="12" t="n"/>
      <c r="F444" s="12" t="n"/>
      <c r="G444" s="14" t="n"/>
      <c r="H444" s="14" t="n"/>
      <c r="I444" s="12" t="n"/>
      <c r="J444" s="14" t="n"/>
      <c r="K444" s="12" t="n"/>
      <c r="L444" s="13">
        <f>IF($K444="","",IFERROR(INDEX(Dept_Names,MATCH($K444,Dept_Codes,0)),"NOT FOUND"))</f>
        <v/>
      </c>
      <c r="M444" s="12" t="n"/>
      <c r="N444" s="13">
        <f>IF($M444="","",IFERROR(INDEX(Desig_Names,MATCH($M444,Desig_Codes,0)),"NOT FOUND"))</f>
        <v/>
      </c>
      <c r="O444" s="13">
        <f>IF($M444="","",IFERROR(INDEX(Desig_Levels,MATCH($M444,Desig_Codes,0)),""))</f>
        <v/>
      </c>
      <c r="P444" s="12" t="n"/>
      <c r="Q444" s="12" t="n"/>
      <c r="R444" s="12" t="n"/>
      <c r="S444" s="13">
        <f>IF($R444="","",IFERROR(INDEX(Emp_Names,MATCH($R444,Emp_Codes,0)),"NOT FOUND"))</f>
        <v/>
      </c>
      <c r="T444" s="12" t="n"/>
      <c r="U444" s="12" t="n"/>
      <c r="V444" s="12" t="n"/>
    </row>
    <row r="445">
      <c r="A445" s="12" t="n"/>
      <c r="B445" s="12" t="n"/>
      <c r="C445" s="12" t="n"/>
      <c r="D445" s="13">
        <f>IF($A445="","",TRIM($B445&amp;" "&amp;$C445))</f>
        <v/>
      </c>
      <c r="E445" s="12" t="n"/>
      <c r="F445" s="12" t="n"/>
      <c r="G445" s="14" t="n"/>
      <c r="H445" s="14" t="n"/>
      <c r="I445" s="12" t="n"/>
      <c r="J445" s="14" t="n"/>
      <c r="K445" s="12" t="n"/>
      <c r="L445" s="13">
        <f>IF($K445="","",IFERROR(INDEX(Dept_Names,MATCH($K445,Dept_Codes,0)),"NOT FOUND"))</f>
        <v/>
      </c>
      <c r="M445" s="12" t="n"/>
      <c r="N445" s="13">
        <f>IF($M445="","",IFERROR(INDEX(Desig_Names,MATCH($M445,Desig_Codes,0)),"NOT FOUND"))</f>
        <v/>
      </c>
      <c r="O445" s="13">
        <f>IF($M445="","",IFERROR(INDEX(Desig_Levels,MATCH($M445,Desig_Codes,0)),""))</f>
        <v/>
      </c>
      <c r="P445" s="12" t="n"/>
      <c r="Q445" s="12" t="n"/>
      <c r="R445" s="12" t="n"/>
      <c r="S445" s="13">
        <f>IF($R445="","",IFERROR(INDEX(Emp_Names,MATCH($R445,Emp_Codes,0)),"NOT FOUND"))</f>
        <v/>
      </c>
      <c r="T445" s="12" t="n"/>
      <c r="U445" s="12" t="n"/>
      <c r="V445" s="12" t="n"/>
    </row>
    <row r="446">
      <c r="A446" s="12" t="n"/>
      <c r="B446" s="12" t="n"/>
      <c r="C446" s="12" t="n"/>
      <c r="D446" s="13">
        <f>IF($A446="","",TRIM($B446&amp;" "&amp;$C446))</f>
        <v/>
      </c>
      <c r="E446" s="12" t="n"/>
      <c r="F446" s="12" t="n"/>
      <c r="G446" s="14" t="n"/>
      <c r="H446" s="14" t="n"/>
      <c r="I446" s="12" t="n"/>
      <c r="J446" s="14" t="n"/>
      <c r="K446" s="12" t="n"/>
      <c r="L446" s="13">
        <f>IF($K446="","",IFERROR(INDEX(Dept_Names,MATCH($K446,Dept_Codes,0)),"NOT FOUND"))</f>
        <v/>
      </c>
      <c r="M446" s="12" t="n"/>
      <c r="N446" s="13">
        <f>IF($M446="","",IFERROR(INDEX(Desig_Names,MATCH($M446,Desig_Codes,0)),"NOT FOUND"))</f>
        <v/>
      </c>
      <c r="O446" s="13">
        <f>IF($M446="","",IFERROR(INDEX(Desig_Levels,MATCH($M446,Desig_Codes,0)),""))</f>
        <v/>
      </c>
      <c r="P446" s="12" t="n"/>
      <c r="Q446" s="12" t="n"/>
      <c r="R446" s="12" t="n"/>
      <c r="S446" s="13">
        <f>IF($R446="","",IFERROR(INDEX(Emp_Names,MATCH($R446,Emp_Codes,0)),"NOT FOUND"))</f>
        <v/>
      </c>
      <c r="T446" s="12" t="n"/>
      <c r="U446" s="12" t="n"/>
      <c r="V446" s="12" t="n"/>
    </row>
    <row r="447">
      <c r="A447" s="12" t="n"/>
      <c r="B447" s="12" t="n"/>
      <c r="C447" s="12" t="n"/>
      <c r="D447" s="13">
        <f>IF($A447="","",TRIM($B447&amp;" "&amp;$C447))</f>
        <v/>
      </c>
      <c r="E447" s="12" t="n"/>
      <c r="F447" s="12" t="n"/>
      <c r="G447" s="14" t="n"/>
      <c r="H447" s="14" t="n"/>
      <c r="I447" s="12" t="n"/>
      <c r="J447" s="14" t="n"/>
      <c r="K447" s="12" t="n"/>
      <c r="L447" s="13">
        <f>IF($K447="","",IFERROR(INDEX(Dept_Names,MATCH($K447,Dept_Codes,0)),"NOT FOUND"))</f>
        <v/>
      </c>
      <c r="M447" s="12" t="n"/>
      <c r="N447" s="13">
        <f>IF($M447="","",IFERROR(INDEX(Desig_Names,MATCH($M447,Desig_Codes,0)),"NOT FOUND"))</f>
        <v/>
      </c>
      <c r="O447" s="13">
        <f>IF($M447="","",IFERROR(INDEX(Desig_Levels,MATCH($M447,Desig_Codes,0)),""))</f>
        <v/>
      </c>
      <c r="P447" s="12" t="n"/>
      <c r="Q447" s="12" t="n"/>
      <c r="R447" s="12" t="n"/>
      <c r="S447" s="13">
        <f>IF($R447="","",IFERROR(INDEX(Emp_Names,MATCH($R447,Emp_Codes,0)),"NOT FOUND"))</f>
        <v/>
      </c>
      <c r="T447" s="12" t="n"/>
      <c r="U447" s="12" t="n"/>
      <c r="V447" s="12" t="n"/>
    </row>
    <row r="448">
      <c r="A448" s="12" t="n"/>
      <c r="B448" s="12" t="n"/>
      <c r="C448" s="12" t="n"/>
      <c r="D448" s="13">
        <f>IF($A448="","",TRIM($B448&amp;" "&amp;$C448))</f>
        <v/>
      </c>
      <c r="E448" s="12" t="n"/>
      <c r="F448" s="12" t="n"/>
      <c r="G448" s="14" t="n"/>
      <c r="H448" s="14" t="n"/>
      <c r="I448" s="12" t="n"/>
      <c r="J448" s="14" t="n"/>
      <c r="K448" s="12" t="n"/>
      <c r="L448" s="13">
        <f>IF($K448="","",IFERROR(INDEX(Dept_Names,MATCH($K448,Dept_Codes,0)),"NOT FOUND"))</f>
        <v/>
      </c>
      <c r="M448" s="12" t="n"/>
      <c r="N448" s="13">
        <f>IF($M448="","",IFERROR(INDEX(Desig_Names,MATCH($M448,Desig_Codes,0)),"NOT FOUND"))</f>
        <v/>
      </c>
      <c r="O448" s="13">
        <f>IF($M448="","",IFERROR(INDEX(Desig_Levels,MATCH($M448,Desig_Codes,0)),""))</f>
        <v/>
      </c>
      <c r="P448" s="12" t="n"/>
      <c r="Q448" s="12" t="n"/>
      <c r="R448" s="12" t="n"/>
      <c r="S448" s="13">
        <f>IF($R448="","",IFERROR(INDEX(Emp_Names,MATCH($R448,Emp_Codes,0)),"NOT FOUND"))</f>
        <v/>
      </c>
      <c r="T448" s="12" t="n"/>
      <c r="U448" s="12" t="n"/>
      <c r="V448" s="12" t="n"/>
    </row>
    <row r="449">
      <c r="A449" s="12" t="n"/>
      <c r="B449" s="12" t="n"/>
      <c r="C449" s="12" t="n"/>
      <c r="D449" s="13">
        <f>IF($A449="","",TRIM($B449&amp;" "&amp;$C449))</f>
        <v/>
      </c>
      <c r="E449" s="12" t="n"/>
      <c r="F449" s="12" t="n"/>
      <c r="G449" s="14" t="n"/>
      <c r="H449" s="14" t="n"/>
      <c r="I449" s="12" t="n"/>
      <c r="J449" s="14" t="n"/>
      <c r="K449" s="12" t="n"/>
      <c r="L449" s="13">
        <f>IF($K449="","",IFERROR(INDEX(Dept_Names,MATCH($K449,Dept_Codes,0)),"NOT FOUND"))</f>
        <v/>
      </c>
      <c r="M449" s="12" t="n"/>
      <c r="N449" s="13">
        <f>IF($M449="","",IFERROR(INDEX(Desig_Names,MATCH($M449,Desig_Codes,0)),"NOT FOUND"))</f>
        <v/>
      </c>
      <c r="O449" s="13">
        <f>IF($M449="","",IFERROR(INDEX(Desig_Levels,MATCH($M449,Desig_Codes,0)),""))</f>
        <v/>
      </c>
      <c r="P449" s="12" t="n"/>
      <c r="Q449" s="12" t="n"/>
      <c r="R449" s="12" t="n"/>
      <c r="S449" s="13">
        <f>IF($R449="","",IFERROR(INDEX(Emp_Names,MATCH($R449,Emp_Codes,0)),"NOT FOUND"))</f>
        <v/>
      </c>
      <c r="T449" s="12" t="n"/>
      <c r="U449" s="12" t="n"/>
      <c r="V449" s="12" t="n"/>
    </row>
    <row r="450">
      <c r="A450" s="12" t="n"/>
      <c r="B450" s="12" t="n"/>
      <c r="C450" s="12" t="n"/>
      <c r="D450" s="13">
        <f>IF($A450="","",TRIM($B450&amp;" "&amp;$C450))</f>
        <v/>
      </c>
      <c r="E450" s="12" t="n"/>
      <c r="F450" s="12" t="n"/>
      <c r="G450" s="14" t="n"/>
      <c r="H450" s="14" t="n"/>
      <c r="I450" s="12" t="n"/>
      <c r="J450" s="14" t="n"/>
      <c r="K450" s="12" t="n"/>
      <c r="L450" s="13">
        <f>IF($K450="","",IFERROR(INDEX(Dept_Names,MATCH($K450,Dept_Codes,0)),"NOT FOUND"))</f>
        <v/>
      </c>
      <c r="M450" s="12" t="n"/>
      <c r="N450" s="13">
        <f>IF($M450="","",IFERROR(INDEX(Desig_Names,MATCH($M450,Desig_Codes,0)),"NOT FOUND"))</f>
        <v/>
      </c>
      <c r="O450" s="13">
        <f>IF($M450="","",IFERROR(INDEX(Desig_Levels,MATCH($M450,Desig_Codes,0)),""))</f>
        <v/>
      </c>
      <c r="P450" s="12" t="n"/>
      <c r="Q450" s="12" t="n"/>
      <c r="R450" s="12" t="n"/>
      <c r="S450" s="13">
        <f>IF($R450="","",IFERROR(INDEX(Emp_Names,MATCH($R450,Emp_Codes,0)),"NOT FOUND"))</f>
        <v/>
      </c>
      <c r="T450" s="12" t="n"/>
      <c r="U450" s="12" t="n"/>
      <c r="V450" s="12" t="n"/>
    </row>
    <row r="451">
      <c r="A451" s="12" t="n"/>
      <c r="B451" s="12" t="n"/>
      <c r="C451" s="12" t="n"/>
      <c r="D451" s="13">
        <f>IF($A451="","",TRIM($B451&amp;" "&amp;$C451))</f>
        <v/>
      </c>
      <c r="E451" s="12" t="n"/>
      <c r="F451" s="12" t="n"/>
      <c r="G451" s="14" t="n"/>
      <c r="H451" s="14" t="n"/>
      <c r="I451" s="12" t="n"/>
      <c r="J451" s="14" t="n"/>
      <c r="K451" s="12" t="n"/>
      <c r="L451" s="13">
        <f>IF($K451="","",IFERROR(INDEX(Dept_Names,MATCH($K451,Dept_Codes,0)),"NOT FOUND"))</f>
        <v/>
      </c>
      <c r="M451" s="12" t="n"/>
      <c r="N451" s="13">
        <f>IF($M451="","",IFERROR(INDEX(Desig_Names,MATCH($M451,Desig_Codes,0)),"NOT FOUND"))</f>
        <v/>
      </c>
      <c r="O451" s="13">
        <f>IF($M451="","",IFERROR(INDEX(Desig_Levels,MATCH($M451,Desig_Codes,0)),""))</f>
        <v/>
      </c>
      <c r="P451" s="12" t="n"/>
      <c r="Q451" s="12" t="n"/>
      <c r="R451" s="12" t="n"/>
      <c r="S451" s="13">
        <f>IF($R451="","",IFERROR(INDEX(Emp_Names,MATCH($R451,Emp_Codes,0)),"NOT FOUND"))</f>
        <v/>
      </c>
      <c r="T451" s="12" t="n"/>
      <c r="U451" s="12" t="n"/>
      <c r="V451" s="12" t="n"/>
    </row>
    <row r="452">
      <c r="A452" s="12" t="n"/>
      <c r="B452" s="12" t="n"/>
      <c r="C452" s="12" t="n"/>
      <c r="D452" s="13">
        <f>IF($A452="","",TRIM($B452&amp;" "&amp;$C452))</f>
        <v/>
      </c>
      <c r="E452" s="12" t="n"/>
      <c r="F452" s="12" t="n"/>
      <c r="G452" s="14" t="n"/>
      <c r="H452" s="14" t="n"/>
      <c r="I452" s="12" t="n"/>
      <c r="J452" s="14" t="n"/>
      <c r="K452" s="12" t="n"/>
      <c r="L452" s="13">
        <f>IF($K452="","",IFERROR(INDEX(Dept_Names,MATCH($K452,Dept_Codes,0)),"NOT FOUND"))</f>
        <v/>
      </c>
      <c r="M452" s="12" t="n"/>
      <c r="N452" s="13">
        <f>IF($M452="","",IFERROR(INDEX(Desig_Names,MATCH($M452,Desig_Codes,0)),"NOT FOUND"))</f>
        <v/>
      </c>
      <c r="O452" s="13">
        <f>IF($M452="","",IFERROR(INDEX(Desig_Levels,MATCH($M452,Desig_Codes,0)),""))</f>
        <v/>
      </c>
      <c r="P452" s="12" t="n"/>
      <c r="Q452" s="12" t="n"/>
      <c r="R452" s="12" t="n"/>
      <c r="S452" s="13">
        <f>IF($R452="","",IFERROR(INDEX(Emp_Names,MATCH($R452,Emp_Codes,0)),"NOT FOUND"))</f>
        <v/>
      </c>
      <c r="T452" s="12" t="n"/>
      <c r="U452" s="12" t="n"/>
      <c r="V452" s="12" t="n"/>
    </row>
    <row r="453">
      <c r="A453" s="12" t="n"/>
      <c r="B453" s="12" t="n"/>
      <c r="C453" s="12" t="n"/>
      <c r="D453" s="13">
        <f>IF($A453="","",TRIM($B453&amp;" "&amp;$C453))</f>
        <v/>
      </c>
      <c r="E453" s="12" t="n"/>
      <c r="F453" s="12" t="n"/>
      <c r="G453" s="14" t="n"/>
      <c r="H453" s="14" t="n"/>
      <c r="I453" s="12" t="n"/>
      <c r="J453" s="14" t="n"/>
      <c r="K453" s="12" t="n"/>
      <c r="L453" s="13">
        <f>IF($K453="","",IFERROR(INDEX(Dept_Names,MATCH($K453,Dept_Codes,0)),"NOT FOUND"))</f>
        <v/>
      </c>
      <c r="M453" s="12" t="n"/>
      <c r="N453" s="13">
        <f>IF($M453="","",IFERROR(INDEX(Desig_Names,MATCH($M453,Desig_Codes,0)),"NOT FOUND"))</f>
        <v/>
      </c>
      <c r="O453" s="13">
        <f>IF($M453="","",IFERROR(INDEX(Desig_Levels,MATCH($M453,Desig_Codes,0)),""))</f>
        <v/>
      </c>
      <c r="P453" s="12" t="n"/>
      <c r="Q453" s="12" t="n"/>
      <c r="R453" s="12" t="n"/>
      <c r="S453" s="13">
        <f>IF($R453="","",IFERROR(INDEX(Emp_Names,MATCH($R453,Emp_Codes,0)),"NOT FOUND"))</f>
        <v/>
      </c>
      <c r="T453" s="12" t="n"/>
      <c r="U453" s="12" t="n"/>
      <c r="V453" s="12" t="n"/>
    </row>
    <row r="454">
      <c r="A454" s="12" t="n"/>
      <c r="B454" s="12" t="n"/>
      <c r="C454" s="12" t="n"/>
      <c r="D454" s="13">
        <f>IF($A454="","",TRIM($B454&amp;" "&amp;$C454))</f>
        <v/>
      </c>
      <c r="E454" s="12" t="n"/>
      <c r="F454" s="12" t="n"/>
      <c r="G454" s="14" t="n"/>
      <c r="H454" s="14" t="n"/>
      <c r="I454" s="12" t="n"/>
      <c r="J454" s="14" t="n"/>
      <c r="K454" s="12" t="n"/>
      <c r="L454" s="13">
        <f>IF($K454="","",IFERROR(INDEX(Dept_Names,MATCH($K454,Dept_Codes,0)),"NOT FOUND"))</f>
        <v/>
      </c>
      <c r="M454" s="12" t="n"/>
      <c r="N454" s="13">
        <f>IF($M454="","",IFERROR(INDEX(Desig_Names,MATCH($M454,Desig_Codes,0)),"NOT FOUND"))</f>
        <v/>
      </c>
      <c r="O454" s="13">
        <f>IF($M454="","",IFERROR(INDEX(Desig_Levels,MATCH($M454,Desig_Codes,0)),""))</f>
        <v/>
      </c>
      <c r="P454" s="12" t="n"/>
      <c r="Q454" s="12" t="n"/>
      <c r="R454" s="12" t="n"/>
      <c r="S454" s="13">
        <f>IF($R454="","",IFERROR(INDEX(Emp_Names,MATCH($R454,Emp_Codes,0)),"NOT FOUND"))</f>
        <v/>
      </c>
      <c r="T454" s="12" t="n"/>
      <c r="U454" s="12" t="n"/>
      <c r="V454" s="12" t="n"/>
    </row>
    <row r="455">
      <c r="A455" s="12" t="n"/>
      <c r="B455" s="12" t="n"/>
      <c r="C455" s="12" t="n"/>
      <c r="D455" s="13">
        <f>IF($A455="","",TRIM($B455&amp;" "&amp;$C455))</f>
        <v/>
      </c>
      <c r="E455" s="12" t="n"/>
      <c r="F455" s="12" t="n"/>
      <c r="G455" s="14" t="n"/>
      <c r="H455" s="14" t="n"/>
      <c r="I455" s="12" t="n"/>
      <c r="J455" s="14" t="n"/>
      <c r="K455" s="12" t="n"/>
      <c r="L455" s="13">
        <f>IF($K455="","",IFERROR(INDEX(Dept_Names,MATCH($K455,Dept_Codes,0)),"NOT FOUND"))</f>
        <v/>
      </c>
      <c r="M455" s="12" t="n"/>
      <c r="N455" s="13">
        <f>IF($M455="","",IFERROR(INDEX(Desig_Names,MATCH($M455,Desig_Codes,0)),"NOT FOUND"))</f>
        <v/>
      </c>
      <c r="O455" s="13">
        <f>IF($M455="","",IFERROR(INDEX(Desig_Levels,MATCH($M455,Desig_Codes,0)),""))</f>
        <v/>
      </c>
      <c r="P455" s="12" t="n"/>
      <c r="Q455" s="12" t="n"/>
      <c r="R455" s="12" t="n"/>
      <c r="S455" s="13">
        <f>IF($R455="","",IFERROR(INDEX(Emp_Names,MATCH($R455,Emp_Codes,0)),"NOT FOUND"))</f>
        <v/>
      </c>
      <c r="T455" s="12" t="n"/>
      <c r="U455" s="12" t="n"/>
      <c r="V455" s="12" t="n"/>
    </row>
    <row r="456">
      <c r="A456" s="12" t="n"/>
      <c r="B456" s="12" t="n"/>
      <c r="C456" s="12" t="n"/>
      <c r="D456" s="13">
        <f>IF($A456="","",TRIM($B456&amp;" "&amp;$C456))</f>
        <v/>
      </c>
      <c r="E456" s="12" t="n"/>
      <c r="F456" s="12" t="n"/>
      <c r="G456" s="14" t="n"/>
      <c r="H456" s="14" t="n"/>
      <c r="I456" s="12" t="n"/>
      <c r="J456" s="14" t="n"/>
      <c r="K456" s="12" t="n"/>
      <c r="L456" s="13">
        <f>IF($K456="","",IFERROR(INDEX(Dept_Names,MATCH($K456,Dept_Codes,0)),"NOT FOUND"))</f>
        <v/>
      </c>
      <c r="M456" s="12" t="n"/>
      <c r="N456" s="13">
        <f>IF($M456="","",IFERROR(INDEX(Desig_Names,MATCH($M456,Desig_Codes,0)),"NOT FOUND"))</f>
        <v/>
      </c>
      <c r="O456" s="13">
        <f>IF($M456="","",IFERROR(INDEX(Desig_Levels,MATCH($M456,Desig_Codes,0)),""))</f>
        <v/>
      </c>
      <c r="P456" s="12" t="n"/>
      <c r="Q456" s="12" t="n"/>
      <c r="R456" s="12" t="n"/>
      <c r="S456" s="13">
        <f>IF($R456="","",IFERROR(INDEX(Emp_Names,MATCH($R456,Emp_Codes,0)),"NOT FOUND"))</f>
        <v/>
      </c>
      <c r="T456" s="12" t="n"/>
      <c r="U456" s="12" t="n"/>
      <c r="V456" s="12" t="n"/>
    </row>
    <row r="457">
      <c r="A457" s="12" t="n"/>
      <c r="B457" s="12" t="n"/>
      <c r="C457" s="12" t="n"/>
      <c r="D457" s="13">
        <f>IF($A457="","",TRIM($B457&amp;" "&amp;$C457))</f>
        <v/>
      </c>
      <c r="E457" s="12" t="n"/>
      <c r="F457" s="12" t="n"/>
      <c r="G457" s="14" t="n"/>
      <c r="H457" s="14" t="n"/>
      <c r="I457" s="12" t="n"/>
      <c r="J457" s="14" t="n"/>
      <c r="K457" s="12" t="n"/>
      <c r="L457" s="13">
        <f>IF($K457="","",IFERROR(INDEX(Dept_Names,MATCH($K457,Dept_Codes,0)),"NOT FOUND"))</f>
        <v/>
      </c>
      <c r="M457" s="12" t="n"/>
      <c r="N457" s="13">
        <f>IF($M457="","",IFERROR(INDEX(Desig_Names,MATCH($M457,Desig_Codes,0)),"NOT FOUND"))</f>
        <v/>
      </c>
      <c r="O457" s="13">
        <f>IF($M457="","",IFERROR(INDEX(Desig_Levels,MATCH($M457,Desig_Codes,0)),""))</f>
        <v/>
      </c>
      <c r="P457" s="12" t="n"/>
      <c r="Q457" s="12" t="n"/>
      <c r="R457" s="12" t="n"/>
      <c r="S457" s="13">
        <f>IF($R457="","",IFERROR(INDEX(Emp_Names,MATCH($R457,Emp_Codes,0)),"NOT FOUND"))</f>
        <v/>
      </c>
      <c r="T457" s="12" t="n"/>
      <c r="U457" s="12" t="n"/>
      <c r="V457" s="12" t="n"/>
    </row>
    <row r="458">
      <c r="A458" s="12" t="n"/>
      <c r="B458" s="12" t="n"/>
      <c r="C458" s="12" t="n"/>
      <c r="D458" s="13">
        <f>IF($A458="","",TRIM($B458&amp;" "&amp;$C458))</f>
        <v/>
      </c>
      <c r="E458" s="12" t="n"/>
      <c r="F458" s="12" t="n"/>
      <c r="G458" s="14" t="n"/>
      <c r="H458" s="14" t="n"/>
      <c r="I458" s="12" t="n"/>
      <c r="J458" s="14" t="n"/>
      <c r="K458" s="12" t="n"/>
      <c r="L458" s="13">
        <f>IF($K458="","",IFERROR(INDEX(Dept_Names,MATCH($K458,Dept_Codes,0)),"NOT FOUND"))</f>
        <v/>
      </c>
      <c r="M458" s="12" t="n"/>
      <c r="N458" s="13">
        <f>IF($M458="","",IFERROR(INDEX(Desig_Names,MATCH($M458,Desig_Codes,0)),"NOT FOUND"))</f>
        <v/>
      </c>
      <c r="O458" s="13">
        <f>IF($M458="","",IFERROR(INDEX(Desig_Levels,MATCH($M458,Desig_Codes,0)),""))</f>
        <v/>
      </c>
      <c r="P458" s="12" t="n"/>
      <c r="Q458" s="12" t="n"/>
      <c r="R458" s="12" t="n"/>
      <c r="S458" s="13">
        <f>IF($R458="","",IFERROR(INDEX(Emp_Names,MATCH($R458,Emp_Codes,0)),"NOT FOUND"))</f>
        <v/>
      </c>
      <c r="T458" s="12" t="n"/>
      <c r="U458" s="12" t="n"/>
      <c r="V458" s="12" t="n"/>
    </row>
    <row r="459">
      <c r="A459" s="12" t="n"/>
      <c r="B459" s="12" t="n"/>
      <c r="C459" s="12" t="n"/>
      <c r="D459" s="13">
        <f>IF($A459="","",TRIM($B459&amp;" "&amp;$C459))</f>
        <v/>
      </c>
      <c r="E459" s="12" t="n"/>
      <c r="F459" s="12" t="n"/>
      <c r="G459" s="14" t="n"/>
      <c r="H459" s="14" t="n"/>
      <c r="I459" s="12" t="n"/>
      <c r="J459" s="14" t="n"/>
      <c r="K459" s="12" t="n"/>
      <c r="L459" s="13">
        <f>IF($K459="","",IFERROR(INDEX(Dept_Names,MATCH($K459,Dept_Codes,0)),"NOT FOUND"))</f>
        <v/>
      </c>
      <c r="M459" s="12" t="n"/>
      <c r="N459" s="13">
        <f>IF($M459="","",IFERROR(INDEX(Desig_Names,MATCH($M459,Desig_Codes,0)),"NOT FOUND"))</f>
        <v/>
      </c>
      <c r="O459" s="13">
        <f>IF($M459="","",IFERROR(INDEX(Desig_Levels,MATCH($M459,Desig_Codes,0)),""))</f>
        <v/>
      </c>
      <c r="P459" s="12" t="n"/>
      <c r="Q459" s="12" t="n"/>
      <c r="R459" s="12" t="n"/>
      <c r="S459" s="13">
        <f>IF($R459="","",IFERROR(INDEX(Emp_Names,MATCH($R459,Emp_Codes,0)),"NOT FOUND"))</f>
        <v/>
      </c>
      <c r="T459" s="12" t="n"/>
      <c r="U459" s="12" t="n"/>
      <c r="V459" s="12" t="n"/>
    </row>
    <row r="460">
      <c r="A460" s="12" t="n"/>
      <c r="B460" s="12" t="n"/>
      <c r="C460" s="12" t="n"/>
      <c r="D460" s="13">
        <f>IF($A460="","",TRIM($B460&amp;" "&amp;$C460))</f>
        <v/>
      </c>
      <c r="E460" s="12" t="n"/>
      <c r="F460" s="12" t="n"/>
      <c r="G460" s="14" t="n"/>
      <c r="H460" s="14" t="n"/>
      <c r="I460" s="12" t="n"/>
      <c r="J460" s="14" t="n"/>
      <c r="K460" s="12" t="n"/>
      <c r="L460" s="13">
        <f>IF($K460="","",IFERROR(INDEX(Dept_Names,MATCH($K460,Dept_Codes,0)),"NOT FOUND"))</f>
        <v/>
      </c>
      <c r="M460" s="12" t="n"/>
      <c r="N460" s="13">
        <f>IF($M460="","",IFERROR(INDEX(Desig_Names,MATCH($M460,Desig_Codes,0)),"NOT FOUND"))</f>
        <v/>
      </c>
      <c r="O460" s="13">
        <f>IF($M460="","",IFERROR(INDEX(Desig_Levels,MATCH($M460,Desig_Codes,0)),""))</f>
        <v/>
      </c>
      <c r="P460" s="12" t="n"/>
      <c r="Q460" s="12" t="n"/>
      <c r="R460" s="12" t="n"/>
      <c r="S460" s="13">
        <f>IF($R460="","",IFERROR(INDEX(Emp_Names,MATCH($R460,Emp_Codes,0)),"NOT FOUND"))</f>
        <v/>
      </c>
      <c r="T460" s="12" t="n"/>
      <c r="U460" s="12" t="n"/>
      <c r="V460" s="12" t="n"/>
    </row>
    <row r="461">
      <c r="A461" s="12" t="n"/>
      <c r="B461" s="12" t="n"/>
      <c r="C461" s="12" t="n"/>
      <c r="D461" s="13">
        <f>IF($A461="","",TRIM($B461&amp;" "&amp;$C461))</f>
        <v/>
      </c>
      <c r="E461" s="12" t="n"/>
      <c r="F461" s="12" t="n"/>
      <c r="G461" s="14" t="n"/>
      <c r="H461" s="14" t="n"/>
      <c r="I461" s="12" t="n"/>
      <c r="J461" s="14" t="n"/>
      <c r="K461" s="12" t="n"/>
      <c r="L461" s="13">
        <f>IF($K461="","",IFERROR(INDEX(Dept_Names,MATCH($K461,Dept_Codes,0)),"NOT FOUND"))</f>
        <v/>
      </c>
      <c r="M461" s="12" t="n"/>
      <c r="N461" s="13">
        <f>IF($M461="","",IFERROR(INDEX(Desig_Names,MATCH($M461,Desig_Codes,0)),"NOT FOUND"))</f>
        <v/>
      </c>
      <c r="O461" s="13">
        <f>IF($M461="","",IFERROR(INDEX(Desig_Levels,MATCH($M461,Desig_Codes,0)),""))</f>
        <v/>
      </c>
      <c r="P461" s="12" t="n"/>
      <c r="Q461" s="12" t="n"/>
      <c r="R461" s="12" t="n"/>
      <c r="S461" s="13">
        <f>IF($R461="","",IFERROR(INDEX(Emp_Names,MATCH($R461,Emp_Codes,0)),"NOT FOUND"))</f>
        <v/>
      </c>
      <c r="T461" s="12" t="n"/>
      <c r="U461" s="12" t="n"/>
      <c r="V461" s="12" t="n"/>
    </row>
    <row r="462">
      <c r="A462" s="12" t="n"/>
      <c r="B462" s="12" t="n"/>
      <c r="C462" s="12" t="n"/>
      <c r="D462" s="13">
        <f>IF($A462="","",TRIM($B462&amp;" "&amp;$C462))</f>
        <v/>
      </c>
      <c r="E462" s="12" t="n"/>
      <c r="F462" s="12" t="n"/>
      <c r="G462" s="14" t="n"/>
      <c r="H462" s="14" t="n"/>
      <c r="I462" s="12" t="n"/>
      <c r="J462" s="14" t="n"/>
      <c r="K462" s="12" t="n"/>
      <c r="L462" s="13">
        <f>IF($K462="","",IFERROR(INDEX(Dept_Names,MATCH($K462,Dept_Codes,0)),"NOT FOUND"))</f>
        <v/>
      </c>
      <c r="M462" s="12" t="n"/>
      <c r="N462" s="13">
        <f>IF($M462="","",IFERROR(INDEX(Desig_Names,MATCH($M462,Desig_Codes,0)),"NOT FOUND"))</f>
        <v/>
      </c>
      <c r="O462" s="13">
        <f>IF($M462="","",IFERROR(INDEX(Desig_Levels,MATCH($M462,Desig_Codes,0)),""))</f>
        <v/>
      </c>
      <c r="P462" s="12" t="n"/>
      <c r="Q462" s="12" t="n"/>
      <c r="R462" s="12" t="n"/>
      <c r="S462" s="13">
        <f>IF($R462="","",IFERROR(INDEX(Emp_Names,MATCH($R462,Emp_Codes,0)),"NOT FOUND"))</f>
        <v/>
      </c>
      <c r="T462" s="12" t="n"/>
      <c r="U462" s="12" t="n"/>
      <c r="V462" s="12" t="n"/>
    </row>
    <row r="463">
      <c r="A463" s="12" t="n"/>
      <c r="B463" s="12" t="n"/>
      <c r="C463" s="12" t="n"/>
      <c r="D463" s="13">
        <f>IF($A463="","",TRIM($B463&amp;" "&amp;$C463))</f>
        <v/>
      </c>
      <c r="E463" s="12" t="n"/>
      <c r="F463" s="12" t="n"/>
      <c r="G463" s="14" t="n"/>
      <c r="H463" s="14" t="n"/>
      <c r="I463" s="12" t="n"/>
      <c r="J463" s="14" t="n"/>
      <c r="K463" s="12" t="n"/>
      <c r="L463" s="13">
        <f>IF($K463="","",IFERROR(INDEX(Dept_Names,MATCH($K463,Dept_Codes,0)),"NOT FOUND"))</f>
        <v/>
      </c>
      <c r="M463" s="12" t="n"/>
      <c r="N463" s="13">
        <f>IF($M463="","",IFERROR(INDEX(Desig_Names,MATCH($M463,Desig_Codes,0)),"NOT FOUND"))</f>
        <v/>
      </c>
      <c r="O463" s="13">
        <f>IF($M463="","",IFERROR(INDEX(Desig_Levels,MATCH($M463,Desig_Codes,0)),""))</f>
        <v/>
      </c>
      <c r="P463" s="12" t="n"/>
      <c r="Q463" s="12" t="n"/>
      <c r="R463" s="12" t="n"/>
      <c r="S463" s="13">
        <f>IF($R463="","",IFERROR(INDEX(Emp_Names,MATCH($R463,Emp_Codes,0)),"NOT FOUND"))</f>
        <v/>
      </c>
      <c r="T463" s="12" t="n"/>
      <c r="U463" s="12" t="n"/>
      <c r="V463" s="12" t="n"/>
    </row>
    <row r="464">
      <c r="A464" s="12" t="n"/>
      <c r="B464" s="12" t="n"/>
      <c r="C464" s="12" t="n"/>
      <c r="D464" s="13">
        <f>IF($A464="","",TRIM($B464&amp;" "&amp;$C464))</f>
        <v/>
      </c>
      <c r="E464" s="12" t="n"/>
      <c r="F464" s="12" t="n"/>
      <c r="G464" s="14" t="n"/>
      <c r="H464" s="14" t="n"/>
      <c r="I464" s="12" t="n"/>
      <c r="J464" s="14" t="n"/>
      <c r="K464" s="12" t="n"/>
      <c r="L464" s="13">
        <f>IF($K464="","",IFERROR(INDEX(Dept_Names,MATCH($K464,Dept_Codes,0)),"NOT FOUND"))</f>
        <v/>
      </c>
      <c r="M464" s="12" t="n"/>
      <c r="N464" s="13">
        <f>IF($M464="","",IFERROR(INDEX(Desig_Names,MATCH($M464,Desig_Codes,0)),"NOT FOUND"))</f>
        <v/>
      </c>
      <c r="O464" s="13">
        <f>IF($M464="","",IFERROR(INDEX(Desig_Levels,MATCH($M464,Desig_Codes,0)),""))</f>
        <v/>
      </c>
      <c r="P464" s="12" t="n"/>
      <c r="Q464" s="12" t="n"/>
      <c r="R464" s="12" t="n"/>
      <c r="S464" s="13">
        <f>IF($R464="","",IFERROR(INDEX(Emp_Names,MATCH($R464,Emp_Codes,0)),"NOT FOUND"))</f>
        <v/>
      </c>
      <c r="T464" s="12" t="n"/>
      <c r="U464" s="12" t="n"/>
      <c r="V464" s="12" t="n"/>
    </row>
    <row r="465">
      <c r="A465" s="12" t="n"/>
      <c r="B465" s="12" t="n"/>
      <c r="C465" s="12" t="n"/>
      <c r="D465" s="13">
        <f>IF($A465="","",TRIM($B465&amp;" "&amp;$C465))</f>
        <v/>
      </c>
      <c r="E465" s="12" t="n"/>
      <c r="F465" s="12" t="n"/>
      <c r="G465" s="14" t="n"/>
      <c r="H465" s="14" t="n"/>
      <c r="I465" s="12" t="n"/>
      <c r="J465" s="14" t="n"/>
      <c r="K465" s="12" t="n"/>
      <c r="L465" s="13">
        <f>IF($K465="","",IFERROR(INDEX(Dept_Names,MATCH($K465,Dept_Codes,0)),"NOT FOUND"))</f>
        <v/>
      </c>
      <c r="M465" s="12" t="n"/>
      <c r="N465" s="13">
        <f>IF($M465="","",IFERROR(INDEX(Desig_Names,MATCH($M465,Desig_Codes,0)),"NOT FOUND"))</f>
        <v/>
      </c>
      <c r="O465" s="13">
        <f>IF($M465="","",IFERROR(INDEX(Desig_Levels,MATCH($M465,Desig_Codes,0)),""))</f>
        <v/>
      </c>
      <c r="P465" s="12" t="n"/>
      <c r="Q465" s="12" t="n"/>
      <c r="R465" s="12" t="n"/>
      <c r="S465" s="13">
        <f>IF($R465="","",IFERROR(INDEX(Emp_Names,MATCH($R465,Emp_Codes,0)),"NOT FOUND"))</f>
        <v/>
      </c>
      <c r="T465" s="12" t="n"/>
      <c r="U465" s="12" t="n"/>
      <c r="V465" s="12" t="n"/>
    </row>
    <row r="466">
      <c r="A466" s="12" t="n"/>
      <c r="B466" s="12" t="n"/>
      <c r="C466" s="12" t="n"/>
      <c r="D466" s="13">
        <f>IF($A466="","",TRIM($B466&amp;" "&amp;$C466))</f>
        <v/>
      </c>
      <c r="E466" s="12" t="n"/>
      <c r="F466" s="12" t="n"/>
      <c r="G466" s="14" t="n"/>
      <c r="H466" s="14" t="n"/>
      <c r="I466" s="12" t="n"/>
      <c r="J466" s="14" t="n"/>
      <c r="K466" s="12" t="n"/>
      <c r="L466" s="13">
        <f>IF($K466="","",IFERROR(INDEX(Dept_Names,MATCH($K466,Dept_Codes,0)),"NOT FOUND"))</f>
        <v/>
      </c>
      <c r="M466" s="12" t="n"/>
      <c r="N466" s="13">
        <f>IF($M466="","",IFERROR(INDEX(Desig_Names,MATCH($M466,Desig_Codes,0)),"NOT FOUND"))</f>
        <v/>
      </c>
      <c r="O466" s="13">
        <f>IF($M466="","",IFERROR(INDEX(Desig_Levels,MATCH($M466,Desig_Codes,0)),""))</f>
        <v/>
      </c>
      <c r="P466" s="12" t="n"/>
      <c r="Q466" s="12" t="n"/>
      <c r="R466" s="12" t="n"/>
      <c r="S466" s="13">
        <f>IF($R466="","",IFERROR(INDEX(Emp_Names,MATCH($R466,Emp_Codes,0)),"NOT FOUND"))</f>
        <v/>
      </c>
      <c r="T466" s="12" t="n"/>
      <c r="U466" s="12" t="n"/>
      <c r="V466" s="12" t="n"/>
    </row>
    <row r="467">
      <c r="A467" s="12" t="n"/>
      <c r="B467" s="12" t="n"/>
      <c r="C467" s="12" t="n"/>
      <c r="D467" s="13">
        <f>IF($A467="","",TRIM($B467&amp;" "&amp;$C467))</f>
        <v/>
      </c>
      <c r="E467" s="12" t="n"/>
      <c r="F467" s="12" t="n"/>
      <c r="G467" s="14" t="n"/>
      <c r="H467" s="14" t="n"/>
      <c r="I467" s="12" t="n"/>
      <c r="J467" s="14" t="n"/>
      <c r="K467" s="12" t="n"/>
      <c r="L467" s="13">
        <f>IF($K467="","",IFERROR(INDEX(Dept_Names,MATCH($K467,Dept_Codes,0)),"NOT FOUND"))</f>
        <v/>
      </c>
      <c r="M467" s="12" t="n"/>
      <c r="N467" s="13">
        <f>IF($M467="","",IFERROR(INDEX(Desig_Names,MATCH($M467,Desig_Codes,0)),"NOT FOUND"))</f>
        <v/>
      </c>
      <c r="O467" s="13">
        <f>IF($M467="","",IFERROR(INDEX(Desig_Levels,MATCH($M467,Desig_Codes,0)),""))</f>
        <v/>
      </c>
      <c r="P467" s="12" t="n"/>
      <c r="Q467" s="12" t="n"/>
      <c r="R467" s="12" t="n"/>
      <c r="S467" s="13">
        <f>IF($R467="","",IFERROR(INDEX(Emp_Names,MATCH($R467,Emp_Codes,0)),"NOT FOUND"))</f>
        <v/>
      </c>
      <c r="T467" s="12" t="n"/>
      <c r="U467" s="12" t="n"/>
      <c r="V467" s="12" t="n"/>
    </row>
    <row r="468">
      <c r="A468" s="12" t="n"/>
      <c r="B468" s="12" t="n"/>
      <c r="C468" s="12" t="n"/>
      <c r="D468" s="13">
        <f>IF($A468="","",TRIM($B468&amp;" "&amp;$C468))</f>
        <v/>
      </c>
      <c r="E468" s="12" t="n"/>
      <c r="F468" s="12" t="n"/>
      <c r="G468" s="14" t="n"/>
      <c r="H468" s="14" t="n"/>
      <c r="I468" s="12" t="n"/>
      <c r="J468" s="14" t="n"/>
      <c r="K468" s="12" t="n"/>
      <c r="L468" s="13">
        <f>IF($K468="","",IFERROR(INDEX(Dept_Names,MATCH($K468,Dept_Codes,0)),"NOT FOUND"))</f>
        <v/>
      </c>
      <c r="M468" s="12" t="n"/>
      <c r="N468" s="13">
        <f>IF($M468="","",IFERROR(INDEX(Desig_Names,MATCH($M468,Desig_Codes,0)),"NOT FOUND"))</f>
        <v/>
      </c>
      <c r="O468" s="13">
        <f>IF($M468="","",IFERROR(INDEX(Desig_Levels,MATCH($M468,Desig_Codes,0)),""))</f>
        <v/>
      </c>
      <c r="P468" s="12" t="n"/>
      <c r="Q468" s="12" t="n"/>
      <c r="R468" s="12" t="n"/>
      <c r="S468" s="13">
        <f>IF($R468="","",IFERROR(INDEX(Emp_Names,MATCH($R468,Emp_Codes,0)),"NOT FOUND"))</f>
        <v/>
      </c>
      <c r="T468" s="12" t="n"/>
      <c r="U468" s="12" t="n"/>
      <c r="V468" s="12" t="n"/>
    </row>
    <row r="469">
      <c r="A469" s="12" t="n"/>
      <c r="B469" s="12" t="n"/>
      <c r="C469" s="12" t="n"/>
      <c r="D469" s="13">
        <f>IF($A469="","",TRIM($B469&amp;" "&amp;$C469))</f>
        <v/>
      </c>
      <c r="E469" s="12" t="n"/>
      <c r="F469" s="12" t="n"/>
      <c r="G469" s="14" t="n"/>
      <c r="H469" s="14" t="n"/>
      <c r="I469" s="12" t="n"/>
      <c r="J469" s="14" t="n"/>
      <c r="K469" s="12" t="n"/>
      <c r="L469" s="13">
        <f>IF($K469="","",IFERROR(INDEX(Dept_Names,MATCH($K469,Dept_Codes,0)),"NOT FOUND"))</f>
        <v/>
      </c>
      <c r="M469" s="12" t="n"/>
      <c r="N469" s="13">
        <f>IF($M469="","",IFERROR(INDEX(Desig_Names,MATCH($M469,Desig_Codes,0)),"NOT FOUND"))</f>
        <v/>
      </c>
      <c r="O469" s="13">
        <f>IF($M469="","",IFERROR(INDEX(Desig_Levels,MATCH($M469,Desig_Codes,0)),""))</f>
        <v/>
      </c>
      <c r="P469" s="12" t="n"/>
      <c r="Q469" s="12" t="n"/>
      <c r="R469" s="12" t="n"/>
      <c r="S469" s="13">
        <f>IF($R469="","",IFERROR(INDEX(Emp_Names,MATCH($R469,Emp_Codes,0)),"NOT FOUND"))</f>
        <v/>
      </c>
      <c r="T469" s="12" t="n"/>
      <c r="U469" s="12" t="n"/>
      <c r="V469" s="12" t="n"/>
    </row>
    <row r="470">
      <c r="A470" s="12" t="n"/>
      <c r="B470" s="12" t="n"/>
      <c r="C470" s="12" t="n"/>
      <c r="D470" s="13">
        <f>IF($A470="","",TRIM($B470&amp;" "&amp;$C470))</f>
        <v/>
      </c>
      <c r="E470" s="12" t="n"/>
      <c r="F470" s="12" t="n"/>
      <c r="G470" s="14" t="n"/>
      <c r="H470" s="14" t="n"/>
      <c r="I470" s="12" t="n"/>
      <c r="J470" s="14" t="n"/>
      <c r="K470" s="12" t="n"/>
      <c r="L470" s="13">
        <f>IF($K470="","",IFERROR(INDEX(Dept_Names,MATCH($K470,Dept_Codes,0)),"NOT FOUND"))</f>
        <v/>
      </c>
      <c r="M470" s="12" t="n"/>
      <c r="N470" s="13">
        <f>IF($M470="","",IFERROR(INDEX(Desig_Names,MATCH($M470,Desig_Codes,0)),"NOT FOUND"))</f>
        <v/>
      </c>
      <c r="O470" s="13">
        <f>IF($M470="","",IFERROR(INDEX(Desig_Levels,MATCH($M470,Desig_Codes,0)),""))</f>
        <v/>
      </c>
      <c r="P470" s="12" t="n"/>
      <c r="Q470" s="12" t="n"/>
      <c r="R470" s="12" t="n"/>
      <c r="S470" s="13">
        <f>IF($R470="","",IFERROR(INDEX(Emp_Names,MATCH($R470,Emp_Codes,0)),"NOT FOUND"))</f>
        <v/>
      </c>
      <c r="T470" s="12" t="n"/>
      <c r="U470" s="12" t="n"/>
      <c r="V470" s="12" t="n"/>
    </row>
    <row r="471">
      <c r="A471" s="12" t="n"/>
      <c r="B471" s="12" t="n"/>
      <c r="C471" s="12" t="n"/>
      <c r="D471" s="13">
        <f>IF($A471="","",TRIM($B471&amp;" "&amp;$C471))</f>
        <v/>
      </c>
      <c r="E471" s="12" t="n"/>
      <c r="F471" s="12" t="n"/>
      <c r="G471" s="14" t="n"/>
      <c r="H471" s="14" t="n"/>
      <c r="I471" s="12" t="n"/>
      <c r="J471" s="14" t="n"/>
      <c r="K471" s="12" t="n"/>
      <c r="L471" s="13">
        <f>IF($K471="","",IFERROR(INDEX(Dept_Names,MATCH($K471,Dept_Codes,0)),"NOT FOUND"))</f>
        <v/>
      </c>
      <c r="M471" s="12" t="n"/>
      <c r="N471" s="13">
        <f>IF($M471="","",IFERROR(INDEX(Desig_Names,MATCH($M471,Desig_Codes,0)),"NOT FOUND"))</f>
        <v/>
      </c>
      <c r="O471" s="13">
        <f>IF($M471="","",IFERROR(INDEX(Desig_Levels,MATCH($M471,Desig_Codes,0)),""))</f>
        <v/>
      </c>
      <c r="P471" s="12" t="n"/>
      <c r="Q471" s="12" t="n"/>
      <c r="R471" s="12" t="n"/>
      <c r="S471" s="13">
        <f>IF($R471="","",IFERROR(INDEX(Emp_Names,MATCH($R471,Emp_Codes,0)),"NOT FOUND"))</f>
        <v/>
      </c>
      <c r="T471" s="12" t="n"/>
      <c r="U471" s="12" t="n"/>
      <c r="V471" s="12" t="n"/>
    </row>
    <row r="472">
      <c r="A472" s="12" t="n"/>
      <c r="B472" s="12" t="n"/>
      <c r="C472" s="12" t="n"/>
      <c r="D472" s="13">
        <f>IF($A472="","",TRIM($B472&amp;" "&amp;$C472))</f>
        <v/>
      </c>
      <c r="E472" s="12" t="n"/>
      <c r="F472" s="12" t="n"/>
      <c r="G472" s="14" t="n"/>
      <c r="H472" s="14" t="n"/>
      <c r="I472" s="12" t="n"/>
      <c r="J472" s="14" t="n"/>
      <c r="K472" s="12" t="n"/>
      <c r="L472" s="13">
        <f>IF($K472="","",IFERROR(INDEX(Dept_Names,MATCH($K472,Dept_Codes,0)),"NOT FOUND"))</f>
        <v/>
      </c>
      <c r="M472" s="12" t="n"/>
      <c r="N472" s="13">
        <f>IF($M472="","",IFERROR(INDEX(Desig_Names,MATCH($M472,Desig_Codes,0)),"NOT FOUND"))</f>
        <v/>
      </c>
      <c r="O472" s="13">
        <f>IF($M472="","",IFERROR(INDEX(Desig_Levels,MATCH($M472,Desig_Codes,0)),""))</f>
        <v/>
      </c>
      <c r="P472" s="12" t="n"/>
      <c r="Q472" s="12" t="n"/>
      <c r="R472" s="12" t="n"/>
      <c r="S472" s="13">
        <f>IF($R472="","",IFERROR(INDEX(Emp_Names,MATCH($R472,Emp_Codes,0)),"NOT FOUND"))</f>
        <v/>
      </c>
      <c r="T472" s="12" t="n"/>
      <c r="U472" s="12" t="n"/>
      <c r="V472" s="12" t="n"/>
    </row>
    <row r="473">
      <c r="A473" s="12" t="n"/>
      <c r="B473" s="12" t="n"/>
      <c r="C473" s="12" t="n"/>
      <c r="D473" s="13">
        <f>IF($A473="","",TRIM($B473&amp;" "&amp;$C473))</f>
        <v/>
      </c>
      <c r="E473" s="12" t="n"/>
      <c r="F473" s="12" t="n"/>
      <c r="G473" s="14" t="n"/>
      <c r="H473" s="14" t="n"/>
      <c r="I473" s="12" t="n"/>
      <c r="J473" s="14" t="n"/>
      <c r="K473" s="12" t="n"/>
      <c r="L473" s="13">
        <f>IF($K473="","",IFERROR(INDEX(Dept_Names,MATCH($K473,Dept_Codes,0)),"NOT FOUND"))</f>
        <v/>
      </c>
      <c r="M473" s="12" t="n"/>
      <c r="N473" s="13">
        <f>IF($M473="","",IFERROR(INDEX(Desig_Names,MATCH($M473,Desig_Codes,0)),"NOT FOUND"))</f>
        <v/>
      </c>
      <c r="O473" s="13">
        <f>IF($M473="","",IFERROR(INDEX(Desig_Levels,MATCH($M473,Desig_Codes,0)),""))</f>
        <v/>
      </c>
      <c r="P473" s="12" t="n"/>
      <c r="Q473" s="12" t="n"/>
      <c r="R473" s="12" t="n"/>
      <c r="S473" s="13">
        <f>IF($R473="","",IFERROR(INDEX(Emp_Names,MATCH($R473,Emp_Codes,0)),"NOT FOUND"))</f>
        <v/>
      </c>
      <c r="T473" s="12" t="n"/>
      <c r="U473" s="12" t="n"/>
      <c r="V473" s="12" t="n"/>
    </row>
    <row r="474">
      <c r="A474" s="12" t="n"/>
      <c r="B474" s="12" t="n"/>
      <c r="C474" s="12" t="n"/>
      <c r="D474" s="13">
        <f>IF($A474="","",TRIM($B474&amp;" "&amp;$C474))</f>
        <v/>
      </c>
      <c r="E474" s="12" t="n"/>
      <c r="F474" s="12" t="n"/>
      <c r="G474" s="14" t="n"/>
      <c r="H474" s="14" t="n"/>
      <c r="I474" s="12" t="n"/>
      <c r="J474" s="14" t="n"/>
      <c r="K474" s="12" t="n"/>
      <c r="L474" s="13">
        <f>IF($K474="","",IFERROR(INDEX(Dept_Names,MATCH($K474,Dept_Codes,0)),"NOT FOUND"))</f>
        <v/>
      </c>
      <c r="M474" s="12" t="n"/>
      <c r="N474" s="13">
        <f>IF($M474="","",IFERROR(INDEX(Desig_Names,MATCH($M474,Desig_Codes,0)),"NOT FOUND"))</f>
        <v/>
      </c>
      <c r="O474" s="13">
        <f>IF($M474="","",IFERROR(INDEX(Desig_Levels,MATCH($M474,Desig_Codes,0)),""))</f>
        <v/>
      </c>
      <c r="P474" s="12" t="n"/>
      <c r="Q474" s="12" t="n"/>
      <c r="R474" s="12" t="n"/>
      <c r="S474" s="13">
        <f>IF($R474="","",IFERROR(INDEX(Emp_Names,MATCH($R474,Emp_Codes,0)),"NOT FOUND"))</f>
        <v/>
      </c>
      <c r="T474" s="12" t="n"/>
      <c r="U474" s="12" t="n"/>
      <c r="V474" s="12" t="n"/>
    </row>
    <row r="475">
      <c r="A475" s="12" t="n"/>
      <c r="B475" s="12" t="n"/>
      <c r="C475" s="12" t="n"/>
      <c r="D475" s="13">
        <f>IF($A475="","",TRIM($B475&amp;" "&amp;$C475))</f>
        <v/>
      </c>
      <c r="E475" s="12" t="n"/>
      <c r="F475" s="12" t="n"/>
      <c r="G475" s="14" t="n"/>
      <c r="H475" s="14" t="n"/>
      <c r="I475" s="12" t="n"/>
      <c r="J475" s="14" t="n"/>
      <c r="K475" s="12" t="n"/>
      <c r="L475" s="13">
        <f>IF($K475="","",IFERROR(INDEX(Dept_Names,MATCH($K475,Dept_Codes,0)),"NOT FOUND"))</f>
        <v/>
      </c>
      <c r="M475" s="12" t="n"/>
      <c r="N475" s="13">
        <f>IF($M475="","",IFERROR(INDEX(Desig_Names,MATCH($M475,Desig_Codes,0)),"NOT FOUND"))</f>
        <v/>
      </c>
      <c r="O475" s="13">
        <f>IF($M475="","",IFERROR(INDEX(Desig_Levels,MATCH($M475,Desig_Codes,0)),""))</f>
        <v/>
      </c>
      <c r="P475" s="12" t="n"/>
      <c r="Q475" s="12" t="n"/>
      <c r="R475" s="12" t="n"/>
      <c r="S475" s="13">
        <f>IF($R475="","",IFERROR(INDEX(Emp_Names,MATCH($R475,Emp_Codes,0)),"NOT FOUND"))</f>
        <v/>
      </c>
      <c r="T475" s="12" t="n"/>
      <c r="U475" s="12" t="n"/>
      <c r="V475" s="12" t="n"/>
    </row>
    <row r="476">
      <c r="A476" s="12" t="n"/>
      <c r="B476" s="12" t="n"/>
      <c r="C476" s="12" t="n"/>
      <c r="D476" s="13">
        <f>IF($A476="","",TRIM($B476&amp;" "&amp;$C476))</f>
        <v/>
      </c>
      <c r="E476" s="12" t="n"/>
      <c r="F476" s="12" t="n"/>
      <c r="G476" s="14" t="n"/>
      <c r="H476" s="14" t="n"/>
      <c r="I476" s="12" t="n"/>
      <c r="J476" s="14" t="n"/>
      <c r="K476" s="12" t="n"/>
      <c r="L476" s="13">
        <f>IF($K476="","",IFERROR(INDEX(Dept_Names,MATCH($K476,Dept_Codes,0)),"NOT FOUND"))</f>
        <v/>
      </c>
      <c r="M476" s="12" t="n"/>
      <c r="N476" s="13">
        <f>IF($M476="","",IFERROR(INDEX(Desig_Names,MATCH($M476,Desig_Codes,0)),"NOT FOUND"))</f>
        <v/>
      </c>
      <c r="O476" s="13">
        <f>IF($M476="","",IFERROR(INDEX(Desig_Levels,MATCH($M476,Desig_Codes,0)),""))</f>
        <v/>
      </c>
      <c r="P476" s="12" t="n"/>
      <c r="Q476" s="12" t="n"/>
      <c r="R476" s="12" t="n"/>
      <c r="S476" s="13">
        <f>IF($R476="","",IFERROR(INDEX(Emp_Names,MATCH($R476,Emp_Codes,0)),"NOT FOUND"))</f>
        <v/>
      </c>
      <c r="T476" s="12" t="n"/>
      <c r="U476" s="12" t="n"/>
      <c r="V476" s="12" t="n"/>
    </row>
    <row r="477">
      <c r="A477" s="12" t="n"/>
      <c r="B477" s="12" t="n"/>
      <c r="C477" s="12" t="n"/>
      <c r="D477" s="13">
        <f>IF($A477="","",TRIM($B477&amp;" "&amp;$C477))</f>
        <v/>
      </c>
      <c r="E477" s="12" t="n"/>
      <c r="F477" s="12" t="n"/>
      <c r="G477" s="14" t="n"/>
      <c r="H477" s="14" t="n"/>
      <c r="I477" s="12" t="n"/>
      <c r="J477" s="14" t="n"/>
      <c r="K477" s="12" t="n"/>
      <c r="L477" s="13">
        <f>IF($K477="","",IFERROR(INDEX(Dept_Names,MATCH($K477,Dept_Codes,0)),"NOT FOUND"))</f>
        <v/>
      </c>
      <c r="M477" s="12" t="n"/>
      <c r="N477" s="13">
        <f>IF($M477="","",IFERROR(INDEX(Desig_Names,MATCH($M477,Desig_Codes,0)),"NOT FOUND"))</f>
        <v/>
      </c>
      <c r="O477" s="13">
        <f>IF($M477="","",IFERROR(INDEX(Desig_Levels,MATCH($M477,Desig_Codes,0)),""))</f>
        <v/>
      </c>
      <c r="P477" s="12" t="n"/>
      <c r="Q477" s="12" t="n"/>
      <c r="R477" s="12" t="n"/>
      <c r="S477" s="13">
        <f>IF($R477="","",IFERROR(INDEX(Emp_Names,MATCH($R477,Emp_Codes,0)),"NOT FOUND"))</f>
        <v/>
      </c>
      <c r="T477" s="12" t="n"/>
      <c r="U477" s="12" t="n"/>
      <c r="V477" s="12" t="n"/>
    </row>
    <row r="478">
      <c r="A478" s="12" t="n"/>
      <c r="B478" s="12" t="n"/>
      <c r="C478" s="12" t="n"/>
      <c r="D478" s="13">
        <f>IF($A478="","",TRIM($B478&amp;" "&amp;$C478))</f>
        <v/>
      </c>
      <c r="E478" s="12" t="n"/>
      <c r="F478" s="12" t="n"/>
      <c r="G478" s="14" t="n"/>
      <c r="H478" s="14" t="n"/>
      <c r="I478" s="12" t="n"/>
      <c r="J478" s="14" t="n"/>
      <c r="K478" s="12" t="n"/>
      <c r="L478" s="13">
        <f>IF($K478="","",IFERROR(INDEX(Dept_Names,MATCH($K478,Dept_Codes,0)),"NOT FOUND"))</f>
        <v/>
      </c>
      <c r="M478" s="12" t="n"/>
      <c r="N478" s="13">
        <f>IF($M478="","",IFERROR(INDEX(Desig_Names,MATCH($M478,Desig_Codes,0)),"NOT FOUND"))</f>
        <v/>
      </c>
      <c r="O478" s="13">
        <f>IF($M478="","",IFERROR(INDEX(Desig_Levels,MATCH($M478,Desig_Codes,0)),""))</f>
        <v/>
      </c>
      <c r="P478" s="12" t="n"/>
      <c r="Q478" s="12" t="n"/>
      <c r="R478" s="12" t="n"/>
      <c r="S478" s="13">
        <f>IF($R478="","",IFERROR(INDEX(Emp_Names,MATCH($R478,Emp_Codes,0)),"NOT FOUND"))</f>
        <v/>
      </c>
      <c r="T478" s="12" t="n"/>
      <c r="U478" s="12" t="n"/>
      <c r="V478" s="12" t="n"/>
    </row>
    <row r="479">
      <c r="A479" s="12" t="n"/>
      <c r="B479" s="12" t="n"/>
      <c r="C479" s="12" t="n"/>
      <c r="D479" s="13">
        <f>IF($A479="","",TRIM($B479&amp;" "&amp;$C479))</f>
        <v/>
      </c>
      <c r="E479" s="12" t="n"/>
      <c r="F479" s="12" t="n"/>
      <c r="G479" s="14" t="n"/>
      <c r="H479" s="14" t="n"/>
      <c r="I479" s="12" t="n"/>
      <c r="J479" s="14" t="n"/>
      <c r="K479" s="12" t="n"/>
      <c r="L479" s="13">
        <f>IF($K479="","",IFERROR(INDEX(Dept_Names,MATCH($K479,Dept_Codes,0)),"NOT FOUND"))</f>
        <v/>
      </c>
      <c r="M479" s="12" t="n"/>
      <c r="N479" s="13">
        <f>IF($M479="","",IFERROR(INDEX(Desig_Names,MATCH($M479,Desig_Codes,0)),"NOT FOUND"))</f>
        <v/>
      </c>
      <c r="O479" s="13">
        <f>IF($M479="","",IFERROR(INDEX(Desig_Levels,MATCH($M479,Desig_Codes,0)),""))</f>
        <v/>
      </c>
      <c r="P479" s="12" t="n"/>
      <c r="Q479" s="12" t="n"/>
      <c r="R479" s="12" t="n"/>
      <c r="S479" s="13">
        <f>IF($R479="","",IFERROR(INDEX(Emp_Names,MATCH($R479,Emp_Codes,0)),"NOT FOUND"))</f>
        <v/>
      </c>
      <c r="T479" s="12" t="n"/>
      <c r="U479" s="12" t="n"/>
      <c r="V479" s="12" t="n"/>
    </row>
    <row r="480">
      <c r="A480" s="12" t="n"/>
      <c r="B480" s="12" t="n"/>
      <c r="C480" s="12" t="n"/>
      <c r="D480" s="13">
        <f>IF($A480="","",TRIM($B480&amp;" "&amp;$C480))</f>
        <v/>
      </c>
      <c r="E480" s="12" t="n"/>
      <c r="F480" s="12" t="n"/>
      <c r="G480" s="14" t="n"/>
      <c r="H480" s="14" t="n"/>
      <c r="I480" s="12" t="n"/>
      <c r="J480" s="14" t="n"/>
      <c r="K480" s="12" t="n"/>
      <c r="L480" s="13">
        <f>IF($K480="","",IFERROR(INDEX(Dept_Names,MATCH($K480,Dept_Codes,0)),"NOT FOUND"))</f>
        <v/>
      </c>
      <c r="M480" s="12" t="n"/>
      <c r="N480" s="13">
        <f>IF($M480="","",IFERROR(INDEX(Desig_Names,MATCH($M480,Desig_Codes,0)),"NOT FOUND"))</f>
        <v/>
      </c>
      <c r="O480" s="13">
        <f>IF($M480="","",IFERROR(INDEX(Desig_Levels,MATCH($M480,Desig_Codes,0)),""))</f>
        <v/>
      </c>
      <c r="P480" s="12" t="n"/>
      <c r="Q480" s="12" t="n"/>
      <c r="R480" s="12" t="n"/>
      <c r="S480" s="13">
        <f>IF($R480="","",IFERROR(INDEX(Emp_Names,MATCH($R480,Emp_Codes,0)),"NOT FOUND"))</f>
        <v/>
      </c>
      <c r="T480" s="12" t="n"/>
      <c r="U480" s="12" t="n"/>
      <c r="V480" s="12" t="n"/>
    </row>
    <row r="481">
      <c r="A481" s="12" t="n"/>
      <c r="B481" s="12" t="n"/>
      <c r="C481" s="12" t="n"/>
      <c r="D481" s="13">
        <f>IF($A481="","",TRIM($B481&amp;" "&amp;$C481))</f>
        <v/>
      </c>
      <c r="E481" s="12" t="n"/>
      <c r="F481" s="12" t="n"/>
      <c r="G481" s="14" t="n"/>
      <c r="H481" s="14" t="n"/>
      <c r="I481" s="12" t="n"/>
      <c r="J481" s="14" t="n"/>
      <c r="K481" s="12" t="n"/>
      <c r="L481" s="13">
        <f>IF($K481="","",IFERROR(INDEX(Dept_Names,MATCH($K481,Dept_Codes,0)),"NOT FOUND"))</f>
        <v/>
      </c>
      <c r="M481" s="12" t="n"/>
      <c r="N481" s="13">
        <f>IF($M481="","",IFERROR(INDEX(Desig_Names,MATCH($M481,Desig_Codes,0)),"NOT FOUND"))</f>
        <v/>
      </c>
      <c r="O481" s="13">
        <f>IF($M481="","",IFERROR(INDEX(Desig_Levels,MATCH($M481,Desig_Codes,0)),""))</f>
        <v/>
      </c>
      <c r="P481" s="12" t="n"/>
      <c r="Q481" s="12" t="n"/>
      <c r="R481" s="12" t="n"/>
      <c r="S481" s="13">
        <f>IF($R481="","",IFERROR(INDEX(Emp_Names,MATCH($R481,Emp_Codes,0)),"NOT FOUND"))</f>
        <v/>
      </c>
      <c r="T481" s="12" t="n"/>
      <c r="U481" s="12" t="n"/>
      <c r="V481" s="12" t="n"/>
    </row>
    <row r="482">
      <c r="A482" s="12" t="n"/>
      <c r="B482" s="12" t="n"/>
      <c r="C482" s="12" t="n"/>
      <c r="D482" s="13">
        <f>IF($A482="","",TRIM($B482&amp;" "&amp;$C482))</f>
        <v/>
      </c>
      <c r="E482" s="12" t="n"/>
      <c r="F482" s="12" t="n"/>
      <c r="G482" s="14" t="n"/>
      <c r="H482" s="14" t="n"/>
      <c r="I482" s="12" t="n"/>
      <c r="J482" s="14" t="n"/>
      <c r="K482" s="12" t="n"/>
      <c r="L482" s="13">
        <f>IF($K482="","",IFERROR(INDEX(Dept_Names,MATCH($K482,Dept_Codes,0)),"NOT FOUND"))</f>
        <v/>
      </c>
      <c r="M482" s="12" t="n"/>
      <c r="N482" s="13">
        <f>IF($M482="","",IFERROR(INDEX(Desig_Names,MATCH($M482,Desig_Codes,0)),"NOT FOUND"))</f>
        <v/>
      </c>
      <c r="O482" s="13">
        <f>IF($M482="","",IFERROR(INDEX(Desig_Levels,MATCH($M482,Desig_Codes,0)),""))</f>
        <v/>
      </c>
      <c r="P482" s="12" t="n"/>
      <c r="Q482" s="12" t="n"/>
      <c r="R482" s="12" t="n"/>
      <c r="S482" s="13">
        <f>IF($R482="","",IFERROR(INDEX(Emp_Names,MATCH($R482,Emp_Codes,0)),"NOT FOUND"))</f>
        <v/>
      </c>
      <c r="T482" s="12" t="n"/>
      <c r="U482" s="12" t="n"/>
      <c r="V482" s="12" t="n"/>
    </row>
    <row r="483">
      <c r="A483" s="12" t="n"/>
      <c r="B483" s="12" t="n"/>
      <c r="C483" s="12" t="n"/>
      <c r="D483" s="13">
        <f>IF($A483="","",TRIM($B483&amp;" "&amp;$C483))</f>
        <v/>
      </c>
      <c r="E483" s="12" t="n"/>
      <c r="F483" s="12" t="n"/>
      <c r="G483" s="14" t="n"/>
      <c r="H483" s="14" t="n"/>
      <c r="I483" s="12" t="n"/>
      <c r="J483" s="14" t="n"/>
      <c r="K483" s="12" t="n"/>
      <c r="L483" s="13">
        <f>IF($K483="","",IFERROR(INDEX(Dept_Names,MATCH($K483,Dept_Codes,0)),"NOT FOUND"))</f>
        <v/>
      </c>
      <c r="M483" s="12" t="n"/>
      <c r="N483" s="13">
        <f>IF($M483="","",IFERROR(INDEX(Desig_Names,MATCH($M483,Desig_Codes,0)),"NOT FOUND"))</f>
        <v/>
      </c>
      <c r="O483" s="13">
        <f>IF($M483="","",IFERROR(INDEX(Desig_Levels,MATCH($M483,Desig_Codes,0)),""))</f>
        <v/>
      </c>
      <c r="P483" s="12" t="n"/>
      <c r="Q483" s="12" t="n"/>
      <c r="R483" s="12" t="n"/>
      <c r="S483" s="13">
        <f>IF($R483="","",IFERROR(INDEX(Emp_Names,MATCH($R483,Emp_Codes,0)),"NOT FOUND"))</f>
        <v/>
      </c>
      <c r="T483" s="12" t="n"/>
      <c r="U483" s="12" t="n"/>
      <c r="V483" s="12" t="n"/>
    </row>
    <row r="484">
      <c r="A484" s="12" t="n"/>
      <c r="B484" s="12" t="n"/>
      <c r="C484" s="12" t="n"/>
      <c r="D484" s="13">
        <f>IF($A484="","",TRIM($B484&amp;" "&amp;$C484))</f>
        <v/>
      </c>
      <c r="E484" s="12" t="n"/>
      <c r="F484" s="12" t="n"/>
      <c r="G484" s="14" t="n"/>
      <c r="H484" s="14" t="n"/>
      <c r="I484" s="12" t="n"/>
      <c r="J484" s="14" t="n"/>
      <c r="K484" s="12" t="n"/>
      <c r="L484" s="13">
        <f>IF($K484="","",IFERROR(INDEX(Dept_Names,MATCH($K484,Dept_Codes,0)),"NOT FOUND"))</f>
        <v/>
      </c>
      <c r="M484" s="12" t="n"/>
      <c r="N484" s="13">
        <f>IF($M484="","",IFERROR(INDEX(Desig_Names,MATCH($M484,Desig_Codes,0)),"NOT FOUND"))</f>
        <v/>
      </c>
      <c r="O484" s="13">
        <f>IF($M484="","",IFERROR(INDEX(Desig_Levels,MATCH($M484,Desig_Codes,0)),""))</f>
        <v/>
      </c>
      <c r="P484" s="12" t="n"/>
      <c r="Q484" s="12" t="n"/>
      <c r="R484" s="12" t="n"/>
      <c r="S484" s="13">
        <f>IF($R484="","",IFERROR(INDEX(Emp_Names,MATCH($R484,Emp_Codes,0)),"NOT FOUND"))</f>
        <v/>
      </c>
      <c r="T484" s="12" t="n"/>
      <c r="U484" s="12" t="n"/>
      <c r="V484" s="12" t="n"/>
    </row>
    <row r="485">
      <c r="A485" s="12" t="n"/>
      <c r="B485" s="12" t="n"/>
      <c r="C485" s="12" t="n"/>
      <c r="D485" s="13">
        <f>IF($A485="","",TRIM($B485&amp;" "&amp;$C485))</f>
        <v/>
      </c>
      <c r="E485" s="12" t="n"/>
      <c r="F485" s="12" t="n"/>
      <c r="G485" s="14" t="n"/>
      <c r="H485" s="14" t="n"/>
      <c r="I485" s="12" t="n"/>
      <c r="J485" s="14" t="n"/>
      <c r="K485" s="12" t="n"/>
      <c r="L485" s="13">
        <f>IF($K485="","",IFERROR(INDEX(Dept_Names,MATCH($K485,Dept_Codes,0)),"NOT FOUND"))</f>
        <v/>
      </c>
      <c r="M485" s="12" t="n"/>
      <c r="N485" s="13">
        <f>IF($M485="","",IFERROR(INDEX(Desig_Names,MATCH($M485,Desig_Codes,0)),"NOT FOUND"))</f>
        <v/>
      </c>
      <c r="O485" s="13">
        <f>IF($M485="","",IFERROR(INDEX(Desig_Levels,MATCH($M485,Desig_Codes,0)),""))</f>
        <v/>
      </c>
      <c r="P485" s="12" t="n"/>
      <c r="Q485" s="12" t="n"/>
      <c r="R485" s="12" t="n"/>
      <c r="S485" s="13">
        <f>IF($R485="","",IFERROR(INDEX(Emp_Names,MATCH($R485,Emp_Codes,0)),"NOT FOUND"))</f>
        <v/>
      </c>
      <c r="T485" s="12" t="n"/>
      <c r="U485" s="12" t="n"/>
      <c r="V485" s="12" t="n"/>
    </row>
    <row r="486">
      <c r="A486" s="12" t="n"/>
      <c r="B486" s="12" t="n"/>
      <c r="C486" s="12" t="n"/>
      <c r="D486" s="13">
        <f>IF($A486="","",TRIM($B486&amp;" "&amp;$C486))</f>
        <v/>
      </c>
      <c r="E486" s="12" t="n"/>
      <c r="F486" s="12" t="n"/>
      <c r="G486" s="14" t="n"/>
      <c r="H486" s="14" t="n"/>
      <c r="I486" s="12" t="n"/>
      <c r="J486" s="14" t="n"/>
      <c r="K486" s="12" t="n"/>
      <c r="L486" s="13">
        <f>IF($K486="","",IFERROR(INDEX(Dept_Names,MATCH($K486,Dept_Codes,0)),"NOT FOUND"))</f>
        <v/>
      </c>
      <c r="M486" s="12" t="n"/>
      <c r="N486" s="13">
        <f>IF($M486="","",IFERROR(INDEX(Desig_Names,MATCH($M486,Desig_Codes,0)),"NOT FOUND"))</f>
        <v/>
      </c>
      <c r="O486" s="13">
        <f>IF($M486="","",IFERROR(INDEX(Desig_Levels,MATCH($M486,Desig_Codes,0)),""))</f>
        <v/>
      </c>
      <c r="P486" s="12" t="n"/>
      <c r="Q486" s="12" t="n"/>
      <c r="R486" s="12" t="n"/>
      <c r="S486" s="13">
        <f>IF($R486="","",IFERROR(INDEX(Emp_Names,MATCH($R486,Emp_Codes,0)),"NOT FOUND"))</f>
        <v/>
      </c>
      <c r="T486" s="12" t="n"/>
      <c r="U486" s="12" t="n"/>
      <c r="V486" s="12" t="n"/>
    </row>
    <row r="487">
      <c r="A487" s="12" t="n"/>
      <c r="B487" s="12" t="n"/>
      <c r="C487" s="12" t="n"/>
      <c r="D487" s="13">
        <f>IF($A487="","",TRIM($B487&amp;" "&amp;$C487))</f>
        <v/>
      </c>
      <c r="E487" s="12" t="n"/>
      <c r="F487" s="12" t="n"/>
      <c r="G487" s="14" t="n"/>
      <c r="H487" s="14" t="n"/>
      <c r="I487" s="12" t="n"/>
      <c r="J487" s="14" t="n"/>
      <c r="K487" s="12" t="n"/>
      <c r="L487" s="13">
        <f>IF($K487="","",IFERROR(INDEX(Dept_Names,MATCH($K487,Dept_Codes,0)),"NOT FOUND"))</f>
        <v/>
      </c>
      <c r="M487" s="12" t="n"/>
      <c r="N487" s="13">
        <f>IF($M487="","",IFERROR(INDEX(Desig_Names,MATCH($M487,Desig_Codes,0)),"NOT FOUND"))</f>
        <v/>
      </c>
      <c r="O487" s="13">
        <f>IF($M487="","",IFERROR(INDEX(Desig_Levels,MATCH($M487,Desig_Codes,0)),""))</f>
        <v/>
      </c>
      <c r="P487" s="12" t="n"/>
      <c r="Q487" s="12" t="n"/>
      <c r="R487" s="12" t="n"/>
      <c r="S487" s="13">
        <f>IF($R487="","",IFERROR(INDEX(Emp_Names,MATCH($R487,Emp_Codes,0)),"NOT FOUND"))</f>
        <v/>
      </c>
      <c r="T487" s="12" t="n"/>
      <c r="U487" s="12" t="n"/>
      <c r="V487" s="12" t="n"/>
    </row>
    <row r="488">
      <c r="A488" s="12" t="n"/>
      <c r="B488" s="12" t="n"/>
      <c r="C488" s="12" t="n"/>
      <c r="D488" s="13">
        <f>IF($A488="","",TRIM($B488&amp;" "&amp;$C488))</f>
        <v/>
      </c>
      <c r="E488" s="12" t="n"/>
      <c r="F488" s="12" t="n"/>
      <c r="G488" s="14" t="n"/>
      <c r="H488" s="14" t="n"/>
      <c r="I488" s="12" t="n"/>
      <c r="J488" s="14" t="n"/>
      <c r="K488" s="12" t="n"/>
      <c r="L488" s="13">
        <f>IF($K488="","",IFERROR(INDEX(Dept_Names,MATCH($K488,Dept_Codes,0)),"NOT FOUND"))</f>
        <v/>
      </c>
      <c r="M488" s="12" t="n"/>
      <c r="N488" s="13">
        <f>IF($M488="","",IFERROR(INDEX(Desig_Names,MATCH($M488,Desig_Codes,0)),"NOT FOUND"))</f>
        <v/>
      </c>
      <c r="O488" s="13">
        <f>IF($M488="","",IFERROR(INDEX(Desig_Levels,MATCH($M488,Desig_Codes,0)),""))</f>
        <v/>
      </c>
      <c r="P488" s="12" t="n"/>
      <c r="Q488" s="12" t="n"/>
      <c r="R488" s="12" t="n"/>
      <c r="S488" s="13">
        <f>IF($R488="","",IFERROR(INDEX(Emp_Names,MATCH($R488,Emp_Codes,0)),"NOT FOUND"))</f>
        <v/>
      </c>
      <c r="T488" s="12" t="n"/>
      <c r="U488" s="12" t="n"/>
      <c r="V488" s="12" t="n"/>
    </row>
    <row r="489">
      <c r="A489" s="12" t="n"/>
      <c r="B489" s="12" t="n"/>
      <c r="C489" s="12" t="n"/>
      <c r="D489" s="13">
        <f>IF($A489="","",TRIM($B489&amp;" "&amp;$C489))</f>
        <v/>
      </c>
      <c r="E489" s="12" t="n"/>
      <c r="F489" s="12" t="n"/>
      <c r="G489" s="14" t="n"/>
      <c r="H489" s="14" t="n"/>
      <c r="I489" s="12" t="n"/>
      <c r="J489" s="14" t="n"/>
      <c r="K489" s="12" t="n"/>
      <c r="L489" s="13">
        <f>IF($K489="","",IFERROR(INDEX(Dept_Names,MATCH($K489,Dept_Codes,0)),"NOT FOUND"))</f>
        <v/>
      </c>
      <c r="M489" s="12" t="n"/>
      <c r="N489" s="13">
        <f>IF($M489="","",IFERROR(INDEX(Desig_Names,MATCH($M489,Desig_Codes,0)),"NOT FOUND"))</f>
        <v/>
      </c>
      <c r="O489" s="13">
        <f>IF($M489="","",IFERROR(INDEX(Desig_Levels,MATCH($M489,Desig_Codes,0)),""))</f>
        <v/>
      </c>
      <c r="P489" s="12" t="n"/>
      <c r="Q489" s="12" t="n"/>
      <c r="R489" s="12" t="n"/>
      <c r="S489" s="13">
        <f>IF($R489="","",IFERROR(INDEX(Emp_Names,MATCH($R489,Emp_Codes,0)),"NOT FOUND"))</f>
        <v/>
      </c>
      <c r="T489" s="12" t="n"/>
      <c r="U489" s="12" t="n"/>
      <c r="V489" s="12" t="n"/>
    </row>
    <row r="490">
      <c r="A490" s="12" t="n"/>
      <c r="B490" s="12" t="n"/>
      <c r="C490" s="12" t="n"/>
      <c r="D490" s="13">
        <f>IF($A490="","",TRIM($B490&amp;" "&amp;$C490))</f>
        <v/>
      </c>
      <c r="E490" s="12" t="n"/>
      <c r="F490" s="12" t="n"/>
      <c r="G490" s="14" t="n"/>
      <c r="H490" s="14" t="n"/>
      <c r="I490" s="12" t="n"/>
      <c r="J490" s="14" t="n"/>
      <c r="K490" s="12" t="n"/>
      <c r="L490" s="13">
        <f>IF($K490="","",IFERROR(INDEX(Dept_Names,MATCH($K490,Dept_Codes,0)),"NOT FOUND"))</f>
        <v/>
      </c>
      <c r="M490" s="12" t="n"/>
      <c r="N490" s="13">
        <f>IF($M490="","",IFERROR(INDEX(Desig_Names,MATCH($M490,Desig_Codes,0)),"NOT FOUND"))</f>
        <v/>
      </c>
      <c r="O490" s="13">
        <f>IF($M490="","",IFERROR(INDEX(Desig_Levels,MATCH($M490,Desig_Codes,0)),""))</f>
        <v/>
      </c>
      <c r="P490" s="12" t="n"/>
      <c r="Q490" s="12" t="n"/>
      <c r="R490" s="12" t="n"/>
      <c r="S490" s="13">
        <f>IF($R490="","",IFERROR(INDEX(Emp_Names,MATCH($R490,Emp_Codes,0)),"NOT FOUND"))</f>
        <v/>
      </c>
      <c r="T490" s="12" t="n"/>
      <c r="U490" s="12" t="n"/>
      <c r="V490" s="12" t="n"/>
    </row>
    <row r="491">
      <c r="A491" s="12" t="n"/>
      <c r="B491" s="12" t="n"/>
      <c r="C491" s="12" t="n"/>
      <c r="D491" s="13">
        <f>IF($A491="","",TRIM($B491&amp;" "&amp;$C491))</f>
        <v/>
      </c>
      <c r="E491" s="12" t="n"/>
      <c r="F491" s="12" t="n"/>
      <c r="G491" s="14" t="n"/>
      <c r="H491" s="14" t="n"/>
      <c r="I491" s="12" t="n"/>
      <c r="J491" s="14" t="n"/>
      <c r="K491" s="12" t="n"/>
      <c r="L491" s="13">
        <f>IF($K491="","",IFERROR(INDEX(Dept_Names,MATCH($K491,Dept_Codes,0)),"NOT FOUND"))</f>
        <v/>
      </c>
      <c r="M491" s="12" t="n"/>
      <c r="N491" s="13">
        <f>IF($M491="","",IFERROR(INDEX(Desig_Names,MATCH($M491,Desig_Codes,0)),"NOT FOUND"))</f>
        <v/>
      </c>
      <c r="O491" s="13">
        <f>IF($M491="","",IFERROR(INDEX(Desig_Levels,MATCH($M491,Desig_Codes,0)),""))</f>
        <v/>
      </c>
      <c r="P491" s="12" t="n"/>
      <c r="Q491" s="12" t="n"/>
      <c r="R491" s="12" t="n"/>
      <c r="S491" s="13">
        <f>IF($R491="","",IFERROR(INDEX(Emp_Names,MATCH($R491,Emp_Codes,0)),"NOT FOUND"))</f>
        <v/>
      </c>
      <c r="T491" s="12" t="n"/>
      <c r="U491" s="12" t="n"/>
      <c r="V491" s="12" t="n"/>
    </row>
    <row r="492">
      <c r="A492" s="12" t="n"/>
      <c r="B492" s="12" t="n"/>
      <c r="C492" s="12" t="n"/>
      <c r="D492" s="13">
        <f>IF($A492="","",TRIM($B492&amp;" "&amp;$C492))</f>
        <v/>
      </c>
      <c r="E492" s="12" t="n"/>
      <c r="F492" s="12" t="n"/>
      <c r="G492" s="14" t="n"/>
      <c r="H492" s="14" t="n"/>
      <c r="I492" s="12" t="n"/>
      <c r="J492" s="14" t="n"/>
      <c r="K492" s="12" t="n"/>
      <c r="L492" s="13">
        <f>IF($K492="","",IFERROR(INDEX(Dept_Names,MATCH($K492,Dept_Codes,0)),"NOT FOUND"))</f>
        <v/>
      </c>
      <c r="M492" s="12" t="n"/>
      <c r="N492" s="13">
        <f>IF($M492="","",IFERROR(INDEX(Desig_Names,MATCH($M492,Desig_Codes,0)),"NOT FOUND"))</f>
        <v/>
      </c>
      <c r="O492" s="13">
        <f>IF($M492="","",IFERROR(INDEX(Desig_Levels,MATCH($M492,Desig_Codes,0)),""))</f>
        <v/>
      </c>
      <c r="P492" s="12" t="n"/>
      <c r="Q492" s="12" t="n"/>
      <c r="R492" s="12" t="n"/>
      <c r="S492" s="13">
        <f>IF($R492="","",IFERROR(INDEX(Emp_Names,MATCH($R492,Emp_Codes,0)),"NOT FOUND"))</f>
        <v/>
      </c>
      <c r="T492" s="12" t="n"/>
      <c r="U492" s="12" t="n"/>
      <c r="V492" s="12" t="n"/>
    </row>
    <row r="493">
      <c r="A493" s="12" t="n"/>
      <c r="B493" s="12" t="n"/>
      <c r="C493" s="12" t="n"/>
      <c r="D493" s="13">
        <f>IF($A493="","",TRIM($B493&amp;" "&amp;$C493))</f>
        <v/>
      </c>
      <c r="E493" s="12" t="n"/>
      <c r="F493" s="12" t="n"/>
      <c r="G493" s="14" t="n"/>
      <c r="H493" s="14" t="n"/>
      <c r="I493" s="12" t="n"/>
      <c r="J493" s="14" t="n"/>
      <c r="K493" s="12" t="n"/>
      <c r="L493" s="13">
        <f>IF($K493="","",IFERROR(INDEX(Dept_Names,MATCH($K493,Dept_Codes,0)),"NOT FOUND"))</f>
        <v/>
      </c>
      <c r="M493" s="12" t="n"/>
      <c r="N493" s="13">
        <f>IF($M493="","",IFERROR(INDEX(Desig_Names,MATCH($M493,Desig_Codes,0)),"NOT FOUND"))</f>
        <v/>
      </c>
      <c r="O493" s="13">
        <f>IF($M493="","",IFERROR(INDEX(Desig_Levels,MATCH($M493,Desig_Codes,0)),""))</f>
        <v/>
      </c>
      <c r="P493" s="12" t="n"/>
      <c r="Q493" s="12" t="n"/>
      <c r="R493" s="12" t="n"/>
      <c r="S493" s="13">
        <f>IF($R493="","",IFERROR(INDEX(Emp_Names,MATCH($R493,Emp_Codes,0)),"NOT FOUND"))</f>
        <v/>
      </c>
      <c r="T493" s="12" t="n"/>
      <c r="U493" s="12" t="n"/>
      <c r="V493" s="12" t="n"/>
    </row>
    <row r="494">
      <c r="A494" s="12" t="n"/>
      <c r="B494" s="12" t="n"/>
      <c r="C494" s="12" t="n"/>
      <c r="D494" s="13">
        <f>IF($A494="","",TRIM($B494&amp;" "&amp;$C494))</f>
        <v/>
      </c>
      <c r="E494" s="12" t="n"/>
      <c r="F494" s="12" t="n"/>
      <c r="G494" s="14" t="n"/>
      <c r="H494" s="14" t="n"/>
      <c r="I494" s="12" t="n"/>
      <c r="J494" s="14" t="n"/>
      <c r="K494" s="12" t="n"/>
      <c r="L494" s="13">
        <f>IF($K494="","",IFERROR(INDEX(Dept_Names,MATCH($K494,Dept_Codes,0)),"NOT FOUND"))</f>
        <v/>
      </c>
      <c r="M494" s="12" t="n"/>
      <c r="N494" s="13">
        <f>IF($M494="","",IFERROR(INDEX(Desig_Names,MATCH($M494,Desig_Codes,0)),"NOT FOUND"))</f>
        <v/>
      </c>
      <c r="O494" s="13">
        <f>IF($M494="","",IFERROR(INDEX(Desig_Levels,MATCH($M494,Desig_Codes,0)),""))</f>
        <v/>
      </c>
      <c r="P494" s="12" t="n"/>
      <c r="Q494" s="12" t="n"/>
      <c r="R494" s="12" t="n"/>
      <c r="S494" s="13">
        <f>IF($R494="","",IFERROR(INDEX(Emp_Names,MATCH($R494,Emp_Codes,0)),"NOT FOUND"))</f>
        <v/>
      </c>
      <c r="T494" s="12" t="n"/>
      <c r="U494" s="12" t="n"/>
      <c r="V494" s="12" t="n"/>
    </row>
    <row r="495">
      <c r="A495" s="12" t="n"/>
      <c r="B495" s="12" t="n"/>
      <c r="C495" s="12" t="n"/>
      <c r="D495" s="13">
        <f>IF($A495="","",TRIM($B495&amp;" "&amp;$C495))</f>
        <v/>
      </c>
      <c r="E495" s="12" t="n"/>
      <c r="F495" s="12" t="n"/>
      <c r="G495" s="14" t="n"/>
      <c r="H495" s="14" t="n"/>
      <c r="I495" s="12" t="n"/>
      <c r="J495" s="14" t="n"/>
      <c r="K495" s="12" t="n"/>
      <c r="L495" s="13">
        <f>IF($K495="","",IFERROR(INDEX(Dept_Names,MATCH($K495,Dept_Codes,0)),"NOT FOUND"))</f>
        <v/>
      </c>
      <c r="M495" s="12" t="n"/>
      <c r="N495" s="13">
        <f>IF($M495="","",IFERROR(INDEX(Desig_Names,MATCH($M495,Desig_Codes,0)),"NOT FOUND"))</f>
        <v/>
      </c>
      <c r="O495" s="13">
        <f>IF($M495="","",IFERROR(INDEX(Desig_Levels,MATCH($M495,Desig_Codes,0)),""))</f>
        <v/>
      </c>
      <c r="P495" s="12" t="n"/>
      <c r="Q495" s="12" t="n"/>
      <c r="R495" s="12" t="n"/>
      <c r="S495" s="13">
        <f>IF($R495="","",IFERROR(INDEX(Emp_Names,MATCH($R495,Emp_Codes,0)),"NOT FOUND"))</f>
        <v/>
      </c>
      <c r="T495" s="12" t="n"/>
      <c r="U495" s="12" t="n"/>
      <c r="V495" s="12" t="n"/>
    </row>
    <row r="496">
      <c r="A496" s="12" t="n"/>
      <c r="B496" s="12" t="n"/>
      <c r="C496" s="12" t="n"/>
      <c r="D496" s="13">
        <f>IF($A496="","",TRIM($B496&amp;" "&amp;$C496))</f>
        <v/>
      </c>
      <c r="E496" s="12" t="n"/>
      <c r="F496" s="12" t="n"/>
      <c r="G496" s="14" t="n"/>
      <c r="H496" s="14" t="n"/>
      <c r="I496" s="12" t="n"/>
      <c r="J496" s="14" t="n"/>
      <c r="K496" s="12" t="n"/>
      <c r="L496" s="13">
        <f>IF($K496="","",IFERROR(INDEX(Dept_Names,MATCH($K496,Dept_Codes,0)),"NOT FOUND"))</f>
        <v/>
      </c>
      <c r="M496" s="12" t="n"/>
      <c r="N496" s="13">
        <f>IF($M496="","",IFERROR(INDEX(Desig_Names,MATCH($M496,Desig_Codes,0)),"NOT FOUND"))</f>
        <v/>
      </c>
      <c r="O496" s="13">
        <f>IF($M496="","",IFERROR(INDEX(Desig_Levels,MATCH($M496,Desig_Codes,0)),""))</f>
        <v/>
      </c>
      <c r="P496" s="12" t="n"/>
      <c r="Q496" s="12" t="n"/>
      <c r="R496" s="12" t="n"/>
      <c r="S496" s="13">
        <f>IF($R496="","",IFERROR(INDEX(Emp_Names,MATCH($R496,Emp_Codes,0)),"NOT FOUND"))</f>
        <v/>
      </c>
      <c r="T496" s="12" t="n"/>
      <c r="U496" s="12" t="n"/>
      <c r="V496" s="12" t="n"/>
    </row>
    <row r="497">
      <c r="A497" s="12" t="n"/>
      <c r="B497" s="12" t="n"/>
      <c r="C497" s="12" t="n"/>
      <c r="D497" s="13">
        <f>IF($A497="","",TRIM($B497&amp;" "&amp;$C497))</f>
        <v/>
      </c>
      <c r="E497" s="12" t="n"/>
      <c r="F497" s="12" t="n"/>
      <c r="G497" s="14" t="n"/>
      <c r="H497" s="14" t="n"/>
      <c r="I497" s="12" t="n"/>
      <c r="J497" s="14" t="n"/>
      <c r="K497" s="12" t="n"/>
      <c r="L497" s="13">
        <f>IF($K497="","",IFERROR(INDEX(Dept_Names,MATCH($K497,Dept_Codes,0)),"NOT FOUND"))</f>
        <v/>
      </c>
      <c r="M497" s="12" t="n"/>
      <c r="N497" s="13">
        <f>IF($M497="","",IFERROR(INDEX(Desig_Names,MATCH($M497,Desig_Codes,0)),"NOT FOUND"))</f>
        <v/>
      </c>
      <c r="O497" s="13">
        <f>IF($M497="","",IFERROR(INDEX(Desig_Levels,MATCH($M497,Desig_Codes,0)),""))</f>
        <v/>
      </c>
      <c r="P497" s="12" t="n"/>
      <c r="Q497" s="12" t="n"/>
      <c r="R497" s="12" t="n"/>
      <c r="S497" s="13">
        <f>IF($R497="","",IFERROR(INDEX(Emp_Names,MATCH($R497,Emp_Codes,0)),"NOT FOUND"))</f>
        <v/>
      </c>
      <c r="T497" s="12" t="n"/>
      <c r="U497" s="12" t="n"/>
      <c r="V497" s="12" t="n"/>
    </row>
    <row r="498">
      <c r="A498" s="12" t="n"/>
      <c r="B498" s="12" t="n"/>
      <c r="C498" s="12" t="n"/>
      <c r="D498" s="13">
        <f>IF($A498="","",TRIM($B498&amp;" "&amp;$C498))</f>
        <v/>
      </c>
      <c r="E498" s="12" t="n"/>
      <c r="F498" s="12" t="n"/>
      <c r="G498" s="14" t="n"/>
      <c r="H498" s="14" t="n"/>
      <c r="I498" s="12" t="n"/>
      <c r="J498" s="14" t="n"/>
      <c r="K498" s="12" t="n"/>
      <c r="L498" s="13">
        <f>IF($K498="","",IFERROR(INDEX(Dept_Names,MATCH($K498,Dept_Codes,0)),"NOT FOUND"))</f>
        <v/>
      </c>
      <c r="M498" s="12" t="n"/>
      <c r="N498" s="13">
        <f>IF($M498="","",IFERROR(INDEX(Desig_Names,MATCH($M498,Desig_Codes,0)),"NOT FOUND"))</f>
        <v/>
      </c>
      <c r="O498" s="13">
        <f>IF($M498="","",IFERROR(INDEX(Desig_Levels,MATCH($M498,Desig_Codes,0)),""))</f>
        <v/>
      </c>
      <c r="P498" s="12" t="n"/>
      <c r="Q498" s="12" t="n"/>
      <c r="R498" s="12" t="n"/>
      <c r="S498" s="13">
        <f>IF($R498="","",IFERROR(INDEX(Emp_Names,MATCH($R498,Emp_Codes,0)),"NOT FOUND"))</f>
        <v/>
      </c>
      <c r="T498" s="12" t="n"/>
      <c r="U498" s="12" t="n"/>
      <c r="V498" s="12" t="n"/>
    </row>
    <row r="499">
      <c r="A499" s="12" t="n"/>
      <c r="B499" s="12" t="n"/>
      <c r="C499" s="12" t="n"/>
      <c r="D499" s="13">
        <f>IF($A499="","",TRIM($B499&amp;" "&amp;$C499))</f>
        <v/>
      </c>
      <c r="E499" s="12" t="n"/>
      <c r="F499" s="12" t="n"/>
      <c r="G499" s="14" t="n"/>
      <c r="H499" s="14" t="n"/>
      <c r="I499" s="12" t="n"/>
      <c r="J499" s="14" t="n"/>
      <c r="K499" s="12" t="n"/>
      <c r="L499" s="13">
        <f>IF($K499="","",IFERROR(INDEX(Dept_Names,MATCH($K499,Dept_Codes,0)),"NOT FOUND"))</f>
        <v/>
      </c>
      <c r="M499" s="12" t="n"/>
      <c r="N499" s="13">
        <f>IF($M499="","",IFERROR(INDEX(Desig_Names,MATCH($M499,Desig_Codes,0)),"NOT FOUND"))</f>
        <v/>
      </c>
      <c r="O499" s="13">
        <f>IF($M499="","",IFERROR(INDEX(Desig_Levels,MATCH($M499,Desig_Codes,0)),""))</f>
        <v/>
      </c>
      <c r="P499" s="12" t="n"/>
      <c r="Q499" s="12" t="n"/>
      <c r="R499" s="12" t="n"/>
      <c r="S499" s="13">
        <f>IF($R499="","",IFERROR(INDEX(Emp_Names,MATCH($R499,Emp_Codes,0)),"NOT FOUND"))</f>
        <v/>
      </c>
      <c r="T499" s="12" t="n"/>
      <c r="U499" s="12" t="n"/>
      <c r="V499" s="12" t="n"/>
    </row>
    <row r="500">
      <c r="A500" s="12" t="n"/>
      <c r="B500" s="12" t="n"/>
      <c r="C500" s="12" t="n"/>
      <c r="D500" s="13">
        <f>IF($A500="","",TRIM($B500&amp;" "&amp;$C500))</f>
        <v/>
      </c>
      <c r="E500" s="12" t="n"/>
      <c r="F500" s="12" t="n"/>
      <c r="G500" s="14" t="n"/>
      <c r="H500" s="14" t="n"/>
      <c r="I500" s="12" t="n"/>
      <c r="J500" s="14" t="n"/>
      <c r="K500" s="12" t="n"/>
      <c r="L500" s="13">
        <f>IF($K500="","",IFERROR(INDEX(Dept_Names,MATCH($K500,Dept_Codes,0)),"NOT FOUND"))</f>
        <v/>
      </c>
      <c r="M500" s="12" t="n"/>
      <c r="N500" s="13">
        <f>IF($M500="","",IFERROR(INDEX(Desig_Names,MATCH($M500,Desig_Codes,0)),"NOT FOUND"))</f>
        <v/>
      </c>
      <c r="O500" s="13">
        <f>IF($M500="","",IFERROR(INDEX(Desig_Levels,MATCH($M500,Desig_Codes,0)),""))</f>
        <v/>
      </c>
      <c r="P500" s="12" t="n"/>
      <c r="Q500" s="12" t="n"/>
      <c r="R500" s="12" t="n"/>
      <c r="S500" s="13">
        <f>IF($R500="","",IFERROR(INDEX(Emp_Names,MATCH($R500,Emp_Codes,0)),"NOT FOUND"))</f>
        <v/>
      </c>
      <c r="T500" s="12" t="n"/>
      <c r="U500" s="12" t="n"/>
      <c r="V500" s="12" t="n"/>
    </row>
    <row r="501">
      <c r="A501" s="12" t="n"/>
      <c r="B501" s="12" t="n"/>
      <c r="C501" s="12" t="n"/>
      <c r="D501" s="13">
        <f>IF($A501="","",TRIM($B501&amp;" "&amp;$C501))</f>
        <v/>
      </c>
      <c r="E501" s="12" t="n"/>
      <c r="F501" s="12" t="n"/>
      <c r="G501" s="14" t="n"/>
      <c r="H501" s="14" t="n"/>
      <c r="I501" s="12" t="n"/>
      <c r="J501" s="14" t="n"/>
      <c r="K501" s="12" t="n"/>
      <c r="L501" s="13">
        <f>IF($K501="","",IFERROR(INDEX(Dept_Names,MATCH($K501,Dept_Codes,0)),"NOT FOUND"))</f>
        <v/>
      </c>
      <c r="M501" s="12" t="n"/>
      <c r="N501" s="13">
        <f>IF($M501="","",IFERROR(INDEX(Desig_Names,MATCH($M501,Desig_Codes,0)),"NOT FOUND"))</f>
        <v/>
      </c>
      <c r="O501" s="13">
        <f>IF($M501="","",IFERROR(INDEX(Desig_Levels,MATCH($M501,Desig_Codes,0)),""))</f>
        <v/>
      </c>
      <c r="P501" s="12" t="n"/>
      <c r="Q501" s="12" t="n"/>
      <c r="R501" s="12" t="n"/>
      <c r="S501" s="13">
        <f>IF($R501="","",IFERROR(INDEX(Emp_Names,MATCH($R501,Emp_Codes,0)),"NOT FOUND"))</f>
        <v/>
      </c>
      <c r="T501" s="12" t="n"/>
      <c r="U501" s="12" t="n"/>
      <c r="V501" s="12" t="n"/>
    </row>
    <row r="502">
      <c r="A502" s="12" t="n"/>
      <c r="B502" s="12" t="n"/>
      <c r="C502" s="12" t="n"/>
      <c r="D502" s="13">
        <f>IF($A502="","",TRIM($B502&amp;" "&amp;$C502))</f>
        <v/>
      </c>
      <c r="E502" s="12" t="n"/>
      <c r="F502" s="12" t="n"/>
      <c r="G502" s="14" t="n"/>
      <c r="H502" s="14" t="n"/>
      <c r="I502" s="12" t="n"/>
      <c r="J502" s="14" t="n"/>
      <c r="K502" s="12" t="n"/>
      <c r="L502" s="13">
        <f>IF($K502="","",IFERROR(INDEX(Dept_Names,MATCH($K502,Dept_Codes,0)),"NOT FOUND"))</f>
        <v/>
      </c>
      <c r="M502" s="12" t="n"/>
      <c r="N502" s="13">
        <f>IF($M502="","",IFERROR(INDEX(Desig_Names,MATCH($M502,Desig_Codes,0)),"NOT FOUND"))</f>
        <v/>
      </c>
      <c r="O502" s="13">
        <f>IF($M502="","",IFERROR(INDEX(Desig_Levels,MATCH($M502,Desig_Codes,0)),""))</f>
        <v/>
      </c>
      <c r="P502" s="12" t="n"/>
      <c r="Q502" s="12" t="n"/>
      <c r="R502" s="12" t="n"/>
      <c r="S502" s="13">
        <f>IF($R502="","",IFERROR(INDEX(Emp_Names,MATCH($R502,Emp_Codes,0)),"NOT FOUND"))</f>
        <v/>
      </c>
      <c r="T502" s="12" t="n"/>
      <c r="U502" s="12" t="n"/>
      <c r="V502" s="12" t="n"/>
    </row>
    <row r="503">
      <c r="A503" s="12" t="n"/>
      <c r="B503" s="12" t="n"/>
      <c r="C503" s="12" t="n"/>
      <c r="D503" s="13">
        <f>IF($A503="","",TRIM($B503&amp;" "&amp;$C503))</f>
        <v/>
      </c>
      <c r="E503" s="12" t="n"/>
      <c r="F503" s="12" t="n"/>
      <c r="G503" s="14" t="n"/>
      <c r="H503" s="14" t="n"/>
      <c r="I503" s="12" t="n"/>
      <c r="J503" s="14" t="n"/>
      <c r="K503" s="12" t="n"/>
      <c r="L503" s="13">
        <f>IF($K503="","",IFERROR(INDEX(Dept_Names,MATCH($K503,Dept_Codes,0)),"NOT FOUND"))</f>
        <v/>
      </c>
      <c r="M503" s="12" t="n"/>
      <c r="N503" s="13">
        <f>IF($M503="","",IFERROR(INDEX(Desig_Names,MATCH($M503,Desig_Codes,0)),"NOT FOUND"))</f>
        <v/>
      </c>
      <c r="O503" s="13">
        <f>IF($M503="","",IFERROR(INDEX(Desig_Levels,MATCH($M503,Desig_Codes,0)),""))</f>
        <v/>
      </c>
      <c r="P503" s="12" t="n"/>
      <c r="Q503" s="12" t="n"/>
      <c r="R503" s="12" t="n"/>
      <c r="S503" s="13">
        <f>IF($R503="","",IFERROR(INDEX(Emp_Names,MATCH($R503,Emp_Codes,0)),"NOT FOUND"))</f>
        <v/>
      </c>
      <c r="T503" s="12" t="n"/>
      <c r="U503" s="12" t="n"/>
      <c r="V503" s="12" t="n"/>
    </row>
    <row r="504">
      <c r="A504" s="12" t="n"/>
      <c r="B504" s="12" t="n"/>
      <c r="C504" s="12" t="n"/>
      <c r="D504" s="13">
        <f>IF($A504="","",TRIM($B504&amp;" "&amp;$C504))</f>
        <v/>
      </c>
      <c r="E504" s="12" t="n"/>
      <c r="F504" s="12" t="n"/>
      <c r="G504" s="14" t="n"/>
      <c r="H504" s="14" t="n"/>
      <c r="I504" s="12" t="n"/>
      <c r="J504" s="14" t="n"/>
      <c r="K504" s="12" t="n"/>
      <c r="L504" s="13">
        <f>IF($K504="","",IFERROR(INDEX(Dept_Names,MATCH($K504,Dept_Codes,0)),"NOT FOUND"))</f>
        <v/>
      </c>
      <c r="M504" s="12" t="n"/>
      <c r="N504" s="13">
        <f>IF($M504="","",IFERROR(INDEX(Desig_Names,MATCH($M504,Desig_Codes,0)),"NOT FOUND"))</f>
        <v/>
      </c>
      <c r="O504" s="13">
        <f>IF($M504="","",IFERROR(INDEX(Desig_Levels,MATCH($M504,Desig_Codes,0)),""))</f>
        <v/>
      </c>
      <c r="P504" s="12" t="n"/>
      <c r="Q504" s="12" t="n"/>
      <c r="R504" s="12" t="n"/>
      <c r="S504" s="13">
        <f>IF($R504="","",IFERROR(INDEX(Emp_Names,MATCH($R504,Emp_Codes,0)),"NOT FOUND"))</f>
        <v/>
      </c>
      <c r="T504" s="12" t="n"/>
      <c r="U504" s="12" t="n"/>
      <c r="V504" s="12" t="n"/>
    </row>
    <row r="505">
      <c r="A505" s="12" t="n"/>
      <c r="B505" s="12" t="n"/>
      <c r="C505" s="12" t="n"/>
      <c r="D505" s="13">
        <f>IF($A505="","",TRIM($B505&amp;" "&amp;$C505))</f>
        <v/>
      </c>
      <c r="E505" s="12" t="n"/>
      <c r="F505" s="12" t="n"/>
      <c r="G505" s="14" t="n"/>
      <c r="H505" s="14" t="n"/>
      <c r="I505" s="12" t="n"/>
      <c r="J505" s="14" t="n"/>
      <c r="K505" s="12" t="n"/>
      <c r="L505" s="13">
        <f>IF($K505="","",IFERROR(INDEX(Dept_Names,MATCH($K505,Dept_Codes,0)),"NOT FOUND"))</f>
        <v/>
      </c>
      <c r="M505" s="12" t="n"/>
      <c r="N505" s="13">
        <f>IF($M505="","",IFERROR(INDEX(Desig_Names,MATCH($M505,Desig_Codes,0)),"NOT FOUND"))</f>
        <v/>
      </c>
      <c r="O505" s="13">
        <f>IF($M505="","",IFERROR(INDEX(Desig_Levels,MATCH($M505,Desig_Codes,0)),""))</f>
        <v/>
      </c>
      <c r="P505" s="12" t="n"/>
      <c r="Q505" s="12" t="n"/>
      <c r="R505" s="12" t="n"/>
      <c r="S505" s="13">
        <f>IF($R505="","",IFERROR(INDEX(Emp_Names,MATCH($R505,Emp_Codes,0)),"NOT FOUND"))</f>
        <v/>
      </c>
      <c r="T505" s="12" t="n"/>
      <c r="U505" s="12" t="n"/>
      <c r="V505" s="12" t="n"/>
    </row>
    <row r="506">
      <c r="A506" s="12" t="n"/>
      <c r="B506" s="12" t="n"/>
      <c r="C506" s="12" t="n"/>
      <c r="D506" s="13">
        <f>IF($A506="","",TRIM($B506&amp;" "&amp;$C506))</f>
        <v/>
      </c>
      <c r="E506" s="12" t="n"/>
      <c r="F506" s="12" t="n"/>
      <c r="G506" s="14" t="n"/>
      <c r="H506" s="14" t="n"/>
      <c r="I506" s="12" t="n"/>
      <c r="J506" s="14" t="n"/>
      <c r="K506" s="12" t="n"/>
      <c r="L506" s="13">
        <f>IF($K506="","",IFERROR(INDEX(Dept_Names,MATCH($K506,Dept_Codes,0)),"NOT FOUND"))</f>
        <v/>
      </c>
      <c r="M506" s="12" t="n"/>
      <c r="N506" s="13">
        <f>IF($M506="","",IFERROR(INDEX(Desig_Names,MATCH($M506,Desig_Codes,0)),"NOT FOUND"))</f>
        <v/>
      </c>
      <c r="O506" s="13">
        <f>IF($M506="","",IFERROR(INDEX(Desig_Levels,MATCH($M506,Desig_Codes,0)),""))</f>
        <v/>
      </c>
      <c r="P506" s="12" t="n"/>
      <c r="Q506" s="12" t="n"/>
      <c r="R506" s="12" t="n"/>
      <c r="S506" s="13">
        <f>IF($R506="","",IFERROR(INDEX(Emp_Names,MATCH($R506,Emp_Codes,0)),"NOT FOUND"))</f>
        <v/>
      </c>
      <c r="T506" s="12" t="n"/>
      <c r="U506" s="12" t="n"/>
      <c r="V506" s="12" t="n"/>
    </row>
    <row r="507">
      <c r="A507" s="12" t="n"/>
      <c r="B507" s="12" t="n"/>
      <c r="C507" s="12" t="n"/>
      <c r="D507" s="13">
        <f>IF($A507="","",TRIM($B507&amp;" "&amp;$C507))</f>
        <v/>
      </c>
      <c r="E507" s="12" t="n"/>
      <c r="F507" s="12" t="n"/>
      <c r="G507" s="14" t="n"/>
      <c r="H507" s="14" t="n"/>
      <c r="I507" s="12" t="n"/>
      <c r="J507" s="14" t="n"/>
      <c r="K507" s="12" t="n"/>
      <c r="L507" s="13">
        <f>IF($K507="","",IFERROR(INDEX(Dept_Names,MATCH($K507,Dept_Codes,0)),"NOT FOUND"))</f>
        <v/>
      </c>
      <c r="M507" s="12" t="n"/>
      <c r="N507" s="13">
        <f>IF($M507="","",IFERROR(INDEX(Desig_Names,MATCH($M507,Desig_Codes,0)),"NOT FOUND"))</f>
        <v/>
      </c>
      <c r="O507" s="13">
        <f>IF($M507="","",IFERROR(INDEX(Desig_Levels,MATCH($M507,Desig_Codes,0)),""))</f>
        <v/>
      </c>
      <c r="P507" s="12" t="n"/>
      <c r="Q507" s="12" t="n"/>
      <c r="R507" s="12" t="n"/>
      <c r="S507" s="13">
        <f>IF($R507="","",IFERROR(INDEX(Emp_Names,MATCH($R507,Emp_Codes,0)),"NOT FOUND"))</f>
        <v/>
      </c>
      <c r="T507" s="12" t="n"/>
      <c r="U507" s="12" t="n"/>
      <c r="V507" s="12" t="n"/>
    </row>
    <row r="508">
      <c r="A508" s="12" t="n"/>
      <c r="B508" s="12" t="n"/>
      <c r="C508" s="12" t="n"/>
      <c r="D508" s="13">
        <f>IF($A508="","",TRIM($B508&amp;" "&amp;$C508))</f>
        <v/>
      </c>
      <c r="E508" s="12" t="n"/>
      <c r="F508" s="12" t="n"/>
      <c r="G508" s="14" t="n"/>
      <c r="H508" s="14" t="n"/>
      <c r="I508" s="12" t="n"/>
      <c r="J508" s="14" t="n"/>
      <c r="K508" s="12" t="n"/>
      <c r="L508" s="13">
        <f>IF($K508="","",IFERROR(INDEX(Dept_Names,MATCH($K508,Dept_Codes,0)),"NOT FOUND"))</f>
        <v/>
      </c>
      <c r="M508" s="12" t="n"/>
      <c r="N508" s="13">
        <f>IF($M508="","",IFERROR(INDEX(Desig_Names,MATCH($M508,Desig_Codes,0)),"NOT FOUND"))</f>
        <v/>
      </c>
      <c r="O508" s="13">
        <f>IF($M508="","",IFERROR(INDEX(Desig_Levels,MATCH($M508,Desig_Codes,0)),""))</f>
        <v/>
      </c>
      <c r="P508" s="12" t="n"/>
      <c r="Q508" s="12" t="n"/>
      <c r="R508" s="12" t="n"/>
      <c r="S508" s="13">
        <f>IF($R508="","",IFERROR(INDEX(Emp_Names,MATCH($R508,Emp_Codes,0)),"NOT FOUND"))</f>
        <v/>
      </c>
      <c r="T508" s="12" t="n"/>
      <c r="U508" s="12" t="n"/>
      <c r="V508" s="12" t="n"/>
    </row>
    <row r="509">
      <c r="A509" s="12" t="n"/>
      <c r="B509" s="12" t="n"/>
      <c r="C509" s="12" t="n"/>
      <c r="D509" s="13">
        <f>IF($A509="","",TRIM($B509&amp;" "&amp;$C509))</f>
        <v/>
      </c>
      <c r="E509" s="12" t="n"/>
      <c r="F509" s="12" t="n"/>
      <c r="G509" s="14" t="n"/>
      <c r="H509" s="14" t="n"/>
      <c r="I509" s="12" t="n"/>
      <c r="J509" s="14" t="n"/>
      <c r="K509" s="12" t="n"/>
      <c r="L509" s="13">
        <f>IF($K509="","",IFERROR(INDEX(Dept_Names,MATCH($K509,Dept_Codes,0)),"NOT FOUND"))</f>
        <v/>
      </c>
      <c r="M509" s="12" t="n"/>
      <c r="N509" s="13">
        <f>IF($M509="","",IFERROR(INDEX(Desig_Names,MATCH($M509,Desig_Codes,0)),"NOT FOUND"))</f>
        <v/>
      </c>
      <c r="O509" s="13">
        <f>IF($M509="","",IFERROR(INDEX(Desig_Levels,MATCH($M509,Desig_Codes,0)),""))</f>
        <v/>
      </c>
      <c r="P509" s="12" t="n"/>
      <c r="Q509" s="12" t="n"/>
      <c r="R509" s="12" t="n"/>
      <c r="S509" s="13">
        <f>IF($R509="","",IFERROR(INDEX(Emp_Names,MATCH($R509,Emp_Codes,0)),"NOT FOUND"))</f>
        <v/>
      </c>
      <c r="T509" s="12" t="n"/>
      <c r="U509" s="12" t="n"/>
      <c r="V509" s="12" t="n"/>
    </row>
    <row r="510">
      <c r="A510" s="12" t="n"/>
      <c r="B510" s="12" t="n"/>
      <c r="C510" s="12" t="n"/>
      <c r="D510" s="13">
        <f>IF($A510="","",TRIM($B510&amp;" "&amp;$C510))</f>
        <v/>
      </c>
      <c r="E510" s="12" t="n"/>
      <c r="F510" s="12" t="n"/>
      <c r="G510" s="14" t="n"/>
      <c r="H510" s="14" t="n"/>
      <c r="I510" s="12" t="n"/>
      <c r="J510" s="14" t="n"/>
      <c r="K510" s="12" t="n"/>
      <c r="L510" s="13">
        <f>IF($K510="","",IFERROR(INDEX(Dept_Names,MATCH($K510,Dept_Codes,0)),"NOT FOUND"))</f>
        <v/>
      </c>
      <c r="M510" s="12" t="n"/>
      <c r="N510" s="13">
        <f>IF($M510="","",IFERROR(INDEX(Desig_Names,MATCH($M510,Desig_Codes,0)),"NOT FOUND"))</f>
        <v/>
      </c>
      <c r="O510" s="13">
        <f>IF($M510="","",IFERROR(INDEX(Desig_Levels,MATCH($M510,Desig_Codes,0)),""))</f>
        <v/>
      </c>
      <c r="P510" s="12" t="n"/>
      <c r="Q510" s="12" t="n"/>
      <c r="R510" s="12" t="n"/>
      <c r="S510" s="13">
        <f>IF($R510="","",IFERROR(INDEX(Emp_Names,MATCH($R510,Emp_Codes,0)),"NOT FOUND"))</f>
        <v/>
      </c>
      <c r="T510" s="12" t="n"/>
      <c r="U510" s="12" t="n"/>
      <c r="V510" s="12" t="n"/>
    </row>
    <row r="511">
      <c r="A511" s="12" t="n"/>
      <c r="B511" s="12" t="n"/>
      <c r="C511" s="12" t="n"/>
      <c r="D511" s="13">
        <f>IF($A511="","",TRIM($B511&amp;" "&amp;$C511))</f>
        <v/>
      </c>
      <c r="E511" s="12" t="n"/>
      <c r="F511" s="12" t="n"/>
      <c r="G511" s="14" t="n"/>
      <c r="H511" s="14" t="n"/>
      <c r="I511" s="12" t="n"/>
      <c r="J511" s="14" t="n"/>
      <c r="K511" s="12" t="n"/>
      <c r="L511" s="13">
        <f>IF($K511="","",IFERROR(INDEX(Dept_Names,MATCH($K511,Dept_Codes,0)),"NOT FOUND"))</f>
        <v/>
      </c>
      <c r="M511" s="12" t="n"/>
      <c r="N511" s="13">
        <f>IF($M511="","",IFERROR(INDEX(Desig_Names,MATCH($M511,Desig_Codes,0)),"NOT FOUND"))</f>
        <v/>
      </c>
      <c r="O511" s="13">
        <f>IF($M511="","",IFERROR(INDEX(Desig_Levels,MATCH($M511,Desig_Codes,0)),""))</f>
        <v/>
      </c>
      <c r="P511" s="12" t="n"/>
      <c r="Q511" s="12" t="n"/>
      <c r="R511" s="12" t="n"/>
      <c r="S511" s="13">
        <f>IF($R511="","",IFERROR(INDEX(Emp_Names,MATCH($R511,Emp_Codes,0)),"NOT FOUND"))</f>
        <v/>
      </c>
      <c r="T511" s="12" t="n"/>
      <c r="U511" s="12" t="n"/>
      <c r="V511" s="12" t="n"/>
    </row>
    <row r="512">
      <c r="A512" s="12" t="n"/>
      <c r="B512" s="12" t="n"/>
      <c r="C512" s="12" t="n"/>
      <c r="D512" s="13">
        <f>IF($A512="","",TRIM($B512&amp;" "&amp;$C512))</f>
        <v/>
      </c>
      <c r="E512" s="12" t="n"/>
      <c r="F512" s="12" t="n"/>
      <c r="G512" s="14" t="n"/>
      <c r="H512" s="14" t="n"/>
      <c r="I512" s="12" t="n"/>
      <c r="J512" s="14" t="n"/>
      <c r="K512" s="12" t="n"/>
      <c r="L512" s="13">
        <f>IF($K512="","",IFERROR(INDEX(Dept_Names,MATCH($K512,Dept_Codes,0)),"NOT FOUND"))</f>
        <v/>
      </c>
      <c r="M512" s="12" t="n"/>
      <c r="N512" s="13">
        <f>IF($M512="","",IFERROR(INDEX(Desig_Names,MATCH($M512,Desig_Codes,0)),"NOT FOUND"))</f>
        <v/>
      </c>
      <c r="O512" s="13">
        <f>IF($M512="","",IFERROR(INDEX(Desig_Levels,MATCH($M512,Desig_Codes,0)),""))</f>
        <v/>
      </c>
      <c r="P512" s="12" t="n"/>
      <c r="Q512" s="12" t="n"/>
      <c r="R512" s="12" t="n"/>
      <c r="S512" s="13">
        <f>IF($R512="","",IFERROR(INDEX(Emp_Names,MATCH($R512,Emp_Codes,0)),"NOT FOUND"))</f>
        <v/>
      </c>
      <c r="T512" s="12" t="n"/>
      <c r="U512" s="12" t="n"/>
      <c r="V512" s="12" t="n"/>
    </row>
    <row r="513">
      <c r="A513" s="12" t="n"/>
      <c r="B513" s="12" t="n"/>
      <c r="C513" s="12" t="n"/>
      <c r="D513" s="13">
        <f>IF($A513="","",TRIM($B513&amp;" "&amp;$C513))</f>
        <v/>
      </c>
      <c r="E513" s="12" t="n"/>
      <c r="F513" s="12" t="n"/>
      <c r="G513" s="14" t="n"/>
      <c r="H513" s="14" t="n"/>
      <c r="I513" s="12" t="n"/>
      <c r="J513" s="14" t="n"/>
      <c r="K513" s="12" t="n"/>
      <c r="L513" s="13">
        <f>IF($K513="","",IFERROR(INDEX(Dept_Names,MATCH($K513,Dept_Codes,0)),"NOT FOUND"))</f>
        <v/>
      </c>
      <c r="M513" s="12" t="n"/>
      <c r="N513" s="13">
        <f>IF($M513="","",IFERROR(INDEX(Desig_Names,MATCH($M513,Desig_Codes,0)),"NOT FOUND"))</f>
        <v/>
      </c>
      <c r="O513" s="13">
        <f>IF($M513="","",IFERROR(INDEX(Desig_Levels,MATCH($M513,Desig_Codes,0)),""))</f>
        <v/>
      </c>
      <c r="P513" s="12" t="n"/>
      <c r="Q513" s="12" t="n"/>
      <c r="R513" s="12" t="n"/>
      <c r="S513" s="13">
        <f>IF($R513="","",IFERROR(INDEX(Emp_Names,MATCH($R513,Emp_Codes,0)),"NOT FOUND"))</f>
        <v/>
      </c>
      <c r="T513" s="12" t="n"/>
      <c r="U513" s="12" t="n"/>
      <c r="V513" s="12" t="n"/>
    </row>
    <row r="514">
      <c r="A514" s="12" t="n"/>
      <c r="B514" s="12" t="n"/>
      <c r="C514" s="12" t="n"/>
      <c r="D514" s="13">
        <f>IF($A514="","",TRIM($B514&amp;" "&amp;$C514))</f>
        <v/>
      </c>
      <c r="E514" s="12" t="n"/>
      <c r="F514" s="12" t="n"/>
      <c r="G514" s="14" t="n"/>
      <c r="H514" s="14" t="n"/>
      <c r="I514" s="12" t="n"/>
      <c r="J514" s="14" t="n"/>
      <c r="K514" s="12" t="n"/>
      <c r="L514" s="13">
        <f>IF($K514="","",IFERROR(INDEX(Dept_Names,MATCH($K514,Dept_Codes,0)),"NOT FOUND"))</f>
        <v/>
      </c>
      <c r="M514" s="12" t="n"/>
      <c r="N514" s="13">
        <f>IF($M514="","",IFERROR(INDEX(Desig_Names,MATCH($M514,Desig_Codes,0)),"NOT FOUND"))</f>
        <v/>
      </c>
      <c r="O514" s="13">
        <f>IF($M514="","",IFERROR(INDEX(Desig_Levels,MATCH($M514,Desig_Codes,0)),""))</f>
        <v/>
      </c>
      <c r="P514" s="12" t="n"/>
      <c r="Q514" s="12" t="n"/>
      <c r="R514" s="12" t="n"/>
      <c r="S514" s="13">
        <f>IF($R514="","",IFERROR(INDEX(Emp_Names,MATCH($R514,Emp_Codes,0)),"NOT FOUND"))</f>
        <v/>
      </c>
      <c r="T514" s="12" t="n"/>
      <c r="U514" s="12" t="n"/>
      <c r="V514" s="12" t="n"/>
    </row>
    <row r="515">
      <c r="A515" s="12" t="n"/>
      <c r="B515" s="12" t="n"/>
      <c r="C515" s="12" t="n"/>
      <c r="D515" s="13">
        <f>IF($A515="","",TRIM($B515&amp;" "&amp;$C515))</f>
        <v/>
      </c>
      <c r="E515" s="12" t="n"/>
      <c r="F515" s="12" t="n"/>
      <c r="G515" s="14" t="n"/>
      <c r="H515" s="14" t="n"/>
      <c r="I515" s="12" t="n"/>
      <c r="J515" s="14" t="n"/>
      <c r="K515" s="12" t="n"/>
      <c r="L515" s="13">
        <f>IF($K515="","",IFERROR(INDEX(Dept_Names,MATCH($K515,Dept_Codes,0)),"NOT FOUND"))</f>
        <v/>
      </c>
      <c r="M515" s="12" t="n"/>
      <c r="N515" s="13">
        <f>IF($M515="","",IFERROR(INDEX(Desig_Names,MATCH($M515,Desig_Codes,0)),"NOT FOUND"))</f>
        <v/>
      </c>
      <c r="O515" s="13">
        <f>IF($M515="","",IFERROR(INDEX(Desig_Levels,MATCH($M515,Desig_Codes,0)),""))</f>
        <v/>
      </c>
      <c r="P515" s="12" t="n"/>
      <c r="Q515" s="12" t="n"/>
      <c r="R515" s="12" t="n"/>
      <c r="S515" s="13">
        <f>IF($R515="","",IFERROR(INDEX(Emp_Names,MATCH($R515,Emp_Codes,0)),"NOT FOUND"))</f>
        <v/>
      </c>
      <c r="T515" s="12" t="n"/>
      <c r="U515" s="12" t="n"/>
      <c r="V515" s="12" t="n"/>
    </row>
    <row r="516">
      <c r="A516" s="12" t="n"/>
      <c r="B516" s="12" t="n"/>
      <c r="C516" s="12" t="n"/>
      <c r="D516" s="13">
        <f>IF($A516="","",TRIM($B516&amp;" "&amp;$C516))</f>
        <v/>
      </c>
      <c r="E516" s="12" t="n"/>
      <c r="F516" s="12" t="n"/>
      <c r="G516" s="14" t="n"/>
      <c r="H516" s="14" t="n"/>
      <c r="I516" s="12" t="n"/>
      <c r="J516" s="14" t="n"/>
      <c r="K516" s="12" t="n"/>
      <c r="L516" s="13">
        <f>IF($K516="","",IFERROR(INDEX(Dept_Names,MATCH($K516,Dept_Codes,0)),"NOT FOUND"))</f>
        <v/>
      </c>
      <c r="M516" s="12" t="n"/>
      <c r="N516" s="13">
        <f>IF($M516="","",IFERROR(INDEX(Desig_Names,MATCH($M516,Desig_Codes,0)),"NOT FOUND"))</f>
        <v/>
      </c>
      <c r="O516" s="13">
        <f>IF($M516="","",IFERROR(INDEX(Desig_Levels,MATCH($M516,Desig_Codes,0)),""))</f>
        <v/>
      </c>
      <c r="P516" s="12" t="n"/>
      <c r="Q516" s="12" t="n"/>
      <c r="R516" s="12" t="n"/>
      <c r="S516" s="13">
        <f>IF($R516="","",IFERROR(INDEX(Emp_Names,MATCH($R516,Emp_Codes,0)),"NOT FOUND"))</f>
        <v/>
      </c>
      <c r="T516" s="12" t="n"/>
      <c r="U516" s="12" t="n"/>
      <c r="V516" s="12" t="n"/>
    </row>
    <row r="517">
      <c r="A517" s="12" t="n"/>
      <c r="B517" s="12" t="n"/>
      <c r="C517" s="12" t="n"/>
      <c r="D517" s="13">
        <f>IF($A517="","",TRIM($B517&amp;" "&amp;$C517))</f>
        <v/>
      </c>
      <c r="E517" s="12" t="n"/>
      <c r="F517" s="12" t="n"/>
      <c r="G517" s="14" t="n"/>
      <c r="H517" s="14" t="n"/>
      <c r="I517" s="12" t="n"/>
      <c r="J517" s="14" t="n"/>
      <c r="K517" s="12" t="n"/>
      <c r="L517" s="13">
        <f>IF($K517="","",IFERROR(INDEX(Dept_Names,MATCH($K517,Dept_Codes,0)),"NOT FOUND"))</f>
        <v/>
      </c>
      <c r="M517" s="12" t="n"/>
      <c r="N517" s="13">
        <f>IF($M517="","",IFERROR(INDEX(Desig_Names,MATCH($M517,Desig_Codes,0)),"NOT FOUND"))</f>
        <v/>
      </c>
      <c r="O517" s="13">
        <f>IF($M517="","",IFERROR(INDEX(Desig_Levels,MATCH($M517,Desig_Codes,0)),""))</f>
        <v/>
      </c>
      <c r="P517" s="12" t="n"/>
      <c r="Q517" s="12" t="n"/>
      <c r="R517" s="12" t="n"/>
      <c r="S517" s="13">
        <f>IF($R517="","",IFERROR(INDEX(Emp_Names,MATCH($R517,Emp_Codes,0)),"NOT FOUND"))</f>
        <v/>
      </c>
      <c r="T517" s="12" t="n"/>
      <c r="U517" s="12" t="n"/>
      <c r="V517" s="12" t="n"/>
    </row>
    <row r="518">
      <c r="A518" s="12" t="n"/>
      <c r="B518" s="12" t="n"/>
      <c r="C518" s="12" t="n"/>
      <c r="D518" s="13">
        <f>IF($A518="","",TRIM($B518&amp;" "&amp;$C518))</f>
        <v/>
      </c>
      <c r="E518" s="12" t="n"/>
      <c r="F518" s="12" t="n"/>
      <c r="G518" s="14" t="n"/>
      <c r="H518" s="14" t="n"/>
      <c r="I518" s="12" t="n"/>
      <c r="J518" s="14" t="n"/>
      <c r="K518" s="12" t="n"/>
      <c r="L518" s="13">
        <f>IF($K518="","",IFERROR(INDEX(Dept_Names,MATCH($K518,Dept_Codes,0)),"NOT FOUND"))</f>
        <v/>
      </c>
      <c r="M518" s="12" t="n"/>
      <c r="N518" s="13">
        <f>IF($M518="","",IFERROR(INDEX(Desig_Names,MATCH($M518,Desig_Codes,0)),"NOT FOUND"))</f>
        <v/>
      </c>
      <c r="O518" s="13">
        <f>IF($M518="","",IFERROR(INDEX(Desig_Levels,MATCH($M518,Desig_Codes,0)),""))</f>
        <v/>
      </c>
      <c r="P518" s="12" t="n"/>
      <c r="Q518" s="12" t="n"/>
      <c r="R518" s="12" t="n"/>
      <c r="S518" s="13">
        <f>IF($R518="","",IFERROR(INDEX(Emp_Names,MATCH($R518,Emp_Codes,0)),"NOT FOUND"))</f>
        <v/>
      </c>
      <c r="T518" s="12" t="n"/>
      <c r="U518" s="12" t="n"/>
      <c r="V518" s="12" t="n"/>
    </row>
    <row r="519">
      <c r="A519" s="12" t="n"/>
      <c r="B519" s="12" t="n"/>
      <c r="C519" s="12" t="n"/>
      <c r="D519" s="13">
        <f>IF($A519="","",TRIM($B519&amp;" "&amp;$C519))</f>
        <v/>
      </c>
      <c r="E519" s="12" t="n"/>
      <c r="F519" s="12" t="n"/>
      <c r="G519" s="14" t="n"/>
      <c r="H519" s="14" t="n"/>
      <c r="I519" s="12" t="n"/>
      <c r="J519" s="14" t="n"/>
      <c r="K519" s="12" t="n"/>
      <c r="L519" s="13">
        <f>IF($K519="","",IFERROR(INDEX(Dept_Names,MATCH($K519,Dept_Codes,0)),"NOT FOUND"))</f>
        <v/>
      </c>
      <c r="M519" s="12" t="n"/>
      <c r="N519" s="13">
        <f>IF($M519="","",IFERROR(INDEX(Desig_Names,MATCH($M519,Desig_Codes,0)),"NOT FOUND"))</f>
        <v/>
      </c>
      <c r="O519" s="13">
        <f>IF($M519="","",IFERROR(INDEX(Desig_Levels,MATCH($M519,Desig_Codes,0)),""))</f>
        <v/>
      </c>
      <c r="P519" s="12" t="n"/>
      <c r="Q519" s="12" t="n"/>
      <c r="R519" s="12" t="n"/>
      <c r="S519" s="13">
        <f>IF($R519="","",IFERROR(INDEX(Emp_Names,MATCH($R519,Emp_Codes,0)),"NOT FOUND"))</f>
        <v/>
      </c>
      <c r="T519" s="12" t="n"/>
      <c r="U519" s="12" t="n"/>
      <c r="V519" s="12" t="n"/>
    </row>
    <row r="520">
      <c r="A520" s="12" t="n"/>
      <c r="B520" s="12" t="n"/>
      <c r="C520" s="12" t="n"/>
      <c r="D520" s="13">
        <f>IF($A520="","",TRIM($B520&amp;" "&amp;$C520))</f>
        <v/>
      </c>
      <c r="E520" s="12" t="n"/>
      <c r="F520" s="12" t="n"/>
      <c r="G520" s="14" t="n"/>
      <c r="H520" s="14" t="n"/>
      <c r="I520" s="12" t="n"/>
      <c r="J520" s="14" t="n"/>
      <c r="K520" s="12" t="n"/>
      <c r="L520" s="13">
        <f>IF($K520="","",IFERROR(INDEX(Dept_Names,MATCH($K520,Dept_Codes,0)),"NOT FOUND"))</f>
        <v/>
      </c>
      <c r="M520" s="12" t="n"/>
      <c r="N520" s="13">
        <f>IF($M520="","",IFERROR(INDEX(Desig_Names,MATCH($M520,Desig_Codes,0)),"NOT FOUND"))</f>
        <v/>
      </c>
      <c r="O520" s="13">
        <f>IF($M520="","",IFERROR(INDEX(Desig_Levels,MATCH($M520,Desig_Codes,0)),""))</f>
        <v/>
      </c>
      <c r="P520" s="12" t="n"/>
      <c r="Q520" s="12" t="n"/>
      <c r="R520" s="12" t="n"/>
      <c r="S520" s="13">
        <f>IF($R520="","",IFERROR(INDEX(Emp_Names,MATCH($R520,Emp_Codes,0)),"NOT FOUND"))</f>
        <v/>
      </c>
      <c r="T520" s="12" t="n"/>
      <c r="U520" s="12" t="n"/>
      <c r="V520" s="12" t="n"/>
    </row>
    <row r="521">
      <c r="A521" s="12" t="n"/>
      <c r="B521" s="12" t="n"/>
      <c r="C521" s="12" t="n"/>
      <c r="D521" s="13">
        <f>IF($A521="","",TRIM($B521&amp;" "&amp;$C521))</f>
        <v/>
      </c>
      <c r="E521" s="12" t="n"/>
      <c r="F521" s="12" t="n"/>
      <c r="G521" s="14" t="n"/>
      <c r="H521" s="14" t="n"/>
      <c r="I521" s="12" t="n"/>
      <c r="J521" s="14" t="n"/>
      <c r="K521" s="12" t="n"/>
      <c r="L521" s="13">
        <f>IF($K521="","",IFERROR(INDEX(Dept_Names,MATCH($K521,Dept_Codes,0)),"NOT FOUND"))</f>
        <v/>
      </c>
      <c r="M521" s="12" t="n"/>
      <c r="N521" s="13">
        <f>IF($M521="","",IFERROR(INDEX(Desig_Names,MATCH($M521,Desig_Codes,0)),"NOT FOUND"))</f>
        <v/>
      </c>
      <c r="O521" s="13">
        <f>IF($M521="","",IFERROR(INDEX(Desig_Levels,MATCH($M521,Desig_Codes,0)),""))</f>
        <v/>
      </c>
      <c r="P521" s="12" t="n"/>
      <c r="Q521" s="12" t="n"/>
      <c r="R521" s="12" t="n"/>
      <c r="S521" s="13">
        <f>IF($R521="","",IFERROR(INDEX(Emp_Names,MATCH($R521,Emp_Codes,0)),"NOT FOUND"))</f>
        <v/>
      </c>
      <c r="T521" s="12" t="n"/>
      <c r="U521" s="12" t="n"/>
      <c r="V521" s="12" t="n"/>
    </row>
    <row r="522">
      <c r="A522" s="12" t="n"/>
      <c r="B522" s="12" t="n"/>
      <c r="C522" s="12" t="n"/>
      <c r="D522" s="13">
        <f>IF($A522="","",TRIM($B522&amp;" "&amp;$C522))</f>
        <v/>
      </c>
      <c r="E522" s="12" t="n"/>
      <c r="F522" s="12" t="n"/>
      <c r="G522" s="14" t="n"/>
      <c r="H522" s="14" t="n"/>
      <c r="I522" s="12" t="n"/>
      <c r="J522" s="14" t="n"/>
      <c r="K522" s="12" t="n"/>
      <c r="L522" s="13">
        <f>IF($K522="","",IFERROR(INDEX(Dept_Names,MATCH($K522,Dept_Codes,0)),"NOT FOUND"))</f>
        <v/>
      </c>
      <c r="M522" s="12" t="n"/>
      <c r="N522" s="13">
        <f>IF($M522="","",IFERROR(INDEX(Desig_Names,MATCH($M522,Desig_Codes,0)),"NOT FOUND"))</f>
        <v/>
      </c>
      <c r="O522" s="13">
        <f>IF($M522="","",IFERROR(INDEX(Desig_Levels,MATCH($M522,Desig_Codes,0)),""))</f>
        <v/>
      </c>
      <c r="P522" s="12" t="n"/>
      <c r="Q522" s="12" t="n"/>
      <c r="R522" s="12" t="n"/>
      <c r="S522" s="13">
        <f>IF($R522="","",IFERROR(INDEX(Emp_Names,MATCH($R522,Emp_Codes,0)),"NOT FOUND"))</f>
        <v/>
      </c>
      <c r="T522" s="12" t="n"/>
      <c r="U522" s="12" t="n"/>
      <c r="V522" s="12" t="n"/>
    </row>
    <row r="523">
      <c r="A523" s="12" t="n"/>
      <c r="B523" s="12" t="n"/>
      <c r="C523" s="12" t="n"/>
      <c r="D523" s="13">
        <f>IF($A523="","",TRIM($B523&amp;" "&amp;$C523))</f>
        <v/>
      </c>
      <c r="E523" s="12" t="n"/>
      <c r="F523" s="12" t="n"/>
      <c r="G523" s="14" t="n"/>
      <c r="H523" s="14" t="n"/>
      <c r="I523" s="12" t="n"/>
      <c r="J523" s="14" t="n"/>
      <c r="K523" s="12" t="n"/>
      <c r="L523" s="13">
        <f>IF($K523="","",IFERROR(INDEX(Dept_Names,MATCH($K523,Dept_Codes,0)),"NOT FOUND"))</f>
        <v/>
      </c>
      <c r="M523" s="12" t="n"/>
      <c r="N523" s="13">
        <f>IF($M523="","",IFERROR(INDEX(Desig_Names,MATCH($M523,Desig_Codes,0)),"NOT FOUND"))</f>
        <v/>
      </c>
      <c r="O523" s="13">
        <f>IF($M523="","",IFERROR(INDEX(Desig_Levels,MATCH($M523,Desig_Codes,0)),""))</f>
        <v/>
      </c>
      <c r="P523" s="12" t="n"/>
      <c r="Q523" s="12" t="n"/>
      <c r="R523" s="12" t="n"/>
      <c r="S523" s="13">
        <f>IF($R523="","",IFERROR(INDEX(Emp_Names,MATCH($R523,Emp_Codes,0)),"NOT FOUND"))</f>
        <v/>
      </c>
      <c r="T523" s="12" t="n"/>
      <c r="U523" s="12" t="n"/>
      <c r="V523" s="12" t="n"/>
    </row>
    <row r="524">
      <c r="A524" s="12" t="n"/>
      <c r="B524" s="12" t="n"/>
      <c r="C524" s="12" t="n"/>
      <c r="D524" s="13">
        <f>IF($A524="","",TRIM($B524&amp;" "&amp;$C524))</f>
        <v/>
      </c>
      <c r="E524" s="12" t="n"/>
      <c r="F524" s="12" t="n"/>
      <c r="G524" s="14" t="n"/>
      <c r="H524" s="14" t="n"/>
      <c r="I524" s="12" t="n"/>
      <c r="J524" s="14" t="n"/>
      <c r="K524" s="12" t="n"/>
      <c r="L524" s="13">
        <f>IF($K524="","",IFERROR(INDEX(Dept_Names,MATCH($K524,Dept_Codes,0)),"NOT FOUND"))</f>
        <v/>
      </c>
      <c r="M524" s="12" t="n"/>
      <c r="N524" s="13">
        <f>IF($M524="","",IFERROR(INDEX(Desig_Names,MATCH($M524,Desig_Codes,0)),"NOT FOUND"))</f>
        <v/>
      </c>
      <c r="O524" s="13">
        <f>IF($M524="","",IFERROR(INDEX(Desig_Levels,MATCH($M524,Desig_Codes,0)),""))</f>
        <v/>
      </c>
      <c r="P524" s="12" t="n"/>
      <c r="Q524" s="12" t="n"/>
      <c r="R524" s="12" t="n"/>
      <c r="S524" s="13">
        <f>IF($R524="","",IFERROR(INDEX(Emp_Names,MATCH($R524,Emp_Codes,0)),"NOT FOUND"))</f>
        <v/>
      </c>
      <c r="T524" s="12" t="n"/>
      <c r="U524" s="12" t="n"/>
      <c r="V524" s="12" t="n"/>
    </row>
    <row r="525">
      <c r="A525" s="12" t="n"/>
      <c r="B525" s="12" t="n"/>
      <c r="C525" s="12" t="n"/>
      <c r="D525" s="13">
        <f>IF($A525="","",TRIM($B525&amp;" "&amp;$C525))</f>
        <v/>
      </c>
      <c r="E525" s="12" t="n"/>
      <c r="F525" s="12" t="n"/>
      <c r="G525" s="14" t="n"/>
      <c r="H525" s="14" t="n"/>
      <c r="I525" s="12" t="n"/>
      <c r="J525" s="14" t="n"/>
      <c r="K525" s="12" t="n"/>
      <c r="L525" s="13">
        <f>IF($K525="","",IFERROR(INDEX(Dept_Names,MATCH($K525,Dept_Codes,0)),"NOT FOUND"))</f>
        <v/>
      </c>
      <c r="M525" s="12" t="n"/>
      <c r="N525" s="13">
        <f>IF($M525="","",IFERROR(INDEX(Desig_Names,MATCH($M525,Desig_Codes,0)),"NOT FOUND"))</f>
        <v/>
      </c>
      <c r="O525" s="13">
        <f>IF($M525="","",IFERROR(INDEX(Desig_Levels,MATCH($M525,Desig_Codes,0)),""))</f>
        <v/>
      </c>
      <c r="P525" s="12" t="n"/>
      <c r="Q525" s="12" t="n"/>
      <c r="R525" s="12" t="n"/>
      <c r="S525" s="13">
        <f>IF($R525="","",IFERROR(INDEX(Emp_Names,MATCH($R525,Emp_Codes,0)),"NOT FOUND"))</f>
        <v/>
      </c>
      <c r="T525" s="12" t="n"/>
      <c r="U525" s="12" t="n"/>
      <c r="V525" s="12" t="n"/>
    </row>
    <row r="526">
      <c r="A526" s="12" t="n"/>
      <c r="B526" s="12" t="n"/>
      <c r="C526" s="12" t="n"/>
      <c r="D526" s="13">
        <f>IF($A526="","",TRIM($B526&amp;" "&amp;$C526))</f>
        <v/>
      </c>
      <c r="E526" s="12" t="n"/>
      <c r="F526" s="12" t="n"/>
      <c r="G526" s="14" t="n"/>
      <c r="H526" s="14" t="n"/>
      <c r="I526" s="12" t="n"/>
      <c r="J526" s="14" t="n"/>
      <c r="K526" s="12" t="n"/>
      <c r="L526" s="13">
        <f>IF($K526="","",IFERROR(INDEX(Dept_Names,MATCH($K526,Dept_Codes,0)),"NOT FOUND"))</f>
        <v/>
      </c>
      <c r="M526" s="12" t="n"/>
      <c r="N526" s="13">
        <f>IF($M526="","",IFERROR(INDEX(Desig_Names,MATCH($M526,Desig_Codes,0)),"NOT FOUND"))</f>
        <v/>
      </c>
      <c r="O526" s="13">
        <f>IF($M526="","",IFERROR(INDEX(Desig_Levels,MATCH($M526,Desig_Codes,0)),""))</f>
        <v/>
      </c>
      <c r="P526" s="12" t="n"/>
      <c r="Q526" s="12" t="n"/>
      <c r="R526" s="12" t="n"/>
      <c r="S526" s="13">
        <f>IF($R526="","",IFERROR(INDEX(Emp_Names,MATCH($R526,Emp_Codes,0)),"NOT FOUND"))</f>
        <v/>
      </c>
      <c r="T526" s="12" t="n"/>
      <c r="U526" s="12" t="n"/>
      <c r="V526" s="12" t="n"/>
    </row>
    <row r="527">
      <c r="A527" s="12" t="n"/>
      <c r="B527" s="12" t="n"/>
      <c r="C527" s="12" t="n"/>
      <c r="D527" s="13">
        <f>IF($A527="","",TRIM($B527&amp;" "&amp;$C527))</f>
        <v/>
      </c>
      <c r="E527" s="12" t="n"/>
      <c r="F527" s="12" t="n"/>
      <c r="G527" s="14" t="n"/>
      <c r="H527" s="14" t="n"/>
      <c r="I527" s="12" t="n"/>
      <c r="J527" s="14" t="n"/>
      <c r="K527" s="12" t="n"/>
      <c r="L527" s="13">
        <f>IF($K527="","",IFERROR(INDEX(Dept_Names,MATCH($K527,Dept_Codes,0)),"NOT FOUND"))</f>
        <v/>
      </c>
      <c r="M527" s="12" t="n"/>
      <c r="N527" s="13">
        <f>IF($M527="","",IFERROR(INDEX(Desig_Names,MATCH($M527,Desig_Codes,0)),"NOT FOUND"))</f>
        <v/>
      </c>
      <c r="O527" s="13">
        <f>IF($M527="","",IFERROR(INDEX(Desig_Levels,MATCH($M527,Desig_Codes,0)),""))</f>
        <v/>
      </c>
      <c r="P527" s="12" t="n"/>
      <c r="Q527" s="12" t="n"/>
      <c r="R527" s="12" t="n"/>
      <c r="S527" s="13">
        <f>IF($R527="","",IFERROR(INDEX(Emp_Names,MATCH($R527,Emp_Codes,0)),"NOT FOUND"))</f>
        <v/>
      </c>
      <c r="T527" s="12" t="n"/>
      <c r="U527" s="12" t="n"/>
      <c r="V527" s="12" t="n"/>
    </row>
    <row r="528">
      <c r="A528" s="12" t="n"/>
      <c r="B528" s="12" t="n"/>
      <c r="C528" s="12" t="n"/>
      <c r="D528" s="13">
        <f>IF($A528="","",TRIM($B528&amp;" "&amp;$C528))</f>
        <v/>
      </c>
      <c r="E528" s="12" t="n"/>
      <c r="F528" s="12" t="n"/>
      <c r="G528" s="14" t="n"/>
      <c r="H528" s="14" t="n"/>
      <c r="I528" s="12" t="n"/>
      <c r="J528" s="14" t="n"/>
      <c r="K528" s="12" t="n"/>
      <c r="L528" s="13">
        <f>IF($K528="","",IFERROR(INDEX(Dept_Names,MATCH($K528,Dept_Codes,0)),"NOT FOUND"))</f>
        <v/>
      </c>
      <c r="M528" s="12" t="n"/>
      <c r="N528" s="13">
        <f>IF($M528="","",IFERROR(INDEX(Desig_Names,MATCH($M528,Desig_Codes,0)),"NOT FOUND"))</f>
        <v/>
      </c>
      <c r="O528" s="13">
        <f>IF($M528="","",IFERROR(INDEX(Desig_Levels,MATCH($M528,Desig_Codes,0)),""))</f>
        <v/>
      </c>
      <c r="P528" s="12" t="n"/>
      <c r="Q528" s="12" t="n"/>
      <c r="R528" s="12" t="n"/>
      <c r="S528" s="13">
        <f>IF($R528="","",IFERROR(INDEX(Emp_Names,MATCH($R528,Emp_Codes,0)),"NOT FOUND"))</f>
        <v/>
      </c>
      <c r="T528" s="12" t="n"/>
      <c r="U528" s="12" t="n"/>
      <c r="V528" s="12" t="n"/>
    </row>
    <row r="529">
      <c r="A529" s="12" t="n"/>
      <c r="B529" s="12" t="n"/>
      <c r="C529" s="12" t="n"/>
      <c r="D529" s="13">
        <f>IF($A529="","",TRIM($B529&amp;" "&amp;$C529))</f>
        <v/>
      </c>
      <c r="E529" s="12" t="n"/>
      <c r="F529" s="12" t="n"/>
      <c r="G529" s="14" t="n"/>
      <c r="H529" s="14" t="n"/>
      <c r="I529" s="12" t="n"/>
      <c r="J529" s="14" t="n"/>
      <c r="K529" s="12" t="n"/>
      <c r="L529" s="13">
        <f>IF($K529="","",IFERROR(INDEX(Dept_Names,MATCH($K529,Dept_Codes,0)),"NOT FOUND"))</f>
        <v/>
      </c>
      <c r="M529" s="12" t="n"/>
      <c r="N529" s="13">
        <f>IF($M529="","",IFERROR(INDEX(Desig_Names,MATCH($M529,Desig_Codes,0)),"NOT FOUND"))</f>
        <v/>
      </c>
      <c r="O529" s="13">
        <f>IF($M529="","",IFERROR(INDEX(Desig_Levels,MATCH($M529,Desig_Codes,0)),""))</f>
        <v/>
      </c>
      <c r="P529" s="12" t="n"/>
      <c r="Q529" s="12" t="n"/>
      <c r="R529" s="12" t="n"/>
      <c r="S529" s="13">
        <f>IF($R529="","",IFERROR(INDEX(Emp_Names,MATCH($R529,Emp_Codes,0)),"NOT FOUND"))</f>
        <v/>
      </c>
      <c r="T529" s="12" t="n"/>
      <c r="U529" s="12" t="n"/>
      <c r="V529" s="12" t="n"/>
    </row>
    <row r="530">
      <c r="A530" s="12" t="n"/>
      <c r="B530" s="12" t="n"/>
      <c r="C530" s="12" t="n"/>
      <c r="D530" s="13">
        <f>IF($A530="","",TRIM($B530&amp;" "&amp;$C530))</f>
        <v/>
      </c>
      <c r="E530" s="12" t="n"/>
      <c r="F530" s="12" t="n"/>
      <c r="G530" s="14" t="n"/>
      <c r="H530" s="14" t="n"/>
      <c r="I530" s="12" t="n"/>
      <c r="J530" s="14" t="n"/>
      <c r="K530" s="12" t="n"/>
      <c r="L530" s="13">
        <f>IF($K530="","",IFERROR(INDEX(Dept_Names,MATCH($K530,Dept_Codes,0)),"NOT FOUND"))</f>
        <v/>
      </c>
      <c r="M530" s="12" t="n"/>
      <c r="N530" s="13">
        <f>IF($M530="","",IFERROR(INDEX(Desig_Names,MATCH($M530,Desig_Codes,0)),"NOT FOUND"))</f>
        <v/>
      </c>
      <c r="O530" s="13">
        <f>IF($M530="","",IFERROR(INDEX(Desig_Levels,MATCH($M530,Desig_Codes,0)),""))</f>
        <v/>
      </c>
      <c r="P530" s="12" t="n"/>
      <c r="Q530" s="12" t="n"/>
      <c r="R530" s="12" t="n"/>
      <c r="S530" s="13">
        <f>IF($R530="","",IFERROR(INDEX(Emp_Names,MATCH($R530,Emp_Codes,0)),"NOT FOUND"))</f>
        <v/>
      </c>
      <c r="T530" s="12" t="n"/>
      <c r="U530" s="12" t="n"/>
      <c r="V530" s="12" t="n"/>
    </row>
    <row r="531">
      <c r="A531" s="12" t="n"/>
      <c r="B531" s="12" t="n"/>
      <c r="C531" s="12" t="n"/>
      <c r="D531" s="13">
        <f>IF($A531="","",TRIM($B531&amp;" "&amp;$C531))</f>
        <v/>
      </c>
      <c r="E531" s="12" t="n"/>
      <c r="F531" s="12" t="n"/>
      <c r="G531" s="14" t="n"/>
      <c r="H531" s="14" t="n"/>
      <c r="I531" s="12" t="n"/>
      <c r="J531" s="14" t="n"/>
      <c r="K531" s="12" t="n"/>
      <c r="L531" s="13">
        <f>IF($K531="","",IFERROR(INDEX(Dept_Names,MATCH($K531,Dept_Codes,0)),"NOT FOUND"))</f>
        <v/>
      </c>
      <c r="M531" s="12" t="n"/>
      <c r="N531" s="13">
        <f>IF($M531="","",IFERROR(INDEX(Desig_Names,MATCH($M531,Desig_Codes,0)),"NOT FOUND"))</f>
        <v/>
      </c>
      <c r="O531" s="13">
        <f>IF($M531="","",IFERROR(INDEX(Desig_Levels,MATCH($M531,Desig_Codes,0)),""))</f>
        <v/>
      </c>
      <c r="P531" s="12" t="n"/>
      <c r="Q531" s="12" t="n"/>
      <c r="R531" s="12" t="n"/>
      <c r="S531" s="13">
        <f>IF($R531="","",IFERROR(INDEX(Emp_Names,MATCH($R531,Emp_Codes,0)),"NOT FOUND"))</f>
        <v/>
      </c>
      <c r="T531" s="12" t="n"/>
      <c r="U531" s="12" t="n"/>
      <c r="V531" s="12" t="n"/>
    </row>
    <row r="532">
      <c r="A532" s="12" t="n"/>
      <c r="B532" s="12" t="n"/>
      <c r="C532" s="12" t="n"/>
      <c r="D532" s="13">
        <f>IF($A532="","",TRIM($B532&amp;" "&amp;$C532))</f>
        <v/>
      </c>
      <c r="E532" s="12" t="n"/>
      <c r="F532" s="12" t="n"/>
      <c r="G532" s="14" t="n"/>
      <c r="H532" s="14" t="n"/>
      <c r="I532" s="12" t="n"/>
      <c r="J532" s="14" t="n"/>
      <c r="K532" s="12" t="n"/>
      <c r="L532" s="13">
        <f>IF($K532="","",IFERROR(INDEX(Dept_Names,MATCH($K532,Dept_Codes,0)),"NOT FOUND"))</f>
        <v/>
      </c>
      <c r="M532" s="12" t="n"/>
      <c r="N532" s="13">
        <f>IF($M532="","",IFERROR(INDEX(Desig_Names,MATCH($M532,Desig_Codes,0)),"NOT FOUND"))</f>
        <v/>
      </c>
      <c r="O532" s="13">
        <f>IF($M532="","",IFERROR(INDEX(Desig_Levels,MATCH($M532,Desig_Codes,0)),""))</f>
        <v/>
      </c>
      <c r="P532" s="12" t="n"/>
      <c r="Q532" s="12" t="n"/>
      <c r="R532" s="12" t="n"/>
      <c r="S532" s="13">
        <f>IF($R532="","",IFERROR(INDEX(Emp_Names,MATCH($R532,Emp_Codes,0)),"NOT FOUND"))</f>
        <v/>
      </c>
      <c r="T532" s="12" t="n"/>
      <c r="U532" s="12" t="n"/>
      <c r="V532" s="12" t="n"/>
    </row>
    <row r="533">
      <c r="A533" s="12" t="n"/>
      <c r="B533" s="12" t="n"/>
      <c r="C533" s="12" t="n"/>
      <c r="D533" s="13">
        <f>IF($A533="","",TRIM($B533&amp;" "&amp;$C533))</f>
        <v/>
      </c>
      <c r="E533" s="12" t="n"/>
      <c r="F533" s="12" t="n"/>
      <c r="G533" s="14" t="n"/>
      <c r="H533" s="14" t="n"/>
      <c r="I533" s="12" t="n"/>
      <c r="J533" s="14" t="n"/>
      <c r="K533" s="12" t="n"/>
      <c r="L533" s="13">
        <f>IF($K533="","",IFERROR(INDEX(Dept_Names,MATCH($K533,Dept_Codes,0)),"NOT FOUND"))</f>
        <v/>
      </c>
      <c r="M533" s="12" t="n"/>
      <c r="N533" s="13">
        <f>IF($M533="","",IFERROR(INDEX(Desig_Names,MATCH($M533,Desig_Codes,0)),"NOT FOUND"))</f>
        <v/>
      </c>
      <c r="O533" s="13">
        <f>IF($M533="","",IFERROR(INDEX(Desig_Levels,MATCH($M533,Desig_Codes,0)),""))</f>
        <v/>
      </c>
      <c r="P533" s="12" t="n"/>
      <c r="Q533" s="12" t="n"/>
      <c r="R533" s="12" t="n"/>
      <c r="S533" s="13">
        <f>IF($R533="","",IFERROR(INDEX(Emp_Names,MATCH($R533,Emp_Codes,0)),"NOT FOUND"))</f>
        <v/>
      </c>
      <c r="T533" s="12" t="n"/>
      <c r="U533" s="12" t="n"/>
      <c r="V533" s="12" t="n"/>
    </row>
    <row r="534">
      <c r="A534" s="12" t="n"/>
      <c r="B534" s="12" t="n"/>
      <c r="C534" s="12" t="n"/>
      <c r="D534" s="13">
        <f>IF($A534="","",TRIM($B534&amp;" "&amp;$C534))</f>
        <v/>
      </c>
      <c r="E534" s="12" t="n"/>
      <c r="F534" s="12" t="n"/>
      <c r="G534" s="14" t="n"/>
      <c r="H534" s="14" t="n"/>
      <c r="I534" s="12" t="n"/>
      <c r="J534" s="14" t="n"/>
      <c r="K534" s="12" t="n"/>
      <c r="L534" s="13">
        <f>IF($K534="","",IFERROR(INDEX(Dept_Names,MATCH($K534,Dept_Codes,0)),"NOT FOUND"))</f>
        <v/>
      </c>
      <c r="M534" s="12" t="n"/>
      <c r="N534" s="13">
        <f>IF($M534="","",IFERROR(INDEX(Desig_Names,MATCH($M534,Desig_Codes,0)),"NOT FOUND"))</f>
        <v/>
      </c>
      <c r="O534" s="13">
        <f>IF($M534="","",IFERROR(INDEX(Desig_Levels,MATCH($M534,Desig_Codes,0)),""))</f>
        <v/>
      </c>
      <c r="P534" s="12" t="n"/>
      <c r="Q534" s="12" t="n"/>
      <c r="R534" s="12" t="n"/>
      <c r="S534" s="13">
        <f>IF($R534="","",IFERROR(INDEX(Emp_Names,MATCH($R534,Emp_Codes,0)),"NOT FOUND"))</f>
        <v/>
      </c>
      <c r="T534" s="12" t="n"/>
      <c r="U534" s="12" t="n"/>
      <c r="V534" s="12" t="n"/>
    </row>
    <row r="535">
      <c r="A535" s="12" t="n"/>
      <c r="B535" s="12" t="n"/>
      <c r="C535" s="12" t="n"/>
      <c r="D535" s="13">
        <f>IF($A535="","",TRIM($B535&amp;" "&amp;$C535))</f>
        <v/>
      </c>
      <c r="E535" s="12" t="n"/>
      <c r="F535" s="12" t="n"/>
      <c r="G535" s="14" t="n"/>
      <c r="H535" s="14" t="n"/>
      <c r="I535" s="12" t="n"/>
      <c r="J535" s="14" t="n"/>
      <c r="K535" s="12" t="n"/>
      <c r="L535" s="13">
        <f>IF($K535="","",IFERROR(INDEX(Dept_Names,MATCH($K535,Dept_Codes,0)),"NOT FOUND"))</f>
        <v/>
      </c>
      <c r="M535" s="12" t="n"/>
      <c r="N535" s="13">
        <f>IF($M535="","",IFERROR(INDEX(Desig_Names,MATCH($M535,Desig_Codes,0)),"NOT FOUND"))</f>
        <v/>
      </c>
      <c r="O535" s="13">
        <f>IF($M535="","",IFERROR(INDEX(Desig_Levels,MATCH($M535,Desig_Codes,0)),""))</f>
        <v/>
      </c>
      <c r="P535" s="12" t="n"/>
      <c r="Q535" s="12" t="n"/>
      <c r="R535" s="12" t="n"/>
      <c r="S535" s="13">
        <f>IF($R535="","",IFERROR(INDEX(Emp_Names,MATCH($R535,Emp_Codes,0)),"NOT FOUND"))</f>
        <v/>
      </c>
      <c r="T535" s="12" t="n"/>
      <c r="U535" s="12" t="n"/>
      <c r="V535" s="12" t="n"/>
    </row>
    <row r="536">
      <c r="A536" s="12" t="n"/>
      <c r="B536" s="12" t="n"/>
      <c r="C536" s="12" t="n"/>
      <c r="D536" s="13">
        <f>IF($A536="","",TRIM($B536&amp;" "&amp;$C536))</f>
        <v/>
      </c>
      <c r="E536" s="12" t="n"/>
      <c r="F536" s="12" t="n"/>
      <c r="G536" s="14" t="n"/>
      <c r="H536" s="14" t="n"/>
      <c r="I536" s="12" t="n"/>
      <c r="J536" s="14" t="n"/>
      <c r="K536" s="12" t="n"/>
      <c r="L536" s="13">
        <f>IF($K536="","",IFERROR(INDEX(Dept_Names,MATCH($K536,Dept_Codes,0)),"NOT FOUND"))</f>
        <v/>
      </c>
      <c r="M536" s="12" t="n"/>
      <c r="N536" s="13">
        <f>IF($M536="","",IFERROR(INDEX(Desig_Names,MATCH($M536,Desig_Codes,0)),"NOT FOUND"))</f>
        <v/>
      </c>
      <c r="O536" s="13">
        <f>IF($M536="","",IFERROR(INDEX(Desig_Levels,MATCH($M536,Desig_Codes,0)),""))</f>
        <v/>
      </c>
      <c r="P536" s="12" t="n"/>
      <c r="Q536" s="12" t="n"/>
      <c r="R536" s="12" t="n"/>
      <c r="S536" s="13">
        <f>IF($R536="","",IFERROR(INDEX(Emp_Names,MATCH($R536,Emp_Codes,0)),"NOT FOUND"))</f>
        <v/>
      </c>
      <c r="T536" s="12" t="n"/>
      <c r="U536" s="12" t="n"/>
      <c r="V536" s="12" t="n"/>
    </row>
    <row r="537">
      <c r="A537" s="12" t="n"/>
      <c r="B537" s="12" t="n"/>
      <c r="C537" s="12" t="n"/>
      <c r="D537" s="13">
        <f>IF($A537="","",TRIM($B537&amp;" "&amp;$C537))</f>
        <v/>
      </c>
      <c r="E537" s="12" t="n"/>
      <c r="F537" s="12" t="n"/>
      <c r="G537" s="14" t="n"/>
      <c r="H537" s="14" t="n"/>
      <c r="I537" s="12" t="n"/>
      <c r="J537" s="14" t="n"/>
      <c r="K537" s="12" t="n"/>
      <c r="L537" s="13">
        <f>IF($K537="","",IFERROR(INDEX(Dept_Names,MATCH($K537,Dept_Codes,0)),"NOT FOUND"))</f>
        <v/>
      </c>
      <c r="M537" s="12" t="n"/>
      <c r="N537" s="13">
        <f>IF($M537="","",IFERROR(INDEX(Desig_Names,MATCH($M537,Desig_Codes,0)),"NOT FOUND"))</f>
        <v/>
      </c>
      <c r="O537" s="13">
        <f>IF($M537="","",IFERROR(INDEX(Desig_Levels,MATCH($M537,Desig_Codes,0)),""))</f>
        <v/>
      </c>
      <c r="P537" s="12" t="n"/>
      <c r="Q537" s="12" t="n"/>
      <c r="R537" s="12" t="n"/>
      <c r="S537" s="13">
        <f>IF($R537="","",IFERROR(INDEX(Emp_Names,MATCH($R537,Emp_Codes,0)),"NOT FOUND"))</f>
        <v/>
      </c>
      <c r="T537" s="12" t="n"/>
      <c r="U537" s="12" t="n"/>
      <c r="V537" s="12" t="n"/>
    </row>
    <row r="538">
      <c r="A538" s="12" t="n"/>
      <c r="B538" s="12" t="n"/>
      <c r="C538" s="12" t="n"/>
      <c r="D538" s="13">
        <f>IF($A538="","",TRIM($B538&amp;" "&amp;$C538))</f>
        <v/>
      </c>
      <c r="E538" s="12" t="n"/>
      <c r="F538" s="12" t="n"/>
      <c r="G538" s="14" t="n"/>
      <c r="H538" s="14" t="n"/>
      <c r="I538" s="12" t="n"/>
      <c r="J538" s="14" t="n"/>
      <c r="K538" s="12" t="n"/>
      <c r="L538" s="13">
        <f>IF($K538="","",IFERROR(INDEX(Dept_Names,MATCH($K538,Dept_Codes,0)),"NOT FOUND"))</f>
        <v/>
      </c>
      <c r="M538" s="12" t="n"/>
      <c r="N538" s="13">
        <f>IF($M538="","",IFERROR(INDEX(Desig_Names,MATCH($M538,Desig_Codes,0)),"NOT FOUND"))</f>
        <v/>
      </c>
      <c r="O538" s="13">
        <f>IF($M538="","",IFERROR(INDEX(Desig_Levels,MATCH($M538,Desig_Codes,0)),""))</f>
        <v/>
      </c>
      <c r="P538" s="12" t="n"/>
      <c r="Q538" s="12" t="n"/>
      <c r="R538" s="12" t="n"/>
      <c r="S538" s="13">
        <f>IF($R538="","",IFERROR(INDEX(Emp_Names,MATCH($R538,Emp_Codes,0)),"NOT FOUND"))</f>
        <v/>
      </c>
      <c r="T538" s="12" t="n"/>
      <c r="U538" s="12" t="n"/>
      <c r="V538" s="12" t="n"/>
    </row>
    <row r="539">
      <c r="A539" s="12" t="n"/>
      <c r="B539" s="12" t="n"/>
      <c r="C539" s="12" t="n"/>
      <c r="D539" s="13">
        <f>IF($A539="","",TRIM($B539&amp;" "&amp;$C539))</f>
        <v/>
      </c>
      <c r="E539" s="12" t="n"/>
      <c r="F539" s="12" t="n"/>
      <c r="G539" s="14" t="n"/>
      <c r="H539" s="14" t="n"/>
      <c r="I539" s="12" t="n"/>
      <c r="J539" s="14" t="n"/>
      <c r="K539" s="12" t="n"/>
      <c r="L539" s="13">
        <f>IF($K539="","",IFERROR(INDEX(Dept_Names,MATCH($K539,Dept_Codes,0)),"NOT FOUND"))</f>
        <v/>
      </c>
      <c r="M539" s="12" t="n"/>
      <c r="N539" s="13">
        <f>IF($M539="","",IFERROR(INDEX(Desig_Names,MATCH($M539,Desig_Codes,0)),"NOT FOUND"))</f>
        <v/>
      </c>
      <c r="O539" s="13">
        <f>IF($M539="","",IFERROR(INDEX(Desig_Levels,MATCH($M539,Desig_Codes,0)),""))</f>
        <v/>
      </c>
      <c r="P539" s="12" t="n"/>
      <c r="Q539" s="12" t="n"/>
      <c r="R539" s="12" t="n"/>
      <c r="S539" s="13">
        <f>IF($R539="","",IFERROR(INDEX(Emp_Names,MATCH($R539,Emp_Codes,0)),"NOT FOUND"))</f>
        <v/>
      </c>
      <c r="T539" s="12" t="n"/>
      <c r="U539" s="12" t="n"/>
      <c r="V539" s="12" t="n"/>
    </row>
    <row r="540">
      <c r="A540" s="12" t="n"/>
      <c r="B540" s="12" t="n"/>
      <c r="C540" s="12" t="n"/>
      <c r="D540" s="13">
        <f>IF($A540="","",TRIM($B540&amp;" "&amp;$C540))</f>
        <v/>
      </c>
      <c r="E540" s="12" t="n"/>
      <c r="F540" s="12" t="n"/>
      <c r="G540" s="14" t="n"/>
      <c r="H540" s="14" t="n"/>
      <c r="I540" s="12" t="n"/>
      <c r="J540" s="14" t="n"/>
      <c r="K540" s="12" t="n"/>
      <c r="L540" s="13">
        <f>IF($K540="","",IFERROR(INDEX(Dept_Names,MATCH($K540,Dept_Codes,0)),"NOT FOUND"))</f>
        <v/>
      </c>
      <c r="M540" s="12" t="n"/>
      <c r="N540" s="13">
        <f>IF($M540="","",IFERROR(INDEX(Desig_Names,MATCH($M540,Desig_Codes,0)),"NOT FOUND"))</f>
        <v/>
      </c>
      <c r="O540" s="13">
        <f>IF($M540="","",IFERROR(INDEX(Desig_Levels,MATCH($M540,Desig_Codes,0)),""))</f>
        <v/>
      </c>
      <c r="P540" s="12" t="n"/>
      <c r="Q540" s="12" t="n"/>
      <c r="R540" s="12" t="n"/>
      <c r="S540" s="13">
        <f>IF($R540="","",IFERROR(INDEX(Emp_Names,MATCH($R540,Emp_Codes,0)),"NOT FOUND"))</f>
        <v/>
      </c>
      <c r="T540" s="12" t="n"/>
      <c r="U540" s="12" t="n"/>
      <c r="V540" s="12" t="n"/>
    </row>
    <row r="541">
      <c r="A541" s="12" t="n"/>
      <c r="B541" s="12" t="n"/>
      <c r="C541" s="12" t="n"/>
      <c r="D541" s="13">
        <f>IF($A541="","",TRIM($B541&amp;" "&amp;$C541))</f>
        <v/>
      </c>
      <c r="E541" s="12" t="n"/>
      <c r="F541" s="12" t="n"/>
      <c r="G541" s="14" t="n"/>
      <c r="H541" s="14" t="n"/>
      <c r="I541" s="12" t="n"/>
      <c r="J541" s="14" t="n"/>
      <c r="K541" s="12" t="n"/>
      <c r="L541" s="13">
        <f>IF($K541="","",IFERROR(INDEX(Dept_Names,MATCH($K541,Dept_Codes,0)),"NOT FOUND"))</f>
        <v/>
      </c>
      <c r="M541" s="12" t="n"/>
      <c r="N541" s="13">
        <f>IF($M541="","",IFERROR(INDEX(Desig_Names,MATCH($M541,Desig_Codes,0)),"NOT FOUND"))</f>
        <v/>
      </c>
      <c r="O541" s="13">
        <f>IF($M541="","",IFERROR(INDEX(Desig_Levels,MATCH($M541,Desig_Codes,0)),""))</f>
        <v/>
      </c>
      <c r="P541" s="12" t="n"/>
      <c r="Q541" s="12" t="n"/>
      <c r="R541" s="12" t="n"/>
      <c r="S541" s="13">
        <f>IF($R541="","",IFERROR(INDEX(Emp_Names,MATCH($R541,Emp_Codes,0)),"NOT FOUND"))</f>
        <v/>
      </c>
      <c r="T541" s="12" t="n"/>
      <c r="U541" s="12" t="n"/>
      <c r="V541" s="12" t="n"/>
    </row>
    <row r="542">
      <c r="A542" s="12" t="n"/>
      <c r="B542" s="12" t="n"/>
      <c r="C542" s="12" t="n"/>
      <c r="D542" s="13">
        <f>IF($A542="","",TRIM($B542&amp;" "&amp;$C542))</f>
        <v/>
      </c>
      <c r="E542" s="12" t="n"/>
      <c r="F542" s="12" t="n"/>
      <c r="G542" s="14" t="n"/>
      <c r="H542" s="14" t="n"/>
      <c r="I542" s="12" t="n"/>
      <c r="J542" s="14" t="n"/>
      <c r="K542" s="12" t="n"/>
      <c r="L542" s="13">
        <f>IF($K542="","",IFERROR(INDEX(Dept_Names,MATCH($K542,Dept_Codes,0)),"NOT FOUND"))</f>
        <v/>
      </c>
      <c r="M542" s="12" t="n"/>
      <c r="N542" s="13">
        <f>IF($M542="","",IFERROR(INDEX(Desig_Names,MATCH($M542,Desig_Codes,0)),"NOT FOUND"))</f>
        <v/>
      </c>
      <c r="O542" s="13">
        <f>IF($M542="","",IFERROR(INDEX(Desig_Levels,MATCH($M542,Desig_Codes,0)),""))</f>
        <v/>
      </c>
      <c r="P542" s="12" t="n"/>
      <c r="Q542" s="12" t="n"/>
      <c r="R542" s="12" t="n"/>
      <c r="S542" s="13">
        <f>IF($R542="","",IFERROR(INDEX(Emp_Names,MATCH($R542,Emp_Codes,0)),"NOT FOUND"))</f>
        <v/>
      </c>
      <c r="T542" s="12" t="n"/>
      <c r="U542" s="12" t="n"/>
      <c r="V542" s="12" t="n"/>
    </row>
    <row r="543">
      <c r="A543" s="12" t="n"/>
      <c r="B543" s="12" t="n"/>
      <c r="C543" s="12" t="n"/>
      <c r="D543" s="13">
        <f>IF($A543="","",TRIM($B543&amp;" "&amp;$C543))</f>
        <v/>
      </c>
      <c r="E543" s="12" t="n"/>
      <c r="F543" s="12" t="n"/>
      <c r="G543" s="14" t="n"/>
      <c r="H543" s="14" t="n"/>
      <c r="I543" s="12" t="n"/>
      <c r="J543" s="14" t="n"/>
      <c r="K543" s="12" t="n"/>
      <c r="L543" s="13">
        <f>IF($K543="","",IFERROR(INDEX(Dept_Names,MATCH($K543,Dept_Codes,0)),"NOT FOUND"))</f>
        <v/>
      </c>
      <c r="M543" s="12" t="n"/>
      <c r="N543" s="13">
        <f>IF($M543="","",IFERROR(INDEX(Desig_Names,MATCH($M543,Desig_Codes,0)),"NOT FOUND"))</f>
        <v/>
      </c>
      <c r="O543" s="13">
        <f>IF($M543="","",IFERROR(INDEX(Desig_Levels,MATCH($M543,Desig_Codes,0)),""))</f>
        <v/>
      </c>
      <c r="P543" s="12" t="n"/>
      <c r="Q543" s="12" t="n"/>
      <c r="R543" s="12" t="n"/>
      <c r="S543" s="13">
        <f>IF($R543="","",IFERROR(INDEX(Emp_Names,MATCH($R543,Emp_Codes,0)),"NOT FOUND"))</f>
        <v/>
      </c>
      <c r="T543" s="12" t="n"/>
      <c r="U543" s="12" t="n"/>
      <c r="V543" s="12" t="n"/>
    </row>
    <row r="544">
      <c r="A544" s="12" t="n"/>
      <c r="B544" s="12" t="n"/>
      <c r="C544" s="12" t="n"/>
      <c r="D544" s="13">
        <f>IF($A544="","",TRIM($B544&amp;" "&amp;$C544))</f>
        <v/>
      </c>
      <c r="E544" s="12" t="n"/>
      <c r="F544" s="12" t="n"/>
      <c r="G544" s="14" t="n"/>
      <c r="H544" s="14" t="n"/>
      <c r="I544" s="12" t="n"/>
      <c r="J544" s="14" t="n"/>
      <c r="K544" s="12" t="n"/>
      <c r="L544" s="13">
        <f>IF($K544="","",IFERROR(INDEX(Dept_Names,MATCH($K544,Dept_Codes,0)),"NOT FOUND"))</f>
        <v/>
      </c>
      <c r="M544" s="12" t="n"/>
      <c r="N544" s="13">
        <f>IF($M544="","",IFERROR(INDEX(Desig_Names,MATCH($M544,Desig_Codes,0)),"NOT FOUND"))</f>
        <v/>
      </c>
      <c r="O544" s="13">
        <f>IF($M544="","",IFERROR(INDEX(Desig_Levels,MATCH($M544,Desig_Codes,0)),""))</f>
        <v/>
      </c>
      <c r="P544" s="12" t="n"/>
      <c r="Q544" s="12" t="n"/>
      <c r="R544" s="12" t="n"/>
      <c r="S544" s="13">
        <f>IF($R544="","",IFERROR(INDEX(Emp_Names,MATCH($R544,Emp_Codes,0)),"NOT FOUND"))</f>
        <v/>
      </c>
      <c r="T544" s="12" t="n"/>
      <c r="U544" s="12" t="n"/>
      <c r="V544" s="12" t="n"/>
    </row>
    <row r="545">
      <c r="A545" s="12" t="n"/>
      <c r="B545" s="12" t="n"/>
      <c r="C545" s="12" t="n"/>
      <c r="D545" s="13">
        <f>IF($A545="","",TRIM($B545&amp;" "&amp;$C545))</f>
        <v/>
      </c>
      <c r="E545" s="12" t="n"/>
      <c r="F545" s="12" t="n"/>
      <c r="G545" s="14" t="n"/>
      <c r="H545" s="14" t="n"/>
      <c r="I545" s="12" t="n"/>
      <c r="J545" s="14" t="n"/>
      <c r="K545" s="12" t="n"/>
      <c r="L545" s="13">
        <f>IF($K545="","",IFERROR(INDEX(Dept_Names,MATCH($K545,Dept_Codes,0)),"NOT FOUND"))</f>
        <v/>
      </c>
      <c r="M545" s="12" t="n"/>
      <c r="N545" s="13">
        <f>IF($M545="","",IFERROR(INDEX(Desig_Names,MATCH($M545,Desig_Codes,0)),"NOT FOUND"))</f>
        <v/>
      </c>
      <c r="O545" s="13">
        <f>IF($M545="","",IFERROR(INDEX(Desig_Levels,MATCH($M545,Desig_Codes,0)),""))</f>
        <v/>
      </c>
      <c r="P545" s="12" t="n"/>
      <c r="Q545" s="12" t="n"/>
      <c r="R545" s="12" t="n"/>
      <c r="S545" s="13">
        <f>IF($R545="","",IFERROR(INDEX(Emp_Names,MATCH($R545,Emp_Codes,0)),"NOT FOUND"))</f>
        <v/>
      </c>
      <c r="T545" s="12" t="n"/>
      <c r="U545" s="12" t="n"/>
      <c r="V545" s="12" t="n"/>
    </row>
    <row r="546">
      <c r="A546" s="12" t="n"/>
      <c r="B546" s="12" t="n"/>
      <c r="C546" s="12" t="n"/>
      <c r="D546" s="13">
        <f>IF($A546="","",TRIM($B546&amp;" "&amp;$C546))</f>
        <v/>
      </c>
      <c r="E546" s="12" t="n"/>
      <c r="F546" s="12" t="n"/>
      <c r="G546" s="14" t="n"/>
      <c r="H546" s="14" t="n"/>
      <c r="I546" s="12" t="n"/>
      <c r="J546" s="14" t="n"/>
      <c r="K546" s="12" t="n"/>
      <c r="L546" s="13">
        <f>IF($K546="","",IFERROR(INDEX(Dept_Names,MATCH($K546,Dept_Codes,0)),"NOT FOUND"))</f>
        <v/>
      </c>
      <c r="M546" s="12" t="n"/>
      <c r="N546" s="13">
        <f>IF($M546="","",IFERROR(INDEX(Desig_Names,MATCH($M546,Desig_Codes,0)),"NOT FOUND"))</f>
        <v/>
      </c>
      <c r="O546" s="13">
        <f>IF($M546="","",IFERROR(INDEX(Desig_Levels,MATCH($M546,Desig_Codes,0)),""))</f>
        <v/>
      </c>
      <c r="P546" s="12" t="n"/>
      <c r="Q546" s="12" t="n"/>
      <c r="R546" s="12" t="n"/>
      <c r="S546" s="13">
        <f>IF($R546="","",IFERROR(INDEX(Emp_Names,MATCH($R546,Emp_Codes,0)),"NOT FOUND"))</f>
        <v/>
      </c>
      <c r="T546" s="12" t="n"/>
      <c r="U546" s="12" t="n"/>
      <c r="V546" s="12" t="n"/>
    </row>
    <row r="547">
      <c r="A547" s="12" t="n"/>
      <c r="B547" s="12" t="n"/>
      <c r="C547" s="12" t="n"/>
      <c r="D547" s="13">
        <f>IF($A547="","",TRIM($B547&amp;" "&amp;$C547))</f>
        <v/>
      </c>
      <c r="E547" s="12" t="n"/>
      <c r="F547" s="12" t="n"/>
      <c r="G547" s="14" t="n"/>
      <c r="H547" s="14" t="n"/>
      <c r="I547" s="12" t="n"/>
      <c r="J547" s="14" t="n"/>
      <c r="K547" s="12" t="n"/>
      <c r="L547" s="13">
        <f>IF($K547="","",IFERROR(INDEX(Dept_Names,MATCH($K547,Dept_Codes,0)),"NOT FOUND"))</f>
        <v/>
      </c>
      <c r="M547" s="12" t="n"/>
      <c r="N547" s="13">
        <f>IF($M547="","",IFERROR(INDEX(Desig_Names,MATCH($M547,Desig_Codes,0)),"NOT FOUND"))</f>
        <v/>
      </c>
      <c r="O547" s="13">
        <f>IF($M547="","",IFERROR(INDEX(Desig_Levels,MATCH($M547,Desig_Codes,0)),""))</f>
        <v/>
      </c>
      <c r="P547" s="12" t="n"/>
      <c r="Q547" s="12" t="n"/>
      <c r="R547" s="12" t="n"/>
      <c r="S547" s="13">
        <f>IF($R547="","",IFERROR(INDEX(Emp_Names,MATCH($R547,Emp_Codes,0)),"NOT FOUND"))</f>
        <v/>
      </c>
      <c r="T547" s="12" t="n"/>
      <c r="U547" s="12" t="n"/>
      <c r="V547" s="12" t="n"/>
    </row>
    <row r="548">
      <c r="A548" s="12" t="n"/>
      <c r="B548" s="12" t="n"/>
      <c r="C548" s="12" t="n"/>
      <c r="D548" s="13">
        <f>IF($A548="","",TRIM($B548&amp;" "&amp;$C548))</f>
        <v/>
      </c>
      <c r="E548" s="12" t="n"/>
      <c r="F548" s="12" t="n"/>
      <c r="G548" s="14" t="n"/>
      <c r="H548" s="14" t="n"/>
      <c r="I548" s="12" t="n"/>
      <c r="J548" s="14" t="n"/>
      <c r="K548" s="12" t="n"/>
      <c r="L548" s="13">
        <f>IF($K548="","",IFERROR(INDEX(Dept_Names,MATCH($K548,Dept_Codes,0)),"NOT FOUND"))</f>
        <v/>
      </c>
      <c r="M548" s="12" t="n"/>
      <c r="N548" s="13">
        <f>IF($M548="","",IFERROR(INDEX(Desig_Names,MATCH($M548,Desig_Codes,0)),"NOT FOUND"))</f>
        <v/>
      </c>
      <c r="O548" s="13">
        <f>IF($M548="","",IFERROR(INDEX(Desig_Levels,MATCH($M548,Desig_Codes,0)),""))</f>
        <v/>
      </c>
      <c r="P548" s="12" t="n"/>
      <c r="Q548" s="12" t="n"/>
      <c r="R548" s="12" t="n"/>
      <c r="S548" s="13">
        <f>IF($R548="","",IFERROR(INDEX(Emp_Names,MATCH($R548,Emp_Codes,0)),"NOT FOUND"))</f>
        <v/>
      </c>
      <c r="T548" s="12" t="n"/>
      <c r="U548" s="12" t="n"/>
      <c r="V548" s="12" t="n"/>
    </row>
    <row r="549">
      <c r="A549" s="12" t="n"/>
      <c r="B549" s="12" t="n"/>
      <c r="C549" s="12" t="n"/>
      <c r="D549" s="13">
        <f>IF($A549="","",TRIM($B549&amp;" "&amp;$C549))</f>
        <v/>
      </c>
      <c r="E549" s="12" t="n"/>
      <c r="F549" s="12" t="n"/>
      <c r="G549" s="14" t="n"/>
      <c r="H549" s="14" t="n"/>
      <c r="I549" s="12" t="n"/>
      <c r="J549" s="14" t="n"/>
      <c r="K549" s="12" t="n"/>
      <c r="L549" s="13">
        <f>IF($K549="","",IFERROR(INDEX(Dept_Names,MATCH($K549,Dept_Codes,0)),"NOT FOUND"))</f>
        <v/>
      </c>
      <c r="M549" s="12" t="n"/>
      <c r="N549" s="13">
        <f>IF($M549="","",IFERROR(INDEX(Desig_Names,MATCH($M549,Desig_Codes,0)),"NOT FOUND"))</f>
        <v/>
      </c>
      <c r="O549" s="13">
        <f>IF($M549="","",IFERROR(INDEX(Desig_Levels,MATCH($M549,Desig_Codes,0)),""))</f>
        <v/>
      </c>
      <c r="P549" s="12" t="n"/>
      <c r="Q549" s="12" t="n"/>
      <c r="R549" s="12" t="n"/>
      <c r="S549" s="13">
        <f>IF($R549="","",IFERROR(INDEX(Emp_Names,MATCH($R549,Emp_Codes,0)),"NOT FOUND"))</f>
        <v/>
      </c>
      <c r="T549" s="12" t="n"/>
      <c r="U549" s="12" t="n"/>
      <c r="V549" s="12" t="n"/>
    </row>
    <row r="550">
      <c r="A550" s="12" t="n"/>
      <c r="B550" s="12" t="n"/>
      <c r="C550" s="12" t="n"/>
      <c r="D550" s="13">
        <f>IF($A550="","",TRIM($B550&amp;" "&amp;$C550))</f>
        <v/>
      </c>
      <c r="E550" s="12" t="n"/>
      <c r="F550" s="12" t="n"/>
      <c r="G550" s="14" t="n"/>
      <c r="H550" s="14" t="n"/>
      <c r="I550" s="12" t="n"/>
      <c r="J550" s="14" t="n"/>
      <c r="K550" s="12" t="n"/>
      <c r="L550" s="13">
        <f>IF($K550="","",IFERROR(INDEX(Dept_Names,MATCH($K550,Dept_Codes,0)),"NOT FOUND"))</f>
        <v/>
      </c>
      <c r="M550" s="12" t="n"/>
      <c r="N550" s="13">
        <f>IF($M550="","",IFERROR(INDEX(Desig_Names,MATCH($M550,Desig_Codes,0)),"NOT FOUND"))</f>
        <v/>
      </c>
      <c r="O550" s="13">
        <f>IF($M550="","",IFERROR(INDEX(Desig_Levels,MATCH($M550,Desig_Codes,0)),""))</f>
        <v/>
      </c>
      <c r="P550" s="12" t="n"/>
      <c r="Q550" s="12" t="n"/>
      <c r="R550" s="12" t="n"/>
      <c r="S550" s="13">
        <f>IF($R550="","",IFERROR(INDEX(Emp_Names,MATCH($R550,Emp_Codes,0)),"NOT FOUND"))</f>
        <v/>
      </c>
      <c r="T550" s="12" t="n"/>
      <c r="U550" s="12" t="n"/>
      <c r="V550" s="12" t="n"/>
    </row>
    <row r="551">
      <c r="A551" s="12" t="n"/>
      <c r="B551" s="12" t="n"/>
      <c r="C551" s="12" t="n"/>
      <c r="D551" s="13">
        <f>IF($A551="","",TRIM($B551&amp;" "&amp;$C551))</f>
        <v/>
      </c>
      <c r="E551" s="12" t="n"/>
      <c r="F551" s="12" t="n"/>
      <c r="G551" s="14" t="n"/>
      <c r="H551" s="14" t="n"/>
      <c r="I551" s="12" t="n"/>
      <c r="J551" s="14" t="n"/>
      <c r="K551" s="12" t="n"/>
      <c r="L551" s="13">
        <f>IF($K551="","",IFERROR(INDEX(Dept_Names,MATCH($K551,Dept_Codes,0)),"NOT FOUND"))</f>
        <v/>
      </c>
      <c r="M551" s="12" t="n"/>
      <c r="N551" s="13">
        <f>IF($M551="","",IFERROR(INDEX(Desig_Names,MATCH($M551,Desig_Codes,0)),"NOT FOUND"))</f>
        <v/>
      </c>
      <c r="O551" s="13">
        <f>IF($M551="","",IFERROR(INDEX(Desig_Levels,MATCH($M551,Desig_Codes,0)),""))</f>
        <v/>
      </c>
      <c r="P551" s="12" t="n"/>
      <c r="Q551" s="12" t="n"/>
      <c r="R551" s="12" t="n"/>
      <c r="S551" s="13">
        <f>IF($R551="","",IFERROR(INDEX(Emp_Names,MATCH($R551,Emp_Codes,0)),"NOT FOUND"))</f>
        <v/>
      </c>
      <c r="T551" s="12" t="n"/>
      <c r="U551" s="12" t="n"/>
      <c r="V551" s="12" t="n"/>
    </row>
    <row r="552">
      <c r="A552" s="12" t="n"/>
      <c r="B552" s="12" t="n"/>
      <c r="C552" s="12" t="n"/>
      <c r="D552" s="13">
        <f>IF($A552="","",TRIM($B552&amp;" "&amp;$C552))</f>
        <v/>
      </c>
      <c r="E552" s="12" t="n"/>
      <c r="F552" s="12" t="n"/>
      <c r="G552" s="14" t="n"/>
      <c r="H552" s="14" t="n"/>
      <c r="I552" s="12" t="n"/>
      <c r="J552" s="14" t="n"/>
      <c r="K552" s="12" t="n"/>
      <c r="L552" s="13">
        <f>IF($K552="","",IFERROR(INDEX(Dept_Names,MATCH($K552,Dept_Codes,0)),"NOT FOUND"))</f>
        <v/>
      </c>
      <c r="M552" s="12" t="n"/>
      <c r="N552" s="13">
        <f>IF($M552="","",IFERROR(INDEX(Desig_Names,MATCH($M552,Desig_Codes,0)),"NOT FOUND"))</f>
        <v/>
      </c>
      <c r="O552" s="13">
        <f>IF($M552="","",IFERROR(INDEX(Desig_Levels,MATCH($M552,Desig_Codes,0)),""))</f>
        <v/>
      </c>
      <c r="P552" s="12" t="n"/>
      <c r="Q552" s="12" t="n"/>
      <c r="R552" s="12" t="n"/>
      <c r="S552" s="13">
        <f>IF($R552="","",IFERROR(INDEX(Emp_Names,MATCH($R552,Emp_Codes,0)),"NOT FOUND"))</f>
        <v/>
      </c>
      <c r="T552" s="12" t="n"/>
      <c r="U552" s="12" t="n"/>
      <c r="V552" s="12" t="n"/>
    </row>
    <row r="553">
      <c r="A553" s="12" t="n"/>
      <c r="B553" s="12" t="n"/>
      <c r="C553" s="12" t="n"/>
      <c r="D553" s="13">
        <f>IF($A553="","",TRIM($B553&amp;" "&amp;$C553))</f>
        <v/>
      </c>
      <c r="E553" s="12" t="n"/>
      <c r="F553" s="12" t="n"/>
      <c r="G553" s="14" t="n"/>
      <c r="H553" s="14" t="n"/>
      <c r="I553" s="12" t="n"/>
      <c r="J553" s="14" t="n"/>
      <c r="K553" s="12" t="n"/>
      <c r="L553" s="13">
        <f>IF($K553="","",IFERROR(INDEX(Dept_Names,MATCH($K553,Dept_Codes,0)),"NOT FOUND"))</f>
        <v/>
      </c>
      <c r="M553" s="12" t="n"/>
      <c r="N553" s="13">
        <f>IF($M553="","",IFERROR(INDEX(Desig_Names,MATCH($M553,Desig_Codes,0)),"NOT FOUND"))</f>
        <v/>
      </c>
      <c r="O553" s="13">
        <f>IF($M553="","",IFERROR(INDEX(Desig_Levels,MATCH($M553,Desig_Codes,0)),""))</f>
        <v/>
      </c>
      <c r="P553" s="12" t="n"/>
      <c r="Q553" s="12" t="n"/>
      <c r="R553" s="12" t="n"/>
      <c r="S553" s="13">
        <f>IF($R553="","",IFERROR(INDEX(Emp_Names,MATCH($R553,Emp_Codes,0)),"NOT FOUND"))</f>
        <v/>
      </c>
      <c r="T553" s="12" t="n"/>
      <c r="U553" s="12" t="n"/>
      <c r="V553" s="12" t="n"/>
    </row>
    <row r="554">
      <c r="A554" s="12" t="n"/>
      <c r="B554" s="12" t="n"/>
      <c r="C554" s="12" t="n"/>
      <c r="D554" s="13">
        <f>IF($A554="","",TRIM($B554&amp;" "&amp;$C554))</f>
        <v/>
      </c>
      <c r="E554" s="12" t="n"/>
      <c r="F554" s="12" t="n"/>
      <c r="G554" s="14" t="n"/>
      <c r="H554" s="14" t="n"/>
      <c r="I554" s="12" t="n"/>
      <c r="J554" s="14" t="n"/>
      <c r="K554" s="12" t="n"/>
      <c r="L554" s="13">
        <f>IF($K554="","",IFERROR(INDEX(Dept_Names,MATCH($K554,Dept_Codes,0)),"NOT FOUND"))</f>
        <v/>
      </c>
      <c r="M554" s="12" t="n"/>
      <c r="N554" s="13">
        <f>IF($M554="","",IFERROR(INDEX(Desig_Names,MATCH($M554,Desig_Codes,0)),"NOT FOUND"))</f>
        <v/>
      </c>
      <c r="O554" s="13">
        <f>IF($M554="","",IFERROR(INDEX(Desig_Levels,MATCH($M554,Desig_Codes,0)),""))</f>
        <v/>
      </c>
      <c r="P554" s="12" t="n"/>
      <c r="Q554" s="12" t="n"/>
      <c r="R554" s="12" t="n"/>
      <c r="S554" s="13">
        <f>IF($R554="","",IFERROR(INDEX(Emp_Names,MATCH($R554,Emp_Codes,0)),"NOT FOUND"))</f>
        <v/>
      </c>
      <c r="T554" s="12" t="n"/>
      <c r="U554" s="12" t="n"/>
      <c r="V554" s="12" t="n"/>
    </row>
    <row r="555">
      <c r="A555" s="12" t="n"/>
      <c r="B555" s="12" t="n"/>
      <c r="C555" s="12" t="n"/>
      <c r="D555" s="13">
        <f>IF($A555="","",TRIM($B555&amp;" "&amp;$C555))</f>
        <v/>
      </c>
      <c r="E555" s="12" t="n"/>
      <c r="F555" s="12" t="n"/>
      <c r="G555" s="14" t="n"/>
      <c r="H555" s="14" t="n"/>
      <c r="I555" s="12" t="n"/>
      <c r="J555" s="14" t="n"/>
      <c r="K555" s="12" t="n"/>
      <c r="L555" s="13">
        <f>IF($K555="","",IFERROR(INDEX(Dept_Names,MATCH($K555,Dept_Codes,0)),"NOT FOUND"))</f>
        <v/>
      </c>
      <c r="M555" s="12" t="n"/>
      <c r="N555" s="13">
        <f>IF($M555="","",IFERROR(INDEX(Desig_Names,MATCH($M555,Desig_Codes,0)),"NOT FOUND"))</f>
        <v/>
      </c>
      <c r="O555" s="13">
        <f>IF($M555="","",IFERROR(INDEX(Desig_Levels,MATCH($M555,Desig_Codes,0)),""))</f>
        <v/>
      </c>
      <c r="P555" s="12" t="n"/>
      <c r="Q555" s="12" t="n"/>
      <c r="R555" s="12" t="n"/>
      <c r="S555" s="13">
        <f>IF($R555="","",IFERROR(INDEX(Emp_Names,MATCH($R555,Emp_Codes,0)),"NOT FOUND"))</f>
        <v/>
      </c>
      <c r="T555" s="12" t="n"/>
      <c r="U555" s="12" t="n"/>
      <c r="V555" s="12" t="n"/>
    </row>
    <row r="556">
      <c r="A556" s="12" t="n"/>
      <c r="B556" s="12" t="n"/>
      <c r="C556" s="12" t="n"/>
      <c r="D556" s="13">
        <f>IF($A556="","",TRIM($B556&amp;" "&amp;$C556))</f>
        <v/>
      </c>
      <c r="E556" s="12" t="n"/>
      <c r="F556" s="12" t="n"/>
      <c r="G556" s="14" t="n"/>
      <c r="H556" s="14" t="n"/>
      <c r="I556" s="12" t="n"/>
      <c r="J556" s="14" t="n"/>
      <c r="K556" s="12" t="n"/>
      <c r="L556" s="13">
        <f>IF($K556="","",IFERROR(INDEX(Dept_Names,MATCH($K556,Dept_Codes,0)),"NOT FOUND"))</f>
        <v/>
      </c>
      <c r="M556" s="12" t="n"/>
      <c r="N556" s="13">
        <f>IF($M556="","",IFERROR(INDEX(Desig_Names,MATCH($M556,Desig_Codes,0)),"NOT FOUND"))</f>
        <v/>
      </c>
      <c r="O556" s="13">
        <f>IF($M556="","",IFERROR(INDEX(Desig_Levels,MATCH($M556,Desig_Codes,0)),""))</f>
        <v/>
      </c>
      <c r="P556" s="12" t="n"/>
      <c r="Q556" s="12" t="n"/>
      <c r="R556" s="12" t="n"/>
      <c r="S556" s="13">
        <f>IF($R556="","",IFERROR(INDEX(Emp_Names,MATCH($R556,Emp_Codes,0)),"NOT FOUND"))</f>
        <v/>
      </c>
      <c r="T556" s="12" t="n"/>
      <c r="U556" s="12" t="n"/>
      <c r="V556" s="12" t="n"/>
    </row>
    <row r="557">
      <c r="A557" s="12" t="n"/>
      <c r="B557" s="12" t="n"/>
      <c r="C557" s="12" t="n"/>
      <c r="D557" s="13">
        <f>IF($A557="","",TRIM($B557&amp;" "&amp;$C557))</f>
        <v/>
      </c>
      <c r="E557" s="12" t="n"/>
      <c r="F557" s="12" t="n"/>
      <c r="G557" s="14" t="n"/>
      <c r="H557" s="14" t="n"/>
      <c r="I557" s="12" t="n"/>
      <c r="J557" s="14" t="n"/>
      <c r="K557" s="12" t="n"/>
      <c r="L557" s="13">
        <f>IF($K557="","",IFERROR(INDEX(Dept_Names,MATCH($K557,Dept_Codes,0)),"NOT FOUND"))</f>
        <v/>
      </c>
      <c r="M557" s="12" t="n"/>
      <c r="N557" s="13">
        <f>IF($M557="","",IFERROR(INDEX(Desig_Names,MATCH($M557,Desig_Codes,0)),"NOT FOUND"))</f>
        <v/>
      </c>
      <c r="O557" s="13">
        <f>IF($M557="","",IFERROR(INDEX(Desig_Levels,MATCH($M557,Desig_Codes,0)),""))</f>
        <v/>
      </c>
      <c r="P557" s="12" t="n"/>
      <c r="Q557" s="12" t="n"/>
      <c r="R557" s="12" t="n"/>
      <c r="S557" s="13">
        <f>IF($R557="","",IFERROR(INDEX(Emp_Names,MATCH($R557,Emp_Codes,0)),"NOT FOUND"))</f>
        <v/>
      </c>
      <c r="T557" s="12" t="n"/>
      <c r="U557" s="12" t="n"/>
      <c r="V557" s="12" t="n"/>
    </row>
    <row r="558">
      <c r="A558" s="12" t="n"/>
      <c r="B558" s="12" t="n"/>
      <c r="C558" s="12" t="n"/>
      <c r="D558" s="13">
        <f>IF($A558="","",TRIM($B558&amp;" "&amp;$C558))</f>
        <v/>
      </c>
      <c r="E558" s="12" t="n"/>
      <c r="F558" s="12" t="n"/>
      <c r="G558" s="14" t="n"/>
      <c r="H558" s="14" t="n"/>
      <c r="I558" s="12" t="n"/>
      <c r="J558" s="14" t="n"/>
      <c r="K558" s="12" t="n"/>
      <c r="L558" s="13">
        <f>IF($K558="","",IFERROR(INDEX(Dept_Names,MATCH($K558,Dept_Codes,0)),"NOT FOUND"))</f>
        <v/>
      </c>
      <c r="M558" s="12" t="n"/>
      <c r="N558" s="13">
        <f>IF($M558="","",IFERROR(INDEX(Desig_Names,MATCH($M558,Desig_Codes,0)),"NOT FOUND"))</f>
        <v/>
      </c>
      <c r="O558" s="13">
        <f>IF($M558="","",IFERROR(INDEX(Desig_Levels,MATCH($M558,Desig_Codes,0)),""))</f>
        <v/>
      </c>
      <c r="P558" s="12" t="n"/>
      <c r="Q558" s="12" t="n"/>
      <c r="R558" s="12" t="n"/>
      <c r="S558" s="13">
        <f>IF($R558="","",IFERROR(INDEX(Emp_Names,MATCH($R558,Emp_Codes,0)),"NOT FOUND"))</f>
        <v/>
      </c>
      <c r="T558" s="12" t="n"/>
      <c r="U558" s="12" t="n"/>
      <c r="V558" s="12" t="n"/>
    </row>
    <row r="559">
      <c r="A559" s="12" t="n"/>
      <c r="B559" s="12" t="n"/>
      <c r="C559" s="12" t="n"/>
      <c r="D559" s="13">
        <f>IF($A559="","",TRIM($B559&amp;" "&amp;$C559))</f>
        <v/>
      </c>
      <c r="E559" s="12" t="n"/>
      <c r="F559" s="12" t="n"/>
      <c r="G559" s="14" t="n"/>
      <c r="H559" s="14" t="n"/>
      <c r="I559" s="12" t="n"/>
      <c r="J559" s="14" t="n"/>
      <c r="K559" s="12" t="n"/>
      <c r="L559" s="13">
        <f>IF($K559="","",IFERROR(INDEX(Dept_Names,MATCH($K559,Dept_Codes,0)),"NOT FOUND"))</f>
        <v/>
      </c>
      <c r="M559" s="12" t="n"/>
      <c r="N559" s="13">
        <f>IF($M559="","",IFERROR(INDEX(Desig_Names,MATCH($M559,Desig_Codes,0)),"NOT FOUND"))</f>
        <v/>
      </c>
      <c r="O559" s="13">
        <f>IF($M559="","",IFERROR(INDEX(Desig_Levels,MATCH($M559,Desig_Codes,0)),""))</f>
        <v/>
      </c>
      <c r="P559" s="12" t="n"/>
      <c r="Q559" s="12" t="n"/>
      <c r="R559" s="12" t="n"/>
      <c r="S559" s="13">
        <f>IF($R559="","",IFERROR(INDEX(Emp_Names,MATCH($R559,Emp_Codes,0)),"NOT FOUND"))</f>
        <v/>
      </c>
      <c r="T559" s="12" t="n"/>
      <c r="U559" s="12" t="n"/>
      <c r="V559" s="12" t="n"/>
    </row>
    <row r="560">
      <c r="A560" s="12" t="n"/>
      <c r="B560" s="12" t="n"/>
      <c r="C560" s="12" t="n"/>
      <c r="D560" s="13">
        <f>IF($A560="","",TRIM($B560&amp;" "&amp;$C560))</f>
        <v/>
      </c>
      <c r="E560" s="12" t="n"/>
      <c r="F560" s="12" t="n"/>
      <c r="G560" s="14" t="n"/>
      <c r="H560" s="14" t="n"/>
      <c r="I560" s="12" t="n"/>
      <c r="J560" s="14" t="n"/>
      <c r="K560" s="12" t="n"/>
      <c r="L560" s="13">
        <f>IF($K560="","",IFERROR(INDEX(Dept_Names,MATCH($K560,Dept_Codes,0)),"NOT FOUND"))</f>
        <v/>
      </c>
      <c r="M560" s="12" t="n"/>
      <c r="N560" s="13">
        <f>IF($M560="","",IFERROR(INDEX(Desig_Names,MATCH($M560,Desig_Codes,0)),"NOT FOUND"))</f>
        <v/>
      </c>
      <c r="O560" s="13">
        <f>IF($M560="","",IFERROR(INDEX(Desig_Levels,MATCH($M560,Desig_Codes,0)),""))</f>
        <v/>
      </c>
      <c r="P560" s="12" t="n"/>
      <c r="Q560" s="12" t="n"/>
      <c r="R560" s="12" t="n"/>
      <c r="S560" s="13">
        <f>IF($R560="","",IFERROR(INDEX(Emp_Names,MATCH($R560,Emp_Codes,0)),"NOT FOUND"))</f>
        <v/>
      </c>
      <c r="T560" s="12" t="n"/>
      <c r="U560" s="12" t="n"/>
      <c r="V560" s="12" t="n"/>
    </row>
    <row r="561">
      <c r="A561" s="12" t="n"/>
      <c r="B561" s="12" t="n"/>
      <c r="C561" s="12" t="n"/>
      <c r="D561" s="13">
        <f>IF($A561="","",TRIM($B561&amp;" "&amp;$C561))</f>
        <v/>
      </c>
      <c r="E561" s="12" t="n"/>
      <c r="F561" s="12" t="n"/>
      <c r="G561" s="14" t="n"/>
      <c r="H561" s="14" t="n"/>
      <c r="I561" s="12" t="n"/>
      <c r="J561" s="14" t="n"/>
      <c r="K561" s="12" t="n"/>
      <c r="L561" s="13">
        <f>IF($K561="","",IFERROR(INDEX(Dept_Names,MATCH($K561,Dept_Codes,0)),"NOT FOUND"))</f>
        <v/>
      </c>
      <c r="M561" s="12" t="n"/>
      <c r="N561" s="13">
        <f>IF($M561="","",IFERROR(INDEX(Desig_Names,MATCH($M561,Desig_Codes,0)),"NOT FOUND"))</f>
        <v/>
      </c>
      <c r="O561" s="13">
        <f>IF($M561="","",IFERROR(INDEX(Desig_Levels,MATCH($M561,Desig_Codes,0)),""))</f>
        <v/>
      </c>
      <c r="P561" s="12" t="n"/>
      <c r="Q561" s="12" t="n"/>
      <c r="R561" s="12" t="n"/>
      <c r="S561" s="13">
        <f>IF($R561="","",IFERROR(INDEX(Emp_Names,MATCH($R561,Emp_Codes,0)),"NOT FOUND"))</f>
        <v/>
      </c>
      <c r="T561" s="12" t="n"/>
      <c r="U561" s="12" t="n"/>
      <c r="V561" s="12" t="n"/>
    </row>
    <row r="562">
      <c r="A562" s="12" t="n"/>
      <c r="B562" s="12" t="n"/>
      <c r="C562" s="12" t="n"/>
      <c r="D562" s="13">
        <f>IF($A562="","",TRIM($B562&amp;" "&amp;$C562))</f>
        <v/>
      </c>
      <c r="E562" s="12" t="n"/>
      <c r="F562" s="12" t="n"/>
      <c r="G562" s="14" t="n"/>
      <c r="H562" s="14" t="n"/>
      <c r="I562" s="12" t="n"/>
      <c r="J562" s="14" t="n"/>
      <c r="K562" s="12" t="n"/>
      <c r="L562" s="13">
        <f>IF($K562="","",IFERROR(INDEX(Dept_Names,MATCH($K562,Dept_Codes,0)),"NOT FOUND"))</f>
        <v/>
      </c>
      <c r="M562" s="12" t="n"/>
      <c r="N562" s="13">
        <f>IF($M562="","",IFERROR(INDEX(Desig_Names,MATCH($M562,Desig_Codes,0)),"NOT FOUND"))</f>
        <v/>
      </c>
      <c r="O562" s="13">
        <f>IF($M562="","",IFERROR(INDEX(Desig_Levels,MATCH($M562,Desig_Codes,0)),""))</f>
        <v/>
      </c>
      <c r="P562" s="12" t="n"/>
      <c r="Q562" s="12" t="n"/>
      <c r="R562" s="12" t="n"/>
      <c r="S562" s="13">
        <f>IF($R562="","",IFERROR(INDEX(Emp_Names,MATCH($R562,Emp_Codes,0)),"NOT FOUND"))</f>
        <v/>
      </c>
      <c r="T562" s="12" t="n"/>
      <c r="U562" s="12" t="n"/>
      <c r="V562" s="12" t="n"/>
    </row>
    <row r="563">
      <c r="A563" s="12" t="n"/>
      <c r="B563" s="12" t="n"/>
      <c r="C563" s="12" t="n"/>
      <c r="D563" s="13">
        <f>IF($A563="","",TRIM($B563&amp;" "&amp;$C563))</f>
        <v/>
      </c>
      <c r="E563" s="12" t="n"/>
      <c r="F563" s="12" t="n"/>
      <c r="G563" s="14" t="n"/>
      <c r="H563" s="14" t="n"/>
      <c r="I563" s="12" t="n"/>
      <c r="J563" s="14" t="n"/>
      <c r="K563" s="12" t="n"/>
      <c r="L563" s="13">
        <f>IF($K563="","",IFERROR(INDEX(Dept_Names,MATCH($K563,Dept_Codes,0)),"NOT FOUND"))</f>
        <v/>
      </c>
      <c r="M563" s="12" t="n"/>
      <c r="N563" s="13">
        <f>IF($M563="","",IFERROR(INDEX(Desig_Names,MATCH($M563,Desig_Codes,0)),"NOT FOUND"))</f>
        <v/>
      </c>
      <c r="O563" s="13">
        <f>IF($M563="","",IFERROR(INDEX(Desig_Levels,MATCH($M563,Desig_Codes,0)),""))</f>
        <v/>
      </c>
      <c r="P563" s="12" t="n"/>
      <c r="Q563" s="12" t="n"/>
      <c r="R563" s="12" t="n"/>
      <c r="S563" s="13">
        <f>IF($R563="","",IFERROR(INDEX(Emp_Names,MATCH($R563,Emp_Codes,0)),"NOT FOUND"))</f>
        <v/>
      </c>
      <c r="T563" s="12" t="n"/>
      <c r="U563" s="12" t="n"/>
      <c r="V563" s="12" t="n"/>
    </row>
    <row r="564">
      <c r="A564" s="12" t="n"/>
      <c r="B564" s="12" t="n"/>
      <c r="C564" s="12" t="n"/>
      <c r="D564" s="13">
        <f>IF($A564="","",TRIM($B564&amp;" "&amp;$C564))</f>
        <v/>
      </c>
      <c r="E564" s="12" t="n"/>
      <c r="F564" s="12" t="n"/>
      <c r="G564" s="14" t="n"/>
      <c r="H564" s="14" t="n"/>
      <c r="I564" s="12" t="n"/>
      <c r="J564" s="14" t="n"/>
      <c r="K564" s="12" t="n"/>
      <c r="L564" s="13">
        <f>IF($K564="","",IFERROR(INDEX(Dept_Names,MATCH($K564,Dept_Codes,0)),"NOT FOUND"))</f>
        <v/>
      </c>
      <c r="M564" s="12" t="n"/>
      <c r="N564" s="13">
        <f>IF($M564="","",IFERROR(INDEX(Desig_Names,MATCH($M564,Desig_Codes,0)),"NOT FOUND"))</f>
        <v/>
      </c>
      <c r="O564" s="13">
        <f>IF($M564="","",IFERROR(INDEX(Desig_Levels,MATCH($M564,Desig_Codes,0)),""))</f>
        <v/>
      </c>
      <c r="P564" s="12" t="n"/>
      <c r="Q564" s="12" t="n"/>
      <c r="R564" s="12" t="n"/>
      <c r="S564" s="13">
        <f>IF($R564="","",IFERROR(INDEX(Emp_Names,MATCH($R564,Emp_Codes,0)),"NOT FOUND"))</f>
        <v/>
      </c>
      <c r="T564" s="12" t="n"/>
      <c r="U564" s="12" t="n"/>
      <c r="V564" s="12" t="n"/>
    </row>
    <row r="565">
      <c r="A565" s="12" t="n"/>
      <c r="B565" s="12" t="n"/>
      <c r="C565" s="12" t="n"/>
      <c r="D565" s="13">
        <f>IF($A565="","",TRIM($B565&amp;" "&amp;$C565))</f>
        <v/>
      </c>
      <c r="E565" s="12" t="n"/>
      <c r="F565" s="12" t="n"/>
      <c r="G565" s="14" t="n"/>
      <c r="H565" s="14" t="n"/>
      <c r="I565" s="12" t="n"/>
      <c r="J565" s="14" t="n"/>
      <c r="K565" s="12" t="n"/>
      <c r="L565" s="13">
        <f>IF($K565="","",IFERROR(INDEX(Dept_Names,MATCH($K565,Dept_Codes,0)),"NOT FOUND"))</f>
        <v/>
      </c>
      <c r="M565" s="12" t="n"/>
      <c r="N565" s="13">
        <f>IF($M565="","",IFERROR(INDEX(Desig_Names,MATCH($M565,Desig_Codes,0)),"NOT FOUND"))</f>
        <v/>
      </c>
      <c r="O565" s="13">
        <f>IF($M565="","",IFERROR(INDEX(Desig_Levels,MATCH($M565,Desig_Codes,0)),""))</f>
        <v/>
      </c>
      <c r="P565" s="12" t="n"/>
      <c r="Q565" s="12" t="n"/>
      <c r="R565" s="12" t="n"/>
      <c r="S565" s="13">
        <f>IF($R565="","",IFERROR(INDEX(Emp_Names,MATCH($R565,Emp_Codes,0)),"NOT FOUND"))</f>
        <v/>
      </c>
      <c r="T565" s="12" t="n"/>
      <c r="U565" s="12" t="n"/>
      <c r="V565" s="12" t="n"/>
    </row>
    <row r="566">
      <c r="A566" s="12" t="n"/>
      <c r="B566" s="12" t="n"/>
      <c r="C566" s="12" t="n"/>
      <c r="D566" s="13">
        <f>IF($A566="","",TRIM($B566&amp;" "&amp;$C566))</f>
        <v/>
      </c>
      <c r="E566" s="12" t="n"/>
      <c r="F566" s="12" t="n"/>
      <c r="G566" s="14" t="n"/>
      <c r="H566" s="14" t="n"/>
      <c r="I566" s="12" t="n"/>
      <c r="J566" s="14" t="n"/>
      <c r="K566" s="12" t="n"/>
      <c r="L566" s="13">
        <f>IF($K566="","",IFERROR(INDEX(Dept_Names,MATCH($K566,Dept_Codes,0)),"NOT FOUND"))</f>
        <v/>
      </c>
      <c r="M566" s="12" t="n"/>
      <c r="N566" s="13">
        <f>IF($M566="","",IFERROR(INDEX(Desig_Names,MATCH($M566,Desig_Codes,0)),"NOT FOUND"))</f>
        <v/>
      </c>
      <c r="O566" s="13">
        <f>IF($M566="","",IFERROR(INDEX(Desig_Levels,MATCH($M566,Desig_Codes,0)),""))</f>
        <v/>
      </c>
      <c r="P566" s="12" t="n"/>
      <c r="Q566" s="12" t="n"/>
      <c r="R566" s="12" t="n"/>
      <c r="S566" s="13">
        <f>IF($R566="","",IFERROR(INDEX(Emp_Names,MATCH($R566,Emp_Codes,0)),"NOT FOUND"))</f>
        <v/>
      </c>
      <c r="T566" s="12" t="n"/>
      <c r="U566" s="12" t="n"/>
      <c r="V566" s="12" t="n"/>
    </row>
    <row r="567">
      <c r="A567" s="12" t="n"/>
      <c r="B567" s="12" t="n"/>
      <c r="C567" s="12" t="n"/>
      <c r="D567" s="13">
        <f>IF($A567="","",TRIM($B567&amp;" "&amp;$C567))</f>
        <v/>
      </c>
      <c r="E567" s="12" t="n"/>
      <c r="F567" s="12" t="n"/>
      <c r="G567" s="14" t="n"/>
      <c r="H567" s="14" t="n"/>
      <c r="I567" s="12" t="n"/>
      <c r="J567" s="14" t="n"/>
      <c r="K567" s="12" t="n"/>
      <c r="L567" s="13">
        <f>IF($K567="","",IFERROR(INDEX(Dept_Names,MATCH($K567,Dept_Codes,0)),"NOT FOUND"))</f>
        <v/>
      </c>
      <c r="M567" s="12" t="n"/>
      <c r="N567" s="13">
        <f>IF($M567="","",IFERROR(INDEX(Desig_Names,MATCH($M567,Desig_Codes,0)),"NOT FOUND"))</f>
        <v/>
      </c>
      <c r="O567" s="13">
        <f>IF($M567="","",IFERROR(INDEX(Desig_Levels,MATCH($M567,Desig_Codes,0)),""))</f>
        <v/>
      </c>
      <c r="P567" s="12" t="n"/>
      <c r="Q567" s="12" t="n"/>
      <c r="R567" s="12" t="n"/>
      <c r="S567" s="13">
        <f>IF($R567="","",IFERROR(INDEX(Emp_Names,MATCH($R567,Emp_Codes,0)),"NOT FOUND"))</f>
        <v/>
      </c>
      <c r="T567" s="12" t="n"/>
      <c r="U567" s="12" t="n"/>
      <c r="V567" s="12" t="n"/>
    </row>
    <row r="568">
      <c r="A568" s="12" t="n"/>
      <c r="B568" s="12" t="n"/>
      <c r="C568" s="12" t="n"/>
      <c r="D568" s="13">
        <f>IF($A568="","",TRIM($B568&amp;" "&amp;$C568))</f>
        <v/>
      </c>
      <c r="E568" s="12" t="n"/>
      <c r="F568" s="12" t="n"/>
      <c r="G568" s="14" t="n"/>
      <c r="H568" s="14" t="n"/>
      <c r="I568" s="12" t="n"/>
      <c r="J568" s="14" t="n"/>
      <c r="K568" s="12" t="n"/>
      <c r="L568" s="13">
        <f>IF($K568="","",IFERROR(INDEX(Dept_Names,MATCH($K568,Dept_Codes,0)),"NOT FOUND"))</f>
        <v/>
      </c>
      <c r="M568" s="12" t="n"/>
      <c r="N568" s="13">
        <f>IF($M568="","",IFERROR(INDEX(Desig_Names,MATCH($M568,Desig_Codes,0)),"NOT FOUND"))</f>
        <v/>
      </c>
      <c r="O568" s="13">
        <f>IF($M568="","",IFERROR(INDEX(Desig_Levels,MATCH($M568,Desig_Codes,0)),""))</f>
        <v/>
      </c>
      <c r="P568" s="12" t="n"/>
      <c r="Q568" s="12" t="n"/>
      <c r="R568" s="12" t="n"/>
      <c r="S568" s="13">
        <f>IF($R568="","",IFERROR(INDEX(Emp_Names,MATCH($R568,Emp_Codes,0)),"NOT FOUND"))</f>
        <v/>
      </c>
      <c r="T568" s="12" t="n"/>
      <c r="U568" s="12" t="n"/>
      <c r="V568" s="12" t="n"/>
    </row>
    <row r="569">
      <c r="A569" s="12" t="n"/>
      <c r="B569" s="12" t="n"/>
      <c r="C569" s="12" t="n"/>
      <c r="D569" s="13">
        <f>IF($A569="","",TRIM($B569&amp;" "&amp;$C569))</f>
        <v/>
      </c>
      <c r="E569" s="12" t="n"/>
      <c r="F569" s="12" t="n"/>
      <c r="G569" s="14" t="n"/>
      <c r="H569" s="14" t="n"/>
      <c r="I569" s="12" t="n"/>
      <c r="J569" s="14" t="n"/>
      <c r="K569" s="12" t="n"/>
      <c r="L569" s="13">
        <f>IF($K569="","",IFERROR(INDEX(Dept_Names,MATCH($K569,Dept_Codes,0)),"NOT FOUND"))</f>
        <v/>
      </c>
      <c r="M569" s="12" t="n"/>
      <c r="N569" s="13">
        <f>IF($M569="","",IFERROR(INDEX(Desig_Names,MATCH($M569,Desig_Codes,0)),"NOT FOUND"))</f>
        <v/>
      </c>
      <c r="O569" s="13">
        <f>IF($M569="","",IFERROR(INDEX(Desig_Levels,MATCH($M569,Desig_Codes,0)),""))</f>
        <v/>
      </c>
      <c r="P569" s="12" t="n"/>
      <c r="Q569" s="12" t="n"/>
      <c r="R569" s="12" t="n"/>
      <c r="S569" s="13">
        <f>IF($R569="","",IFERROR(INDEX(Emp_Names,MATCH($R569,Emp_Codes,0)),"NOT FOUND"))</f>
        <v/>
      </c>
      <c r="T569" s="12" t="n"/>
      <c r="U569" s="12" t="n"/>
      <c r="V569" s="12" t="n"/>
    </row>
    <row r="570">
      <c r="A570" s="12" t="n"/>
      <c r="B570" s="12" t="n"/>
      <c r="C570" s="12" t="n"/>
      <c r="D570" s="13">
        <f>IF($A570="","",TRIM($B570&amp;" "&amp;$C570))</f>
        <v/>
      </c>
      <c r="E570" s="12" t="n"/>
      <c r="F570" s="12" t="n"/>
      <c r="G570" s="14" t="n"/>
      <c r="H570" s="14" t="n"/>
      <c r="I570" s="12" t="n"/>
      <c r="J570" s="14" t="n"/>
      <c r="K570" s="12" t="n"/>
      <c r="L570" s="13">
        <f>IF($K570="","",IFERROR(INDEX(Dept_Names,MATCH($K570,Dept_Codes,0)),"NOT FOUND"))</f>
        <v/>
      </c>
      <c r="M570" s="12" t="n"/>
      <c r="N570" s="13">
        <f>IF($M570="","",IFERROR(INDEX(Desig_Names,MATCH($M570,Desig_Codes,0)),"NOT FOUND"))</f>
        <v/>
      </c>
      <c r="O570" s="13">
        <f>IF($M570="","",IFERROR(INDEX(Desig_Levels,MATCH($M570,Desig_Codes,0)),""))</f>
        <v/>
      </c>
      <c r="P570" s="12" t="n"/>
      <c r="Q570" s="12" t="n"/>
      <c r="R570" s="12" t="n"/>
      <c r="S570" s="13">
        <f>IF($R570="","",IFERROR(INDEX(Emp_Names,MATCH($R570,Emp_Codes,0)),"NOT FOUND"))</f>
        <v/>
      </c>
      <c r="T570" s="12" t="n"/>
      <c r="U570" s="12" t="n"/>
      <c r="V570" s="12" t="n"/>
    </row>
    <row r="571">
      <c r="A571" s="12" t="n"/>
      <c r="B571" s="12" t="n"/>
      <c r="C571" s="12" t="n"/>
      <c r="D571" s="13">
        <f>IF($A571="","",TRIM($B571&amp;" "&amp;$C571))</f>
        <v/>
      </c>
      <c r="E571" s="12" t="n"/>
      <c r="F571" s="12" t="n"/>
      <c r="G571" s="14" t="n"/>
      <c r="H571" s="14" t="n"/>
      <c r="I571" s="12" t="n"/>
      <c r="J571" s="14" t="n"/>
      <c r="K571" s="12" t="n"/>
      <c r="L571" s="13">
        <f>IF($K571="","",IFERROR(INDEX(Dept_Names,MATCH($K571,Dept_Codes,0)),"NOT FOUND"))</f>
        <v/>
      </c>
      <c r="M571" s="12" t="n"/>
      <c r="N571" s="13">
        <f>IF($M571="","",IFERROR(INDEX(Desig_Names,MATCH($M571,Desig_Codes,0)),"NOT FOUND"))</f>
        <v/>
      </c>
      <c r="O571" s="13">
        <f>IF($M571="","",IFERROR(INDEX(Desig_Levels,MATCH($M571,Desig_Codes,0)),""))</f>
        <v/>
      </c>
      <c r="P571" s="12" t="n"/>
      <c r="Q571" s="12" t="n"/>
      <c r="R571" s="12" t="n"/>
      <c r="S571" s="13">
        <f>IF($R571="","",IFERROR(INDEX(Emp_Names,MATCH($R571,Emp_Codes,0)),"NOT FOUND"))</f>
        <v/>
      </c>
      <c r="T571" s="12" t="n"/>
      <c r="U571" s="12" t="n"/>
      <c r="V571" s="12" t="n"/>
    </row>
    <row r="572">
      <c r="A572" s="12" t="n"/>
      <c r="B572" s="12" t="n"/>
      <c r="C572" s="12" t="n"/>
      <c r="D572" s="13">
        <f>IF($A572="","",TRIM($B572&amp;" "&amp;$C572))</f>
        <v/>
      </c>
      <c r="E572" s="12" t="n"/>
      <c r="F572" s="12" t="n"/>
      <c r="G572" s="14" t="n"/>
      <c r="H572" s="14" t="n"/>
      <c r="I572" s="12" t="n"/>
      <c r="J572" s="14" t="n"/>
      <c r="K572" s="12" t="n"/>
      <c r="L572" s="13">
        <f>IF($K572="","",IFERROR(INDEX(Dept_Names,MATCH($K572,Dept_Codes,0)),"NOT FOUND"))</f>
        <v/>
      </c>
      <c r="M572" s="12" t="n"/>
      <c r="N572" s="13">
        <f>IF($M572="","",IFERROR(INDEX(Desig_Names,MATCH($M572,Desig_Codes,0)),"NOT FOUND"))</f>
        <v/>
      </c>
      <c r="O572" s="13">
        <f>IF($M572="","",IFERROR(INDEX(Desig_Levels,MATCH($M572,Desig_Codes,0)),""))</f>
        <v/>
      </c>
      <c r="P572" s="12" t="n"/>
      <c r="Q572" s="12" t="n"/>
      <c r="R572" s="12" t="n"/>
      <c r="S572" s="13">
        <f>IF($R572="","",IFERROR(INDEX(Emp_Names,MATCH($R572,Emp_Codes,0)),"NOT FOUND"))</f>
        <v/>
      </c>
      <c r="T572" s="12" t="n"/>
      <c r="U572" s="12" t="n"/>
      <c r="V572" s="12" t="n"/>
    </row>
    <row r="573">
      <c r="A573" s="12" t="n"/>
      <c r="B573" s="12" t="n"/>
      <c r="C573" s="12" t="n"/>
      <c r="D573" s="13">
        <f>IF($A573="","",TRIM($B573&amp;" "&amp;$C573))</f>
        <v/>
      </c>
      <c r="E573" s="12" t="n"/>
      <c r="F573" s="12" t="n"/>
      <c r="G573" s="14" t="n"/>
      <c r="H573" s="14" t="n"/>
      <c r="I573" s="12" t="n"/>
      <c r="J573" s="14" t="n"/>
      <c r="K573" s="12" t="n"/>
      <c r="L573" s="13">
        <f>IF($K573="","",IFERROR(INDEX(Dept_Names,MATCH($K573,Dept_Codes,0)),"NOT FOUND"))</f>
        <v/>
      </c>
      <c r="M573" s="12" t="n"/>
      <c r="N573" s="13">
        <f>IF($M573="","",IFERROR(INDEX(Desig_Names,MATCH($M573,Desig_Codes,0)),"NOT FOUND"))</f>
        <v/>
      </c>
      <c r="O573" s="13">
        <f>IF($M573="","",IFERROR(INDEX(Desig_Levels,MATCH($M573,Desig_Codes,0)),""))</f>
        <v/>
      </c>
      <c r="P573" s="12" t="n"/>
      <c r="Q573" s="12" t="n"/>
      <c r="R573" s="12" t="n"/>
      <c r="S573" s="13">
        <f>IF($R573="","",IFERROR(INDEX(Emp_Names,MATCH($R573,Emp_Codes,0)),"NOT FOUND"))</f>
        <v/>
      </c>
      <c r="T573" s="12" t="n"/>
      <c r="U573" s="12" t="n"/>
      <c r="V573" s="12" t="n"/>
    </row>
    <row r="574">
      <c r="A574" s="12" t="n"/>
      <c r="B574" s="12" t="n"/>
      <c r="C574" s="12" t="n"/>
      <c r="D574" s="13">
        <f>IF($A574="","",TRIM($B574&amp;" "&amp;$C574))</f>
        <v/>
      </c>
      <c r="E574" s="12" t="n"/>
      <c r="F574" s="12" t="n"/>
      <c r="G574" s="14" t="n"/>
      <c r="H574" s="14" t="n"/>
      <c r="I574" s="12" t="n"/>
      <c r="J574" s="14" t="n"/>
      <c r="K574" s="12" t="n"/>
      <c r="L574" s="13">
        <f>IF($K574="","",IFERROR(INDEX(Dept_Names,MATCH($K574,Dept_Codes,0)),"NOT FOUND"))</f>
        <v/>
      </c>
      <c r="M574" s="12" t="n"/>
      <c r="N574" s="13">
        <f>IF($M574="","",IFERROR(INDEX(Desig_Names,MATCH($M574,Desig_Codes,0)),"NOT FOUND"))</f>
        <v/>
      </c>
      <c r="O574" s="13">
        <f>IF($M574="","",IFERROR(INDEX(Desig_Levels,MATCH($M574,Desig_Codes,0)),""))</f>
        <v/>
      </c>
      <c r="P574" s="12" t="n"/>
      <c r="Q574" s="12" t="n"/>
      <c r="R574" s="12" t="n"/>
      <c r="S574" s="13">
        <f>IF($R574="","",IFERROR(INDEX(Emp_Names,MATCH($R574,Emp_Codes,0)),"NOT FOUND"))</f>
        <v/>
      </c>
      <c r="T574" s="12" t="n"/>
      <c r="U574" s="12" t="n"/>
      <c r="V574" s="12" t="n"/>
    </row>
    <row r="575">
      <c r="A575" s="12" t="n"/>
      <c r="B575" s="12" t="n"/>
      <c r="C575" s="12" t="n"/>
      <c r="D575" s="13">
        <f>IF($A575="","",TRIM($B575&amp;" "&amp;$C575))</f>
        <v/>
      </c>
      <c r="E575" s="12" t="n"/>
      <c r="F575" s="12" t="n"/>
      <c r="G575" s="14" t="n"/>
      <c r="H575" s="14" t="n"/>
      <c r="I575" s="12" t="n"/>
      <c r="J575" s="14" t="n"/>
      <c r="K575" s="12" t="n"/>
      <c r="L575" s="13">
        <f>IF($K575="","",IFERROR(INDEX(Dept_Names,MATCH($K575,Dept_Codes,0)),"NOT FOUND"))</f>
        <v/>
      </c>
      <c r="M575" s="12" t="n"/>
      <c r="N575" s="13">
        <f>IF($M575="","",IFERROR(INDEX(Desig_Names,MATCH($M575,Desig_Codes,0)),"NOT FOUND"))</f>
        <v/>
      </c>
      <c r="O575" s="13">
        <f>IF($M575="","",IFERROR(INDEX(Desig_Levels,MATCH($M575,Desig_Codes,0)),""))</f>
        <v/>
      </c>
      <c r="P575" s="12" t="n"/>
      <c r="Q575" s="12" t="n"/>
      <c r="R575" s="12" t="n"/>
      <c r="S575" s="13">
        <f>IF($R575="","",IFERROR(INDEX(Emp_Names,MATCH($R575,Emp_Codes,0)),"NOT FOUND"))</f>
        <v/>
      </c>
      <c r="T575" s="12" t="n"/>
      <c r="U575" s="12" t="n"/>
      <c r="V575" s="12" t="n"/>
    </row>
    <row r="576">
      <c r="A576" s="12" t="n"/>
      <c r="B576" s="12" t="n"/>
      <c r="C576" s="12" t="n"/>
      <c r="D576" s="13">
        <f>IF($A576="","",TRIM($B576&amp;" "&amp;$C576))</f>
        <v/>
      </c>
      <c r="E576" s="12" t="n"/>
      <c r="F576" s="12" t="n"/>
      <c r="G576" s="14" t="n"/>
      <c r="H576" s="14" t="n"/>
      <c r="I576" s="12" t="n"/>
      <c r="J576" s="14" t="n"/>
      <c r="K576" s="12" t="n"/>
      <c r="L576" s="13">
        <f>IF($K576="","",IFERROR(INDEX(Dept_Names,MATCH($K576,Dept_Codes,0)),"NOT FOUND"))</f>
        <v/>
      </c>
      <c r="M576" s="12" t="n"/>
      <c r="N576" s="13">
        <f>IF($M576="","",IFERROR(INDEX(Desig_Names,MATCH($M576,Desig_Codes,0)),"NOT FOUND"))</f>
        <v/>
      </c>
      <c r="O576" s="13">
        <f>IF($M576="","",IFERROR(INDEX(Desig_Levels,MATCH($M576,Desig_Codes,0)),""))</f>
        <v/>
      </c>
      <c r="P576" s="12" t="n"/>
      <c r="Q576" s="12" t="n"/>
      <c r="R576" s="12" t="n"/>
      <c r="S576" s="13">
        <f>IF($R576="","",IFERROR(INDEX(Emp_Names,MATCH($R576,Emp_Codes,0)),"NOT FOUND"))</f>
        <v/>
      </c>
      <c r="T576" s="12" t="n"/>
      <c r="U576" s="12" t="n"/>
      <c r="V576" s="12" t="n"/>
    </row>
    <row r="577">
      <c r="A577" s="12" t="n"/>
      <c r="B577" s="12" t="n"/>
      <c r="C577" s="12" t="n"/>
      <c r="D577" s="13">
        <f>IF($A577="","",TRIM($B577&amp;" "&amp;$C577))</f>
        <v/>
      </c>
      <c r="E577" s="12" t="n"/>
      <c r="F577" s="12" t="n"/>
      <c r="G577" s="14" t="n"/>
      <c r="H577" s="14" t="n"/>
      <c r="I577" s="12" t="n"/>
      <c r="J577" s="14" t="n"/>
      <c r="K577" s="12" t="n"/>
      <c r="L577" s="13">
        <f>IF($K577="","",IFERROR(INDEX(Dept_Names,MATCH($K577,Dept_Codes,0)),"NOT FOUND"))</f>
        <v/>
      </c>
      <c r="M577" s="12" t="n"/>
      <c r="N577" s="13">
        <f>IF($M577="","",IFERROR(INDEX(Desig_Names,MATCH($M577,Desig_Codes,0)),"NOT FOUND"))</f>
        <v/>
      </c>
      <c r="O577" s="13">
        <f>IF($M577="","",IFERROR(INDEX(Desig_Levels,MATCH($M577,Desig_Codes,0)),""))</f>
        <v/>
      </c>
      <c r="P577" s="12" t="n"/>
      <c r="Q577" s="12" t="n"/>
      <c r="R577" s="12" t="n"/>
      <c r="S577" s="13">
        <f>IF($R577="","",IFERROR(INDEX(Emp_Names,MATCH($R577,Emp_Codes,0)),"NOT FOUND"))</f>
        <v/>
      </c>
      <c r="T577" s="12" t="n"/>
      <c r="U577" s="12" t="n"/>
      <c r="V577" s="12" t="n"/>
    </row>
    <row r="578">
      <c r="A578" s="12" t="n"/>
      <c r="B578" s="12" t="n"/>
      <c r="C578" s="12" t="n"/>
      <c r="D578" s="13">
        <f>IF($A578="","",TRIM($B578&amp;" "&amp;$C578))</f>
        <v/>
      </c>
      <c r="E578" s="12" t="n"/>
      <c r="F578" s="12" t="n"/>
      <c r="G578" s="14" t="n"/>
      <c r="H578" s="14" t="n"/>
      <c r="I578" s="12" t="n"/>
      <c r="J578" s="14" t="n"/>
      <c r="K578" s="12" t="n"/>
      <c r="L578" s="13">
        <f>IF($K578="","",IFERROR(INDEX(Dept_Names,MATCH($K578,Dept_Codes,0)),"NOT FOUND"))</f>
        <v/>
      </c>
      <c r="M578" s="12" t="n"/>
      <c r="N578" s="13">
        <f>IF($M578="","",IFERROR(INDEX(Desig_Names,MATCH($M578,Desig_Codes,0)),"NOT FOUND"))</f>
        <v/>
      </c>
      <c r="O578" s="13">
        <f>IF($M578="","",IFERROR(INDEX(Desig_Levels,MATCH($M578,Desig_Codes,0)),""))</f>
        <v/>
      </c>
      <c r="P578" s="12" t="n"/>
      <c r="Q578" s="12" t="n"/>
      <c r="R578" s="12" t="n"/>
      <c r="S578" s="13">
        <f>IF($R578="","",IFERROR(INDEX(Emp_Names,MATCH($R578,Emp_Codes,0)),"NOT FOUND"))</f>
        <v/>
      </c>
      <c r="T578" s="12" t="n"/>
      <c r="U578" s="12" t="n"/>
      <c r="V578" s="12" t="n"/>
    </row>
    <row r="579">
      <c r="A579" s="12" t="n"/>
      <c r="B579" s="12" t="n"/>
      <c r="C579" s="12" t="n"/>
      <c r="D579" s="13">
        <f>IF($A579="","",TRIM($B579&amp;" "&amp;$C579))</f>
        <v/>
      </c>
      <c r="E579" s="12" t="n"/>
      <c r="F579" s="12" t="n"/>
      <c r="G579" s="14" t="n"/>
      <c r="H579" s="14" t="n"/>
      <c r="I579" s="12" t="n"/>
      <c r="J579" s="14" t="n"/>
      <c r="K579" s="12" t="n"/>
      <c r="L579" s="13">
        <f>IF($K579="","",IFERROR(INDEX(Dept_Names,MATCH($K579,Dept_Codes,0)),"NOT FOUND"))</f>
        <v/>
      </c>
      <c r="M579" s="12" t="n"/>
      <c r="N579" s="13">
        <f>IF($M579="","",IFERROR(INDEX(Desig_Names,MATCH($M579,Desig_Codes,0)),"NOT FOUND"))</f>
        <v/>
      </c>
      <c r="O579" s="13">
        <f>IF($M579="","",IFERROR(INDEX(Desig_Levels,MATCH($M579,Desig_Codes,0)),""))</f>
        <v/>
      </c>
      <c r="P579" s="12" t="n"/>
      <c r="Q579" s="12" t="n"/>
      <c r="R579" s="12" t="n"/>
      <c r="S579" s="13">
        <f>IF($R579="","",IFERROR(INDEX(Emp_Names,MATCH($R579,Emp_Codes,0)),"NOT FOUND"))</f>
        <v/>
      </c>
      <c r="T579" s="12" t="n"/>
      <c r="U579" s="12" t="n"/>
      <c r="V579" s="12" t="n"/>
    </row>
    <row r="580">
      <c r="A580" s="12" t="n"/>
      <c r="B580" s="12" t="n"/>
      <c r="C580" s="12" t="n"/>
      <c r="D580" s="13">
        <f>IF($A580="","",TRIM($B580&amp;" "&amp;$C580))</f>
        <v/>
      </c>
      <c r="E580" s="12" t="n"/>
      <c r="F580" s="12" t="n"/>
      <c r="G580" s="14" t="n"/>
      <c r="H580" s="14" t="n"/>
      <c r="I580" s="12" t="n"/>
      <c r="J580" s="14" t="n"/>
      <c r="K580" s="12" t="n"/>
      <c r="L580" s="13">
        <f>IF($K580="","",IFERROR(INDEX(Dept_Names,MATCH($K580,Dept_Codes,0)),"NOT FOUND"))</f>
        <v/>
      </c>
      <c r="M580" s="12" t="n"/>
      <c r="N580" s="13">
        <f>IF($M580="","",IFERROR(INDEX(Desig_Names,MATCH($M580,Desig_Codes,0)),"NOT FOUND"))</f>
        <v/>
      </c>
      <c r="O580" s="13">
        <f>IF($M580="","",IFERROR(INDEX(Desig_Levels,MATCH($M580,Desig_Codes,0)),""))</f>
        <v/>
      </c>
      <c r="P580" s="12" t="n"/>
      <c r="Q580" s="12" t="n"/>
      <c r="R580" s="12" t="n"/>
      <c r="S580" s="13">
        <f>IF($R580="","",IFERROR(INDEX(Emp_Names,MATCH($R580,Emp_Codes,0)),"NOT FOUND"))</f>
        <v/>
      </c>
      <c r="T580" s="12" t="n"/>
      <c r="U580" s="12" t="n"/>
      <c r="V580" s="12" t="n"/>
    </row>
    <row r="581">
      <c r="A581" s="12" t="n"/>
      <c r="B581" s="12" t="n"/>
      <c r="C581" s="12" t="n"/>
      <c r="D581" s="13">
        <f>IF($A581="","",TRIM($B581&amp;" "&amp;$C581))</f>
        <v/>
      </c>
      <c r="E581" s="12" t="n"/>
      <c r="F581" s="12" t="n"/>
      <c r="G581" s="14" t="n"/>
      <c r="H581" s="14" t="n"/>
      <c r="I581" s="12" t="n"/>
      <c r="J581" s="14" t="n"/>
      <c r="K581" s="12" t="n"/>
      <c r="L581" s="13">
        <f>IF($K581="","",IFERROR(INDEX(Dept_Names,MATCH($K581,Dept_Codes,0)),"NOT FOUND"))</f>
        <v/>
      </c>
      <c r="M581" s="12" t="n"/>
      <c r="N581" s="13">
        <f>IF($M581="","",IFERROR(INDEX(Desig_Names,MATCH($M581,Desig_Codes,0)),"NOT FOUND"))</f>
        <v/>
      </c>
      <c r="O581" s="13">
        <f>IF($M581="","",IFERROR(INDEX(Desig_Levels,MATCH($M581,Desig_Codes,0)),""))</f>
        <v/>
      </c>
      <c r="P581" s="12" t="n"/>
      <c r="Q581" s="12" t="n"/>
      <c r="R581" s="12" t="n"/>
      <c r="S581" s="13">
        <f>IF($R581="","",IFERROR(INDEX(Emp_Names,MATCH($R581,Emp_Codes,0)),"NOT FOUND"))</f>
        <v/>
      </c>
      <c r="T581" s="12" t="n"/>
      <c r="U581" s="12" t="n"/>
      <c r="V581" s="12" t="n"/>
    </row>
    <row r="582">
      <c r="A582" s="12" t="n"/>
      <c r="B582" s="12" t="n"/>
      <c r="C582" s="12" t="n"/>
      <c r="D582" s="13">
        <f>IF($A582="","",TRIM($B582&amp;" "&amp;$C582))</f>
        <v/>
      </c>
      <c r="E582" s="12" t="n"/>
      <c r="F582" s="12" t="n"/>
      <c r="G582" s="14" t="n"/>
      <c r="H582" s="14" t="n"/>
      <c r="I582" s="12" t="n"/>
      <c r="J582" s="14" t="n"/>
      <c r="K582" s="12" t="n"/>
      <c r="L582" s="13">
        <f>IF($K582="","",IFERROR(INDEX(Dept_Names,MATCH($K582,Dept_Codes,0)),"NOT FOUND"))</f>
        <v/>
      </c>
      <c r="M582" s="12" t="n"/>
      <c r="N582" s="13">
        <f>IF($M582="","",IFERROR(INDEX(Desig_Names,MATCH($M582,Desig_Codes,0)),"NOT FOUND"))</f>
        <v/>
      </c>
      <c r="O582" s="13">
        <f>IF($M582="","",IFERROR(INDEX(Desig_Levels,MATCH($M582,Desig_Codes,0)),""))</f>
        <v/>
      </c>
      <c r="P582" s="12" t="n"/>
      <c r="Q582" s="12" t="n"/>
      <c r="R582" s="12" t="n"/>
      <c r="S582" s="13">
        <f>IF($R582="","",IFERROR(INDEX(Emp_Names,MATCH($R582,Emp_Codes,0)),"NOT FOUND"))</f>
        <v/>
      </c>
      <c r="T582" s="12" t="n"/>
      <c r="U582" s="12" t="n"/>
      <c r="V582" s="12" t="n"/>
    </row>
    <row r="583">
      <c r="A583" s="12" t="n"/>
      <c r="B583" s="12" t="n"/>
      <c r="C583" s="12" t="n"/>
      <c r="D583" s="13">
        <f>IF($A583="","",TRIM($B583&amp;" "&amp;$C583))</f>
        <v/>
      </c>
      <c r="E583" s="12" t="n"/>
      <c r="F583" s="12" t="n"/>
      <c r="G583" s="14" t="n"/>
      <c r="H583" s="14" t="n"/>
      <c r="I583" s="12" t="n"/>
      <c r="J583" s="14" t="n"/>
      <c r="K583" s="12" t="n"/>
      <c r="L583" s="13">
        <f>IF($K583="","",IFERROR(INDEX(Dept_Names,MATCH($K583,Dept_Codes,0)),"NOT FOUND"))</f>
        <v/>
      </c>
      <c r="M583" s="12" t="n"/>
      <c r="N583" s="13">
        <f>IF($M583="","",IFERROR(INDEX(Desig_Names,MATCH($M583,Desig_Codes,0)),"NOT FOUND"))</f>
        <v/>
      </c>
      <c r="O583" s="13">
        <f>IF($M583="","",IFERROR(INDEX(Desig_Levels,MATCH($M583,Desig_Codes,0)),""))</f>
        <v/>
      </c>
      <c r="P583" s="12" t="n"/>
      <c r="Q583" s="12" t="n"/>
      <c r="R583" s="12" t="n"/>
      <c r="S583" s="13">
        <f>IF($R583="","",IFERROR(INDEX(Emp_Names,MATCH($R583,Emp_Codes,0)),"NOT FOUND"))</f>
        <v/>
      </c>
      <c r="T583" s="12" t="n"/>
      <c r="U583" s="12" t="n"/>
      <c r="V583" s="12" t="n"/>
    </row>
    <row r="584">
      <c r="A584" s="12" t="n"/>
      <c r="B584" s="12" t="n"/>
      <c r="C584" s="12" t="n"/>
      <c r="D584" s="13">
        <f>IF($A584="","",TRIM($B584&amp;" "&amp;$C584))</f>
        <v/>
      </c>
      <c r="E584" s="12" t="n"/>
      <c r="F584" s="12" t="n"/>
      <c r="G584" s="14" t="n"/>
      <c r="H584" s="14" t="n"/>
      <c r="I584" s="12" t="n"/>
      <c r="J584" s="14" t="n"/>
      <c r="K584" s="12" t="n"/>
      <c r="L584" s="13">
        <f>IF($K584="","",IFERROR(INDEX(Dept_Names,MATCH($K584,Dept_Codes,0)),"NOT FOUND"))</f>
        <v/>
      </c>
      <c r="M584" s="12" t="n"/>
      <c r="N584" s="13">
        <f>IF($M584="","",IFERROR(INDEX(Desig_Names,MATCH($M584,Desig_Codes,0)),"NOT FOUND"))</f>
        <v/>
      </c>
      <c r="O584" s="13">
        <f>IF($M584="","",IFERROR(INDEX(Desig_Levels,MATCH($M584,Desig_Codes,0)),""))</f>
        <v/>
      </c>
      <c r="P584" s="12" t="n"/>
      <c r="Q584" s="12" t="n"/>
      <c r="R584" s="12" t="n"/>
      <c r="S584" s="13">
        <f>IF($R584="","",IFERROR(INDEX(Emp_Names,MATCH($R584,Emp_Codes,0)),"NOT FOUND"))</f>
        <v/>
      </c>
      <c r="T584" s="12" t="n"/>
      <c r="U584" s="12" t="n"/>
      <c r="V584" s="12" t="n"/>
    </row>
    <row r="585">
      <c r="A585" s="12" t="n"/>
      <c r="B585" s="12" t="n"/>
      <c r="C585" s="12" t="n"/>
      <c r="D585" s="13">
        <f>IF($A585="","",TRIM($B585&amp;" "&amp;$C585))</f>
        <v/>
      </c>
      <c r="E585" s="12" t="n"/>
      <c r="F585" s="12" t="n"/>
      <c r="G585" s="14" t="n"/>
      <c r="H585" s="14" t="n"/>
      <c r="I585" s="12" t="n"/>
      <c r="J585" s="14" t="n"/>
      <c r="K585" s="12" t="n"/>
      <c r="L585" s="13">
        <f>IF($K585="","",IFERROR(INDEX(Dept_Names,MATCH($K585,Dept_Codes,0)),"NOT FOUND"))</f>
        <v/>
      </c>
      <c r="M585" s="12" t="n"/>
      <c r="N585" s="13">
        <f>IF($M585="","",IFERROR(INDEX(Desig_Names,MATCH($M585,Desig_Codes,0)),"NOT FOUND"))</f>
        <v/>
      </c>
      <c r="O585" s="13">
        <f>IF($M585="","",IFERROR(INDEX(Desig_Levels,MATCH($M585,Desig_Codes,0)),""))</f>
        <v/>
      </c>
      <c r="P585" s="12" t="n"/>
      <c r="Q585" s="12" t="n"/>
      <c r="R585" s="12" t="n"/>
      <c r="S585" s="13">
        <f>IF($R585="","",IFERROR(INDEX(Emp_Names,MATCH($R585,Emp_Codes,0)),"NOT FOUND"))</f>
        <v/>
      </c>
      <c r="T585" s="12" t="n"/>
      <c r="U585" s="12" t="n"/>
      <c r="V585" s="12" t="n"/>
    </row>
    <row r="586">
      <c r="A586" s="12" t="n"/>
      <c r="B586" s="12" t="n"/>
      <c r="C586" s="12" t="n"/>
      <c r="D586" s="13">
        <f>IF($A586="","",TRIM($B586&amp;" "&amp;$C586))</f>
        <v/>
      </c>
      <c r="E586" s="12" t="n"/>
      <c r="F586" s="12" t="n"/>
      <c r="G586" s="14" t="n"/>
      <c r="H586" s="14" t="n"/>
      <c r="I586" s="12" t="n"/>
      <c r="J586" s="14" t="n"/>
      <c r="K586" s="12" t="n"/>
      <c r="L586" s="13">
        <f>IF($K586="","",IFERROR(INDEX(Dept_Names,MATCH($K586,Dept_Codes,0)),"NOT FOUND"))</f>
        <v/>
      </c>
      <c r="M586" s="12" t="n"/>
      <c r="N586" s="13">
        <f>IF($M586="","",IFERROR(INDEX(Desig_Names,MATCH($M586,Desig_Codes,0)),"NOT FOUND"))</f>
        <v/>
      </c>
      <c r="O586" s="13">
        <f>IF($M586="","",IFERROR(INDEX(Desig_Levels,MATCH($M586,Desig_Codes,0)),""))</f>
        <v/>
      </c>
      <c r="P586" s="12" t="n"/>
      <c r="Q586" s="12" t="n"/>
      <c r="R586" s="12" t="n"/>
      <c r="S586" s="13">
        <f>IF($R586="","",IFERROR(INDEX(Emp_Names,MATCH($R586,Emp_Codes,0)),"NOT FOUND"))</f>
        <v/>
      </c>
      <c r="T586" s="12" t="n"/>
      <c r="U586" s="12" t="n"/>
      <c r="V586" s="12" t="n"/>
    </row>
    <row r="587">
      <c r="A587" s="12" t="n"/>
      <c r="B587" s="12" t="n"/>
      <c r="C587" s="12" t="n"/>
      <c r="D587" s="13">
        <f>IF($A587="","",TRIM($B587&amp;" "&amp;$C587))</f>
        <v/>
      </c>
      <c r="E587" s="12" t="n"/>
      <c r="F587" s="12" t="n"/>
      <c r="G587" s="14" t="n"/>
      <c r="H587" s="14" t="n"/>
      <c r="I587" s="12" t="n"/>
      <c r="J587" s="14" t="n"/>
      <c r="K587" s="12" t="n"/>
      <c r="L587" s="13">
        <f>IF($K587="","",IFERROR(INDEX(Dept_Names,MATCH($K587,Dept_Codes,0)),"NOT FOUND"))</f>
        <v/>
      </c>
      <c r="M587" s="12" t="n"/>
      <c r="N587" s="13">
        <f>IF($M587="","",IFERROR(INDEX(Desig_Names,MATCH($M587,Desig_Codes,0)),"NOT FOUND"))</f>
        <v/>
      </c>
      <c r="O587" s="13">
        <f>IF($M587="","",IFERROR(INDEX(Desig_Levels,MATCH($M587,Desig_Codes,0)),""))</f>
        <v/>
      </c>
      <c r="P587" s="12" t="n"/>
      <c r="Q587" s="12" t="n"/>
      <c r="R587" s="12" t="n"/>
      <c r="S587" s="13">
        <f>IF($R587="","",IFERROR(INDEX(Emp_Names,MATCH($R587,Emp_Codes,0)),"NOT FOUND"))</f>
        <v/>
      </c>
      <c r="T587" s="12" t="n"/>
      <c r="U587" s="12" t="n"/>
      <c r="V587" s="12" t="n"/>
    </row>
    <row r="588">
      <c r="A588" s="12" t="n"/>
      <c r="B588" s="12" t="n"/>
      <c r="C588" s="12" t="n"/>
      <c r="D588" s="13">
        <f>IF($A588="","",TRIM($B588&amp;" "&amp;$C588))</f>
        <v/>
      </c>
      <c r="E588" s="12" t="n"/>
      <c r="F588" s="12" t="n"/>
      <c r="G588" s="14" t="n"/>
      <c r="H588" s="14" t="n"/>
      <c r="I588" s="12" t="n"/>
      <c r="J588" s="14" t="n"/>
      <c r="K588" s="12" t="n"/>
      <c r="L588" s="13">
        <f>IF($K588="","",IFERROR(INDEX(Dept_Names,MATCH($K588,Dept_Codes,0)),"NOT FOUND"))</f>
        <v/>
      </c>
      <c r="M588" s="12" t="n"/>
      <c r="N588" s="13">
        <f>IF($M588="","",IFERROR(INDEX(Desig_Names,MATCH($M588,Desig_Codes,0)),"NOT FOUND"))</f>
        <v/>
      </c>
      <c r="O588" s="13">
        <f>IF($M588="","",IFERROR(INDEX(Desig_Levels,MATCH($M588,Desig_Codes,0)),""))</f>
        <v/>
      </c>
      <c r="P588" s="12" t="n"/>
      <c r="Q588" s="12" t="n"/>
      <c r="R588" s="12" t="n"/>
      <c r="S588" s="13">
        <f>IF($R588="","",IFERROR(INDEX(Emp_Names,MATCH($R588,Emp_Codes,0)),"NOT FOUND"))</f>
        <v/>
      </c>
      <c r="T588" s="12" t="n"/>
      <c r="U588" s="12" t="n"/>
      <c r="V588" s="12" t="n"/>
    </row>
    <row r="589">
      <c r="A589" s="12" t="n"/>
      <c r="B589" s="12" t="n"/>
      <c r="C589" s="12" t="n"/>
      <c r="D589" s="13">
        <f>IF($A589="","",TRIM($B589&amp;" "&amp;$C589))</f>
        <v/>
      </c>
      <c r="E589" s="12" t="n"/>
      <c r="F589" s="12" t="n"/>
      <c r="G589" s="14" t="n"/>
      <c r="H589" s="14" t="n"/>
      <c r="I589" s="12" t="n"/>
      <c r="J589" s="14" t="n"/>
      <c r="K589" s="12" t="n"/>
      <c r="L589" s="13">
        <f>IF($K589="","",IFERROR(INDEX(Dept_Names,MATCH($K589,Dept_Codes,0)),"NOT FOUND"))</f>
        <v/>
      </c>
      <c r="M589" s="12" t="n"/>
      <c r="N589" s="13">
        <f>IF($M589="","",IFERROR(INDEX(Desig_Names,MATCH($M589,Desig_Codes,0)),"NOT FOUND"))</f>
        <v/>
      </c>
      <c r="O589" s="13">
        <f>IF($M589="","",IFERROR(INDEX(Desig_Levels,MATCH($M589,Desig_Codes,0)),""))</f>
        <v/>
      </c>
      <c r="P589" s="12" t="n"/>
      <c r="Q589" s="12" t="n"/>
      <c r="R589" s="12" t="n"/>
      <c r="S589" s="13">
        <f>IF($R589="","",IFERROR(INDEX(Emp_Names,MATCH($R589,Emp_Codes,0)),"NOT FOUND"))</f>
        <v/>
      </c>
      <c r="T589" s="12" t="n"/>
      <c r="U589" s="12" t="n"/>
      <c r="V589" s="12" t="n"/>
    </row>
    <row r="590">
      <c r="A590" s="12" t="n"/>
      <c r="B590" s="12" t="n"/>
      <c r="C590" s="12" t="n"/>
      <c r="D590" s="13">
        <f>IF($A590="","",TRIM($B590&amp;" "&amp;$C590))</f>
        <v/>
      </c>
      <c r="E590" s="12" t="n"/>
      <c r="F590" s="12" t="n"/>
      <c r="G590" s="14" t="n"/>
      <c r="H590" s="14" t="n"/>
      <c r="I590" s="12" t="n"/>
      <c r="J590" s="14" t="n"/>
      <c r="K590" s="12" t="n"/>
      <c r="L590" s="13">
        <f>IF($K590="","",IFERROR(INDEX(Dept_Names,MATCH($K590,Dept_Codes,0)),"NOT FOUND"))</f>
        <v/>
      </c>
      <c r="M590" s="12" t="n"/>
      <c r="N590" s="13">
        <f>IF($M590="","",IFERROR(INDEX(Desig_Names,MATCH($M590,Desig_Codes,0)),"NOT FOUND"))</f>
        <v/>
      </c>
      <c r="O590" s="13">
        <f>IF($M590="","",IFERROR(INDEX(Desig_Levels,MATCH($M590,Desig_Codes,0)),""))</f>
        <v/>
      </c>
      <c r="P590" s="12" t="n"/>
      <c r="Q590" s="12" t="n"/>
      <c r="R590" s="12" t="n"/>
      <c r="S590" s="13">
        <f>IF($R590="","",IFERROR(INDEX(Emp_Names,MATCH($R590,Emp_Codes,0)),"NOT FOUND"))</f>
        <v/>
      </c>
      <c r="T590" s="12" t="n"/>
      <c r="U590" s="12" t="n"/>
      <c r="V590" s="12" t="n"/>
    </row>
    <row r="591">
      <c r="A591" s="12" t="n"/>
      <c r="B591" s="12" t="n"/>
      <c r="C591" s="12" t="n"/>
      <c r="D591" s="13">
        <f>IF($A591="","",TRIM($B591&amp;" "&amp;$C591))</f>
        <v/>
      </c>
      <c r="E591" s="12" t="n"/>
      <c r="F591" s="12" t="n"/>
      <c r="G591" s="14" t="n"/>
      <c r="H591" s="14" t="n"/>
      <c r="I591" s="12" t="n"/>
      <c r="J591" s="14" t="n"/>
      <c r="K591" s="12" t="n"/>
      <c r="L591" s="13">
        <f>IF($K591="","",IFERROR(INDEX(Dept_Names,MATCH($K591,Dept_Codes,0)),"NOT FOUND"))</f>
        <v/>
      </c>
      <c r="M591" s="12" t="n"/>
      <c r="N591" s="13">
        <f>IF($M591="","",IFERROR(INDEX(Desig_Names,MATCH($M591,Desig_Codes,0)),"NOT FOUND"))</f>
        <v/>
      </c>
      <c r="O591" s="13">
        <f>IF($M591="","",IFERROR(INDEX(Desig_Levels,MATCH($M591,Desig_Codes,0)),""))</f>
        <v/>
      </c>
      <c r="P591" s="12" t="n"/>
      <c r="Q591" s="12" t="n"/>
      <c r="R591" s="12" t="n"/>
      <c r="S591" s="13">
        <f>IF($R591="","",IFERROR(INDEX(Emp_Names,MATCH($R591,Emp_Codes,0)),"NOT FOUND"))</f>
        <v/>
      </c>
      <c r="T591" s="12" t="n"/>
      <c r="U591" s="12" t="n"/>
      <c r="V591" s="12" t="n"/>
    </row>
    <row r="592">
      <c r="A592" s="12" t="n"/>
      <c r="B592" s="12" t="n"/>
      <c r="C592" s="12" t="n"/>
      <c r="D592" s="13">
        <f>IF($A592="","",TRIM($B592&amp;" "&amp;$C592))</f>
        <v/>
      </c>
      <c r="E592" s="12" t="n"/>
      <c r="F592" s="12" t="n"/>
      <c r="G592" s="14" t="n"/>
      <c r="H592" s="14" t="n"/>
      <c r="I592" s="12" t="n"/>
      <c r="J592" s="14" t="n"/>
      <c r="K592" s="12" t="n"/>
      <c r="L592" s="13">
        <f>IF($K592="","",IFERROR(INDEX(Dept_Names,MATCH($K592,Dept_Codes,0)),"NOT FOUND"))</f>
        <v/>
      </c>
      <c r="M592" s="12" t="n"/>
      <c r="N592" s="13">
        <f>IF($M592="","",IFERROR(INDEX(Desig_Names,MATCH($M592,Desig_Codes,0)),"NOT FOUND"))</f>
        <v/>
      </c>
      <c r="O592" s="13">
        <f>IF($M592="","",IFERROR(INDEX(Desig_Levels,MATCH($M592,Desig_Codes,0)),""))</f>
        <v/>
      </c>
      <c r="P592" s="12" t="n"/>
      <c r="Q592" s="12" t="n"/>
      <c r="R592" s="12" t="n"/>
      <c r="S592" s="13">
        <f>IF($R592="","",IFERROR(INDEX(Emp_Names,MATCH($R592,Emp_Codes,0)),"NOT FOUND"))</f>
        <v/>
      </c>
      <c r="T592" s="12" t="n"/>
      <c r="U592" s="12" t="n"/>
      <c r="V592" s="12" t="n"/>
    </row>
    <row r="593">
      <c r="A593" s="12" t="n"/>
      <c r="B593" s="12" t="n"/>
      <c r="C593" s="12" t="n"/>
      <c r="D593" s="13">
        <f>IF($A593="","",TRIM($B593&amp;" "&amp;$C593))</f>
        <v/>
      </c>
      <c r="E593" s="12" t="n"/>
      <c r="F593" s="12" t="n"/>
      <c r="G593" s="14" t="n"/>
      <c r="H593" s="14" t="n"/>
      <c r="I593" s="12" t="n"/>
      <c r="J593" s="14" t="n"/>
      <c r="K593" s="12" t="n"/>
      <c r="L593" s="13">
        <f>IF($K593="","",IFERROR(INDEX(Dept_Names,MATCH($K593,Dept_Codes,0)),"NOT FOUND"))</f>
        <v/>
      </c>
      <c r="M593" s="12" t="n"/>
      <c r="N593" s="13">
        <f>IF($M593="","",IFERROR(INDEX(Desig_Names,MATCH($M593,Desig_Codes,0)),"NOT FOUND"))</f>
        <v/>
      </c>
      <c r="O593" s="13">
        <f>IF($M593="","",IFERROR(INDEX(Desig_Levels,MATCH($M593,Desig_Codes,0)),""))</f>
        <v/>
      </c>
      <c r="P593" s="12" t="n"/>
      <c r="Q593" s="12" t="n"/>
      <c r="R593" s="12" t="n"/>
      <c r="S593" s="13">
        <f>IF($R593="","",IFERROR(INDEX(Emp_Names,MATCH($R593,Emp_Codes,0)),"NOT FOUND"))</f>
        <v/>
      </c>
      <c r="T593" s="12" t="n"/>
      <c r="U593" s="12" t="n"/>
      <c r="V593" s="12" t="n"/>
    </row>
    <row r="594">
      <c r="A594" s="12" t="n"/>
      <c r="B594" s="12" t="n"/>
      <c r="C594" s="12" t="n"/>
      <c r="D594" s="13">
        <f>IF($A594="","",TRIM($B594&amp;" "&amp;$C594))</f>
        <v/>
      </c>
      <c r="E594" s="12" t="n"/>
      <c r="F594" s="12" t="n"/>
      <c r="G594" s="14" t="n"/>
      <c r="H594" s="14" t="n"/>
      <c r="I594" s="12" t="n"/>
      <c r="J594" s="14" t="n"/>
      <c r="K594" s="12" t="n"/>
      <c r="L594" s="13">
        <f>IF($K594="","",IFERROR(INDEX(Dept_Names,MATCH($K594,Dept_Codes,0)),"NOT FOUND"))</f>
        <v/>
      </c>
      <c r="M594" s="12" t="n"/>
      <c r="N594" s="13">
        <f>IF($M594="","",IFERROR(INDEX(Desig_Names,MATCH($M594,Desig_Codes,0)),"NOT FOUND"))</f>
        <v/>
      </c>
      <c r="O594" s="13">
        <f>IF($M594="","",IFERROR(INDEX(Desig_Levels,MATCH($M594,Desig_Codes,0)),""))</f>
        <v/>
      </c>
      <c r="P594" s="12" t="n"/>
      <c r="Q594" s="12" t="n"/>
      <c r="R594" s="12" t="n"/>
      <c r="S594" s="13">
        <f>IF($R594="","",IFERROR(INDEX(Emp_Names,MATCH($R594,Emp_Codes,0)),"NOT FOUND"))</f>
        <v/>
      </c>
      <c r="T594" s="12" t="n"/>
      <c r="U594" s="12" t="n"/>
      <c r="V594" s="12" t="n"/>
    </row>
    <row r="595">
      <c r="A595" s="12" t="n"/>
      <c r="B595" s="12" t="n"/>
      <c r="C595" s="12" t="n"/>
      <c r="D595" s="13">
        <f>IF($A595="","",TRIM($B595&amp;" "&amp;$C595))</f>
        <v/>
      </c>
      <c r="E595" s="12" t="n"/>
      <c r="F595" s="12" t="n"/>
      <c r="G595" s="14" t="n"/>
      <c r="H595" s="14" t="n"/>
      <c r="I595" s="12" t="n"/>
      <c r="J595" s="14" t="n"/>
      <c r="K595" s="12" t="n"/>
      <c r="L595" s="13">
        <f>IF($K595="","",IFERROR(INDEX(Dept_Names,MATCH($K595,Dept_Codes,0)),"NOT FOUND"))</f>
        <v/>
      </c>
      <c r="M595" s="12" t="n"/>
      <c r="N595" s="13">
        <f>IF($M595="","",IFERROR(INDEX(Desig_Names,MATCH($M595,Desig_Codes,0)),"NOT FOUND"))</f>
        <v/>
      </c>
      <c r="O595" s="13">
        <f>IF($M595="","",IFERROR(INDEX(Desig_Levels,MATCH($M595,Desig_Codes,0)),""))</f>
        <v/>
      </c>
      <c r="P595" s="12" t="n"/>
      <c r="Q595" s="12" t="n"/>
      <c r="R595" s="12" t="n"/>
      <c r="S595" s="13">
        <f>IF($R595="","",IFERROR(INDEX(Emp_Names,MATCH($R595,Emp_Codes,0)),"NOT FOUND"))</f>
        <v/>
      </c>
      <c r="T595" s="12" t="n"/>
      <c r="U595" s="12" t="n"/>
      <c r="V595" s="12" t="n"/>
    </row>
    <row r="596">
      <c r="A596" s="12" t="n"/>
      <c r="B596" s="12" t="n"/>
      <c r="C596" s="12" t="n"/>
      <c r="D596" s="13">
        <f>IF($A596="","",TRIM($B596&amp;" "&amp;$C596))</f>
        <v/>
      </c>
      <c r="E596" s="12" t="n"/>
      <c r="F596" s="12" t="n"/>
      <c r="G596" s="14" t="n"/>
      <c r="H596" s="14" t="n"/>
      <c r="I596" s="12" t="n"/>
      <c r="J596" s="14" t="n"/>
      <c r="K596" s="12" t="n"/>
      <c r="L596" s="13">
        <f>IF($K596="","",IFERROR(INDEX(Dept_Names,MATCH($K596,Dept_Codes,0)),"NOT FOUND"))</f>
        <v/>
      </c>
      <c r="M596" s="12" t="n"/>
      <c r="N596" s="13">
        <f>IF($M596="","",IFERROR(INDEX(Desig_Names,MATCH($M596,Desig_Codes,0)),"NOT FOUND"))</f>
        <v/>
      </c>
      <c r="O596" s="13">
        <f>IF($M596="","",IFERROR(INDEX(Desig_Levels,MATCH($M596,Desig_Codes,0)),""))</f>
        <v/>
      </c>
      <c r="P596" s="12" t="n"/>
      <c r="Q596" s="12" t="n"/>
      <c r="R596" s="12" t="n"/>
      <c r="S596" s="13">
        <f>IF($R596="","",IFERROR(INDEX(Emp_Names,MATCH($R596,Emp_Codes,0)),"NOT FOUND"))</f>
        <v/>
      </c>
      <c r="T596" s="12" t="n"/>
      <c r="U596" s="12" t="n"/>
      <c r="V596" s="12" t="n"/>
    </row>
    <row r="597">
      <c r="A597" s="12" t="n"/>
      <c r="B597" s="12" t="n"/>
      <c r="C597" s="12" t="n"/>
      <c r="D597" s="13">
        <f>IF($A597="","",TRIM($B597&amp;" "&amp;$C597))</f>
        <v/>
      </c>
      <c r="E597" s="12" t="n"/>
      <c r="F597" s="12" t="n"/>
      <c r="G597" s="14" t="n"/>
      <c r="H597" s="14" t="n"/>
      <c r="I597" s="12" t="n"/>
      <c r="J597" s="14" t="n"/>
      <c r="K597" s="12" t="n"/>
      <c r="L597" s="13">
        <f>IF($K597="","",IFERROR(INDEX(Dept_Names,MATCH($K597,Dept_Codes,0)),"NOT FOUND"))</f>
        <v/>
      </c>
      <c r="M597" s="12" t="n"/>
      <c r="N597" s="13">
        <f>IF($M597="","",IFERROR(INDEX(Desig_Names,MATCH($M597,Desig_Codes,0)),"NOT FOUND"))</f>
        <v/>
      </c>
      <c r="O597" s="13">
        <f>IF($M597="","",IFERROR(INDEX(Desig_Levels,MATCH($M597,Desig_Codes,0)),""))</f>
        <v/>
      </c>
      <c r="P597" s="12" t="n"/>
      <c r="Q597" s="12" t="n"/>
      <c r="R597" s="12" t="n"/>
      <c r="S597" s="13">
        <f>IF($R597="","",IFERROR(INDEX(Emp_Names,MATCH($R597,Emp_Codes,0)),"NOT FOUND"))</f>
        <v/>
      </c>
      <c r="T597" s="12" t="n"/>
      <c r="U597" s="12" t="n"/>
      <c r="V597" s="12" t="n"/>
    </row>
    <row r="598">
      <c r="A598" s="12" t="n"/>
      <c r="B598" s="12" t="n"/>
      <c r="C598" s="12" t="n"/>
      <c r="D598" s="13">
        <f>IF($A598="","",TRIM($B598&amp;" "&amp;$C598))</f>
        <v/>
      </c>
      <c r="E598" s="12" t="n"/>
      <c r="F598" s="12" t="n"/>
      <c r="G598" s="14" t="n"/>
      <c r="H598" s="14" t="n"/>
      <c r="I598" s="12" t="n"/>
      <c r="J598" s="14" t="n"/>
      <c r="K598" s="12" t="n"/>
      <c r="L598" s="13">
        <f>IF($K598="","",IFERROR(INDEX(Dept_Names,MATCH($K598,Dept_Codes,0)),"NOT FOUND"))</f>
        <v/>
      </c>
      <c r="M598" s="12" t="n"/>
      <c r="N598" s="13">
        <f>IF($M598="","",IFERROR(INDEX(Desig_Names,MATCH($M598,Desig_Codes,0)),"NOT FOUND"))</f>
        <v/>
      </c>
      <c r="O598" s="13">
        <f>IF($M598="","",IFERROR(INDEX(Desig_Levels,MATCH($M598,Desig_Codes,0)),""))</f>
        <v/>
      </c>
      <c r="P598" s="12" t="n"/>
      <c r="Q598" s="12" t="n"/>
      <c r="R598" s="12" t="n"/>
      <c r="S598" s="13">
        <f>IF($R598="","",IFERROR(INDEX(Emp_Names,MATCH($R598,Emp_Codes,0)),"NOT FOUND"))</f>
        <v/>
      </c>
      <c r="T598" s="12" t="n"/>
      <c r="U598" s="12" t="n"/>
      <c r="V598" s="12" t="n"/>
    </row>
    <row r="599">
      <c r="A599" s="12" t="n"/>
      <c r="B599" s="12" t="n"/>
      <c r="C599" s="12" t="n"/>
      <c r="D599" s="13">
        <f>IF($A599="","",TRIM($B599&amp;" "&amp;$C599))</f>
        <v/>
      </c>
      <c r="E599" s="12" t="n"/>
      <c r="F599" s="12" t="n"/>
      <c r="G599" s="14" t="n"/>
      <c r="H599" s="14" t="n"/>
      <c r="I599" s="12" t="n"/>
      <c r="J599" s="14" t="n"/>
      <c r="K599" s="12" t="n"/>
      <c r="L599" s="13">
        <f>IF($K599="","",IFERROR(INDEX(Dept_Names,MATCH($K599,Dept_Codes,0)),"NOT FOUND"))</f>
        <v/>
      </c>
      <c r="M599" s="12" t="n"/>
      <c r="N599" s="13">
        <f>IF($M599="","",IFERROR(INDEX(Desig_Names,MATCH($M599,Desig_Codes,0)),"NOT FOUND"))</f>
        <v/>
      </c>
      <c r="O599" s="13">
        <f>IF($M599="","",IFERROR(INDEX(Desig_Levels,MATCH($M599,Desig_Codes,0)),""))</f>
        <v/>
      </c>
      <c r="P599" s="12" t="n"/>
      <c r="Q599" s="12" t="n"/>
      <c r="R599" s="12" t="n"/>
      <c r="S599" s="13">
        <f>IF($R599="","",IFERROR(INDEX(Emp_Names,MATCH($R599,Emp_Codes,0)),"NOT FOUND"))</f>
        <v/>
      </c>
      <c r="T599" s="12" t="n"/>
      <c r="U599" s="12" t="n"/>
      <c r="V599" s="12" t="n"/>
    </row>
    <row r="600">
      <c r="A600" s="12" t="n"/>
      <c r="B600" s="12" t="n"/>
      <c r="C600" s="12" t="n"/>
      <c r="D600" s="13">
        <f>IF($A600="","",TRIM($B600&amp;" "&amp;$C600))</f>
        <v/>
      </c>
      <c r="E600" s="12" t="n"/>
      <c r="F600" s="12" t="n"/>
      <c r="G600" s="14" t="n"/>
      <c r="H600" s="14" t="n"/>
      <c r="I600" s="12" t="n"/>
      <c r="J600" s="14" t="n"/>
      <c r="K600" s="12" t="n"/>
      <c r="L600" s="13">
        <f>IF($K600="","",IFERROR(INDEX(Dept_Names,MATCH($K600,Dept_Codes,0)),"NOT FOUND"))</f>
        <v/>
      </c>
      <c r="M600" s="12" t="n"/>
      <c r="N600" s="13">
        <f>IF($M600="","",IFERROR(INDEX(Desig_Names,MATCH($M600,Desig_Codes,0)),"NOT FOUND"))</f>
        <v/>
      </c>
      <c r="O600" s="13">
        <f>IF($M600="","",IFERROR(INDEX(Desig_Levels,MATCH($M600,Desig_Codes,0)),""))</f>
        <v/>
      </c>
      <c r="P600" s="12" t="n"/>
      <c r="Q600" s="12" t="n"/>
      <c r="R600" s="12" t="n"/>
      <c r="S600" s="13">
        <f>IF($R600="","",IFERROR(INDEX(Emp_Names,MATCH($R600,Emp_Codes,0)),"NOT FOUND"))</f>
        <v/>
      </c>
      <c r="T600" s="12" t="n"/>
      <c r="U600" s="12" t="n"/>
      <c r="V600" s="12" t="n"/>
    </row>
    <row r="601">
      <c r="A601" s="12" t="n"/>
      <c r="B601" s="12" t="n"/>
      <c r="C601" s="12" t="n"/>
      <c r="D601" s="13">
        <f>IF($A601="","",TRIM($B601&amp;" "&amp;$C601))</f>
        <v/>
      </c>
      <c r="E601" s="12" t="n"/>
      <c r="F601" s="12" t="n"/>
      <c r="G601" s="14" t="n"/>
      <c r="H601" s="14" t="n"/>
      <c r="I601" s="12" t="n"/>
      <c r="J601" s="14" t="n"/>
      <c r="K601" s="12" t="n"/>
      <c r="L601" s="13">
        <f>IF($K601="","",IFERROR(INDEX(Dept_Names,MATCH($K601,Dept_Codes,0)),"NOT FOUND"))</f>
        <v/>
      </c>
      <c r="M601" s="12" t="n"/>
      <c r="N601" s="13">
        <f>IF($M601="","",IFERROR(INDEX(Desig_Names,MATCH($M601,Desig_Codes,0)),"NOT FOUND"))</f>
        <v/>
      </c>
      <c r="O601" s="13">
        <f>IF($M601="","",IFERROR(INDEX(Desig_Levels,MATCH($M601,Desig_Codes,0)),""))</f>
        <v/>
      </c>
      <c r="P601" s="12" t="n"/>
      <c r="Q601" s="12" t="n"/>
      <c r="R601" s="12" t="n"/>
      <c r="S601" s="13">
        <f>IF($R601="","",IFERROR(INDEX(Emp_Names,MATCH($R601,Emp_Codes,0)),"NOT FOUND"))</f>
        <v/>
      </c>
      <c r="T601" s="12" t="n"/>
      <c r="U601" s="12" t="n"/>
      <c r="V601" s="12" t="n"/>
    </row>
    <row r="602">
      <c r="A602" s="12" t="n"/>
      <c r="B602" s="12" t="n"/>
      <c r="C602" s="12" t="n"/>
      <c r="D602" s="13">
        <f>IF($A602="","",TRIM($B602&amp;" "&amp;$C602))</f>
        <v/>
      </c>
      <c r="E602" s="12" t="n"/>
      <c r="F602" s="12" t="n"/>
      <c r="G602" s="14" t="n"/>
      <c r="H602" s="14" t="n"/>
      <c r="I602" s="12" t="n"/>
      <c r="J602" s="14" t="n"/>
      <c r="K602" s="12" t="n"/>
      <c r="L602" s="13">
        <f>IF($K602="","",IFERROR(INDEX(Dept_Names,MATCH($K602,Dept_Codes,0)),"NOT FOUND"))</f>
        <v/>
      </c>
      <c r="M602" s="12" t="n"/>
      <c r="N602" s="13">
        <f>IF($M602="","",IFERROR(INDEX(Desig_Names,MATCH($M602,Desig_Codes,0)),"NOT FOUND"))</f>
        <v/>
      </c>
      <c r="O602" s="13">
        <f>IF($M602="","",IFERROR(INDEX(Desig_Levels,MATCH($M602,Desig_Codes,0)),""))</f>
        <v/>
      </c>
      <c r="P602" s="12" t="n"/>
      <c r="Q602" s="12" t="n"/>
      <c r="R602" s="12" t="n"/>
      <c r="S602" s="13">
        <f>IF($R602="","",IFERROR(INDEX(Emp_Names,MATCH($R602,Emp_Codes,0)),"NOT FOUND"))</f>
        <v/>
      </c>
      <c r="T602" s="12" t="n"/>
      <c r="U602" s="12" t="n"/>
      <c r="V602" s="12" t="n"/>
    </row>
    <row r="603">
      <c r="A603" s="12" t="n"/>
      <c r="B603" s="12" t="n"/>
      <c r="C603" s="12" t="n"/>
      <c r="D603" s="13">
        <f>IF($A603="","",TRIM($B603&amp;" "&amp;$C603))</f>
        <v/>
      </c>
      <c r="E603" s="12" t="n"/>
      <c r="F603" s="12" t="n"/>
      <c r="G603" s="14" t="n"/>
      <c r="H603" s="14" t="n"/>
      <c r="I603" s="12" t="n"/>
      <c r="J603" s="14" t="n"/>
      <c r="K603" s="12" t="n"/>
      <c r="L603" s="13">
        <f>IF($K603="","",IFERROR(INDEX(Dept_Names,MATCH($K603,Dept_Codes,0)),"NOT FOUND"))</f>
        <v/>
      </c>
      <c r="M603" s="12" t="n"/>
      <c r="N603" s="13">
        <f>IF($M603="","",IFERROR(INDEX(Desig_Names,MATCH($M603,Desig_Codes,0)),"NOT FOUND"))</f>
        <v/>
      </c>
      <c r="O603" s="13">
        <f>IF($M603="","",IFERROR(INDEX(Desig_Levels,MATCH($M603,Desig_Codes,0)),""))</f>
        <v/>
      </c>
      <c r="P603" s="12" t="n"/>
      <c r="Q603" s="12" t="n"/>
      <c r="R603" s="12" t="n"/>
      <c r="S603" s="13">
        <f>IF($R603="","",IFERROR(INDEX(Emp_Names,MATCH($R603,Emp_Codes,0)),"NOT FOUND"))</f>
        <v/>
      </c>
      <c r="T603" s="12" t="n"/>
      <c r="U603" s="12" t="n"/>
      <c r="V603" s="12" t="n"/>
    </row>
    <row r="604">
      <c r="A604" s="12" t="n"/>
      <c r="B604" s="12" t="n"/>
      <c r="C604" s="12" t="n"/>
      <c r="D604" s="13">
        <f>IF($A604="","",TRIM($B604&amp;" "&amp;$C604))</f>
        <v/>
      </c>
      <c r="E604" s="12" t="n"/>
      <c r="F604" s="12" t="n"/>
      <c r="G604" s="14" t="n"/>
      <c r="H604" s="14" t="n"/>
      <c r="I604" s="12" t="n"/>
      <c r="J604" s="14" t="n"/>
      <c r="K604" s="12" t="n"/>
      <c r="L604" s="13">
        <f>IF($K604="","",IFERROR(INDEX(Dept_Names,MATCH($K604,Dept_Codes,0)),"NOT FOUND"))</f>
        <v/>
      </c>
      <c r="M604" s="12" t="n"/>
      <c r="N604" s="13">
        <f>IF($M604="","",IFERROR(INDEX(Desig_Names,MATCH($M604,Desig_Codes,0)),"NOT FOUND"))</f>
        <v/>
      </c>
      <c r="O604" s="13">
        <f>IF($M604="","",IFERROR(INDEX(Desig_Levels,MATCH($M604,Desig_Codes,0)),""))</f>
        <v/>
      </c>
      <c r="P604" s="12" t="n"/>
      <c r="Q604" s="12" t="n"/>
      <c r="R604" s="12" t="n"/>
      <c r="S604" s="13">
        <f>IF($R604="","",IFERROR(INDEX(Emp_Names,MATCH($R604,Emp_Codes,0)),"NOT FOUND"))</f>
        <v/>
      </c>
      <c r="T604" s="12" t="n"/>
      <c r="U604" s="12" t="n"/>
      <c r="V604" s="12" t="n"/>
    </row>
    <row r="605">
      <c r="A605" s="12" t="n"/>
      <c r="B605" s="12" t="n"/>
      <c r="C605" s="12" t="n"/>
      <c r="D605" s="13">
        <f>IF($A605="","",TRIM($B605&amp;" "&amp;$C605))</f>
        <v/>
      </c>
      <c r="E605" s="12" t="n"/>
      <c r="F605" s="12" t="n"/>
      <c r="G605" s="14" t="n"/>
      <c r="H605" s="14" t="n"/>
      <c r="I605" s="12" t="n"/>
      <c r="J605" s="14" t="n"/>
      <c r="K605" s="12" t="n"/>
      <c r="L605" s="13">
        <f>IF($K605="","",IFERROR(INDEX(Dept_Names,MATCH($K605,Dept_Codes,0)),"NOT FOUND"))</f>
        <v/>
      </c>
      <c r="M605" s="12" t="n"/>
      <c r="N605" s="13">
        <f>IF($M605="","",IFERROR(INDEX(Desig_Names,MATCH($M605,Desig_Codes,0)),"NOT FOUND"))</f>
        <v/>
      </c>
      <c r="O605" s="13">
        <f>IF($M605="","",IFERROR(INDEX(Desig_Levels,MATCH($M605,Desig_Codes,0)),""))</f>
        <v/>
      </c>
      <c r="P605" s="12" t="n"/>
      <c r="Q605" s="12" t="n"/>
      <c r="R605" s="12" t="n"/>
      <c r="S605" s="13">
        <f>IF($R605="","",IFERROR(INDEX(Emp_Names,MATCH($R605,Emp_Codes,0)),"NOT FOUND"))</f>
        <v/>
      </c>
      <c r="T605" s="12" t="n"/>
      <c r="U605" s="12" t="n"/>
      <c r="V605" s="12" t="n"/>
    </row>
    <row r="606">
      <c r="A606" s="12" t="n"/>
      <c r="B606" s="12" t="n"/>
      <c r="C606" s="12" t="n"/>
      <c r="D606" s="13">
        <f>IF($A606="","",TRIM($B606&amp;" "&amp;$C606))</f>
        <v/>
      </c>
      <c r="E606" s="12" t="n"/>
      <c r="F606" s="12" t="n"/>
      <c r="G606" s="14" t="n"/>
      <c r="H606" s="14" t="n"/>
      <c r="I606" s="12" t="n"/>
      <c r="J606" s="14" t="n"/>
      <c r="K606" s="12" t="n"/>
      <c r="L606" s="13">
        <f>IF($K606="","",IFERROR(INDEX(Dept_Names,MATCH($K606,Dept_Codes,0)),"NOT FOUND"))</f>
        <v/>
      </c>
      <c r="M606" s="12" t="n"/>
      <c r="N606" s="13">
        <f>IF($M606="","",IFERROR(INDEX(Desig_Names,MATCH($M606,Desig_Codes,0)),"NOT FOUND"))</f>
        <v/>
      </c>
      <c r="O606" s="13">
        <f>IF($M606="","",IFERROR(INDEX(Desig_Levels,MATCH($M606,Desig_Codes,0)),""))</f>
        <v/>
      </c>
      <c r="P606" s="12" t="n"/>
      <c r="Q606" s="12" t="n"/>
      <c r="R606" s="12" t="n"/>
      <c r="S606" s="13">
        <f>IF($R606="","",IFERROR(INDEX(Emp_Names,MATCH($R606,Emp_Codes,0)),"NOT FOUND"))</f>
        <v/>
      </c>
      <c r="T606" s="12" t="n"/>
      <c r="U606" s="12" t="n"/>
      <c r="V606" s="12" t="n"/>
    </row>
    <row r="607">
      <c r="A607" s="12" t="n"/>
      <c r="B607" s="12" t="n"/>
      <c r="C607" s="12" t="n"/>
      <c r="D607" s="13">
        <f>IF($A607="","",TRIM($B607&amp;" "&amp;$C607))</f>
        <v/>
      </c>
      <c r="E607" s="12" t="n"/>
      <c r="F607" s="12" t="n"/>
      <c r="G607" s="14" t="n"/>
      <c r="H607" s="14" t="n"/>
      <c r="I607" s="12" t="n"/>
      <c r="J607" s="14" t="n"/>
      <c r="K607" s="12" t="n"/>
      <c r="L607" s="13">
        <f>IF($K607="","",IFERROR(INDEX(Dept_Names,MATCH($K607,Dept_Codes,0)),"NOT FOUND"))</f>
        <v/>
      </c>
      <c r="M607" s="12" t="n"/>
      <c r="N607" s="13">
        <f>IF($M607="","",IFERROR(INDEX(Desig_Names,MATCH($M607,Desig_Codes,0)),"NOT FOUND"))</f>
        <v/>
      </c>
      <c r="O607" s="13">
        <f>IF($M607="","",IFERROR(INDEX(Desig_Levels,MATCH($M607,Desig_Codes,0)),""))</f>
        <v/>
      </c>
      <c r="P607" s="12" t="n"/>
      <c r="Q607" s="12" t="n"/>
      <c r="R607" s="12" t="n"/>
      <c r="S607" s="13">
        <f>IF($R607="","",IFERROR(INDEX(Emp_Names,MATCH($R607,Emp_Codes,0)),"NOT FOUND"))</f>
        <v/>
      </c>
      <c r="T607" s="12" t="n"/>
      <c r="U607" s="12" t="n"/>
      <c r="V607" s="12" t="n"/>
    </row>
    <row r="608">
      <c r="A608" s="12" t="n"/>
      <c r="B608" s="12" t="n"/>
      <c r="C608" s="12" t="n"/>
      <c r="D608" s="13">
        <f>IF($A608="","",TRIM($B608&amp;" "&amp;$C608))</f>
        <v/>
      </c>
      <c r="E608" s="12" t="n"/>
      <c r="F608" s="12" t="n"/>
      <c r="G608" s="14" t="n"/>
      <c r="H608" s="14" t="n"/>
      <c r="I608" s="12" t="n"/>
      <c r="J608" s="14" t="n"/>
      <c r="K608" s="12" t="n"/>
      <c r="L608" s="13">
        <f>IF($K608="","",IFERROR(INDEX(Dept_Names,MATCH($K608,Dept_Codes,0)),"NOT FOUND"))</f>
        <v/>
      </c>
      <c r="M608" s="12" t="n"/>
      <c r="N608" s="13">
        <f>IF($M608="","",IFERROR(INDEX(Desig_Names,MATCH($M608,Desig_Codes,0)),"NOT FOUND"))</f>
        <v/>
      </c>
      <c r="O608" s="13">
        <f>IF($M608="","",IFERROR(INDEX(Desig_Levels,MATCH($M608,Desig_Codes,0)),""))</f>
        <v/>
      </c>
      <c r="P608" s="12" t="n"/>
      <c r="Q608" s="12" t="n"/>
      <c r="R608" s="12" t="n"/>
      <c r="S608" s="13">
        <f>IF($R608="","",IFERROR(INDEX(Emp_Names,MATCH($R608,Emp_Codes,0)),"NOT FOUND"))</f>
        <v/>
      </c>
      <c r="T608" s="12" t="n"/>
      <c r="U608" s="12" t="n"/>
      <c r="V608" s="12" t="n"/>
    </row>
    <row r="609">
      <c r="A609" s="12" t="n"/>
      <c r="B609" s="12" t="n"/>
      <c r="C609" s="12" t="n"/>
      <c r="D609" s="13">
        <f>IF($A609="","",TRIM($B609&amp;" "&amp;$C609))</f>
        <v/>
      </c>
      <c r="E609" s="12" t="n"/>
      <c r="F609" s="12" t="n"/>
      <c r="G609" s="14" t="n"/>
      <c r="H609" s="14" t="n"/>
      <c r="I609" s="12" t="n"/>
      <c r="J609" s="14" t="n"/>
      <c r="K609" s="12" t="n"/>
      <c r="L609" s="13">
        <f>IF($K609="","",IFERROR(INDEX(Dept_Names,MATCH($K609,Dept_Codes,0)),"NOT FOUND"))</f>
        <v/>
      </c>
      <c r="M609" s="12" t="n"/>
      <c r="N609" s="13">
        <f>IF($M609="","",IFERROR(INDEX(Desig_Names,MATCH($M609,Desig_Codes,0)),"NOT FOUND"))</f>
        <v/>
      </c>
      <c r="O609" s="13">
        <f>IF($M609="","",IFERROR(INDEX(Desig_Levels,MATCH($M609,Desig_Codes,0)),""))</f>
        <v/>
      </c>
      <c r="P609" s="12" t="n"/>
      <c r="Q609" s="12" t="n"/>
      <c r="R609" s="12" t="n"/>
      <c r="S609" s="13">
        <f>IF($R609="","",IFERROR(INDEX(Emp_Names,MATCH($R609,Emp_Codes,0)),"NOT FOUND"))</f>
        <v/>
      </c>
      <c r="T609" s="12" t="n"/>
      <c r="U609" s="12" t="n"/>
      <c r="V609" s="12" t="n"/>
    </row>
    <row r="610">
      <c r="A610" s="12" t="n"/>
      <c r="B610" s="12" t="n"/>
      <c r="C610" s="12" t="n"/>
      <c r="D610" s="13">
        <f>IF($A610="","",TRIM($B610&amp;" "&amp;$C610))</f>
        <v/>
      </c>
      <c r="E610" s="12" t="n"/>
      <c r="F610" s="12" t="n"/>
      <c r="G610" s="14" t="n"/>
      <c r="H610" s="14" t="n"/>
      <c r="I610" s="12" t="n"/>
      <c r="J610" s="14" t="n"/>
      <c r="K610" s="12" t="n"/>
      <c r="L610" s="13">
        <f>IF($K610="","",IFERROR(INDEX(Dept_Names,MATCH($K610,Dept_Codes,0)),"NOT FOUND"))</f>
        <v/>
      </c>
      <c r="M610" s="12" t="n"/>
      <c r="N610" s="13">
        <f>IF($M610="","",IFERROR(INDEX(Desig_Names,MATCH($M610,Desig_Codes,0)),"NOT FOUND"))</f>
        <v/>
      </c>
      <c r="O610" s="13">
        <f>IF($M610="","",IFERROR(INDEX(Desig_Levels,MATCH($M610,Desig_Codes,0)),""))</f>
        <v/>
      </c>
      <c r="P610" s="12" t="n"/>
      <c r="Q610" s="12" t="n"/>
      <c r="R610" s="12" t="n"/>
      <c r="S610" s="13">
        <f>IF($R610="","",IFERROR(INDEX(Emp_Names,MATCH($R610,Emp_Codes,0)),"NOT FOUND"))</f>
        <v/>
      </c>
      <c r="T610" s="12" t="n"/>
      <c r="U610" s="12" t="n"/>
      <c r="V610" s="12" t="n"/>
    </row>
    <row r="611">
      <c r="A611" s="12" t="n"/>
      <c r="B611" s="12" t="n"/>
      <c r="C611" s="12" t="n"/>
      <c r="D611" s="13">
        <f>IF($A611="","",TRIM($B611&amp;" "&amp;$C611))</f>
        <v/>
      </c>
      <c r="E611" s="12" t="n"/>
      <c r="F611" s="12" t="n"/>
      <c r="G611" s="14" t="n"/>
      <c r="H611" s="14" t="n"/>
      <c r="I611" s="12" t="n"/>
      <c r="J611" s="14" t="n"/>
      <c r="K611" s="12" t="n"/>
      <c r="L611" s="13">
        <f>IF($K611="","",IFERROR(INDEX(Dept_Names,MATCH($K611,Dept_Codes,0)),"NOT FOUND"))</f>
        <v/>
      </c>
      <c r="M611" s="12" t="n"/>
      <c r="N611" s="13">
        <f>IF($M611="","",IFERROR(INDEX(Desig_Names,MATCH($M611,Desig_Codes,0)),"NOT FOUND"))</f>
        <v/>
      </c>
      <c r="O611" s="13">
        <f>IF($M611="","",IFERROR(INDEX(Desig_Levels,MATCH($M611,Desig_Codes,0)),""))</f>
        <v/>
      </c>
      <c r="P611" s="12" t="n"/>
      <c r="Q611" s="12" t="n"/>
      <c r="R611" s="12" t="n"/>
      <c r="S611" s="13">
        <f>IF($R611="","",IFERROR(INDEX(Emp_Names,MATCH($R611,Emp_Codes,0)),"NOT FOUND"))</f>
        <v/>
      </c>
      <c r="T611" s="12" t="n"/>
      <c r="U611" s="12" t="n"/>
      <c r="V611" s="12" t="n"/>
    </row>
    <row r="612">
      <c r="A612" s="12" t="n"/>
      <c r="B612" s="12" t="n"/>
      <c r="C612" s="12" t="n"/>
      <c r="D612" s="13">
        <f>IF($A612="","",TRIM($B612&amp;" "&amp;$C612))</f>
        <v/>
      </c>
      <c r="E612" s="12" t="n"/>
      <c r="F612" s="12" t="n"/>
      <c r="G612" s="14" t="n"/>
      <c r="H612" s="14" t="n"/>
      <c r="I612" s="12" t="n"/>
      <c r="J612" s="14" t="n"/>
      <c r="K612" s="12" t="n"/>
      <c r="L612" s="13">
        <f>IF($K612="","",IFERROR(INDEX(Dept_Names,MATCH($K612,Dept_Codes,0)),"NOT FOUND"))</f>
        <v/>
      </c>
      <c r="M612" s="12" t="n"/>
      <c r="N612" s="13">
        <f>IF($M612="","",IFERROR(INDEX(Desig_Names,MATCH($M612,Desig_Codes,0)),"NOT FOUND"))</f>
        <v/>
      </c>
      <c r="O612" s="13">
        <f>IF($M612="","",IFERROR(INDEX(Desig_Levels,MATCH($M612,Desig_Codes,0)),""))</f>
        <v/>
      </c>
      <c r="P612" s="12" t="n"/>
      <c r="Q612" s="12" t="n"/>
      <c r="R612" s="12" t="n"/>
      <c r="S612" s="13">
        <f>IF($R612="","",IFERROR(INDEX(Emp_Names,MATCH($R612,Emp_Codes,0)),"NOT FOUND"))</f>
        <v/>
      </c>
      <c r="T612" s="12" t="n"/>
      <c r="U612" s="12" t="n"/>
      <c r="V612" s="12" t="n"/>
    </row>
    <row r="613">
      <c r="A613" s="12" t="n"/>
      <c r="B613" s="12" t="n"/>
      <c r="C613" s="12" t="n"/>
      <c r="D613" s="13">
        <f>IF($A613="","",TRIM($B613&amp;" "&amp;$C613))</f>
        <v/>
      </c>
      <c r="E613" s="12" t="n"/>
      <c r="F613" s="12" t="n"/>
      <c r="G613" s="14" t="n"/>
      <c r="H613" s="14" t="n"/>
      <c r="I613" s="12" t="n"/>
      <c r="J613" s="14" t="n"/>
      <c r="K613" s="12" t="n"/>
      <c r="L613" s="13">
        <f>IF($K613="","",IFERROR(INDEX(Dept_Names,MATCH($K613,Dept_Codes,0)),"NOT FOUND"))</f>
        <v/>
      </c>
      <c r="M613" s="12" t="n"/>
      <c r="N613" s="13">
        <f>IF($M613="","",IFERROR(INDEX(Desig_Names,MATCH($M613,Desig_Codes,0)),"NOT FOUND"))</f>
        <v/>
      </c>
      <c r="O613" s="13">
        <f>IF($M613="","",IFERROR(INDEX(Desig_Levels,MATCH($M613,Desig_Codes,0)),""))</f>
        <v/>
      </c>
      <c r="P613" s="12" t="n"/>
      <c r="Q613" s="12" t="n"/>
      <c r="R613" s="12" t="n"/>
      <c r="S613" s="13">
        <f>IF($R613="","",IFERROR(INDEX(Emp_Names,MATCH($R613,Emp_Codes,0)),"NOT FOUND"))</f>
        <v/>
      </c>
      <c r="T613" s="12" t="n"/>
      <c r="U613" s="12" t="n"/>
      <c r="V613" s="12" t="n"/>
    </row>
    <row r="614">
      <c r="A614" s="12" t="n"/>
      <c r="B614" s="12" t="n"/>
      <c r="C614" s="12" t="n"/>
      <c r="D614" s="13">
        <f>IF($A614="","",TRIM($B614&amp;" "&amp;$C614))</f>
        <v/>
      </c>
      <c r="E614" s="12" t="n"/>
      <c r="F614" s="12" t="n"/>
      <c r="G614" s="14" t="n"/>
      <c r="H614" s="14" t="n"/>
      <c r="I614" s="12" t="n"/>
      <c r="J614" s="14" t="n"/>
      <c r="K614" s="12" t="n"/>
      <c r="L614" s="13">
        <f>IF($K614="","",IFERROR(INDEX(Dept_Names,MATCH($K614,Dept_Codes,0)),"NOT FOUND"))</f>
        <v/>
      </c>
      <c r="M614" s="12" t="n"/>
      <c r="N614" s="13">
        <f>IF($M614="","",IFERROR(INDEX(Desig_Names,MATCH($M614,Desig_Codes,0)),"NOT FOUND"))</f>
        <v/>
      </c>
      <c r="O614" s="13">
        <f>IF($M614="","",IFERROR(INDEX(Desig_Levels,MATCH($M614,Desig_Codes,0)),""))</f>
        <v/>
      </c>
      <c r="P614" s="12" t="n"/>
      <c r="Q614" s="12" t="n"/>
      <c r="R614" s="12" t="n"/>
      <c r="S614" s="13">
        <f>IF($R614="","",IFERROR(INDEX(Emp_Names,MATCH($R614,Emp_Codes,0)),"NOT FOUND"))</f>
        <v/>
      </c>
      <c r="T614" s="12" t="n"/>
      <c r="U614" s="12" t="n"/>
      <c r="V614" s="12" t="n"/>
    </row>
    <row r="615">
      <c r="A615" s="12" t="n"/>
      <c r="B615" s="12" t="n"/>
      <c r="C615" s="12" t="n"/>
      <c r="D615" s="13">
        <f>IF($A615="","",TRIM($B615&amp;" "&amp;$C615))</f>
        <v/>
      </c>
      <c r="E615" s="12" t="n"/>
      <c r="F615" s="12" t="n"/>
      <c r="G615" s="14" t="n"/>
      <c r="H615" s="14" t="n"/>
      <c r="I615" s="12" t="n"/>
      <c r="J615" s="14" t="n"/>
      <c r="K615" s="12" t="n"/>
      <c r="L615" s="13">
        <f>IF($K615="","",IFERROR(INDEX(Dept_Names,MATCH($K615,Dept_Codes,0)),"NOT FOUND"))</f>
        <v/>
      </c>
      <c r="M615" s="12" t="n"/>
      <c r="N615" s="13">
        <f>IF($M615="","",IFERROR(INDEX(Desig_Names,MATCH($M615,Desig_Codes,0)),"NOT FOUND"))</f>
        <v/>
      </c>
      <c r="O615" s="13">
        <f>IF($M615="","",IFERROR(INDEX(Desig_Levels,MATCH($M615,Desig_Codes,0)),""))</f>
        <v/>
      </c>
      <c r="P615" s="12" t="n"/>
      <c r="Q615" s="12" t="n"/>
      <c r="R615" s="12" t="n"/>
      <c r="S615" s="13">
        <f>IF($R615="","",IFERROR(INDEX(Emp_Names,MATCH($R615,Emp_Codes,0)),"NOT FOUND"))</f>
        <v/>
      </c>
      <c r="T615" s="12" t="n"/>
      <c r="U615" s="12" t="n"/>
      <c r="V615" s="12" t="n"/>
    </row>
    <row r="616">
      <c r="A616" s="12" t="n"/>
      <c r="B616" s="12" t="n"/>
      <c r="C616" s="12" t="n"/>
      <c r="D616" s="13">
        <f>IF($A616="","",TRIM($B616&amp;" "&amp;$C616))</f>
        <v/>
      </c>
      <c r="E616" s="12" t="n"/>
      <c r="F616" s="12" t="n"/>
      <c r="G616" s="14" t="n"/>
      <c r="H616" s="14" t="n"/>
      <c r="I616" s="12" t="n"/>
      <c r="J616" s="14" t="n"/>
      <c r="K616" s="12" t="n"/>
      <c r="L616" s="13">
        <f>IF($K616="","",IFERROR(INDEX(Dept_Names,MATCH($K616,Dept_Codes,0)),"NOT FOUND"))</f>
        <v/>
      </c>
      <c r="M616" s="12" t="n"/>
      <c r="N616" s="13">
        <f>IF($M616="","",IFERROR(INDEX(Desig_Names,MATCH($M616,Desig_Codes,0)),"NOT FOUND"))</f>
        <v/>
      </c>
      <c r="O616" s="13">
        <f>IF($M616="","",IFERROR(INDEX(Desig_Levels,MATCH($M616,Desig_Codes,0)),""))</f>
        <v/>
      </c>
      <c r="P616" s="12" t="n"/>
      <c r="Q616" s="12" t="n"/>
      <c r="R616" s="12" t="n"/>
      <c r="S616" s="13">
        <f>IF($R616="","",IFERROR(INDEX(Emp_Names,MATCH($R616,Emp_Codes,0)),"NOT FOUND"))</f>
        <v/>
      </c>
      <c r="T616" s="12" t="n"/>
      <c r="U616" s="12" t="n"/>
      <c r="V616" s="12" t="n"/>
    </row>
    <row r="617">
      <c r="A617" s="12" t="n"/>
      <c r="B617" s="12" t="n"/>
      <c r="C617" s="12" t="n"/>
      <c r="D617" s="13">
        <f>IF($A617="","",TRIM($B617&amp;" "&amp;$C617))</f>
        <v/>
      </c>
      <c r="E617" s="12" t="n"/>
      <c r="F617" s="12" t="n"/>
      <c r="G617" s="14" t="n"/>
      <c r="H617" s="14" t="n"/>
      <c r="I617" s="12" t="n"/>
      <c r="J617" s="14" t="n"/>
      <c r="K617" s="12" t="n"/>
      <c r="L617" s="13">
        <f>IF($K617="","",IFERROR(INDEX(Dept_Names,MATCH($K617,Dept_Codes,0)),"NOT FOUND"))</f>
        <v/>
      </c>
      <c r="M617" s="12" t="n"/>
      <c r="N617" s="13">
        <f>IF($M617="","",IFERROR(INDEX(Desig_Names,MATCH($M617,Desig_Codes,0)),"NOT FOUND"))</f>
        <v/>
      </c>
      <c r="O617" s="13">
        <f>IF($M617="","",IFERROR(INDEX(Desig_Levels,MATCH($M617,Desig_Codes,0)),""))</f>
        <v/>
      </c>
      <c r="P617" s="12" t="n"/>
      <c r="Q617" s="12" t="n"/>
      <c r="R617" s="12" t="n"/>
      <c r="S617" s="13">
        <f>IF($R617="","",IFERROR(INDEX(Emp_Names,MATCH($R617,Emp_Codes,0)),"NOT FOUND"))</f>
        <v/>
      </c>
      <c r="T617" s="12" t="n"/>
      <c r="U617" s="12" t="n"/>
      <c r="V617" s="12" t="n"/>
    </row>
    <row r="618">
      <c r="A618" s="12" t="n"/>
      <c r="B618" s="12" t="n"/>
      <c r="C618" s="12" t="n"/>
      <c r="D618" s="13">
        <f>IF($A618="","",TRIM($B618&amp;" "&amp;$C618))</f>
        <v/>
      </c>
      <c r="E618" s="12" t="n"/>
      <c r="F618" s="12" t="n"/>
      <c r="G618" s="14" t="n"/>
      <c r="H618" s="14" t="n"/>
      <c r="I618" s="12" t="n"/>
      <c r="J618" s="14" t="n"/>
      <c r="K618" s="12" t="n"/>
      <c r="L618" s="13">
        <f>IF($K618="","",IFERROR(INDEX(Dept_Names,MATCH($K618,Dept_Codes,0)),"NOT FOUND"))</f>
        <v/>
      </c>
      <c r="M618" s="12" t="n"/>
      <c r="N618" s="13">
        <f>IF($M618="","",IFERROR(INDEX(Desig_Names,MATCH($M618,Desig_Codes,0)),"NOT FOUND"))</f>
        <v/>
      </c>
      <c r="O618" s="13">
        <f>IF($M618="","",IFERROR(INDEX(Desig_Levels,MATCH($M618,Desig_Codes,0)),""))</f>
        <v/>
      </c>
      <c r="P618" s="12" t="n"/>
      <c r="Q618" s="12" t="n"/>
      <c r="R618" s="12" t="n"/>
      <c r="S618" s="13">
        <f>IF($R618="","",IFERROR(INDEX(Emp_Names,MATCH($R618,Emp_Codes,0)),"NOT FOUND"))</f>
        <v/>
      </c>
      <c r="T618" s="12" t="n"/>
      <c r="U618" s="12" t="n"/>
      <c r="V618" s="12" t="n"/>
    </row>
    <row r="619">
      <c r="A619" s="12" t="n"/>
      <c r="B619" s="12" t="n"/>
      <c r="C619" s="12" t="n"/>
      <c r="D619" s="13">
        <f>IF($A619="","",TRIM($B619&amp;" "&amp;$C619))</f>
        <v/>
      </c>
      <c r="E619" s="12" t="n"/>
      <c r="F619" s="12" t="n"/>
      <c r="G619" s="14" t="n"/>
      <c r="H619" s="14" t="n"/>
      <c r="I619" s="12" t="n"/>
      <c r="J619" s="14" t="n"/>
      <c r="K619" s="12" t="n"/>
      <c r="L619" s="13">
        <f>IF($K619="","",IFERROR(INDEX(Dept_Names,MATCH($K619,Dept_Codes,0)),"NOT FOUND"))</f>
        <v/>
      </c>
      <c r="M619" s="12" t="n"/>
      <c r="N619" s="13">
        <f>IF($M619="","",IFERROR(INDEX(Desig_Names,MATCH($M619,Desig_Codes,0)),"NOT FOUND"))</f>
        <v/>
      </c>
      <c r="O619" s="13">
        <f>IF($M619="","",IFERROR(INDEX(Desig_Levels,MATCH($M619,Desig_Codes,0)),""))</f>
        <v/>
      </c>
      <c r="P619" s="12" t="n"/>
      <c r="Q619" s="12" t="n"/>
      <c r="R619" s="12" t="n"/>
      <c r="S619" s="13">
        <f>IF($R619="","",IFERROR(INDEX(Emp_Names,MATCH($R619,Emp_Codes,0)),"NOT FOUND"))</f>
        <v/>
      </c>
      <c r="T619" s="12" t="n"/>
      <c r="U619" s="12" t="n"/>
      <c r="V619" s="12" t="n"/>
    </row>
    <row r="620">
      <c r="A620" s="12" t="n"/>
      <c r="B620" s="12" t="n"/>
      <c r="C620" s="12" t="n"/>
      <c r="D620" s="13">
        <f>IF($A620="","",TRIM($B620&amp;" "&amp;$C620))</f>
        <v/>
      </c>
      <c r="E620" s="12" t="n"/>
      <c r="F620" s="12" t="n"/>
      <c r="G620" s="14" t="n"/>
      <c r="H620" s="14" t="n"/>
      <c r="I620" s="12" t="n"/>
      <c r="J620" s="14" t="n"/>
      <c r="K620" s="12" t="n"/>
      <c r="L620" s="13">
        <f>IF($K620="","",IFERROR(INDEX(Dept_Names,MATCH($K620,Dept_Codes,0)),"NOT FOUND"))</f>
        <v/>
      </c>
      <c r="M620" s="12" t="n"/>
      <c r="N620" s="13">
        <f>IF($M620="","",IFERROR(INDEX(Desig_Names,MATCH($M620,Desig_Codes,0)),"NOT FOUND"))</f>
        <v/>
      </c>
      <c r="O620" s="13">
        <f>IF($M620="","",IFERROR(INDEX(Desig_Levels,MATCH($M620,Desig_Codes,0)),""))</f>
        <v/>
      </c>
      <c r="P620" s="12" t="n"/>
      <c r="Q620" s="12" t="n"/>
      <c r="R620" s="12" t="n"/>
      <c r="S620" s="13">
        <f>IF($R620="","",IFERROR(INDEX(Emp_Names,MATCH($R620,Emp_Codes,0)),"NOT FOUND"))</f>
        <v/>
      </c>
      <c r="T620" s="12" t="n"/>
      <c r="U620" s="12" t="n"/>
      <c r="V620" s="12" t="n"/>
    </row>
    <row r="621">
      <c r="A621" s="12" t="n"/>
      <c r="B621" s="12" t="n"/>
      <c r="C621" s="12" t="n"/>
      <c r="D621" s="13">
        <f>IF($A621="","",TRIM($B621&amp;" "&amp;$C621))</f>
        <v/>
      </c>
      <c r="E621" s="12" t="n"/>
      <c r="F621" s="12" t="n"/>
      <c r="G621" s="14" t="n"/>
      <c r="H621" s="14" t="n"/>
      <c r="I621" s="12" t="n"/>
      <c r="J621" s="14" t="n"/>
      <c r="K621" s="12" t="n"/>
      <c r="L621" s="13">
        <f>IF($K621="","",IFERROR(INDEX(Dept_Names,MATCH($K621,Dept_Codes,0)),"NOT FOUND"))</f>
        <v/>
      </c>
      <c r="M621" s="12" t="n"/>
      <c r="N621" s="13">
        <f>IF($M621="","",IFERROR(INDEX(Desig_Names,MATCH($M621,Desig_Codes,0)),"NOT FOUND"))</f>
        <v/>
      </c>
      <c r="O621" s="13">
        <f>IF($M621="","",IFERROR(INDEX(Desig_Levels,MATCH($M621,Desig_Codes,0)),""))</f>
        <v/>
      </c>
      <c r="P621" s="12" t="n"/>
      <c r="Q621" s="12" t="n"/>
      <c r="R621" s="12" t="n"/>
      <c r="S621" s="13">
        <f>IF($R621="","",IFERROR(INDEX(Emp_Names,MATCH($R621,Emp_Codes,0)),"NOT FOUND"))</f>
        <v/>
      </c>
      <c r="T621" s="12" t="n"/>
      <c r="U621" s="12" t="n"/>
      <c r="V621" s="12" t="n"/>
    </row>
    <row r="622">
      <c r="A622" s="12" t="n"/>
      <c r="B622" s="12" t="n"/>
      <c r="C622" s="12" t="n"/>
      <c r="D622" s="13">
        <f>IF($A622="","",TRIM($B622&amp;" "&amp;$C622))</f>
        <v/>
      </c>
      <c r="E622" s="12" t="n"/>
      <c r="F622" s="12" t="n"/>
      <c r="G622" s="14" t="n"/>
      <c r="H622" s="14" t="n"/>
      <c r="I622" s="12" t="n"/>
      <c r="J622" s="14" t="n"/>
      <c r="K622" s="12" t="n"/>
      <c r="L622" s="13">
        <f>IF($K622="","",IFERROR(INDEX(Dept_Names,MATCH($K622,Dept_Codes,0)),"NOT FOUND"))</f>
        <v/>
      </c>
      <c r="M622" s="12" t="n"/>
      <c r="N622" s="13">
        <f>IF($M622="","",IFERROR(INDEX(Desig_Names,MATCH($M622,Desig_Codes,0)),"NOT FOUND"))</f>
        <v/>
      </c>
      <c r="O622" s="13">
        <f>IF($M622="","",IFERROR(INDEX(Desig_Levels,MATCH($M622,Desig_Codes,0)),""))</f>
        <v/>
      </c>
      <c r="P622" s="12" t="n"/>
      <c r="Q622" s="12" t="n"/>
      <c r="R622" s="12" t="n"/>
      <c r="S622" s="13">
        <f>IF($R622="","",IFERROR(INDEX(Emp_Names,MATCH($R622,Emp_Codes,0)),"NOT FOUND"))</f>
        <v/>
      </c>
      <c r="T622" s="12" t="n"/>
      <c r="U622" s="12" t="n"/>
      <c r="V622" s="12" t="n"/>
    </row>
    <row r="623">
      <c r="A623" s="12" t="n"/>
      <c r="B623" s="12" t="n"/>
      <c r="C623" s="12" t="n"/>
      <c r="D623" s="13">
        <f>IF($A623="","",TRIM($B623&amp;" "&amp;$C623))</f>
        <v/>
      </c>
      <c r="E623" s="12" t="n"/>
      <c r="F623" s="12" t="n"/>
      <c r="G623" s="14" t="n"/>
      <c r="H623" s="14" t="n"/>
      <c r="I623" s="12" t="n"/>
      <c r="J623" s="14" t="n"/>
      <c r="K623" s="12" t="n"/>
      <c r="L623" s="13">
        <f>IF($K623="","",IFERROR(INDEX(Dept_Names,MATCH($K623,Dept_Codes,0)),"NOT FOUND"))</f>
        <v/>
      </c>
      <c r="M623" s="12" t="n"/>
      <c r="N623" s="13">
        <f>IF($M623="","",IFERROR(INDEX(Desig_Names,MATCH($M623,Desig_Codes,0)),"NOT FOUND"))</f>
        <v/>
      </c>
      <c r="O623" s="13">
        <f>IF($M623="","",IFERROR(INDEX(Desig_Levels,MATCH($M623,Desig_Codes,0)),""))</f>
        <v/>
      </c>
      <c r="P623" s="12" t="n"/>
      <c r="Q623" s="12" t="n"/>
      <c r="R623" s="12" t="n"/>
      <c r="S623" s="13">
        <f>IF($R623="","",IFERROR(INDEX(Emp_Names,MATCH($R623,Emp_Codes,0)),"NOT FOUND"))</f>
        <v/>
      </c>
      <c r="T623" s="12" t="n"/>
      <c r="U623" s="12" t="n"/>
      <c r="V623" s="12" t="n"/>
    </row>
    <row r="624">
      <c r="A624" s="12" t="n"/>
      <c r="B624" s="12" t="n"/>
      <c r="C624" s="12" t="n"/>
      <c r="D624" s="13">
        <f>IF($A624="","",TRIM($B624&amp;" "&amp;$C624))</f>
        <v/>
      </c>
      <c r="E624" s="12" t="n"/>
      <c r="F624" s="12" t="n"/>
      <c r="G624" s="14" t="n"/>
      <c r="H624" s="14" t="n"/>
      <c r="I624" s="12" t="n"/>
      <c r="J624" s="14" t="n"/>
      <c r="K624" s="12" t="n"/>
      <c r="L624" s="13">
        <f>IF($K624="","",IFERROR(INDEX(Dept_Names,MATCH($K624,Dept_Codes,0)),"NOT FOUND"))</f>
        <v/>
      </c>
      <c r="M624" s="12" t="n"/>
      <c r="N624" s="13">
        <f>IF($M624="","",IFERROR(INDEX(Desig_Names,MATCH($M624,Desig_Codes,0)),"NOT FOUND"))</f>
        <v/>
      </c>
      <c r="O624" s="13">
        <f>IF($M624="","",IFERROR(INDEX(Desig_Levels,MATCH($M624,Desig_Codes,0)),""))</f>
        <v/>
      </c>
      <c r="P624" s="12" t="n"/>
      <c r="Q624" s="12" t="n"/>
      <c r="R624" s="12" t="n"/>
      <c r="S624" s="13">
        <f>IF($R624="","",IFERROR(INDEX(Emp_Names,MATCH($R624,Emp_Codes,0)),"NOT FOUND"))</f>
        <v/>
      </c>
      <c r="T624" s="12" t="n"/>
      <c r="U624" s="12" t="n"/>
      <c r="V624" s="12" t="n"/>
    </row>
    <row r="625">
      <c r="A625" s="12" t="n"/>
      <c r="B625" s="12" t="n"/>
      <c r="C625" s="12" t="n"/>
      <c r="D625" s="13">
        <f>IF($A625="","",TRIM($B625&amp;" "&amp;$C625))</f>
        <v/>
      </c>
      <c r="E625" s="12" t="n"/>
      <c r="F625" s="12" t="n"/>
      <c r="G625" s="14" t="n"/>
      <c r="H625" s="14" t="n"/>
      <c r="I625" s="12" t="n"/>
      <c r="J625" s="14" t="n"/>
      <c r="K625" s="12" t="n"/>
      <c r="L625" s="13">
        <f>IF($K625="","",IFERROR(INDEX(Dept_Names,MATCH($K625,Dept_Codes,0)),"NOT FOUND"))</f>
        <v/>
      </c>
      <c r="M625" s="12" t="n"/>
      <c r="N625" s="13">
        <f>IF($M625="","",IFERROR(INDEX(Desig_Names,MATCH($M625,Desig_Codes,0)),"NOT FOUND"))</f>
        <v/>
      </c>
      <c r="O625" s="13">
        <f>IF($M625="","",IFERROR(INDEX(Desig_Levels,MATCH($M625,Desig_Codes,0)),""))</f>
        <v/>
      </c>
      <c r="P625" s="12" t="n"/>
      <c r="Q625" s="12" t="n"/>
      <c r="R625" s="12" t="n"/>
      <c r="S625" s="13">
        <f>IF($R625="","",IFERROR(INDEX(Emp_Names,MATCH($R625,Emp_Codes,0)),"NOT FOUND"))</f>
        <v/>
      </c>
      <c r="T625" s="12" t="n"/>
      <c r="U625" s="12" t="n"/>
      <c r="V625" s="12" t="n"/>
    </row>
    <row r="626">
      <c r="A626" s="12" t="n"/>
      <c r="B626" s="12" t="n"/>
      <c r="C626" s="12" t="n"/>
      <c r="D626" s="13">
        <f>IF($A626="","",TRIM($B626&amp;" "&amp;$C626))</f>
        <v/>
      </c>
      <c r="E626" s="12" t="n"/>
      <c r="F626" s="12" t="n"/>
      <c r="G626" s="14" t="n"/>
      <c r="H626" s="14" t="n"/>
      <c r="I626" s="12" t="n"/>
      <c r="J626" s="14" t="n"/>
      <c r="K626" s="12" t="n"/>
      <c r="L626" s="13">
        <f>IF($K626="","",IFERROR(INDEX(Dept_Names,MATCH($K626,Dept_Codes,0)),"NOT FOUND"))</f>
        <v/>
      </c>
      <c r="M626" s="12" t="n"/>
      <c r="N626" s="13">
        <f>IF($M626="","",IFERROR(INDEX(Desig_Names,MATCH($M626,Desig_Codes,0)),"NOT FOUND"))</f>
        <v/>
      </c>
      <c r="O626" s="13">
        <f>IF($M626="","",IFERROR(INDEX(Desig_Levels,MATCH($M626,Desig_Codes,0)),""))</f>
        <v/>
      </c>
      <c r="P626" s="12" t="n"/>
      <c r="Q626" s="12" t="n"/>
      <c r="R626" s="12" t="n"/>
      <c r="S626" s="13">
        <f>IF($R626="","",IFERROR(INDEX(Emp_Names,MATCH($R626,Emp_Codes,0)),"NOT FOUND"))</f>
        <v/>
      </c>
      <c r="T626" s="12" t="n"/>
      <c r="U626" s="12" t="n"/>
      <c r="V626" s="12" t="n"/>
    </row>
    <row r="627">
      <c r="A627" s="12" t="n"/>
      <c r="B627" s="12" t="n"/>
      <c r="C627" s="12" t="n"/>
      <c r="D627" s="13">
        <f>IF($A627="","",TRIM($B627&amp;" "&amp;$C627))</f>
        <v/>
      </c>
      <c r="E627" s="12" t="n"/>
      <c r="F627" s="12" t="n"/>
      <c r="G627" s="14" t="n"/>
      <c r="H627" s="14" t="n"/>
      <c r="I627" s="12" t="n"/>
      <c r="J627" s="14" t="n"/>
      <c r="K627" s="12" t="n"/>
      <c r="L627" s="13">
        <f>IF($K627="","",IFERROR(INDEX(Dept_Names,MATCH($K627,Dept_Codes,0)),"NOT FOUND"))</f>
        <v/>
      </c>
      <c r="M627" s="12" t="n"/>
      <c r="N627" s="13">
        <f>IF($M627="","",IFERROR(INDEX(Desig_Names,MATCH($M627,Desig_Codes,0)),"NOT FOUND"))</f>
        <v/>
      </c>
      <c r="O627" s="13">
        <f>IF($M627="","",IFERROR(INDEX(Desig_Levels,MATCH($M627,Desig_Codes,0)),""))</f>
        <v/>
      </c>
      <c r="P627" s="12" t="n"/>
      <c r="Q627" s="12" t="n"/>
      <c r="R627" s="12" t="n"/>
      <c r="S627" s="13">
        <f>IF($R627="","",IFERROR(INDEX(Emp_Names,MATCH($R627,Emp_Codes,0)),"NOT FOUND"))</f>
        <v/>
      </c>
      <c r="T627" s="12" t="n"/>
      <c r="U627" s="12" t="n"/>
      <c r="V627" s="12" t="n"/>
    </row>
    <row r="628">
      <c r="A628" s="12" t="n"/>
      <c r="B628" s="12" t="n"/>
      <c r="C628" s="12" t="n"/>
      <c r="D628" s="13">
        <f>IF($A628="","",TRIM($B628&amp;" "&amp;$C628))</f>
        <v/>
      </c>
      <c r="E628" s="12" t="n"/>
      <c r="F628" s="12" t="n"/>
      <c r="G628" s="14" t="n"/>
      <c r="H628" s="14" t="n"/>
      <c r="I628" s="12" t="n"/>
      <c r="J628" s="14" t="n"/>
      <c r="K628" s="12" t="n"/>
      <c r="L628" s="13">
        <f>IF($K628="","",IFERROR(INDEX(Dept_Names,MATCH($K628,Dept_Codes,0)),"NOT FOUND"))</f>
        <v/>
      </c>
      <c r="M628" s="12" t="n"/>
      <c r="N628" s="13">
        <f>IF($M628="","",IFERROR(INDEX(Desig_Names,MATCH($M628,Desig_Codes,0)),"NOT FOUND"))</f>
        <v/>
      </c>
      <c r="O628" s="13">
        <f>IF($M628="","",IFERROR(INDEX(Desig_Levels,MATCH($M628,Desig_Codes,0)),""))</f>
        <v/>
      </c>
      <c r="P628" s="12" t="n"/>
      <c r="Q628" s="12" t="n"/>
      <c r="R628" s="12" t="n"/>
      <c r="S628" s="13">
        <f>IF($R628="","",IFERROR(INDEX(Emp_Names,MATCH($R628,Emp_Codes,0)),"NOT FOUND"))</f>
        <v/>
      </c>
      <c r="T628" s="12" t="n"/>
      <c r="U628" s="12" t="n"/>
      <c r="V628" s="12" t="n"/>
    </row>
    <row r="629">
      <c r="A629" s="12" t="n"/>
      <c r="B629" s="12" t="n"/>
      <c r="C629" s="12" t="n"/>
      <c r="D629" s="13">
        <f>IF($A629="","",TRIM($B629&amp;" "&amp;$C629))</f>
        <v/>
      </c>
      <c r="E629" s="12" t="n"/>
      <c r="F629" s="12" t="n"/>
      <c r="G629" s="14" t="n"/>
      <c r="H629" s="14" t="n"/>
      <c r="I629" s="12" t="n"/>
      <c r="J629" s="14" t="n"/>
      <c r="K629" s="12" t="n"/>
      <c r="L629" s="13">
        <f>IF($K629="","",IFERROR(INDEX(Dept_Names,MATCH($K629,Dept_Codes,0)),"NOT FOUND"))</f>
        <v/>
      </c>
      <c r="M629" s="12" t="n"/>
      <c r="N629" s="13">
        <f>IF($M629="","",IFERROR(INDEX(Desig_Names,MATCH($M629,Desig_Codes,0)),"NOT FOUND"))</f>
        <v/>
      </c>
      <c r="O629" s="13">
        <f>IF($M629="","",IFERROR(INDEX(Desig_Levels,MATCH($M629,Desig_Codes,0)),""))</f>
        <v/>
      </c>
      <c r="P629" s="12" t="n"/>
      <c r="Q629" s="12" t="n"/>
      <c r="R629" s="12" t="n"/>
      <c r="S629" s="13">
        <f>IF($R629="","",IFERROR(INDEX(Emp_Names,MATCH($R629,Emp_Codes,0)),"NOT FOUND"))</f>
        <v/>
      </c>
      <c r="T629" s="12" t="n"/>
      <c r="U629" s="12" t="n"/>
      <c r="V629" s="12" t="n"/>
    </row>
    <row r="630">
      <c r="A630" s="12" t="n"/>
      <c r="B630" s="12" t="n"/>
      <c r="C630" s="12" t="n"/>
      <c r="D630" s="13">
        <f>IF($A630="","",TRIM($B630&amp;" "&amp;$C630))</f>
        <v/>
      </c>
      <c r="E630" s="12" t="n"/>
      <c r="F630" s="12" t="n"/>
      <c r="G630" s="14" t="n"/>
      <c r="H630" s="14" t="n"/>
      <c r="I630" s="12" t="n"/>
      <c r="J630" s="14" t="n"/>
      <c r="K630" s="12" t="n"/>
      <c r="L630" s="13">
        <f>IF($K630="","",IFERROR(INDEX(Dept_Names,MATCH($K630,Dept_Codes,0)),"NOT FOUND"))</f>
        <v/>
      </c>
      <c r="M630" s="12" t="n"/>
      <c r="N630" s="13">
        <f>IF($M630="","",IFERROR(INDEX(Desig_Names,MATCH($M630,Desig_Codes,0)),"NOT FOUND"))</f>
        <v/>
      </c>
      <c r="O630" s="13">
        <f>IF($M630="","",IFERROR(INDEX(Desig_Levels,MATCH($M630,Desig_Codes,0)),""))</f>
        <v/>
      </c>
      <c r="P630" s="12" t="n"/>
      <c r="Q630" s="12" t="n"/>
      <c r="R630" s="12" t="n"/>
      <c r="S630" s="13">
        <f>IF($R630="","",IFERROR(INDEX(Emp_Names,MATCH($R630,Emp_Codes,0)),"NOT FOUND"))</f>
        <v/>
      </c>
      <c r="T630" s="12" t="n"/>
      <c r="U630" s="12" t="n"/>
      <c r="V630" s="12" t="n"/>
    </row>
    <row r="631">
      <c r="A631" s="12" t="n"/>
      <c r="B631" s="12" t="n"/>
      <c r="C631" s="12" t="n"/>
      <c r="D631" s="13">
        <f>IF($A631="","",TRIM($B631&amp;" "&amp;$C631))</f>
        <v/>
      </c>
      <c r="E631" s="12" t="n"/>
      <c r="F631" s="12" t="n"/>
      <c r="G631" s="14" t="n"/>
      <c r="H631" s="14" t="n"/>
      <c r="I631" s="12" t="n"/>
      <c r="J631" s="14" t="n"/>
      <c r="K631" s="12" t="n"/>
      <c r="L631" s="13">
        <f>IF($K631="","",IFERROR(INDEX(Dept_Names,MATCH($K631,Dept_Codes,0)),"NOT FOUND"))</f>
        <v/>
      </c>
      <c r="M631" s="12" t="n"/>
      <c r="N631" s="13">
        <f>IF($M631="","",IFERROR(INDEX(Desig_Names,MATCH($M631,Desig_Codes,0)),"NOT FOUND"))</f>
        <v/>
      </c>
      <c r="O631" s="13">
        <f>IF($M631="","",IFERROR(INDEX(Desig_Levels,MATCH($M631,Desig_Codes,0)),""))</f>
        <v/>
      </c>
      <c r="P631" s="12" t="n"/>
      <c r="Q631" s="12" t="n"/>
      <c r="R631" s="12" t="n"/>
      <c r="S631" s="13">
        <f>IF($R631="","",IFERROR(INDEX(Emp_Names,MATCH($R631,Emp_Codes,0)),"NOT FOUND"))</f>
        <v/>
      </c>
      <c r="T631" s="12" t="n"/>
      <c r="U631" s="12" t="n"/>
      <c r="V631" s="12" t="n"/>
    </row>
    <row r="632">
      <c r="A632" s="12" t="n"/>
      <c r="B632" s="12" t="n"/>
      <c r="C632" s="12" t="n"/>
      <c r="D632" s="13">
        <f>IF($A632="","",TRIM($B632&amp;" "&amp;$C632))</f>
        <v/>
      </c>
      <c r="E632" s="12" t="n"/>
      <c r="F632" s="12" t="n"/>
      <c r="G632" s="14" t="n"/>
      <c r="H632" s="14" t="n"/>
      <c r="I632" s="12" t="n"/>
      <c r="J632" s="14" t="n"/>
      <c r="K632" s="12" t="n"/>
      <c r="L632" s="13">
        <f>IF($K632="","",IFERROR(INDEX(Dept_Names,MATCH($K632,Dept_Codes,0)),"NOT FOUND"))</f>
        <v/>
      </c>
      <c r="M632" s="12" t="n"/>
      <c r="N632" s="13">
        <f>IF($M632="","",IFERROR(INDEX(Desig_Names,MATCH($M632,Desig_Codes,0)),"NOT FOUND"))</f>
        <v/>
      </c>
      <c r="O632" s="13">
        <f>IF($M632="","",IFERROR(INDEX(Desig_Levels,MATCH($M632,Desig_Codes,0)),""))</f>
        <v/>
      </c>
      <c r="P632" s="12" t="n"/>
      <c r="Q632" s="12" t="n"/>
      <c r="R632" s="12" t="n"/>
      <c r="S632" s="13">
        <f>IF($R632="","",IFERROR(INDEX(Emp_Names,MATCH($R632,Emp_Codes,0)),"NOT FOUND"))</f>
        <v/>
      </c>
      <c r="T632" s="12" t="n"/>
      <c r="U632" s="12" t="n"/>
      <c r="V632" s="12" t="n"/>
    </row>
    <row r="633">
      <c r="A633" s="12" t="n"/>
      <c r="B633" s="12" t="n"/>
      <c r="C633" s="12" t="n"/>
      <c r="D633" s="13">
        <f>IF($A633="","",TRIM($B633&amp;" "&amp;$C633))</f>
        <v/>
      </c>
      <c r="E633" s="12" t="n"/>
      <c r="F633" s="12" t="n"/>
      <c r="G633" s="14" t="n"/>
      <c r="H633" s="14" t="n"/>
      <c r="I633" s="12" t="n"/>
      <c r="J633" s="14" t="n"/>
      <c r="K633" s="12" t="n"/>
      <c r="L633" s="13">
        <f>IF($K633="","",IFERROR(INDEX(Dept_Names,MATCH($K633,Dept_Codes,0)),"NOT FOUND"))</f>
        <v/>
      </c>
      <c r="M633" s="12" t="n"/>
      <c r="N633" s="13">
        <f>IF($M633="","",IFERROR(INDEX(Desig_Names,MATCH($M633,Desig_Codes,0)),"NOT FOUND"))</f>
        <v/>
      </c>
      <c r="O633" s="13">
        <f>IF($M633="","",IFERROR(INDEX(Desig_Levels,MATCH($M633,Desig_Codes,0)),""))</f>
        <v/>
      </c>
      <c r="P633" s="12" t="n"/>
      <c r="Q633" s="12" t="n"/>
      <c r="R633" s="12" t="n"/>
      <c r="S633" s="13">
        <f>IF($R633="","",IFERROR(INDEX(Emp_Names,MATCH($R633,Emp_Codes,0)),"NOT FOUND"))</f>
        <v/>
      </c>
      <c r="T633" s="12" t="n"/>
      <c r="U633" s="12" t="n"/>
      <c r="V633" s="12" t="n"/>
    </row>
    <row r="634">
      <c r="A634" s="12" t="n"/>
      <c r="B634" s="12" t="n"/>
      <c r="C634" s="12" t="n"/>
      <c r="D634" s="13">
        <f>IF($A634="","",TRIM($B634&amp;" "&amp;$C634))</f>
        <v/>
      </c>
      <c r="E634" s="12" t="n"/>
      <c r="F634" s="12" t="n"/>
      <c r="G634" s="14" t="n"/>
      <c r="H634" s="14" t="n"/>
      <c r="I634" s="12" t="n"/>
      <c r="J634" s="14" t="n"/>
      <c r="K634" s="12" t="n"/>
      <c r="L634" s="13">
        <f>IF($K634="","",IFERROR(INDEX(Dept_Names,MATCH($K634,Dept_Codes,0)),"NOT FOUND"))</f>
        <v/>
      </c>
      <c r="M634" s="12" t="n"/>
      <c r="N634" s="13">
        <f>IF($M634="","",IFERROR(INDEX(Desig_Names,MATCH($M634,Desig_Codes,0)),"NOT FOUND"))</f>
        <v/>
      </c>
      <c r="O634" s="13">
        <f>IF($M634="","",IFERROR(INDEX(Desig_Levels,MATCH($M634,Desig_Codes,0)),""))</f>
        <v/>
      </c>
      <c r="P634" s="12" t="n"/>
      <c r="Q634" s="12" t="n"/>
      <c r="R634" s="12" t="n"/>
      <c r="S634" s="13">
        <f>IF($R634="","",IFERROR(INDEX(Emp_Names,MATCH($R634,Emp_Codes,0)),"NOT FOUND"))</f>
        <v/>
      </c>
      <c r="T634" s="12" t="n"/>
      <c r="U634" s="12" t="n"/>
      <c r="V634" s="12" t="n"/>
    </row>
    <row r="635">
      <c r="A635" s="12" t="n"/>
      <c r="B635" s="12" t="n"/>
      <c r="C635" s="12" t="n"/>
      <c r="D635" s="13">
        <f>IF($A635="","",TRIM($B635&amp;" "&amp;$C635))</f>
        <v/>
      </c>
      <c r="E635" s="12" t="n"/>
      <c r="F635" s="12" t="n"/>
      <c r="G635" s="14" t="n"/>
      <c r="H635" s="14" t="n"/>
      <c r="I635" s="12" t="n"/>
      <c r="J635" s="14" t="n"/>
      <c r="K635" s="12" t="n"/>
      <c r="L635" s="13">
        <f>IF($K635="","",IFERROR(INDEX(Dept_Names,MATCH($K635,Dept_Codes,0)),"NOT FOUND"))</f>
        <v/>
      </c>
      <c r="M635" s="12" t="n"/>
      <c r="N635" s="13">
        <f>IF($M635="","",IFERROR(INDEX(Desig_Names,MATCH($M635,Desig_Codes,0)),"NOT FOUND"))</f>
        <v/>
      </c>
      <c r="O635" s="13">
        <f>IF($M635="","",IFERROR(INDEX(Desig_Levels,MATCH($M635,Desig_Codes,0)),""))</f>
        <v/>
      </c>
      <c r="P635" s="12" t="n"/>
      <c r="Q635" s="12" t="n"/>
      <c r="R635" s="12" t="n"/>
      <c r="S635" s="13">
        <f>IF($R635="","",IFERROR(INDEX(Emp_Names,MATCH($R635,Emp_Codes,0)),"NOT FOUND"))</f>
        <v/>
      </c>
      <c r="T635" s="12" t="n"/>
      <c r="U635" s="12" t="n"/>
      <c r="V635" s="12" t="n"/>
    </row>
    <row r="636">
      <c r="A636" s="12" t="n"/>
      <c r="B636" s="12" t="n"/>
      <c r="C636" s="12" t="n"/>
      <c r="D636" s="13">
        <f>IF($A636="","",TRIM($B636&amp;" "&amp;$C636))</f>
        <v/>
      </c>
      <c r="E636" s="12" t="n"/>
      <c r="F636" s="12" t="n"/>
      <c r="G636" s="14" t="n"/>
      <c r="H636" s="14" t="n"/>
      <c r="I636" s="12" t="n"/>
      <c r="J636" s="14" t="n"/>
      <c r="K636" s="12" t="n"/>
      <c r="L636" s="13">
        <f>IF($K636="","",IFERROR(INDEX(Dept_Names,MATCH($K636,Dept_Codes,0)),"NOT FOUND"))</f>
        <v/>
      </c>
      <c r="M636" s="12" t="n"/>
      <c r="N636" s="13">
        <f>IF($M636="","",IFERROR(INDEX(Desig_Names,MATCH($M636,Desig_Codes,0)),"NOT FOUND"))</f>
        <v/>
      </c>
      <c r="O636" s="13">
        <f>IF($M636="","",IFERROR(INDEX(Desig_Levels,MATCH($M636,Desig_Codes,0)),""))</f>
        <v/>
      </c>
      <c r="P636" s="12" t="n"/>
      <c r="Q636" s="12" t="n"/>
      <c r="R636" s="12" t="n"/>
      <c r="S636" s="13">
        <f>IF($R636="","",IFERROR(INDEX(Emp_Names,MATCH($R636,Emp_Codes,0)),"NOT FOUND"))</f>
        <v/>
      </c>
      <c r="T636" s="12" t="n"/>
      <c r="U636" s="12" t="n"/>
      <c r="V636" s="12" t="n"/>
    </row>
    <row r="637">
      <c r="A637" s="12" t="n"/>
      <c r="B637" s="12" t="n"/>
      <c r="C637" s="12" t="n"/>
      <c r="D637" s="13">
        <f>IF($A637="","",TRIM($B637&amp;" "&amp;$C637))</f>
        <v/>
      </c>
      <c r="E637" s="12" t="n"/>
      <c r="F637" s="12" t="n"/>
      <c r="G637" s="14" t="n"/>
      <c r="H637" s="14" t="n"/>
      <c r="I637" s="12" t="n"/>
      <c r="J637" s="14" t="n"/>
      <c r="K637" s="12" t="n"/>
      <c r="L637" s="13">
        <f>IF($K637="","",IFERROR(INDEX(Dept_Names,MATCH($K637,Dept_Codes,0)),"NOT FOUND"))</f>
        <v/>
      </c>
      <c r="M637" s="12" t="n"/>
      <c r="N637" s="13">
        <f>IF($M637="","",IFERROR(INDEX(Desig_Names,MATCH($M637,Desig_Codes,0)),"NOT FOUND"))</f>
        <v/>
      </c>
      <c r="O637" s="13">
        <f>IF($M637="","",IFERROR(INDEX(Desig_Levels,MATCH($M637,Desig_Codes,0)),""))</f>
        <v/>
      </c>
      <c r="P637" s="12" t="n"/>
      <c r="Q637" s="12" t="n"/>
      <c r="R637" s="12" t="n"/>
      <c r="S637" s="13">
        <f>IF($R637="","",IFERROR(INDEX(Emp_Names,MATCH($R637,Emp_Codes,0)),"NOT FOUND"))</f>
        <v/>
      </c>
      <c r="T637" s="12" t="n"/>
      <c r="U637" s="12" t="n"/>
      <c r="V637" s="12" t="n"/>
    </row>
    <row r="638">
      <c r="A638" s="12" t="n"/>
      <c r="B638" s="12" t="n"/>
      <c r="C638" s="12" t="n"/>
      <c r="D638" s="13">
        <f>IF($A638="","",TRIM($B638&amp;" "&amp;$C638))</f>
        <v/>
      </c>
      <c r="E638" s="12" t="n"/>
      <c r="F638" s="12" t="n"/>
      <c r="G638" s="14" t="n"/>
      <c r="H638" s="14" t="n"/>
      <c r="I638" s="12" t="n"/>
      <c r="J638" s="14" t="n"/>
      <c r="K638" s="12" t="n"/>
      <c r="L638" s="13">
        <f>IF($K638="","",IFERROR(INDEX(Dept_Names,MATCH($K638,Dept_Codes,0)),"NOT FOUND"))</f>
        <v/>
      </c>
      <c r="M638" s="12" t="n"/>
      <c r="N638" s="13">
        <f>IF($M638="","",IFERROR(INDEX(Desig_Names,MATCH($M638,Desig_Codes,0)),"NOT FOUND"))</f>
        <v/>
      </c>
      <c r="O638" s="13">
        <f>IF($M638="","",IFERROR(INDEX(Desig_Levels,MATCH($M638,Desig_Codes,0)),""))</f>
        <v/>
      </c>
      <c r="P638" s="12" t="n"/>
      <c r="Q638" s="12" t="n"/>
      <c r="R638" s="12" t="n"/>
      <c r="S638" s="13">
        <f>IF($R638="","",IFERROR(INDEX(Emp_Names,MATCH($R638,Emp_Codes,0)),"NOT FOUND"))</f>
        <v/>
      </c>
      <c r="T638" s="12" t="n"/>
      <c r="U638" s="12" t="n"/>
      <c r="V638" s="12" t="n"/>
    </row>
    <row r="639">
      <c r="A639" s="12" t="n"/>
      <c r="B639" s="12" t="n"/>
      <c r="C639" s="12" t="n"/>
      <c r="D639" s="13">
        <f>IF($A639="","",TRIM($B639&amp;" "&amp;$C639))</f>
        <v/>
      </c>
      <c r="E639" s="12" t="n"/>
      <c r="F639" s="12" t="n"/>
      <c r="G639" s="14" t="n"/>
      <c r="H639" s="14" t="n"/>
      <c r="I639" s="12" t="n"/>
      <c r="J639" s="14" t="n"/>
      <c r="K639" s="12" t="n"/>
      <c r="L639" s="13">
        <f>IF($K639="","",IFERROR(INDEX(Dept_Names,MATCH($K639,Dept_Codes,0)),"NOT FOUND"))</f>
        <v/>
      </c>
      <c r="M639" s="12" t="n"/>
      <c r="N639" s="13">
        <f>IF($M639="","",IFERROR(INDEX(Desig_Names,MATCH($M639,Desig_Codes,0)),"NOT FOUND"))</f>
        <v/>
      </c>
      <c r="O639" s="13">
        <f>IF($M639="","",IFERROR(INDEX(Desig_Levels,MATCH($M639,Desig_Codes,0)),""))</f>
        <v/>
      </c>
      <c r="P639" s="12" t="n"/>
      <c r="Q639" s="12" t="n"/>
      <c r="R639" s="12" t="n"/>
      <c r="S639" s="13">
        <f>IF($R639="","",IFERROR(INDEX(Emp_Names,MATCH($R639,Emp_Codes,0)),"NOT FOUND"))</f>
        <v/>
      </c>
      <c r="T639" s="12" t="n"/>
      <c r="U639" s="12" t="n"/>
      <c r="V639" s="12" t="n"/>
    </row>
    <row r="640">
      <c r="A640" s="12" t="n"/>
      <c r="B640" s="12" t="n"/>
      <c r="C640" s="12" t="n"/>
      <c r="D640" s="13">
        <f>IF($A640="","",TRIM($B640&amp;" "&amp;$C640))</f>
        <v/>
      </c>
      <c r="E640" s="12" t="n"/>
      <c r="F640" s="12" t="n"/>
      <c r="G640" s="14" t="n"/>
      <c r="H640" s="14" t="n"/>
      <c r="I640" s="12" t="n"/>
      <c r="J640" s="14" t="n"/>
      <c r="K640" s="12" t="n"/>
      <c r="L640" s="13">
        <f>IF($K640="","",IFERROR(INDEX(Dept_Names,MATCH($K640,Dept_Codes,0)),"NOT FOUND"))</f>
        <v/>
      </c>
      <c r="M640" s="12" t="n"/>
      <c r="N640" s="13">
        <f>IF($M640="","",IFERROR(INDEX(Desig_Names,MATCH($M640,Desig_Codes,0)),"NOT FOUND"))</f>
        <v/>
      </c>
      <c r="O640" s="13">
        <f>IF($M640="","",IFERROR(INDEX(Desig_Levels,MATCH($M640,Desig_Codes,0)),""))</f>
        <v/>
      </c>
      <c r="P640" s="12" t="n"/>
      <c r="Q640" s="12" t="n"/>
      <c r="R640" s="12" t="n"/>
      <c r="S640" s="13">
        <f>IF($R640="","",IFERROR(INDEX(Emp_Names,MATCH($R640,Emp_Codes,0)),"NOT FOUND"))</f>
        <v/>
      </c>
      <c r="T640" s="12" t="n"/>
      <c r="U640" s="12" t="n"/>
      <c r="V640" s="12" t="n"/>
    </row>
    <row r="641">
      <c r="A641" s="12" t="n"/>
      <c r="B641" s="12" t="n"/>
      <c r="C641" s="12" t="n"/>
      <c r="D641" s="13">
        <f>IF($A641="","",TRIM($B641&amp;" "&amp;$C641))</f>
        <v/>
      </c>
      <c r="E641" s="12" t="n"/>
      <c r="F641" s="12" t="n"/>
      <c r="G641" s="14" t="n"/>
      <c r="H641" s="14" t="n"/>
      <c r="I641" s="12" t="n"/>
      <c r="J641" s="14" t="n"/>
      <c r="K641" s="12" t="n"/>
      <c r="L641" s="13">
        <f>IF($K641="","",IFERROR(INDEX(Dept_Names,MATCH($K641,Dept_Codes,0)),"NOT FOUND"))</f>
        <v/>
      </c>
      <c r="M641" s="12" t="n"/>
      <c r="N641" s="13">
        <f>IF($M641="","",IFERROR(INDEX(Desig_Names,MATCH($M641,Desig_Codes,0)),"NOT FOUND"))</f>
        <v/>
      </c>
      <c r="O641" s="13">
        <f>IF($M641="","",IFERROR(INDEX(Desig_Levels,MATCH($M641,Desig_Codes,0)),""))</f>
        <v/>
      </c>
      <c r="P641" s="12" t="n"/>
      <c r="Q641" s="12" t="n"/>
      <c r="R641" s="12" t="n"/>
      <c r="S641" s="13">
        <f>IF($R641="","",IFERROR(INDEX(Emp_Names,MATCH($R641,Emp_Codes,0)),"NOT FOUND"))</f>
        <v/>
      </c>
      <c r="T641" s="12" t="n"/>
      <c r="U641" s="12" t="n"/>
      <c r="V641" s="12" t="n"/>
    </row>
    <row r="642">
      <c r="A642" s="12" t="n"/>
      <c r="B642" s="12" t="n"/>
      <c r="C642" s="12" t="n"/>
      <c r="D642" s="13">
        <f>IF($A642="","",TRIM($B642&amp;" "&amp;$C642))</f>
        <v/>
      </c>
      <c r="E642" s="12" t="n"/>
      <c r="F642" s="12" t="n"/>
      <c r="G642" s="14" t="n"/>
      <c r="H642" s="14" t="n"/>
      <c r="I642" s="12" t="n"/>
      <c r="J642" s="14" t="n"/>
      <c r="K642" s="12" t="n"/>
      <c r="L642" s="13">
        <f>IF($K642="","",IFERROR(INDEX(Dept_Names,MATCH($K642,Dept_Codes,0)),"NOT FOUND"))</f>
        <v/>
      </c>
      <c r="M642" s="12" t="n"/>
      <c r="N642" s="13">
        <f>IF($M642="","",IFERROR(INDEX(Desig_Names,MATCH($M642,Desig_Codes,0)),"NOT FOUND"))</f>
        <v/>
      </c>
      <c r="O642" s="13">
        <f>IF($M642="","",IFERROR(INDEX(Desig_Levels,MATCH($M642,Desig_Codes,0)),""))</f>
        <v/>
      </c>
      <c r="P642" s="12" t="n"/>
      <c r="Q642" s="12" t="n"/>
      <c r="R642" s="12" t="n"/>
      <c r="S642" s="13">
        <f>IF($R642="","",IFERROR(INDEX(Emp_Names,MATCH($R642,Emp_Codes,0)),"NOT FOUND"))</f>
        <v/>
      </c>
      <c r="T642" s="12" t="n"/>
      <c r="U642" s="12" t="n"/>
      <c r="V642" s="12" t="n"/>
    </row>
    <row r="643">
      <c r="A643" s="12" t="n"/>
      <c r="B643" s="12" t="n"/>
      <c r="C643" s="12" t="n"/>
      <c r="D643" s="13">
        <f>IF($A643="","",TRIM($B643&amp;" "&amp;$C643))</f>
        <v/>
      </c>
      <c r="E643" s="12" t="n"/>
      <c r="F643" s="12" t="n"/>
      <c r="G643" s="14" t="n"/>
      <c r="H643" s="14" t="n"/>
      <c r="I643" s="12" t="n"/>
      <c r="J643" s="14" t="n"/>
      <c r="K643" s="12" t="n"/>
      <c r="L643" s="13">
        <f>IF($K643="","",IFERROR(INDEX(Dept_Names,MATCH($K643,Dept_Codes,0)),"NOT FOUND"))</f>
        <v/>
      </c>
      <c r="M643" s="12" t="n"/>
      <c r="N643" s="13">
        <f>IF($M643="","",IFERROR(INDEX(Desig_Names,MATCH($M643,Desig_Codes,0)),"NOT FOUND"))</f>
        <v/>
      </c>
      <c r="O643" s="13">
        <f>IF($M643="","",IFERROR(INDEX(Desig_Levels,MATCH($M643,Desig_Codes,0)),""))</f>
        <v/>
      </c>
      <c r="P643" s="12" t="n"/>
      <c r="Q643" s="12" t="n"/>
      <c r="R643" s="12" t="n"/>
      <c r="S643" s="13">
        <f>IF($R643="","",IFERROR(INDEX(Emp_Names,MATCH($R643,Emp_Codes,0)),"NOT FOUND"))</f>
        <v/>
      </c>
      <c r="T643" s="12" t="n"/>
      <c r="U643" s="12" t="n"/>
      <c r="V643" s="12" t="n"/>
    </row>
    <row r="644">
      <c r="A644" s="12" t="n"/>
      <c r="B644" s="12" t="n"/>
      <c r="C644" s="12" t="n"/>
      <c r="D644" s="13">
        <f>IF($A644="","",TRIM($B644&amp;" "&amp;$C644))</f>
        <v/>
      </c>
      <c r="E644" s="12" t="n"/>
      <c r="F644" s="12" t="n"/>
      <c r="G644" s="14" t="n"/>
      <c r="H644" s="14" t="n"/>
      <c r="I644" s="12" t="n"/>
      <c r="J644" s="14" t="n"/>
      <c r="K644" s="12" t="n"/>
      <c r="L644" s="13">
        <f>IF($K644="","",IFERROR(INDEX(Dept_Names,MATCH($K644,Dept_Codes,0)),"NOT FOUND"))</f>
        <v/>
      </c>
      <c r="M644" s="12" t="n"/>
      <c r="N644" s="13">
        <f>IF($M644="","",IFERROR(INDEX(Desig_Names,MATCH($M644,Desig_Codes,0)),"NOT FOUND"))</f>
        <v/>
      </c>
      <c r="O644" s="13">
        <f>IF($M644="","",IFERROR(INDEX(Desig_Levels,MATCH($M644,Desig_Codes,0)),""))</f>
        <v/>
      </c>
      <c r="P644" s="12" t="n"/>
      <c r="Q644" s="12" t="n"/>
      <c r="R644" s="12" t="n"/>
      <c r="S644" s="13">
        <f>IF($R644="","",IFERROR(INDEX(Emp_Names,MATCH($R644,Emp_Codes,0)),"NOT FOUND"))</f>
        <v/>
      </c>
      <c r="T644" s="12" t="n"/>
      <c r="U644" s="12" t="n"/>
      <c r="V644" s="12" t="n"/>
    </row>
    <row r="645">
      <c r="A645" s="12" t="n"/>
      <c r="B645" s="12" t="n"/>
      <c r="C645" s="12" t="n"/>
      <c r="D645" s="13">
        <f>IF($A645="","",TRIM($B645&amp;" "&amp;$C645))</f>
        <v/>
      </c>
      <c r="E645" s="12" t="n"/>
      <c r="F645" s="12" t="n"/>
      <c r="G645" s="14" t="n"/>
      <c r="H645" s="14" t="n"/>
      <c r="I645" s="12" t="n"/>
      <c r="J645" s="14" t="n"/>
      <c r="K645" s="12" t="n"/>
      <c r="L645" s="13">
        <f>IF($K645="","",IFERROR(INDEX(Dept_Names,MATCH($K645,Dept_Codes,0)),"NOT FOUND"))</f>
        <v/>
      </c>
      <c r="M645" s="12" t="n"/>
      <c r="N645" s="13">
        <f>IF($M645="","",IFERROR(INDEX(Desig_Names,MATCH($M645,Desig_Codes,0)),"NOT FOUND"))</f>
        <v/>
      </c>
      <c r="O645" s="13">
        <f>IF($M645="","",IFERROR(INDEX(Desig_Levels,MATCH($M645,Desig_Codes,0)),""))</f>
        <v/>
      </c>
      <c r="P645" s="12" t="n"/>
      <c r="Q645" s="12" t="n"/>
      <c r="R645" s="12" t="n"/>
      <c r="S645" s="13">
        <f>IF($R645="","",IFERROR(INDEX(Emp_Names,MATCH($R645,Emp_Codes,0)),"NOT FOUND"))</f>
        <v/>
      </c>
      <c r="T645" s="12" t="n"/>
      <c r="U645" s="12" t="n"/>
      <c r="V645" s="12" t="n"/>
    </row>
    <row r="646">
      <c r="A646" s="12" t="n"/>
      <c r="B646" s="12" t="n"/>
      <c r="C646" s="12" t="n"/>
      <c r="D646" s="13">
        <f>IF($A646="","",TRIM($B646&amp;" "&amp;$C646))</f>
        <v/>
      </c>
      <c r="E646" s="12" t="n"/>
      <c r="F646" s="12" t="n"/>
      <c r="G646" s="14" t="n"/>
      <c r="H646" s="14" t="n"/>
      <c r="I646" s="12" t="n"/>
      <c r="J646" s="14" t="n"/>
      <c r="K646" s="12" t="n"/>
      <c r="L646" s="13">
        <f>IF($K646="","",IFERROR(INDEX(Dept_Names,MATCH($K646,Dept_Codes,0)),"NOT FOUND"))</f>
        <v/>
      </c>
      <c r="M646" s="12" t="n"/>
      <c r="N646" s="13">
        <f>IF($M646="","",IFERROR(INDEX(Desig_Names,MATCH($M646,Desig_Codes,0)),"NOT FOUND"))</f>
        <v/>
      </c>
      <c r="O646" s="13">
        <f>IF($M646="","",IFERROR(INDEX(Desig_Levels,MATCH($M646,Desig_Codes,0)),""))</f>
        <v/>
      </c>
      <c r="P646" s="12" t="n"/>
      <c r="Q646" s="12" t="n"/>
      <c r="R646" s="12" t="n"/>
      <c r="S646" s="13">
        <f>IF($R646="","",IFERROR(INDEX(Emp_Names,MATCH($R646,Emp_Codes,0)),"NOT FOUND"))</f>
        <v/>
      </c>
      <c r="T646" s="12" t="n"/>
      <c r="U646" s="12" t="n"/>
      <c r="V646" s="12" t="n"/>
    </row>
    <row r="647">
      <c r="A647" s="12" t="n"/>
      <c r="B647" s="12" t="n"/>
      <c r="C647" s="12" t="n"/>
      <c r="D647" s="13">
        <f>IF($A647="","",TRIM($B647&amp;" "&amp;$C647))</f>
        <v/>
      </c>
      <c r="E647" s="12" t="n"/>
      <c r="F647" s="12" t="n"/>
      <c r="G647" s="14" t="n"/>
      <c r="H647" s="14" t="n"/>
      <c r="I647" s="12" t="n"/>
      <c r="J647" s="14" t="n"/>
      <c r="K647" s="12" t="n"/>
      <c r="L647" s="13">
        <f>IF($K647="","",IFERROR(INDEX(Dept_Names,MATCH($K647,Dept_Codes,0)),"NOT FOUND"))</f>
        <v/>
      </c>
      <c r="M647" s="12" t="n"/>
      <c r="N647" s="13">
        <f>IF($M647="","",IFERROR(INDEX(Desig_Names,MATCH($M647,Desig_Codes,0)),"NOT FOUND"))</f>
        <v/>
      </c>
      <c r="O647" s="13">
        <f>IF($M647="","",IFERROR(INDEX(Desig_Levels,MATCH($M647,Desig_Codes,0)),""))</f>
        <v/>
      </c>
      <c r="P647" s="12" t="n"/>
      <c r="Q647" s="12" t="n"/>
      <c r="R647" s="12" t="n"/>
      <c r="S647" s="13">
        <f>IF($R647="","",IFERROR(INDEX(Emp_Names,MATCH($R647,Emp_Codes,0)),"NOT FOUND"))</f>
        <v/>
      </c>
      <c r="T647" s="12" t="n"/>
      <c r="U647" s="12" t="n"/>
      <c r="V647" s="12" t="n"/>
    </row>
    <row r="648">
      <c r="A648" s="12" t="n"/>
      <c r="B648" s="12" t="n"/>
      <c r="C648" s="12" t="n"/>
      <c r="D648" s="13">
        <f>IF($A648="","",TRIM($B648&amp;" "&amp;$C648))</f>
        <v/>
      </c>
      <c r="E648" s="12" t="n"/>
      <c r="F648" s="12" t="n"/>
      <c r="G648" s="14" t="n"/>
      <c r="H648" s="14" t="n"/>
      <c r="I648" s="12" t="n"/>
      <c r="J648" s="14" t="n"/>
      <c r="K648" s="12" t="n"/>
      <c r="L648" s="13">
        <f>IF($K648="","",IFERROR(INDEX(Dept_Names,MATCH($K648,Dept_Codes,0)),"NOT FOUND"))</f>
        <v/>
      </c>
      <c r="M648" s="12" t="n"/>
      <c r="N648" s="13">
        <f>IF($M648="","",IFERROR(INDEX(Desig_Names,MATCH($M648,Desig_Codes,0)),"NOT FOUND"))</f>
        <v/>
      </c>
      <c r="O648" s="13">
        <f>IF($M648="","",IFERROR(INDEX(Desig_Levels,MATCH($M648,Desig_Codes,0)),""))</f>
        <v/>
      </c>
      <c r="P648" s="12" t="n"/>
      <c r="Q648" s="12" t="n"/>
      <c r="R648" s="12" t="n"/>
      <c r="S648" s="13">
        <f>IF($R648="","",IFERROR(INDEX(Emp_Names,MATCH($R648,Emp_Codes,0)),"NOT FOUND"))</f>
        <v/>
      </c>
      <c r="T648" s="12" t="n"/>
      <c r="U648" s="12" t="n"/>
      <c r="V648" s="12" t="n"/>
    </row>
    <row r="649">
      <c r="A649" s="12" t="n"/>
      <c r="B649" s="12" t="n"/>
      <c r="C649" s="12" t="n"/>
      <c r="D649" s="13">
        <f>IF($A649="","",TRIM($B649&amp;" "&amp;$C649))</f>
        <v/>
      </c>
      <c r="E649" s="12" t="n"/>
      <c r="F649" s="12" t="n"/>
      <c r="G649" s="14" t="n"/>
      <c r="H649" s="14" t="n"/>
      <c r="I649" s="12" t="n"/>
      <c r="J649" s="14" t="n"/>
      <c r="K649" s="12" t="n"/>
      <c r="L649" s="13">
        <f>IF($K649="","",IFERROR(INDEX(Dept_Names,MATCH($K649,Dept_Codes,0)),"NOT FOUND"))</f>
        <v/>
      </c>
      <c r="M649" s="12" t="n"/>
      <c r="N649" s="13">
        <f>IF($M649="","",IFERROR(INDEX(Desig_Names,MATCH($M649,Desig_Codes,0)),"NOT FOUND"))</f>
        <v/>
      </c>
      <c r="O649" s="13">
        <f>IF($M649="","",IFERROR(INDEX(Desig_Levels,MATCH($M649,Desig_Codes,0)),""))</f>
        <v/>
      </c>
      <c r="P649" s="12" t="n"/>
      <c r="Q649" s="12" t="n"/>
      <c r="R649" s="12" t="n"/>
      <c r="S649" s="13">
        <f>IF($R649="","",IFERROR(INDEX(Emp_Names,MATCH($R649,Emp_Codes,0)),"NOT FOUND"))</f>
        <v/>
      </c>
      <c r="T649" s="12" t="n"/>
      <c r="U649" s="12" t="n"/>
      <c r="V649" s="12" t="n"/>
    </row>
    <row r="650">
      <c r="A650" s="12" t="n"/>
      <c r="B650" s="12" t="n"/>
      <c r="C650" s="12" t="n"/>
      <c r="D650" s="13">
        <f>IF($A650="","",TRIM($B650&amp;" "&amp;$C650))</f>
        <v/>
      </c>
      <c r="E650" s="12" t="n"/>
      <c r="F650" s="12" t="n"/>
      <c r="G650" s="14" t="n"/>
      <c r="H650" s="14" t="n"/>
      <c r="I650" s="12" t="n"/>
      <c r="J650" s="14" t="n"/>
      <c r="K650" s="12" t="n"/>
      <c r="L650" s="13">
        <f>IF($K650="","",IFERROR(INDEX(Dept_Names,MATCH($K650,Dept_Codes,0)),"NOT FOUND"))</f>
        <v/>
      </c>
      <c r="M650" s="12" t="n"/>
      <c r="N650" s="13">
        <f>IF($M650="","",IFERROR(INDEX(Desig_Names,MATCH($M650,Desig_Codes,0)),"NOT FOUND"))</f>
        <v/>
      </c>
      <c r="O650" s="13">
        <f>IF($M650="","",IFERROR(INDEX(Desig_Levels,MATCH($M650,Desig_Codes,0)),""))</f>
        <v/>
      </c>
      <c r="P650" s="12" t="n"/>
      <c r="Q650" s="12" t="n"/>
      <c r="R650" s="12" t="n"/>
      <c r="S650" s="13">
        <f>IF($R650="","",IFERROR(INDEX(Emp_Names,MATCH($R650,Emp_Codes,0)),"NOT FOUND"))</f>
        <v/>
      </c>
      <c r="T650" s="12" t="n"/>
      <c r="U650" s="12" t="n"/>
      <c r="V650" s="12" t="n"/>
    </row>
    <row r="651">
      <c r="A651" s="12" t="n"/>
      <c r="B651" s="12" t="n"/>
      <c r="C651" s="12" t="n"/>
      <c r="D651" s="13">
        <f>IF($A651="","",TRIM($B651&amp;" "&amp;$C651))</f>
        <v/>
      </c>
      <c r="E651" s="12" t="n"/>
      <c r="F651" s="12" t="n"/>
      <c r="G651" s="14" t="n"/>
      <c r="H651" s="14" t="n"/>
      <c r="I651" s="12" t="n"/>
      <c r="J651" s="14" t="n"/>
      <c r="K651" s="12" t="n"/>
      <c r="L651" s="13">
        <f>IF($K651="","",IFERROR(INDEX(Dept_Names,MATCH($K651,Dept_Codes,0)),"NOT FOUND"))</f>
        <v/>
      </c>
      <c r="M651" s="12" t="n"/>
      <c r="N651" s="13">
        <f>IF($M651="","",IFERROR(INDEX(Desig_Names,MATCH($M651,Desig_Codes,0)),"NOT FOUND"))</f>
        <v/>
      </c>
      <c r="O651" s="13">
        <f>IF($M651="","",IFERROR(INDEX(Desig_Levels,MATCH($M651,Desig_Codes,0)),""))</f>
        <v/>
      </c>
      <c r="P651" s="12" t="n"/>
      <c r="Q651" s="12" t="n"/>
      <c r="R651" s="12" t="n"/>
      <c r="S651" s="13">
        <f>IF($R651="","",IFERROR(INDEX(Emp_Names,MATCH($R651,Emp_Codes,0)),"NOT FOUND"))</f>
        <v/>
      </c>
      <c r="T651" s="12" t="n"/>
      <c r="U651" s="12" t="n"/>
      <c r="V651" s="12" t="n"/>
    </row>
    <row r="652">
      <c r="A652" s="12" t="n"/>
      <c r="B652" s="12" t="n"/>
      <c r="C652" s="12" t="n"/>
      <c r="D652" s="13">
        <f>IF($A652="","",TRIM($B652&amp;" "&amp;$C652))</f>
        <v/>
      </c>
      <c r="E652" s="12" t="n"/>
      <c r="F652" s="12" t="n"/>
      <c r="G652" s="14" t="n"/>
      <c r="H652" s="14" t="n"/>
      <c r="I652" s="12" t="n"/>
      <c r="J652" s="14" t="n"/>
      <c r="K652" s="12" t="n"/>
      <c r="L652" s="13">
        <f>IF($K652="","",IFERROR(INDEX(Dept_Names,MATCH($K652,Dept_Codes,0)),"NOT FOUND"))</f>
        <v/>
      </c>
      <c r="M652" s="12" t="n"/>
      <c r="N652" s="13">
        <f>IF($M652="","",IFERROR(INDEX(Desig_Names,MATCH($M652,Desig_Codes,0)),"NOT FOUND"))</f>
        <v/>
      </c>
      <c r="O652" s="13">
        <f>IF($M652="","",IFERROR(INDEX(Desig_Levels,MATCH($M652,Desig_Codes,0)),""))</f>
        <v/>
      </c>
      <c r="P652" s="12" t="n"/>
      <c r="Q652" s="12" t="n"/>
      <c r="R652" s="12" t="n"/>
      <c r="S652" s="13">
        <f>IF($R652="","",IFERROR(INDEX(Emp_Names,MATCH($R652,Emp_Codes,0)),"NOT FOUND"))</f>
        <v/>
      </c>
      <c r="T652" s="12" t="n"/>
      <c r="U652" s="12" t="n"/>
      <c r="V652" s="12" t="n"/>
    </row>
    <row r="653">
      <c r="A653" s="12" t="n"/>
      <c r="B653" s="12" t="n"/>
      <c r="C653" s="12" t="n"/>
      <c r="D653" s="13">
        <f>IF($A653="","",TRIM($B653&amp;" "&amp;$C653))</f>
        <v/>
      </c>
      <c r="E653" s="12" t="n"/>
      <c r="F653" s="12" t="n"/>
      <c r="G653" s="14" t="n"/>
      <c r="H653" s="14" t="n"/>
      <c r="I653" s="12" t="n"/>
      <c r="J653" s="14" t="n"/>
      <c r="K653" s="12" t="n"/>
      <c r="L653" s="13">
        <f>IF($K653="","",IFERROR(INDEX(Dept_Names,MATCH($K653,Dept_Codes,0)),"NOT FOUND"))</f>
        <v/>
      </c>
      <c r="M653" s="12" t="n"/>
      <c r="N653" s="13">
        <f>IF($M653="","",IFERROR(INDEX(Desig_Names,MATCH($M653,Desig_Codes,0)),"NOT FOUND"))</f>
        <v/>
      </c>
      <c r="O653" s="13">
        <f>IF($M653="","",IFERROR(INDEX(Desig_Levels,MATCH($M653,Desig_Codes,0)),""))</f>
        <v/>
      </c>
      <c r="P653" s="12" t="n"/>
      <c r="Q653" s="12" t="n"/>
      <c r="R653" s="12" t="n"/>
      <c r="S653" s="13">
        <f>IF($R653="","",IFERROR(INDEX(Emp_Names,MATCH($R653,Emp_Codes,0)),"NOT FOUND"))</f>
        <v/>
      </c>
      <c r="T653" s="12" t="n"/>
      <c r="U653" s="12" t="n"/>
      <c r="V653" s="12" t="n"/>
    </row>
    <row r="654">
      <c r="A654" s="12" t="n"/>
      <c r="B654" s="12" t="n"/>
      <c r="C654" s="12" t="n"/>
      <c r="D654" s="13">
        <f>IF($A654="","",TRIM($B654&amp;" "&amp;$C654))</f>
        <v/>
      </c>
      <c r="E654" s="12" t="n"/>
      <c r="F654" s="12" t="n"/>
      <c r="G654" s="14" t="n"/>
      <c r="H654" s="14" t="n"/>
      <c r="I654" s="12" t="n"/>
      <c r="J654" s="14" t="n"/>
      <c r="K654" s="12" t="n"/>
      <c r="L654" s="13">
        <f>IF($K654="","",IFERROR(INDEX(Dept_Names,MATCH($K654,Dept_Codes,0)),"NOT FOUND"))</f>
        <v/>
      </c>
      <c r="M654" s="12" t="n"/>
      <c r="N654" s="13">
        <f>IF($M654="","",IFERROR(INDEX(Desig_Names,MATCH($M654,Desig_Codes,0)),"NOT FOUND"))</f>
        <v/>
      </c>
      <c r="O654" s="13">
        <f>IF($M654="","",IFERROR(INDEX(Desig_Levels,MATCH($M654,Desig_Codes,0)),""))</f>
        <v/>
      </c>
      <c r="P654" s="12" t="n"/>
      <c r="Q654" s="12" t="n"/>
      <c r="R654" s="12" t="n"/>
      <c r="S654" s="13">
        <f>IF($R654="","",IFERROR(INDEX(Emp_Names,MATCH($R654,Emp_Codes,0)),"NOT FOUND"))</f>
        <v/>
      </c>
      <c r="T654" s="12" t="n"/>
      <c r="U654" s="12" t="n"/>
      <c r="V654" s="12" t="n"/>
    </row>
    <row r="655">
      <c r="A655" s="12" t="n"/>
      <c r="B655" s="12" t="n"/>
      <c r="C655" s="12" t="n"/>
      <c r="D655" s="13">
        <f>IF($A655="","",TRIM($B655&amp;" "&amp;$C655))</f>
        <v/>
      </c>
      <c r="E655" s="12" t="n"/>
      <c r="F655" s="12" t="n"/>
      <c r="G655" s="14" t="n"/>
      <c r="H655" s="14" t="n"/>
      <c r="I655" s="12" t="n"/>
      <c r="J655" s="14" t="n"/>
      <c r="K655" s="12" t="n"/>
      <c r="L655" s="13">
        <f>IF($K655="","",IFERROR(INDEX(Dept_Names,MATCH($K655,Dept_Codes,0)),"NOT FOUND"))</f>
        <v/>
      </c>
      <c r="M655" s="12" t="n"/>
      <c r="N655" s="13">
        <f>IF($M655="","",IFERROR(INDEX(Desig_Names,MATCH($M655,Desig_Codes,0)),"NOT FOUND"))</f>
        <v/>
      </c>
      <c r="O655" s="13">
        <f>IF($M655="","",IFERROR(INDEX(Desig_Levels,MATCH($M655,Desig_Codes,0)),""))</f>
        <v/>
      </c>
      <c r="P655" s="12" t="n"/>
      <c r="Q655" s="12" t="n"/>
      <c r="R655" s="12" t="n"/>
      <c r="S655" s="13">
        <f>IF($R655="","",IFERROR(INDEX(Emp_Names,MATCH($R655,Emp_Codes,0)),"NOT FOUND"))</f>
        <v/>
      </c>
      <c r="T655" s="12" t="n"/>
      <c r="U655" s="12" t="n"/>
      <c r="V655" s="12" t="n"/>
    </row>
    <row r="656">
      <c r="A656" s="12" t="n"/>
      <c r="B656" s="12" t="n"/>
      <c r="C656" s="12" t="n"/>
      <c r="D656" s="13">
        <f>IF($A656="","",TRIM($B656&amp;" "&amp;$C656))</f>
        <v/>
      </c>
      <c r="E656" s="12" t="n"/>
      <c r="F656" s="12" t="n"/>
      <c r="G656" s="14" t="n"/>
      <c r="H656" s="14" t="n"/>
      <c r="I656" s="12" t="n"/>
      <c r="J656" s="14" t="n"/>
      <c r="K656" s="12" t="n"/>
      <c r="L656" s="13">
        <f>IF($K656="","",IFERROR(INDEX(Dept_Names,MATCH($K656,Dept_Codes,0)),"NOT FOUND"))</f>
        <v/>
      </c>
      <c r="M656" s="12" t="n"/>
      <c r="N656" s="13">
        <f>IF($M656="","",IFERROR(INDEX(Desig_Names,MATCH($M656,Desig_Codes,0)),"NOT FOUND"))</f>
        <v/>
      </c>
      <c r="O656" s="13">
        <f>IF($M656="","",IFERROR(INDEX(Desig_Levels,MATCH($M656,Desig_Codes,0)),""))</f>
        <v/>
      </c>
      <c r="P656" s="12" t="n"/>
      <c r="Q656" s="12" t="n"/>
      <c r="R656" s="12" t="n"/>
      <c r="S656" s="13">
        <f>IF($R656="","",IFERROR(INDEX(Emp_Names,MATCH($R656,Emp_Codes,0)),"NOT FOUND"))</f>
        <v/>
      </c>
      <c r="T656" s="12" t="n"/>
      <c r="U656" s="12" t="n"/>
      <c r="V656" s="12" t="n"/>
    </row>
    <row r="657">
      <c r="A657" s="12" t="n"/>
      <c r="B657" s="12" t="n"/>
      <c r="C657" s="12" t="n"/>
      <c r="D657" s="13">
        <f>IF($A657="","",TRIM($B657&amp;" "&amp;$C657))</f>
        <v/>
      </c>
      <c r="E657" s="12" t="n"/>
      <c r="F657" s="12" t="n"/>
      <c r="G657" s="14" t="n"/>
      <c r="H657" s="14" t="n"/>
      <c r="I657" s="12" t="n"/>
      <c r="J657" s="14" t="n"/>
      <c r="K657" s="12" t="n"/>
      <c r="L657" s="13">
        <f>IF($K657="","",IFERROR(INDEX(Dept_Names,MATCH($K657,Dept_Codes,0)),"NOT FOUND"))</f>
        <v/>
      </c>
      <c r="M657" s="12" t="n"/>
      <c r="N657" s="13">
        <f>IF($M657="","",IFERROR(INDEX(Desig_Names,MATCH($M657,Desig_Codes,0)),"NOT FOUND"))</f>
        <v/>
      </c>
      <c r="O657" s="13">
        <f>IF($M657="","",IFERROR(INDEX(Desig_Levels,MATCH($M657,Desig_Codes,0)),""))</f>
        <v/>
      </c>
      <c r="P657" s="12" t="n"/>
      <c r="Q657" s="12" t="n"/>
      <c r="R657" s="12" t="n"/>
      <c r="S657" s="13">
        <f>IF($R657="","",IFERROR(INDEX(Emp_Names,MATCH($R657,Emp_Codes,0)),"NOT FOUND"))</f>
        <v/>
      </c>
      <c r="T657" s="12" t="n"/>
      <c r="U657" s="12" t="n"/>
      <c r="V657" s="12" t="n"/>
    </row>
    <row r="658">
      <c r="A658" s="12" t="n"/>
      <c r="B658" s="12" t="n"/>
      <c r="C658" s="12" t="n"/>
      <c r="D658" s="13">
        <f>IF($A658="","",TRIM($B658&amp;" "&amp;$C658))</f>
        <v/>
      </c>
      <c r="E658" s="12" t="n"/>
      <c r="F658" s="12" t="n"/>
      <c r="G658" s="14" t="n"/>
      <c r="H658" s="14" t="n"/>
      <c r="I658" s="12" t="n"/>
      <c r="J658" s="14" t="n"/>
      <c r="K658" s="12" t="n"/>
      <c r="L658" s="13">
        <f>IF($K658="","",IFERROR(INDEX(Dept_Names,MATCH($K658,Dept_Codes,0)),"NOT FOUND"))</f>
        <v/>
      </c>
      <c r="M658" s="12" t="n"/>
      <c r="N658" s="13">
        <f>IF($M658="","",IFERROR(INDEX(Desig_Names,MATCH($M658,Desig_Codes,0)),"NOT FOUND"))</f>
        <v/>
      </c>
      <c r="O658" s="13">
        <f>IF($M658="","",IFERROR(INDEX(Desig_Levels,MATCH($M658,Desig_Codes,0)),""))</f>
        <v/>
      </c>
      <c r="P658" s="12" t="n"/>
      <c r="Q658" s="12" t="n"/>
      <c r="R658" s="12" t="n"/>
      <c r="S658" s="13">
        <f>IF($R658="","",IFERROR(INDEX(Emp_Names,MATCH($R658,Emp_Codes,0)),"NOT FOUND"))</f>
        <v/>
      </c>
      <c r="T658" s="12" t="n"/>
      <c r="U658" s="12" t="n"/>
      <c r="V658" s="12" t="n"/>
    </row>
    <row r="659">
      <c r="A659" s="12" t="n"/>
      <c r="B659" s="12" t="n"/>
      <c r="C659" s="12" t="n"/>
      <c r="D659" s="13">
        <f>IF($A659="","",TRIM($B659&amp;" "&amp;$C659))</f>
        <v/>
      </c>
      <c r="E659" s="12" t="n"/>
      <c r="F659" s="12" t="n"/>
      <c r="G659" s="14" t="n"/>
      <c r="H659" s="14" t="n"/>
      <c r="I659" s="12" t="n"/>
      <c r="J659" s="14" t="n"/>
      <c r="K659" s="12" t="n"/>
      <c r="L659" s="13">
        <f>IF($K659="","",IFERROR(INDEX(Dept_Names,MATCH($K659,Dept_Codes,0)),"NOT FOUND"))</f>
        <v/>
      </c>
      <c r="M659" s="12" t="n"/>
      <c r="N659" s="13">
        <f>IF($M659="","",IFERROR(INDEX(Desig_Names,MATCH($M659,Desig_Codes,0)),"NOT FOUND"))</f>
        <v/>
      </c>
      <c r="O659" s="13">
        <f>IF($M659="","",IFERROR(INDEX(Desig_Levels,MATCH($M659,Desig_Codes,0)),""))</f>
        <v/>
      </c>
      <c r="P659" s="12" t="n"/>
      <c r="Q659" s="12" t="n"/>
      <c r="R659" s="12" t="n"/>
      <c r="S659" s="13">
        <f>IF($R659="","",IFERROR(INDEX(Emp_Names,MATCH($R659,Emp_Codes,0)),"NOT FOUND"))</f>
        <v/>
      </c>
      <c r="T659" s="12" t="n"/>
      <c r="U659" s="12" t="n"/>
      <c r="V659" s="12" t="n"/>
    </row>
    <row r="660">
      <c r="A660" s="12" t="n"/>
      <c r="B660" s="12" t="n"/>
      <c r="C660" s="12" t="n"/>
      <c r="D660" s="13">
        <f>IF($A660="","",TRIM($B660&amp;" "&amp;$C660))</f>
        <v/>
      </c>
      <c r="E660" s="12" t="n"/>
      <c r="F660" s="12" t="n"/>
      <c r="G660" s="14" t="n"/>
      <c r="H660" s="14" t="n"/>
      <c r="I660" s="12" t="n"/>
      <c r="J660" s="14" t="n"/>
      <c r="K660" s="12" t="n"/>
      <c r="L660" s="13">
        <f>IF($K660="","",IFERROR(INDEX(Dept_Names,MATCH($K660,Dept_Codes,0)),"NOT FOUND"))</f>
        <v/>
      </c>
      <c r="M660" s="12" t="n"/>
      <c r="N660" s="13">
        <f>IF($M660="","",IFERROR(INDEX(Desig_Names,MATCH($M660,Desig_Codes,0)),"NOT FOUND"))</f>
        <v/>
      </c>
      <c r="O660" s="13">
        <f>IF($M660="","",IFERROR(INDEX(Desig_Levels,MATCH($M660,Desig_Codes,0)),""))</f>
        <v/>
      </c>
      <c r="P660" s="12" t="n"/>
      <c r="Q660" s="12" t="n"/>
      <c r="R660" s="12" t="n"/>
      <c r="S660" s="13">
        <f>IF($R660="","",IFERROR(INDEX(Emp_Names,MATCH($R660,Emp_Codes,0)),"NOT FOUND"))</f>
        <v/>
      </c>
      <c r="T660" s="12" t="n"/>
      <c r="U660" s="12" t="n"/>
      <c r="V660" s="12" t="n"/>
    </row>
    <row r="661">
      <c r="A661" s="12" t="n"/>
      <c r="B661" s="12" t="n"/>
      <c r="C661" s="12" t="n"/>
      <c r="D661" s="13">
        <f>IF($A661="","",TRIM($B661&amp;" "&amp;$C661))</f>
        <v/>
      </c>
      <c r="E661" s="12" t="n"/>
      <c r="F661" s="12" t="n"/>
      <c r="G661" s="14" t="n"/>
      <c r="H661" s="14" t="n"/>
      <c r="I661" s="12" t="n"/>
      <c r="J661" s="14" t="n"/>
      <c r="K661" s="12" t="n"/>
      <c r="L661" s="13">
        <f>IF($K661="","",IFERROR(INDEX(Dept_Names,MATCH($K661,Dept_Codes,0)),"NOT FOUND"))</f>
        <v/>
      </c>
      <c r="M661" s="12" t="n"/>
      <c r="N661" s="13">
        <f>IF($M661="","",IFERROR(INDEX(Desig_Names,MATCH($M661,Desig_Codes,0)),"NOT FOUND"))</f>
        <v/>
      </c>
      <c r="O661" s="13">
        <f>IF($M661="","",IFERROR(INDEX(Desig_Levels,MATCH($M661,Desig_Codes,0)),""))</f>
        <v/>
      </c>
      <c r="P661" s="12" t="n"/>
      <c r="Q661" s="12" t="n"/>
      <c r="R661" s="12" t="n"/>
      <c r="S661" s="13">
        <f>IF($R661="","",IFERROR(INDEX(Emp_Names,MATCH($R661,Emp_Codes,0)),"NOT FOUND"))</f>
        <v/>
      </c>
      <c r="T661" s="12" t="n"/>
      <c r="U661" s="12" t="n"/>
      <c r="V661" s="12" t="n"/>
    </row>
    <row r="662">
      <c r="A662" s="12" t="n"/>
      <c r="B662" s="12" t="n"/>
      <c r="C662" s="12" t="n"/>
      <c r="D662" s="13">
        <f>IF($A662="","",TRIM($B662&amp;" "&amp;$C662))</f>
        <v/>
      </c>
      <c r="E662" s="12" t="n"/>
      <c r="F662" s="12" t="n"/>
      <c r="G662" s="14" t="n"/>
      <c r="H662" s="14" t="n"/>
      <c r="I662" s="12" t="n"/>
      <c r="J662" s="14" t="n"/>
      <c r="K662" s="12" t="n"/>
      <c r="L662" s="13">
        <f>IF($K662="","",IFERROR(INDEX(Dept_Names,MATCH($K662,Dept_Codes,0)),"NOT FOUND"))</f>
        <v/>
      </c>
      <c r="M662" s="12" t="n"/>
      <c r="N662" s="13">
        <f>IF($M662="","",IFERROR(INDEX(Desig_Names,MATCH($M662,Desig_Codes,0)),"NOT FOUND"))</f>
        <v/>
      </c>
      <c r="O662" s="13">
        <f>IF($M662="","",IFERROR(INDEX(Desig_Levels,MATCH($M662,Desig_Codes,0)),""))</f>
        <v/>
      </c>
      <c r="P662" s="12" t="n"/>
      <c r="Q662" s="12" t="n"/>
      <c r="R662" s="12" t="n"/>
      <c r="S662" s="13">
        <f>IF($R662="","",IFERROR(INDEX(Emp_Names,MATCH($R662,Emp_Codes,0)),"NOT FOUND"))</f>
        <v/>
      </c>
      <c r="T662" s="12" t="n"/>
      <c r="U662" s="12" t="n"/>
      <c r="V662" s="12" t="n"/>
    </row>
    <row r="663">
      <c r="A663" s="12" t="n"/>
      <c r="B663" s="12" t="n"/>
      <c r="C663" s="12" t="n"/>
      <c r="D663" s="13">
        <f>IF($A663="","",TRIM($B663&amp;" "&amp;$C663))</f>
        <v/>
      </c>
      <c r="E663" s="12" t="n"/>
      <c r="F663" s="12" t="n"/>
      <c r="G663" s="14" t="n"/>
      <c r="H663" s="14" t="n"/>
      <c r="I663" s="12" t="n"/>
      <c r="J663" s="14" t="n"/>
      <c r="K663" s="12" t="n"/>
      <c r="L663" s="13">
        <f>IF($K663="","",IFERROR(INDEX(Dept_Names,MATCH($K663,Dept_Codes,0)),"NOT FOUND"))</f>
        <v/>
      </c>
      <c r="M663" s="12" t="n"/>
      <c r="N663" s="13">
        <f>IF($M663="","",IFERROR(INDEX(Desig_Names,MATCH($M663,Desig_Codes,0)),"NOT FOUND"))</f>
        <v/>
      </c>
      <c r="O663" s="13">
        <f>IF($M663="","",IFERROR(INDEX(Desig_Levels,MATCH($M663,Desig_Codes,0)),""))</f>
        <v/>
      </c>
      <c r="P663" s="12" t="n"/>
      <c r="Q663" s="12" t="n"/>
      <c r="R663" s="12" t="n"/>
      <c r="S663" s="13">
        <f>IF($R663="","",IFERROR(INDEX(Emp_Names,MATCH($R663,Emp_Codes,0)),"NOT FOUND"))</f>
        <v/>
      </c>
      <c r="T663" s="12" t="n"/>
      <c r="U663" s="12" t="n"/>
      <c r="V663" s="12" t="n"/>
    </row>
    <row r="664">
      <c r="A664" s="12" t="n"/>
      <c r="B664" s="12" t="n"/>
      <c r="C664" s="12" t="n"/>
      <c r="D664" s="13">
        <f>IF($A664="","",TRIM($B664&amp;" "&amp;$C664))</f>
        <v/>
      </c>
      <c r="E664" s="12" t="n"/>
      <c r="F664" s="12" t="n"/>
      <c r="G664" s="14" t="n"/>
      <c r="H664" s="14" t="n"/>
      <c r="I664" s="12" t="n"/>
      <c r="J664" s="14" t="n"/>
      <c r="K664" s="12" t="n"/>
      <c r="L664" s="13">
        <f>IF($K664="","",IFERROR(INDEX(Dept_Names,MATCH($K664,Dept_Codes,0)),"NOT FOUND"))</f>
        <v/>
      </c>
      <c r="M664" s="12" t="n"/>
      <c r="N664" s="13">
        <f>IF($M664="","",IFERROR(INDEX(Desig_Names,MATCH($M664,Desig_Codes,0)),"NOT FOUND"))</f>
        <v/>
      </c>
      <c r="O664" s="13">
        <f>IF($M664="","",IFERROR(INDEX(Desig_Levels,MATCH($M664,Desig_Codes,0)),""))</f>
        <v/>
      </c>
      <c r="P664" s="12" t="n"/>
      <c r="Q664" s="12" t="n"/>
      <c r="R664" s="12" t="n"/>
      <c r="S664" s="13">
        <f>IF($R664="","",IFERROR(INDEX(Emp_Names,MATCH($R664,Emp_Codes,0)),"NOT FOUND"))</f>
        <v/>
      </c>
      <c r="T664" s="12" t="n"/>
      <c r="U664" s="12" t="n"/>
      <c r="V664" s="12" t="n"/>
    </row>
    <row r="665">
      <c r="A665" s="12" t="n"/>
      <c r="B665" s="12" t="n"/>
      <c r="C665" s="12" t="n"/>
      <c r="D665" s="13">
        <f>IF($A665="","",TRIM($B665&amp;" "&amp;$C665))</f>
        <v/>
      </c>
      <c r="E665" s="12" t="n"/>
      <c r="F665" s="12" t="n"/>
      <c r="G665" s="14" t="n"/>
      <c r="H665" s="14" t="n"/>
      <c r="I665" s="12" t="n"/>
      <c r="J665" s="14" t="n"/>
      <c r="K665" s="12" t="n"/>
      <c r="L665" s="13">
        <f>IF($K665="","",IFERROR(INDEX(Dept_Names,MATCH($K665,Dept_Codes,0)),"NOT FOUND"))</f>
        <v/>
      </c>
      <c r="M665" s="12" t="n"/>
      <c r="N665" s="13">
        <f>IF($M665="","",IFERROR(INDEX(Desig_Names,MATCH($M665,Desig_Codes,0)),"NOT FOUND"))</f>
        <v/>
      </c>
      <c r="O665" s="13">
        <f>IF($M665="","",IFERROR(INDEX(Desig_Levels,MATCH($M665,Desig_Codes,0)),""))</f>
        <v/>
      </c>
      <c r="P665" s="12" t="n"/>
      <c r="Q665" s="12" t="n"/>
      <c r="R665" s="12" t="n"/>
      <c r="S665" s="13">
        <f>IF($R665="","",IFERROR(INDEX(Emp_Names,MATCH($R665,Emp_Codes,0)),"NOT FOUND"))</f>
        <v/>
      </c>
      <c r="T665" s="12" t="n"/>
      <c r="U665" s="12" t="n"/>
      <c r="V665" s="12" t="n"/>
    </row>
    <row r="666">
      <c r="A666" s="12" t="n"/>
      <c r="B666" s="12" t="n"/>
      <c r="C666" s="12" t="n"/>
      <c r="D666" s="13">
        <f>IF($A666="","",TRIM($B666&amp;" "&amp;$C666))</f>
        <v/>
      </c>
      <c r="E666" s="12" t="n"/>
      <c r="F666" s="12" t="n"/>
      <c r="G666" s="14" t="n"/>
      <c r="H666" s="14" t="n"/>
      <c r="I666" s="12" t="n"/>
      <c r="J666" s="14" t="n"/>
      <c r="K666" s="12" t="n"/>
      <c r="L666" s="13">
        <f>IF($K666="","",IFERROR(INDEX(Dept_Names,MATCH($K666,Dept_Codes,0)),"NOT FOUND"))</f>
        <v/>
      </c>
      <c r="M666" s="12" t="n"/>
      <c r="N666" s="13">
        <f>IF($M666="","",IFERROR(INDEX(Desig_Names,MATCH($M666,Desig_Codes,0)),"NOT FOUND"))</f>
        <v/>
      </c>
      <c r="O666" s="13">
        <f>IF($M666="","",IFERROR(INDEX(Desig_Levels,MATCH($M666,Desig_Codes,0)),""))</f>
        <v/>
      </c>
      <c r="P666" s="12" t="n"/>
      <c r="Q666" s="12" t="n"/>
      <c r="R666" s="12" t="n"/>
      <c r="S666" s="13">
        <f>IF($R666="","",IFERROR(INDEX(Emp_Names,MATCH($R666,Emp_Codes,0)),"NOT FOUND"))</f>
        <v/>
      </c>
      <c r="T666" s="12" t="n"/>
      <c r="U666" s="12" t="n"/>
      <c r="V666" s="12" t="n"/>
    </row>
    <row r="667">
      <c r="A667" s="12" t="n"/>
      <c r="B667" s="12" t="n"/>
      <c r="C667" s="12" t="n"/>
      <c r="D667" s="13">
        <f>IF($A667="","",TRIM($B667&amp;" "&amp;$C667))</f>
        <v/>
      </c>
      <c r="E667" s="12" t="n"/>
      <c r="F667" s="12" t="n"/>
      <c r="G667" s="14" t="n"/>
      <c r="H667" s="14" t="n"/>
      <c r="I667" s="12" t="n"/>
      <c r="J667" s="14" t="n"/>
      <c r="K667" s="12" t="n"/>
      <c r="L667" s="13">
        <f>IF($K667="","",IFERROR(INDEX(Dept_Names,MATCH($K667,Dept_Codes,0)),"NOT FOUND"))</f>
        <v/>
      </c>
      <c r="M667" s="12" t="n"/>
      <c r="N667" s="13">
        <f>IF($M667="","",IFERROR(INDEX(Desig_Names,MATCH($M667,Desig_Codes,0)),"NOT FOUND"))</f>
        <v/>
      </c>
      <c r="O667" s="13">
        <f>IF($M667="","",IFERROR(INDEX(Desig_Levels,MATCH($M667,Desig_Codes,0)),""))</f>
        <v/>
      </c>
      <c r="P667" s="12" t="n"/>
      <c r="Q667" s="12" t="n"/>
      <c r="R667" s="12" t="n"/>
      <c r="S667" s="13">
        <f>IF($R667="","",IFERROR(INDEX(Emp_Names,MATCH($R667,Emp_Codes,0)),"NOT FOUND"))</f>
        <v/>
      </c>
      <c r="T667" s="12" t="n"/>
      <c r="U667" s="12" t="n"/>
      <c r="V667" s="12" t="n"/>
    </row>
    <row r="668">
      <c r="A668" s="12" t="n"/>
      <c r="B668" s="12" t="n"/>
      <c r="C668" s="12" t="n"/>
      <c r="D668" s="13">
        <f>IF($A668="","",TRIM($B668&amp;" "&amp;$C668))</f>
        <v/>
      </c>
      <c r="E668" s="12" t="n"/>
      <c r="F668" s="12" t="n"/>
      <c r="G668" s="14" t="n"/>
      <c r="H668" s="14" t="n"/>
      <c r="I668" s="12" t="n"/>
      <c r="J668" s="14" t="n"/>
      <c r="K668" s="12" t="n"/>
      <c r="L668" s="13">
        <f>IF($K668="","",IFERROR(INDEX(Dept_Names,MATCH($K668,Dept_Codes,0)),"NOT FOUND"))</f>
        <v/>
      </c>
      <c r="M668" s="12" t="n"/>
      <c r="N668" s="13">
        <f>IF($M668="","",IFERROR(INDEX(Desig_Names,MATCH($M668,Desig_Codes,0)),"NOT FOUND"))</f>
        <v/>
      </c>
      <c r="O668" s="13">
        <f>IF($M668="","",IFERROR(INDEX(Desig_Levels,MATCH($M668,Desig_Codes,0)),""))</f>
        <v/>
      </c>
      <c r="P668" s="12" t="n"/>
      <c r="Q668" s="12" t="n"/>
      <c r="R668" s="12" t="n"/>
      <c r="S668" s="13">
        <f>IF($R668="","",IFERROR(INDEX(Emp_Names,MATCH($R668,Emp_Codes,0)),"NOT FOUND"))</f>
        <v/>
      </c>
      <c r="T668" s="12" t="n"/>
      <c r="U668" s="12" t="n"/>
      <c r="V668" s="12" t="n"/>
    </row>
    <row r="669">
      <c r="A669" s="12" t="n"/>
      <c r="B669" s="12" t="n"/>
      <c r="C669" s="12" t="n"/>
      <c r="D669" s="13">
        <f>IF($A669="","",TRIM($B669&amp;" "&amp;$C669))</f>
        <v/>
      </c>
      <c r="E669" s="12" t="n"/>
      <c r="F669" s="12" t="n"/>
      <c r="G669" s="14" t="n"/>
      <c r="H669" s="14" t="n"/>
      <c r="I669" s="12" t="n"/>
      <c r="J669" s="14" t="n"/>
      <c r="K669" s="12" t="n"/>
      <c r="L669" s="13">
        <f>IF($K669="","",IFERROR(INDEX(Dept_Names,MATCH($K669,Dept_Codes,0)),"NOT FOUND"))</f>
        <v/>
      </c>
      <c r="M669" s="12" t="n"/>
      <c r="N669" s="13">
        <f>IF($M669="","",IFERROR(INDEX(Desig_Names,MATCH($M669,Desig_Codes,0)),"NOT FOUND"))</f>
        <v/>
      </c>
      <c r="O669" s="13">
        <f>IF($M669="","",IFERROR(INDEX(Desig_Levels,MATCH($M669,Desig_Codes,0)),""))</f>
        <v/>
      </c>
      <c r="P669" s="12" t="n"/>
      <c r="Q669" s="12" t="n"/>
      <c r="R669" s="12" t="n"/>
      <c r="S669" s="13">
        <f>IF($R669="","",IFERROR(INDEX(Emp_Names,MATCH($R669,Emp_Codes,0)),"NOT FOUND"))</f>
        <v/>
      </c>
      <c r="T669" s="12" t="n"/>
      <c r="U669" s="12" t="n"/>
      <c r="V669" s="12" t="n"/>
    </row>
    <row r="670">
      <c r="A670" s="12" t="n"/>
      <c r="B670" s="12" t="n"/>
      <c r="C670" s="12" t="n"/>
      <c r="D670" s="13">
        <f>IF($A670="","",TRIM($B670&amp;" "&amp;$C670))</f>
        <v/>
      </c>
      <c r="E670" s="12" t="n"/>
      <c r="F670" s="12" t="n"/>
      <c r="G670" s="14" t="n"/>
      <c r="H670" s="14" t="n"/>
      <c r="I670" s="12" t="n"/>
      <c r="J670" s="14" t="n"/>
      <c r="K670" s="12" t="n"/>
      <c r="L670" s="13">
        <f>IF($K670="","",IFERROR(INDEX(Dept_Names,MATCH($K670,Dept_Codes,0)),"NOT FOUND"))</f>
        <v/>
      </c>
      <c r="M670" s="12" t="n"/>
      <c r="N670" s="13">
        <f>IF($M670="","",IFERROR(INDEX(Desig_Names,MATCH($M670,Desig_Codes,0)),"NOT FOUND"))</f>
        <v/>
      </c>
      <c r="O670" s="13">
        <f>IF($M670="","",IFERROR(INDEX(Desig_Levels,MATCH($M670,Desig_Codes,0)),""))</f>
        <v/>
      </c>
      <c r="P670" s="12" t="n"/>
      <c r="Q670" s="12" t="n"/>
      <c r="R670" s="12" t="n"/>
      <c r="S670" s="13">
        <f>IF($R670="","",IFERROR(INDEX(Emp_Names,MATCH($R670,Emp_Codes,0)),"NOT FOUND"))</f>
        <v/>
      </c>
      <c r="T670" s="12" t="n"/>
      <c r="U670" s="12" t="n"/>
      <c r="V670" s="12" t="n"/>
    </row>
    <row r="671">
      <c r="A671" s="12" t="n"/>
      <c r="B671" s="12" t="n"/>
      <c r="C671" s="12" t="n"/>
      <c r="D671" s="13">
        <f>IF($A671="","",TRIM($B671&amp;" "&amp;$C671))</f>
        <v/>
      </c>
      <c r="E671" s="12" t="n"/>
      <c r="F671" s="12" t="n"/>
      <c r="G671" s="14" t="n"/>
      <c r="H671" s="14" t="n"/>
      <c r="I671" s="12" t="n"/>
      <c r="J671" s="14" t="n"/>
      <c r="K671" s="12" t="n"/>
      <c r="L671" s="13">
        <f>IF($K671="","",IFERROR(INDEX(Dept_Names,MATCH($K671,Dept_Codes,0)),"NOT FOUND"))</f>
        <v/>
      </c>
      <c r="M671" s="12" t="n"/>
      <c r="N671" s="13">
        <f>IF($M671="","",IFERROR(INDEX(Desig_Names,MATCH($M671,Desig_Codes,0)),"NOT FOUND"))</f>
        <v/>
      </c>
      <c r="O671" s="13">
        <f>IF($M671="","",IFERROR(INDEX(Desig_Levels,MATCH($M671,Desig_Codes,0)),""))</f>
        <v/>
      </c>
      <c r="P671" s="12" t="n"/>
      <c r="Q671" s="12" t="n"/>
      <c r="R671" s="12" t="n"/>
      <c r="S671" s="13">
        <f>IF($R671="","",IFERROR(INDEX(Emp_Names,MATCH($R671,Emp_Codes,0)),"NOT FOUND"))</f>
        <v/>
      </c>
      <c r="T671" s="12" t="n"/>
      <c r="U671" s="12" t="n"/>
      <c r="V671" s="12" t="n"/>
    </row>
    <row r="672">
      <c r="A672" s="12" t="n"/>
      <c r="B672" s="12" t="n"/>
      <c r="C672" s="12" t="n"/>
      <c r="D672" s="13">
        <f>IF($A672="","",TRIM($B672&amp;" "&amp;$C672))</f>
        <v/>
      </c>
      <c r="E672" s="12" t="n"/>
      <c r="F672" s="12" t="n"/>
      <c r="G672" s="14" t="n"/>
      <c r="H672" s="14" t="n"/>
      <c r="I672" s="12" t="n"/>
      <c r="J672" s="14" t="n"/>
      <c r="K672" s="12" t="n"/>
      <c r="L672" s="13">
        <f>IF($K672="","",IFERROR(INDEX(Dept_Names,MATCH($K672,Dept_Codes,0)),"NOT FOUND"))</f>
        <v/>
      </c>
      <c r="M672" s="12" t="n"/>
      <c r="N672" s="13">
        <f>IF($M672="","",IFERROR(INDEX(Desig_Names,MATCH($M672,Desig_Codes,0)),"NOT FOUND"))</f>
        <v/>
      </c>
      <c r="O672" s="13">
        <f>IF($M672="","",IFERROR(INDEX(Desig_Levels,MATCH($M672,Desig_Codes,0)),""))</f>
        <v/>
      </c>
      <c r="P672" s="12" t="n"/>
      <c r="Q672" s="12" t="n"/>
      <c r="R672" s="12" t="n"/>
      <c r="S672" s="13">
        <f>IF($R672="","",IFERROR(INDEX(Emp_Names,MATCH($R672,Emp_Codes,0)),"NOT FOUND"))</f>
        <v/>
      </c>
      <c r="T672" s="12" t="n"/>
      <c r="U672" s="12" t="n"/>
      <c r="V672" s="12" t="n"/>
    </row>
    <row r="673">
      <c r="A673" s="12" t="n"/>
      <c r="B673" s="12" t="n"/>
      <c r="C673" s="12" t="n"/>
      <c r="D673" s="13">
        <f>IF($A673="","",TRIM($B673&amp;" "&amp;$C673))</f>
        <v/>
      </c>
      <c r="E673" s="12" t="n"/>
      <c r="F673" s="12" t="n"/>
      <c r="G673" s="14" t="n"/>
      <c r="H673" s="14" t="n"/>
      <c r="I673" s="12" t="n"/>
      <c r="J673" s="14" t="n"/>
      <c r="K673" s="12" t="n"/>
      <c r="L673" s="13">
        <f>IF($K673="","",IFERROR(INDEX(Dept_Names,MATCH($K673,Dept_Codes,0)),"NOT FOUND"))</f>
        <v/>
      </c>
      <c r="M673" s="12" t="n"/>
      <c r="N673" s="13">
        <f>IF($M673="","",IFERROR(INDEX(Desig_Names,MATCH($M673,Desig_Codes,0)),"NOT FOUND"))</f>
        <v/>
      </c>
      <c r="O673" s="13">
        <f>IF($M673="","",IFERROR(INDEX(Desig_Levels,MATCH($M673,Desig_Codes,0)),""))</f>
        <v/>
      </c>
      <c r="P673" s="12" t="n"/>
      <c r="Q673" s="12" t="n"/>
      <c r="R673" s="12" t="n"/>
      <c r="S673" s="13">
        <f>IF($R673="","",IFERROR(INDEX(Emp_Names,MATCH($R673,Emp_Codes,0)),"NOT FOUND"))</f>
        <v/>
      </c>
      <c r="T673" s="12" t="n"/>
      <c r="U673" s="12" t="n"/>
      <c r="V673" s="12" t="n"/>
    </row>
    <row r="674">
      <c r="A674" s="12" t="n"/>
      <c r="B674" s="12" t="n"/>
      <c r="C674" s="12" t="n"/>
      <c r="D674" s="13">
        <f>IF($A674="","",TRIM($B674&amp;" "&amp;$C674))</f>
        <v/>
      </c>
      <c r="E674" s="12" t="n"/>
      <c r="F674" s="12" t="n"/>
      <c r="G674" s="14" t="n"/>
      <c r="H674" s="14" t="n"/>
      <c r="I674" s="12" t="n"/>
      <c r="J674" s="14" t="n"/>
      <c r="K674" s="12" t="n"/>
      <c r="L674" s="13">
        <f>IF($K674="","",IFERROR(INDEX(Dept_Names,MATCH($K674,Dept_Codes,0)),"NOT FOUND"))</f>
        <v/>
      </c>
      <c r="M674" s="12" t="n"/>
      <c r="N674" s="13">
        <f>IF($M674="","",IFERROR(INDEX(Desig_Names,MATCH($M674,Desig_Codes,0)),"NOT FOUND"))</f>
        <v/>
      </c>
      <c r="O674" s="13">
        <f>IF($M674="","",IFERROR(INDEX(Desig_Levels,MATCH($M674,Desig_Codes,0)),""))</f>
        <v/>
      </c>
      <c r="P674" s="12" t="n"/>
      <c r="Q674" s="12" t="n"/>
      <c r="R674" s="12" t="n"/>
      <c r="S674" s="13">
        <f>IF($R674="","",IFERROR(INDEX(Emp_Names,MATCH($R674,Emp_Codes,0)),"NOT FOUND"))</f>
        <v/>
      </c>
      <c r="T674" s="12" t="n"/>
      <c r="U674" s="12" t="n"/>
      <c r="V674" s="12" t="n"/>
    </row>
    <row r="675">
      <c r="A675" s="12" t="n"/>
      <c r="B675" s="12" t="n"/>
      <c r="C675" s="12" t="n"/>
      <c r="D675" s="13">
        <f>IF($A675="","",TRIM($B675&amp;" "&amp;$C675))</f>
        <v/>
      </c>
      <c r="E675" s="12" t="n"/>
      <c r="F675" s="12" t="n"/>
      <c r="G675" s="14" t="n"/>
      <c r="H675" s="14" t="n"/>
      <c r="I675" s="12" t="n"/>
      <c r="J675" s="14" t="n"/>
      <c r="K675" s="12" t="n"/>
      <c r="L675" s="13">
        <f>IF($K675="","",IFERROR(INDEX(Dept_Names,MATCH($K675,Dept_Codes,0)),"NOT FOUND"))</f>
        <v/>
      </c>
      <c r="M675" s="12" t="n"/>
      <c r="N675" s="13">
        <f>IF($M675="","",IFERROR(INDEX(Desig_Names,MATCH($M675,Desig_Codes,0)),"NOT FOUND"))</f>
        <v/>
      </c>
      <c r="O675" s="13">
        <f>IF($M675="","",IFERROR(INDEX(Desig_Levels,MATCH($M675,Desig_Codes,0)),""))</f>
        <v/>
      </c>
      <c r="P675" s="12" t="n"/>
      <c r="Q675" s="12" t="n"/>
      <c r="R675" s="12" t="n"/>
      <c r="S675" s="13">
        <f>IF($R675="","",IFERROR(INDEX(Emp_Names,MATCH($R675,Emp_Codes,0)),"NOT FOUND"))</f>
        <v/>
      </c>
      <c r="T675" s="12" t="n"/>
      <c r="U675" s="12" t="n"/>
      <c r="V675" s="12" t="n"/>
    </row>
    <row r="676">
      <c r="A676" s="12" t="n"/>
      <c r="B676" s="12" t="n"/>
      <c r="C676" s="12" t="n"/>
      <c r="D676" s="13">
        <f>IF($A676="","",TRIM($B676&amp;" "&amp;$C676))</f>
        <v/>
      </c>
      <c r="E676" s="12" t="n"/>
      <c r="F676" s="12" t="n"/>
      <c r="G676" s="14" t="n"/>
      <c r="H676" s="14" t="n"/>
      <c r="I676" s="12" t="n"/>
      <c r="J676" s="14" t="n"/>
      <c r="K676" s="12" t="n"/>
      <c r="L676" s="13">
        <f>IF($K676="","",IFERROR(INDEX(Dept_Names,MATCH($K676,Dept_Codes,0)),"NOT FOUND"))</f>
        <v/>
      </c>
      <c r="M676" s="12" t="n"/>
      <c r="N676" s="13">
        <f>IF($M676="","",IFERROR(INDEX(Desig_Names,MATCH($M676,Desig_Codes,0)),"NOT FOUND"))</f>
        <v/>
      </c>
      <c r="O676" s="13">
        <f>IF($M676="","",IFERROR(INDEX(Desig_Levels,MATCH($M676,Desig_Codes,0)),""))</f>
        <v/>
      </c>
      <c r="P676" s="12" t="n"/>
      <c r="Q676" s="12" t="n"/>
      <c r="R676" s="12" t="n"/>
      <c r="S676" s="13">
        <f>IF($R676="","",IFERROR(INDEX(Emp_Names,MATCH($R676,Emp_Codes,0)),"NOT FOUND"))</f>
        <v/>
      </c>
      <c r="T676" s="12" t="n"/>
      <c r="U676" s="12" t="n"/>
      <c r="V676" s="12" t="n"/>
    </row>
    <row r="677">
      <c r="A677" s="12" t="n"/>
      <c r="B677" s="12" t="n"/>
      <c r="C677" s="12" t="n"/>
      <c r="D677" s="13">
        <f>IF($A677="","",TRIM($B677&amp;" "&amp;$C677))</f>
        <v/>
      </c>
      <c r="E677" s="12" t="n"/>
      <c r="F677" s="12" t="n"/>
      <c r="G677" s="14" t="n"/>
      <c r="H677" s="14" t="n"/>
      <c r="I677" s="12" t="n"/>
      <c r="J677" s="14" t="n"/>
      <c r="K677" s="12" t="n"/>
      <c r="L677" s="13">
        <f>IF($K677="","",IFERROR(INDEX(Dept_Names,MATCH($K677,Dept_Codes,0)),"NOT FOUND"))</f>
        <v/>
      </c>
      <c r="M677" s="12" t="n"/>
      <c r="N677" s="13">
        <f>IF($M677="","",IFERROR(INDEX(Desig_Names,MATCH($M677,Desig_Codes,0)),"NOT FOUND"))</f>
        <v/>
      </c>
      <c r="O677" s="13">
        <f>IF($M677="","",IFERROR(INDEX(Desig_Levels,MATCH($M677,Desig_Codes,0)),""))</f>
        <v/>
      </c>
      <c r="P677" s="12" t="n"/>
      <c r="Q677" s="12" t="n"/>
      <c r="R677" s="12" t="n"/>
      <c r="S677" s="13">
        <f>IF($R677="","",IFERROR(INDEX(Emp_Names,MATCH($R677,Emp_Codes,0)),"NOT FOUND"))</f>
        <v/>
      </c>
      <c r="T677" s="12" t="n"/>
      <c r="U677" s="12" t="n"/>
      <c r="V677" s="12" t="n"/>
    </row>
    <row r="678">
      <c r="A678" s="12" t="n"/>
      <c r="B678" s="12" t="n"/>
      <c r="C678" s="12" t="n"/>
      <c r="D678" s="13">
        <f>IF($A678="","",TRIM($B678&amp;" "&amp;$C678))</f>
        <v/>
      </c>
      <c r="E678" s="12" t="n"/>
      <c r="F678" s="12" t="n"/>
      <c r="G678" s="14" t="n"/>
      <c r="H678" s="14" t="n"/>
      <c r="I678" s="12" t="n"/>
      <c r="J678" s="14" t="n"/>
      <c r="K678" s="12" t="n"/>
      <c r="L678" s="13">
        <f>IF($K678="","",IFERROR(INDEX(Dept_Names,MATCH($K678,Dept_Codes,0)),"NOT FOUND"))</f>
        <v/>
      </c>
      <c r="M678" s="12" t="n"/>
      <c r="N678" s="13">
        <f>IF($M678="","",IFERROR(INDEX(Desig_Names,MATCH($M678,Desig_Codes,0)),"NOT FOUND"))</f>
        <v/>
      </c>
      <c r="O678" s="13">
        <f>IF($M678="","",IFERROR(INDEX(Desig_Levels,MATCH($M678,Desig_Codes,0)),""))</f>
        <v/>
      </c>
      <c r="P678" s="12" t="n"/>
      <c r="Q678" s="12" t="n"/>
      <c r="R678" s="12" t="n"/>
      <c r="S678" s="13">
        <f>IF($R678="","",IFERROR(INDEX(Emp_Names,MATCH($R678,Emp_Codes,0)),"NOT FOUND"))</f>
        <v/>
      </c>
      <c r="T678" s="12" t="n"/>
      <c r="U678" s="12" t="n"/>
      <c r="V678" s="12" t="n"/>
    </row>
    <row r="679">
      <c r="A679" s="12" t="n"/>
      <c r="B679" s="12" t="n"/>
      <c r="C679" s="12" t="n"/>
      <c r="D679" s="13">
        <f>IF($A679="","",TRIM($B679&amp;" "&amp;$C679))</f>
        <v/>
      </c>
      <c r="E679" s="12" t="n"/>
      <c r="F679" s="12" t="n"/>
      <c r="G679" s="14" t="n"/>
      <c r="H679" s="14" t="n"/>
      <c r="I679" s="12" t="n"/>
      <c r="J679" s="14" t="n"/>
      <c r="K679" s="12" t="n"/>
      <c r="L679" s="13">
        <f>IF($K679="","",IFERROR(INDEX(Dept_Names,MATCH($K679,Dept_Codes,0)),"NOT FOUND"))</f>
        <v/>
      </c>
      <c r="M679" s="12" t="n"/>
      <c r="N679" s="13">
        <f>IF($M679="","",IFERROR(INDEX(Desig_Names,MATCH($M679,Desig_Codes,0)),"NOT FOUND"))</f>
        <v/>
      </c>
      <c r="O679" s="13">
        <f>IF($M679="","",IFERROR(INDEX(Desig_Levels,MATCH($M679,Desig_Codes,0)),""))</f>
        <v/>
      </c>
      <c r="P679" s="12" t="n"/>
      <c r="Q679" s="12" t="n"/>
      <c r="R679" s="12" t="n"/>
      <c r="S679" s="13">
        <f>IF($R679="","",IFERROR(INDEX(Emp_Names,MATCH($R679,Emp_Codes,0)),"NOT FOUND"))</f>
        <v/>
      </c>
      <c r="T679" s="12" t="n"/>
      <c r="U679" s="12" t="n"/>
      <c r="V679" s="12" t="n"/>
    </row>
    <row r="680">
      <c r="A680" s="12" t="n"/>
      <c r="B680" s="12" t="n"/>
      <c r="C680" s="12" t="n"/>
      <c r="D680" s="13">
        <f>IF($A680="","",TRIM($B680&amp;" "&amp;$C680))</f>
        <v/>
      </c>
      <c r="E680" s="12" t="n"/>
      <c r="F680" s="12" t="n"/>
      <c r="G680" s="14" t="n"/>
      <c r="H680" s="14" t="n"/>
      <c r="I680" s="12" t="n"/>
      <c r="J680" s="14" t="n"/>
      <c r="K680" s="12" t="n"/>
      <c r="L680" s="13">
        <f>IF($K680="","",IFERROR(INDEX(Dept_Names,MATCH($K680,Dept_Codes,0)),"NOT FOUND"))</f>
        <v/>
      </c>
      <c r="M680" s="12" t="n"/>
      <c r="N680" s="13">
        <f>IF($M680="","",IFERROR(INDEX(Desig_Names,MATCH($M680,Desig_Codes,0)),"NOT FOUND"))</f>
        <v/>
      </c>
      <c r="O680" s="13">
        <f>IF($M680="","",IFERROR(INDEX(Desig_Levels,MATCH($M680,Desig_Codes,0)),""))</f>
        <v/>
      </c>
      <c r="P680" s="12" t="n"/>
      <c r="Q680" s="12" t="n"/>
      <c r="R680" s="12" t="n"/>
      <c r="S680" s="13">
        <f>IF($R680="","",IFERROR(INDEX(Emp_Names,MATCH($R680,Emp_Codes,0)),"NOT FOUND"))</f>
        <v/>
      </c>
      <c r="T680" s="12" t="n"/>
      <c r="U680" s="12" t="n"/>
      <c r="V680" s="12" t="n"/>
    </row>
    <row r="681">
      <c r="A681" s="12" t="n"/>
      <c r="B681" s="12" t="n"/>
      <c r="C681" s="12" t="n"/>
      <c r="D681" s="13">
        <f>IF($A681="","",TRIM($B681&amp;" "&amp;$C681))</f>
        <v/>
      </c>
      <c r="E681" s="12" t="n"/>
      <c r="F681" s="12" t="n"/>
      <c r="G681" s="14" t="n"/>
      <c r="H681" s="14" t="n"/>
      <c r="I681" s="12" t="n"/>
      <c r="J681" s="14" t="n"/>
      <c r="K681" s="12" t="n"/>
      <c r="L681" s="13">
        <f>IF($K681="","",IFERROR(INDEX(Dept_Names,MATCH($K681,Dept_Codes,0)),"NOT FOUND"))</f>
        <v/>
      </c>
      <c r="M681" s="12" t="n"/>
      <c r="N681" s="13">
        <f>IF($M681="","",IFERROR(INDEX(Desig_Names,MATCH($M681,Desig_Codes,0)),"NOT FOUND"))</f>
        <v/>
      </c>
      <c r="O681" s="13">
        <f>IF($M681="","",IFERROR(INDEX(Desig_Levels,MATCH($M681,Desig_Codes,0)),""))</f>
        <v/>
      </c>
      <c r="P681" s="12" t="n"/>
      <c r="Q681" s="12" t="n"/>
      <c r="R681" s="12" t="n"/>
      <c r="S681" s="13">
        <f>IF($R681="","",IFERROR(INDEX(Emp_Names,MATCH($R681,Emp_Codes,0)),"NOT FOUND"))</f>
        <v/>
      </c>
      <c r="T681" s="12" t="n"/>
      <c r="U681" s="12" t="n"/>
      <c r="V681" s="12" t="n"/>
    </row>
    <row r="682">
      <c r="A682" s="12" t="n"/>
      <c r="B682" s="12" t="n"/>
      <c r="C682" s="12" t="n"/>
      <c r="D682" s="13">
        <f>IF($A682="","",TRIM($B682&amp;" "&amp;$C682))</f>
        <v/>
      </c>
      <c r="E682" s="12" t="n"/>
      <c r="F682" s="12" t="n"/>
      <c r="G682" s="14" t="n"/>
      <c r="H682" s="14" t="n"/>
      <c r="I682" s="12" t="n"/>
      <c r="J682" s="14" t="n"/>
      <c r="K682" s="12" t="n"/>
      <c r="L682" s="13">
        <f>IF($K682="","",IFERROR(INDEX(Dept_Names,MATCH($K682,Dept_Codes,0)),"NOT FOUND"))</f>
        <v/>
      </c>
      <c r="M682" s="12" t="n"/>
      <c r="N682" s="13">
        <f>IF($M682="","",IFERROR(INDEX(Desig_Names,MATCH($M682,Desig_Codes,0)),"NOT FOUND"))</f>
        <v/>
      </c>
      <c r="O682" s="13">
        <f>IF($M682="","",IFERROR(INDEX(Desig_Levels,MATCH($M682,Desig_Codes,0)),""))</f>
        <v/>
      </c>
      <c r="P682" s="12" t="n"/>
      <c r="Q682" s="12" t="n"/>
      <c r="R682" s="12" t="n"/>
      <c r="S682" s="13">
        <f>IF($R682="","",IFERROR(INDEX(Emp_Names,MATCH($R682,Emp_Codes,0)),"NOT FOUND"))</f>
        <v/>
      </c>
      <c r="T682" s="12" t="n"/>
      <c r="U682" s="12" t="n"/>
      <c r="V682" s="12" t="n"/>
    </row>
    <row r="683">
      <c r="A683" s="12" t="n"/>
      <c r="B683" s="12" t="n"/>
      <c r="C683" s="12" t="n"/>
      <c r="D683" s="13">
        <f>IF($A683="","",TRIM($B683&amp;" "&amp;$C683))</f>
        <v/>
      </c>
      <c r="E683" s="12" t="n"/>
      <c r="F683" s="12" t="n"/>
      <c r="G683" s="14" t="n"/>
      <c r="H683" s="14" t="n"/>
      <c r="I683" s="12" t="n"/>
      <c r="J683" s="14" t="n"/>
      <c r="K683" s="12" t="n"/>
      <c r="L683" s="13">
        <f>IF($K683="","",IFERROR(INDEX(Dept_Names,MATCH($K683,Dept_Codes,0)),"NOT FOUND"))</f>
        <v/>
      </c>
      <c r="M683" s="12" t="n"/>
      <c r="N683" s="13">
        <f>IF($M683="","",IFERROR(INDEX(Desig_Names,MATCH($M683,Desig_Codes,0)),"NOT FOUND"))</f>
        <v/>
      </c>
      <c r="O683" s="13">
        <f>IF($M683="","",IFERROR(INDEX(Desig_Levels,MATCH($M683,Desig_Codes,0)),""))</f>
        <v/>
      </c>
      <c r="P683" s="12" t="n"/>
      <c r="Q683" s="12" t="n"/>
      <c r="R683" s="12" t="n"/>
      <c r="S683" s="13">
        <f>IF($R683="","",IFERROR(INDEX(Emp_Names,MATCH($R683,Emp_Codes,0)),"NOT FOUND"))</f>
        <v/>
      </c>
      <c r="T683" s="12" t="n"/>
      <c r="U683" s="12" t="n"/>
      <c r="V683" s="12" t="n"/>
    </row>
    <row r="684">
      <c r="A684" s="12" t="n"/>
      <c r="B684" s="12" t="n"/>
      <c r="C684" s="12" t="n"/>
      <c r="D684" s="13">
        <f>IF($A684="","",TRIM($B684&amp;" "&amp;$C684))</f>
        <v/>
      </c>
      <c r="E684" s="12" t="n"/>
      <c r="F684" s="12" t="n"/>
      <c r="G684" s="14" t="n"/>
      <c r="H684" s="14" t="n"/>
      <c r="I684" s="12" t="n"/>
      <c r="J684" s="14" t="n"/>
      <c r="K684" s="12" t="n"/>
      <c r="L684" s="13">
        <f>IF($K684="","",IFERROR(INDEX(Dept_Names,MATCH($K684,Dept_Codes,0)),"NOT FOUND"))</f>
        <v/>
      </c>
      <c r="M684" s="12" t="n"/>
      <c r="N684" s="13">
        <f>IF($M684="","",IFERROR(INDEX(Desig_Names,MATCH($M684,Desig_Codes,0)),"NOT FOUND"))</f>
        <v/>
      </c>
      <c r="O684" s="13">
        <f>IF($M684="","",IFERROR(INDEX(Desig_Levels,MATCH($M684,Desig_Codes,0)),""))</f>
        <v/>
      </c>
      <c r="P684" s="12" t="n"/>
      <c r="Q684" s="12" t="n"/>
      <c r="R684" s="12" t="n"/>
      <c r="S684" s="13">
        <f>IF($R684="","",IFERROR(INDEX(Emp_Names,MATCH($R684,Emp_Codes,0)),"NOT FOUND"))</f>
        <v/>
      </c>
      <c r="T684" s="12" t="n"/>
      <c r="U684" s="12" t="n"/>
      <c r="V684" s="12" t="n"/>
    </row>
    <row r="685">
      <c r="A685" s="12" t="n"/>
      <c r="B685" s="12" t="n"/>
      <c r="C685" s="12" t="n"/>
      <c r="D685" s="13">
        <f>IF($A685="","",TRIM($B685&amp;" "&amp;$C685))</f>
        <v/>
      </c>
      <c r="E685" s="12" t="n"/>
      <c r="F685" s="12" t="n"/>
      <c r="G685" s="14" t="n"/>
      <c r="H685" s="14" t="n"/>
      <c r="I685" s="12" t="n"/>
      <c r="J685" s="14" t="n"/>
      <c r="K685" s="12" t="n"/>
      <c r="L685" s="13">
        <f>IF($K685="","",IFERROR(INDEX(Dept_Names,MATCH($K685,Dept_Codes,0)),"NOT FOUND"))</f>
        <v/>
      </c>
      <c r="M685" s="12" t="n"/>
      <c r="N685" s="13">
        <f>IF($M685="","",IFERROR(INDEX(Desig_Names,MATCH($M685,Desig_Codes,0)),"NOT FOUND"))</f>
        <v/>
      </c>
      <c r="O685" s="13">
        <f>IF($M685="","",IFERROR(INDEX(Desig_Levels,MATCH($M685,Desig_Codes,0)),""))</f>
        <v/>
      </c>
      <c r="P685" s="12" t="n"/>
      <c r="Q685" s="12" t="n"/>
      <c r="R685" s="12" t="n"/>
      <c r="S685" s="13">
        <f>IF($R685="","",IFERROR(INDEX(Emp_Names,MATCH($R685,Emp_Codes,0)),"NOT FOUND"))</f>
        <v/>
      </c>
      <c r="T685" s="12" t="n"/>
      <c r="U685" s="12" t="n"/>
      <c r="V685" s="12" t="n"/>
    </row>
    <row r="686">
      <c r="A686" s="12" t="n"/>
      <c r="B686" s="12" t="n"/>
      <c r="C686" s="12" t="n"/>
      <c r="D686" s="13">
        <f>IF($A686="","",TRIM($B686&amp;" "&amp;$C686))</f>
        <v/>
      </c>
      <c r="E686" s="12" t="n"/>
      <c r="F686" s="12" t="n"/>
      <c r="G686" s="14" t="n"/>
      <c r="H686" s="14" t="n"/>
      <c r="I686" s="12" t="n"/>
      <c r="J686" s="14" t="n"/>
      <c r="K686" s="12" t="n"/>
      <c r="L686" s="13">
        <f>IF($K686="","",IFERROR(INDEX(Dept_Names,MATCH($K686,Dept_Codes,0)),"NOT FOUND"))</f>
        <v/>
      </c>
      <c r="M686" s="12" t="n"/>
      <c r="N686" s="13">
        <f>IF($M686="","",IFERROR(INDEX(Desig_Names,MATCH($M686,Desig_Codes,0)),"NOT FOUND"))</f>
        <v/>
      </c>
      <c r="O686" s="13">
        <f>IF($M686="","",IFERROR(INDEX(Desig_Levels,MATCH($M686,Desig_Codes,0)),""))</f>
        <v/>
      </c>
      <c r="P686" s="12" t="n"/>
      <c r="Q686" s="12" t="n"/>
      <c r="R686" s="12" t="n"/>
      <c r="S686" s="13">
        <f>IF($R686="","",IFERROR(INDEX(Emp_Names,MATCH($R686,Emp_Codes,0)),"NOT FOUND"))</f>
        <v/>
      </c>
      <c r="T686" s="12" t="n"/>
      <c r="U686" s="12" t="n"/>
      <c r="V686" s="12" t="n"/>
    </row>
    <row r="687">
      <c r="A687" s="12" t="n"/>
      <c r="B687" s="12" t="n"/>
      <c r="C687" s="12" t="n"/>
      <c r="D687" s="13">
        <f>IF($A687="","",TRIM($B687&amp;" "&amp;$C687))</f>
        <v/>
      </c>
      <c r="E687" s="12" t="n"/>
      <c r="F687" s="12" t="n"/>
      <c r="G687" s="14" t="n"/>
      <c r="H687" s="14" t="n"/>
      <c r="I687" s="12" t="n"/>
      <c r="J687" s="14" t="n"/>
      <c r="K687" s="12" t="n"/>
      <c r="L687" s="13">
        <f>IF($K687="","",IFERROR(INDEX(Dept_Names,MATCH($K687,Dept_Codes,0)),"NOT FOUND"))</f>
        <v/>
      </c>
      <c r="M687" s="12" t="n"/>
      <c r="N687" s="13">
        <f>IF($M687="","",IFERROR(INDEX(Desig_Names,MATCH($M687,Desig_Codes,0)),"NOT FOUND"))</f>
        <v/>
      </c>
      <c r="O687" s="13">
        <f>IF($M687="","",IFERROR(INDEX(Desig_Levels,MATCH($M687,Desig_Codes,0)),""))</f>
        <v/>
      </c>
      <c r="P687" s="12" t="n"/>
      <c r="Q687" s="12" t="n"/>
      <c r="R687" s="12" t="n"/>
      <c r="S687" s="13">
        <f>IF($R687="","",IFERROR(INDEX(Emp_Names,MATCH($R687,Emp_Codes,0)),"NOT FOUND"))</f>
        <v/>
      </c>
      <c r="T687" s="12" t="n"/>
      <c r="U687" s="12" t="n"/>
      <c r="V687" s="12" t="n"/>
    </row>
    <row r="688">
      <c r="A688" s="12" t="n"/>
      <c r="B688" s="12" t="n"/>
      <c r="C688" s="12" t="n"/>
      <c r="D688" s="13">
        <f>IF($A688="","",TRIM($B688&amp;" "&amp;$C688))</f>
        <v/>
      </c>
      <c r="E688" s="12" t="n"/>
      <c r="F688" s="12" t="n"/>
      <c r="G688" s="14" t="n"/>
      <c r="H688" s="14" t="n"/>
      <c r="I688" s="12" t="n"/>
      <c r="J688" s="14" t="n"/>
      <c r="K688" s="12" t="n"/>
      <c r="L688" s="13">
        <f>IF($K688="","",IFERROR(INDEX(Dept_Names,MATCH($K688,Dept_Codes,0)),"NOT FOUND"))</f>
        <v/>
      </c>
      <c r="M688" s="12" t="n"/>
      <c r="N688" s="13">
        <f>IF($M688="","",IFERROR(INDEX(Desig_Names,MATCH($M688,Desig_Codes,0)),"NOT FOUND"))</f>
        <v/>
      </c>
      <c r="O688" s="13">
        <f>IF($M688="","",IFERROR(INDEX(Desig_Levels,MATCH($M688,Desig_Codes,0)),""))</f>
        <v/>
      </c>
      <c r="P688" s="12" t="n"/>
      <c r="Q688" s="12" t="n"/>
      <c r="R688" s="12" t="n"/>
      <c r="S688" s="13">
        <f>IF($R688="","",IFERROR(INDEX(Emp_Names,MATCH($R688,Emp_Codes,0)),"NOT FOUND"))</f>
        <v/>
      </c>
      <c r="T688" s="12" t="n"/>
      <c r="U688" s="12" t="n"/>
      <c r="V688" s="12" t="n"/>
    </row>
    <row r="689">
      <c r="A689" s="12" t="n"/>
      <c r="B689" s="12" t="n"/>
      <c r="C689" s="12" t="n"/>
      <c r="D689" s="13">
        <f>IF($A689="","",TRIM($B689&amp;" "&amp;$C689))</f>
        <v/>
      </c>
      <c r="E689" s="12" t="n"/>
      <c r="F689" s="12" t="n"/>
      <c r="G689" s="14" t="n"/>
      <c r="H689" s="14" t="n"/>
      <c r="I689" s="12" t="n"/>
      <c r="J689" s="14" t="n"/>
      <c r="K689" s="12" t="n"/>
      <c r="L689" s="13">
        <f>IF($K689="","",IFERROR(INDEX(Dept_Names,MATCH($K689,Dept_Codes,0)),"NOT FOUND"))</f>
        <v/>
      </c>
      <c r="M689" s="12" t="n"/>
      <c r="N689" s="13">
        <f>IF($M689="","",IFERROR(INDEX(Desig_Names,MATCH($M689,Desig_Codes,0)),"NOT FOUND"))</f>
        <v/>
      </c>
      <c r="O689" s="13">
        <f>IF($M689="","",IFERROR(INDEX(Desig_Levels,MATCH($M689,Desig_Codes,0)),""))</f>
        <v/>
      </c>
      <c r="P689" s="12" t="n"/>
      <c r="Q689" s="12" t="n"/>
      <c r="R689" s="12" t="n"/>
      <c r="S689" s="13">
        <f>IF($R689="","",IFERROR(INDEX(Emp_Names,MATCH($R689,Emp_Codes,0)),"NOT FOUND"))</f>
        <v/>
      </c>
      <c r="T689" s="12" t="n"/>
      <c r="U689" s="12" t="n"/>
      <c r="V689" s="12" t="n"/>
    </row>
    <row r="690">
      <c r="A690" s="12" t="n"/>
      <c r="B690" s="12" t="n"/>
      <c r="C690" s="12" t="n"/>
      <c r="D690" s="13">
        <f>IF($A690="","",TRIM($B690&amp;" "&amp;$C690))</f>
        <v/>
      </c>
      <c r="E690" s="12" t="n"/>
      <c r="F690" s="12" t="n"/>
      <c r="G690" s="14" t="n"/>
      <c r="H690" s="14" t="n"/>
      <c r="I690" s="12" t="n"/>
      <c r="J690" s="14" t="n"/>
      <c r="K690" s="12" t="n"/>
      <c r="L690" s="13">
        <f>IF($K690="","",IFERROR(INDEX(Dept_Names,MATCH($K690,Dept_Codes,0)),"NOT FOUND"))</f>
        <v/>
      </c>
      <c r="M690" s="12" t="n"/>
      <c r="N690" s="13">
        <f>IF($M690="","",IFERROR(INDEX(Desig_Names,MATCH($M690,Desig_Codes,0)),"NOT FOUND"))</f>
        <v/>
      </c>
      <c r="O690" s="13">
        <f>IF($M690="","",IFERROR(INDEX(Desig_Levels,MATCH($M690,Desig_Codes,0)),""))</f>
        <v/>
      </c>
      <c r="P690" s="12" t="n"/>
      <c r="Q690" s="12" t="n"/>
      <c r="R690" s="12" t="n"/>
      <c r="S690" s="13">
        <f>IF($R690="","",IFERROR(INDEX(Emp_Names,MATCH($R690,Emp_Codes,0)),"NOT FOUND"))</f>
        <v/>
      </c>
      <c r="T690" s="12" t="n"/>
      <c r="U690" s="12" t="n"/>
      <c r="V690" s="12" t="n"/>
    </row>
    <row r="691">
      <c r="A691" s="12" t="n"/>
      <c r="B691" s="12" t="n"/>
      <c r="C691" s="12" t="n"/>
      <c r="D691" s="13">
        <f>IF($A691="","",TRIM($B691&amp;" "&amp;$C691))</f>
        <v/>
      </c>
      <c r="E691" s="12" t="n"/>
      <c r="F691" s="12" t="n"/>
      <c r="G691" s="14" t="n"/>
      <c r="H691" s="14" t="n"/>
      <c r="I691" s="12" t="n"/>
      <c r="J691" s="14" t="n"/>
      <c r="K691" s="12" t="n"/>
      <c r="L691" s="13">
        <f>IF($K691="","",IFERROR(INDEX(Dept_Names,MATCH($K691,Dept_Codes,0)),"NOT FOUND"))</f>
        <v/>
      </c>
      <c r="M691" s="12" t="n"/>
      <c r="N691" s="13">
        <f>IF($M691="","",IFERROR(INDEX(Desig_Names,MATCH($M691,Desig_Codes,0)),"NOT FOUND"))</f>
        <v/>
      </c>
      <c r="O691" s="13">
        <f>IF($M691="","",IFERROR(INDEX(Desig_Levels,MATCH($M691,Desig_Codes,0)),""))</f>
        <v/>
      </c>
      <c r="P691" s="12" t="n"/>
      <c r="Q691" s="12" t="n"/>
      <c r="R691" s="12" t="n"/>
      <c r="S691" s="13">
        <f>IF($R691="","",IFERROR(INDEX(Emp_Names,MATCH($R691,Emp_Codes,0)),"NOT FOUND"))</f>
        <v/>
      </c>
      <c r="T691" s="12" t="n"/>
      <c r="U691" s="12" t="n"/>
      <c r="V691" s="12" t="n"/>
    </row>
    <row r="692">
      <c r="A692" s="12" t="n"/>
      <c r="B692" s="12" t="n"/>
      <c r="C692" s="12" t="n"/>
      <c r="D692" s="13">
        <f>IF($A692="","",TRIM($B692&amp;" "&amp;$C692))</f>
        <v/>
      </c>
      <c r="E692" s="12" t="n"/>
      <c r="F692" s="12" t="n"/>
      <c r="G692" s="14" t="n"/>
      <c r="H692" s="14" t="n"/>
      <c r="I692" s="12" t="n"/>
      <c r="J692" s="14" t="n"/>
      <c r="K692" s="12" t="n"/>
      <c r="L692" s="13">
        <f>IF($K692="","",IFERROR(INDEX(Dept_Names,MATCH($K692,Dept_Codes,0)),"NOT FOUND"))</f>
        <v/>
      </c>
      <c r="M692" s="12" t="n"/>
      <c r="N692" s="13">
        <f>IF($M692="","",IFERROR(INDEX(Desig_Names,MATCH($M692,Desig_Codes,0)),"NOT FOUND"))</f>
        <v/>
      </c>
      <c r="O692" s="13">
        <f>IF($M692="","",IFERROR(INDEX(Desig_Levels,MATCH($M692,Desig_Codes,0)),""))</f>
        <v/>
      </c>
      <c r="P692" s="12" t="n"/>
      <c r="Q692" s="12" t="n"/>
      <c r="R692" s="12" t="n"/>
      <c r="S692" s="13">
        <f>IF($R692="","",IFERROR(INDEX(Emp_Names,MATCH($R692,Emp_Codes,0)),"NOT FOUND"))</f>
        <v/>
      </c>
      <c r="T692" s="12" t="n"/>
      <c r="U692" s="12" t="n"/>
      <c r="V692" s="12" t="n"/>
    </row>
    <row r="693">
      <c r="A693" s="12" t="n"/>
      <c r="B693" s="12" t="n"/>
      <c r="C693" s="12" t="n"/>
      <c r="D693" s="13">
        <f>IF($A693="","",TRIM($B693&amp;" "&amp;$C693))</f>
        <v/>
      </c>
      <c r="E693" s="12" t="n"/>
      <c r="F693" s="12" t="n"/>
      <c r="G693" s="14" t="n"/>
      <c r="H693" s="14" t="n"/>
      <c r="I693" s="12" t="n"/>
      <c r="J693" s="14" t="n"/>
      <c r="K693" s="12" t="n"/>
      <c r="L693" s="13">
        <f>IF($K693="","",IFERROR(INDEX(Dept_Names,MATCH($K693,Dept_Codes,0)),"NOT FOUND"))</f>
        <v/>
      </c>
      <c r="M693" s="12" t="n"/>
      <c r="N693" s="13">
        <f>IF($M693="","",IFERROR(INDEX(Desig_Names,MATCH($M693,Desig_Codes,0)),"NOT FOUND"))</f>
        <v/>
      </c>
      <c r="O693" s="13">
        <f>IF($M693="","",IFERROR(INDEX(Desig_Levels,MATCH($M693,Desig_Codes,0)),""))</f>
        <v/>
      </c>
      <c r="P693" s="12" t="n"/>
      <c r="Q693" s="12" t="n"/>
      <c r="R693" s="12" t="n"/>
      <c r="S693" s="13">
        <f>IF($R693="","",IFERROR(INDEX(Emp_Names,MATCH($R693,Emp_Codes,0)),"NOT FOUND"))</f>
        <v/>
      </c>
      <c r="T693" s="12" t="n"/>
      <c r="U693" s="12" t="n"/>
      <c r="V693" s="12" t="n"/>
    </row>
    <row r="694">
      <c r="A694" s="12" t="n"/>
      <c r="B694" s="12" t="n"/>
      <c r="C694" s="12" t="n"/>
      <c r="D694" s="13">
        <f>IF($A694="","",TRIM($B694&amp;" "&amp;$C694))</f>
        <v/>
      </c>
      <c r="E694" s="12" t="n"/>
      <c r="F694" s="12" t="n"/>
      <c r="G694" s="14" t="n"/>
      <c r="H694" s="14" t="n"/>
      <c r="I694" s="12" t="n"/>
      <c r="J694" s="14" t="n"/>
      <c r="K694" s="12" t="n"/>
      <c r="L694" s="13">
        <f>IF($K694="","",IFERROR(INDEX(Dept_Names,MATCH($K694,Dept_Codes,0)),"NOT FOUND"))</f>
        <v/>
      </c>
      <c r="M694" s="12" t="n"/>
      <c r="N694" s="13">
        <f>IF($M694="","",IFERROR(INDEX(Desig_Names,MATCH($M694,Desig_Codes,0)),"NOT FOUND"))</f>
        <v/>
      </c>
      <c r="O694" s="13">
        <f>IF($M694="","",IFERROR(INDEX(Desig_Levels,MATCH($M694,Desig_Codes,0)),""))</f>
        <v/>
      </c>
      <c r="P694" s="12" t="n"/>
      <c r="Q694" s="12" t="n"/>
      <c r="R694" s="12" t="n"/>
      <c r="S694" s="13">
        <f>IF($R694="","",IFERROR(INDEX(Emp_Names,MATCH($R694,Emp_Codes,0)),"NOT FOUND"))</f>
        <v/>
      </c>
      <c r="T694" s="12" t="n"/>
      <c r="U694" s="12" t="n"/>
      <c r="V694" s="12" t="n"/>
    </row>
    <row r="695">
      <c r="A695" s="12" t="n"/>
      <c r="B695" s="12" t="n"/>
      <c r="C695" s="12" t="n"/>
      <c r="D695" s="13">
        <f>IF($A695="","",TRIM($B695&amp;" "&amp;$C695))</f>
        <v/>
      </c>
      <c r="E695" s="12" t="n"/>
      <c r="F695" s="12" t="n"/>
      <c r="G695" s="14" t="n"/>
      <c r="H695" s="14" t="n"/>
      <c r="I695" s="12" t="n"/>
      <c r="J695" s="14" t="n"/>
      <c r="K695" s="12" t="n"/>
      <c r="L695" s="13">
        <f>IF($K695="","",IFERROR(INDEX(Dept_Names,MATCH($K695,Dept_Codes,0)),"NOT FOUND"))</f>
        <v/>
      </c>
      <c r="M695" s="12" t="n"/>
      <c r="N695" s="13">
        <f>IF($M695="","",IFERROR(INDEX(Desig_Names,MATCH($M695,Desig_Codes,0)),"NOT FOUND"))</f>
        <v/>
      </c>
      <c r="O695" s="13">
        <f>IF($M695="","",IFERROR(INDEX(Desig_Levels,MATCH($M695,Desig_Codes,0)),""))</f>
        <v/>
      </c>
      <c r="P695" s="12" t="n"/>
      <c r="Q695" s="12" t="n"/>
      <c r="R695" s="12" t="n"/>
      <c r="S695" s="13">
        <f>IF($R695="","",IFERROR(INDEX(Emp_Names,MATCH($R695,Emp_Codes,0)),"NOT FOUND"))</f>
        <v/>
      </c>
      <c r="T695" s="12" t="n"/>
      <c r="U695" s="12" t="n"/>
      <c r="V695" s="12" t="n"/>
    </row>
    <row r="696">
      <c r="A696" s="12" t="n"/>
      <c r="B696" s="12" t="n"/>
      <c r="C696" s="12" t="n"/>
      <c r="D696" s="13">
        <f>IF($A696="","",TRIM($B696&amp;" "&amp;$C696))</f>
        <v/>
      </c>
      <c r="E696" s="12" t="n"/>
      <c r="F696" s="12" t="n"/>
      <c r="G696" s="14" t="n"/>
      <c r="H696" s="14" t="n"/>
      <c r="I696" s="12" t="n"/>
      <c r="J696" s="14" t="n"/>
      <c r="K696" s="12" t="n"/>
      <c r="L696" s="13">
        <f>IF($K696="","",IFERROR(INDEX(Dept_Names,MATCH($K696,Dept_Codes,0)),"NOT FOUND"))</f>
        <v/>
      </c>
      <c r="M696" s="12" t="n"/>
      <c r="N696" s="13">
        <f>IF($M696="","",IFERROR(INDEX(Desig_Names,MATCH($M696,Desig_Codes,0)),"NOT FOUND"))</f>
        <v/>
      </c>
      <c r="O696" s="13">
        <f>IF($M696="","",IFERROR(INDEX(Desig_Levels,MATCH($M696,Desig_Codes,0)),""))</f>
        <v/>
      </c>
      <c r="P696" s="12" t="n"/>
      <c r="Q696" s="12" t="n"/>
      <c r="R696" s="12" t="n"/>
      <c r="S696" s="13">
        <f>IF($R696="","",IFERROR(INDEX(Emp_Names,MATCH($R696,Emp_Codes,0)),"NOT FOUND"))</f>
        <v/>
      </c>
      <c r="T696" s="12" t="n"/>
      <c r="U696" s="12" t="n"/>
      <c r="V696" s="12" t="n"/>
    </row>
    <row r="697">
      <c r="A697" s="12" t="n"/>
      <c r="B697" s="12" t="n"/>
      <c r="C697" s="12" t="n"/>
      <c r="D697" s="13">
        <f>IF($A697="","",TRIM($B697&amp;" "&amp;$C697))</f>
        <v/>
      </c>
      <c r="E697" s="12" t="n"/>
      <c r="F697" s="12" t="n"/>
      <c r="G697" s="14" t="n"/>
      <c r="H697" s="14" t="n"/>
      <c r="I697" s="12" t="n"/>
      <c r="J697" s="14" t="n"/>
      <c r="K697" s="12" t="n"/>
      <c r="L697" s="13">
        <f>IF($K697="","",IFERROR(INDEX(Dept_Names,MATCH($K697,Dept_Codes,0)),"NOT FOUND"))</f>
        <v/>
      </c>
      <c r="M697" s="12" t="n"/>
      <c r="N697" s="13">
        <f>IF($M697="","",IFERROR(INDEX(Desig_Names,MATCH($M697,Desig_Codes,0)),"NOT FOUND"))</f>
        <v/>
      </c>
      <c r="O697" s="13">
        <f>IF($M697="","",IFERROR(INDEX(Desig_Levels,MATCH($M697,Desig_Codes,0)),""))</f>
        <v/>
      </c>
      <c r="P697" s="12" t="n"/>
      <c r="Q697" s="12" t="n"/>
      <c r="R697" s="12" t="n"/>
      <c r="S697" s="13">
        <f>IF($R697="","",IFERROR(INDEX(Emp_Names,MATCH($R697,Emp_Codes,0)),"NOT FOUND"))</f>
        <v/>
      </c>
      <c r="T697" s="12" t="n"/>
      <c r="U697" s="12" t="n"/>
      <c r="V697" s="12" t="n"/>
    </row>
    <row r="698">
      <c r="A698" s="12" t="n"/>
      <c r="B698" s="12" t="n"/>
      <c r="C698" s="12" t="n"/>
      <c r="D698" s="13">
        <f>IF($A698="","",TRIM($B698&amp;" "&amp;$C698))</f>
        <v/>
      </c>
      <c r="E698" s="12" t="n"/>
      <c r="F698" s="12" t="n"/>
      <c r="G698" s="14" t="n"/>
      <c r="H698" s="14" t="n"/>
      <c r="I698" s="12" t="n"/>
      <c r="J698" s="14" t="n"/>
      <c r="K698" s="12" t="n"/>
      <c r="L698" s="13">
        <f>IF($K698="","",IFERROR(INDEX(Dept_Names,MATCH($K698,Dept_Codes,0)),"NOT FOUND"))</f>
        <v/>
      </c>
      <c r="M698" s="12" t="n"/>
      <c r="N698" s="13">
        <f>IF($M698="","",IFERROR(INDEX(Desig_Names,MATCH($M698,Desig_Codes,0)),"NOT FOUND"))</f>
        <v/>
      </c>
      <c r="O698" s="13">
        <f>IF($M698="","",IFERROR(INDEX(Desig_Levels,MATCH($M698,Desig_Codes,0)),""))</f>
        <v/>
      </c>
      <c r="P698" s="12" t="n"/>
      <c r="Q698" s="12" t="n"/>
      <c r="R698" s="12" t="n"/>
      <c r="S698" s="13">
        <f>IF($R698="","",IFERROR(INDEX(Emp_Names,MATCH($R698,Emp_Codes,0)),"NOT FOUND"))</f>
        <v/>
      </c>
      <c r="T698" s="12" t="n"/>
      <c r="U698" s="12" t="n"/>
      <c r="V698" s="12" t="n"/>
    </row>
    <row r="699">
      <c r="A699" s="12" t="n"/>
      <c r="B699" s="12" t="n"/>
      <c r="C699" s="12" t="n"/>
      <c r="D699" s="13">
        <f>IF($A699="","",TRIM($B699&amp;" "&amp;$C699))</f>
        <v/>
      </c>
      <c r="E699" s="12" t="n"/>
      <c r="F699" s="12" t="n"/>
      <c r="G699" s="14" t="n"/>
      <c r="H699" s="14" t="n"/>
      <c r="I699" s="12" t="n"/>
      <c r="J699" s="14" t="n"/>
      <c r="K699" s="12" t="n"/>
      <c r="L699" s="13">
        <f>IF($K699="","",IFERROR(INDEX(Dept_Names,MATCH($K699,Dept_Codes,0)),"NOT FOUND"))</f>
        <v/>
      </c>
      <c r="M699" s="12" t="n"/>
      <c r="N699" s="13">
        <f>IF($M699="","",IFERROR(INDEX(Desig_Names,MATCH($M699,Desig_Codes,0)),"NOT FOUND"))</f>
        <v/>
      </c>
      <c r="O699" s="13">
        <f>IF($M699="","",IFERROR(INDEX(Desig_Levels,MATCH($M699,Desig_Codes,0)),""))</f>
        <v/>
      </c>
      <c r="P699" s="12" t="n"/>
      <c r="Q699" s="12" t="n"/>
      <c r="R699" s="12" t="n"/>
      <c r="S699" s="13">
        <f>IF($R699="","",IFERROR(INDEX(Emp_Names,MATCH($R699,Emp_Codes,0)),"NOT FOUND"))</f>
        <v/>
      </c>
      <c r="T699" s="12" t="n"/>
      <c r="U699" s="12" t="n"/>
      <c r="V699" s="12" t="n"/>
    </row>
    <row r="700">
      <c r="A700" s="12" t="n"/>
      <c r="B700" s="12" t="n"/>
      <c r="C700" s="12" t="n"/>
      <c r="D700" s="13">
        <f>IF($A700="","",TRIM($B700&amp;" "&amp;$C700))</f>
        <v/>
      </c>
      <c r="E700" s="12" t="n"/>
      <c r="F700" s="12" t="n"/>
      <c r="G700" s="14" t="n"/>
      <c r="H700" s="14" t="n"/>
      <c r="I700" s="12" t="n"/>
      <c r="J700" s="14" t="n"/>
      <c r="K700" s="12" t="n"/>
      <c r="L700" s="13">
        <f>IF($K700="","",IFERROR(INDEX(Dept_Names,MATCH($K700,Dept_Codes,0)),"NOT FOUND"))</f>
        <v/>
      </c>
      <c r="M700" s="12" t="n"/>
      <c r="N700" s="13">
        <f>IF($M700="","",IFERROR(INDEX(Desig_Names,MATCH($M700,Desig_Codes,0)),"NOT FOUND"))</f>
        <v/>
      </c>
      <c r="O700" s="13">
        <f>IF($M700="","",IFERROR(INDEX(Desig_Levels,MATCH($M700,Desig_Codes,0)),""))</f>
        <v/>
      </c>
      <c r="P700" s="12" t="n"/>
      <c r="Q700" s="12" t="n"/>
      <c r="R700" s="12" t="n"/>
      <c r="S700" s="13">
        <f>IF($R700="","",IFERROR(INDEX(Emp_Names,MATCH($R700,Emp_Codes,0)),"NOT FOUND"))</f>
        <v/>
      </c>
      <c r="T700" s="12" t="n"/>
      <c r="U700" s="12" t="n"/>
      <c r="V700" s="12" t="n"/>
    </row>
    <row r="701">
      <c r="A701" s="12" t="n"/>
      <c r="B701" s="12" t="n"/>
      <c r="C701" s="12" t="n"/>
      <c r="D701" s="13">
        <f>IF($A701="","",TRIM($B701&amp;" "&amp;$C701))</f>
        <v/>
      </c>
      <c r="E701" s="12" t="n"/>
      <c r="F701" s="12" t="n"/>
      <c r="G701" s="14" t="n"/>
      <c r="H701" s="14" t="n"/>
      <c r="I701" s="12" t="n"/>
      <c r="J701" s="14" t="n"/>
      <c r="K701" s="12" t="n"/>
      <c r="L701" s="13">
        <f>IF($K701="","",IFERROR(INDEX(Dept_Names,MATCH($K701,Dept_Codes,0)),"NOT FOUND"))</f>
        <v/>
      </c>
      <c r="M701" s="12" t="n"/>
      <c r="N701" s="13">
        <f>IF($M701="","",IFERROR(INDEX(Desig_Names,MATCH($M701,Desig_Codes,0)),"NOT FOUND"))</f>
        <v/>
      </c>
      <c r="O701" s="13">
        <f>IF($M701="","",IFERROR(INDEX(Desig_Levels,MATCH($M701,Desig_Codes,0)),""))</f>
        <v/>
      </c>
      <c r="P701" s="12" t="n"/>
      <c r="Q701" s="12" t="n"/>
      <c r="R701" s="12" t="n"/>
      <c r="S701" s="13">
        <f>IF($R701="","",IFERROR(INDEX(Emp_Names,MATCH($R701,Emp_Codes,0)),"NOT FOUND"))</f>
        <v/>
      </c>
      <c r="T701" s="12" t="n"/>
      <c r="U701" s="12" t="n"/>
      <c r="V701" s="12" t="n"/>
    </row>
    <row r="702">
      <c r="A702" s="12" t="n"/>
      <c r="B702" s="12" t="n"/>
      <c r="C702" s="12" t="n"/>
      <c r="D702" s="13">
        <f>IF($A702="","",TRIM($B702&amp;" "&amp;$C702))</f>
        <v/>
      </c>
      <c r="E702" s="12" t="n"/>
      <c r="F702" s="12" t="n"/>
      <c r="G702" s="14" t="n"/>
      <c r="H702" s="14" t="n"/>
      <c r="I702" s="12" t="n"/>
      <c r="J702" s="14" t="n"/>
      <c r="K702" s="12" t="n"/>
      <c r="L702" s="13">
        <f>IF($K702="","",IFERROR(INDEX(Dept_Names,MATCH($K702,Dept_Codes,0)),"NOT FOUND"))</f>
        <v/>
      </c>
      <c r="M702" s="12" t="n"/>
      <c r="N702" s="13">
        <f>IF($M702="","",IFERROR(INDEX(Desig_Names,MATCH($M702,Desig_Codes,0)),"NOT FOUND"))</f>
        <v/>
      </c>
      <c r="O702" s="13">
        <f>IF($M702="","",IFERROR(INDEX(Desig_Levels,MATCH($M702,Desig_Codes,0)),""))</f>
        <v/>
      </c>
      <c r="P702" s="12" t="n"/>
      <c r="Q702" s="12" t="n"/>
      <c r="R702" s="12" t="n"/>
      <c r="S702" s="13">
        <f>IF($R702="","",IFERROR(INDEX(Emp_Names,MATCH($R702,Emp_Codes,0)),"NOT FOUND"))</f>
        <v/>
      </c>
      <c r="T702" s="12" t="n"/>
      <c r="U702" s="12" t="n"/>
      <c r="V702" s="12" t="n"/>
    </row>
    <row r="703">
      <c r="A703" s="12" t="n"/>
      <c r="B703" s="12" t="n"/>
      <c r="C703" s="12" t="n"/>
      <c r="D703" s="13">
        <f>IF($A703="","",TRIM($B703&amp;" "&amp;$C703))</f>
        <v/>
      </c>
      <c r="E703" s="12" t="n"/>
      <c r="F703" s="12" t="n"/>
      <c r="G703" s="14" t="n"/>
      <c r="H703" s="14" t="n"/>
      <c r="I703" s="12" t="n"/>
      <c r="J703" s="14" t="n"/>
      <c r="K703" s="12" t="n"/>
      <c r="L703" s="13">
        <f>IF($K703="","",IFERROR(INDEX(Dept_Names,MATCH($K703,Dept_Codes,0)),"NOT FOUND"))</f>
        <v/>
      </c>
      <c r="M703" s="12" t="n"/>
      <c r="N703" s="13">
        <f>IF($M703="","",IFERROR(INDEX(Desig_Names,MATCH($M703,Desig_Codes,0)),"NOT FOUND"))</f>
        <v/>
      </c>
      <c r="O703" s="13">
        <f>IF($M703="","",IFERROR(INDEX(Desig_Levels,MATCH($M703,Desig_Codes,0)),""))</f>
        <v/>
      </c>
      <c r="P703" s="12" t="n"/>
      <c r="Q703" s="12" t="n"/>
      <c r="R703" s="12" t="n"/>
      <c r="S703" s="13">
        <f>IF($R703="","",IFERROR(INDEX(Emp_Names,MATCH($R703,Emp_Codes,0)),"NOT FOUND"))</f>
        <v/>
      </c>
      <c r="T703" s="12" t="n"/>
      <c r="U703" s="12" t="n"/>
      <c r="V703" s="12" t="n"/>
    </row>
    <row r="704">
      <c r="A704" s="12" t="n"/>
      <c r="B704" s="12" t="n"/>
      <c r="C704" s="12" t="n"/>
      <c r="D704" s="13">
        <f>IF($A704="","",TRIM($B704&amp;" "&amp;$C704))</f>
        <v/>
      </c>
      <c r="E704" s="12" t="n"/>
      <c r="F704" s="12" t="n"/>
      <c r="G704" s="14" t="n"/>
      <c r="H704" s="14" t="n"/>
      <c r="I704" s="12" t="n"/>
      <c r="J704" s="14" t="n"/>
      <c r="K704" s="12" t="n"/>
      <c r="L704" s="13">
        <f>IF($K704="","",IFERROR(INDEX(Dept_Names,MATCH($K704,Dept_Codes,0)),"NOT FOUND"))</f>
        <v/>
      </c>
      <c r="M704" s="12" t="n"/>
      <c r="N704" s="13">
        <f>IF($M704="","",IFERROR(INDEX(Desig_Names,MATCH($M704,Desig_Codes,0)),"NOT FOUND"))</f>
        <v/>
      </c>
      <c r="O704" s="13">
        <f>IF($M704="","",IFERROR(INDEX(Desig_Levels,MATCH($M704,Desig_Codes,0)),""))</f>
        <v/>
      </c>
      <c r="P704" s="12" t="n"/>
      <c r="Q704" s="12" t="n"/>
      <c r="R704" s="12" t="n"/>
      <c r="S704" s="13">
        <f>IF($R704="","",IFERROR(INDEX(Emp_Names,MATCH($R704,Emp_Codes,0)),"NOT FOUND"))</f>
        <v/>
      </c>
      <c r="T704" s="12" t="n"/>
      <c r="U704" s="12" t="n"/>
      <c r="V704" s="12" t="n"/>
    </row>
    <row r="705">
      <c r="A705" s="12" t="n"/>
      <c r="B705" s="12" t="n"/>
      <c r="C705" s="12" t="n"/>
      <c r="D705" s="13">
        <f>IF($A705="","",TRIM($B705&amp;" "&amp;$C705))</f>
        <v/>
      </c>
      <c r="E705" s="12" t="n"/>
      <c r="F705" s="12" t="n"/>
      <c r="G705" s="14" t="n"/>
      <c r="H705" s="14" t="n"/>
      <c r="I705" s="12" t="n"/>
      <c r="J705" s="14" t="n"/>
      <c r="K705" s="12" t="n"/>
      <c r="L705" s="13">
        <f>IF($K705="","",IFERROR(INDEX(Dept_Names,MATCH($K705,Dept_Codes,0)),"NOT FOUND"))</f>
        <v/>
      </c>
      <c r="M705" s="12" t="n"/>
      <c r="N705" s="13">
        <f>IF($M705="","",IFERROR(INDEX(Desig_Names,MATCH($M705,Desig_Codes,0)),"NOT FOUND"))</f>
        <v/>
      </c>
      <c r="O705" s="13">
        <f>IF($M705="","",IFERROR(INDEX(Desig_Levels,MATCH($M705,Desig_Codes,0)),""))</f>
        <v/>
      </c>
      <c r="P705" s="12" t="n"/>
      <c r="Q705" s="12" t="n"/>
      <c r="R705" s="12" t="n"/>
      <c r="S705" s="13">
        <f>IF($R705="","",IFERROR(INDEX(Emp_Names,MATCH($R705,Emp_Codes,0)),"NOT FOUND"))</f>
        <v/>
      </c>
      <c r="T705" s="12" t="n"/>
      <c r="U705" s="12" t="n"/>
      <c r="V705" s="12" t="n"/>
    </row>
    <row r="706">
      <c r="A706" s="12" t="n"/>
      <c r="B706" s="12" t="n"/>
      <c r="C706" s="12" t="n"/>
      <c r="D706" s="13">
        <f>IF($A706="","",TRIM($B706&amp;" "&amp;$C706))</f>
        <v/>
      </c>
      <c r="E706" s="12" t="n"/>
      <c r="F706" s="12" t="n"/>
      <c r="G706" s="14" t="n"/>
      <c r="H706" s="14" t="n"/>
      <c r="I706" s="12" t="n"/>
      <c r="J706" s="14" t="n"/>
      <c r="K706" s="12" t="n"/>
      <c r="L706" s="13">
        <f>IF($K706="","",IFERROR(INDEX(Dept_Names,MATCH($K706,Dept_Codes,0)),"NOT FOUND"))</f>
        <v/>
      </c>
      <c r="M706" s="12" t="n"/>
      <c r="N706" s="13">
        <f>IF($M706="","",IFERROR(INDEX(Desig_Names,MATCH($M706,Desig_Codes,0)),"NOT FOUND"))</f>
        <v/>
      </c>
      <c r="O706" s="13">
        <f>IF($M706="","",IFERROR(INDEX(Desig_Levels,MATCH($M706,Desig_Codes,0)),""))</f>
        <v/>
      </c>
      <c r="P706" s="12" t="n"/>
      <c r="Q706" s="12" t="n"/>
      <c r="R706" s="12" t="n"/>
      <c r="S706" s="13">
        <f>IF($R706="","",IFERROR(INDEX(Emp_Names,MATCH($R706,Emp_Codes,0)),"NOT FOUND"))</f>
        <v/>
      </c>
      <c r="T706" s="12" t="n"/>
      <c r="U706" s="12" t="n"/>
      <c r="V706" s="12" t="n"/>
    </row>
    <row r="707">
      <c r="A707" s="12" t="n"/>
      <c r="B707" s="12" t="n"/>
      <c r="C707" s="12" t="n"/>
      <c r="D707" s="13">
        <f>IF($A707="","",TRIM($B707&amp;" "&amp;$C707))</f>
        <v/>
      </c>
      <c r="E707" s="12" t="n"/>
      <c r="F707" s="12" t="n"/>
      <c r="G707" s="14" t="n"/>
      <c r="H707" s="14" t="n"/>
      <c r="I707" s="12" t="n"/>
      <c r="J707" s="14" t="n"/>
      <c r="K707" s="12" t="n"/>
      <c r="L707" s="13">
        <f>IF($K707="","",IFERROR(INDEX(Dept_Names,MATCH($K707,Dept_Codes,0)),"NOT FOUND"))</f>
        <v/>
      </c>
      <c r="M707" s="12" t="n"/>
      <c r="N707" s="13">
        <f>IF($M707="","",IFERROR(INDEX(Desig_Names,MATCH($M707,Desig_Codes,0)),"NOT FOUND"))</f>
        <v/>
      </c>
      <c r="O707" s="13">
        <f>IF($M707="","",IFERROR(INDEX(Desig_Levels,MATCH($M707,Desig_Codes,0)),""))</f>
        <v/>
      </c>
      <c r="P707" s="12" t="n"/>
      <c r="Q707" s="12" t="n"/>
      <c r="R707" s="12" t="n"/>
      <c r="S707" s="13">
        <f>IF($R707="","",IFERROR(INDEX(Emp_Names,MATCH($R707,Emp_Codes,0)),"NOT FOUND"))</f>
        <v/>
      </c>
      <c r="T707" s="12" t="n"/>
      <c r="U707" s="12" t="n"/>
      <c r="V707" s="12" t="n"/>
    </row>
    <row r="708">
      <c r="A708" s="12" t="n"/>
      <c r="B708" s="12" t="n"/>
      <c r="C708" s="12" t="n"/>
      <c r="D708" s="13">
        <f>IF($A708="","",TRIM($B708&amp;" "&amp;$C708))</f>
        <v/>
      </c>
      <c r="E708" s="12" t="n"/>
      <c r="F708" s="12" t="n"/>
      <c r="G708" s="14" t="n"/>
      <c r="H708" s="14" t="n"/>
      <c r="I708" s="12" t="n"/>
      <c r="J708" s="14" t="n"/>
      <c r="K708" s="12" t="n"/>
      <c r="L708" s="13">
        <f>IF($K708="","",IFERROR(INDEX(Dept_Names,MATCH($K708,Dept_Codes,0)),"NOT FOUND"))</f>
        <v/>
      </c>
      <c r="M708" s="12" t="n"/>
      <c r="N708" s="13">
        <f>IF($M708="","",IFERROR(INDEX(Desig_Names,MATCH($M708,Desig_Codes,0)),"NOT FOUND"))</f>
        <v/>
      </c>
      <c r="O708" s="13">
        <f>IF($M708="","",IFERROR(INDEX(Desig_Levels,MATCH($M708,Desig_Codes,0)),""))</f>
        <v/>
      </c>
      <c r="P708" s="12" t="n"/>
      <c r="Q708" s="12" t="n"/>
      <c r="R708" s="12" t="n"/>
      <c r="S708" s="13">
        <f>IF($R708="","",IFERROR(INDEX(Emp_Names,MATCH($R708,Emp_Codes,0)),"NOT FOUND"))</f>
        <v/>
      </c>
      <c r="T708" s="12" t="n"/>
      <c r="U708" s="12" t="n"/>
      <c r="V708" s="12" t="n"/>
    </row>
    <row r="709">
      <c r="A709" s="12" t="n"/>
      <c r="B709" s="12" t="n"/>
      <c r="C709" s="12" t="n"/>
      <c r="D709" s="13">
        <f>IF($A709="","",TRIM($B709&amp;" "&amp;$C709))</f>
        <v/>
      </c>
      <c r="E709" s="12" t="n"/>
      <c r="F709" s="12" t="n"/>
      <c r="G709" s="14" t="n"/>
      <c r="H709" s="14" t="n"/>
      <c r="I709" s="12" t="n"/>
      <c r="J709" s="14" t="n"/>
      <c r="K709" s="12" t="n"/>
      <c r="L709" s="13">
        <f>IF($K709="","",IFERROR(INDEX(Dept_Names,MATCH($K709,Dept_Codes,0)),"NOT FOUND"))</f>
        <v/>
      </c>
      <c r="M709" s="12" t="n"/>
      <c r="N709" s="13">
        <f>IF($M709="","",IFERROR(INDEX(Desig_Names,MATCH($M709,Desig_Codes,0)),"NOT FOUND"))</f>
        <v/>
      </c>
      <c r="O709" s="13">
        <f>IF($M709="","",IFERROR(INDEX(Desig_Levels,MATCH($M709,Desig_Codes,0)),""))</f>
        <v/>
      </c>
      <c r="P709" s="12" t="n"/>
      <c r="Q709" s="12" t="n"/>
      <c r="R709" s="12" t="n"/>
      <c r="S709" s="13">
        <f>IF($R709="","",IFERROR(INDEX(Emp_Names,MATCH($R709,Emp_Codes,0)),"NOT FOUND"))</f>
        <v/>
      </c>
      <c r="T709" s="12" t="n"/>
      <c r="U709" s="12" t="n"/>
      <c r="V709" s="12" t="n"/>
    </row>
    <row r="710">
      <c r="A710" s="12" t="n"/>
      <c r="B710" s="12" t="n"/>
      <c r="C710" s="12" t="n"/>
      <c r="D710" s="13">
        <f>IF($A710="","",TRIM($B710&amp;" "&amp;$C710))</f>
        <v/>
      </c>
      <c r="E710" s="12" t="n"/>
      <c r="F710" s="12" t="n"/>
      <c r="G710" s="14" t="n"/>
      <c r="H710" s="14" t="n"/>
      <c r="I710" s="12" t="n"/>
      <c r="J710" s="14" t="n"/>
      <c r="K710" s="12" t="n"/>
      <c r="L710" s="13">
        <f>IF($K710="","",IFERROR(INDEX(Dept_Names,MATCH($K710,Dept_Codes,0)),"NOT FOUND"))</f>
        <v/>
      </c>
      <c r="M710" s="12" t="n"/>
      <c r="N710" s="13">
        <f>IF($M710="","",IFERROR(INDEX(Desig_Names,MATCH($M710,Desig_Codes,0)),"NOT FOUND"))</f>
        <v/>
      </c>
      <c r="O710" s="13">
        <f>IF($M710="","",IFERROR(INDEX(Desig_Levels,MATCH($M710,Desig_Codes,0)),""))</f>
        <v/>
      </c>
      <c r="P710" s="12" t="n"/>
      <c r="Q710" s="12" t="n"/>
      <c r="R710" s="12" t="n"/>
      <c r="S710" s="13">
        <f>IF($R710="","",IFERROR(INDEX(Emp_Names,MATCH($R710,Emp_Codes,0)),"NOT FOUND"))</f>
        <v/>
      </c>
      <c r="T710" s="12" t="n"/>
      <c r="U710" s="12" t="n"/>
      <c r="V710" s="12" t="n"/>
    </row>
    <row r="711">
      <c r="A711" s="12" t="n"/>
      <c r="B711" s="12" t="n"/>
      <c r="C711" s="12" t="n"/>
      <c r="D711" s="13">
        <f>IF($A711="","",TRIM($B711&amp;" "&amp;$C711))</f>
        <v/>
      </c>
      <c r="E711" s="12" t="n"/>
      <c r="F711" s="12" t="n"/>
      <c r="G711" s="14" t="n"/>
      <c r="H711" s="14" t="n"/>
      <c r="I711" s="12" t="n"/>
      <c r="J711" s="14" t="n"/>
      <c r="K711" s="12" t="n"/>
      <c r="L711" s="13">
        <f>IF($K711="","",IFERROR(INDEX(Dept_Names,MATCH($K711,Dept_Codes,0)),"NOT FOUND"))</f>
        <v/>
      </c>
      <c r="M711" s="12" t="n"/>
      <c r="N711" s="13">
        <f>IF($M711="","",IFERROR(INDEX(Desig_Names,MATCH($M711,Desig_Codes,0)),"NOT FOUND"))</f>
        <v/>
      </c>
      <c r="O711" s="13">
        <f>IF($M711="","",IFERROR(INDEX(Desig_Levels,MATCH($M711,Desig_Codes,0)),""))</f>
        <v/>
      </c>
      <c r="P711" s="12" t="n"/>
      <c r="Q711" s="12" t="n"/>
      <c r="R711" s="12" t="n"/>
      <c r="S711" s="13">
        <f>IF($R711="","",IFERROR(INDEX(Emp_Names,MATCH($R711,Emp_Codes,0)),"NOT FOUND"))</f>
        <v/>
      </c>
      <c r="T711" s="12" t="n"/>
      <c r="U711" s="12" t="n"/>
      <c r="V711" s="12" t="n"/>
    </row>
    <row r="712">
      <c r="A712" s="12" t="n"/>
      <c r="B712" s="12" t="n"/>
      <c r="C712" s="12" t="n"/>
      <c r="D712" s="13">
        <f>IF($A712="","",TRIM($B712&amp;" "&amp;$C712))</f>
        <v/>
      </c>
      <c r="E712" s="12" t="n"/>
      <c r="F712" s="12" t="n"/>
      <c r="G712" s="14" t="n"/>
      <c r="H712" s="14" t="n"/>
      <c r="I712" s="12" t="n"/>
      <c r="J712" s="14" t="n"/>
      <c r="K712" s="12" t="n"/>
      <c r="L712" s="13">
        <f>IF($K712="","",IFERROR(INDEX(Dept_Names,MATCH($K712,Dept_Codes,0)),"NOT FOUND"))</f>
        <v/>
      </c>
      <c r="M712" s="12" t="n"/>
      <c r="N712" s="13">
        <f>IF($M712="","",IFERROR(INDEX(Desig_Names,MATCH($M712,Desig_Codes,0)),"NOT FOUND"))</f>
        <v/>
      </c>
      <c r="O712" s="13">
        <f>IF($M712="","",IFERROR(INDEX(Desig_Levels,MATCH($M712,Desig_Codes,0)),""))</f>
        <v/>
      </c>
      <c r="P712" s="12" t="n"/>
      <c r="Q712" s="12" t="n"/>
      <c r="R712" s="12" t="n"/>
      <c r="S712" s="13">
        <f>IF($R712="","",IFERROR(INDEX(Emp_Names,MATCH($R712,Emp_Codes,0)),"NOT FOUND"))</f>
        <v/>
      </c>
      <c r="T712" s="12" t="n"/>
      <c r="U712" s="12" t="n"/>
      <c r="V712" s="12" t="n"/>
    </row>
    <row r="713">
      <c r="A713" s="12" t="n"/>
      <c r="B713" s="12" t="n"/>
      <c r="C713" s="12" t="n"/>
      <c r="D713" s="13">
        <f>IF($A713="","",TRIM($B713&amp;" "&amp;$C713))</f>
        <v/>
      </c>
      <c r="E713" s="12" t="n"/>
      <c r="F713" s="12" t="n"/>
      <c r="G713" s="14" t="n"/>
      <c r="H713" s="14" t="n"/>
      <c r="I713" s="12" t="n"/>
      <c r="J713" s="14" t="n"/>
      <c r="K713" s="12" t="n"/>
      <c r="L713" s="13">
        <f>IF($K713="","",IFERROR(INDEX(Dept_Names,MATCH($K713,Dept_Codes,0)),"NOT FOUND"))</f>
        <v/>
      </c>
      <c r="M713" s="12" t="n"/>
      <c r="N713" s="13">
        <f>IF($M713="","",IFERROR(INDEX(Desig_Names,MATCH($M713,Desig_Codes,0)),"NOT FOUND"))</f>
        <v/>
      </c>
      <c r="O713" s="13">
        <f>IF($M713="","",IFERROR(INDEX(Desig_Levels,MATCH($M713,Desig_Codes,0)),""))</f>
        <v/>
      </c>
      <c r="P713" s="12" t="n"/>
      <c r="Q713" s="12" t="n"/>
      <c r="R713" s="12" t="n"/>
      <c r="S713" s="13">
        <f>IF($R713="","",IFERROR(INDEX(Emp_Names,MATCH($R713,Emp_Codes,0)),"NOT FOUND"))</f>
        <v/>
      </c>
      <c r="T713" s="12" t="n"/>
      <c r="U713" s="12" t="n"/>
      <c r="V713" s="12" t="n"/>
    </row>
    <row r="714">
      <c r="A714" s="12" t="n"/>
      <c r="B714" s="12" t="n"/>
      <c r="C714" s="12" t="n"/>
      <c r="D714" s="13">
        <f>IF($A714="","",TRIM($B714&amp;" "&amp;$C714))</f>
        <v/>
      </c>
      <c r="E714" s="12" t="n"/>
      <c r="F714" s="12" t="n"/>
      <c r="G714" s="14" t="n"/>
      <c r="H714" s="14" t="n"/>
      <c r="I714" s="12" t="n"/>
      <c r="J714" s="14" t="n"/>
      <c r="K714" s="12" t="n"/>
      <c r="L714" s="13">
        <f>IF($K714="","",IFERROR(INDEX(Dept_Names,MATCH($K714,Dept_Codes,0)),"NOT FOUND"))</f>
        <v/>
      </c>
      <c r="M714" s="12" t="n"/>
      <c r="N714" s="13">
        <f>IF($M714="","",IFERROR(INDEX(Desig_Names,MATCH($M714,Desig_Codes,0)),"NOT FOUND"))</f>
        <v/>
      </c>
      <c r="O714" s="13">
        <f>IF($M714="","",IFERROR(INDEX(Desig_Levels,MATCH($M714,Desig_Codes,0)),""))</f>
        <v/>
      </c>
      <c r="P714" s="12" t="n"/>
      <c r="Q714" s="12" t="n"/>
      <c r="R714" s="12" t="n"/>
      <c r="S714" s="13">
        <f>IF($R714="","",IFERROR(INDEX(Emp_Names,MATCH($R714,Emp_Codes,0)),"NOT FOUND"))</f>
        <v/>
      </c>
      <c r="T714" s="12" t="n"/>
      <c r="U714" s="12" t="n"/>
      <c r="V714" s="12" t="n"/>
    </row>
    <row r="715">
      <c r="A715" s="12" t="n"/>
      <c r="B715" s="12" t="n"/>
      <c r="C715" s="12" t="n"/>
      <c r="D715" s="13">
        <f>IF($A715="","",TRIM($B715&amp;" "&amp;$C715))</f>
        <v/>
      </c>
      <c r="E715" s="12" t="n"/>
      <c r="F715" s="12" t="n"/>
      <c r="G715" s="14" t="n"/>
      <c r="H715" s="14" t="n"/>
      <c r="I715" s="12" t="n"/>
      <c r="J715" s="14" t="n"/>
      <c r="K715" s="12" t="n"/>
      <c r="L715" s="13">
        <f>IF($K715="","",IFERROR(INDEX(Dept_Names,MATCH($K715,Dept_Codes,0)),"NOT FOUND"))</f>
        <v/>
      </c>
      <c r="M715" s="12" t="n"/>
      <c r="N715" s="13">
        <f>IF($M715="","",IFERROR(INDEX(Desig_Names,MATCH($M715,Desig_Codes,0)),"NOT FOUND"))</f>
        <v/>
      </c>
      <c r="O715" s="13">
        <f>IF($M715="","",IFERROR(INDEX(Desig_Levels,MATCH($M715,Desig_Codes,0)),""))</f>
        <v/>
      </c>
      <c r="P715" s="12" t="n"/>
      <c r="Q715" s="12" t="n"/>
      <c r="R715" s="12" t="n"/>
      <c r="S715" s="13">
        <f>IF($R715="","",IFERROR(INDEX(Emp_Names,MATCH($R715,Emp_Codes,0)),"NOT FOUND"))</f>
        <v/>
      </c>
      <c r="T715" s="12" t="n"/>
      <c r="U715" s="12" t="n"/>
      <c r="V715" s="12" t="n"/>
    </row>
    <row r="716">
      <c r="A716" s="12" t="n"/>
      <c r="B716" s="12" t="n"/>
      <c r="C716" s="12" t="n"/>
      <c r="D716" s="13">
        <f>IF($A716="","",TRIM($B716&amp;" "&amp;$C716))</f>
        <v/>
      </c>
      <c r="E716" s="12" t="n"/>
      <c r="F716" s="12" t="n"/>
      <c r="G716" s="14" t="n"/>
      <c r="H716" s="14" t="n"/>
      <c r="I716" s="12" t="n"/>
      <c r="J716" s="14" t="n"/>
      <c r="K716" s="12" t="n"/>
      <c r="L716" s="13">
        <f>IF($K716="","",IFERROR(INDEX(Dept_Names,MATCH($K716,Dept_Codes,0)),"NOT FOUND"))</f>
        <v/>
      </c>
      <c r="M716" s="12" t="n"/>
      <c r="N716" s="13">
        <f>IF($M716="","",IFERROR(INDEX(Desig_Names,MATCH($M716,Desig_Codes,0)),"NOT FOUND"))</f>
        <v/>
      </c>
      <c r="O716" s="13">
        <f>IF($M716="","",IFERROR(INDEX(Desig_Levels,MATCH($M716,Desig_Codes,0)),""))</f>
        <v/>
      </c>
      <c r="P716" s="12" t="n"/>
      <c r="Q716" s="12" t="n"/>
      <c r="R716" s="12" t="n"/>
      <c r="S716" s="13">
        <f>IF($R716="","",IFERROR(INDEX(Emp_Names,MATCH($R716,Emp_Codes,0)),"NOT FOUND"))</f>
        <v/>
      </c>
      <c r="T716" s="12" t="n"/>
      <c r="U716" s="12" t="n"/>
      <c r="V716" s="12" t="n"/>
    </row>
    <row r="717">
      <c r="A717" s="12" t="n"/>
      <c r="B717" s="12" t="n"/>
      <c r="C717" s="12" t="n"/>
      <c r="D717" s="13">
        <f>IF($A717="","",TRIM($B717&amp;" "&amp;$C717))</f>
        <v/>
      </c>
      <c r="E717" s="12" t="n"/>
      <c r="F717" s="12" t="n"/>
      <c r="G717" s="14" t="n"/>
      <c r="H717" s="14" t="n"/>
      <c r="I717" s="12" t="n"/>
      <c r="J717" s="14" t="n"/>
      <c r="K717" s="12" t="n"/>
      <c r="L717" s="13">
        <f>IF($K717="","",IFERROR(INDEX(Dept_Names,MATCH($K717,Dept_Codes,0)),"NOT FOUND"))</f>
        <v/>
      </c>
      <c r="M717" s="12" t="n"/>
      <c r="N717" s="13">
        <f>IF($M717="","",IFERROR(INDEX(Desig_Names,MATCH($M717,Desig_Codes,0)),"NOT FOUND"))</f>
        <v/>
      </c>
      <c r="O717" s="13">
        <f>IF($M717="","",IFERROR(INDEX(Desig_Levels,MATCH($M717,Desig_Codes,0)),""))</f>
        <v/>
      </c>
      <c r="P717" s="12" t="n"/>
      <c r="Q717" s="12" t="n"/>
      <c r="R717" s="12" t="n"/>
      <c r="S717" s="13">
        <f>IF($R717="","",IFERROR(INDEX(Emp_Names,MATCH($R717,Emp_Codes,0)),"NOT FOUND"))</f>
        <v/>
      </c>
      <c r="T717" s="12" t="n"/>
      <c r="U717" s="12" t="n"/>
      <c r="V717" s="12" t="n"/>
    </row>
    <row r="718">
      <c r="A718" s="12" t="n"/>
      <c r="B718" s="12" t="n"/>
      <c r="C718" s="12" t="n"/>
      <c r="D718" s="13">
        <f>IF($A718="","",TRIM($B718&amp;" "&amp;$C718))</f>
        <v/>
      </c>
      <c r="E718" s="12" t="n"/>
      <c r="F718" s="12" t="n"/>
      <c r="G718" s="14" t="n"/>
      <c r="H718" s="14" t="n"/>
      <c r="I718" s="12" t="n"/>
      <c r="J718" s="14" t="n"/>
      <c r="K718" s="12" t="n"/>
      <c r="L718" s="13">
        <f>IF($K718="","",IFERROR(INDEX(Dept_Names,MATCH($K718,Dept_Codes,0)),"NOT FOUND"))</f>
        <v/>
      </c>
      <c r="M718" s="12" t="n"/>
      <c r="N718" s="13">
        <f>IF($M718="","",IFERROR(INDEX(Desig_Names,MATCH($M718,Desig_Codes,0)),"NOT FOUND"))</f>
        <v/>
      </c>
      <c r="O718" s="13">
        <f>IF($M718="","",IFERROR(INDEX(Desig_Levels,MATCH($M718,Desig_Codes,0)),""))</f>
        <v/>
      </c>
      <c r="P718" s="12" t="n"/>
      <c r="Q718" s="12" t="n"/>
      <c r="R718" s="12" t="n"/>
      <c r="S718" s="13">
        <f>IF($R718="","",IFERROR(INDEX(Emp_Names,MATCH($R718,Emp_Codes,0)),"NOT FOUND"))</f>
        <v/>
      </c>
      <c r="T718" s="12" t="n"/>
      <c r="U718" s="12" t="n"/>
      <c r="V718" s="12" t="n"/>
    </row>
    <row r="719">
      <c r="A719" s="12" t="n"/>
      <c r="B719" s="12" t="n"/>
      <c r="C719" s="12" t="n"/>
      <c r="D719" s="13">
        <f>IF($A719="","",TRIM($B719&amp;" "&amp;$C719))</f>
        <v/>
      </c>
      <c r="E719" s="12" t="n"/>
      <c r="F719" s="12" t="n"/>
      <c r="G719" s="14" t="n"/>
      <c r="H719" s="14" t="n"/>
      <c r="I719" s="12" t="n"/>
      <c r="J719" s="14" t="n"/>
      <c r="K719" s="12" t="n"/>
      <c r="L719" s="13">
        <f>IF($K719="","",IFERROR(INDEX(Dept_Names,MATCH($K719,Dept_Codes,0)),"NOT FOUND"))</f>
        <v/>
      </c>
      <c r="M719" s="12" t="n"/>
      <c r="N719" s="13">
        <f>IF($M719="","",IFERROR(INDEX(Desig_Names,MATCH($M719,Desig_Codes,0)),"NOT FOUND"))</f>
        <v/>
      </c>
      <c r="O719" s="13">
        <f>IF($M719="","",IFERROR(INDEX(Desig_Levels,MATCH($M719,Desig_Codes,0)),""))</f>
        <v/>
      </c>
      <c r="P719" s="12" t="n"/>
      <c r="Q719" s="12" t="n"/>
      <c r="R719" s="12" t="n"/>
      <c r="S719" s="13">
        <f>IF($R719="","",IFERROR(INDEX(Emp_Names,MATCH($R719,Emp_Codes,0)),"NOT FOUND"))</f>
        <v/>
      </c>
      <c r="T719" s="12" t="n"/>
      <c r="U719" s="12" t="n"/>
      <c r="V719" s="12" t="n"/>
    </row>
    <row r="720">
      <c r="A720" s="12" t="n"/>
      <c r="B720" s="12" t="n"/>
      <c r="C720" s="12" t="n"/>
      <c r="D720" s="13">
        <f>IF($A720="","",TRIM($B720&amp;" "&amp;$C720))</f>
        <v/>
      </c>
      <c r="E720" s="12" t="n"/>
      <c r="F720" s="12" t="n"/>
      <c r="G720" s="14" t="n"/>
      <c r="H720" s="14" t="n"/>
      <c r="I720" s="12" t="n"/>
      <c r="J720" s="14" t="n"/>
      <c r="K720" s="12" t="n"/>
      <c r="L720" s="13">
        <f>IF($K720="","",IFERROR(INDEX(Dept_Names,MATCH($K720,Dept_Codes,0)),"NOT FOUND"))</f>
        <v/>
      </c>
      <c r="M720" s="12" t="n"/>
      <c r="N720" s="13">
        <f>IF($M720="","",IFERROR(INDEX(Desig_Names,MATCH($M720,Desig_Codes,0)),"NOT FOUND"))</f>
        <v/>
      </c>
      <c r="O720" s="13">
        <f>IF($M720="","",IFERROR(INDEX(Desig_Levels,MATCH($M720,Desig_Codes,0)),""))</f>
        <v/>
      </c>
      <c r="P720" s="12" t="n"/>
      <c r="Q720" s="12" t="n"/>
      <c r="R720" s="12" t="n"/>
      <c r="S720" s="13">
        <f>IF($R720="","",IFERROR(INDEX(Emp_Names,MATCH($R720,Emp_Codes,0)),"NOT FOUND"))</f>
        <v/>
      </c>
      <c r="T720" s="12" t="n"/>
      <c r="U720" s="12" t="n"/>
      <c r="V720" s="12" t="n"/>
    </row>
    <row r="721">
      <c r="A721" s="12" t="n"/>
      <c r="B721" s="12" t="n"/>
      <c r="C721" s="12" t="n"/>
      <c r="D721" s="13">
        <f>IF($A721="","",TRIM($B721&amp;" "&amp;$C721))</f>
        <v/>
      </c>
      <c r="E721" s="12" t="n"/>
      <c r="F721" s="12" t="n"/>
      <c r="G721" s="14" t="n"/>
      <c r="H721" s="14" t="n"/>
      <c r="I721" s="12" t="n"/>
      <c r="J721" s="14" t="n"/>
      <c r="K721" s="12" t="n"/>
      <c r="L721" s="13">
        <f>IF($K721="","",IFERROR(INDEX(Dept_Names,MATCH($K721,Dept_Codes,0)),"NOT FOUND"))</f>
        <v/>
      </c>
      <c r="M721" s="12" t="n"/>
      <c r="N721" s="13">
        <f>IF($M721="","",IFERROR(INDEX(Desig_Names,MATCH($M721,Desig_Codes,0)),"NOT FOUND"))</f>
        <v/>
      </c>
      <c r="O721" s="13">
        <f>IF($M721="","",IFERROR(INDEX(Desig_Levels,MATCH($M721,Desig_Codes,0)),""))</f>
        <v/>
      </c>
      <c r="P721" s="12" t="n"/>
      <c r="Q721" s="12" t="n"/>
      <c r="R721" s="12" t="n"/>
      <c r="S721" s="13">
        <f>IF($R721="","",IFERROR(INDEX(Emp_Names,MATCH($R721,Emp_Codes,0)),"NOT FOUND"))</f>
        <v/>
      </c>
      <c r="T721" s="12" t="n"/>
      <c r="U721" s="12" t="n"/>
      <c r="V721" s="12" t="n"/>
    </row>
    <row r="722">
      <c r="A722" s="12" t="n"/>
      <c r="B722" s="12" t="n"/>
      <c r="C722" s="12" t="n"/>
      <c r="D722" s="13">
        <f>IF($A722="","",TRIM($B722&amp;" "&amp;$C722))</f>
        <v/>
      </c>
      <c r="E722" s="12" t="n"/>
      <c r="F722" s="12" t="n"/>
      <c r="G722" s="14" t="n"/>
      <c r="H722" s="14" t="n"/>
      <c r="I722" s="12" t="n"/>
      <c r="J722" s="14" t="n"/>
      <c r="K722" s="12" t="n"/>
      <c r="L722" s="13">
        <f>IF($K722="","",IFERROR(INDEX(Dept_Names,MATCH($K722,Dept_Codes,0)),"NOT FOUND"))</f>
        <v/>
      </c>
      <c r="M722" s="12" t="n"/>
      <c r="N722" s="13">
        <f>IF($M722="","",IFERROR(INDEX(Desig_Names,MATCH($M722,Desig_Codes,0)),"NOT FOUND"))</f>
        <v/>
      </c>
      <c r="O722" s="13">
        <f>IF($M722="","",IFERROR(INDEX(Desig_Levels,MATCH($M722,Desig_Codes,0)),""))</f>
        <v/>
      </c>
      <c r="P722" s="12" t="n"/>
      <c r="Q722" s="12" t="n"/>
      <c r="R722" s="12" t="n"/>
      <c r="S722" s="13">
        <f>IF($R722="","",IFERROR(INDEX(Emp_Names,MATCH($R722,Emp_Codes,0)),"NOT FOUND"))</f>
        <v/>
      </c>
      <c r="T722" s="12" t="n"/>
      <c r="U722" s="12" t="n"/>
      <c r="V722" s="12" t="n"/>
    </row>
    <row r="723">
      <c r="A723" s="12" t="n"/>
      <c r="B723" s="12" t="n"/>
      <c r="C723" s="12" t="n"/>
      <c r="D723" s="13">
        <f>IF($A723="","",TRIM($B723&amp;" "&amp;$C723))</f>
        <v/>
      </c>
      <c r="E723" s="12" t="n"/>
      <c r="F723" s="12" t="n"/>
      <c r="G723" s="14" t="n"/>
      <c r="H723" s="14" t="n"/>
      <c r="I723" s="12" t="n"/>
      <c r="J723" s="14" t="n"/>
      <c r="K723" s="12" t="n"/>
      <c r="L723" s="13">
        <f>IF($K723="","",IFERROR(INDEX(Dept_Names,MATCH($K723,Dept_Codes,0)),"NOT FOUND"))</f>
        <v/>
      </c>
      <c r="M723" s="12" t="n"/>
      <c r="N723" s="13">
        <f>IF($M723="","",IFERROR(INDEX(Desig_Names,MATCH($M723,Desig_Codes,0)),"NOT FOUND"))</f>
        <v/>
      </c>
      <c r="O723" s="13">
        <f>IF($M723="","",IFERROR(INDEX(Desig_Levels,MATCH($M723,Desig_Codes,0)),""))</f>
        <v/>
      </c>
      <c r="P723" s="12" t="n"/>
      <c r="Q723" s="12" t="n"/>
      <c r="R723" s="12" t="n"/>
      <c r="S723" s="13">
        <f>IF($R723="","",IFERROR(INDEX(Emp_Names,MATCH($R723,Emp_Codes,0)),"NOT FOUND"))</f>
        <v/>
      </c>
      <c r="T723" s="12" t="n"/>
      <c r="U723" s="12" t="n"/>
      <c r="V723" s="12" t="n"/>
    </row>
    <row r="724">
      <c r="A724" s="12" t="n"/>
      <c r="B724" s="12" t="n"/>
      <c r="C724" s="12" t="n"/>
      <c r="D724" s="13">
        <f>IF($A724="","",TRIM($B724&amp;" "&amp;$C724))</f>
        <v/>
      </c>
      <c r="E724" s="12" t="n"/>
      <c r="F724" s="12" t="n"/>
      <c r="G724" s="14" t="n"/>
      <c r="H724" s="14" t="n"/>
      <c r="I724" s="12" t="n"/>
      <c r="J724" s="14" t="n"/>
      <c r="K724" s="12" t="n"/>
      <c r="L724" s="13">
        <f>IF($K724="","",IFERROR(INDEX(Dept_Names,MATCH($K724,Dept_Codes,0)),"NOT FOUND"))</f>
        <v/>
      </c>
      <c r="M724" s="12" t="n"/>
      <c r="N724" s="13">
        <f>IF($M724="","",IFERROR(INDEX(Desig_Names,MATCH($M724,Desig_Codes,0)),"NOT FOUND"))</f>
        <v/>
      </c>
      <c r="O724" s="13">
        <f>IF($M724="","",IFERROR(INDEX(Desig_Levels,MATCH($M724,Desig_Codes,0)),""))</f>
        <v/>
      </c>
      <c r="P724" s="12" t="n"/>
      <c r="Q724" s="12" t="n"/>
      <c r="R724" s="12" t="n"/>
      <c r="S724" s="13">
        <f>IF($R724="","",IFERROR(INDEX(Emp_Names,MATCH($R724,Emp_Codes,0)),"NOT FOUND"))</f>
        <v/>
      </c>
      <c r="T724" s="12" t="n"/>
      <c r="U724" s="12" t="n"/>
      <c r="V724" s="12" t="n"/>
    </row>
    <row r="725">
      <c r="A725" s="12" t="n"/>
      <c r="B725" s="12" t="n"/>
      <c r="C725" s="12" t="n"/>
      <c r="D725" s="13">
        <f>IF($A725="","",TRIM($B725&amp;" "&amp;$C725))</f>
        <v/>
      </c>
      <c r="E725" s="12" t="n"/>
      <c r="F725" s="12" t="n"/>
      <c r="G725" s="14" t="n"/>
      <c r="H725" s="14" t="n"/>
      <c r="I725" s="12" t="n"/>
      <c r="J725" s="14" t="n"/>
      <c r="K725" s="12" t="n"/>
      <c r="L725" s="13">
        <f>IF($K725="","",IFERROR(INDEX(Dept_Names,MATCH($K725,Dept_Codes,0)),"NOT FOUND"))</f>
        <v/>
      </c>
      <c r="M725" s="12" t="n"/>
      <c r="N725" s="13">
        <f>IF($M725="","",IFERROR(INDEX(Desig_Names,MATCH($M725,Desig_Codes,0)),"NOT FOUND"))</f>
        <v/>
      </c>
      <c r="O725" s="13">
        <f>IF($M725="","",IFERROR(INDEX(Desig_Levels,MATCH($M725,Desig_Codes,0)),""))</f>
        <v/>
      </c>
      <c r="P725" s="12" t="n"/>
      <c r="Q725" s="12" t="n"/>
      <c r="R725" s="12" t="n"/>
      <c r="S725" s="13">
        <f>IF($R725="","",IFERROR(INDEX(Emp_Names,MATCH($R725,Emp_Codes,0)),"NOT FOUND"))</f>
        <v/>
      </c>
      <c r="T725" s="12" t="n"/>
      <c r="U725" s="12" t="n"/>
      <c r="V725" s="12" t="n"/>
    </row>
    <row r="726">
      <c r="A726" s="12" t="n"/>
      <c r="B726" s="12" t="n"/>
      <c r="C726" s="12" t="n"/>
      <c r="D726" s="13">
        <f>IF($A726="","",TRIM($B726&amp;" "&amp;$C726))</f>
        <v/>
      </c>
      <c r="E726" s="12" t="n"/>
      <c r="F726" s="12" t="n"/>
      <c r="G726" s="14" t="n"/>
      <c r="H726" s="14" t="n"/>
      <c r="I726" s="12" t="n"/>
      <c r="J726" s="14" t="n"/>
      <c r="K726" s="12" t="n"/>
      <c r="L726" s="13">
        <f>IF($K726="","",IFERROR(INDEX(Dept_Names,MATCH($K726,Dept_Codes,0)),"NOT FOUND"))</f>
        <v/>
      </c>
      <c r="M726" s="12" t="n"/>
      <c r="N726" s="13">
        <f>IF($M726="","",IFERROR(INDEX(Desig_Names,MATCH($M726,Desig_Codes,0)),"NOT FOUND"))</f>
        <v/>
      </c>
      <c r="O726" s="13">
        <f>IF($M726="","",IFERROR(INDEX(Desig_Levels,MATCH($M726,Desig_Codes,0)),""))</f>
        <v/>
      </c>
      <c r="P726" s="12" t="n"/>
      <c r="Q726" s="12" t="n"/>
      <c r="R726" s="12" t="n"/>
      <c r="S726" s="13">
        <f>IF($R726="","",IFERROR(INDEX(Emp_Names,MATCH($R726,Emp_Codes,0)),"NOT FOUND"))</f>
        <v/>
      </c>
      <c r="T726" s="12" t="n"/>
      <c r="U726" s="12" t="n"/>
      <c r="V726" s="12" t="n"/>
    </row>
    <row r="727">
      <c r="A727" s="12" t="n"/>
      <c r="B727" s="12" t="n"/>
      <c r="C727" s="12" t="n"/>
      <c r="D727" s="13">
        <f>IF($A727="","",TRIM($B727&amp;" "&amp;$C727))</f>
        <v/>
      </c>
      <c r="E727" s="12" t="n"/>
      <c r="F727" s="12" t="n"/>
      <c r="G727" s="14" t="n"/>
      <c r="H727" s="14" t="n"/>
      <c r="I727" s="12" t="n"/>
      <c r="J727" s="14" t="n"/>
      <c r="K727" s="12" t="n"/>
      <c r="L727" s="13">
        <f>IF($K727="","",IFERROR(INDEX(Dept_Names,MATCH($K727,Dept_Codes,0)),"NOT FOUND"))</f>
        <v/>
      </c>
      <c r="M727" s="12" t="n"/>
      <c r="N727" s="13">
        <f>IF($M727="","",IFERROR(INDEX(Desig_Names,MATCH($M727,Desig_Codes,0)),"NOT FOUND"))</f>
        <v/>
      </c>
      <c r="O727" s="13">
        <f>IF($M727="","",IFERROR(INDEX(Desig_Levels,MATCH($M727,Desig_Codes,0)),""))</f>
        <v/>
      </c>
      <c r="P727" s="12" t="n"/>
      <c r="Q727" s="12" t="n"/>
      <c r="R727" s="12" t="n"/>
      <c r="S727" s="13">
        <f>IF($R727="","",IFERROR(INDEX(Emp_Names,MATCH($R727,Emp_Codes,0)),"NOT FOUND"))</f>
        <v/>
      </c>
      <c r="T727" s="12" t="n"/>
      <c r="U727" s="12" t="n"/>
      <c r="V727" s="12" t="n"/>
    </row>
    <row r="728">
      <c r="A728" s="12" t="n"/>
      <c r="B728" s="12" t="n"/>
      <c r="C728" s="12" t="n"/>
      <c r="D728" s="13">
        <f>IF($A728="","",TRIM($B728&amp;" "&amp;$C728))</f>
        <v/>
      </c>
      <c r="E728" s="12" t="n"/>
      <c r="F728" s="12" t="n"/>
      <c r="G728" s="14" t="n"/>
      <c r="H728" s="14" t="n"/>
      <c r="I728" s="12" t="n"/>
      <c r="J728" s="14" t="n"/>
      <c r="K728" s="12" t="n"/>
      <c r="L728" s="13">
        <f>IF($K728="","",IFERROR(INDEX(Dept_Names,MATCH($K728,Dept_Codes,0)),"NOT FOUND"))</f>
        <v/>
      </c>
      <c r="M728" s="12" t="n"/>
      <c r="N728" s="13">
        <f>IF($M728="","",IFERROR(INDEX(Desig_Names,MATCH($M728,Desig_Codes,0)),"NOT FOUND"))</f>
        <v/>
      </c>
      <c r="O728" s="13">
        <f>IF($M728="","",IFERROR(INDEX(Desig_Levels,MATCH($M728,Desig_Codes,0)),""))</f>
        <v/>
      </c>
      <c r="P728" s="12" t="n"/>
      <c r="Q728" s="12" t="n"/>
      <c r="R728" s="12" t="n"/>
      <c r="S728" s="13">
        <f>IF($R728="","",IFERROR(INDEX(Emp_Names,MATCH($R728,Emp_Codes,0)),"NOT FOUND"))</f>
        <v/>
      </c>
      <c r="T728" s="12" t="n"/>
      <c r="U728" s="12" t="n"/>
      <c r="V728" s="12" t="n"/>
    </row>
    <row r="729">
      <c r="A729" s="12" t="n"/>
      <c r="B729" s="12" t="n"/>
      <c r="C729" s="12" t="n"/>
      <c r="D729" s="13">
        <f>IF($A729="","",TRIM($B729&amp;" "&amp;$C729))</f>
        <v/>
      </c>
      <c r="E729" s="12" t="n"/>
      <c r="F729" s="12" t="n"/>
      <c r="G729" s="14" t="n"/>
      <c r="H729" s="14" t="n"/>
      <c r="I729" s="12" t="n"/>
      <c r="J729" s="14" t="n"/>
      <c r="K729" s="12" t="n"/>
      <c r="L729" s="13">
        <f>IF($K729="","",IFERROR(INDEX(Dept_Names,MATCH($K729,Dept_Codes,0)),"NOT FOUND"))</f>
        <v/>
      </c>
      <c r="M729" s="12" t="n"/>
      <c r="N729" s="13">
        <f>IF($M729="","",IFERROR(INDEX(Desig_Names,MATCH($M729,Desig_Codes,0)),"NOT FOUND"))</f>
        <v/>
      </c>
      <c r="O729" s="13">
        <f>IF($M729="","",IFERROR(INDEX(Desig_Levels,MATCH($M729,Desig_Codes,0)),""))</f>
        <v/>
      </c>
      <c r="P729" s="12" t="n"/>
      <c r="Q729" s="12" t="n"/>
      <c r="R729" s="12" t="n"/>
      <c r="S729" s="13">
        <f>IF($R729="","",IFERROR(INDEX(Emp_Names,MATCH($R729,Emp_Codes,0)),"NOT FOUND"))</f>
        <v/>
      </c>
      <c r="T729" s="12" t="n"/>
      <c r="U729" s="12" t="n"/>
      <c r="V729" s="12" t="n"/>
    </row>
    <row r="730">
      <c r="A730" s="12" t="n"/>
      <c r="B730" s="12" t="n"/>
      <c r="C730" s="12" t="n"/>
      <c r="D730" s="13">
        <f>IF($A730="","",TRIM($B730&amp;" "&amp;$C730))</f>
        <v/>
      </c>
      <c r="E730" s="12" t="n"/>
      <c r="F730" s="12" t="n"/>
      <c r="G730" s="14" t="n"/>
      <c r="H730" s="14" t="n"/>
      <c r="I730" s="12" t="n"/>
      <c r="J730" s="14" t="n"/>
      <c r="K730" s="12" t="n"/>
      <c r="L730" s="13">
        <f>IF($K730="","",IFERROR(INDEX(Dept_Names,MATCH($K730,Dept_Codes,0)),"NOT FOUND"))</f>
        <v/>
      </c>
      <c r="M730" s="12" t="n"/>
      <c r="N730" s="13">
        <f>IF($M730="","",IFERROR(INDEX(Desig_Names,MATCH($M730,Desig_Codes,0)),"NOT FOUND"))</f>
        <v/>
      </c>
      <c r="O730" s="13">
        <f>IF($M730="","",IFERROR(INDEX(Desig_Levels,MATCH($M730,Desig_Codes,0)),""))</f>
        <v/>
      </c>
      <c r="P730" s="12" t="n"/>
      <c r="Q730" s="12" t="n"/>
      <c r="R730" s="12" t="n"/>
      <c r="S730" s="13">
        <f>IF($R730="","",IFERROR(INDEX(Emp_Names,MATCH($R730,Emp_Codes,0)),"NOT FOUND"))</f>
        <v/>
      </c>
      <c r="T730" s="12" t="n"/>
      <c r="U730" s="12" t="n"/>
      <c r="V730" s="12" t="n"/>
    </row>
    <row r="731">
      <c r="A731" s="12" t="n"/>
      <c r="B731" s="12" t="n"/>
      <c r="C731" s="12" t="n"/>
      <c r="D731" s="13">
        <f>IF($A731="","",TRIM($B731&amp;" "&amp;$C731))</f>
        <v/>
      </c>
      <c r="E731" s="12" t="n"/>
      <c r="F731" s="12" t="n"/>
      <c r="G731" s="14" t="n"/>
      <c r="H731" s="14" t="n"/>
      <c r="I731" s="12" t="n"/>
      <c r="J731" s="14" t="n"/>
      <c r="K731" s="12" t="n"/>
      <c r="L731" s="13">
        <f>IF($K731="","",IFERROR(INDEX(Dept_Names,MATCH($K731,Dept_Codes,0)),"NOT FOUND"))</f>
        <v/>
      </c>
      <c r="M731" s="12" t="n"/>
      <c r="N731" s="13">
        <f>IF($M731="","",IFERROR(INDEX(Desig_Names,MATCH($M731,Desig_Codes,0)),"NOT FOUND"))</f>
        <v/>
      </c>
      <c r="O731" s="13">
        <f>IF($M731="","",IFERROR(INDEX(Desig_Levels,MATCH($M731,Desig_Codes,0)),""))</f>
        <v/>
      </c>
      <c r="P731" s="12" t="n"/>
      <c r="Q731" s="12" t="n"/>
      <c r="R731" s="12" t="n"/>
      <c r="S731" s="13">
        <f>IF($R731="","",IFERROR(INDEX(Emp_Names,MATCH($R731,Emp_Codes,0)),"NOT FOUND"))</f>
        <v/>
      </c>
      <c r="T731" s="12" t="n"/>
      <c r="U731" s="12" t="n"/>
      <c r="V731" s="12" t="n"/>
    </row>
    <row r="732">
      <c r="A732" s="12" t="n"/>
      <c r="B732" s="12" t="n"/>
      <c r="C732" s="12" t="n"/>
      <c r="D732" s="13">
        <f>IF($A732="","",TRIM($B732&amp;" "&amp;$C732))</f>
        <v/>
      </c>
      <c r="E732" s="12" t="n"/>
      <c r="F732" s="12" t="n"/>
      <c r="G732" s="14" t="n"/>
      <c r="H732" s="14" t="n"/>
      <c r="I732" s="12" t="n"/>
      <c r="J732" s="14" t="n"/>
      <c r="K732" s="12" t="n"/>
      <c r="L732" s="13">
        <f>IF($K732="","",IFERROR(INDEX(Dept_Names,MATCH($K732,Dept_Codes,0)),"NOT FOUND"))</f>
        <v/>
      </c>
      <c r="M732" s="12" t="n"/>
      <c r="N732" s="13">
        <f>IF($M732="","",IFERROR(INDEX(Desig_Names,MATCH($M732,Desig_Codes,0)),"NOT FOUND"))</f>
        <v/>
      </c>
      <c r="O732" s="13">
        <f>IF($M732="","",IFERROR(INDEX(Desig_Levels,MATCH($M732,Desig_Codes,0)),""))</f>
        <v/>
      </c>
      <c r="P732" s="12" t="n"/>
      <c r="Q732" s="12" t="n"/>
      <c r="R732" s="12" t="n"/>
      <c r="S732" s="13">
        <f>IF($R732="","",IFERROR(INDEX(Emp_Names,MATCH($R732,Emp_Codes,0)),"NOT FOUND"))</f>
        <v/>
      </c>
      <c r="T732" s="12" t="n"/>
      <c r="U732" s="12" t="n"/>
      <c r="V732" s="12" t="n"/>
    </row>
    <row r="733">
      <c r="A733" s="12" t="n"/>
      <c r="B733" s="12" t="n"/>
      <c r="C733" s="12" t="n"/>
      <c r="D733" s="13">
        <f>IF($A733="","",TRIM($B733&amp;" "&amp;$C733))</f>
        <v/>
      </c>
      <c r="E733" s="12" t="n"/>
      <c r="F733" s="12" t="n"/>
      <c r="G733" s="14" t="n"/>
      <c r="H733" s="14" t="n"/>
      <c r="I733" s="12" t="n"/>
      <c r="J733" s="14" t="n"/>
      <c r="K733" s="12" t="n"/>
      <c r="L733" s="13">
        <f>IF($K733="","",IFERROR(INDEX(Dept_Names,MATCH($K733,Dept_Codes,0)),"NOT FOUND"))</f>
        <v/>
      </c>
      <c r="M733" s="12" t="n"/>
      <c r="N733" s="13">
        <f>IF($M733="","",IFERROR(INDEX(Desig_Names,MATCH($M733,Desig_Codes,0)),"NOT FOUND"))</f>
        <v/>
      </c>
      <c r="O733" s="13">
        <f>IF($M733="","",IFERROR(INDEX(Desig_Levels,MATCH($M733,Desig_Codes,0)),""))</f>
        <v/>
      </c>
      <c r="P733" s="12" t="n"/>
      <c r="Q733" s="12" t="n"/>
      <c r="R733" s="12" t="n"/>
      <c r="S733" s="13">
        <f>IF($R733="","",IFERROR(INDEX(Emp_Names,MATCH($R733,Emp_Codes,0)),"NOT FOUND"))</f>
        <v/>
      </c>
      <c r="T733" s="12" t="n"/>
      <c r="U733" s="12" t="n"/>
      <c r="V733" s="12" t="n"/>
    </row>
    <row r="734">
      <c r="A734" s="12" t="n"/>
      <c r="B734" s="12" t="n"/>
      <c r="C734" s="12" t="n"/>
      <c r="D734" s="13">
        <f>IF($A734="","",TRIM($B734&amp;" "&amp;$C734))</f>
        <v/>
      </c>
      <c r="E734" s="12" t="n"/>
      <c r="F734" s="12" t="n"/>
      <c r="G734" s="14" t="n"/>
      <c r="H734" s="14" t="n"/>
      <c r="I734" s="12" t="n"/>
      <c r="J734" s="14" t="n"/>
      <c r="K734" s="12" t="n"/>
      <c r="L734" s="13">
        <f>IF($K734="","",IFERROR(INDEX(Dept_Names,MATCH($K734,Dept_Codes,0)),"NOT FOUND"))</f>
        <v/>
      </c>
      <c r="M734" s="12" t="n"/>
      <c r="N734" s="13">
        <f>IF($M734="","",IFERROR(INDEX(Desig_Names,MATCH($M734,Desig_Codes,0)),"NOT FOUND"))</f>
        <v/>
      </c>
      <c r="O734" s="13">
        <f>IF($M734="","",IFERROR(INDEX(Desig_Levels,MATCH($M734,Desig_Codes,0)),""))</f>
        <v/>
      </c>
      <c r="P734" s="12" t="n"/>
      <c r="Q734" s="12" t="n"/>
      <c r="R734" s="12" t="n"/>
      <c r="S734" s="13">
        <f>IF($R734="","",IFERROR(INDEX(Emp_Names,MATCH($R734,Emp_Codes,0)),"NOT FOUND"))</f>
        <v/>
      </c>
      <c r="T734" s="12" t="n"/>
      <c r="U734" s="12" t="n"/>
      <c r="V734" s="12" t="n"/>
    </row>
    <row r="735">
      <c r="A735" s="12" t="n"/>
      <c r="B735" s="12" t="n"/>
      <c r="C735" s="12" t="n"/>
      <c r="D735" s="13">
        <f>IF($A735="","",TRIM($B735&amp;" "&amp;$C735))</f>
        <v/>
      </c>
      <c r="E735" s="12" t="n"/>
      <c r="F735" s="12" t="n"/>
      <c r="G735" s="14" t="n"/>
      <c r="H735" s="14" t="n"/>
      <c r="I735" s="12" t="n"/>
      <c r="J735" s="14" t="n"/>
      <c r="K735" s="12" t="n"/>
      <c r="L735" s="13">
        <f>IF($K735="","",IFERROR(INDEX(Dept_Names,MATCH($K735,Dept_Codes,0)),"NOT FOUND"))</f>
        <v/>
      </c>
      <c r="M735" s="12" t="n"/>
      <c r="N735" s="13">
        <f>IF($M735="","",IFERROR(INDEX(Desig_Names,MATCH($M735,Desig_Codes,0)),"NOT FOUND"))</f>
        <v/>
      </c>
      <c r="O735" s="13">
        <f>IF($M735="","",IFERROR(INDEX(Desig_Levels,MATCH($M735,Desig_Codes,0)),""))</f>
        <v/>
      </c>
      <c r="P735" s="12" t="n"/>
      <c r="Q735" s="12" t="n"/>
      <c r="R735" s="12" t="n"/>
      <c r="S735" s="13">
        <f>IF($R735="","",IFERROR(INDEX(Emp_Names,MATCH($R735,Emp_Codes,0)),"NOT FOUND"))</f>
        <v/>
      </c>
      <c r="T735" s="12" t="n"/>
      <c r="U735" s="12" t="n"/>
      <c r="V735" s="12" t="n"/>
    </row>
    <row r="736">
      <c r="A736" s="12" t="n"/>
      <c r="B736" s="12" t="n"/>
      <c r="C736" s="12" t="n"/>
      <c r="D736" s="13">
        <f>IF($A736="","",TRIM($B736&amp;" "&amp;$C736))</f>
        <v/>
      </c>
      <c r="E736" s="12" t="n"/>
      <c r="F736" s="12" t="n"/>
      <c r="G736" s="14" t="n"/>
      <c r="H736" s="14" t="n"/>
      <c r="I736" s="12" t="n"/>
      <c r="J736" s="14" t="n"/>
      <c r="K736" s="12" t="n"/>
      <c r="L736" s="13">
        <f>IF($K736="","",IFERROR(INDEX(Dept_Names,MATCH($K736,Dept_Codes,0)),"NOT FOUND"))</f>
        <v/>
      </c>
      <c r="M736" s="12" t="n"/>
      <c r="N736" s="13">
        <f>IF($M736="","",IFERROR(INDEX(Desig_Names,MATCH($M736,Desig_Codes,0)),"NOT FOUND"))</f>
        <v/>
      </c>
      <c r="O736" s="13">
        <f>IF($M736="","",IFERROR(INDEX(Desig_Levels,MATCH($M736,Desig_Codes,0)),""))</f>
        <v/>
      </c>
      <c r="P736" s="12" t="n"/>
      <c r="Q736" s="12" t="n"/>
      <c r="R736" s="12" t="n"/>
      <c r="S736" s="13">
        <f>IF($R736="","",IFERROR(INDEX(Emp_Names,MATCH($R736,Emp_Codes,0)),"NOT FOUND"))</f>
        <v/>
      </c>
      <c r="T736" s="12" t="n"/>
      <c r="U736" s="12" t="n"/>
      <c r="V736" s="12" t="n"/>
    </row>
    <row r="737">
      <c r="A737" s="12" t="n"/>
      <c r="B737" s="12" t="n"/>
      <c r="C737" s="12" t="n"/>
      <c r="D737" s="13">
        <f>IF($A737="","",TRIM($B737&amp;" "&amp;$C737))</f>
        <v/>
      </c>
      <c r="E737" s="12" t="n"/>
      <c r="F737" s="12" t="n"/>
      <c r="G737" s="14" t="n"/>
      <c r="H737" s="14" t="n"/>
      <c r="I737" s="12" t="n"/>
      <c r="J737" s="14" t="n"/>
      <c r="K737" s="12" t="n"/>
      <c r="L737" s="13">
        <f>IF($K737="","",IFERROR(INDEX(Dept_Names,MATCH($K737,Dept_Codes,0)),"NOT FOUND"))</f>
        <v/>
      </c>
      <c r="M737" s="12" t="n"/>
      <c r="N737" s="13">
        <f>IF($M737="","",IFERROR(INDEX(Desig_Names,MATCH($M737,Desig_Codes,0)),"NOT FOUND"))</f>
        <v/>
      </c>
      <c r="O737" s="13">
        <f>IF($M737="","",IFERROR(INDEX(Desig_Levels,MATCH($M737,Desig_Codes,0)),""))</f>
        <v/>
      </c>
      <c r="P737" s="12" t="n"/>
      <c r="Q737" s="12" t="n"/>
      <c r="R737" s="12" t="n"/>
      <c r="S737" s="13">
        <f>IF($R737="","",IFERROR(INDEX(Emp_Names,MATCH($R737,Emp_Codes,0)),"NOT FOUND"))</f>
        <v/>
      </c>
      <c r="T737" s="12" t="n"/>
      <c r="U737" s="12" t="n"/>
      <c r="V737" s="12" t="n"/>
    </row>
    <row r="738">
      <c r="A738" s="12" t="n"/>
      <c r="B738" s="12" t="n"/>
      <c r="C738" s="12" t="n"/>
      <c r="D738" s="13">
        <f>IF($A738="","",TRIM($B738&amp;" "&amp;$C738))</f>
        <v/>
      </c>
      <c r="E738" s="12" t="n"/>
      <c r="F738" s="12" t="n"/>
      <c r="G738" s="14" t="n"/>
      <c r="H738" s="14" t="n"/>
      <c r="I738" s="12" t="n"/>
      <c r="J738" s="14" t="n"/>
      <c r="K738" s="12" t="n"/>
      <c r="L738" s="13">
        <f>IF($K738="","",IFERROR(INDEX(Dept_Names,MATCH($K738,Dept_Codes,0)),"NOT FOUND"))</f>
        <v/>
      </c>
      <c r="M738" s="12" t="n"/>
      <c r="N738" s="13">
        <f>IF($M738="","",IFERROR(INDEX(Desig_Names,MATCH($M738,Desig_Codes,0)),"NOT FOUND"))</f>
        <v/>
      </c>
      <c r="O738" s="13">
        <f>IF($M738="","",IFERROR(INDEX(Desig_Levels,MATCH($M738,Desig_Codes,0)),""))</f>
        <v/>
      </c>
      <c r="P738" s="12" t="n"/>
      <c r="Q738" s="12" t="n"/>
      <c r="R738" s="12" t="n"/>
      <c r="S738" s="13">
        <f>IF($R738="","",IFERROR(INDEX(Emp_Names,MATCH($R738,Emp_Codes,0)),"NOT FOUND"))</f>
        <v/>
      </c>
      <c r="T738" s="12" t="n"/>
      <c r="U738" s="12" t="n"/>
      <c r="V738" s="12" t="n"/>
    </row>
    <row r="739">
      <c r="A739" s="12" t="n"/>
      <c r="B739" s="12" t="n"/>
      <c r="C739" s="12" t="n"/>
      <c r="D739" s="13">
        <f>IF($A739="","",TRIM($B739&amp;" "&amp;$C739))</f>
        <v/>
      </c>
      <c r="E739" s="12" t="n"/>
      <c r="F739" s="12" t="n"/>
      <c r="G739" s="14" t="n"/>
      <c r="H739" s="14" t="n"/>
      <c r="I739" s="12" t="n"/>
      <c r="J739" s="14" t="n"/>
      <c r="K739" s="12" t="n"/>
      <c r="L739" s="13">
        <f>IF($K739="","",IFERROR(INDEX(Dept_Names,MATCH($K739,Dept_Codes,0)),"NOT FOUND"))</f>
        <v/>
      </c>
      <c r="M739" s="12" t="n"/>
      <c r="N739" s="13">
        <f>IF($M739="","",IFERROR(INDEX(Desig_Names,MATCH($M739,Desig_Codes,0)),"NOT FOUND"))</f>
        <v/>
      </c>
      <c r="O739" s="13">
        <f>IF($M739="","",IFERROR(INDEX(Desig_Levels,MATCH($M739,Desig_Codes,0)),""))</f>
        <v/>
      </c>
      <c r="P739" s="12" t="n"/>
      <c r="Q739" s="12" t="n"/>
      <c r="R739" s="12" t="n"/>
      <c r="S739" s="13">
        <f>IF($R739="","",IFERROR(INDEX(Emp_Names,MATCH($R739,Emp_Codes,0)),"NOT FOUND"))</f>
        <v/>
      </c>
      <c r="T739" s="12" t="n"/>
      <c r="U739" s="12" t="n"/>
      <c r="V739" s="12" t="n"/>
    </row>
    <row r="740">
      <c r="A740" s="12" t="n"/>
      <c r="B740" s="12" t="n"/>
      <c r="C740" s="12" t="n"/>
      <c r="D740" s="13">
        <f>IF($A740="","",TRIM($B740&amp;" "&amp;$C740))</f>
        <v/>
      </c>
      <c r="E740" s="12" t="n"/>
      <c r="F740" s="12" t="n"/>
      <c r="G740" s="14" t="n"/>
      <c r="H740" s="14" t="n"/>
      <c r="I740" s="12" t="n"/>
      <c r="J740" s="14" t="n"/>
      <c r="K740" s="12" t="n"/>
      <c r="L740" s="13">
        <f>IF($K740="","",IFERROR(INDEX(Dept_Names,MATCH($K740,Dept_Codes,0)),"NOT FOUND"))</f>
        <v/>
      </c>
      <c r="M740" s="12" t="n"/>
      <c r="N740" s="13">
        <f>IF($M740="","",IFERROR(INDEX(Desig_Names,MATCH($M740,Desig_Codes,0)),"NOT FOUND"))</f>
        <v/>
      </c>
      <c r="O740" s="13">
        <f>IF($M740="","",IFERROR(INDEX(Desig_Levels,MATCH($M740,Desig_Codes,0)),""))</f>
        <v/>
      </c>
      <c r="P740" s="12" t="n"/>
      <c r="Q740" s="12" t="n"/>
      <c r="R740" s="12" t="n"/>
      <c r="S740" s="13">
        <f>IF($R740="","",IFERROR(INDEX(Emp_Names,MATCH($R740,Emp_Codes,0)),"NOT FOUND"))</f>
        <v/>
      </c>
      <c r="T740" s="12" t="n"/>
      <c r="U740" s="12" t="n"/>
      <c r="V740" s="12" t="n"/>
    </row>
    <row r="741">
      <c r="A741" s="12" t="n"/>
      <c r="B741" s="12" t="n"/>
      <c r="C741" s="12" t="n"/>
      <c r="D741" s="13">
        <f>IF($A741="","",TRIM($B741&amp;" "&amp;$C741))</f>
        <v/>
      </c>
      <c r="E741" s="12" t="n"/>
      <c r="F741" s="12" t="n"/>
      <c r="G741" s="14" t="n"/>
      <c r="H741" s="14" t="n"/>
      <c r="I741" s="12" t="n"/>
      <c r="J741" s="14" t="n"/>
      <c r="K741" s="12" t="n"/>
      <c r="L741" s="13">
        <f>IF($K741="","",IFERROR(INDEX(Dept_Names,MATCH($K741,Dept_Codes,0)),"NOT FOUND"))</f>
        <v/>
      </c>
      <c r="M741" s="12" t="n"/>
      <c r="N741" s="13">
        <f>IF($M741="","",IFERROR(INDEX(Desig_Names,MATCH($M741,Desig_Codes,0)),"NOT FOUND"))</f>
        <v/>
      </c>
      <c r="O741" s="13">
        <f>IF($M741="","",IFERROR(INDEX(Desig_Levels,MATCH($M741,Desig_Codes,0)),""))</f>
        <v/>
      </c>
      <c r="P741" s="12" t="n"/>
      <c r="Q741" s="12" t="n"/>
      <c r="R741" s="12" t="n"/>
      <c r="S741" s="13">
        <f>IF($R741="","",IFERROR(INDEX(Emp_Names,MATCH($R741,Emp_Codes,0)),"NOT FOUND"))</f>
        <v/>
      </c>
      <c r="T741" s="12" t="n"/>
      <c r="U741" s="12" t="n"/>
      <c r="V741" s="12" t="n"/>
    </row>
    <row r="742">
      <c r="A742" s="12" t="n"/>
      <c r="B742" s="12" t="n"/>
      <c r="C742" s="12" t="n"/>
      <c r="D742" s="13">
        <f>IF($A742="","",TRIM($B742&amp;" "&amp;$C742))</f>
        <v/>
      </c>
      <c r="E742" s="12" t="n"/>
      <c r="F742" s="12" t="n"/>
      <c r="G742" s="14" t="n"/>
      <c r="H742" s="14" t="n"/>
      <c r="I742" s="12" t="n"/>
      <c r="J742" s="14" t="n"/>
      <c r="K742" s="12" t="n"/>
      <c r="L742" s="13">
        <f>IF($K742="","",IFERROR(INDEX(Dept_Names,MATCH($K742,Dept_Codes,0)),"NOT FOUND"))</f>
        <v/>
      </c>
      <c r="M742" s="12" t="n"/>
      <c r="N742" s="13">
        <f>IF($M742="","",IFERROR(INDEX(Desig_Names,MATCH($M742,Desig_Codes,0)),"NOT FOUND"))</f>
        <v/>
      </c>
      <c r="O742" s="13">
        <f>IF($M742="","",IFERROR(INDEX(Desig_Levels,MATCH($M742,Desig_Codes,0)),""))</f>
        <v/>
      </c>
      <c r="P742" s="12" t="n"/>
      <c r="Q742" s="12" t="n"/>
      <c r="R742" s="12" t="n"/>
      <c r="S742" s="13">
        <f>IF($R742="","",IFERROR(INDEX(Emp_Names,MATCH($R742,Emp_Codes,0)),"NOT FOUND"))</f>
        <v/>
      </c>
      <c r="T742" s="12" t="n"/>
      <c r="U742" s="12" t="n"/>
      <c r="V742" s="12" t="n"/>
    </row>
    <row r="743">
      <c r="A743" s="12" t="n"/>
      <c r="B743" s="12" t="n"/>
      <c r="C743" s="12" t="n"/>
      <c r="D743" s="13">
        <f>IF($A743="","",TRIM($B743&amp;" "&amp;$C743))</f>
        <v/>
      </c>
      <c r="E743" s="12" t="n"/>
      <c r="F743" s="12" t="n"/>
      <c r="G743" s="14" t="n"/>
      <c r="H743" s="14" t="n"/>
      <c r="I743" s="12" t="n"/>
      <c r="J743" s="14" t="n"/>
      <c r="K743" s="12" t="n"/>
      <c r="L743" s="13">
        <f>IF($K743="","",IFERROR(INDEX(Dept_Names,MATCH($K743,Dept_Codes,0)),"NOT FOUND"))</f>
        <v/>
      </c>
      <c r="M743" s="12" t="n"/>
      <c r="N743" s="13">
        <f>IF($M743="","",IFERROR(INDEX(Desig_Names,MATCH($M743,Desig_Codes,0)),"NOT FOUND"))</f>
        <v/>
      </c>
      <c r="O743" s="13">
        <f>IF($M743="","",IFERROR(INDEX(Desig_Levels,MATCH($M743,Desig_Codes,0)),""))</f>
        <v/>
      </c>
      <c r="P743" s="12" t="n"/>
      <c r="Q743" s="12" t="n"/>
      <c r="R743" s="12" t="n"/>
      <c r="S743" s="13">
        <f>IF($R743="","",IFERROR(INDEX(Emp_Names,MATCH($R743,Emp_Codes,0)),"NOT FOUND"))</f>
        <v/>
      </c>
      <c r="T743" s="12" t="n"/>
      <c r="U743" s="12" t="n"/>
      <c r="V743" s="12" t="n"/>
    </row>
    <row r="744">
      <c r="A744" s="12" t="n"/>
      <c r="B744" s="12" t="n"/>
      <c r="C744" s="12" t="n"/>
      <c r="D744" s="13">
        <f>IF($A744="","",TRIM($B744&amp;" "&amp;$C744))</f>
        <v/>
      </c>
      <c r="E744" s="12" t="n"/>
      <c r="F744" s="12" t="n"/>
      <c r="G744" s="14" t="n"/>
      <c r="H744" s="14" t="n"/>
      <c r="I744" s="12" t="n"/>
      <c r="J744" s="14" t="n"/>
      <c r="K744" s="12" t="n"/>
      <c r="L744" s="13">
        <f>IF($K744="","",IFERROR(INDEX(Dept_Names,MATCH($K744,Dept_Codes,0)),"NOT FOUND"))</f>
        <v/>
      </c>
      <c r="M744" s="12" t="n"/>
      <c r="N744" s="13">
        <f>IF($M744="","",IFERROR(INDEX(Desig_Names,MATCH($M744,Desig_Codes,0)),"NOT FOUND"))</f>
        <v/>
      </c>
      <c r="O744" s="13">
        <f>IF($M744="","",IFERROR(INDEX(Desig_Levels,MATCH($M744,Desig_Codes,0)),""))</f>
        <v/>
      </c>
      <c r="P744" s="12" t="n"/>
      <c r="Q744" s="12" t="n"/>
      <c r="R744" s="12" t="n"/>
      <c r="S744" s="13">
        <f>IF($R744="","",IFERROR(INDEX(Emp_Names,MATCH($R744,Emp_Codes,0)),"NOT FOUND"))</f>
        <v/>
      </c>
      <c r="T744" s="12" t="n"/>
      <c r="U744" s="12" t="n"/>
      <c r="V744" s="12" t="n"/>
    </row>
    <row r="745">
      <c r="A745" s="12" t="n"/>
      <c r="B745" s="12" t="n"/>
      <c r="C745" s="12" t="n"/>
      <c r="D745" s="13">
        <f>IF($A745="","",TRIM($B745&amp;" "&amp;$C745))</f>
        <v/>
      </c>
      <c r="E745" s="12" t="n"/>
      <c r="F745" s="12" t="n"/>
      <c r="G745" s="14" t="n"/>
      <c r="H745" s="14" t="n"/>
      <c r="I745" s="12" t="n"/>
      <c r="J745" s="14" t="n"/>
      <c r="K745" s="12" t="n"/>
      <c r="L745" s="13">
        <f>IF($K745="","",IFERROR(INDEX(Dept_Names,MATCH($K745,Dept_Codes,0)),"NOT FOUND"))</f>
        <v/>
      </c>
      <c r="M745" s="12" t="n"/>
      <c r="N745" s="13">
        <f>IF($M745="","",IFERROR(INDEX(Desig_Names,MATCH($M745,Desig_Codes,0)),"NOT FOUND"))</f>
        <v/>
      </c>
      <c r="O745" s="13">
        <f>IF($M745="","",IFERROR(INDEX(Desig_Levels,MATCH($M745,Desig_Codes,0)),""))</f>
        <v/>
      </c>
      <c r="P745" s="12" t="n"/>
      <c r="Q745" s="12" t="n"/>
      <c r="R745" s="12" t="n"/>
      <c r="S745" s="13">
        <f>IF($R745="","",IFERROR(INDEX(Emp_Names,MATCH($R745,Emp_Codes,0)),"NOT FOUND"))</f>
        <v/>
      </c>
      <c r="T745" s="12" t="n"/>
      <c r="U745" s="12" t="n"/>
      <c r="V745" s="12" t="n"/>
    </row>
    <row r="746">
      <c r="A746" s="12" t="n"/>
      <c r="B746" s="12" t="n"/>
      <c r="C746" s="12" t="n"/>
      <c r="D746" s="13">
        <f>IF($A746="","",TRIM($B746&amp;" "&amp;$C746))</f>
        <v/>
      </c>
      <c r="E746" s="12" t="n"/>
      <c r="F746" s="12" t="n"/>
      <c r="G746" s="14" t="n"/>
      <c r="H746" s="14" t="n"/>
      <c r="I746" s="12" t="n"/>
      <c r="J746" s="14" t="n"/>
      <c r="K746" s="12" t="n"/>
      <c r="L746" s="13">
        <f>IF($K746="","",IFERROR(INDEX(Dept_Names,MATCH($K746,Dept_Codes,0)),"NOT FOUND"))</f>
        <v/>
      </c>
      <c r="M746" s="12" t="n"/>
      <c r="N746" s="13">
        <f>IF($M746="","",IFERROR(INDEX(Desig_Names,MATCH($M746,Desig_Codes,0)),"NOT FOUND"))</f>
        <v/>
      </c>
      <c r="O746" s="13">
        <f>IF($M746="","",IFERROR(INDEX(Desig_Levels,MATCH($M746,Desig_Codes,0)),""))</f>
        <v/>
      </c>
      <c r="P746" s="12" t="n"/>
      <c r="Q746" s="12" t="n"/>
      <c r="R746" s="12" t="n"/>
      <c r="S746" s="13">
        <f>IF($R746="","",IFERROR(INDEX(Emp_Names,MATCH($R746,Emp_Codes,0)),"NOT FOUND"))</f>
        <v/>
      </c>
      <c r="T746" s="12" t="n"/>
      <c r="U746" s="12" t="n"/>
      <c r="V746" s="12" t="n"/>
    </row>
    <row r="747">
      <c r="A747" s="12" t="n"/>
      <c r="B747" s="12" t="n"/>
      <c r="C747" s="12" t="n"/>
      <c r="D747" s="13">
        <f>IF($A747="","",TRIM($B747&amp;" "&amp;$C747))</f>
        <v/>
      </c>
      <c r="E747" s="12" t="n"/>
      <c r="F747" s="12" t="n"/>
      <c r="G747" s="14" t="n"/>
      <c r="H747" s="14" t="n"/>
      <c r="I747" s="12" t="n"/>
      <c r="J747" s="14" t="n"/>
      <c r="K747" s="12" t="n"/>
      <c r="L747" s="13">
        <f>IF($K747="","",IFERROR(INDEX(Dept_Names,MATCH($K747,Dept_Codes,0)),"NOT FOUND"))</f>
        <v/>
      </c>
      <c r="M747" s="12" t="n"/>
      <c r="N747" s="13">
        <f>IF($M747="","",IFERROR(INDEX(Desig_Names,MATCH($M747,Desig_Codes,0)),"NOT FOUND"))</f>
        <v/>
      </c>
      <c r="O747" s="13">
        <f>IF($M747="","",IFERROR(INDEX(Desig_Levels,MATCH($M747,Desig_Codes,0)),""))</f>
        <v/>
      </c>
      <c r="P747" s="12" t="n"/>
      <c r="Q747" s="12" t="n"/>
      <c r="R747" s="12" t="n"/>
      <c r="S747" s="13">
        <f>IF($R747="","",IFERROR(INDEX(Emp_Names,MATCH($R747,Emp_Codes,0)),"NOT FOUND"))</f>
        <v/>
      </c>
      <c r="T747" s="12" t="n"/>
      <c r="U747" s="12" t="n"/>
      <c r="V747" s="12" t="n"/>
    </row>
    <row r="748">
      <c r="A748" s="12" t="n"/>
      <c r="B748" s="12" t="n"/>
      <c r="C748" s="12" t="n"/>
      <c r="D748" s="13">
        <f>IF($A748="","",TRIM($B748&amp;" "&amp;$C748))</f>
        <v/>
      </c>
      <c r="E748" s="12" t="n"/>
      <c r="F748" s="12" t="n"/>
      <c r="G748" s="14" t="n"/>
      <c r="H748" s="14" t="n"/>
      <c r="I748" s="12" t="n"/>
      <c r="J748" s="14" t="n"/>
      <c r="K748" s="12" t="n"/>
      <c r="L748" s="13">
        <f>IF($K748="","",IFERROR(INDEX(Dept_Names,MATCH($K748,Dept_Codes,0)),"NOT FOUND"))</f>
        <v/>
      </c>
      <c r="M748" s="12" t="n"/>
      <c r="N748" s="13">
        <f>IF($M748="","",IFERROR(INDEX(Desig_Names,MATCH($M748,Desig_Codes,0)),"NOT FOUND"))</f>
        <v/>
      </c>
      <c r="O748" s="13">
        <f>IF($M748="","",IFERROR(INDEX(Desig_Levels,MATCH($M748,Desig_Codes,0)),""))</f>
        <v/>
      </c>
      <c r="P748" s="12" t="n"/>
      <c r="Q748" s="12" t="n"/>
      <c r="R748" s="12" t="n"/>
      <c r="S748" s="13">
        <f>IF($R748="","",IFERROR(INDEX(Emp_Names,MATCH($R748,Emp_Codes,0)),"NOT FOUND"))</f>
        <v/>
      </c>
      <c r="T748" s="12" t="n"/>
      <c r="U748" s="12" t="n"/>
      <c r="V748" s="12" t="n"/>
    </row>
    <row r="749">
      <c r="A749" s="12" t="n"/>
      <c r="B749" s="12" t="n"/>
      <c r="C749" s="12" t="n"/>
      <c r="D749" s="13">
        <f>IF($A749="","",TRIM($B749&amp;" "&amp;$C749))</f>
        <v/>
      </c>
      <c r="E749" s="12" t="n"/>
      <c r="F749" s="12" t="n"/>
      <c r="G749" s="14" t="n"/>
      <c r="H749" s="14" t="n"/>
      <c r="I749" s="12" t="n"/>
      <c r="J749" s="14" t="n"/>
      <c r="K749" s="12" t="n"/>
      <c r="L749" s="13">
        <f>IF($K749="","",IFERROR(INDEX(Dept_Names,MATCH($K749,Dept_Codes,0)),"NOT FOUND"))</f>
        <v/>
      </c>
      <c r="M749" s="12" t="n"/>
      <c r="N749" s="13">
        <f>IF($M749="","",IFERROR(INDEX(Desig_Names,MATCH($M749,Desig_Codes,0)),"NOT FOUND"))</f>
        <v/>
      </c>
      <c r="O749" s="13">
        <f>IF($M749="","",IFERROR(INDEX(Desig_Levels,MATCH($M749,Desig_Codes,0)),""))</f>
        <v/>
      </c>
      <c r="P749" s="12" t="n"/>
      <c r="Q749" s="12" t="n"/>
      <c r="R749" s="12" t="n"/>
      <c r="S749" s="13">
        <f>IF($R749="","",IFERROR(INDEX(Emp_Names,MATCH($R749,Emp_Codes,0)),"NOT FOUND"))</f>
        <v/>
      </c>
      <c r="T749" s="12" t="n"/>
      <c r="U749" s="12" t="n"/>
      <c r="V749" s="12" t="n"/>
    </row>
    <row r="750">
      <c r="A750" s="12" t="n"/>
      <c r="B750" s="12" t="n"/>
      <c r="C750" s="12" t="n"/>
      <c r="D750" s="13">
        <f>IF($A750="","",TRIM($B750&amp;" "&amp;$C750))</f>
        <v/>
      </c>
      <c r="E750" s="12" t="n"/>
      <c r="F750" s="12" t="n"/>
      <c r="G750" s="14" t="n"/>
      <c r="H750" s="14" t="n"/>
      <c r="I750" s="12" t="n"/>
      <c r="J750" s="14" t="n"/>
      <c r="K750" s="12" t="n"/>
      <c r="L750" s="13">
        <f>IF($K750="","",IFERROR(INDEX(Dept_Names,MATCH($K750,Dept_Codes,0)),"NOT FOUND"))</f>
        <v/>
      </c>
      <c r="M750" s="12" t="n"/>
      <c r="N750" s="13">
        <f>IF($M750="","",IFERROR(INDEX(Desig_Names,MATCH($M750,Desig_Codes,0)),"NOT FOUND"))</f>
        <v/>
      </c>
      <c r="O750" s="13">
        <f>IF($M750="","",IFERROR(INDEX(Desig_Levels,MATCH($M750,Desig_Codes,0)),""))</f>
        <v/>
      </c>
      <c r="P750" s="12" t="n"/>
      <c r="Q750" s="12" t="n"/>
      <c r="R750" s="12" t="n"/>
      <c r="S750" s="13">
        <f>IF($R750="","",IFERROR(INDEX(Emp_Names,MATCH($R750,Emp_Codes,0)),"NOT FOUND"))</f>
        <v/>
      </c>
      <c r="T750" s="12" t="n"/>
      <c r="U750" s="12" t="n"/>
      <c r="V750" s="12" t="n"/>
    </row>
    <row r="751">
      <c r="A751" s="12" t="n"/>
      <c r="B751" s="12" t="n"/>
      <c r="C751" s="12" t="n"/>
      <c r="D751" s="13">
        <f>IF($A751="","",TRIM($B751&amp;" "&amp;$C751))</f>
        <v/>
      </c>
      <c r="E751" s="12" t="n"/>
      <c r="F751" s="12" t="n"/>
      <c r="G751" s="14" t="n"/>
      <c r="H751" s="14" t="n"/>
      <c r="I751" s="12" t="n"/>
      <c r="J751" s="14" t="n"/>
      <c r="K751" s="12" t="n"/>
      <c r="L751" s="13">
        <f>IF($K751="","",IFERROR(INDEX(Dept_Names,MATCH($K751,Dept_Codes,0)),"NOT FOUND"))</f>
        <v/>
      </c>
      <c r="M751" s="12" t="n"/>
      <c r="N751" s="13">
        <f>IF($M751="","",IFERROR(INDEX(Desig_Names,MATCH($M751,Desig_Codes,0)),"NOT FOUND"))</f>
        <v/>
      </c>
      <c r="O751" s="13">
        <f>IF($M751="","",IFERROR(INDEX(Desig_Levels,MATCH($M751,Desig_Codes,0)),""))</f>
        <v/>
      </c>
      <c r="P751" s="12" t="n"/>
      <c r="Q751" s="12" t="n"/>
      <c r="R751" s="12" t="n"/>
      <c r="S751" s="13">
        <f>IF($R751="","",IFERROR(INDEX(Emp_Names,MATCH($R751,Emp_Codes,0)),"NOT FOUND"))</f>
        <v/>
      </c>
      <c r="T751" s="12" t="n"/>
      <c r="U751" s="12" t="n"/>
      <c r="V751" s="12" t="n"/>
    </row>
    <row r="752">
      <c r="A752" s="12" t="n"/>
      <c r="B752" s="12" t="n"/>
      <c r="C752" s="12" t="n"/>
      <c r="D752" s="13">
        <f>IF($A752="","",TRIM($B752&amp;" "&amp;$C752))</f>
        <v/>
      </c>
      <c r="E752" s="12" t="n"/>
      <c r="F752" s="12" t="n"/>
      <c r="G752" s="14" t="n"/>
      <c r="H752" s="14" t="n"/>
      <c r="I752" s="12" t="n"/>
      <c r="J752" s="14" t="n"/>
      <c r="K752" s="12" t="n"/>
      <c r="L752" s="13">
        <f>IF($K752="","",IFERROR(INDEX(Dept_Names,MATCH($K752,Dept_Codes,0)),"NOT FOUND"))</f>
        <v/>
      </c>
      <c r="M752" s="12" t="n"/>
      <c r="N752" s="13">
        <f>IF($M752="","",IFERROR(INDEX(Desig_Names,MATCH($M752,Desig_Codes,0)),"NOT FOUND"))</f>
        <v/>
      </c>
      <c r="O752" s="13">
        <f>IF($M752="","",IFERROR(INDEX(Desig_Levels,MATCH($M752,Desig_Codes,0)),""))</f>
        <v/>
      </c>
      <c r="P752" s="12" t="n"/>
      <c r="Q752" s="12" t="n"/>
      <c r="R752" s="12" t="n"/>
      <c r="S752" s="13">
        <f>IF($R752="","",IFERROR(INDEX(Emp_Names,MATCH($R752,Emp_Codes,0)),"NOT FOUND"))</f>
        <v/>
      </c>
      <c r="T752" s="12" t="n"/>
      <c r="U752" s="12" t="n"/>
      <c r="V752" s="12" t="n"/>
    </row>
    <row r="753">
      <c r="A753" s="12" t="n"/>
      <c r="B753" s="12" t="n"/>
      <c r="C753" s="12" t="n"/>
      <c r="D753" s="13">
        <f>IF($A753="","",TRIM($B753&amp;" "&amp;$C753))</f>
        <v/>
      </c>
      <c r="E753" s="12" t="n"/>
      <c r="F753" s="12" t="n"/>
      <c r="G753" s="14" t="n"/>
      <c r="H753" s="14" t="n"/>
      <c r="I753" s="12" t="n"/>
      <c r="J753" s="14" t="n"/>
      <c r="K753" s="12" t="n"/>
      <c r="L753" s="13">
        <f>IF($K753="","",IFERROR(INDEX(Dept_Names,MATCH($K753,Dept_Codes,0)),"NOT FOUND"))</f>
        <v/>
      </c>
      <c r="M753" s="12" t="n"/>
      <c r="N753" s="13">
        <f>IF($M753="","",IFERROR(INDEX(Desig_Names,MATCH($M753,Desig_Codes,0)),"NOT FOUND"))</f>
        <v/>
      </c>
      <c r="O753" s="13">
        <f>IF($M753="","",IFERROR(INDEX(Desig_Levels,MATCH($M753,Desig_Codes,0)),""))</f>
        <v/>
      </c>
      <c r="P753" s="12" t="n"/>
      <c r="Q753" s="12" t="n"/>
      <c r="R753" s="12" t="n"/>
      <c r="S753" s="13">
        <f>IF($R753="","",IFERROR(INDEX(Emp_Names,MATCH($R753,Emp_Codes,0)),"NOT FOUND"))</f>
        <v/>
      </c>
      <c r="T753" s="12" t="n"/>
      <c r="U753" s="12" t="n"/>
      <c r="V753" s="12" t="n"/>
    </row>
    <row r="754">
      <c r="A754" s="12" t="n"/>
      <c r="B754" s="12" t="n"/>
      <c r="C754" s="12" t="n"/>
      <c r="D754" s="13">
        <f>IF($A754="","",TRIM($B754&amp;" "&amp;$C754))</f>
        <v/>
      </c>
      <c r="E754" s="12" t="n"/>
      <c r="F754" s="12" t="n"/>
      <c r="G754" s="14" t="n"/>
      <c r="H754" s="14" t="n"/>
      <c r="I754" s="12" t="n"/>
      <c r="J754" s="14" t="n"/>
      <c r="K754" s="12" t="n"/>
      <c r="L754" s="13">
        <f>IF($K754="","",IFERROR(INDEX(Dept_Names,MATCH($K754,Dept_Codes,0)),"NOT FOUND"))</f>
        <v/>
      </c>
      <c r="M754" s="12" t="n"/>
      <c r="N754" s="13">
        <f>IF($M754="","",IFERROR(INDEX(Desig_Names,MATCH($M754,Desig_Codes,0)),"NOT FOUND"))</f>
        <v/>
      </c>
      <c r="O754" s="13">
        <f>IF($M754="","",IFERROR(INDEX(Desig_Levels,MATCH($M754,Desig_Codes,0)),""))</f>
        <v/>
      </c>
      <c r="P754" s="12" t="n"/>
      <c r="Q754" s="12" t="n"/>
      <c r="R754" s="12" t="n"/>
      <c r="S754" s="13">
        <f>IF($R754="","",IFERROR(INDEX(Emp_Names,MATCH($R754,Emp_Codes,0)),"NOT FOUND"))</f>
        <v/>
      </c>
      <c r="T754" s="12" t="n"/>
      <c r="U754" s="12" t="n"/>
      <c r="V754" s="12" t="n"/>
    </row>
    <row r="755">
      <c r="A755" s="12" t="n"/>
      <c r="B755" s="12" t="n"/>
      <c r="C755" s="12" t="n"/>
      <c r="D755" s="13">
        <f>IF($A755="","",TRIM($B755&amp;" "&amp;$C755))</f>
        <v/>
      </c>
      <c r="E755" s="12" t="n"/>
      <c r="F755" s="12" t="n"/>
      <c r="G755" s="14" t="n"/>
      <c r="H755" s="14" t="n"/>
      <c r="I755" s="12" t="n"/>
      <c r="J755" s="14" t="n"/>
      <c r="K755" s="12" t="n"/>
      <c r="L755" s="13">
        <f>IF($K755="","",IFERROR(INDEX(Dept_Names,MATCH($K755,Dept_Codes,0)),"NOT FOUND"))</f>
        <v/>
      </c>
      <c r="M755" s="12" t="n"/>
      <c r="N755" s="13">
        <f>IF($M755="","",IFERROR(INDEX(Desig_Names,MATCH($M755,Desig_Codes,0)),"NOT FOUND"))</f>
        <v/>
      </c>
      <c r="O755" s="13">
        <f>IF($M755="","",IFERROR(INDEX(Desig_Levels,MATCH($M755,Desig_Codes,0)),""))</f>
        <v/>
      </c>
      <c r="P755" s="12" t="n"/>
      <c r="Q755" s="12" t="n"/>
      <c r="R755" s="12" t="n"/>
      <c r="S755" s="13">
        <f>IF($R755="","",IFERROR(INDEX(Emp_Names,MATCH($R755,Emp_Codes,0)),"NOT FOUND"))</f>
        <v/>
      </c>
      <c r="T755" s="12" t="n"/>
      <c r="U755" s="12" t="n"/>
      <c r="V755" s="12" t="n"/>
    </row>
    <row r="756">
      <c r="A756" s="12" t="n"/>
      <c r="B756" s="12" t="n"/>
      <c r="C756" s="12" t="n"/>
      <c r="D756" s="13">
        <f>IF($A756="","",TRIM($B756&amp;" "&amp;$C756))</f>
        <v/>
      </c>
      <c r="E756" s="12" t="n"/>
      <c r="F756" s="12" t="n"/>
      <c r="G756" s="14" t="n"/>
      <c r="H756" s="14" t="n"/>
      <c r="I756" s="12" t="n"/>
      <c r="J756" s="14" t="n"/>
      <c r="K756" s="12" t="n"/>
      <c r="L756" s="13">
        <f>IF($K756="","",IFERROR(INDEX(Dept_Names,MATCH($K756,Dept_Codes,0)),"NOT FOUND"))</f>
        <v/>
      </c>
      <c r="M756" s="12" t="n"/>
      <c r="N756" s="13">
        <f>IF($M756="","",IFERROR(INDEX(Desig_Names,MATCH($M756,Desig_Codes,0)),"NOT FOUND"))</f>
        <v/>
      </c>
      <c r="O756" s="13">
        <f>IF($M756="","",IFERROR(INDEX(Desig_Levels,MATCH($M756,Desig_Codes,0)),""))</f>
        <v/>
      </c>
      <c r="P756" s="12" t="n"/>
      <c r="Q756" s="12" t="n"/>
      <c r="R756" s="12" t="n"/>
      <c r="S756" s="13">
        <f>IF($R756="","",IFERROR(INDEX(Emp_Names,MATCH($R756,Emp_Codes,0)),"NOT FOUND"))</f>
        <v/>
      </c>
      <c r="T756" s="12" t="n"/>
      <c r="U756" s="12" t="n"/>
      <c r="V756" s="12" t="n"/>
    </row>
    <row r="757">
      <c r="A757" s="12" t="n"/>
      <c r="B757" s="12" t="n"/>
      <c r="C757" s="12" t="n"/>
      <c r="D757" s="13">
        <f>IF($A757="","",TRIM($B757&amp;" "&amp;$C757))</f>
        <v/>
      </c>
      <c r="E757" s="12" t="n"/>
      <c r="F757" s="12" t="n"/>
      <c r="G757" s="14" t="n"/>
      <c r="H757" s="14" t="n"/>
      <c r="I757" s="12" t="n"/>
      <c r="J757" s="14" t="n"/>
      <c r="K757" s="12" t="n"/>
      <c r="L757" s="13">
        <f>IF($K757="","",IFERROR(INDEX(Dept_Names,MATCH($K757,Dept_Codes,0)),"NOT FOUND"))</f>
        <v/>
      </c>
      <c r="M757" s="12" t="n"/>
      <c r="N757" s="13">
        <f>IF($M757="","",IFERROR(INDEX(Desig_Names,MATCH($M757,Desig_Codes,0)),"NOT FOUND"))</f>
        <v/>
      </c>
      <c r="O757" s="13">
        <f>IF($M757="","",IFERROR(INDEX(Desig_Levels,MATCH($M757,Desig_Codes,0)),""))</f>
        <v/>
      </c>
      <c r="P757" s="12" t="n"/>
      <c r="Q757" s="12" t="n"/>
      <c r="R757" s="12" t="n"/>
      <c r="S757" s="13">
        <f>IF($R757="","",IFERROR(INDEX(Emp_Names,MATCH($R757,Emp_Codes,0)),"NOT FOUND"))</f>
        <v/>
      </c>
      <c r="T757" s="12" t="n"/>
      <c r="U757" s="12" t="n"/>
      <c r="V757" s="12" t="n"/>
    </row>
    <row r="758">
      <c r="A758" s="12" t="n"/>
      <c r="B758" s="12" t="n"/>
      <c r="C758" s="12" t="n"/>
      <c r="D758" s="13">
        <f>IF($A758="","",TRIM($B758&amp;" "&amp;$C758))</f>
        <v/>
      </c>
      <c r="E758" s="12" t="n"/>
      <c r="F758" s="12" t="n"/>
      <c r="G758" s="14" t="n"/>
      <c r="H758" s="14" t="n"/>
      <c r="I758" s="12" t="n"/>
      <c r="J758" s="14" t="n"/>
      <c r="K758" s="12" t="n"/>
      <c r="L758" s="13">
        <f>IF($K758="","",IFERROR(INDEX(Dept_Names,MATCH($K758,Dept_Codes,0)),"NOT FOUND"))</f>
        <v/>
      </c>
      <c r="M758" s="12" t="n"/>
      <c r="N758" s="13">
        <f>IF($M758="","",IFERROR(INDEX(Desig_Names,MATCH($M758,Desig_Codes,0)),"NOT FOUND"))</f>
        <v/>
      </c>
      <c r="O758" s="13">
        <f>IF($M758="","",IFERROR(INDEX(Desig_Levels,MATCH($M758,Desig_Codes,0)),""))</f>
        <v/>
      </c>
      <c r="P758" s="12" t="n"/>
      <c r="Q758" s="12" t="n"/>
      <c r="R758" s="12" t="n"/>
      <c r="S758" s="13">
        <f>IF($R758="","",IFERROR(INDEX(Emp_Names,MATCH($R758,Emp_Codes,0)),"NOT FOUND"))</f>
        <v/>
      </c>
      <c r="T758" s="12" t="n"/>
      <c r="U758" s="12" t="n"/>
      <c r="V758" s="12" t="n"/>
    </row>
    <row r="759">
      <c r="A759" s="12" t="n"/>
      <c r="B759" s="12" t="n"/>
      <c r="C759" s="12" t="n"/>
      <c r="D759" s="13">
        <f>IF($A759="","",TRIM($B759&amp;" "&amp;$C759))</f>
        <v/>
      </c>
      <c r="E759" s="12" t="n"/>
      <c r="F759" s="12" t="n"/>
      <c r="G759" s="14" t="n"/>
      <c r="H759" s="14" t="n"/>
      <c r="I759" s="12" t="n"/>
      <c r="J759" s="14" t="n"/>
      <c r="K759" s="12" t="n"/>
      <c r="L759" s="13">
        <f>IF($K759="","",IFERROR(INDEX(Dept_Names,MATCH($K759,Dept_Codes,0)),"NOT FOUND"))</f>
        <v/>
      </c>
      <c r="M759" s="12" t="n"/>
      <c r="N759" s="13">
        <f>IF($M759="","",IFERROR(INDEX(Desig_Names,MATCH($M759,Desig_Codes,0)),"NOT FOUND"))</f>
        <v/>
      </c>
      <c r="O759" s="13">
        <f>IF($M759="","",IFERROR(INDEX(Desig_Levels,MATCH($M759,Desig_Codes,0)),""))</f>
        <v/>
      </c>
      <c r="P759" s="12" t="n"/>
      <c r="Q759" s="12" t="n"/>
      <c r="R759" s="12" t="n"/>
      <c r="S759" s="13">
        <f>IF($R759="","",IFERROR(INDEX(Emp_Names,MATCH($R759,Emp_Codes,0)),"NOT FOUND"))</f>
        <v/>
      </c>
      <c r="T759" s="12" t="n"/>
      <c r="U759" s="12" t="n"/>
      <c r="V759" s="12" t="n"/>
    </row>
    <row r="760">
      <c r="A760" s="12" t="n"/>
      <c r="B760" s="12" t="n"/>
      <c r="C760" s="12" t="n"/>
      <c r="D760" s="13">
        <f>IF($A760="","",TRIM($B760&amp;" "&amp;$C760))</f>
        <v/>
      </c>
      <c r="E760" s="12" t="n"/>
      <c r="F760" s="12" t="n"/>
      <c r="G760" s="14" t="n"/>
      <c r="H760" s="14" t="n"/>
      <c r="I760" s="12" t="n"/>
      <c r="J760" s="14" t="n"/>
      <c r="K760" s="12" t="n"/>
      <c r="L760" s="13">
        <f>IF($K760="","",IFERROR(INDEX(Dept_Names,MATCH($K760,Dept_Codes,0)),"NOT FOUND"))</f>
        <v/>
      </c>
      <c r="M760" s="12" t="n"/>
      <c r="N760" s="13">
        <f>IF($M760="","",IFERROR(INDEX(Desig_Names,MATCH($M760,Desig_Codes,0)),"NOT FOUND"))</f>
        <v/>
      </c>
      <c r="O760" s="13">
        <f>IF($M760="","",IFERROR(INDEX(Desig_Levels,MATCH($M760,Desig_Codes,0)),""))</f>
        <v/>
      </c>
      <c r="P760" s="12" t="n"/>
      <c r="Q760" s="12" t="n"/>
      <c r="R760" s="12" t="n"/>
      <c r="S760" s="13">
        <f>IF($R760="","",IFERROR(INDEX(Emp_Names,MATCH($R760,Emp_Codes,0)),"NOT FOUND"))</f>
        <v/>
      </c>
      <c r="T760" s="12" t="n"/>
      <c r="U760" s="12" t="n"/>
      <c r="V760" s="12" t="n"/>
    </row>
    <row r="761">
      <c r="A761" s="12" t="n"/>
      <c r="B761" s="12" t="n"/>
      <c r="C761" s="12" t="n"/>
      <c r="D761" s="13">
        <f>IF($A761="","",TRIM($B761&amp;" "&amp;$C761))</f>
        <v/>
      </c>
      <c r="E761" s="12" t="n"/>
      <c r="F761" s="12" t="n"/>
      <c r="G761" s="14" t="n"/>
      <c r="H761" s="14" t="n"/>
      <c r="I761" s="12" t="n"/>
      <c r="J761" s="14" t="n"/>
      <c r="K761" s="12" t="n"/>
      <c r="L761" s="13">
        <f>IF($K761="","",IFERROR(INDEX(Dept_Names,MATCH($K761,Dept_Codes,0)),"NOT FOUND"))</f>
        <v/>
      </c>
      <c r="M761" s="12" t="n"/>
      <c r="N761" s="13">
        <f>IF($M761="","",IFERROR(INDEX(Desig_Names,MATCH($M761,Desig_Codes,0)),"NOT FOUND"))</f>
        <v/>
      </c>
      <c r="O761" s="13">
        <f>IF($M761="","",IFERROR(INDEX(Desig_Levels,MATCH($M761,Desig_Codes,0)),""))</f>
        <v/>
      </c>
      <c r="P761" s="12" t="n"/>
      <c r="Q761" s="12" t="n"/>
      <c r="R761" s="12" t="n"/>
      <c r="S761" s="13">
        <f>IF($R761="","",IFERROR(INDEX(Emp_Names,MATCH($R761,Emp_Codes,0)),"NOT FOUND"))</f>
        <v/>
      </c>
      <c r="T761" s="12" t="n"/>
      <c r="U761" s="12" t="n"/>
      <c r="V761" s="12" t="n"/>
    </row>
    <row r="762">
      <c r="A762" s="12" t="n"/>
      <c r="B762" s="12" t="n"/>
      <c r="C762" s="12" t="n"/>
      <c r="D762" s="13">
        <f>IF($A762="","",TRIM($B762&amp;" "&amp;$C762))</f>
        <v/>
      </c>
      <c r="E762" s="12" t="n"/>
      <c r="F762" s="12" t="n"/>
      <c r="G762" s="14" t="n"/>
      <c r="H762" s="14" t="n"/>
      <c r="I762" s="12" t="n"/>
      <c r="J762" s="14" t="n"/>
      <c r="K762" s="12" t="n"/>
      <c r="L762" s="13">
        <f>IF($K762="","",IFERROR(INDEX(Dept_Names,MATCH($K762,Dept_Codes,0)),"NOT FOUND"))</f>
        <v/>
      </c>
      <c r="M762" s="12" t="n"/>
      <c r="N762" s="13">
        <f>IF($M762="","",IFERROR(INDEX(Desig_Names,MATCH($M762,Desig_Codes,0)),"NOT FOUND"))</f>
        <v/>
      </c>
      <c r="O762" s="13">
        <f>IF($M762="","",IFERROR(INDEX(Desig_Levels,MATCH($M762,Desig_Codes,0)),""))</f>
        <v/>
      </c>
      <c r="P762" s="12" t="n"/>
      <c r="Q762" s="12" t="n"/>
      <c r="R762" s="12" t="n"/>
      <c r="S762" s="13">
        <f>IF($R762="","",IFERROR(INDEX(Emp_Names,MATCH($R762,Emp_Codes,0)),"NOT FOUND"))</f>
        <v/>
      </c>
      <c r="T762" s="12" t="n"/>
      <c r="U762" s="12" t="n"/>
      <c r="V762" s="12" t="n"/>
    </row>
    <row r="763">
      <c r="A763" s="12" t="n"/>
      <c r="B763" s="12" t="n"/>
      <c r="C763" s="12" t="n"/>
      <c r="D763" s="13">
        <f>IF($A763="","",TRIM($B763&amp;" "&amp;$C763))</f>
        <v/>
      </c>
      <c r="E763" s="12" t="n"/>
      <c r="F763" s="12" t="n"/>
      <c r="G763" s="14" t="n"/>
      <c r="H763" s="14" t="n"/>
      <c r="I763" s="12" t="n"/>
      <c r="J763" s="14" t="n"/>
      <c r="K763" s="12" t="n"/>
      <c r="L763" s="13">
        <f>IF($K763="","",IFERROR(INDEX(Dept_Names,MATCH($K763,Dept_Codes,0)),"NOT FOUND"))</f>
        <v/>
      </c>
      <c r="M763" s="12" t="n"/>
      <c r="N763" s="13">
        <f>IF($M763="","",IFERROR(INDEX(Desig_Names,MATCH($M763,Desig_Codes,0)),"NOT FOUND"))</f>
        <v/>
      </c>
      <c r="O763" s="13">
        <f>IF($M763="","",IFERROR(INDEX(Desig_Levels,MATCH($M763,Desig_Codes,0)),""))</f>
        <v/>
      </c>
      <c r="P763" s="12" t="n"/>
      <c r="Q763" s="12" t="n"/>
      <c r="R763" s="12" t="n"/>
      <c r="S763" s="13">
        <f>IF($R763="","",IFERROR(INDEX(Emp_Names,MATCH($R763,Emp_Codes,0)),"NOT FOUND"))</f>
        <v/>
      </c>
      <c r="T763" s="12" t="n"/>
      <c r="U763" s="12" t="n"/>
      <c r="V763" s="12" t="n"/>
    </row>
    <row r="764">
      <c r="A764" s="12" t="n"/>
      <c r="B764" s="12" t="n"/>
      <c r="C764" s="12" t="n"/>
      <c r="D764" s="13">
        <f>IF($A764="","",TRIM($B764&amp;" "&amp;$C764))</f>
        <v/>
      </c>
      <c r="E764" s="12" t="n"/>
      <c r="F764" s="12" t="n"/>
      <c r="G764" s="14" t="n"/>
      <c r="H764" s="14" t="n"/>
      <c r="I764" s="12" t="n"/>
      <c r="J764" s="14" t="n"/>
      <c r="K764" s="12" t="n"/>
      <c r="L764" s="13">
        <f>IF($K764="","",IFERROR(INDEX(Dept_Names,MATCH($K764,Dept_Codes,0)),"NOT FOUND"))</f>
        <v/>
      </c>
      <c r="M764" s="12" t="n"/>
      <c r="N764" s="13">
        <f>IF($M764="","",IFERROR(INDEX(Desig_Names,MATCH($M764,Desig_Codes,0)),"NOT FOUND"))</f>
        <v/>
      </c>
      <c r="O764" s="13">
        <f>IF($M764="","",IFERROR(INDEX(Desig_Levels,MATCH($M764,Desig_Codes,0)),""))</f>
        <v/>
      </c>
      <c r="P764" s="12" t="n"/>
      <c r="Q764" s="12" t="n"/>
      <c r="R764" s="12" t="n"/>
      <c r="S764" s="13">
        <f>IF($R764="","",IFERROR(INDEX(Emp_Names,MATCH($R764,Emp_Codes,0)),"NOT FOUND"))</f>
        <v/>
      </c>
      <c r="T764" s="12" t="n"/>
      <c r="U764" s="12" t="n"/>
      <c r="V764" s="12" t="n"/>
    </row>
    <row r="765">
      <c r="A765" s="12" t="n"/>
      <c r="B765" s="12" t="n"/>
      <c r="C765" s="12" t="n"/>
      <c r="D765" s="13">
        <f>IF($A765="","",TRIM($B765&amp;" "&amp;$C765))</f>
        <v/>
      </c>
      <c r="E765" s="12" t="n"/>
      <c r="F765" s="12" t="n"/>
      <c r="G765" s="14" t="n"/>
      <c r="H765" s="14" t="n"/>
      <c r="I765" s="12" t="n"/>
      <c r="J765" s="14" t="n"/>
      <c r="K765" s="12" t="n"/>
      <c r="L765" s="13">
        <f>IF($K765="","",IFERROR(INDEX(Dept_Names,MATCH($K765,Dept_Codes,0)),"NOT FOUND"))</f>
        <v/>
      </c>
      <c r="M765" s="12" t="n"/>
      <c r="N765" s="13">
        <f>IF($M765="","",IFERROR(INDEX(Desig_Names,MATCH($M765,Desig_Codes,0)),"NOT FOUND"))</f>
        <v/>
      </c>
      <c r="O765" s="13">
        <f>IF($M765="","",IFERROR(INDEX(Desig_Levels,MATCH($M765,Desig_Codes,0)),""))</f>
        <v/>
      </c>
      <c r="P765" s="12" t="n"/>
      <c r="Q765" s="12" t="n"/>
      <c r="R765" s="12" t="n"/>
      <c r="S765" s="13">
        <f>IF($R765="","",IFERROR(INDEX(Emp_Names,MATCH($R765,Emp_Codes,0)),"NOT FOUND"))</f>
        <v/>
      </c>
      <c r="T765" s="12" t="n"/>
      <c r="U765" s="12" t="n"/>
      <c r="V765" s="12" t="n"/>
    </row>
    <row r="766">
      <c r="A766" s="12" t="n"/>
      <c r="B766" s="12" t="n"/>
      <c r="C766" s="12" t="n"/>
      <c r="D766" s="13">
        <f>IF($A766="","",TRIM($B766&amp;" "&amp;$C766))</f>
        <v/>
      </c>
      <c r="E766" s="12" t="n"/>
      <c r="F766" s="12" t="n"/>
      <c r="G766" s="14" t="n"/>
      <c r="H766" s="14" t="n"/>
      <c r="I766" s="12" t="n"/>
      <c r="J766" s="14" t="n"/>
      <c r="K766" s="12" t="n"/>
      <c r="L766" s="13">
        <f>IF($K766="","",IFERROR(INDEX(Dept_Names,MATCH($K766,Dept_Codes,0)),"NOT FOUND"))</f>
        <v/>
      </c>
      <c r="M766" s="12" t="n"/>
      <c r="N766" s="13">
        <f>IF($M766="","",IFERROR(INDEX(Desig_Names,MATCH($M766,Desig_Codes,0)),"NOT FOUND"))</f>
        <v/>
      </c>
      <c r="O766" s="13">
        <f>IF($M766="","",IFERROR(INDEX(Desig_Levels,MATCH($M766,Desig_Codes,0)),""))</f>
        <v/>
      </c>
      <c r="P766" s="12" t="n"/>
      <c r="Q766" s="12" t="n"/>
      <c r="R766" s="12" t="n"/>
      <c r="S766" s="13">
        <f>IF($R766="","",IFERROR(INDEX(Emp_Names,MATCH($R766,Emp_Codes,0)),"NOT FOUND"))</f>
        <v/>
      </c>
      <c r="T766" s="12" t="n"/>
      <c r="U766" s="12" t="n"/>
      <c r="V766" s="12" t="n"/>
    </row>
    <row r="767">
      <c r="A767" s="12" t="n"/>
      <c r="B767" s="12" t="n"/>
      <c r="C767" s="12" t="n"/>
      <c r="D767" s="13">
        <f>IF($A767="","",TRIM($B767&amp;" "&amp;$C767))</f>
        <v/>
      </c>
      <c r="E767" s="12" t="n"/>
      <c r="F767" s="12" t="n"/>
      <c r="G767" s="14" t="n"/>
      <c r="H767" s="14" t="n"/>
      <c r="I767" s="12" t="n"/>
      <c r="J767" s="14" t="n"/>
      <c r="K767" s="12" t="n"/>
      <c r="L767" s="13">
        <f>IF($K767="","",IFERROR(INDEX(Dept_Names,MATCH($K767,Dept_Codes,0)),"NOT FOUND"))</f>
        <v/>
      </c>
      <c r="M767" s="12" t="n"/>
      <c r="N767" s="13">
        <f>IF($M767="","",IFERROR(INDEX(Desig_Names,MATCH($M767,Desig_Codes,0)),"NOT FOUND"))</f>
        <v/>
      </c>
      <c r="O767" s="13">
        <f>IF($M767="","",IFERROR(INDEX(Desig_Levels,MATCH($M767,Desig_Codes,0)),""))</f>
        <v/>
      </c>
      <c r="P767" s="12" t="n"/>
      <c r="Q767" s="12" t="n"/>
      <c r="R767" s="12" t="n"/>
      <c r="S767" s="13">
        <f>IF($R767="","",IFERROR(INDEX(Emp_Names,MATCH($R767,Emp_Codes,0)),"NOT FOUND"))</f>
        <v/>
      </c>
      <c r="T767" s="12" t="n"/>
      <c r="U767" s="12" t="n"/>
      <c r="V767" s="12" t="n"/>
    </row>
    <row r="768">
      <c r="A768" s="12" t="n"/>
      <c r="B768" s="12" t="n"/>
      <c r="C768" s="12" t="n"/>
      <c r="D768" s="13">
        <f>IF($A768="","",TRIM($B768&amp;" "&amp;$C768))</f>
        <v/>
      </c>
      <c r="E768" s="12" t="n"/>
      <c r="F768" s="12" t="n"/>
      <c r="G768" s="14" t="n"/>
      <c r="H768" s="14" t="n"/>
      <c r="I768" s="12" t="n"/>
      <c r="J768" s="14" t="n"/>
      <c r="K768" s="12" t="n"/>
      <c r="L768" s="13">
        <f>IF($K768="","",IFERROR(INDEX(Dept_Names,MATCH($K768,Dept_Codes,0)),"NOT FOUND"))</f>
        <v/>
      </c>
      <c r="M768" s="12" t="n"/>
      <c r="N768" s="13">
        <f>IF($M768="","",IFERROR(INDEX(Desig_Names,MATCH($M768,Desig_Codes,0)),"NOT FOUND"))</f>
        <v/>
      </c>
      <c r="O768" s="13">
        <f>IF($M768="","",IFERROR(INDEX(Desig_Levels,MATCH($M768,Desig_Codes,0)),""))</f>
        <v/>
      </c>
      <c r="P768" s="12" t="n"/>
      <c r="Q768" s="12" t="n"/>
      <c r="R768" s="12" t="n"/>
      <c r="S768" s="13">
        <f>IF($R768="","",IFERROR(INDEX(Emp_Names,MATCH($R768,Emp_Codes,0)),"NOT FOUND"))</f>
        <v/>
      </c>
      <c r="T768" s="12" t="n"/>
      <c r="U768" s="12" t="n"/>
      <c r="V768" s="12" t="n"/>
    </row>
    <row r="769">
      <c r="A769" s="12" t="n"/>
      <c r="B769" s="12" t="n"/>
      <c r="C769" s="12" t="n"/>
      <c r="D769" s="13">
        <f>IF($A769="","",TRIM($B769&amp;" "&amp;$C769))</f>
        <v/>
      </c>
      <c r="E769" s="12" t="n"/>
      <c r="F769" s="12" t="n"/>
      <c r="G769" s="14" t="n"/>
      <c r="H769" s="14" t="n"/>
      <c r="I769" s="12" t="n"/>
      <c r="J769" s="14" t="n"/>
      <c r="K769" s="12" t="n"/>
      <c r="L769" s="13">
        <f>IF($K769="","",IFERROR(INDEX(Dept_Names,MATCH($K769,Dept_Codes,0)),"NOT FOUND"))</f>
        <v/>
      </c>
      <c r="M769" s="12" t="n"/>
      <c r="N769" s="13">
        <f>IF($M769="","",IFERROR(INDEX(Desig_Names,MATCH($M769,Desig_Codes,0)),"NOT FOUND"))</f>
        <v/>
      </c>
      <c r="O769" s="13">
        <f>IF($M769="","",IFERROR(INDEX(Desig_Levels,MATCH($M769,Desig_Codes,0)),""))</f>
        <v/>
      </c>
      <c r="P769" s="12" t="n"/>
      <c r="Q769" s="12" t="n"/>
      <c r="R769" s="12" t="n"/>
      <c r="S769" s="13">
        <f>IF($R769="","",IFERROR(INDEX(Emp_Names,MATCH($R769,Emp_Codes,0)),"NOT FOUND"))</f>
        <v/>
      </c>
      <c r="T769" s="12" t="n"/>
      <c r="U769" s="12" t="n"/>
      <c r="V769" s="12" t="n"/>
    </row>
    <row r="770">
      <c r="A770" s="12" t="n"/>
      <c r="B770" s="12" t="n"/>
      <c r="C770" s="12" t="n"/>
      <c r="D770" s="13">
        <f>IF($A770="","",TRIM($B770&amp;" "&amp;$C770))</f>
        <v/>
      </c>
      <c r="E770" s="12" t="n"/>
      <c r="F770" s="12" t="n"/>
      <c r="G770" s="14" t="n"/>
      <c r="H770" s="14" t="n"/>
      <c r="I770" s="12" t="n"/>
      <c r="J770" s="14" t="n"/>
      <c r="K770" s="12" t="n"/>
      <c r="L770" s="13">
        <f>IF($K770="","",IFERROR(INDEX(Dept_Names,MATCH($K770,Dept_Codes,0)),"NOT FOUND"))</f>
        <v/>
      </c>
      <c r="M770" s="12" t="n"/>
      <c r="N770" s="13">
        <f>IF($M770="","",IFERROR(INDEX(Desig_Names,MATCH($M770,Desig_Codes,0)),"NOT FOUND"))</f>
        <v/>
      </c>
      <c r="O770" s="13">
        <f>IF($M770="","",IFERROR(INDEX(Desig_Levels,MATCH($M770,Desig_Codes,0)),""))</f>
        <v/>
      </c>
      <c r="P770" s="12" t="n"/>
      <c r="Q770" s="12" t="n"/>
      <c r="R770" s="12" t="n"/>
      <c r="S770" s="13">
        <f>IF($R770="","",IFERROR(INDEX(Emp_Names,MATCH($R770,Emp_Codes,0)),"NOT FOUND"))</f>
        <v/>
      </c>
      <c r="T770" s="12" t="n"/>
      <c r="U770" s="12" t="n"/>
      <c r="V770" s="12" t="n"/>
    </row>
    <row r="771">
      <c r="A771" s="12" t="n"/>
      <c r="B771" s="12" t="n"/>
      <c r="C771" s="12" t="n"/>
      <c r="D771" s="13">
        <f>IF($A771="","",TRIM($B771&amp;" "&amp;$C771))</f>
        <v/>
      </c>
      <c r="E771" s="12" t="n"/>
      <c r="F771" s="12" t="n"/>
      <c r="G771" s="14" t="n"/>
      <c r="H771" s="14" t="n"/>
      <c r="I771" s="12" t="n"/>
      <c r="J771" s="14" t="n"/>
      <c r="K771" s="12" t="n"/>
      <c r="L771" s="13">
        <f>IF($K771="","",IFERROR(INDEX(Dept_Names,MATCH($K771,Dept_Codes,0)),"NOT FOUND"))</f>
        <v/>
      </c>
      <c r="M771" s="12" t="n"/>
      <c r="N771" s="13">
        <f>IF($M771="","",IFERROR(INDEX(Desig_Names,MATCH($M771,Desig_Codes,0)),"NOT FOUND"))</f>
        <v/>
      </c>
      <c r="O771" s="13">
        <f>IF($M771="","",IFERROR(INDEX(Desig_Levels,MATCH($M771,Desig_Codes,0)),""))</f>
        <v/>
      </c>
      <c r="P771" s="12" t="n"/>
      <c r="Q771" s="12" t="n"/>
      <c r="R771" s="12" t="n"/>
      <c r="S771" s="13">
        <f>IF($R771="","",IFERROR(INDEX(Emp_Names,MATCH($R771,Emp_Codes,0)),"NOT FOUND"))</f>
        <v/>
      </c>
      <c r="T771" s="12" t="n"/>
      <c r="U771" s="12" t="n"/>
      <c r="V771" s="12" t="n"/>
    </row>
    <row r="772">
      <c r="A772" s="12" t="n"/>
      <c r="B772" s="12" t="n"/>
      <c r="C772" s="12" t="n"/>
      <c r="D772" s="13">
        <f>IF($A772="","",TRIM($B772&amp;" "&amp;$C772))</f>
        <v/>
      </c>
      <c r="E772" s="12" t="n"/>
      <c r="F772" s="12" t="n"/>
      <c r="G772" s="14" t="n"/>
      <c r="H772" s="14" t="n"/>
      <c r="I772" s="12" t="n"/>
      <c r="J772" s="14" t="n"/>
      <c r="K772" s="12" t="n"/>
      <c r="L772" s="13">
        <f>IF($K772="","",IFERROR(INDEX(Dept_Names,MATCH($K772,Dept_Codes,0)),"NOT FOUND"))</f>
        <v/>
      </c>
      <c r="M772" s="12" t="n"/>
      <c r="N772" s="13">
        <f>IF($M772="","",IFERROR(INDEX(Desig_Names,MATCH($M772,Desig_Codes,0)),"NOT FOUND"))</f>
        <v/>
      </c>
      <c r="O772" s="13">
        <f>IF($M772="","",IFERROR(INDEX(Desig_Levels,MATCH($M772,Desig_Codes,0)),""))</f>
        <v/>
      </c>
      <c r="P772" s="12" t="n"/>
      <c r="Q772" s="12" t="n"/>
      <c r="R772" s="12" t="n"/>
      <c r="S772" s="13">
        <f>IF($R772="","",IFERROR(INDEX(Emp_Names,MATCH($R772,Emp_Codes,0)),"NOT FOUND"))</f>
        <v/>
      </c>
      <c r="T772" s="12" t="n"/>
      <c r="U772" s="12" t="n"/>
      <c r="V772" s="12" t="n"/>
    </row>
    <row r="773">
      <c r="A773" s="12" t="n"/>
      <c r="B773" s="12" t="n"/>
      <c r="C773" s="12" t="n"/>
      <c r="D773" s="13">
        <f>IF($A773="","",TRIM($B773&amp;" "&amp;$C773))</f>
        <v/>
      </c>
      <c r="E773" s="12" t="n"/>
      <c r="F773" s="12" t="n"/>
      <c r="G773" s="14" t="n"/>
      <c r="H773" s="14" t="n"/>
      <c r="I773" s="12" t="n"/>
      <c r="J773" s="14" t="n"/>
      <c r="K773" s="12" t="n"/>
      <c r="L773" s="13">
        <f>IF($K773="","",IFERROR(INDEX(Dept_Names,MATCH($K773,Dept_Codes,0)),"NOT FOUND"))</f>
        <v/>
      </c>
      <c r="M773" s="12" t="n"/>
      <c r="N773" s="13">
        <f>IF($M773="","",IFERROR(INDEX(Desig_Names,MATCH($M773,Desig_Codes,0)),"NOT FOUND"))</f>
        <v/>
      </c>
      <c r="O773" s="13">
        <f>IF($M773="","",IFERROR(INDEX(Desig_Levels,MATCH($M773,Desig_Codes,0)),""))</f>
        <v/>
      </c>
      <c r="P773" s="12" t="n"/>
      <c r="Q773" s="12" t="n"/>
      <c r="R773" s="12" t="n"/>
      <c r="S773" s="13">
        <f>IF($R773="","",IFERROR(INDEX(Emp_Names,MATCH($R773,Emp_Codes,0)),"NOT FOUND"))</f>
        <v/>
      </c>
      <c r="T773" s="12" t="n"/>
      <c r="U773" s="12" t="n"/>
      <c r="V773" s="12" t="n"/>
    </row>
    <row r="774">
      <c r="A774" s="12" t="n"/>
      <c r="B774" s="12" t="n"/>
      <c r="C774" s="12" t="n"/>
      <c r="D774" s="13">
        <f>IF($A774="","",TRIM($B774&amp;" "&amp;$C774))</f>
        <v/>
      </c>
      <c r="E774" s="12" t="n"/>
      <c r="F774" s="12" t="n"/>
      <c r="G774" s="14" t="n"/>
      <c r="H774" s="14" t="n"/>
      <c r="I774" s="12" t="n"/>
      <c r="J774" s="14" t="n"/>
      <c r="K774" s="12" t="n"/>
      <c r="L774" s="13">
        <f>IF($K774="","",IFERROR(INDEX(Dept_Names,MATCH($K774,Dept_Codes,0)),"NOT FOUND"))</f>
        <v/>
      </c>
      <c r="M774" s="12" t="n"/>
      <c r="N774" s="13">
        <f>IF($M774="","",IFERROR(INDEX(Desig_Names,MATCH($M774,Desig_Codes,0)),"NOT FOUND"))</f>
        <v/>
      </c>
      <c r="O774" s="13">
        <f>IF($M774="","",IFERROR(INDEX(Desig_Levels,MATCH($M774,Desig_Codes,0)),""))</f>
        <v/>
      </c>
      <c r="P774" s="12" t="n"/>
      <c r="Q774" s="12" t="n"/>
      <c r="R774" s="12" t="n"/>
      <c r="S774" s="13">
        <f>IF($R774="","",IFERROR(INDEX(Emp_Names,MATCH($R774,Emp_Codes,0)),"NOT FOUND"))</f>
        <v/>
      </c>
      <c r="T774" s="12" t="n"/>
      <c r="U774" s="12" t="n"/>
      <c r="V774" s="12" t="n"/>
    </row>
    <row r="775">
      <c r="A775" s="12" t="n"/>
      <c r="B775" s="12" t="n"/>
      <c r="C775" s="12" t="n"/>
      <c r="D775" s="13">
        <f>IF($A775="","",TRIM($B775&amp;" "&amp;$C775))</f>
        <v/>
      </c>
      <c r="E775" s="12" t="n"/>
      <c r="F775" s="12" t="n"/>
      <c r="G775" s="14" t="n"/>
      <c r="H775" s="14" t="n"/>
      <c r="I775" s="12" t="n"/>
      <c r="J775" s="14" t="n"/>
      <c r="K775" s="12" t="n"/>
      <c r="L775" s="13">
        <f>IF($K775="","",IFERROR(INDEX(Dept_Names,MATCH($K775,Dept_Codes,0)),"NOT FOUND"))</f>
        <v/>
      </c>
      <c r="M775" s="12" t="n"/>
      <c r="N775" s="13">
        <f>IF($M775="","",IFERROR(INDEX(Desig_Names,MATCH($M775,Desig_Codes,0)),"NOT FOUND"))</f>
        <v/>
      </c>
      <c r="O775" s="13">
        <f>IF($M775="","",IFERROR(INDEX(Desig_Levels,MATCH($M775,Desig_Codes,0)),""))</f>
        <v/>
      </c>
      <c r="P775" s="12" t="n"/>
      <c r="Q775" s="12" t="n"/>
      <c r="R775" s="12" t="n"/>
      <c r="S775" s="13">
        <f>IF($R775="","",IFERROR(INDEX(Emp_Names,MATCH($R775,Emp_Codes,0)),"NOT FOUND"))</f>
        <v/>
      </c>
      <c r="T775" s="12" t="n"/>
      <c r="U775" s="12" t="n"/>
      <c r="V775" s="12" t="n"/>
    </row>
    <row r="776">
      <c r="A776" s="12" t="n"/>
      <c r="B776" s="12" t="n"/>
      <c r="C776" s="12" t="n"/>
      <c r="D776" s="13">
        <f>IF($A776="","",TRIM($B776&amp;" "&amp;$C776))</f>
        <v/>
      </c>
      <c r="E776" s="12" t="n"/>
      <c r="F776" s="12" t="n"/>
      <c r="G776" s="14" t="n"/>
      <c r="H776" s="14" t="n"/>
      <c r="I776" s="12" t="n"/>
      <c r="J776" s="14" t="n"/>
      <c r="K776" s="12" t="n"/>
      <c r="L776" s="13">
        <f>IF($K776="","",IFERROR(INDEX(Dept_Names,MATCH($K776,Dept_Codes,0)),"NOT FOUND"))</f>
        <v/>
      </c>
      <c r="M776" s="12" t="n"/>
      <c r="N776" s="13">
        <f>IF($M776="","",IFERROR(INDEX(Desig_Names,MATCH($M776,Desig_Codes,0)),"NOT FOUND"))</f>
        <v/>
      </c>
      <c r="O776" s="13">
        <f>IF($M776="","",IFERROR(INDEX(Desig_Levels,MATCH($M776,Desig_Codes,0)),""))</f>
        <v/>
      </c>
      <c r="P776" s="12" t="n"/>
      <c r="Q776" s="12" t="n"/>
      <c r="R776" s="12" t="n"/>
      <c r="S776" s="13">
        <f>IF($R776="","",IFERROR(INDEX(Emp_Names,MATCH($R776,Emp_Codes,0)),"NOT FOUND"))</f>
        <v/>
      </c>
      <c r="T776" s="12" t="n"/>
      <c r="U776" s="12" t="n"/>
      <c r="V776" s="12" t="n"/>
    </row>
    <row r="777">
      <c r="A777" s="12" t="n"/>
      <c r="B777" s="12" t="n"/>
      <c r="C777" s="12" t="n"/>
      <c r="D777" s="13">
        <f>IF($A777="","",TRIM($B777&amp;" "&amp;$C777))</f>
        <v/>
      </c>
      <c r="E777" s="12" t="n"/>
      <c r="F777" s="12" t="n"/>
      <c r="G777" s="14" t="n"/>
      <c r="H777" s="14" t="n"/>
      <c r="I777" s="12" t="n"/>
      <c r="J777" s="14" t="n"/>
      <c r="K777" s="12" t="n"/>
      <c r="L777" s="13">
        <f>IF($K777="","",IFERROR(INDEX(Dept_Names,MATCH($K777,Dept_Codes,0)),"NOT FOUND"))</f>
        <v/>
      </c>
      <c r="M777" s="12" t="n"/>
      <c r="N777" s="13">
        <f>IF($M777="","",IFERROR(INDEX(Desig_Names,MATCH($M777,Desig_Codes,0)),"NOT FOUND"))</f>
        <v/>
      </c>
      <c r="O777" s="13">
        <f>IF($M777="","",IFERROR(INDEX(Desig_Levels,MATCH($M777,Desig_Codes,0)),""))</f>
        <v/>
      </c>
      <c r="P777" s="12" t="n"/>
      <c r="Q777" s="12" t="n"/>
      <c r="R777" s="12" t="n"/>
      <c r="S777" s="13">
        <f>IF($R777="","",IFERROR(INDEX(Emp_Names,MATCH($R777,Emp_Codes,0)),"NOT FOUND"))</f>
        <v/>
      </c>
      <c r="T777" s="12" t="n"/>
      <c r="U777" s="12" t="n"/>
      <c r="V777" s="12" t="n"/>
    </row>
    <row r="778">
      <c r="A778" s="12" t="n"/>
      <c r="B778" s="12" t="n"/>
      <c r="C778" s="12" t="n"/>
      <c r="D778" s="13">
        <f>IF($A778="","",TRIM($B778&amp;" "&amp;$C778))</f>
        <v/>
      </c>
      <c r="E778" s="12" t="n"/>
      <c r="F778" s="12" t="n"/>
      <c r="G778" s="14" t="n"/>
      <c r="H778" s="14" t="n"/>
      <c r="I778" s="12" t="n"/>
      <c r="J778" s="14" t="n"/>
      <c r="K778" s="12" t="n"/>
      <c r="L778" s="13">
        <f>IF($K778="","",IFERROR(INDEX(Dept_Names,MATCH($K778,Dept_Codes,0)),"NOT FOUND"))</f>
        <v/>
      </c>
      <c r="M778" s="12" t="n"/>
      <c r="N778" s="13">
        <f>IF($M778="","",IFERROR(INDEX(Desig_Names,MATCH($M778,Desig_Codes,0)),"NOT FOUND"))</f>
        <v/>
      </c>
      <c r="O778" s="13">
        <f>IF($M778="","",IFERROR(INDEX(Desig_Levels,MATCH($M778,Desig_Codes,0)),""))</f>
        <v/>
      </c>
      <c r="P778" s="12" t="n"/>
      <c r="Q778" s="12" t="n"/>
      <c r="R778" s="12" t="n"/>
      <c r="S778" s="13">
        <f>IF($R778="","",IFERROR(INDEX(Emp_Names,MATCH($R778,Emp_Codes,0)),"NOT FOUND"))</f>
        <v/>
      </c>
      <c r="T778" s="12" t="n"/>
      <c r="U778" s="12" t="n"/>
      <c r="V778" s="12" t="n"/>
    </row>
    <row r="779">
      <c r="A779" s="12" t="n"/>
      <c r="B779" s="12" t="n"/>
      <c r="C779" s="12" t="n"/>
      <c r="D779" s="13">
        <f>IF($A779="","",TRIM($B779&amp;" "&amp;$C779))</f>
        <v/>
      </c>
      <c r="E779" s="12" t="n"/>
      <c r="F779" s="12" t="n"/>
      <c r="G779" s="14" t="n"/>
      <c r="H779" s="14" t="n"/>
      <c r="I779" s="12" t="n"/>
      <c r="J779" s="14" t="n"/>
      <c r="K779" s="12" t="n"/>
      <c r="L779" s="13">
        <f>IF($K779="","",IFERROR(INDEX(Dept_Names,MATCH($K779,Dept_Codes,0)),"NOT FOUND"))</f>
        <v/>
      </c>
      <c r="M779" s="12" t="n"/>
      <c r="N779" s="13">
        <f>IF($M779="","",IFERROR(INDEX(Desig_Names,MATCH($M779,Desig_Codes,0)),"NOT FOUND"))</f>
        <v/>
      </c>
      <c r="O779" s="13">
        <f>IF($M779="","",IFERROR(INDEX(Desig_Levels,MATCH($M779,Desig_Codes,0)),""))</f>
        <v/>
      </c>
      <c r="P779" s="12" t="n"/>
      <c r="Q779" s="12" t="n"/>
      <c r="R779" s="12" t="n"/>
      <c r="S779" s="13">
        <f>IF($R779="","",IFERROR(INDEX(Emp_Names,MATCH($R779,Emp_Codes,0)),"NOT FOUND"))</f>
        <v/>
      </c>
      <c r="T779" s="12" t="n"/>
      <c r="U779" s="12" t="n"/>
      <c r="V779" s="12" t="n"/>
    </row>
    <row r="780">
      <c r="A780" s="12" t="n"/>
      <c r="B780" s="12" t="n"/>
      <c r="C780" s="12" t="n"/>
      <c r="D780" s="13">
        <f>IF($A780="","",TRIM($B780&amp;" "&amp;$C780))</f>
        <v/>
      </c>
      <c r="E780" s="12" t="n"/>
      <c r="F780" s="12" t="n"/>
      <c r="G780" s="14" t="n"/>
      <c r="H780" s="14" t="n"/>
      <c r="I780" s="12" t="n"/>
      <c r="J780" s="14" t="n"/>
      <c r="K780" s="12" t="n"/>
      <c r="L780" s="13">
        <f>IF($K780="","",IFERROR(INDEX(Dept_Names,MATCH($K780,Dept_Codes,0)),"NOT FOUND"))</f>
        <v/>
      </c>
      <c r="M780" s="12" t="n"/>
      <c r="N780" s="13">
        <f>IF($M780="","",IFERROR(INDEX(Desig_Names,MATCH($M780,Desig_Codes,0)),"NOT FOUND"))</f>
        <v/>
      </c>
      <c r="O780" s="13">
        <f>IF($M780="","",IFERROR(INDEX(Desig_Levels,MATCH($M780,Desig_Codes,0)),""))</f>
        <v/>
      </c>
      <c r="P780" s="12" t="n"/>
      <c r="Q780" s="12" t="n"/>
      <c r="R780" s="12" t="n"/>
      <c r="S780" s="13">
        <f>IF($R780="","",IFERROR(INDEX(Emp_Names,MATCH($R780,Emp_Codes,0)),"NOT FOUND"))</f>
        <v/>
      </c>
      <c r="T780" s="12" t="n"/>
      <c r="U780" s="12" t="n"/>
      <c r="V780" s="12" t="n"/>
    </row>
    <row r="781">
      <c r="A781" s="12" t="n"/>
      <c r="B781" s="12" t="n"/>
      <c r="C781" s="12" t="n"/>
      <c r="D781" s="13">
        <f>IF($A781="","",TRIM($B781&amp;" "&amp;$C781))</f>
        <v/>
      </c>
      <c r="E781" s="12" t="n"/>
      <c r="F781" s="12" t="n"/>
      <c r="G781" s="14" t="n"/>
      <c r="H781" s="14" t="n"/>
      <c r="I781" s="12" t="n"/>
      <c r="J781" s="14" t="n"/>
      <c r="K781" s="12" t="n"/>
      <c r="L781" s="13">
        <f>IF($K781="","",IFERROR(INDEX(Dept_Names,MATCH($K781,Dept_Codes,0)),"NOT FOUND"))</f>
        <v/>
      </c>
      <c r="M781" s="12" t="n"/>
      <c r="N781" s="13">
        <f>IF($M781="","",IFERROR(INDEX(Desig_Names,MATCH($M781,Desig_Codes,0)),"NOT FOUND"))</f>
        <v/>
      </c>
      <c r="O781" s="13">
        <f>IF($M781="","",IFERROR(INDEX(Desig_Levels,MATCH($M781,Desig_Codes,0)),""))</f>
        <v/>
      </c>
      <c r="P781" s="12" t="n"/>
      <c r="Q781" s="12" t="n"/>
      <c r="R781" s="12" t="n"/>
      <c r="S781" s="13">
        <f>IF($R781="","",IFERROR(INDEX(Emp_Names,MATCH($R781,Emp_Codes,0)),"NOT FOUND"))</f>
        <v/>
      </c>
      <c r="T781" s="12" t="n"/>
      <c r="U781" s="12" t="n"/>
      <c r="V781" s="12" t="n"/>
    </row>
    <row r="782">
      <c r="A782" s="12" t="n"/>
      <c r="B782" s="12" t="n"/>
      <c r="C782" s="12" t="n"/>
      <c r="D782" s="13">
        <f>IF($A782="","",TRIM($B782&amp;" "&amp;$C782))</f>
        <v/>
      </c>
      <c r="E782" s="12" t="n"/>
      <c r="F782" s="12" t="n"/>
      <c r="G782" s="14" t="n"/>
      <c r="H782" s="14" t="n"/>
      <c r="I782" s="12" t="n"/>
      <c r="J782" s="14" t="n"/>
      <c r="K782" s="12" t="n"/>
      <c r="L782" s="13">
        <f>IF($K782="","",IFERROR(INDEX(Dept_Names,MATCH($K782,Dept_Codes,0)),"NOT FOUND"))</f>
        <v/>
      </c>
      <c r="M782" s="12" t="n"/>
      <c r="N782" s="13">
        <f>IF($M782="","",IFERROR(INDEX(Desig_Names,MATCH($M782,Desig_Codes,0)),"NOT FOUND"))</f>
        <v/>
      </c>
      <c r="O782" s="13">
        <f>IF($M782="","",IFERROR(INDEX(Desig_Levels,MATCH($M782,Desig_Codes,0)),""))</f>
        <v/>
      </c>
      <c r="P782" s="12" t="n"/>
      <c r="Q782" s="12" t="n"/>
      <c r="R782" s="12" t="n"/>
      <c r="S782" s="13">
        <f>IF($R782="","",IFERROR(INDEX(Emp_Names,MATCH($R782,Emp_Codes,0)),"NOT FOUND"))</f>
        <v/>
      </c>
      <c r="T782" s="12" t="n"/>
      <c r="U782" s="12" t="n"/>
      <c r="V782" s="12" t="n"/>
    </row>
    <row r="783">
      <c r="A783" s="12" t="n"/>
      <c r="B783" s="12" t="n"/>
      <c r="C783" s="12" t="n"/>
      <c r="D783" s="13">
        <f>IF($A783="","",TRIM($B783&amp;" "&amp;$C783))</f>
        <v/>
      </c>
      <c r="E783" s="12" t="n"/>
      <c r="F783" s="12" t="n"/>
      <c r="G783" s="14" t="n"/>
      <c r="H783" s="14" t="n"/>
      <c r="I783" s="12" t="n"/>
      <c r="J783" s="14" t="n"/>
      <c r="K783" s="12" t="n"/>
      <c r="L783" s="13">
        <f>IF($K783="","",IFERROR(INDEX(Dept_Names,MATCH($K783,Dept_Codes,0)),"NOT FOUND"))</f>
        <v/>
      </c>
      <c r="M783" s="12" t="n"/>
      <c r="N783" s="13">
        <f>IF($M783="","",IFERROR(INDEX(Desig_Names,MATCH($M783,Desig_Codes,0)),"NOT FOUND"))</f>
        <v/>
      </c>
      <c r="O783" s="13">
        <f>IF($M783="","",IFERROR(INDEX(Desig_Levels,MATCH($M783,Desig_Codes,0)),""))</f>
        <v/>
      </c>
      <c r="P783" s="12" t="n"/>
      <c r="Q783" s="12" t="n"/>
      <c r="R783" s="12" t="n"/>
      <c r="S783" s="13">
        <f>IF($R783="","",IFERROR(INDEX(Emp_Names,MATCH($R783,Emp_Codes,0)),"NOT FOUND"))</f>
        <v/>
      </c>
      <c r="T783" s="12" t="n"/>
      <c r="U783" s="12" t="n"/>
      <c r="V783" s="12" t="n"/>
    </row>
    <row r="784">
      <c r="A784" s="12" t="n"/>
      <c r="B784" s="12" t="n"/>
      <c r="C784" s="12" t="n"/>
      <c r="D784" s="13">
        <f>IF($A784="","",TRIM($B784&amp;" "&amp;$C784))</f>
        <v/>
      </c>
      <c r="E784" s="12" t="n"/>
      <c r="F784" s="12" t="n"/>
      <c r="G784" s="14" t="n"/>
      <c r="H784" s="14" t="n"/>
      <c r="I784" s="12" t="n"/>
      <c r="J784" s="14" t="n"/>
      <c r="K784" s="12" t="n"/>
      <c r="L784" s="13">
        <f>IF($K784="","",IFERROR(INDEX(Dept_Names,MATCH($K784,Dept_Codes,0)),"NOT FOUND"))</f>
        <v/>
      </c>
      <c r="M784" s="12" t="n"/>
      <c r="N784" s="13">
        <f>IF($M784="","",IFERROR(INDEX(Desig_Names,MATCH($M784,Desig_Codes,0)),"NOT FOUND"))</f>
        <v/>
      </c>
      <c r="O784" s="13">
        <f>IF($M784="","",IFERROR(INDEX(Desig_Levels,MATCH($M784,Desig_Codes,0)),""))</f>
        <v/>
      </c>
      <c r="P784" s="12" t="n"/>
      <c r="Q784" s="12" t="n"/>
      <c r="R784" s="12" t="n"/>
      <c r="S784" s="13">
        <f>IF($R784="","",IFERROR(INDEX(Emp_Names,MATCH($R784,Emp_Codes,0)),"NOT FOUND"))</f>
        <v/>
      </c>
      <c r="T784" s="12" t="n"/>
      <c r="U784" s="12" t="n"/>
      <c r="V784" s="12" t="n"/>
    </row>
    <row r="785">
      <c r="A785" s="12" t="n"/>
      <c r="B785" s="12" t="n"/>
      <c r="C785" s="12" t="n"/>
      <c r="D785" s="13">
        <f>IF($A785="","",TRIM($B785&amp;" "&amp;$C785))</f>
        <v/>
      </c>
      <c r="E785" s="12" t="n"/>
      <c r="F785" s="12" t="n"/>
      <c r="G785" s="14" t="n"/>
      <c r="H785" s="14" t="n"/>
      <c r="I785" s="12" t="n"/>
      <c r="J785" s="14" t="n"/>
      <c r="K785" s="12" t="n"/>
      <c r="L785" s="13">
        <f>IF($K785="","",IFERROR(INDEX(Dept_Names,MATCH($K785,Dept_Codes,0)),"NOT FOUND"))</f>
        <v/>
      </c>
      <c r="M785" s="12" t="n"/>
      <c r="N785" s="13">
        <f>IF($M785="","",IFERROR(INDEX(Desig_Names,MATCH($M785,Desig_Codes,0)),"NOT FOUND"))</f>
        <v/>
      </c>
      <c r="O785" s="13">
        <f>IF($M785="","",IFERROR(INDEX(Desig_Levels,MATCH($M785,Desig_Codes,0)),""))</f>
        <v/>
      </c>
      <c r="P785" s="12" t="n"/>
      <c r="Q785" s="12" t="n"/>
      <c r="R785" s="12" t="n"/>
      <c r="S785" s="13">
        <f>IF($R785="","",IFERROR(INDEX(Emp_Names,MATCH($R785,Emp_Codes,0)),"NOT FOUND"))</f>
        <v/>
      </c>
      <c r="T785" s="12" t="n"/>
      <c r="U785" s="12" t="n"/>
      <c r="V785" s="12" t="n"/>
    </row>
    <row r="786">
      <c r="A786" s="12" t="n"/>
      <c r="B786" s="12" t="n"/>
      <c r="C786" s="12" t="n"/>
      <c r="D786" s="13">
        <f>IF($A786="","",TRIM($B786&amp;" "&amp;$C786))</f>
        <v/>
      </c>
      <c r="E786" s="12" t="n"/>
      <c r="F786" s="12" t="n"/>
      <c r="G786" s="14" t="n"/>
      <c r="H786" s="14" t="n"/>
      <c r="I786" s="12" t="n"/>
      <c r="J786" s="14" t="n"/>
      <c r="K786" s="12" t="n"/>
      <c r="L786" s="13">
        <f>IF($K786="","",IFERROR(INDEX(Dept_Names,MATCH($K786,Dept_Codes,0)),"NOT FOUND"))</f>
        <v/>
      </c>
      <c r="M786" s="12" t="n"/>
      <c r="N786" s="13">
        <f>IF($M786="","",IFERROR(INDEX(Desig_Names,MATCH($M786,Desig_Codes,0)),"NOT FOUND"))</f>
        <v/>
      </c>
      <c r="O786" s="13">
        <f>IF($M786="","",IFERROR(INDEX(Desig_Levels,MATCH($M786,Desig_Codes,0)),""))</f>
        <v/>
      </c>
      <c r="P786" s="12" t="n"/>
      <c r="Q786" s="12" t="n"/>
      <c r="R786" s="12" t="n"/>
      <c r="S786" s="13">
        <f>IF($R786="","",IFERROR(INDEX(Emp_Names,MATCH($R786,Emp_Codes,0)),"NOT FOUND"))</f>
        <v/>
      </c>
      <c r="T786" s="12" t="n"/>
      <c r="U786" s="12" t="n"/>
      <c r="V786" s="12" t="n"/>
    </row>
    <row r="787">
      <c r="A787" s="12" t="n"/>
      <c r="B787" s="12" t="n"/>
      <c r="C787" s="12" t="n"/>
      <c r="D787" s="13">
        <f>IF($A787="","",TRIM($B787&amp;" "&amp;$C787))</f>
        <v/>
      </c>
      <c r="E787" s="12" t="n"/>
      <c r="F787" s="12" t="n"/>
      <c r="G787" s="14" t="n"/>
      <c r="H787" s="14" t="n"/>
      <c r="I787" s="12" t="n"/>
      <c r="J787" s="14" t="n"/>
      <c r="K787" s="12" t="n"/>
      <c r="L787" s="13">
        <f>IF($K787="","",IFERROR(INDEX(Dept_Names,MATCH($K787,Dept_Codes,0)),"NOT FOUND"))</f>
        <v/>
      </c>
      <c r="M787" s="12" t="n"/>
      <c r="N787" s="13">
        <f>IF($M787="","",IFERROR(INDEX(Desig_Names,MATCH($M787,Desig_Codes,0)),"NOT FOUND"))</f>
        <v/>
      </c>
      <c r="O787" s="13">
        <f>IF($M787="","",IFERROR(INDEX(Desig_Levels,MATCH($M787,Desig_Codes,0)),""))</f>
        <v/>
      </c>
      <c r="P787" s="12" t="n"/>
      <c r="Q787" s="12" t="n"/>
      <c r="R787" s="12" t="n"/>
      <c r="S787" s="13">
        <f>IF($R787="","",IFERROR(INDEX(Emp_Names,MATCH($R787,Emp_Codes,0)),"NOT FOUND"))</f>
        <v/>
      </c>
      <c r="T787" s="12" t="n"/>
      <c r="U787" s="12" t="n"/>
      <c r="V787" s="12" t="n"/>
    </row>
    <row r="788">
      <c r="A788" s="12" t="n"/>
      <c r="B788" s="12" t="n"/>
      <c r="C788" s="12" t="n"/>
      <c r="D788" s="13">
        <f>IF($A788="","",TRIM($B788&amp;" "&amp;$C788))</f>
        <v/>
      </c>
      <c r="E788" s="12" t="n"/>
      <c r="F788" s="12" t="n"/>
      <c r="G788" s="14" t="n"/>
      <c r="H788" s="14" t="n"/>
      <c r="I788" s="12" t="n"/>
      <c r="J788" s="14" t="n"/>
      <c r="K788" s="12" t="n"/>
      <c r="L788" s="13">
        <f>IF($K788="","",IFERROR(INDEX(Dept_Names,MATCH($K788,Dept_Codes,0)),"NOT FOUND"))</f>
        <v/>
      </c>
      <c r="M788" s="12" t="n"/>
      <c r="N788" s="13">
        <f>IF($M788="","",IFERROR(INDEX(Desig_Names,MATCH($M788,Desig_Codes,0)),"NOT FOUND"))</f>
        <v/>
      </c>
      <c r="O788" s="13">
        <f>IF($M788="","",IFERROR(INDEX(Desig_Levels,MATCH($M788,Desig_Codes,0)),""))</f>
        <v/>
      </c>
      <c r="P788" s="12" t="n"/>
      <c r="Q788" s="12" t="n"/>
      <c r="R788" s="12" t="n"/>
      <c r="S788" s="13">
        <f>IF($R788="","",IFERROR(INDEX(Emp_Names,MATCH($R788,Emp_Codes,0)),"NOT FOUND"))</f>
        <v/>
      </c>
      <c r="T788" s="12" t="n"/>
      <c r="U788" s="12" t="n"/>
      <c r="V788" s="12" t="n"/>
    </row>
    <row r="789">
      <c r="A789" s="12" t="n"/>
      <c r="B789" s="12" t="n"/>
      <c r="C789" s="12" t="n"/>
      <c r="D789" s="13">
        <f>IF($A789="","",TRIM($B789&amp;" "&amp;$C789))</f>
        <v/>
      </c>
      <c r="E789" s="12" t="n"/>
      <c r="F789" s="12" t="n"/>
      <c r="G789" s="14" t="n"/>
      <c r="H789" s="14" t="n"/>
      <c r="I789" s="12" t="n"/>
      <c r="J789" s="14" t="n"/>
      <c r="K789" s="12" t="n"/>
      <c r="L789" s="13">
        <f>IF($K789="","",IFERROR(INDEX(Dept_Names,MATCH($K789,Dept_Codes,0)),"NOT FOUND"))</f>
        <v/>
      </c>
      <c r="M789" s="12" t="n"/>
      <c r="N789" s="13">
        <f>IF($M789="","",IFERROR(INDEX(Desig_Names,MATCH($M789,Desig_Codes,0)),"NOT FOUND"))</f>
        <v/>
      </c>
      <c r="O789" s="13">
        <f>IF($M789="","",IFERROR(INDEX(Desig_Levels,MATCH($M789,Desig_Codes,0)),""))</f>
        <v/>
      </c>
      <c r="P789" s="12" t="n"/>
      <c r="Q789" s="12" t="n"/>
      <c r="R789" s="12" t="n"/>
      <c r="S789" s="13">
        <f>IF($R789="","",IFERROR(INDEX(Emp_Names,MATCH($R789,Emp_Codes,0)),"NOT FOUND"))</f>
        <v/>
      </c>
      <c r="T789" s="12" t="n"/>
      <c r="U789" s="12" t="n"/>
      <c r="V789" s="12" t="n"/>
    </row>
    <row r="790">
      <c r="A790" s="12" t="n"/>
      <c r="B790" s="12" t="n"/>
      <c r="C790" s="12" t="n"/>
      <c r="D790" s="13">
        <f>IF($A790="","",TRIM($B790&amp;" "&amp;$C790))</f>
        <v/>
      </c>
      <c r="E790" s="12" t="n"/>
      <c r="F790" s="12" t="n"/>
      <c r="G790" s="14" t="n"/>
      <c r="H790" s="14" t="n"/>
      <c r="I790" s="12" t="n"/>
      <c r="J790" s="14" t="n"/>
      <c r="K790" s="12" t="n"/>
      <c r="L790" s="13">
        <f>IF($K790="","",IFERROR(INDEX(Dept_Names,MATCH($K790,Dept_Codes,0)),"NOT FOUND"))</f>
        <v/>
      </c>
      <c r="M790" s="12" t="n"/>
      <c r="N790" s="13">
        <f>IF($M790="","",IFERROR(INDEX(Desig_Names,MATCH($M790,Desig_Codes,0)),"NOT FOUND"))</f>
        <v/>
      </c>
      <c r="O790" s="13">
        <f>IF($M790="","",IFERROR(INDEX(Desig_Levels,MATCH($M790,Desig_Codes,0)),""))</f>
        <v/>
      </c>
      <c r="P790" s="12" t="n"/>
      <c r="Q790" s="12" t="n"/>
      <c r="R790" s="12" t="n"/>
      <c r="S790" s="13">
        <f>IF($R790="","",IFERROR(INDEX(Emp_Names,MATCH($R790,Emp_Codes,0)),"NOT FOUND"))</f>
        <v/>
      </c>
      <c r="T790" s="12" t="n"/>
      <c r="U790" s="12" t="n"/>
      <c r="V790" s="12" t="n"/>
    </row>
    <row r="791">
      <c r="A791" s="12" t="n"/>
      <c r="B791" s="12" t="n"/>
      <c r="C791" s="12" t="n"/>
      <c r="D791" s="13">
        <f>IF($A791="","",TRIM($B791&amp;" "&amp;$C791))</f>
        <v/>
      </c>
      <c r="E791" s="12" t="n"/>
      <c r="F791" s="12" t="n"/>
      <c r="G791" s="14" t="n"/>
      <c r="H791" s="14" t="n"/>
      <c r="I791" s="12" t="n"/>
      <c r="J791" s="14" t="n"/>
      <c r="K791" s="12" t="n"/>
      <c r="L791" s="13">
        <f>IF($K791="","",IFERROR(INDEX(Dept_Names,MATCH($K791,Dept_Codes,0)),"NOT FOUND"))</f>
        <v/>
      </c>
      <c r="M791" s="12" t="n"/>
      <c r="N791" s="13">
        <f>IF($M791="","",IFERROR(INDEX(Desig_Names,MATCH($M791,Desig_Codes,0)),"NOT FOUND"))</f>
        <v/>
      </c>
      <c r="O791" s="13">
        <f>IF($M791="","",IFERROR(INDEX(Desig_Levels,MATCH($M791,Desig_Codes,0)),""))</f>
        <v/>
      </c>
      <c r="P791" s="12" t="n"/>
      <c r="Q791" s="12" t="n"/>
      <c r="R791" s="12" t="n"/>
      <c r="S791" s="13">
        <f>IF($R791="","",IFERROR(INDEX(Emp_Names,MATCH($R791,Emp_Codes,0)),"NOT FOUND"))</f>
        <v/>
      </c>
      <c r="T791" s="12" t="n"/>
      <c r="U791" s="12" t="n"/>
      <c r="V791" s="12" t="n"/>
    </row>
    <row r="792">
      <c r="A792" s="12" t="n"/>
      <c r="B792" s="12" t="n"/>
      <c r="C792" s="12" t="n"/>
      <c r="D792" s="13">
        <f>IF($A792="","",TRIM($B792&amp;" "&amp;$C792))</f>
        <v/>
      </c>
      <c r="E792" s="12" t="n"/>
      <c r="F792" s="12" t="n"/>
      <c r="G792" s="14" t="n"/>
      <c r="H792" s="14" t="n"/>
      <c r="I792" s="12" t="n"/>
      <c r="J792" s="14" t="n"/>
      <c r="K792" s="12" t="n"/>
      <c r="L792" s="13">
        <f>IF($K792="","",IFERROR(INDEX(Dept_Names,MATCH($K792,Dept_Codes,0)),"NOT FOUND"))</f>
        <v/>
      </c>
      <c r="M792" s="12" t="n"/>
      <c r="N792" s="13">
        <f>IF($M792="","",IFERROR(INDEX(Desig_Names,MATCH($M792,Desig_Codes,0)),"NOT FOUND"))</f>
        <v/>
      </c>
      <c r="O792" s="13">
        <f>IF($M792="","",IFERROR(INDEX(Desig_Levels,MATCH($M792,Desig_Codes,0)),""))</f>
        <v/>
      </c>
      <c r="P792" s="12" t="n"/>
      <c r="Q792" s="12" t="n"/>
      <c r="R792" s="12" t="n"/>
      <c r="S792" s="13">
        <f>IF($R792="","",IFERROR(INDEX(Emp_Names,MATCH($R792,Emp_Codes,0)),"NOT FOUND"))</f>
        <v/>
      </c>
      <c r="T792" s="12" t="n"/>
      <c r="U792" s="12" t="n"/>
      <c r="V792" s="12" t="n"/>
    </row>
    <row r="793">
      <c r="A793" s="12" t="n"/>
      <c r="B793" s="12" t="n"/>
      <c r="C793" s="12" t="n"/>
      <c r="D793" s="13">
        <f>IF($A793="","",TRIM($B793&amp;" "&amp;$C793))</f>
        <v/>
      </c>
      <c r="E793" s="12" t="n"/>
      <c r="F793" s="12" t="n"/>
      <c r="G793" s="14" t="n"/>
      <c r="H793" s="14" t="n"/>
      <c r="I793" s="12" t="n"/>
      <c r="J793" s="14" t="n"/>
      <c r="K793" s="12" t="n"/>
      <c r="L793" s="13">
        <f>IF($K793="","",IFERROR(INDEX(Dept_Names,MATCH($K793,Dept_Codes,0)),"NOT FOUND"))</f>
        <v/>
      </c>
      <c r="M793" s="12" t="n"/>
      <c r="N793" s="13">
        <f>IF($M793="","",IFERROR(INDEX(Desig_Names,MATCH($M793,Desig_Codes,0)),"NOT FOUND"))</f>
        <v/>
      </c>
      <c r="O793" s="13">
        <f>IF($M793="","",IFERROR(INDEX(Desig_Levels,MATCH($M793,Desig_Codes,0)),""))</f>
        <v/>
      </c>
      <c r="P793" s="12" t="n"/>
      <c r="Q793" s="12" t="n"/>
      <c r="R793" s="12" t="n"/>
      <c r="S793" s="13">
        <f>IF($R793="","",IFERROR(INDEX(Emp_Names,MATCH($R793,Emp_Codes,0)),"NOT FOUND"))</f>
        <v/>
      </c>
      <c r="T793" s="12" t="n"/>
      <c r="U793" s="12" t="n"/>
      <c r="V793" s="12" t="n"/>
    </row>
    <row r="794">
      <c r="A794" s="12" t="n"/>
      <c r="B794" s="12" t="n"/>
      <c r="C794" s="12" t="n"/>
      <c r="D794" s="13">
        <f>IF($A794="","",TRIM($B794&amp;" "&amp;$C794))</f>
        <v/>
      </c>
      <c r="E794" s="12" t="n"/>
      <c r="F794" s="12" t="n"/>
      <c r="G794" s="14" t="n"/>
      <c r="H794" s="14" t="n"/>
      <c r="I794" s="12" t="n"/>
      <c r="J794" s="14" t="n"/>
      <c r="K794" s="12" t="n"/>
      <c r="L794" s="13">
        <f>IF($K794="","",IFERROR(INDEX(Dept_Names,MATCH($K794,Dept_Codes,0)),"NOT FOUND"))</f>
        <v/>
      </c>
      <c r="M794" s="12" t="n"/>
      <c r="N794" s="13">
        <f>IF($M794="","",IFERROR(INDEX(Desig_Names,MATCH($M794,Desig_Codes,0)),"NOT FOUND"))</f>
        <v/>
      </c>
      <c r="O794" s="13">
        <f>IF($M794="","",IFERROR(INDEX(Desig_Levels,MATCH($M794,Desig_Codes,0)),""))</f>
        <v/>
      </c>
      <c r="P794" s="12" t="n"/>
      <c r="Q794" s="12" t="n"/>
      <c r="R794" s="12" t="n"/>
      <c r="S794" s="13">
        <f>IF($R794="","",IFERROR(INDEX(Emp_Names,MATCH($R794,Emp_Codes,0)),"NOT FOUND"))</f>
        <v/>
      </c>
      <c r="T794" s="12" t="n"/>
      <c r="U794" s="12" t="n"/>
      <c r="V794" s="12" t="n"/>
    </row>
    <row r="795">
      <c r="A795" s="12" t="n"/>
      <c r="B795" s="12" t="n"/>
      <c r="C795" s="12" t="n"/>
      <c r="D795" s="13">
        <f>IF($A795="","",TRIM($B795&amp;" "&amp;$C795))</f>
        <v/>
      </c>
      <c r="E795" s="12" t="n"/>
      <c r="F795" s="12" t="n"/>
      <c r="G795" s="14" t="n"/>
      <c r="H795" s="14" t="n"/>
      <c r="I795" s="12" t="n"/>
      <c r="J795" s="14" t="n"/>
      <c r="K795" s="12" t="n"/>
      <c r="L795" s="13">
        <f>IF($K795="","",IFERROR(INDEX(Dept_Names,MATCH($K795,Dept_Codes,0)),"NOT FOUND"))</f>
        <v/>
      </c>
      <c r="M795" s="12" t="n"/>
      <c r="N795" s="13">
        <f>IF($M795="","",IFERROR(INDEX(Desig_Names,MATCH($M795,Desig_Codes,0)),"NOT FOUND"))</f>
        <v/>
      </c>
      <c r="O795" s="13">
        <f>IF($M795="","",IFERROR(INDEX(Desig_Levels,MATCH($M795,Desig_Codes,0)),""))</f>
        <v/>
      </c>
      <c r="P795" s="12" t="n"/>
      <c r="Q795" s="12" t="n"/>
      <c r="R795" s="12" t="n"/>
      <c r="S795" s="13">
        <f>IF($R795="","",IFERROR(INDEX(Emp_Names,MATCH($R795,Emp_Codes,0)),"NOT FOUND"))</f>
        <v/>
      </c>
      <c r="T795" s="12" t="n"/>
      <c r="U795" s="12" t="n"/>
      <c r="V795" s="12" t="n"/>
    </row>
    <row r="796">
      <c r="A796" s="12" t="n"/>
      <c r="B796" s="12" t="n"/>
      <c r="C796" s="12" t="n"/>
      <c r="D796" s="13">
        <f>IF($A796="","",TRIM($B796&amp;" "&amp;$C796))</f>
        <v/>
      </c>
      <c r="E796" s="12" t="n"/>
      <c r="F796" s="12" t="n"/>
      <c r="G796" s="14" t="n"/>
      <c r="H796" s="14" t="n"/>
      <c r="I796" s="12" t="n"/>
      <c r="J796" s="14" t="n"/>
      <c r="K796" s="12" t="n"/>
      <c r="L796" s="13">
        <f>IF($K796="","",IFERROR(INDEX(Dept_Names,MATCH($K796,Dept_Codes,0)),"NOT FOUND"))</f>
        <v/>
      </c>
      <c r="M796" s="12" t="n"/>
      <c r="N796" s="13">
        <f>IF($M796="","",IFERROR(INDEX(Desig_Names,MATCH($M796,Desig_Codes,0)),"NOT FOUND"))</f>
        <v/>
      </c>
      <c r="O796" s="13">
        <f>IF($M796="","",IFERROR(INDEX(Desig_Levels,MATCH($M796,Desig_Codes,0)),""))</f>
        <v/>
      </c>
      <c r="P796" s="12" t="n"/>
      <c r="Q796" s="12" t="n"/>
      <c r="R796" s="12" t="n"/>
      <c r="S796" s="13">
        <f>IF($R796="","",IFERROR(INDEX(Emp_Names,MATCH($R796,Emp_Codes,0)),"NOT FOUND"))</f>
        <v/>
      </c>
      <c r="T796" s="12" t="n"/>
      <c r="U796" s="12" t="n"/>
      <c r="V796" s="12" t="n"/>
    </row>
    <row r="797">
      <c r="A797" s="12" t="n"/>
      <c r="B797" s="12" t="n"/>
      <c r="C797" s="12" t="n"/>
      <c r="D797" s="13">
        <f>IF($A797="","",TRIM($B797&amp;" "&amp;$C797))</f>
        <v/>
      </c>
      <c r="E797" s="12" t="n"/>
      <c r="F797" s="12" t="n"/>
      <c r="G797" s="14" t="n"/>
      <c r="H797" s="14" t="n"/>
      <c r="I797" s="12" t="n"/>
      <c r="J797" s="14" t="n"/>
      <c r="K797" s="12" t="n"/>
      <c r="L797" s="13">
        <f>IF($K797="","",IFERROR(INDEX(Dept_Names,MATCH($K797,Dept_Codes,0)),"NOT FOUND"))</f>
        <v/>
      </c>
      <c r="M797" s="12" t="n"/>
      <c r="N797" s="13">
        <f>IF($M797="","",IFERROR(INDEX(Desig_Names,MATCH($M797,Desig_Codes,0)),"NOT FOUND"))</f>
        <v/>
      </c>
      <c r="O797" s="13">
        <f>IF($M797="","",IFERROR(INDEX(Desig_Levels,MATCH($M797,Desig_Codes,0)),""))</f>
        <v/>
      </c>
      <c r="P797" s="12" t="n"/>
      <c r="Q797" s="12" t="n"/>
      <c r="R797" s="12" t="n"/>
      <c r="S797" s="13">
        <f>IF($R797="","",IFERROR(INDEX(Emp_Names,MATCH($R797,Emp_Codes,0)),"NOT FOUND"))</f>
        <v/>
      </c>
      <c r="T797" s="12" t="n"/>
      <c r="U797" s="12" t="n"/>
      <c r="V797" s="12" t="n"/>
    </row>
    <row r="798">
      <c r="A798" s="12" t="n"/>
      <c r="B798" s="12" t="n"/>
      <c r="C798" s="12" t="n"/>
      <c r="D798" s="13">
        <f>IF($A798="","",TRIM($B798&amp;" "&amp;$C798))</f>
        <v/>
      </c>
      <c r="E798" s="12" t="n"/>
      <c r="F798" s="12" t="n"/>
      <c r="G798" s="14" t="n"/>
      <c r="H798" s="14" t="n"/>
      <c r="I798" s="12" t="n"/>
      <c r="J798" s="14" t="n"/>
      <c r="K798" s="12" t="n"/>
      <c r="L798" s="13">
        <f>IF($K798="","",IFERROR(INDEX(Dept_Names,MATCH($K798,Dept_Codes,0)),"NOT FOUND"))</f>
        <v/>
      </c>
      <c r="M798" s="12" t="n"/>
      <c r="N798" s="13">
        <f>IF($M798="","",IFERROR(INDEX(Desig_Names,MATCH($M798,Desig_Codes,0)),"NOT FOUND"))</f>
        <v/>
      </c>
      <c r="O798" s="13">
        <f>IF($M798="","",IFERROR(INDEX(Desig_Levels,MATCH($M798,Desig_Codes,0)),""))</f>
        <v/>
      </c>
      <c r="P798" s="12" t="n"/>
      <c r="Q798" s="12" t="n"/>
      <c r="R798" s="12" t="n"/>
      <c r="S798" s="13">
        <f>IF($R798="","",IFERROR(INDEX(Emp_Names,MATCH($R798,Emp_Codes,0)),"NOT FOUND"))</f>
        <v/>
      </c>
      <c r="T798" s="12" t="n"/>
      <c r="U798" s="12" t="n"/>
      <c r="V798" s="12" t="n"/>
    </row>
    <row r="799">
      <c r="A799" s="12" t="n"/>
      <c r="B799" s="12" t="n"/>
      <c r="C799" s="12" t="n"/>
      <c r="D799" s="13">
        <f>IF($A799="","",TRIM($B799&amp;" "&amp;$C799))</f>
        <v/>
      </c>
      <c r="E799" s="12" t="n"/>
      <c r="F799" s="12" t="n"/>
      <c r="G799" s="14" t="n"/>
      <c r="H799" s="14" t="n"/>
      <c r="I799" s="12" t="n"/>
      <c r="J799" s="14" t="n"/>
      <c r="K799" s="12" t="n"/>
      <c r="L799" s="13">
        <f>IF($K799="","",IFERROR(INDEX(Dept_Names,MATCH($K799,Dept_Codes,0)),"NOT FOUND"))</f>
        <v/>
      </c>
      <c r="M799" s="12" t="n"/>
      <c r="N799" s="13">
        <f>IF($M799="","",IFERROR(INDEX(Desig_Names,MATCH($M799,Desig_Codes,0)),"NOT FOUND"))</f>
        <v/>
      </c>
      <c r="O799" s="13">
        <f>IF($M799="","",IFERROR(INDEX(Desig_Levels,MATCH($M799,Desig_Codes,0)),""))</f>
        <v/>
      </c>
      <c r="P799" s="12" t="n"/>
      <c r="Q799" s="12" t="n"/>
      <c r="R799" s="12" t="n"/>
      <c r="S799" s="13">
        <f>IF($R799="","",IFERROR(INDEX(Emp_Names,MATCH($R799,Emp_Codes,0)),"NOT FOUND"))</f>
        <v/>
      </c>
      <c r="T799" s="12" t="n"/>
      <c r="U799" s="12" t="n"/>
      <c r="V799" s="12" t="n"/>
    </row>
    <row r="800">
      <c r="A800" s="12" t="n"/>
      <c r="B800" s="12" t="n"/>
      <c r="C800" s="12" t="n"/>
      <c r="D800" s="13">
        <f>IF($A800="","",TRIM($B800&amp;" "&amp;$C800))</f>
        <v/>
      </c>
      <c r="E800" s="12" t="n"/>
      <c r="F800" s="12" t="n"/>
      <c r="G800" s="14" t="n"/>
      <c r="H800" s="14" t="n"/>
      <c r="I800" s="12" t="n"/>
      <c r="J800" s="14" t="n"/>
      <c r="K800" s="12" t="n"/>
      <c r="L800" s="13">
        <f>IF($K800="","",IFERROR(INDEX(Dept_Names,MATCH($K800,Dept_Codes,0)),"NOT FOUND"))</f>
        <v/>
      </c>
      <c r="M800" s="12" t="n"/>
      <c r="N800" s="13">
        <f>IF($M800="","",IFERROR(INDEX(Desig_Names,MATCH($M800,Desig_Codes,0)),"NOT FOUND"))</f>
        <v/>
      </c>
      <c r="O800" s="13">
        <f>IF($M800="","",IFERROR(INDEX(Desig_Levels,MATCH($M800,Desig_Codes,0)),""))</f>
        <v/>
      </c>
      <c r="P800" s="12" t="n"/>
      <c r="Q800" s="12" t="n"/>
      <c r="R800" s="12" t="n"/>
      <c r="S800" s="13">
        <f>IF($R800="","",IFERROR(INDEX(Emp_Names,MATCH($R800,Emp_Codes,0)),"NOT FOUND"))</f>
        <v/>
      </c>
      <c r="T800" s="12" t="n"/>
      <c r="U800" s="12" t="n"/>
      <c r="V800" s="12" t="n"/>
    </row>
    <row r="801">
      <c r="A801" s="12" t="n"/>
      <c r="B801" s="12" t="n"/>
      <c r="C801" s="12" t="n"/>
      <c r="D801" s="13">
        <f>IF($A801="","",TRIM($B801&amp;" "&amp;$C801))</f>
        <v/>
      </c>
      <c r="E801" s="12" t="n"/>
      <c r="F801" s="12" t="n"/>
      <c r="G801" s="14" t="n"/>
      <c r="H801" s="14" t="n"/>
      <c r="I801" s="12" t="n"/>
      <c r="J801" s="14" t="n"/>
      <c r="K801" s="12" t="n"/>
      <c r="L801" s="13">
        <f>IF($K801="","",IFERROR(INDEX(Dept_Names,MATCH($K801,Dept_Codes,0)),"NOT FOUND"))</f>
        <v/>
      </c>
      <c r="M801" s="12" t="n"/>
      <c r="N801" s="13">
        <f>IF($M801="","",IFERROR(INDEX(Desig_Names,MATCH($M801,Desig_Codes,0)),"NOT FOUND"))</f>
        <v/>
      </c>
      <c r="O801" s="13">
        <f>IF($M801="","",IFERROR(INDEX(Desig_Levels,MATCH($M801,Desig_Codes,0)),""))</f>
        <v/>
      </c>
      <c r="P801" s="12" t="n"/>
      <c r="Q801" s="12" t="n"/>
      <c r="R801" s="12" t="n"/>
      <c r="S801" s="13">
        <f>IF($R801="","",IFERROR(INDEX(Emp_Names,MATCH($R801,Emp_Codes,0)),"NOT FOUND"))</f>
        <v/>
      </c>
      <c r="T801" s="12" t="n"/>
      <c r="U801" s="12" t="n"/>
      <c r="V801" s="12" t="n"/>
    </row>
    <row r="802">
      <c r="A802" s="12" t="n"/>
      <c r="B802" s="12" t="n"/>
      <c r="C802" s="12" t="n"/>
      <c r="D802" s="13">
        <f>IF($A802="","",TRIM($B802&amp;" "&amp;$C802))</f>
        <v/>
      </c>
      <c r="E802" s="12" t="n"/>
      <c r="F802" s="12" t="n"/>
      <c r="G802" s="14" t="n"/>
      <c r="H802" s="14" t="n"/>
      <c r="I802" s="12" t="n"/>
      <c r="J802" s="14" t="n"/>
      <c r="K802" s="12" t="n"/>
      <c r="L802" s="13">
        <f>IF($K802="","",IFERROR(INDEX(Dept_Names,MATCH($K802,Dept_Codes,0)),"NOT FOUND"))</f>
        <v/>
      </c>
      <c r="M802" s="12" t="n"/>
      <c r="N802" s="13">
        <f>IF($M802="","",IFERROR(INDEX(Desig_Names,MATCH($M802,Desig_Codes,0)),"NOT FOUND"))</f>
        <v/>
      </c>
      <c r="O802" s="13">
        <f>IF($M802="","",IFERROR(INDEX(Desig_Levels,MATCH($M802,Desig_Codes,0)),""))</f>
        <v/>
      </c>
      <c r="P802" s="12" t="n"/>
      <c r="Q802" s="12" t="n"/>
      <c r="R802" s="12" t="n"/>
      <c r="S802" s="13">
        <f>IF($R802="","",IFERROR(INDEX(Emp_Names,MATCH($R802,Emp_Codes,0)),"NOT FOUND"))</f>
        <v/>
      </c>
      <c r="T802" s="12" t="n"/>
      <c r="U802" s="12" t="n"/>
      <c r="V802" s="12" t="n"/>
    </row>
    <row r="803">
      <c r="A803" s="12" t="n"/>
      <c r="B803" s="12" t="n"/>
      <c r="C803" s="12" t="n"/>
      <c r="D803" s="13">
        <f>IF($A803="","",TRIM($B803&amp;" "&amp;$C803))</f>
        <v/>
      </c>
      <c r="E803" s="12" t="n"/>
      <c r="F803" s="12" t="n"/>
      <c r="G803" s="14" t="n"/>
      <c r="H803" s="14" t="n"/>
      <c r="I803" s="12" t="n"/>
      <c r="J803" s="14" t="n"/>
      <c r="K803" s="12" t="n"/>
      <c r="L803" s="13">
        <f>IF($K803="","",IFERROR(INDEX(Dept_Names,MATCH($K803,Dept_Codes,0)),"NOT FOUND"))</f>
        <v/>
      </c>
      <c r="M803" s="12" t="n"/>
      <c r="N803" s="13">
        <f>IF($M803="","",IFERROR(INDEX(Desig_Names,MATCH($M803,Desig_Codes,0)),"NOT FOUND"))</f>
        <v/>
      </c>
      <c r="O803" s="13">
        <f>IF($M803="","",IFERROR(INDEX(Desig_Levels,MATCH($M803,Desig_Codes,0)),""))</f>
        <v/>
      </c>
      <c r="P803" s="12" t="n"/>
      <c r="Q803" s="12" t="n"/>
      <c r="R803" s="12" t="n"/>
      <c r="S803" s="13">
        <f>IF($R803="","",IFERROR(INDEX(Emp_Names,MATCH($R803,Emp_Codes,0)),"NOT FOUND"))</f>
        <v/>
      </c>
      <c r="T803" s="12" t="n"/>
      <c r="U803" s="12" t="n"/>
      <c r="V803" s="12" t="n"/>
    </row>
    <row r="804">
      <c r="A804" s="12" t="n"/>
      <c r="B804" s="12" t="n"/>
      <c r="C804" s="12" t="n"/>
      <c r="D804" s="13">
        <f>IF($A804="","",TRIM($B804&amp;" "&amp;$C804))</f>
        <v/>
      </c>
      <c r="E804" s="12" t="n"/>
      <c r="F804" s="12" t="n"/>
      <c r="G804" s="14" t="n"/>
      <c r="H804" s="14" t="n"/>
      <c r="I804" s="12" t="n"/>
      <c r="J804" s="14" t="n"/>
      <c r="K804" s="12" t="n"/>
      <c r="L804" s="13">
        <f>IF($K804="","",IFERROR(INDEX(Dept_Names,MATCH($K804,Dept_Codes,0)),"NOT FOUND"))</f>
        <v/>
      </c>
      <c r="M804" s="12" t="n"/>
      <c r="N804" s="13">
        <f>IF($M804="","",IFERROR(INDEX(Desig_Names,MATCH($M804,Desig_Codes,0)),"NOT FOUND"))</f>
        <v/>
      </c>
      <c r="O804" s="13">
        <f>IF($M804="","",IFERROR(INDEX(Desig_Levels,MATCH($M804,Desig_Codes,0)),""))</f>
        <v/>
      </c>
      <c r="P804" s="12" t="n"/>
      <c r="Q804" s="12" t="n"/>
      <c r="R804" s="12" t="n"/>
      <c r="S804" s="13">
        <f>IF($R804="","",IFERROR(INDEX(Emp_Names,MATCH($R804,Emp_Codes,0)),"NOT FOUND"))</f>
        <v/>
      </c>
      <c r="T804" s="12" t="n"/>
      <c r="U804" s="12" t="n"/>
      <c r="V804" s="12" t="n"/>
    </row>
    <row r="805">
      <c r="A805" s="12" t="n"/>
      <c r="B805" s="12" t="n"/>
      <c r="C805" s="12" t="n"/>
      <c r="D805" s="13">
        <f>IF($A805="","",TRIM($B805&amp;" "&amp;$C805))</f>
        <v/>
      </c>
      <c r="E805" s="12" t="n"/>
      <c r="F805" s="12" t="n"/>
      <c r="G805" s="14" t="n"/>
      <c r="H805" s="14" t="n"/>
      <c r="I805" s="12" t="n"/>
      <c r="J805" s="14" t="n"/>
      <c r="K805" s="12" t="n"/>
      <c r="L805" s="13">
        <f>IF($K805="","",IFERROR(INDEX(Dept_Names,MATCH($K805,Dept_Codes,0)),"NOT FOUND"))</f>
        <v/>
      </c>
      <c r="M805" s="12" t="n"/>
      <c r="N805" s="13">
        <f>IF($M805="","",IFERROR(INDEX(Desig_Names,MATCH($M805,Desig_Codes,0)),"NOT FOUND"))</f>
        <v/>
      </c>
      <c r="O805" s="13">
        <f>IF($M805="","",IFERROR(INDEX(Desig_Levels,MATCH($M805,Desig_Codes,0)),""))</f>
        <v/>
      </c>
      <c r="P805" s="12" t="n"/>
      <c r="Q805" s="12" t="n"/>
      <c r="R805" s="12" t="n"/>
      <c r="S805" s="13">
        <f>IF($R805="","",IFERROR(INDEX(Emp_Names,MATCH($R805,Emp_Codes,0)),"NOT FOUND"))</f>
        <v/>
      </c>
      <c r="T805" s="12" t="n"/>
      <c r="U805" s="12" t="n"/>
      <c r="V805" s="12" t="n"/>
    </row>
    <row r="806">
      <c r="A806" s="12" t="n"/>
      <c r="B806" s="12" t="n"/>
      <c r="C806" s="12" t="n"/>
      <c r="D806" s="13">
        <f>IF($A806="","",TRIM($B806&amp;" "&amp;$C806))</f>
        <v/>
      </c>
      <c r="E806" s="12" t="n"/>
      <c r="F806" s="12" t="n"/>
      <c r="G806" s="14" t="n"/>
      <c r="H806" s="14" t="n"/>
      <c r="I806" s="12" t="n"/>
      <c r="J806" s="14" t="n"/>
      <c r="K806" s="12" t="n"/>
      <c r="L806" s="13">
        <f>IF($K806="","",IFERROR(INDEX(Dept_Names,MATCH($K806,Dept_Codes,0)),"NOT FOUND"))</f>
        <v/>
      </c>
      <c r="M806" s="12" t="n"/>
      <c r="N806" s="13">
        <f>IF($M806="","",IFERROR(INDEX(Desig_Names,MATCH($M806,Desig_Codes,0)),"NOT FOUND"))</f>
        <v/>
      </c>
      <c r="O806" s="13">
        <f>IF($M806="","",IFERROR(INDEX(Desig_Levels,MATCH($M806,Desig_Codes,0)),""))</f>
        <v/>
      </c>
      <c r="P806" s="12" t="n"/>
      <c r="Q806" s="12" t="n"/>
      <c r="R806" s="12" t="n"/>
      <c r="S806" s="13">
        <f>IF($R806="","",IFERROR(INDEX(Emp_Names,MATCH($R806,Emp_Codes,0)),"NOT FOUND"))</f>
        <v/>
      </c>
      <c r="T806" s="12" t="n"/>
      <c r="U806" s="12" t="n"/>
      <c r="V806" s="12" t="n"/>
    </row>
    <row r="807">
      <c r="A807" s="12" t="n"/>
      <c r="B807" s="12" t="n"/>
      <c r="C807" s="12" t="n"/>
      <c r="D807" s="13">
        <f>IF($A807="","",TRIM($B807&amp;" "&amp;$C807))</f>
        <v/>
      </c>
      <c r="E807" s="12" t="n"/>
      <c r="F807" s="12" t="n"/>
      <c r="G807" s="14" t="n"/>
      <c r="H807" s="14" t="n"/>
      <c r="I807" s="12" t="n"/>
      <c r="J807" s="14" t="n"/>
      <c r="K807" s="12" t="n"/>
      <c r="L807" s="13">
        <f>IF($K807="","",IFERROR(INDEX(Dept_Names,MATCH($K807,Dept_Codes,0)),"NOT FOUND"))</f>
        <v/>
      </c>
      <c r="M807" s="12" t="n"/>
      <c r="N807" s="13">
        <f>IF($M807="","",IFERROR(INDEX(Desig_Names,MATCH($M807,Desig_Codes,0)),"NOT FOUND"))</f>
        <v/>
      </c>
      <c r="O807" s="13">
        <f>IF($M807="","",IFERROR(INDEX(Desig_Levels,MATCH($M807,Desig_Codes,0)),""))</f>
        <v/>
      </c>
      <c r="P807" s="12" t="n"/>
      <c r="Q807" s="12" t="n"/>
      <c r="R807" s="12" t="n"/>
      <c r="S807" s="13">
        <f>IF($R807="","",IFERROR(INDEX(Emp_Names,MATCH($R807,Emp_Codes,0)),"NOT FOUND"))</f>
        <v/>
      </c>
      <c r="T807" s="12" t="n"/>
      <c r="U807" s="12" t="n"/>
      <c r="V807" s="12" t="n"/>
    </row>
    <row r="808">
      <c r="A808" s="12" t="n"/>
      <c r="B808" s="12" t="n"/>
      <c r="C808" s="12" t="n"/>
      <c r="D808" s="13">
        <f>IF($A808="","",TRIM($B808&amp;" "&amp;$C808))</f>
        <v/>
      </c>
      <c r="E808" s="12" t="n"/>
      <c r="F808" s="12" t="n"/>
      <c r="G808" s="14" t="n"/>
      <c r="H808" s="14" t="n"/>
      <c r="I808" s="12" t="n"/>
      <c r="J808" s="14" t="n"/>
      <c r="K808" s="12" t="n"/>
      <c r="L808" s="13">
        <f>IF($K808="","",IFERROR(INDEX(Dept_Names,MATCH($K808,Dept_Codes,0)),"NOT FOUND"))</f>
        <v/>
      </c>
      <c r="M808" s="12" t="n"/>
      <c r="N808" s="13">
        <f>IF($M808="","",IFERROR(INDEX(Desig_Names,MATCH($M808,Desig_Codes,0)),"NOT FOUND"))</f>
        <v/>
      </c>
      <c r="O808" s="13">
        <f>IF($M808="","",IFERROR(INDEX(Desig_Levels,MATCH($M808,Desig_Codes,0)),""))</f>
        <v/>
      </c>
      <c r="P808" s="12" t="n"/>
      <c r="Q808" s="12" t="n"/>
      <c r="R808" s="12" t="n"/>
      <c r="S808" s="13">
        <f>IF($R808="","",IFERROR(INDEX(Emp_Names,MATCH($R808,Emp_Codes,0)),"NOT FOUND"))</f>
        <v/>
      </c>
      <c r="T808" s="12" t="n"/>
      <c r="U808" s="12" t="n"/>
      <c r="V808" s="12" t="n"/>
    </row>
    <row r="809">
      <c r="A809" s="12" t="n"/>
      <c r="B809" s="12" t="n"/>
      <c r="C809" s="12" t="n"/>
      <c r="D809" s="13">
        <f>IF($A809="","",TRIM($B809&amp;" "&amp;$C809))</f>
        <v/>
      </c>
      <c r="E809" s="12" t="n"/>
      <c r="F809" s="12" t="n"/>
      <c r="G809" s="14" t="n"/>
      <c r="H809" s="14" t="n"/>
      <c r="I809" s="12" t="n"/>
      <c r="J809" s="14" t="n"/>
      <c r="K809" s="12" t="n"/>
      <c r="L809" s="13">
        <f>IF($K809="","",IFERROR(INDEX(Dept_Names,MATCH($K809,Dept_Codes,0)),"NOT FOUND"))</f>
        <v/>
      </c>
      <c r="M809" s="12" t="n"/>
      <c r="N809" s="13">
        <f>IF($M809="","",IFERROR(INDEX(Desig_Names,MATCH($M809,Desig_Codes,0)),"NOT FOUND"))</f>
        <v/>
      </c>
      <c r="O809" s="13">
        <f>IF($M809="","",IFERROR(INDEX(Desig_Levels,MATCH($M809,Desig_Codes,0)),""))</f>
        <v/>
      </c>
      <c r="P809" s="12" t="n"/>
      <c r="Q809" s="12" t="n"/>
      <c r="R809" s="12" t="n"/>
      <c r="S809" s="13">
        <f>IF($R809="","",IFERROR(INDEX(Emp_Names,MATCH($R809,Emp_Codes,0)),"NOT FOUND"))</f>
        <v/>
      </c>
      <c r="T809" s="12" t="n"/>
      <c r="U809" s="12" t="n"/>
      <c r="V809" s="12" t="n"/>
    </row>
    <row r="810">
      <c r="A810" s="12" t="n"/>
      <c r="B810" s="12" t="n"/>
      <c r="C810" s="12" t="n"/>
      <c r="D810" s="13">
        <f>IF($A810="","",TRIM($B810&amp;" "&amp;$C810))</f>
        <v/>
      </c>
      <c r="E810" s="12" t="n"/>
      <c r="F810" s="12" t="n"/>
      <c r="G810" s="14" t="n"/>
      <c r="H810" s="14" t="n"/>
      <c r="I810" s="12" t="n"/>
      <c r="J810" s="14" t="n"/>
      <c r="K810" s="12" t="n"/>
      <c r="L810" s="13">
        <f>IF($K810="","",IFERROR(INDEX(Dept_Names,MATCH($K810,Dept_Codes,0)),"NOT FOUND"))</f>
        <v/>
      </c>
      <c r="M810" s="12" t="n"/>
      <c r="N810" s="13">
        <f>IF($M810="","",IFERROR(INDEX(Desig_Names,MATCH($M810,Desig_Codes,0)),"NOT FOUND"))</f>
        <v/>
      </c>
      <c r="O810" s="13">
        <f>IF($M810="","",IFERROR(INDEX(Desig_Levels,MATCH($M810,Desig_Codes,0)),""))</f>
        <v/>
      </c>
      <c r="P810" s="12" t="n"/>
      <c r="Q810" s="12" t="n"/>
      <c r="R810" s="12" t="n"/>
      <c r="S810" s="13">
        <f>IF($R810="","",IFERROR(INDEX(Emp_Names,MATCH($R810,Emp_Codes,0)),"NOT FOUND"))</f>
        <v/>
      </c>
      <c r="T810" s="12" t="n"/>
      <c r="U810" s="12" t="n"/>
      <c r="V810" s="12" t="n"/>
    </row>
    <row r="811">
      <c r="A811" s="12" t="n"/>
      <c r="B811" s="12" t="n"/>
      <c r="C811" s="12" t="n"/>
      <c r="D811" s="13">
        <f>IF($A811="","",TRIM($B811&amp;" "&amp;$C811))</f>
        <v/>
      </c>
      <c r="E811" s="12" t="n"/>
      <c r="F811" s="12" t="n"/>
      <c r="G811" s="14" t="n"/>
      <c r="H811" s="14" t="n"/>
      <c r="I811" s="12" t="n"/>
      <c r="J811" s="14" t="n"/>
      <c r="K811" s="12" t="n"/>
      <c r="L811" s="13">
        <f>IF($K811="","",IFERROR(INDEX(Dept_Names,MATCH($K811,Dept_Codes,0)),"NOT FOUND"))</f>
        <v/>
      </c>
      <c r="M811" s="12" t="n"/>
      <c r="N811" s="13">
        <f>IF($M811="","",IFERROR(INDEX(Desig_Names,MATCH($M811,Desig_Codes,0)),"NOT FOUND"))</f>
        <v/>
      </c>
      <c r="O811" s="13">
        <f>IF($M811="","",IFERROR(INDEX(Desig_Levels,MATCH($M811,Desig_Codes,0)),""))</f>
        <v/>
      </c>
      <c r="P811" s="12" t="n"/>
      <c r="Q811" s="12" t="n"/>
      <c r="R811" s="12" t="n"/>
      <c r="S811" s="13">
        <f>IF($R811="","",IFERROR(INDEX(Emp_Names,MATCH($R811,Emp_Codes,0)),"NOT FOUND"))</f>
        <v/>
      </c>
      <c r="T811" s="12" t="n"/>
      <c r="U811" s="12" t="n"/>
      <c r="V811" s="12" t="n"/>
    </row>
    <row r="812">
      <c r="A812" s="12" t="n"/>
      <c r="B812" s="12" t="n"/>
      <c r="C812" s="12" t="n"/>
      <c r="D812" s="13">
        <f>IF($A812="","",TRIM($B812&amp;" "&amp;$C812))</f>
        <v/>
      </c>
      <c r="E812" s="12" t="n"/>
      <c r="F812" s="12" t="n"/>
      <c r="G812" s="14" t="n"/>
      <c r="H812" s="14" t="n"/>
      <c r="I812" s="12" t="n"/>
      <c r="J812" s="14" t="n"/>
      <c r="K812" s="12" t="n"/>
      <c r="L812" s="13">
        <f>IF($K812="","",IFERROR(INDEX(Dept_Names,MATCH($K812,Dept_Codes,0)),"NOT FOUND"))</f>
        <v/>
      </c>
      <c r="M812" s="12" t="n"/>
      <c r="N812" s="13">
        <f>IF($M812="","",IFERROR(INDEX(Desig_Names,MATCH($M812,Desig_Codes,0)),"NOT FOUND"))</f>
        <v/>
      </c>
      <c r="O812" s="13">
        <f>IF($M812="","",IFERROR(INDEX(Desig_Levels,MATCH($M812,Desig_Codes,0)),""))</f>
        <v/>
      </c>
      <c r="P812" s="12" t="n"/>
      <c r="Q812" s="12" t="n"/>
      <c r="R812" s="12" t="n"/>
      <c r="S812" s="13">
        <f>IF($R812="","",IFERROR(INDEX(Emp_Names,MATCH($R812,Emp_Codes,0)),"NOT FOUND"))</f>
        <v/>
      </c>
      <c r="T812" s="12" t="n"/>
      <c r="U812" s="12" t="n"/>
      <c r="V812" s="12" t="n"/>
    </row>
    <row r="813">
      <c r="A813" s="12" t="n"/>
      <c r="B813" s="12" t="n"/>
      <c r="C813" s="12" t="n"/>
      <c r="D813" s="13">
        <f>IF($A813="","",TRIM($B813&amp;" "&amp;$C813))</f>
        <v/>
      </c>
      <c r="E813" s="12" t="n"/>
      <c r="F813" s="12" t="n"/>
      <c r="G813" s="14" t="n"/>
      <c r="H813" s="14" t="n"/>
      <c r="I813" s="12" t="n"/>
      <c r="J813" s="14" t="n"/>
      <c r="K813" s="12" t="n"/>
      <c r="L813" s="13">
        <f>IF($K813="","",IFERROR(INDEX(Dept_Names,MATCH($K813,Dept_Codes,0)),"NOT FOUND"))</f>
        <v/>
      </c>
      <c r="M813" s="12" t="n"/>
      <c r="N813" s="13">
        <f>IF($M813="","",IFERROR(INDEX(Desig_Names,MATCH($M813,Desig_Codes,0)),"NOT FOUND"))</f>
        <v/>
      </c>
      <c r="O813" s="13">
        <f>IF($M813="","",IFERROR(INDEX(Desig_Levels,MATCH($M813,Desig_Codes,0)),""))</f>
        <v/>
      </c>
      <c r="P813" s="12" t="n"/>
      <c r="Q813" s="12" t="n"/>
      <c r="R813" s="12" t="n"/>
      <c r="S813" s="13">
        <f>IF($R813="","",IFERROR(INDEX(Emp_Names,MATCH($R813,Emp_Codes,0)),"NOT FOUND"))</f>
        <v/>
      </c>
      <c r="T813" s="12" t="n"/>
      <c r="U813" s="12" t="n"/>
      <c r="V813" s="12" t="n"/>
    </row>
    <row r="814">
      <c r="A814" s="12" t="n"/>
      <c r="B814" s="12" t="n"/>
      <c r="C814" s="12" t="n"/>
      <c r="D814" s="13">
        <f>IF($A814="","",TRIM($B814&amp;" "&amp;$C814))</f>
        <v/>
      </c>
      <c r="E814" s="12" t="n"/>
      <c r="F814" s="12" t="n"/>
      <c r="G814" s="14" t="n"/>
      <c r="H814" s="14" t="n"/>
      <c r="I814" s="12" t="n"/>
      <c r="J814" s="14" t="n"/>
      <c r="K814" s="12" t="n"/>
      <c r="L814" s="13">
        <f>IF($K814="","",IFERROR(INDEX(Dept_Names,MATCH($K814,Dept_Codes,0)),"NOT FOUND"))</f>
        <v/>
      </c>
      <c r="M814" s="12" t="n"/>
      <c r="N814" s="13">
        <f>IF($M814="","",IFERROR(INDEX(Desig_Names,MATCH($M814,Desig_Codes,0)),"NOT FOUND"))</f>
        <v/>
      </c>
      <c r="O814" s="13">
        <f>IF($M814="","",IFERROR(INDEX(Desig_Levels,MATCH($M814,Desig_Codes,0)),""))</f>
        <v/>
      </c>
      <c r="P814" s="12" t="n"/>
      <c r="Q814" s="12" t="n"/>
      <c r="R814" s="12" t="n"/>
      <c r="S814" s="13">
        <f>IF($R814="","",IFERROR(INDEX(Emp_Names,MATCH($R814,Emp_Codes,0)),"NOT FOUND"))</f>
        <v/>
      </c>
      <c r="T814" s="12" t="n"/>
      <c r="U814" s="12" t="n"/>
      <c r="V814" s="12" t="n"/>
    </row>
    <row r="815">
      <c r="A815" s="12" t="n"/>
      <c r="B815" s="12" t="n"/>
      <c r="C815" s="12" t="n"/>
      <c r="D815" s="13">
        <f>IF($A815="","",TRIM($B815&amp;" "&amp;$C815))</f>
        <v/>
      </c>
      <c r="E815" s="12" t="n"/>
      <c r="F815" s="12" t="n"/>
      <c r="G815" s="14" t="n"/>
      <c r="H815" s="14" t="n"/>
      <c r="I815" s="12" t="n"/>
      <c r="J815" s="14" t="n"/>
      <c r="K815" s="12" t="n"/>
      <c r="L815" s="13">
        <f>IF($K815="","",IFERROR(INDEX(Dept_Names,MATCH($K815,Dept_Codes,0)),"NOT FOUND"))</f>
        <v/>
      </c>
      <c r="M815" s="12" t="n"/>
      <c r="N815" s="13">
        <f>IF($M815="","",IFERROR(INDEX(Desig_Names,MATCH($M815,Desig_Codes,0)),"NOT FOUND"))</f>
        <v/>
      </c>
      <c r="O815" s="13">
        <f>IF($M815="","",IFERROR(INDEX(Desig_Levels,MATCH($M815,Desig_Codes,0)),""))</f>
        <v/>
      </c>
      <c r="P815" s="12" t="n"/>
      <c r="Q815" s="12" t="n"/>
      <c r="R815" s="12" t="n"/>
      <c r="S815" s="13">
        <f>IF($R815="","",IFERROR(INDEX(Emp_Names,MATCH($R815,Emp_Codes,0)),"NOT FOUND"))</f>
        <v/>
      </c>
      <c r="T815" s="12" t="n"/>
      <c r="U815" s="12" t="n"/>
      <c r="V815" s="12" t="n"/>
    </row>
    <row r="816">
      <c r="A816" s="12" t="n"/>
      <c r="B816" s="12" t="n"/>
      <c r="C816" s="12" t="n"/>
      <c r="D816" s="13">
        <f>IF($A816="","",TRIM($B816&amp;" "&amp;$C816))</f>
        <v/>
      </c>
      <c r="E816" s="12" t="n"/>
      <c r="F816" s="12" t="n"/>
      <c r="G816" s="14" t="n"/>
      <c r="H816" s="14" t="n"/>
      <c r="I816" s="12" t="n"/>
      <c r="J816" s="14" t="n"/>
      <c r="K816" s="12" t="n"/>
      <c r="L816" s="13">
        <f>IF($K816="","",IFERROR(INDEX(Dept_Names,MATCH($K816,Dept_Codes,0)),"NOT FOUND"))</f>
        <v/>
      </c>
      <c r="M816" s="12" t="n"/>
      <c r="N816" s="13">
        <f>IF($M816="","",IFERROR(INDEX(Desig_Names,MATCH($M816,Desig_Codes,0)),"NOT FOUND"))</f>
        <v/>
      </c>
      <c r="O816" s="13">
        <f>IF($M816="","",IFERROR(INDEX(Desig_Levels,MATCH($M816,Desig_Codes,0)),""))</f>
        <v/>
      </c>
      <c r="P816" s="12" t="n"/>
      <c r="Q816" s="12" t="n"/>
      <c r="R816" s="12" t="n"/>
      <c r="S816" s="13">
        <f>IF($R816="","",IFERROR(INDEX(Emp_Names,MATCH($R816,Emp_Codes,0)),"NOT FOUND"))</f>
        <v/>
      </c>
      <c r="T816" s="12" t="n"/>
      <c r="U816" s="12" t="n"/>
      <c r="V816" s="12" t="n"/>
    </row>
    <row r="817">
      <c r="A817" s="12" t="n"/>
      <c r="B817" s="12" t="n"/>
      <c r="C817" s="12" t="n"/>
      <c r="D817" s="13">
        <f>IF($A817="","",TRIM($B817&amp;" "&amp;$C817))</f>
        <v/>
      </c>
      <c r="E817" s="12" t="n"/>
      <c r="F817" s="12" t="n"/>
      <c r="G817" s="14" t="n"/>
      <c r="H817" s="14" t="n"/>
      <c r="I817" s="12" t="n"/>
      <c r="J817" s="14" t="n"/>
      <c r="K817" s="12" t="n"/>
      <c r="L817" s="13">
        <f>IF($K817="","",IFERROR(INDEX(Dept_Names,MATCH($K817,Dept_Codes,0)),"NOT FOUND"))</f>
        <v/>
      </c>
      <c r="M817" s="12" t="n"/>
      <c r="N817" s="13">
        <f>IF($M817="","",IFERROR(INDEX(Desig_Names,MATCH($M817,Desig_Codes,0)),"NOT FOUND"))</f>
        <v/>
      </c>
      <c r="O817" s="13">
        <f>IF($M817="","",IFERROR(INDEX(Desig_Levels,MATCH($M817,Desig_Codes,0)),""))</f>
        <v/>
      </c>
      <c r="P817" s="12" t="n"/>
      <c r="Q817" s="12" t="n"/>
      <c r="R817" s="12" t="n"/>
      <c r="S817" s="13">
        <f>IF($R817="","",IFERROR(INDEX(Emp_Names,MATCH($R817,Emp_Codes,0)),"NOT FOUND"))</f>
        <v/>
      </c>
      <c r="T817" s="12" t="n"/>
      <c r="U817" s="12" t="n"/>
      <c r="V817" s="12" t="n"/>
    </row>
    <row r="818">
      <c r="A818" s="12" t="n"/>
      <c r="B818" s="12" t="n"/>
      <c r="C818" s="12" t="n"/>
      <c r="D818" s="13">
        <f>IF($A818="","",TRIM($B818&amp;" "&amp;$C818))</f>
        <v/>
      </c>
      <c r="E818" s="12" t="n"/>
      <c r="F818" s="12" t="n"/>
      <c r="G818" s="14" t="n"/>
      <c r="H818" s="14" t="n"/>
      <c r="I818" s="12" t="n"/>
      <c r="J818" s="14" t="n"/>
      <c r="K818" s="12" t="n"/>
      <c r="L818" s="13">
        <f>IF($K818="","",IFERROR(INDEX(Dept_Names,MATCH($K818,Dept_Codes,0)),"NOT FOUND"))</f>
        <v/>
      </c>
      <c r="M818" s="12" t="n"/>
      <c r="N818" s="13">
        <f>IF($M818="","",IFERROR(INDEX(Desig_Names,MATCH($M818,Desig_Codes,0)),"NOT FOUND"))</f>
        <v/>
      </c>
      <c r="O818" s="13">
        <f>IF($M818="","",IFERROR(INDEX(Desig_Levels,MATCH($M818,Desig_Codes,0)),""))</f>
        <v/>
      </c>
      <c r="P818" s="12" t="n"/>
      <c r="Q818" s="12" t="n"/>
      <c r="R818" s="12" t="n"/>
      <c r="S818" s="13">
        <f>IF($R818="","",IFERROR(INDEX(Emp_Names,MATCH($R818,Emp_Codes,0)),"NOT FOUND"))</f>
        <v/>
      </c>
      <c r="T818" s="12" t="n"/>
      <c r="U818" s="12" t="n"/>
      <c r="V818" s="12" t="n"/>
    </row>
    <row r="819">
      <c r="A819" s="12" t="n"/>
      <c r="B819" s="12" t="n"/>
      <c r="C819" s="12" t="n"/>
      <c r="D819" s="13">
        <f>IF($A819="","",TRIM($B819&amp;" "&amp;$C819))</f>
        <v/>
      </c>
      <c r="E819" s="12" t="n"/>
      <c r="F819" s="12" t="n"/>
      <c r="G819" s="14" t="n"/>
      <c r="H819" s="14" t="n"/>
      <c r="I819" s="12" t="n"/>
      <c r="J819" s="14" t="n"/>
      <c r="K819" s="12" t="n"/>
      <c r="L819" s="13">
        <f>IF($K819="","",IFERROR(INDEX(Dept_Names,MATCH($K819,Dept_Codes,0)),"NOT FOUND"))</f>
        <v/>
      </c>
      <c r="M819" s="12" t="n"/>
      <c r="N819" s="13">
        <f>IF($M819="","",IFERROR(INDEX(Desig_Names,MATCH($M819,Desig_Codes,0)),"NOT FOUND"))</f>
        <v/>
      </c>
      <c r="O819" s="13">
        <f>IF($M819="","",IFERROR(INDEX(Desig_Levels,MATCH($M819,Desig_Codes,0)),""))</f>
        <v/>
      </c>
      <c r="P819" s="12" t="n"/>
      <c r="Q819" s="12" t="n"/>
      <c r="R819" s="12" t="n"/>
      <c r="S819" s="13">
        <f>IF($R819="","",IFERROR(INDEX(Emp_Names,MATCH($R819,Emp_Codes,0)),"NOT FOUND"))</f>
        <v/>
      </c>
      <c r="T819" s="12" t="n"/>
      <c r="U819" s="12" t="n"/>
      <c r="V819" s="12" t="n"/>
    </row>
    <row r="820">
      <c r="A820" s="12" t="n"/>
      <c r="B820" s="12" t="n"/>
      <c r="C820" s="12" t="n"/>
      <c r="D820" s="13">
        <f>IF($A820="","",TRIM($B820&amp;" "&amp;$C820))</f>
        <v/>
      </c>
      <c r="E820" s="12" t="n"/>
      <c r="F820" s="12" t="n"/>
      <c r="G820" s="14" t="n"/>
      <c r="H820" s="14" t="n"/>
      <c r="I820" s="12" t="n"/>
      <c r="J820" s="14" t="n"/>
      <c r="K820" s="12" t="n"/>
      <c r="L820" s="13">
        <f>IF($K820="","",IFERROR(INDEX(Dept_Names,MATCH($K820,Dept_Codes,0)),"NOT FOUND"))</f>
        <v/>
      </c>
      <c r="M820" s="12" t="n"/>
      <c r="N820" s="13">
        <f>IF($M820="","",IFERROR(INDEX(Desig_Names,MATCH($M820,Desig_Codes,0)),"NOT FOUND"))</f>
        <v/>
      </c>
      <c r="O820" s="13">
        <f>IF($M820="","",IFERROR(INDEX(Desig_Levels,MATCH($M820,Desig_Codes,0)),""))</f>
        <v/>
      </c>
      <c r="P820" s="12" t="n"/>
      <c r="Q820" s="12" t="n"/>
      <c r="R820" s="12" t="n"/>
      <c r="S820" s="13">
        <f>IF($R820="","",IFERROR(INDEX(Emp_Names,MATCH($R820,Emp_Codes,0)),"NOT FOUND"))</f>
        <v/>
      </c>
      <c r="T820" s="12" t="n"/>
      <c r="U820" s="12" t="n"/>
      <c r="V820" s="12" t="n"/>
    </row>
    <row r="821">
      <c r="A821" s="12" t="n"/>
      <c r="B821" s="12" t="n"/>
      <c r="C821" s="12" t="n"/>
      <c r="D821" s="13">
        <f>IF($A821="","",TRIM($B821&amp;" "&amp;$C821))</f>
        <v/>
      </c>
      <c r="E821" s="12" t="n"/>
      <c r="F821" s="12" t="n"/>
      <c r="G821" s="14" t="n"/>
      <c r="H821" s="14" t="n"/>
      <c r="I821" s="12" t="n"/>
      <c r="J821" s="14" t="n"/>
      <c r="K821" s="12" t="n"/>
      <c r="L821" s="13">
        <f>IF($K821="","",IFERROR(INDEX(Dept_Names,MATCH($K821,Dept_Codes,0)),"NOT FOUND"))</f>
        <v/>
      </c>
      <c r="M821" s="12" t="n"/>
      <c r="N821" s="13">
        <f>IF($M821="","",IFERROR(INDEX(Desig_Names,MATCH($M821,Desig_Codes,0)),"NOT FOUND"))</f>
        <v/>
      </c>
      <c r="O821" s="13">
        <f>IF($M821="","",IFERROR(INDEX(Desig_Levels,MATCH($M821,Desig_Codes,0)),""))</f>
        <v/>
      </c>
      <c r="P821" s="12" t="n"/>
      <c r="Q821" s="12" t="n"/>
      <c r="R821" s="12" t="n"/>
      <c r="S821" s="13">
        <f>IF($R821="","",IFERROR(INDEX(Emp_Names,MATCH($R821,Emp_Codes,0)),"NOT FOUND"))</f>
        <v/>
      </c>
      <c r="T821" s="12" t="n"/>
      <c r="U821" s="12" t="n"/>
      <c r="V821" s="12" t="n"/>
    </row>
    <row r="822">
      <c r="A822" s="12" t="n"/>
      <c r="B822" s="12" t="n"/>
      <c r="C822" s="12" t="n"/>
      <c r="D822" s="13">
        <f>IF($A822="","",TRIM($B822&amp;" "&amp;$C822))</f>
        <v/>
      </c>
      <c r="E822" s="12" t="n"/>
      <c r="F822" s="12" t="n"/>
      <c r="G822" s="14" t="n"/>
      <c r="H822" s="14" t="n"/>
      <c r="I822" s="12" t="n"/>
      <c r="J822" s="14" t="n"/>
      <c r="K822" s="12" t="n"/>
      <c r="L822" s="13">
        <f>IF($K822="","",IFERROR(INDEX(Dept_Names,MATCH($K822,Dept_Codes,0)),"NOT FOUND"))</f>
        <v/>
      </c>
      <c r="M822" s="12" t="n"/>
      <c r="N822" s="13">
        <f>IF($M822="","",IFERROR(INDEX(Desig_Names,MATCH($M822,Desig_Codes,0)),"NOT FOUND"))</f>
        <v/>
      </c>
      <c r="O822" s="13">
        <f>IF($M822="","",IFERROR(INDEX(Desig_Levels,MATCH($M822,Desig_Codes,0)),""))</f>
        <v/>
      </c>
      <c r="P822" s="12" t="n"/>
      <c r="Q822" s="12" t="n"/>
      <c r="R822" s="12" t="n"/>
      <c r="S822" s="13">
        <f>IF($R822="","",IFERROR(INDEX(Emp_Names,MATCH($R822,Emp_Codes,0)),"NOT FOUND"))</f>
        <v/>
      </c>
      <c r="T822" s="12" t="n"/>
      <c r="U822" s="12" t="n"/>
      <c r="V822" s="12" t="n"/>
    </row>
    <row r="823">
      <c r="A823" s="12" t="n"/>
      <c r="B823" s="12" t="n"/>
      <c r="C823" s="12" t="n"/>
      <c r="D823" s="13">
        <f>IF($A823="","",TRIM($B823&amp;" "&amp;$C823))</f>
        <v/>
      </c>
      <c r="E823" s="12" t="n"/>
      <c r="F823" s="12" t="n"/>
      <c r="G823" s="14" t="n"/>
      <c r="H823" s="14" t="n"/>
      <c r="I823" s="12" t="n"/>
      <c r="J823" s="14" t="n"/>
      <c r="K823" s="12" t="n"/>
      <c r="L823" s="13">
        <f>IF($K823="","",IFERROR(INDEX(Dept_Names,MATCH($K823,Dept_Codes,0)),"NOT FOUND"))</f>
        <v/>
      </c>
      <c r="M823" s="12" t="n"/>
      <c r="N823" s="13">
        <f>IF($M823="","",IFERROR(INDEX(Desig_Names,MATCH($M823,Desig_Codes,0)),"NOT FOUND"))</f>
        <v/>
      </c>
      <c r="O823" s="13">
        <f>IF($M823="","",IFERROR(INDEX(Desig_Levels,MATCH($M823,Desig_Codes,0)),""))</f>
        <v/>
      </c>
      <c r="P823" s="12" t="n"/>
      <c r="Q823" s="12" t="n"/>
      <c r="R823" s="12" t="n"/>
      <c r="S823" s="13">
        <f>IF($R823="","",IFERROR(INDEX(Emp_Names,MATCH($R823,Emp_Codes,0)),"NOT FOUND"))</f>
        <v/>
      </c>
      <c r="T823" s="12" t="n"/>
      <c r="U823" s="12" t="n"/>
      <c r="V823" s="12" t="n"/>
    </row>
    <row r="824">
      <c r="A824" s="12" t="n"/>
      <c r="B824" s="12" t="n"/>
      <c r="C824" s="12" t="n"/>
      <c r="D824" s="13">
        <f>IF($A824="","",TRIM($B824&amp;" "&amp;$C824))</f>
        <v/>
      </c>
      <c r="E824" s="12" t="n"/>
      <c r="F824" s="12" t="n"/>
      <c r="G824" s="14" t="n"/>
      <c r="H824" s="14" t="n"/>
      <c r="I824" s="12" t="n"/>
      <c r="J824" s="14" t="n"/>
      <c r="K824" s="12" t="n"/>
      <c r="L824" s="13">
        <f>IF($K824="","",IFERROR(INDEX(Dept_Names,MATCH($K824,Dept_Codes,0)),"NOT FOUND"))</f>
        <v/>
      </c>
      <c r="M824" s="12" t="n"/>
      <c r="N824" s="13">
        <f>IF($M824="","",IFERROR(INDEX(Desig_Names,MATCH($M824,Desig_Codes,0)),"NOT FOUND"))</f>
        <v/>
      </c>
      <c r="O824" s="13">
        <f>IF($M824="","",IFERROR(INDEX(Desig_Levels,MATCH($M824,Desig_Codes,0)),""))</f>
        <v/>
      </c>
      <c r="P824" s="12" t="n"/>
      <c r="Q824" s="12" t="n"/>
      <c r="R824" s="12" t="n"/>
      <c r="S824" s="13">
        <f>IF($R824="","",IFERROR(INDEX(Emp_Names,MATCH($R824,Emp_Codes,0)),"NOT FOUND"))</f>
        <v/>
      </c>
      <c r="T824" s="12" t="n"/>
      <c r="U824" s="12" t="n"/>
      <c r="V824" s="12" t="n"/>
    </row>
    <row r="825">
      <c r="A825" s="12" t="n"/>
      <c r="B825" s="12" t="n"/>
      <c r="C825" s="12" t="n"/>
      <c r="D825" s="13">
        <f>IF($A825="","",TRIM($B825&amp;" "&amp;$C825))</f>
        <v/>
      </c>
      <c r="E825" s="12" t="n"/>
      <c r="F825" s="12" t="n"/>
      <c r="G825" s="14" t="n"/>
      <c r="H825" s="14" t="n"/>
      <c r="I825" s="12" t="n"/>
      <c r="J825" s="14" t="n"/>
      <c r="K825" s="12" t="n"/>
      <c r="L825" s="13">
        <f>IF($K825="","",IFERROR(INDEX(Dept_Names,MATCH($K825,Dept_Codes,0)),"NOT FOUND"))</f>
        <v/>
      </c>
      <c r="M825" s="12" t="n"/>
      <c r="N825" s="13">
        <f>IF($M825="","",IFERROR(INDEX(Desig_Names,MATCH($M825,Desig_Codes,0)),"NOT FOUND"))</f>
        <v/>
      </c>
      <c r="O825" s="13">
        <f>IF($M825="","",IFERROR(INDEX(Desig_Levels,MATCH($M825,Desig_Codes,0)),""))</f>
        <v/>
      </c>
      <c r="P825" s="12" t="n"/>
      <c r="Q825" s="12" t="n"/>
      <c r="R825" s="12" t="n"/>
      <c r="S825" s="13">
        <f>IF($R825="","",IFERROR(INDEX(Emp_Names,MATCH($R825,Emp_Codes,0)),"NOT FOUND"))</f>
        <v/>
      </c>
      <c r="T825" s="12" t="n"/>
      <c r="U825" s="12" t="n"/>
      <c r="V825" s="12" t="n"/>
    </row>
    <row r="826">
      <c r="A826" s="12" t="n"/>
      <c r="B826" s="12" t="n"/>
      <c r="C826" s="12" t="n"/>
      <c r="D826" s="13">
        <f>IF($A826="","",TRIM($B826&amp;" "&amp;$C826))</f>
        <v/>
      </c>
      <c r="E826" s="12" t="n"/>
      <c r="F826" s="12" t="n"/>
      <c r="G826" s="14" t="n"/>
      <c r="H826" s="14" t="n"/>
      <c r="I826" s="12" t="n"/>
      <c r="J826" s="14" t="n"/>
      <c r="K826" s="12" t="n"/>
      <c r="L826" s="13">
        <f>IF($K826="","",IFERROR(INDEX(Dept_Names,MATCH($K826,Dept_Codes,0)),"NOT FOUND"))</f>
        <v/>
      </c>
      <c r="M826" s="12" t="n"/>
      <c r="N826" s="13">
        <f>IF($M826="","",IFERROR(INDEX(Desig_Names,MATCH($M826,Desig_Codes,0)),"NOT FOUND"))</f>
        <v/>
      </c>
      <c r="O826" s="13">
        <f>IF($M826="","",IFERROR(INDEX(Desig_Levels,MATCH($M826,Desig_Codes,0)),""))</f>
        <v/>
      </c>
      <c r="P826" s="12" t="n"/>
      <c r="Q826" s="12" t="n"/>
      <c r="R826" s="12" t="n"/>
      <c r="S826" s="13">
        <f>IF($R826="","",IFERROR(INDEX(Emp_Names,MATCH($R826,Emp_Codes,0)),"NOT FOUND"))</f>
        <v/>
      </c>
      <c r="T826" s="12" t="n"/>
      <c r="U826" s="12" t="n"/>
      <c r="V826" s="12" t="n"/>
    </row>
    <row r="827">
      <c r="A827" s="12" t="n"/>
      <c r="B827" s="12" t="n"/>
      <c r="C827" s="12" t="n"/>
      <c r="D827" s="13">
        <f>IF($A827="","",TRIM($B827&amp;" "&amp;$C827))</f>
        <v/>
      </c>
      <c r="E827" s="12" t="n"/>
      <c r="F827" s="12" t="n"/>
      <c r="G827" s="14" t="n"/>
      <c r="H827" s="14" t="n"/>
      <c r="I827" s="12" t="n"/>
      <c r="J827" s="14" t="n"/>
      <c r="K827" s="12" t="n"/>
      <c r="L827" s="13">
        <f>IF($K827="","",IFERROR(INDEX(Dept_Names,MATCH($K827,Dept_Codes,0)),"NOT FOUND"))</f>
        <v/>
      </c>
      <c r="M827" s="12" t="n"/>
      <c r="N827" s="13">
        <f>IF($M827="","",IFERROR(INDEX(Desig_Names,MATCH($M827,Desig_Codes,0)),"NOT FOUND"))</f>
        <v/>
      </c>
      <c r="O827" s="13">
        <f>IF($M827="","",IFERROR(INDEX(Desig_Levels,MATCH($M827,Desig_Codes,0)),""))</f>
        <v/>
      </c>
      <c r="P827" s="12" t="n"/>
      <c r="Q827" s="12" t="n"/>
      <c r="R827" s="12" t="n"/>
      <c r="S827" s="13">
        <f>IF($R827="","",IFERROR(INDEX(Emp_Names,MATCH($R827,Emp_Codes,0)),"NOT FOUND"))</f>
        <v/>
      </c>
      <c r="T827" s="12" t="n"/>
      <c r="U827" s="12" t="n"/>
      <c r="V827" s="12" t="n"/>
    </row>
    <row r="828">
      <c r="A828" s="12" t="n"/>
      <c r="B828" s="12" t="n"/>
      <c r="C828" s="12" t="n"/>
      <c r="D828" s="13">
        <f>IF($A828="","",TRIM($B828&amp;" "&amp;$C828))</f>
        <v/>
      </c>
      <c r="E828" s="12" t="n"/>
      <c r="F828" s="12" t="n"/>
      <c r="G828" s="14" t="n"/>
      <c r="H828" s="14" t="n"/>
      <c r="I828" s="12" t="n"/>
      <c r="J828" s="14" t="n"/>
      <c r="K828" s="12" t="n"/>
      <c r="L828" s="13">
        <f>IF($K828="","",IFERROR(INDEX(Dept_Names,MATCH($K828,Dept_Codes,0)),"NOT FOUND"))</f>
        <v/>
      </c>
      <c r="M828" s="12" t="n"/>
      <c r="N828" s="13">
        <f>IF($M828="","",IFERROR(INDEX(Desig_Names,MATCH($M828,Desig_Codes,0)),"NOT FOUND"))</f>
        <v/>
      </c>
      <c r="O828" s="13">
        <f>IF($M828="","",IFERROR(INDEX(Desig_Levels,MATCH($M828,Desig_Codes,0)),""))</f>
        <v/>
      </c>
      <c r="P828" s="12" t="n"/>
      <c r="Q828" s="12" t="n"/>
      <c r="R828" s="12" t="n"/>
      <c r="S828" s="13">
        <f>IF($R828="","",IFERROR(INDEX(Emp_Names,MATCH($R828,Emp_Codes,0)),"NOT FOUND"))</f>
        <v/>
      </c>
      <c r="T828" s="12" t="n"/>
      <c r="U828" s="12" t="n"/>
      <c r="V828" s="12" t="n"/>
    </row>
    <row r="829">
      <c r="A829" s="12" t="n"/>
      <c r="B829" s="12" t="n"/>
      <c r="C829" s="12" t="n"/>
      <c r="D829" s="13">
        <f>IF($A829="","",TRIM($B829&amp;" "&amp;$C829))</f>
        <v/>
      </c>
      <c r="E829" s="12" t="n"/>
      <c r="F829" s="12" t="n"/>
      <c r="G829" s="14" t="n"/>
      <c r="H829" s="14" t="n"/>
      <c r="I829" s="12" t="n"/>
      <c r="J829" s="14" t="n"/>
      <c r="K829" s="12" t="n"/>
      <c r="L829" s="13">
        <f>IF($K829="","",IFERROR(INDEX(Dept_Names,MATCH($K829,Dept_Codes,0)),"NOT FOUND"))</f>
        <v/>
      </c>
      <c r="M829" s="12" t="n"/>
      <c r="N829" s="13">
        <f>IF($M829="","",IFERROR(INDEX(Desig_Names,MATCH($M829,Desig_Codes,0)),"NOT FOUND"))</f>
        <v/>
      </c>
      <c r="O829" s="13">
        <f>IF($M829="","",IFERROR(INDEX(Desig_Levels,MATCH($M829,Desig_Codes,0)),""))</f>
        <v/>
      </c>
      <c r="P829" s="12" t="n"/>
      <c r="Q829" s="12" t="n"/>
      <c r="R829" s="12" t="n"/>
      <c r="S829" s="13">
        <f>IF($R829="","",IFERROR(INDEX(Emp_Names,MATCH($R829,Emp_Codes,0)),"NOT FOUND"))</f>
        <v/>
      </c>
      <c r="T829" s="12" t="n"/>
      <c r="U829" s="12" t="n"/>
      <c r="V829" s="12" t="n"/>
    </row>
    <row r="830">
      <c r="A830" s="12" t="n"/>
      <c r="B830" s="12" t="n"/>
      <c r="C830" s="12" t="n"/>
      <c r="D830" s="13">
        <f>IF($A830="","",TRIM($B830&amp;" "&amp;$C830))</f>
        <v/>
      </c>
      <c r="E830" s="12" t="n"/>
      <c r="F830" s="12" t="n"/>
      <c r="G830" s="14" t="n"/>
      <c r="H830" s="14" t="n"/>
      <c r="I830" s="12" t="n"/>
      <c r="J830" s="14" t="n"/>
      <c r="K830" s="12" t="n"/>
      <c r="L830" s="13">
        <f>IF($K830="","",IFERROR(INDEX(Dept_Names,MATCH($K830,Dept_Codes,0)),"NOT FOUND"))</f>
        <v/>
      </c>
      <c r="M830" s="12" t="n"/>
      <c r="N830" s="13">
        <f>IF($M830="","",IFERROR(INDEX(Desig_Names,MATCH($M830,Desig_Codes,0)),"NOT FOUND"))</f>
        <v/>
      </c>
      <c r="O830" s="13">
        <f>IF($M830="","",IFERROR(INDEX(Desig_Levels,MATCH($M830,Desig_Codes,0)),""))</f>
        <v/>
      </c>
      <c r="P830" s="12" t="n"/>
      <c r="Q830" s="12" t="n"/>
      <c r="R830" s="12" t="n"/>
      <c r="S830" s="13">
        <f>IF($R830="","",IFERROR(INDEX(Emp_Names,MATCH($R830,Emp_Codes,0)),"NOT FOUND"))</f>
        <v/>
      </c>
      <c r="T830" s="12" t="n"/>
      <c r="U830" s="12" t="n"/>
      <c r="V830" s="12" t="n"/>
    </row>
    <row r="831">
      <c r="A831" s="12" t="n"/>
      <c r="B831" s="12" t="n"/>
      <c r="C831" s="12" t="n"/>
      <c r="D831" s="13">
        <f>IF($A831="","",TRIM($B831&amp;" "&amp;$C831))</f>
        <v/>
      </c>
      <c r="E831" s="12" t="n"/>
      <c r="F831" s="12" t="n"/>
      <c r="G831" s="14" t="n"/>
      <c r="H831" s="14" t="n"/>
      <c r="I831" s="12" t="n"/>
      <c r="J831" s="14" t="n"/>
      <c r="K831" s="12" t="n"/>
      <c r="L831" s="13">
        <f>IF($K831="","",IFERROR(INDEX(Dept_Names,MATCH($K831,Dept_Codes,0)),"NOT FOUND"))</f>
        <v/>
      </c>
      <c r="M831" s="12" t="n"/>
      <c r="N831" s="13">
        <f>IF($M831="","",IFERROR(INDEX(Desig_Names,MATCH($M831,Desig_Codes,0)),"NOT FOUND"))</f>
        <v/>
      </c>
      <c r="O831" s="13">
        <f>IF($M831="","",IFERROR(INDEX(Desig_Levels,MATCH($M831,Desig_Codes,0)),""))</f>
        <v/>
      </c>
      <c r="P831" s="12" t="n"/>
      <c r="Q831" s="12" t="n"/>
      <c r="R831" s="12" t="n"/>
      <c r="S831" s="13">
        <f>IF($R831="","",IFERROR(INDEX(Emp_Names,MATCH($R831,Emp_Codes,0)),"NOT FOUND"))</f>
        <v/>
      </c>
      <c r="T831" s="12" t="n"/>
      <c r="U831" s="12" t="n"/>
      <c r="V831" s="12" t="n"/>
    </row>
    <row r="832">
      <c r="A832" s="12" t="n"/>
      <c r="B832" s="12" t="n"/>
      <c r="C832" s="12" t="n"/>
      <c r="D832" s="13">
        <f>IF($A832="","",TRIM($B832&amp;" "&amp;$C832))</f>
        <v/>
      </c>
      <c r="E832" s="12" t="n"/>
      <c r="F832" s="12" t="n"/>
      <c r="G832" s="14" t="n"/>
      <c r="H832" s="14" t="n"/>
      <c r="I832" s="12" t="n"/>
      <c r="J832" s="14" t="n"/>
      <c r="K832" s="12" t="n"/>
      <c r="L832" s="13">
        <f>IF($K832="","",IFERROR(INDEX(Dept_Names,MATCH($K832,Dept_Codes,0)),"NOT FOUND"))</f>
        <v/>
      </c>
      <c r="M832" s="12" t="n"/>
      <c r="N832" s="13">
        <f>IF($M832="","",IFERROR(INDEX(Desig_Names,MATCH($M832,Desig_Codes,0)),"NOT FOUND"))</f>
        <v/>
      </c>
      <c r="O832" s="13">
        <f>IF($M832="","",IFERROR(INDEX(Desig_Levels,MATCH($M832,Desig_Codes,0)),""))</f>
        <v/>
      </c>
      <c r="P832" s="12" t="n"/>
      <c r="Q832" s="12" t="n"/>
      <c r="R832" s="12" t="n"/>
      <c r="S832" s="13">
        <f>IF($R832="","",IFERROR(INDEX(Emp_Names,MATCH($R832,Emp_Codes,0)),"NOT FOUND"))</f>
        <v/>
      </c>
      <c r="T832" s="12" t="n"/>
      <c r="U832" s="12" t="n"/>
      <c r="V832" s="12" t="n"/>
    </row>
    <row r="833">
      <c r="A833" s="12" t="n"/>
      <c r="B833" s="12" t="n"/>
      <c r="C833" s="12" t="n"/>
      <c r="D833" s="13">
        <f>IF($A833="","",TRIM($B833&amp;" "&amp;$C833))</f>
        <v/>
      </c>
      <c r="E833" s="12" t="n"/>
      <c r="F833" s="12" t="n"/>
      <c r="G833" s="14" t="n"/>
      <c r="H833" s="14" t="n"/>
      <c r="I833" s="12" t="n"/>
      <c r="J833" s="14" t="n"/>
      <c r="K833" s="12" t="n"/>
      <c r="L833" s="13">
        <f>IF($K833="","",IFERROR(INDEX(Dept_Names,MATCH($K833,Dept_Codes,0)),"NOT FOUND"))</f>
        <v/>
      </c>
      <c r="M833" s="12" t="n"/>
      <c r="N833" s="13">
        <f>IF($M833="","",IFERROR(INDEX(Desig_Names,MATCH($M833,Desig_Codes,0)),"NOT FOUND"))</f>
        <v/>
      </c>
      <c r="O833" s="13">
        <f>IF($M833="","",IFERROR(INDEX(Desig_Levels,MATCH($M833,Desig_Codes,0)),""))</f>
        <v/>
      </c>
      <c r="P833" s="12" t="n"/>
      <c r="Q833" s="12" t="n"/>
      <c r="R833" s="12" t="n"/>
      <c r="S833" s="13">
        <f>IF($R833="","",IFERROR(INDEX(Emp_Names,MATCH($R833,Emp_Codes,0)),"NOT FOUND"))</f>
        <v/>
      </c>
      <c r="T833" s="12" t="n"/>
      <c r="U833" s="12" t="n"/>
      <c r="V833" s="12" t="n"/>
    </row>
    <row r="834">
      <c r="A834" s="12" t="n"/>
      <c r="B834" s="12" t="n"/>
      <c r="C834" s="12" t="n"/>
      <c r="D834" s="13">
        <f>IF($A834="","",TRIM($B834&amp;" "&amp;$C834))</f>
        <v/>
      </c>
      <c r="E834" s="12" t="n"/>
      <c r="F834" s="12" t="n"/>
      <c r="G834" s="14" t="n"/>
      <c r="H834" s="14" t="n"/>
      <c r="I834" s="12" t="n"/>
      <c r="J834" s="14" t="n"/>
      <c r="K834" s="12" t="n"/>
      <c r="L834" s="13">
        <f>IF($K834="","",IFERROR(INDEX(Dept_Names,MATCH($K834,Dept_Codes,0)),"NOT FOUND"))</f>
        <v/>
      </c>
      <c r="M834" s="12" t="n"/>
      <c r="N834" s="13">
        <f>IF($M834="","",IFERROR(INDEX(Desig_Names,MATCH($M834,Desig_Codes,0)),"NOT FOUND"))</f>
        <v/>
      </c>
      <c r="O834" s="13">
        <f>IF($M834="","",IFERROR(INDEX(Desig_Levels,MATCH($M834,Desig_Codes,0)),""))</f>
        <v/>
      </c>
      <c r="P834" s="12" t="n"/>
      <c r="Q834" s="12" t="n"/>
      <c r="R834" s="12" t="n"/>
      <c r="S834" s="13">
        <f>IF($R834="","",IFERROR(INDEX(Emp_Names,MATCH($R834,Emp_Codes,0)),"NOT FOUND"))</f>
        <v/>
      </c>
      <c r="T834" s="12" t="n"/>
      <c r="U834" s="12" t="n"/>
      <c r="V834" s="12" t="n"/>
    </row>
    <row r="835">
      <c r="A835" s="12" t="n"/>
      <c r="B835" s="12" t="n"/>
      <c r="C835" s="12" t="n"/>
      <c r="D835" s="13">
        <f>IF($A835="","",TRIM($B835&amp;" "&amp;$C835))</f>
        <v/>
      </c>
      <c r="E835" s="12" t="n"/>
      <c r="F835" s="12" t="n"/>
      <c r="G835" s="14" t="n"/>
      <c r="H835" s="14" t="n"/>
      <c r="I835" s="12" t="n"/>
      <c r="J835" s="14" t="n"/>
      <c r="K835" s="12" t="n"/>
      <c r="L835" s="13">
        <f>IF($K835="","",IFERROR(INDEX(Dept_Names,MATCH($K835,Dept_Codes,0)),"NOT FOUND"))</f>
        <v/>
      </c>
      <c r="M835" s="12" t="n"/>
      <c r="N835" s="13">
        <f>IF($M835="","",IFERROR(INDEX(Desig_Names,MATCH($M835,Desig_Codes,0)),"NOT FOUND"))</f>
        <v/>
      </c>
      <c r="O835" s="13">
        <f>IF($M835="","",IFERROR(INDEX(Desig_Levels,MATCH($M835,Desig_Codes,0)),""))</f>
        <v/>
      </c>
      <c r="P835" s="12" t="n"/>
      <c r="Q835" s="12" t="n"/>
      <c r="R835" s="12" t="n"/>
      <c r="S835" s="13">
        <f>IF($R835="","",IFERROR(INDEX(Emp_Names,MATCH($R835,Emp_Codes,0)),"NOT FOUND"))</f>
        <v/>
      </c>
      <c r="T835" s="12" t="n"/>
      <c r="U835" s="12" t="n"/>
      <c r="V835" s="12" t="n"/>
    </row>
    <row r="836">
      <c r="A836" s="12" t="n"/>
      <c r="B836" s="12" t="n"/>
      <c r="C836" s="12" t="n"/>
      <c r="D836" s="13">
        <f>IF($A836="","",TRIM($B836&amp;" "&amp;$C836))</f>
        <v/>
      </c>
      <c r="E836" s="12" t="n"/>
      <c r="F836" s="12" t="n"/>
      <c r="G836" s="14" t="n"/>
      <c r="H836" s="14" t="n"/>
      <c r="I836" s="12" t="n"/>
      <c r="J836" s="14" t="n"/>
      <c r="K836" s="12" t="n"/>
      <c r="L836" s="13">
        <f>IF($K836="","",IFERROR(INDEX(Dept_Names,MATCH($K836,Dept_Codes,0)),"NOT FOUND"))</f>
        <v/>
      </c>
      <c r="M836" s="12" t="n"/>
      <c r="N836" s="13">
        <f>IF($M836="","",IFERROR(INDEX(Desig_Names,MATCH($M836,Desig_Codes,0)),"NOT FOUND"))</f>
        <v/>
      </c>
      <c r="O836" s="13">
        <f>IF($M836="","",IFERROR(INDEX(Desig_Levels,MATCH($M836,Desig_Codes,0)),""))</f>
        <v/>
      </c>
      <c r="P836" s="12" t="n"/>
      <c r="Q836" s="12" t="n"/>
      <c r="R836" s="12" t="n"/>
      <c r="S836" s="13">
        <f>IF($R836="","",IFERROR(INDEX(Emp_Names,MATCH($R836,Emp_Codes,0)),"NOT FOUND"))</f>
        <v/>
      </c>
      <c r="T836" s="12" t="n"/>
      <c r="U836" s="12" t="n"/>
      <c r="V836" s="12" t="n"/>
    </row>
    <row r="837">
      <c r="A837" s="12" t="n"/>
      <c r="B837" s="12" t="n"/>
      <c r="C837" s="12" t="n"/>
      <c r="D837" s="13">
        <f>IF($A837="","",TRIM($B837&amp;" "&amp;$C837))</f>
        <v/>
      </c>
      <c r="E837" s="12" t="n"/>
      <c r="F837" s="12" t="n"/>
      <c r="G837" s="14" t="n"/>
      <c r="H837" s="14" t="n"/>
      <c r="I837" s="12" t="n"/>
      <c r="J837" s="14" t="n"/>
      <c r="K837" s="12" t="n"/>
      <c r="L837" s="13">
        <f>IF($K837="","",IFERROR(INDEX(Dept_Names,MATCH($K837,Dept_Codes,0)),"NOT FOUND"))</f>
        <v/>
      </c>
      <c r="M837" s="12" t="n"/>
      <c r="N837" s="13">
        <f>IF($M837="","",IFERROR(INDEX(Desig_Names,MATCH($M837,Desig_Codes,0)),"NOT FOUND"))</f>
        <v/>
      </c>
      <c r="O837" s="13">
        <f>IF($M837="","",IFERROR(INDEX(Desig_Levels,MATCH($M837,Desig_Codes,0)),""))</f>
        <v/>
      </c>
      <c r="P837" s="12" t="n"/>
      <c r="Q837" s="12" t="n"/>
      <c r="R837" s="12" t="n"/>
      <c r="S837" s="13">
        <f>IF($R837="","",IFERROR(INDEX(Emp_Names,MATCH($R837,Emp_Codes,0)),"NOT FOUND"))</f>
        <v/>
      </c>
      <c r="T837" s="12" t="n"/>
      <c r="U837" s="12" t="n"/>
      <c r="V837" s="12" t="n"/>
    </row>
    <row r="838">
      <c r="A838" s="12" t="n"/>
      <c r="B838" s="12" t="n"/>
      <c r="C838" s="12" t="n"/>
      <c r="D838" s="13">
        <f>IF($A838="","",TRIM($B838&amp;" "&amp;$C838))</f>
        <v/>
      </c>
      <c r="E838" s="12" t="n"/>
      <c r="F838" s="12" t="n"/>
      <c r="G838" s="14" t="n"/>
      <c r="H838" s="14" t="n"/>
      <c r="I838" s="12" t="n"/>
      <c r="J838" s="14" t="n"/>
      <c r="K838" s="12" t="n"/>
      <c r="L838" s="13">
        <f>IF($K838="","",IFERROR(INDEX(Dept_Names,MATCH($K838,Dept_Codes,0)),"NOT FOUND"))</f>
        <v/>
      </c>
      <c r="M838" s="12" t="n"/>
      <c r="N838" s="13">
        <f>IF($M838="","",IFERROR(INDEX(Desig_Names,MATCH($M838,Desig_Codes,0)),"NOT FOUND"))</f>
        <v/>
      </c>
      <c r="O838" s="13">
        <f>IF($M838="","",IFERROR(INDEX(Desig_Levels,MATCH($M838,Desig_Codes,0)),""))</f>
        <v/>
      </c>
      <c r="P838" s="12" t="n"/>
      <c r="Q838" s="12" t="n"/>
      <c r="R838" s="12" t="n"/>
      <c r="S838" s="13">
        <f>IF($R838="","",IFERROR(INDEX(Emp_Names,MATCH($R838,Emp_Codes,0)),"NOT FOUND"))</f>
        <v/>
      </c>
      <c r="T838" s="12" t="n"/>
      <c r="U838" s="12" t="n"/>
      <c r="V838" s="12" t="n"/>
    </row>
    <row r="839">
      <c r="A839" s="12" t="n"/>
      <c r="B839" s="12" t="n"/>
      <c r="C839" s="12" t="n"/>
      <c r="D839" s="13">
        <f>IF($A839="","",TRIM($B839&amp;" "&amp;$C839))</f>
        <v/>
      </c>
      <c r="E839" s="12" t="n"/>
      <c r="F839" s="12" t="n"/>
      <c r="G839" s="14" t="n"/>
      <c r="H839" s="14" t="n"/>
      <c r="I839" s="12" t="n"/>
      <c r="J839" s="14" t="n"/>
      <c r="K839" s="12" t="n"/>
      <c r="L839" s="13">
        <f>IF($K839="","",IFERROR(INDEX(Dept_Names,MATCH($K839,Dept_Codes,0)),"NOT FOUND"))</f>
        <v/>
      </c>
      <c r="M839" s="12" t="n"/>
      <c r="N839" s="13">
        <f>IF($M839="","",IFERROR(INDEX(Desig_Names,MATCH($M839,Desig_Codes,0)),"NOT FOUND"))</f>
        <v/>
      </c>
      <c r="O839" s="13">
        <f>IF($M839="","",IFERROR(INDEX(Desig_Levels,MATCH($M839,Desig_Codes,0)),""))</f>
        <v/>
      </c>
      <c r="P839" s="12" t="n"/>
      <c r="Q839" s="12" t="n"/>
      <c r="R839" s="12" t="n"/>
      <c r="S839" s="13">
        <f>IF($R839="","",IFERROR(INDEX(Emp_Names,MATCH($R839,Emp_Codes,0)),"NOT FOUND"))</f>
        <v/>
      </c>
      <c r="T839" s="12" t="n"/>
      <c r="U839" s="12" t="n"/>
      <c r="V839" s="12" t="n"/>
    </row>
    <row r="840">
      <c r="A840" s="12" t="n"/>
      <c r="B840" s="12" t="n"/>
      <c r="C840" s="12" t="n"/>
      <c r="D840" s="13">
        <f>IF($A840="","",TRIM($B840&amp;" "&amp;$C840))</f>
        <v/>
      </c>
      <c r="E840" s="12" t="n"/>
      <c r="F840" s="12" t="n"/>
      <c r="G840" s="14" t="n"/>
      <c r="H840" s="14" t="n"/>
      <c r="I840" s="12" t="n"/>
      <c r="J840" s="14" t="n"/>
      <c r="K840" s="12" t="n"/>
      <c r="L840" s="13">
        <f>IF($K840="","",IFERROR(INDEX(Dept_Names,MATCH($K840,Dept_Codes,0)),"NOT FOUND"))</f>
        <v/>
      </c>
      <c r="M840" s="12" t="n"/>
      <c r="N840" s="13">
        <f>IF($M840="","",IFERROR(INDEX(Desig_Names,MATCH($M840,Desig_Codes,0)),"NOT FOUND"))</f>
        <v/>
      </c>
      <c r="O840" s="13">
        <f>IF($M840="","",IFERROR(INDEX(Desig_Levels,MATCH($M840,Desig_Codes,0)),""))</f>
        <v/>
      </c>
      <c r="P840" s="12" t="n"/>
      <c r="Q840" s="12" t="n"/>
      <c r="R840" s="12" t="n"/>
      <c r="S840" s="13">
        <f>IF($R840="","",IFERROR(INDEX(Emp_Names,MATCH($R840,Emp_Codes,0)),"NOT FOUND"))</f>
        <v/>
      </c>
      <c r="T840" s="12" t="n"/>
      <c r="U840" s="12" t="n"/>
      <c r="V840" s="12" t="n"/>
    </row>
    <row r="841">
      <c r="A841" s="12" t="n"/>
      <c r="B841" s="12" t="n"/>
      <c r="C841" s="12" t="n"/>
      <c r="D841" s="13">
        <f>IF($A841="","",TRIM($B841&amp;" "&amp;$C841))</f>
        <v/>
      </c>
      <c r="E841" s="12" t="n"/>
      <c r="F841" s="12" t="n"/>
      <c r="G841" s="14" t="n"/>
      <c r="H841" s="14" t="n"/>
      <c r="I841" s="12" t="n"/>
      <c r="J841" s="14" t="n"/>
      <c r="K841" s="12" t="n"/>
      <c r="L841" s="13">
        <f>IF($K841="","",IFERROR(INDEX(Dept_Names,MATCH($K841,Dept_Codes,0)),"NOT FOUND"))</f>
        <v/>
      </c>
      <c r="M841" s="12" t="n"/>
      <c r="N841" s="13">
        <f>IF($M841="","",IFERROR(INDEX(Desig_Names,MATCH($M841,Desig_Codes,0)),"NOT FOUND"))</f>
        <v/>
      </c>
      <c r="O841" s="13">
        <f>IF($M841="","",IFERROR(INDEX(Desig_Levels,MATCH($M841,Desig_Codes,0)),""))</f>
        <v/>
      </c>
      <c r="P841" s="12" t="n"/>
      <c r="Q841" s="12" t="n"/>
      <c r="R841" s="12" t="n"/>
      <c r="S841" s="13">
        <f>IF($R841="","",IFERROR(INDEX(Emp_Names,MATCH($R841,Emp_Codes,0)),"NOT FOUND"))</f>
        <v/>
      </c>
      <c r="T841" s="12" t="n"/>
      <c r="U841" s="12" t="n"/>
      <c r="V841" s="12" t="n"/>
    </row>
    <row r="842">
      <c r="A842" s="12" t="n"/>
      <c r="B842" s="12" t="n"/>
      <c r="C842" s="12" t="n"/>
      <c r="D842" s="13">
        <f>IF($A842="","",TRIM($B842&amp;" "&amp;$C842))</f>
        <v/>
      </c>
      <c r="E842" s="12" t="n"/>
      <c r="F842" s="12" t="n"/>
      <c r="G842" s="14" t="n"/>
      <c r="H842" s="14" t="n"/>
      <c r="I842" s="12" t="n"/>
      <c r="J842" s="14" t="n"/>
      <c r="K842" s="12" t="n"/>
      <c r="L842" s="13">
        <f>IF($K842="","",IFERROR(INDEX(Dept_Names,MATCH($K842,Dept_Codes,0)),"NOT FOUND"))</f>
        <v/>
      </c>
      <c r="M842" s="12" t="n"/>
      <c r="N842" s="13">
        <f>IF($M842="","",IFERROR(INDEX(Desig_Names,MATCH($M842,Desig_Codes,0)),"NOT FOUND"))</f>
        <v/>
      </c>
      <c r="O842" s="13">
        <f>IF($M842="","",IFERROR(INDEX(Desig_Levels,MATCH($M842,Desig_Codes,0)),""))</f>
        <v/>
      </c>
      <c r="P842" s="12" t="n"/>
      <c r="Q842" s="12" t="n"/>
      <c r="R842" s="12" t="n"/>
      <c r="S842" s="13">
        <f>IF($R842="","",IFERROR(INDEX(Emp_Names,MATCH($R842,Emp_Codes,0)),"NOT FOUND"))</f>
        <v/>
      </c>
      <c r="T842" s="12" t="n"/>
      <c r="U842" s="12" t="n"/>
      <c r="V842" s="12" t="n"/>
    </row>
    <row r="843">
      <c r="A843" s="12" t="n"/>
      <c r="B843" s="12" t="n"/>
      <c r="C843" s="12" t="n"/>
      <c r="D843" s="13">
        <f>IF($A843="","",TRIM($B843&amp;" "&amp;$C843))</f>
        <v/>
      </c>
      <c r="E843" s="12" t="n"/>
      <c r="F843" s="12" t="n"/>
      <c r="G843" s="14" t="n"/>
      <c r="H843" s="14" t="n"/>
      <c r="I843" s="12" t="n"/>
      <c r="J843" s="14" t="n"/>
      <c r="K843" s="12" t="n"/>
      <c r="L843" s="13">
        <f>IF($K843="","",IFERROR(INDEX(Dept_Names,MATCH($K843,Dept_Codes,0)),"NOT FOUND"))</f>
        <v/>
      </c>
      <c r="M843" s="12" t="n"/>
      <c r="N843" s="13">
        <f>IF($M843="","",IFERROR(INDEX(Desig_Names,MATCH($M843,Desig_Codes,0)),"NOT FOUND"))</f>
        <v/>
      </c>
      <c r="O843" s="13">
        <f>IF($M843="","",IFERROR(INDEX(Desig_Levels,MATCH($M843,Desig_Codes,0)),""))</f>
        <v/>
      </c>
      <c r="P843" s="12" t="n"/>
      <c r="Q843" s="12" t="n"/>
      <c r="R843" s="12" t="n"/>
      <c r="S843" s="13">
        <f>IF($R843="","",IFERROR(INDEX(Emp_Names,MATCH($R843,Emp_Codes,0)),"NOT FOUND"))</f>
        <v/>
      </c>
      <c r="T843" s="12" t="n"/>
      <c r="U843" s="12" t="n"/>
      <c r="V843" s="12" t="n"/>
    </row>
    <row r="844">
      <c r="A844" s="12" t="n"/>
      <c r="B844" s="12" t="n"/>
      <c r="C844" s="12" t="n"/>
      <c r="D844" s="13">
        <f>IF($A844="","",TRIM($B844&amp;" "&amp;$C844))</f>
        <v/>
      </c>
      <c r="E844" s="12" t="n"/>
      <c r="F844" s="12" t="n"/>
      <c r="G844" s="14" t="n"/>
      <c r="H844" s="14" t="n"/>
      <c r="I844" s="12" t="n"/>
      <c r="J844" s="14" t="n"/>
      <c r="K844" s="12" t="n"/>
      <c r="L844" s="13">
        <f>IF($K844="","",IFERROR(INDEX(Dept_Names,MATCH($K844,Dept_Codes,0)),"NOT FOUND"))</f>
        <v/>
      </c>
      <c r="M844" s="12" t="n"/>
      <c r="N844" s="13">
        <f>IF($M844="","",IFERROR(INDEX(Desig_Names,MATCH($M844,Desig_Codes,0)),"NOT FOUND"))</f>
        <v/>
      </c>
      <c r="O844" s="13">
        <f>IF($M844="","",IFERROR(INDEX(Desig_Levels,MATCH($M844,Desig_Codes,0)),""))</f>
        <v/>
      </c>
      <c r="P844" s="12" t="n"/>
      <c r="Q844" s="12" t="n"/>
      <c r="R844" s="12" t="n"/>
      <c r="S844" s="13">
        <f>IF($R844="","",IFERROR(INDEX(Emp_Names,MATCH($R844,Emp_Codes,0)),"NOT FOUND"))</f>
        <v/>
      </c>
      <c r="T844" s="12" t="n"/>
      <c r="U844" s="12" t="n"/>
      <c r="V844" s="12" t="n"/>
    </row>
    <row r="845">
      <c r="A845" s="12" t="n"/>
      <c r="B845" s="12" t="n"/>
      <c r="C845" s="12" t="n"/>
      <c r="D845" s="13">
        <f>IF($A845="","",TRIM($B845&amp;" "&amp;$C845))</f>
        <v/>
      </c>
      <c r="E845" s="12" t="n"/>
      <c r="F845" s="12" t="n"/>
      <c r="G845" s="14" t="n"/>
      <c r="H845" s="14" t="n"/>
      <c r="I845" s="12" t="n"/>
      <c r="J845" s="14" t="n"/>
      <c r="K845" s="12" t="n"/>
      <c r="L845" s="13">
        <f>IF($K845="","",IFERROR(INDEX(Dept_Names,MATCH($K845,Dept_Codes,0)),"NOT FOUND"))</f>
        <v/>
      </c>
      <c r="M845" s="12" t="n"/>
      <c r="N845" s="13">
        <f>IF($M845="","",IFERROR(INDEX(Desig_Names,MATCH($M845,Desig_Codes,0)),"NOT FOUND"))</f>
        <v/>
      </c>
      <c r="O845" s="13">
        <f>IF($M845="","",IFERROR(INDEX(Desig_Levels,MATCH($M845,Desig_Codes,0)),""))</f>
        <v/>
      </c>
      <c r="P845" s="12" t="n"/>
      <c r="Q845" s="12" t="n"/>
      <c r="R845" s="12" t="n"/>
      <c r="S845" s="13">
        <f>IF($R845="","",IFERROR(INDEX(Emp_Names,MATCH($R845,Emp_Codes,0)),"NOT FOUND"))</f>
        <v/>
      </c>
      <c r="T845" s="12" t="n"/>
      <c r="U845" s="12" t="n"/>
      <c r="V845" s="12" t="n"/>
    </row>
    <row r="846">
      <c r="A846" s="12" t="n"/>
      <c r="B846" s="12" t="n"/>
      <c r="C846" s="12" t="n"/>
      <c r="D846" s="13">
        <f>IF($A846="","",TRIM($B846&amp;" "&amp;$C846))</f>
        <v/>
      </c>
      <c r="E846" s="12" t="n"/>
      <c r="F846" s="12" t="n"/>
      <c r="G846" s="14" t="n"/>
      <c r="H846" s="14" t="n"/>
      <c r="I846" s="12" t="n"/>
      <c r="J846" s="14" t="n"/>
      <c r="K846" s="12" t="n"/>
      <c r="L846" s="13">
        <f>IF($K846="","",IFERROR(INDEX(Dept_Names,MATCH($K846,Dept_Codes,0)),"NOT FOUND"))</f>
        <v/>
      </c>
      <c r="M846" s="12" t="n"/>
      <c r="N846" s="13">
        <f>IF($M846="","",IFERROR(INDEX(Desig_Names,MATCH($M846,Desig_Codes,0)),"NOT FOUND"))</f>
        <v/>
      </c>
      <c r="O846" s="13">
        <f>IF($M846="","",IFERROR(INDEX(Desig_Levels,MATCH($M846,Desig_Codes,0)),""))</f>
        <v/>
      </c>
      <c r="P846" s="12" t="n"/>
      <c r="Q846" s="12" t="n"/>
      <c r="R846" s="12" t="n"/>
      <c r="S846" s="13">
        <f>IF($R846="","",IFERROR(INDEX(Emp_Names,MATCH($R846,Emp_Codes,0)),"NOT FOUND"))</f>
        <v/>
      </c>
      <c r="T846" s="12" t="n"/>
      <c r="U846" s="12" t="n"/>
      <c r="V846" s="12" t="n"/>
    </row>
    <row r="847">
      <c r="A847" s="12" t="n"/>
      <c r="B847" s="12" t="n"/>
      <c r="C847" s="12" t="n"/>
      <c r="D847" s="13">
        <f>IF($A847="","",TRIM($B847&amp;" "&amp;$C847))</f>
        <v/>
      </c>
      <c r="E847" s="12" t="n"/>
      <c r="F847" s="12" t="n"/>
      <c r="G847" s="14" t="n"/>
      <c r="H847" s="14" t="n"/>
      <c r="I847" s="12" t="n"/>
      <c r="J847" s="14" t="n"/>
      <c r="K847" s="12" t="n"/>
      <c r="L847" s="13">
        <f>IF($K847="","",IFERROR(INDEX(Dept_Names,MATCH($K847,Dept_Codes,0)),"NOT FOUND"))</f>
        <v/>
      </c>
      <c r="M847" s="12" t="n"/>
      <c r="N847" s="13">
        <f>IF($M847="","",IFERROR(INDEX(Desig_Names,MATCH($M847,Desig_Codes,0)),"NOT FOUND"))</f>
        <v/>
      </c>
      <c r="O847" s="13">
        <f>IF($M847="","",IFERROR(INDEX(Desig_Levels,MATCH($M847,Desig_Codes,0)),""))</f>
        <v/>
      </c>
      <c r="P847" s="12" t="n"/>
      <c r="Q847" s="12" t="n"/>
      <c r="R847" s="12" t="n"/>
      <c r="S847" s="13">
        <f>IF($R847="","",IFERROR(INDEX(Emp_Names,MATCH($R847,Emp_Codes,0)),"NOT FOUND"))</f>
        <v/>
      </c>
      <c r="T847" s="12" t="n"/>
      <c r="U847" s="12" t="n"/>
      <c r="V847" s="12" t="n"/>
    </row>
    <row r="848">
      <c r="A848" s="12" t="n"/>
      <c r="B848" s="12" t="n"/>
      <c r="C848" s="12" t="n"/>
      <c r="D848" s="13">
        <f>IF($A848="","",TRIM($B848&amp;" "&amp;$C848))</f>
        <v/>
      </c>
      <c r="E848" s="12" t="n"/>
      <c r="F848" s="12" t="n"/>
      <c r="G848" s="14" t="n"/>
      <c r="H848" s="14" t="n"/>
      <c r="I848" s="12" t="n"/>
      <c r="J848" s="14" t="n"/>
      <c r="K848" s="12" t="n"/>
      <c r="L848" s="13">
        <f>IF($K848="","",IFERROR(INDEX(Dept_Names,MATCH($K848,Dept_Codes,0)),"NOT FOUND"))</f>
        <v/>
      </c>
      <c r="M848" s="12" t="n"/>
      <c r="N848" s="13">
        <f>IF($M848="","",IFERROR(INDEX(Desig_Names,MATCH($M848,Desig_Codes,0)),"NOT FOUND"))</f>
        <v/>
      </c>
      <c r="O848" s="13">
        <f>IF($M848="","",IFERROR(INDEX(Desig_Levels,MATCH($M848,Desig_Codes,0)),""))</f>
        <v/>
      </c>
      <c r="P848" s="12" t="n"/>
      <c r="Q848" s="12" t="n"/>
      <c r="R848" s="12" t="n"/>
      <c r="S848" s="13">
        <f>IF($R848="","",IFERROR(INDEX(Emp_Names,MATCH($R848,Emp_Codes,0)),"NOT FOUND"))</f>
        <v/>
      </c>
      <c r="T848" s="12" t="n"/>
      <c r="U848" s="12" t="n"/>
      <c r="V848" s="12" t="n"/>
    </row>
    <row r="849">
      <c r="A849" s="12" t="n"/>
      <c r="B849" s="12" t="n"/>
      <c r="C849" s="12" t="n"/>
      <c r="D849" s="13">
        <f>IF($A849="","",TRIM($B849&amp;" "&amp;$C849))</f>
        <v/>
      </c>
      <c r="E849" s="12" t="n"/>
      <c r="F849" s="12" t="n"/>
      <c r="G849" s="14" t="n"/>
      <c r="H849" s="14" t="n"/>
      <c r="I849" s="12" t="n"/>
      <c r="J849" s="14" t="n"/>
      <c r="K849" s="12" t="n"/>
      <c r="L849" s="13">
        <f>IF($K849="","",IFERROR(INDEX(Dept_Names,MATCH($K849,Dept_Codes,0)),"NOT FOUND"))</f>
        <v/>
      </c>
      <c r="M849" s="12" t="n"/>
      <c r="N849" s="13">
        <f>IF($M849="","",IFERROR(INDEX(Desig_Names,MATCH($M849,Desig_Codes,0)),"NOT FOUND"))</f>
        <v/>
      </c>
      <c r="O849" s="13">
        <f>IF($M849="","",IFERROR(INDEX(Desig_Levels,MATCH($M849,Desig_Codes,0)),""))</f>
        <v/>
      </c>
      <c r="P849" s="12" t="n"/>
      <c r="Q849" s="12" t="n"/>
      <c r="R849" s="12" t="n"/>
      <c r="S849" s="13">
        <f>IF($R849="","",IFERROR(INDEX(Emp_Names,MATCH($R849,Emp_Codes,0)),"NOT FOUND"))</f>
        <v/>
      </c>
      <c r="T849" s="12" t="n"/>
      <c r="U849" s="12" t="n"/>
      <c r="V849" s="12" t="n"/>
    </row>
    <row r="850">
      <c r="A850" s="12" t="n"/>
      <c r="B850" s="12" t="n"/>
      <c r="C850" s="12" t="n"/>
      <c r="D850" s="13">
        <f>IF($A850="","",TRIM($B850&amp;" "&amp;$C850))</f>
        <v/>
      </c>
      <c r="E850" s="12" t="n"/>
      <c r="F850" s="12" t="n"/>
      <c r="G850" s="14" t="n"/>
      <c r="H850" s="14" t="n"/>
      <c r="I850" s="12" t="n"/>
      <c r="J850" s="14" t="n"/>
      <c r="K850" s="12" t="n"/>
      <c r="L850" s="13">
        <f>IF($K850="","",IFERROR(INDEX(Dept_Names,MATCH($K850,Dept_Codes,0)),"NOT FOUND"))</f>
        <v/>
      </c>
      <c r="M850" s="12" t="n"/>
      <c r="N850" s="13">
        <f>IF($M850="","",IFERROR(INDEX(Desig_Names,MATCH($M850,Desig_Codes,0)),"NOT FOUND"))</f>
        <v/>
      </c>
      <c r="O850" s="13">
        <f>IF($M850="","",IFERROR(INDEX(Desig_Levels,MATCH($M850,Desig_Codes,0)),""))</f>
        <v/>
      </c>
      <c r="P850" s="12" t="n"/>
      <c r="Q850" s="12" t="n"/>
      <c r="R850" s="12" t="n"/>
      <c r="S850" s="13">
        <f>IF($R850="","",IFERROR(INDEX(Emp_Names,MATCH($R850,Emp_Codes,0)),"NOT FOUND"))</f>
        <v/>
      </c>
      <c r="T850" s="12" t="n"/>
      <c r="U850" s="12" t="n"/>
      <c r="V850" s="12" t="n"/>
    </row>
    <row r="851">
      <c r="A851" s="12" t="n"/>
      <c r="B851" s="12" t="n"/>
      <c r="C851" s="12" t="n"/>
      <c r="D851" s="13">
        <f>IF($A851="","",TRIM($B851&amp;" "&amp;$C851))</f>
        <v/>
      </c>
      <c r="E851" s="12" t="n"/>
      <c r="F851" s="12" t="n"/>
      <c r="G851" s="14" t="n"/>
      <c r="H851" s="14" t="n"/>
      <c r="I851" s="12" t="n"/>
      <c r="J851" s="14" t="n"/>
      <c r="K851" s="12" t="n"/>
      <c r="L851" s="13">
        <f>IF($K851="","",IFERROR(INDEX(Dept_Names,MATCH($K851,Dept_Codes,0)),"NOT FOUND"))</f>
        <v/>
      </c>
      <c r="M851" s="12" t="n"/>
      <c r="N851" s="13">
        <f>IF($M851="","",IFERROR(INDEX(Desig_Names,MATCH($M851,Desig_Codes,0)),"NOT FOUND"))</f>
        <v/>
      </c>
      <c r="O851" s="13">
        <f>IF($M851="","",IFERROR(INDEX(Desig_Levels,MATCH($M851,Desig_Codes,0)),""))</f>
        <v/>
      </c>
      <c r="P851" s="12" t="n"/>
      <c r="Q851" s="12" t="n"/>
      <c r="R851" s="12" t="n"/>
      <c r="S851" s="13">
        <f>IF($R851="","",IFERROR(INDEX(Emp_Names,MATCH($R851,Emp_Codes,0)),"NOT FOUND"))</f>
        <v/>
      </c>
      <c r="T851" s="12" t="n"/>
      <c r="U851" s="12" t="n"/>
      <c r="V851" s="12" t="n"/>
    </row>
    <row r="852">
      <c r="A852" s="12" t="n"/>
      <c r="B852" s="12" t="n"/>
      <c r="C852" s="12" t="n"/>
      <c r="D852" s="13">
        <f>IF($A852="","",TRIM($B852&amp;" "&amp;$C852))</f>
        <v/>
      </c>
      <c r="E852" s="12" t="n"/>
      <c r="F852" s="12" t="n"/>
      <c r="G852" s="14" t="n"/>
      <c r="H852" s="14" t="n"/>
      <c r="I852" s="12" t="n"/>
      <c r="J852" s="14" t="n"/>
      <c r="K852" s="12" t="n"/>
      <c r="L852" s="13">
        <f>IF($K852="","",IFERROR(INDEX(Dept_Names,MATCH($K852,Dept_Codes,0)),"NOT FOUND"))</f>
        <v/>
      </c>
      <c r="M852" s="12" t="n"/>
      <c r="N852" s="13">
        <f>IF($M852="","",IFERROR(INDEX(Desig_Names,MATCH($M852,Desig_Codes,0)),"NOT FOUND"))</f>
        <v/>
      </c>
      <c r="O852" s="13">
        <f>IF($M852="","",IFERROR(INDEX(Desig_Levels,MATCH($M852,Desig_Codes,0)),""))</f>
        <v/>
      </c>
      <c r="P852" s="12" t="n"/>
      <c r="Q852" s="12" t="n"/>
      <c r="R852" s="12" t="n"/>
      <c r="S852" s="13">
        <f>IF($R852="","",IFERROR(INDEX(Emp_Names,MATCH($R852,Emp_Codes,0)),"NOT FOUND"))</f>
        <v/>
      </c>
      <c r="T852" s="12" t="n"/>
      <c r="U852" s="12" t="n"/>
      <c r="V852" s="12" t="n"/>
    </row>
    <row r="853">
      <c r="A853" s="12" t="n"/>
      <c r="B853" s="12" t="n"/>
      <c r="C853" s="12" t="n"/>
      <c r="D853" s="13">
        <f>IF($A853="","",TRIM($B853&amp;" "&amp;$C853))</f>
        <v/>
      </c>
      <c r="E853" s="12" t="n"/>
      <c r="F853" s="12" t="n"/>
      <c r="G853" s="14" t="n"/>
      <c r="H853" s="14" t="n"/>
      <c r="I853" s="12" t="n"/>
      <c r="J853" s="14" t="n"/>
      <c r="K853" s="12" t="n"/>
      <c r="L853" s="13">
        <f>IF($K853="","",IFERROR(INDEX(Dept_Names,MATCH($K853,Dept_Codes,0)),"NOT FOUND"))</f>
        <v/>
      </c>
      <c r="M853" s="12" t="n"/>
      <c r="N853" s="13">
        <f>IF($M853="","",IFERROR(INDEX(Desig_Names,MATCH($M853,Desig_Codes,0)),"NOT FOUND"))</f>
        <v/>
      </c>
      <c r="O853" s="13">
        <f>IF($M853="","",IFERROR(INDEX(Desig_Levels,MATCH($M853,Desig_Codes,0)),""))</f>
        <v/>
      </c>
      <c r="P853" s="12" t="n"/>
      <c r="Q853" s="12" t="n"/>
      <c r="R853" s="12" t="n"/>
      <c r="S853" s="13">
        <f>IF($R853="","",IFERROR(INDEX(Emp_Names,MATCH($R853,Emp_Codes,0)),"NOT FOUND"))</f>
        <v/>
      </c>
      <c r="T853" s="12" t="n"/>
      <c r="U853" s="12" t="n"/>
      <c r="V853" s="12" t="n"/>
    </row>
    <row r="854">
      <c r="A854" s="12" t="n"/>
      <c r="B854" s="12" t="n"/>
      <c r="C854" s="12" t="n"/>
      <c r="D854" s="13">
        <f>IF($A854="","",TRIM($B854&amp;" "&amp;$C854))</f>
        <v/>
      </c>
      <c r="E854" s="12" t="n"/>
      <c r="F854" s="12" t="n"/>
      <c r="G854" s="14" t="n"/>
      <c r="H854" s="14" t="n"/>
      <c r="I854" s="12" t="n"/>
      <c r="J854" s="14" t="n"/>
      <c r="K854" s="12" t="n"/>
      <c r="L854" s="13">
        <f>IF($K854="","",IFERROR(INDEX(Dept_Names,MATCH($K854,Dept_Codes,0)),"NOT FOUND"))</f>
        <v/>
      </c>
      <c r="M854" s="12" t="n"/>
      <c r="N854" s="13">
        <f>IF($M854="","",IFERROR(INDEX(Desig_Names,MATCH($M854,Desig_Codes,0)),"NOT FOUND"))</f>
        <v/>
      </c>
      <c r="O854" s="13">
        <f>IF($M854="","",IFERROR(INDEX(Desig_Levels,MATCH($M854,Desig_Codes,0)),""))</f>
        <v/>
      </c>
      <c r="P854" s="12" t="n"/>
      <c r="Q854" s="12" t="n"/>
      <c r="R854" s="12" t="n"/>
      <c r="S854" s="13">
        <f>IF($R854="","",IFERROR(INDEX(Emp_Names,MATCH($R854,Emp_Codes,0)),"NOT FOUND"))</f>
        <v/>
      </c>
      <c r="T854" s="12" t="n"/>
      <c r="U854" s="12" t="n"/>
      <c r="V854" s="12" t="n"/>
    </row>
    <row r="855">
      <c r="A855" s="12" t="n"/>
      <c r="B855" s="12" t="n"/>
      <c r="C855" s="12" t="n"/>
      <c r="D855" s="13">
        <f>IF($A855="","",TRIM($B855&amp;" "&amp;$C855))</f>
        <v/>
      </c>
      <c r="E855" s="12" t="n"/>
      <c r="F855" s="12" t="n"/>
      <c r="G855" s="14" t="n"/>
      <c r="H855" s="14" t="n"/>
      <c r="I855" s="12" t="n"/>
      <c r="J855" s="14" t="n"/>
      <c r="K855" s="12" t="n"/>
      <c r="L855" s="13">
        <f>IF($K855="","",IFERROR(INDEX(Dept_Names,MATCH($K855,Dept_Codes,0)),"NOT FOUND"))</f>
        <v/>
      </c>
      <c r="M855" s="12" t="n"/>
      <c r="N855" s="13">
        <f>IF($M855="","",IFERROR(INDEX(Desig_Names,MATCH($M855,Desig_Codes,0)),"NOT FOUND"))</f>
        <v/>
      </c>
      <c r="O855" s="13">
        <f>IF($M855="","",IFERROR(INDEX(Desig_Levels,MATCH($M855,Desig_Codes,0)),""))</f>
        <v/>
      </c>
      <c r="P855" s="12" t="n"/>
      <c r="Q855" s="12" t="n"/>
      <c r="R855" s="12" t="n"/>
      <c r="S855" s="13">
        <f>IF($R855="","",IFERROR(INDEX(Emp_Names,MATCH($R855,Emp_Codes,0)),"NOT FOUND"))</f>
        <v/>
      </c>
      <c r="T855" s="12" t="n"/>
      <c r="U855" s="12" t="n"/>
      <c r="V855" s="12" t="n"/>
    </row>
    <row r="856">
      <c r="A856" s="12" t="n"/>
      <c r="B856" s="12" t="n"/>
      <c r="C856" s="12" t="n"/>
      <c r="D856" s="13">
        <f>IF($A856="","",TRIM($B856&amp;" "&amp;$C856))</f>
        <v/>
      </c>
      <c r="E856" s="12" t="n"/>
      <c r="F856" s="12" t="n"/>
      <c r="G856" s="14" t="n"/>
      <c r="H856" s="14" t="n"/>
      <c r="I856" s="12" t="n"/>
      <c r="J856" s="14" t="n"/>
      <c r="K856" s="12" t="n"/>
      <c r="L856" s="13">
        <f>IF($K856="","",IFERROR(INDEX(Dept_Names,MATCH($K856,Dept_Codes,0)),"NOT FOUND"))</f>
        <v/>
      </c>
      <c r="M856" s="12" t="n"/>
      <c r="N856" s="13">
        <f>IF($M856="","",IFERROR(INDEX(Desig_Names,MATCH($M856,Desig_Codes,0)),"NOT FOUND"))</f>
        <v/>
      </c>
      <c r="O856" s="13">
        <f>IF($M856="","",IFERROR(INDEX(Desig_Levels,MATCH($M856,Desig_Codes,0)),""))</f>
        <v/>
      </c>
      <c r="P856" s="12" t="n"/>
      <c r="Q856" s="12" t="n"/>
      <c r="R856" s="12" t="n"/>
      <c r="S856" s="13">
        <f>IF($R856="","",IFERROR(INDEX(Emp_Names,MATCH($R856,Emp_Codes,0)),"NOT FOUND"))</f>
        <v/>
      </c>
      <c r="T856" s="12" t="n"/>
      <c r="U856" s="12" t="n"/>
      <c r="V856" s="12" t="n"/>
    </row>
    <row r="857">
      <c r="A857" s="12" t="n"/>
      <c r="B857" s="12" t="n"/>
      <c r="C857" s="12" t="n"/>
      <c r="D857" s="13">
        <f>IF($A857="","",TRIM($B857&amp;" "&amp;$C857))</f>
        <v/>
      </c>
      <c r="E857" s="12" t="n"/>
      <c r="F857" s="12" t="n"/>
      <c r="G857" s="14" t="n"/>
      <c r="H857" s="14" t="n"/>
      <c r="I857" s="12" t="n"/>
      <c r="J857" s="14" t="n"/>
      <c r="K857" s="12" t="n"/>
      <c r="L857" s="13">
        <f>IF($K857="","",IFERROR(INDEX(Dept_Names,MATCH($K857,Dept_Codes,0)),"NOT FOUND"))</f>
        <v/>
      </c>
      <c r="M857" s="12" t="n"/>
      <c r="N857" s="13">
        <f>IF($M857="","",IFERROR(INDEX(Desig_Names,MATCH($M857,Desig_Codes,0)),"NOT FOUND"))</f>
        <v/>
      </c>
      <c r="O857" s="13">
        <f>IF($M857="","",IFERROR(INDEX(Desig_Levels,MATCH($M857,Desig_Codes,0)),""))</f>
        <v/>
      </c>
      <c r="P857" s="12" t="n"/>
      <c r="Q857" s="12" t="n"/>
      <c r="R857" s="12" t="n"/>
      <c r="S857" s="13">
        <f>IF($R857="","",IFERROR(INDEX(Emp_Names,MATCH($R857,Emp_Codes,0)),"NOT FOUND"))</f>
        <v/>
      </c>
      <c r="T857" s="12" t="n"/>
      <c r="U857" s="12" t="n"/>
      <c r="V857" s="12" t="n"/>
    </row>
    <row r="858">
      <c r="A858" s="12" t="n"/>
      <c r="B858" s="12" t="n"/>
      <c r="C858" s="12" t="n"/>
      <c r="D858" s="13">
        <f>IF($A858="","",TRIM($B858&amp;" "&amp;$C858))</f>
        <v/>
      </c>
      <c r="E858" s="12" t="n"/>
      <c r="F858" s="12" t="n"/>
      <c r="G858" s="14" t="n"/>
      <c r="H858" s="14" t="n"/>
      <c r="I858" s="12" t="n"/>
      <c r="J858" s="14" t="n"/>
      <c r="K858" s="12" t="n"/>
      <c r="L858" s="13">
        <f>IF($K858="","",IFERROR(INDEX(Dept_Names,MATCH($K858,Dept_Codes,0)),"NOT FOUND"))</f>
        <v/>
      </c>
      <c r="M858" s="12" t="n"/>
      <c r="N858" s="13">
        <f>IF($M858="","",IFERROR(INDEX(Desig_Names,MATCH($M858,Desig_Codes,0)),"NOT FOUND"))</f>
        <v/>
      </c>
      <c r="O858" s="13">
        <f>IF($M858="","",IFERROR(INDEX(Desig_Levels,MATCH($M858,Desig_Codes,0)),""))</f>
        <v/>
      </c>
      <c r="P858" s="12" t="n"/>
      <c r="Q858" s="12" t="n"/>
      <c r="R858" s="12" t="n"/>
      <c r="S858" s="13">
        <f>IF($R858="","",IFERROR(INDEX(Emp_Names,MATCH($R858,Emp_Codes,0)),"NOT FOUND"))</f>
        <v/>
      </c>
      <c r="T858" s="12" t="n"/>
      <c r="U858" s="12" t="n"/>
      <c r="V858" s="12" t="n"/>
    </row>
    <row r="859">
      <c r="A859" s="12" t="n"/>
      <c r="B859" s="12" t="n"/>
      <c r="C859" s="12" t="n"/>
      <c r="D859" s="13">
        <f>IF($A859="","",TRIM($B859&amp;" "&amp;$C859))</f>
        <v/>
      </c>
      <c r="E859" s="12" t="n"/>
      <c r="F859" s="12" t="n"/>
      <c r="G859" s="14" t="n"/>
      <c r="H859" s="14" t="n"/>
      <c r="I859" s="12" t="n"/>
      <c r="J859" s="14" t="n"/>
      <c r="K859" s="12" t="n"/>
      <c r="L859" s="13">
        <f>IF($K859="","",IFERROR(INDEX(Dept_Names,MATCH($K859,Dept_Codes,0)),"NOT FOUND"))</f>
        <v/>
      </c>
      <c r="M859" s="12" t="n"/>
      <c r="N859" s="13">
        <f>IF($M859="","",IFERROR(INDEX(Desig_Names,MATCH($M859,Desig_Codes,0)),"NOT FOUND"))</f>
        <v/>
      </c>
      <c r="O859" s="13">
        <f>IF($M859="","",IFERROR(INDEX(Desig_Levels,MATCH($M859,Desig_Codes,0)),""))</f>
        <v/>
      </c>
      <c r="P859" s="12" t="n"/>
      <c r="Q859" s="12" t="n"/>
      <c r="R859" s="12" t="n"/>
      <c r="S859" s="13">
        <f>IF($R859="","",IFERROR(INDEX(Emp_Names,MATCH($R859,Emp_Codes,0)),"NOT FOUND"))</f>
        <v/>
      </c>
      <c r="T859" s="12" t="n"/>
      <c r="U859" s="12" t="n"/>
      <c r="V859" s="12" t="n"/>
    </row>
    <row r="860">
      <c r="A860" s="12" t="n"/>
      <c r="B860" s="12" t="n"/>
      <c r="C860" s="12" t="n"/>
      <c r="D860" s="13">
        <f>IF($A860="","",TRIM($B860&amp;" "&amp;$C860))</f>
        <v/>
      </c>
      <c r="E860" s="12" t="n"/>
      <c r="F860" s="12" t="n"/>
      <c r="G860" s="14" t="n"/>
      <c r="H860" s="14" t="n"/>
      <c r="I860" s="12" t="n"/>
      <c r="J860" s="14" t="n"/>
      <c r="K860" s="12" t="n"/>
      <c r="L860" s="13">
        <f>IF($K860="","",IFERROR(INDEX(Dept_Names,MATCH($K860,Dept_Codes,0)),"NOT FOUND"))</f>
        <v/>
      </c>
      <c r="M860" s="12" t="n"/>
      <c r="N860" s="13">
        <f>IF($M860="","",IFERROR(INDEX(Desig_Names,MATCH($M860,Desig_Codes,0)),"NOT FOUND"))</f>
        <v/>
      </c>
      <c r="O860" s="13">
        <f>IF($M860="","",IFERROR(INDEX(Desig_Levels,MATCH($M860,Desig_Codes,0)),""))</f>
        <v/>
      </c>
      <c r="P860" s="12" t="n"/>
      <c r="Q860" s="12" t="n"/>
      <c r="R860" s="12" t="n"/>
      <c r="S860" s="13">
        <f>IF($R860="","",IFERROR(INDEX(Emp_Names,MATCH($R860,Emp_Codes,0)),"NOT FOUND"))</f>
        <v/>
      </c>
      <c r="T860" s="12" t="n"/>
      <c r="U860" s="12" t="n"/>
      <c r="V860" s="12" t="n"/>
    </row>
    <row r="861">
      <c r="A861" s="12" t="n"/>
      <c r="B861" s="12" t="n"/>
      <c r="C861" s="12" t="n"/>
      <c r="D861" s="13">
        <f>IF($A861="","",TRIM($B861&amp;" "&amp;$C861))</f>
        <v/>
      </c>
      <c r="E861" s="12" t="n"/>
      <c r="F861" s="12" t="n"/>
      <c r="G861" s="14" t="n"/>
      <c r="H861" s="14" t="n"/>
      <c r="I861" s="12" t="n"/>
      <c r="J861" s="14" t="n"/>
      <c r="K861" s="12" t="n"/>
      <c r="L861" s="13">
        <f>IF($K861="","",IFERROR(INDEX(Dept_Names,MATCH($K861,Dept_Codes,0)),"NOT FOUND"))</f>
        <v/>
      </c>
      <c r="M861" s="12" t="n"/>
      <c r="N861" s="13">
        <f>IF($M861="","",IFERROR(INDEX(Desig_Names,MATCH($M861,Desig_Codes,0)),"NOT FOUND"))</f>
        <v/>
      </c>
      <c r="O861" s="13">
        <f>IF($M861="","",IFERROR(INDEX(Desig_Levels,MATCH($M861,Desig_Codes,0)),""))</f>
        <v/>
      </c>
      <c r="P861" s="12" t="n"/>
      <c r="Q861" s="12" t="n"/>
      <c r="R861" s="12" t="n"/>
      <c r="S861" s="13">
        <f>IF($R861="","",IFERROR(INDEX(Emp_Names,MATCH($R861,Emp_Codes,0)),"NOT FOUND"))</f>
        <v/>
      </c>
      <c r="T861" s="12" t="n"/>
      <c r="U861" s="12" t="n"/>
      <c r="V861" s="12" t="n"/>
    </row>
    <row r="862">
      <c r="A862" s="12" t="n"/>
      <c r="B862" s="12" t="n"/>
      <c r="C862" s="12" t="n"/>
      <c r="D862" s="13">
        <f>IF($A862="","",TRIM($B862&amp;" "&amp;$C862))</f>
        <v/>
      </c>
      <c r="E862" s="12" t="n"/>
      <c r="F862" s="12" t="n"/>
      <c r="G862" s="14" t="n"/>
      <c r="H862" s="14" t="n"/>
      <c r="I862" s="12" t="n"/>
      <c r="J862" s="14" t="n"/>
      <c r="K862" s="12" t="n"/>
      <c r="L862" s="13">
        <f>IF($K862="","",IFERROR(INDEX(Dept_Names,MATCH($K862,Dept_Codes,0)),"NOT FOUND"))</f>
        <v/>
      </c>
      <c r="M862" s="12" t="n"/>
      <c r="N862" s="13">
        <f>IF($M862="","",IFERROR(INDEX(Desig_Names,MATCH($M862,Desig_Codes,0)),"NOT FOUND"))</f>
        <v/>
      </c>
      <c r="O862" s="13">
        <f>IF($M862="","",IFERROR(INDEX(Desig_Levels,MATCH($M862,Desig_Codes,0)),""))</f>
        <v/>
      </c>
      <c r="P862" s="12" t="n"/>
      <c r="Q862" s="12" t="n"/>
      <c r="R862" s="12" t="n"/>
      <c r="S862" s="13">
        <f>IF($R862="","",IFERROR(INDEX(Emp_Names,MATCH($R862,Emp_Codes,0)),"NOT FOUND"))</f>
        <v/>
      </c>
      <c r="T862" s="12" t="n"/>
      <c r="U862" s="12" t="n"/>
      <c r="V862" s="12" t="n"/>
    </row>
    <row r="863">
      <c r="A863" s="12" t="n"/>
      <c r="B863" s="12" t="n"/>
      <c r="C863" s="12" t="n"/>
      <c r="D863" s="13">
        <f>IF($A863="","",TRIM($B863&amp;" "&amp;$C863))</f>
        <v/>
      </c>
      <c r="E863" s="12" t="n"/>
      <c r="F863" s="12" t="n"/>
      <c r="G863" s="14" t="n"/>
      <c r="H863" s="14" t="n"/>
      <c r="I863" s="12" t="n"/>
      <c r="J863" s="14" t="n"/>
      <c r="K863" s="12" t="n"/>
      <c r="L863" s="13">
        <f>IF($K863="","",IFERROR(INDEX(Dept_Names,MATCH($K863,Dept_Codes,0)),"NOT FOUND"))</f>
        <v/>
      </c>
      <c r="M863" s="12" t="n"/>
      <c r="N863" s="13">
        <f>IF($M863="","",IFERROR(INDEX(Desig_Names,MATCH($M863,Desig_Codes,0)),"NOT FOUND"))</f>
        <v/>
      </c>
      <c r="O863" s="13">
        <f>IF($M863="","",IFERROR(INDEX(Desig_Levels,MATCH($M863,Desig_Codes,0)),""))</f>
        <v/>
      </c>
      <c r="P863" s="12" t="n"/>
      <c r="Q863" s="12" t="n"/>
      <c r="R863" s="12" t="n"/>
      <c r="S863" s="13">
        <f>IF($R863="","",IFERROR(INDEX(Emp_Names,MATCH($R863,Emp_Codes,0)),"NOT FOUND"))</f>
        <v/>
      </c>
      <c r="T863" s="12" t="n"/>
      <c r="U863" s="12" t="n"/>
      <c r="V863" s="12" t="n"/>
    </row>
    <row r="864">
      <c r="A864" s="12" t="n"/>
      <c r="B864" s="12" t="n"/>
      <c r="C864" s="12" t="n"/>
      <c r="D864" s="13">
        <f>IF($A864="","",TRIM($B864&amp;" "&amp;$C864))</f>
        <v/>
      </c>
      <c r="E864" s="12" t="n"/>
      <c r="F864" s="12" t="n"/>
      <c r="G864" s="14" t="n"/>
      <c r="H864" s="14" t="n"/>
      <c r="I864" s="12" t="n"/>
      <c r="J864" s="14" t="n"/>
      <c r="K864" s="12" t="n"/>
      <c r="L864" s="13">
        <f>IF($K864="","",IFERROR(INDEX(Dept_Names,MATCH($K864,Dept_Codes,0)),"NOT FOUND"))</f>
        <v/>
      </c>
      <c r="M864" s="12" t="n"/>
      <c r="N864" s="13">
        <f>IF($M864="","",IFERROR(INDEX(Desig_Names,MATCH($M864,Desig_Codes,0)),"NOT FOUND"))</f>
        <v/>
      </c>
      <c r="O864" s="13">
        <f>IF($M864="","",IFERROR(INDEX(Desig_Levels,MATCH($M864,Desig_Codes,0)),""))</f>
        <v/>
      </c>
      <c r="P864" s="12" t="n"/>
      <c r="Q864" s="12" t="n"/>
      <c r="R864" s="12" t="n"/>
      <c r="S864" s="13">
        <f>IF($R864="","",IFERROR(INDEX(Emp_Names,MATCH($R864,Emp_Codes,0)),"NOT FOUND"))</f>
        <v/>
      </c>
      <c r="T864" s="12" t="n"/>
      <c r="U864" s="12" t="n"/>
      <c r="V864" s="12" t="n"/>
    </row>
    <row r="865">
      <c r="A865" s="12" t="n"/>
      <c r="B865" s="12" t="n"/>
      <c r="C865" s="12" t="n"/>
      <c r="D865" s="13">
        <f>IF($A865="","",TRIM($B865&amp;" "&amp;$C865))</f>
        <v/>
      </c>
      <c r="E865" s="12" t="n"/>
      <c r="F865" s="12" t="n"/>
      <c r="G865" s="14" t="n"/>
      <c r="H865" s="14" t="n"/>
      <c r="I865" s="12" t="n"/>
      <c r="J865" s="14" t="n"/>
      <c r="K865" s="12" t="n"/>
      <c r="L865" s="13">
        <f>IF($K865="","",IFERROR(INDEX(Dept_Names,MATCH($K865,Dept_Codes,0)),"NOT FOUND"))</f>
        <v/>
      </c>
      <c r="M865" s="12" t="n"/>
      <c r="N865" s="13">
        <f>IF($M865="","",IFERROR(INDEX(Desig_Names,MATCH($M865,Desig_Codes,0)),"NOT FOUND"))</f>
        <v/>
      </c>
      <c r="O865" s="13">
        <f>IF($M865="","",IFERROR(INDEX(Desig_Levels,MATCH($M865,Desig_Codes,0)),""))</f>
        <v/>
      </c>
      <c r="P865" s="12" t="n"/>
      <c r="Q865" s="12" t="n"/>
      <c r="R865" s="12" t="n"/>
      <c r="S865" s="13">
        <f>IF($R865="","",IFERROR(INDEX(Emp_Names,MATCH($R865,Emp_Codes,0)),"NOT FOUND"))</f>
        <v/>
      </c>
      <c r="T865" s="12" t="n"/>
      <c r="U865" s="12" t="n"/>
      <c r="V865" s="12" t="n"/>
    </row>
    <row r="866">
      <c r="A866" s="12" t="n"/>
      <c r="B866" s="12" t="n"/>
      <c r="C866" s="12" t="n"/>
      <c r="D866" s="13">
        <f>IF($A866="","",TRIM($B866&amp;" "&amp;$C866))</f>
        <v/>
      </c>
      <c r="E866" s="12" t="n"/>
      <c r="F866" s="12" t="n"/>
      <c r="G866" s="14" t="n"/>
      <c r="H866" s="14" t="n"/>
      <c r="I866" s="12" t="n"/>
      <c r="J866" s="14" t="n"/>
      <c r="K866" s="12" t="n"/>
      <c r="L866" s="13">
        <f>IF($K866="","",IFERROR(INDEX(Dept_Names,MATCH($K866,Dept_Codes,0)),"NOT FOUND"))</f>
        <v/>
      </c>
      <c r="M866" s="12" t="n"/>
      <c r="N866" s="13">
        <f>IF($M866="","",IFERROR(INDEX(Desig_Names,MATCH($M866,Desig_Codes,0)),"NOT FOUND"))</f>
        <v/>
      </c>
      <c r="O866" s="13">
        <f>IF($M866="","",IFERROR(INDEX(Desig_Levels,MATCH($M866,Desig_Codes,0)),""))</f>
        <v/>
      </c>
      <c r="P866" s="12" t="n"/>
      <c r="Q866" s="12" t="n"/>
      <c r="R866" s="12" t="n"/>
      <c r="S866" s="13">
        <f>IF($R866="","",IFERROR(INDEX(Emp_Names,MATCH($R866,Emp_Codes,0)),"NOT FOUND"))</f>
        <v/>
      </c>
      <c r="T866" s="12" t="n"/>
      <c r="U866" s="12" t="n"/>
      <c r="V866" s="12" t="n"/>
    </row>
    <row r="867">
      <c r="A867" s="12" t="n"/>
      <c r="B867" s="12" t="n"/>
      <c r="C867" s="12" t="n"/>
      <c r="D867" s="13">
        <f>IF($A867="","",TRIM($B867&amp;" "&amp;$C867))</f>
        <v/>
      </c>
      <c r="E867" s="12" t="n"/>
      <c r="F867" s="12" t="n"/>
      <c r="G867" s="14" t="n"/>
      <c r="H867" s="14" t="n"/>
      <c r="I867" s="12" t="n"/>
      <c r="J867" s="14" t="n"/>
      <c r="K867" s="12" t="n"/>
      <c r="L867" s="13">
        <f>IF($K867="","",IFERROR(INDEX(Dept_Names,MATCH($K867,Dept_Codes,0)),"NOT FOUND"))</f>
        <v/>
      </c>
      <c r="M867" s="12" t="n"/>
      <c r="N867" s="13">
        <f>IF($M867="","",IFERROR(INDEX(Desig_Names,MATCH($M867,Desig_Codes,0)),"NOT FOUND"))</f>
        <v/>
      </c>
      <c r="O867" s="13">
        <f>IF($M867="","",IFERROR(INDEX(Desig_Levels,MATCH($M867,Desig_Codes,0)),""))</f>
        <v/>
      </c>
      <c r="P867" s="12" t="n"/>
      <c r="Q867" s="12" t="n"/>
      <c r="R867" s="12" t="n"/>
      <c r="S867" s="13">
        <f>IF($R867="","",IFERROR(INDEX(Emp_Names,MATCH($R867,Emp_Codes,0)),"NOT FOUND"))</f>
        <v/>
      </c>
      <c r="T867" s="12" t="n"/>
      <c r="U867" s="12" t="n"/>
      <c r="V867" s="12" t="n"/>
    </row>
    <row r="868">
      <c r="A868" s="12" t="n"/>
      <c r="B868" s="12" t="n"/>
      <c r="C868" s="12" t="n"/>
      <c r="D868" s="13">
        <f>IF($A868="","",TRIM($B868&amp;" "&amp;$C868))</f>
        <v/>
      </c>
      <c r="E868" s="12" t="n"/>
      <c r="F868" s="12" t="n"/>
      <c r="G868" s="14" t="n"/>
      <c r="H868" s="14" t="n"/>
      <c r="I868" s="12" t="n"/>
      <c r="J868" s="14" t="n"/>
      <c r="K868" s="12" t="n"/>
      <c r="L868" s="13">
        <f>IF($K868="","",IFERROR(INDEX(Dept_Names,MATCH($K868,Dept_Codes,0)),"NOT FOUND"))</f>
        <v/>
      </c>
      <c r="M868" s="12" t="n"/>
      <c r="N868" s="13">
        <f>IF($M868="","",IFERROR(INDEX(Desig_Names,MATCH($M868,Desig_Codes,0)),"NOT FOUND"))</f>
        <v/>
      </c>
      <c r="O868" s="13">
        <f>IF($M868="","",IFERROR(INDEX(Desig_Levels,MATCH($M868,Desig_Codes,0)),""))</f>
        <v/>
      </c>
      <c r="P868" s="12" t="n"/>
      <c r="Q868" s="12" t="n"/>
      <c r="R868" s="12" t="n"/>
      <c r="S868" s="13">
        <f>IF($R868="","",IFERROR(INDEX(Emp_Names,MATCH($R868,Emp_Codes,0)),"NOT FOUND"))</f>
        <v/>
      </c>
      <c r="T868" s="12" t="n"/>
      <c r="U868" s="12" t="n"/>
      <c r="V868" s="12" t="n"/>
    </row>
    <row r="869">
      <c r="A869" s="12" t="n"/>
      <c r="B869" s="12" t="n"/>
      <c r="C869" s="12" t="n"/>
      <c r="D869" s="13">
        <f>IF($A869="","",TRIM($B869&amp;" "&amp;$C869))</f>
        <v/>
      </c>
      <c r="E869" s="12" t="n"/>
      <c r="F869" s="12" t="n"/>
      <c r="G869" s="14" t="n"/>
      <c r="H869" s="14" t="n"/>
      <c r="I869" s="12" t="n"/>
      <c r="J869" s="14" t="n"/>
      <c r="K869" s="12" t="n"/>
      <c r="L869" s="13">
        <f>IF($K869="","",IFERROR(INDEX(Dept_Names,MATCH($K869,Dept_Codes,0)),"NOT FOUND"))</f>
        <v/>
      </c>
      <c r="M869" s="12" t="n"/>
      <c r="N869" s="13">
        <f>IF($M869="","",IFERROR(INDEX(Desig_Names,MATCH($M869,Desig_Codes,0)),"NOT FOUND"))</f>
        <v/>
      </c>
      <c r="O869" s="13">
        <f>IF($M869="","",IFERROR(INDEX(Desig_Levels,MATCH($M869,Desig_Codes,0)),""))</f>
        <v/>
      </c>
      <c r="P869" s="12" t="n"/>
      <c r="Q869" s="12" t="n"/>
      <c r="R869" s="12" t="n"/>
      <c r="S869" s="13">
        <f>IF($R869="","",IFERROR(INDEX(Emp_Names,MATCH($R869,Emp_Codes,0)),"NOT FOUND"))</f>
        <v/>
      </c>
      <c r="T869" s="12" t="n"/>
      <c r="U869" s="12" t="n"/>
      <c r="V869" s="12" t="n"/>
    </row>
    <row r="870">
      <c r="A870" s="12" t="n"/>
      <c r="B870" s="12" t="n"/>
      <c r="C870" s="12" t="n"/>
      <c r="D870" s="13">
        <f>IF($A870="","",TRIM($B870&amp;" "&amp;$C870))</f>
        <v/>
      </c>
      <c r="E870" s="12" t="n"/>
      <c r="F870" s="12" t="n"/>
      <c r="G870" s="14" t="n"/>
      <c r="H870" s="14" t="n"/>
      <c r="I870" s="12" t="n"/>
      <c r="J870" s="14" t="n"/>
      <c r="K870" s="12" t="n"/>
      <c r="L870" s="13">
        <f>IF($K870="","",IFERROR(INDEX(Dept_Names,MATCH($K870,Dept_Codes,0)),"NOT FOUND"))</f>
        <v/>
      </c>
      <c r="M870" s="12" t="n"/>
      <c r="N870" s="13">
        <f>IF($M870="","",IFERROR(INDEX(Desig_Names,MATCH($M870,Desig_Codes,0)),"NOT FOUND"))</f>
        <v/>
      </c>
      <c r="O870" s="13">
        <f>IF($M870="","",IFERROR(INDEX(Desig_Levels,MATCH($M870,Desig_Codes,0)),""))</f>
        <v/>
      </c>
      <c r="P870" s="12" t="n"/>
      <c r="Q870" s="12" t="n"/>
      <c r="R870" s="12" t="n"/>
      <c r="S870" s="13">
        <f>IF($R870="","",IFERROR(INDEX(Emp_Names,MATCH($R870,Emp_Codes,0)),"NOT FOUND"))</f>
        <v/>
      </c>
      <c r="T870" s="12" t="n"/>
      <c r="U870" s="12" t="n"/>
      <c r="V870" s="12" t="n"/>
    </row>
    <row r="871">
      <c r="A871" s="12" t="n"/>
      <c r="B871" s="12" t="n"/>
      <c r="C871" s="12" t="n"/>
      <c r="D871" s="13">
        <f>IF($A871="","",TRIM($B871&amp;" "&amp;$C871))</f>
        <v/>
      </c>
      <c r="E871" s="12" t="n"/>
      <c r="F871" s="12" t="n"/>
      <c r="G871" s="14" t="n"/>
      <c r="H871" s="14" t="n"/>
      <c r="I871" s="12" t="n"/>
      <c r="J871" s="14" t="n"/>
      <c r="K871" s="12" t="n"/>
      <c r="L871" s="13">
        <f>IF($K871="","",IFERROR(INDEX(Dept_Names,MATCH($K871,Dept_Codes,0)),"NOT FOUND"))</f>
        <v/>
      </c>
      <c r="M871" s="12" t="n"/>
      <c r="N871" s="13">
        <f>IF($M871="","",IFERROR(INDEX(Desig_Names,MATCH($M871,Desig_Codes,0)),"NOT FOUND"))</f>
        <v/>
      </c>
      <c r="O871" s="13">
        <f>IF($M871="","",IFERROR(INDEX(Desig_Levels,MATCH($M871,Desig_Codes,0)),""))</f>
        <v/>
      </c>
      <c r="P871" s="12" t="n"/>
      <c r="Q871" s="12" t="n"/>
      <c r="R871" s="12" t="n"/>
      <c r="S871" s="13">
        <f>IF($R871="","",IFERROR(INDEX(Emp_Names,MATCH($R871,Emp_Codes,0)),"NOT FOUND"))</f>
        <v/>
      </c>
      <c r="T871" s="12" t="n"/>
      <c r="U871" s="12" t="n"/>
      <c r="V871" s="12" t="n"/>
    </row>
    <row r="872">
      <c r="A872" s="12" t="n"/>
      <c r="B872" s="12" t="n"/>
      <c r="C872" s="12" t="n"/>
      <c r="D872" s="13">
        <f>IF($A872="","",TRIM($B872&amp;" "&amp;$C872))</f>
        <v/>
      </c>
      <c r="E872" s="12" t="n"/>
      <c r="F872" s="12" t="n"/>
      <c r="G872" s="14" t="n"/>
      <c r="H872" s="14" t="n"/>
      <c r="I872" s="12" t="n"/>
      <c r="J872" s="14" t="n"/>
      <c r="K872" s="12" t="n"/>
      <c r="L872" s="13">
        <f>IF($K872="","",IFERROR(INDEX(Dept_Names,MATCH($K872,Dept_Codes,0)),"NOT FOUND"))</f>
        <v/>
      </c>
      <c r="M872" s="12" t="n"/>
      <c r="N872" s="13">
        <f>IF($M872="","",IFERROR(INDEX(Desig_Names,MATCH($M872,Desig_Codes,0)),"NOT FOUND"))</f>
        <v/>
      </c>
      <c r="O872" s="13">
        <f>IF($M872="","",IFERROR(INDEX(Desig_Levels,MATCH($M872,Desig_Codes,0)),""))</f>
        <v/>
      </c>
      <c r="P872" s="12" t="n"/>
      <c r="Q872" s="12" t="n"/>
      <c r="R872" s="12" t="n"/>
      <c r="S872" s="13">
        <f>IF($R872="","",IFERROR(INDEX(Emp_Names,MATCH($R872,Emp_Codes,0)),"NOT FOUND"))</f>
        <v/>
      </c>
      <c r="T872" s="12" t="n"/>
      <c r="U872" s="12" t="n"/>
      <c r="V872" s="12" t="n"/>
    </row>
    <row r="873">
      <c r="A873" s="12" t="n"/>
      <c r="B873" s="12" t="n"/>
      <c r="C873" s="12" t="n"/>
      <c r="D873" s="13">
        <f>IF($A873="","",TRIM($B873&amp;" "&amp;$C873))</f>
        <v/>
      </c>
      <c r="E873" s="12" t="n"/>
      <c r="F873" s="12" t="n"/>
      <c r="G873" s="14" t="n"/>
      <c r="H873" s="14" t="n"/>
      <c r="I873" s="12" t="n"/>
      <c r="J873" s="14" t="n"/>
      <c r="K873" s="12" t="n"/>
      <c r="L873" s="13">
        <f>IF($K873="","",IFERROR(INDEX(Dept_Names,MATCH($K873,Dept_Codes,0)),"NOT FOUND"))</f>
        <v/>
      </c>
      <c r="M873" s="12" t="n"/>
      <c r="N873" s="13">
        <f>IF($M873="","",IFERROR(INDEX(Desig_Names,MATCH($M873,Desig_Codes,0)),"NOT FOUND"))</f>
        <v/>
      </c>
      <c r="O873" s="13">
        <f>IF($M873="","",IFERROR(INDEX(Desig_Levels,MATCH($M873,Desig_Codes,0)),""))</f>
        <v/>
      </c>
      <c r="P873" s="12" t="n"/>
      <c r="Q873" s="12" t="n"/>
      <c r="R873" s="12" t="n"/>
      <c r="S873" s="13">
        <f>IF($R873="","",IFERROR(INDEX(Emp_Names,MATCH($R873,Emp_Codes,0)),"NOT FOUND"))</f>
        <v/>
      </c>
      <c r="T873" s="12" t="n"/>
      <c r="U873" s="12" t="n"/>
      <c r="V873" s="12" t="n"/>
    </row>
    <row r="874">
      <c r="A874" s="12" t="n"/>
      <c r="B874" s="12" t="n"/>
      <c r="C874" s="12" t="n"/>
      <c r="D874" s="13">
        <f>IF($A874="","",TRIM($B874&amp;" "&amp;$C874))</f>
        <v/>
      </c>
      <c r="E874" s="12" t="n"/>
      <c r="F874" s="12" t="n"/>
      <c r="G874" s="14" t="n"/>
      <c r="H874" s="14" t="n"/>
      <c r="I874" s="12" t="n"/>
      <c r="J874" s="14" t="n"/>
      <c r="K874" s="12" t="n"/>
      <c r="L874" s="13">
        <f>IF($K874="","",IFERROR(INDEX(Dept_Names,MATCH($K874,Dept_Codes,0)),"NOT FOUND"))</f>
        <v/>
      </c>
      <c r="M874" s="12" t="n"/>
      <c r="N874" s="13">
        <f>IF($M874="","",IFERROR(INDEX(Desig_Names,MATCH($M874,Desig_Codes,0)),"NOT FOUND"))</f>
        <v/>
      </c>
      <c r="O874" s="13">
        <f>IF($M874="","",IFERROR(INDEX(Desig_Levels,MATCH($M874,Desig_Codes,0)),""))</f>
        <v/>
      </c>
      <c r="P874" s="12" t="n"/>
      <c r="Q874" s="12" t="n"/>
      <c r="R874" s="12" t="n"/>
      <c r="S874" s="13">
        <f>IF($R874="","",IFERROR(INDEX(Emp_Names,MATCH($R874,Emp_Codes,0)),"NOT FOUND"))</f>
        <v/>
      </c>
      <c r="T874" s="12" t="n"/>
      <c r="U874" s="12" t="n"/>
      <c r="V874" s="12" t="n"/>
    </row>
    <row r="875">
      <c r="A875" s="12" t="n"/>
      <c r="B875" s="12" t="n"/>
      <c r="C875" s="12" t="n"/>
      <c r="D875" s="13">
        <f>IF($A875="","",TRIM($B875&amp;" "&amp;$C875))</f>
        <v/>
      </c>
      <c r="E875" s="12" t="n"/>
      <c r="F875" s="12" t="n"/>
      <c r="G875" s="14" t="n"/>
      <c r="H875" s="14" t="n"/>
      <c r="I875" s="12" t="n"/>
      <c r="J875" s="14" t="n"/>
      <c r="K875" s="12" t="n"/>
      <c r="L875" s="13">
        <f>IF($K875="","",IFERROR(INDEX(Dept_Names,MATCH($K875,Dept_Codes,0)),"NOT FOUND"))</f>
        <v/>
      </c>
      <c r="M875" s="12" t="n"/>
      <c r="N875" s="13">
        <f>IF($M875="","",IFERROR(INDEX(Desig_Names,MATCH($M875,Desig_Codes,0)),"NOT FOUND"))</f>
        <v/>
      </c>
      <c r="O875" s="13">
        <f>IF($M875="","",IFERROR(INDEX(Desig_Levels,MATCH($M875,Desig_Codes,0)),""))</f>
        <v/>
      </c>
      <c r="P875" s="12" t="n"/>
      <c r="Q875" s="12" t="n"/>
      <c r="R875" s="12" t="n"/>
      <c r="S875" s="13">
        <f>IF($R875="","",IFERROR(INDEX(Emp_Names,MATCH($R875,Emp_Codes,0)),"NOT FOUND"))</f>
        <v/>
      </c>
      <c r="T875" s="12" t="n"/>
      <c r="U875" s="12" t="n"/>
      <c r="V875" s="12" t="n"/>
    </row>
    <row r="876">
      <c r="A876" s="12" t="n"/>
      <c r="B876" s="12" t="n"/>
      <c r="C876" s="12" t="n"/>
      <c r="D876" s="13">
        <f>IF($A876="","",TRIM($B876&amp;" "&amp;$C876))</f>
        <v/>
      </c>
      <c r="E876" s="12" t="n"/>
      <c r="F876" s="12" t="n"/>
      <c r="G876" s="14" t="n"/>
      <c r="H876" s="14" t="n"/>
      <c r="I876" s="12" t="n"/>
      <c r="J876" s="14" t="n"/>
      <c r="K876" s="12" t="n"/>
      <c r="L876" s="13">
        <f>IF($K876="","",IFERROR(INDEX(Dept_Names,MATCH($K876,Dept_Codes,0)),"NOT FOUND"))</f>
        <v/>
      </c>
      <c r="M876" s="12" t="n"/>
      <c r="N876" s="13">
        <f>IF($M876="","",IFERROR(INDEX(Desig_Names,MATCH($M876,Desig_Codes,0)),"NOT FOUND"))</f>
        <v/>
      </c>
      <c r="O876" s="13">
        <f>IF($M876="","",IFERROR(INDEX(Desig_Levels,MATCH($M876,Desig_Codes,0)),""))</f>
        <v/>
      </c>
      <c r="P876" s="12" t="n"/>
      <c r="Q876" s="12" t="n"/>
      <c r="R876" s="12" t="n"/>
      <c r="S876" s="13">
        <f>IF($R876="","",IFERROR(INDEX(Emp_Names,MATCH($R876,Emp_Codes,0)),"NOT FOUND"))</f>
        <v/>
      </c>
      <c r="T876" s="12" t="n"/>
      <c r="U876" s="12" t="n"/>
      <c r="V876" s="12" t="n"/>
    </row>
    <row r="877">
      <c r="A877" s="12" t="n"/>
      <c r="B877" s="12" t="n"/>
      <c r="C877" s="12" t="n"/>
      <c r="D877" s="13">
        <f>IF($A877="","",TRIM($B877&amp;" "&amp;$C877))</f>
        <v/>
      </c>
      <c r="E877" s="12" t="n"/>
      <c r="F877" s="12" t="n"/>
      <c r="G877" s="14" t="n"/>
      <c r="H877" s="14" t="n"/>
      <c r="I877" s="12" t="n"/>
      <c r="J877" s="14" t="n"/>
      <c r="K877" s="12" t="n"/>
      <c r="L877" s="13">
        <f>IF($K877="","",IFERROR(INDEX(Dept_Names,MATCH($K877,Dept_Codes,0)),"NOT FOUND"))</f>
        <v/>
      </c>
      <c r="M877" s="12" t="n"/>
      <c r="N877" s="13">
        <f>IF($M877="","",IFERROR(INDEX(Desig_Names,MATCH($M877,Desig_Codes,0)),"NOT FOUND"))</f>
        <v/>
      </c>
      <c r="O877" s="13">
        <f>IF($M877="","",IFERROR(INDEX(Desig_Levels,MATCH($M877,Desig_Codes,0)),""))</f>
        <v/>
      </c>
      <c r="P877" s="12" t="n"/>
      <c r="Q877" s="12" t="n"/>
      <c r="R877" s="12" t="n"/>
      <c r="S877" s="13">
        <f>IF($R877="","",IFERROR(INDEX(Emp_Names,MATCH($R877,Emp_Codes,0)),"NOT FOUND"))</f>
        <v/>
      </c>
      <c r="T877" s="12" t="n"/>
      <c r="U877" s="12" t="n"/>
      <c r="V877" s="12" t="n"/>
    </row>
    <row r="878">
      <c r="A878" s="12" t="n"/>
      <c r="B878" s="12" t="n"/>
      <c r="C878" s="12" t="n"/>
      <c r="D878" s="13">
        <f>IF($A878="","",TRIM($B878&amp;" "&amp;$C878))</f>
        <v/>
      </c>
      <c r="E878" s="12" t="n"/>
      <c r="F878" s="12" t="n"/>
      <c r="G878" s="14" t="n"/>
      <c r="H878" s="14" t="n"/>
      <c r="I878" s="12" t="n"/>
      <c r="J878" s="14" t="n"/>
      <c r="K878" s="12" t="n"/>
      <c r="L878" s="13">
        <f>IF($K878="","",IFERROR(INDEX(Dept_Names,MATCH($K878,Dept_Codes,0)),"NOT FOUND"))</f>
        <v/>
      </c>
      <c r="M878" s="12" t="n"/>
      <c r="N878" s="13">
        <f>IF($M878="","",IFERROR(INDEX(Desig_Names,MATCH($M878,Desig_Codes,0)),"NOT FOUND"))</f>
        <v/>
      </c>
      <c r="O878" s="13">
        <f>IF($M878="","",IFERROR(INDEX(Desig_Levels,MATCH($M878,Desig_Codes,0)),""))</f>
        <v/>
      </c>
      <c r="P878" s="12" t="n"/>
      <c r="Q878" s="12" t="n"/>
      <c r="R878" s="12" t="n"/>
      <c r="S878" s="13">
        <f>IF($R878="","",IFERROR(INDEX(Emp_Names,MATCH($R878,Emp_Codes,0)),"NOT FOUND"))</f>
        <v/>
      </c>
      <c r="T878" s="12" t="n"/>
      <c r="U878" s="12" t="n"/>
      <c r="V878" s="12" t="n"/>
    </row>
    <row r="879">
      <c r="A879" s="12" t="n"/>
      <c r="B879" s="12" t="n"/>
      <c r="C879" s="12" t="n"/>
      <c r="D879" s="13">
        <f>IF($A879="","",TRIM($B879&amp;" "&amp;$C879))</f>
        <v/>
      </c>
      <c r="E879" s="12" t="n"/>
      <c r="F879" s="12" t="n"/>
      <c r="G879" s="14" t="n"/>
      <c r="H879" s="14" t="n"/>
      <c r="I879" s="12" t="n"/>
      <c r="J879" s="14" t="n"/>
      <c r="K879" s="12" t="n"/>
      <c r="L879" s="13">
        <f>IF($K879="","",IFERROR(INDEX(Dept_Names,MATCH($K879,Dept_Codes,0)),"NOT FOUND"))</f>
        <v/>
      </c>
      <c r="M879" s="12" t="n"/>
      <c r="N879" s="13">
        <f>IF($M879="","",IFERROR(INDEX(Desig_Names,MATCH($M879,Desig_Codes,0)),"NOT FOUND"))</f>
        <v/>
      </c>
      <c r="O879" s="13">
        <f>IF($M879="","",IFERROR(INDEX(Desig_Levels,MATCH($M879,Desig_Codes,0)),""))</f>
        <v/>
      </c>
      <c r="P879" s="12" t="n"/>
      <c r="Q879" s="12" t="n"/>
      <c r="R879" s="12" t="n"/>
      <c r="S879" s="13">
        <f>IF($R879="","",IFERROR(INDEX(Emp_Names,MATCH($R879,Emp_Codes,0)),"NOT FOUND"))</f>
        <v/>
      </c>
      <c r="T879" s="12" t="n"/>
      <c r="U879" s="12" t="n"/>
      <c r="V879" s="12" t="n"/>
    </row>
    <row r="880">
      <c r="A880" s="12" t="n"/>
      <c r="B880" s="12" t="n"/>
      <c r="C880" s="12" t="n"/>
      <c r="D880" s="13">
        <f>IF($A880="","",TRIM($B880&amp;" "&amp;$C880))</f>
        <v/>
      </c>
      <c r="E880" s="12" t="n"/>
      <c r="F880" s="12" t="n"/>
      <c r="G880" s="14" t="n"/>
      <c r="H880" s="14" t="n"/>
      <c r="I880" s="12" t="n"/>
      <c r="J880" s="14" t="n"/>
      <c r="K880" s="12" t="n"/>
      <c r="L880" s="13">
        <f>IF($K880="","",IFERROR(INDEX(Dept_Names,MATCH($K880,Dept_Codes,0)),"NOT FOUND"))</f>
        <v/>
      </c>
      <c r="M880" s="12" t="n"/>
      <c r="N880" s="13">
        <f>IF($M880="","",IFERROR(INDEX(Desig_Names,MATCH($M880,Desig_Codes,0)),"NOT FOUND"))</f>
        <v/>
      </c>
      <c r="O880" s="13">
        <f>IF($M880="","",IFERROR(INDEX(Desig_Levels,MATCH($M880,Desig_Codes,0)),""))</f>
        <v/>
      </c>
      <c r="P880" s="12" t="n"/>
      <c r="Q880" s="12" t="n"/>
      <c r="R880" s="12" t="n"/>
      <c r="S880" s="13">
        <f>IF($R880="","",IFERROR(INDEX(Emp_Names,MATCH($R880,Emp_Codes,0)),"NOT FOUND"))</f>
        <v/>
      </c>
      <c r="T880" s="12" t="n"/>
      <c r="U880" s="12" t="n"/>
      <c r="V880" s="12" t="n"/>
    </row>
    <row r="881">
      <c r="A881" s="12" t="n"/>
      <c r="B881" s="12" t="n"/>
      <c r="C881" s="12" t="n"/>
      <c r="D881" s="13">
        <f>IF($A881="","",TRIM($B881&amp;" "&amp;$C881))</f>
        <v/>
      </c>
      <c r="E881" s="12" t="n"/>
      <c r="F881" s="12" t="n"/>
      <c r="G881" s="14" t="n"/>
      <c r="H881" s="14" t="n"/>
      <c r="I881" s="12" t="n"/>
      <c r="J881" s="14" t="n"/>
      <c r="K881" s="12" t="n"/>
      <c r="L881" s="13">
        <f>IF($K881="","",IFERROR(INDEX(Dept_Names,MATCH($K881,Dept_Codes,0)),"NOT FOUND"))</f>
        <v/>
      </c>
      <c r="M881" s="12" t="n"/>
      <c r="N881" s="13">
        <f>IF($M881="","",IFERROR(INDEX(Desig_Names,MATCH($M881,Desig_Codes,0)),"NOT FOUND"))</f>
        <v/>
      </c>
      <c r="O881" s="13">
        <f>IF($M881="","",IFERROR(INDEX(Desig_Levels,MATCH($M881,Desig_Codes,0)),""))</f>
        <v/>
      </c>
      <c r="P881" s="12" t="n"/>
      <c r="Q881" s="12" t="n"/>
      <c r="R881" s="12" t="n"/>
      <c r="S881" s="13">
        <f>IF($R881="","",IFERROR(INDEX(Emp_Names,MATCH($R881,Emp_Codes,0)),"NOT FOUND"))</f>
        <v/>
      </c>
      <c r="T881" s="12" t="n"/>
      <c r="U881" s="12" t="n"/>
      <c r="V881" s="12" t="n"/>
    </row>
    <row r="882">
      <c r="A882" s="12" t="n"/>
      <c r="B882" s="12" t="n"/>
      <c r="C882" s="12" t="n"/>
      <c r="D882" s="13">
        <f>IF($A882="","",TRIM($B882&amp;" "&amp;$C882))</f>
        <v/>
      </c>
      <c r="E882" s="12" t="n"/>
      <c r="F882" s="12" t="n"/>
      <c r="G882" s="14" t="n"/>
      <c r="H882" s="14" t="n"/>
      <c r="I882" s="12" t="n"/>
      <c r="J882" s="14" t="n"/>
      <c r="K882" s="12" t="n"/>
      <c r="L882" s="13">
        <f>IF($K882="","",IFERROR(INDEX(Dept_Names,MATCH($K882,Dept_Codes,0)),"NOT FOUND"))</f>
        <v/>
      </c>
      <c r="M882" s="12" t="n"/>
      <c r="N882" s="13">
        <f>IF($M882="","",IFERROR(INDEX(Desig_Names,MATCH($M882,Desig_Codes,0)),"NOT FOUND"))</f>
        <v/>
      </c>
      <c r="O882" s="13">
        <f>IF($M882="","",IFERROR(INDEX(Desig_Levels,MATCH($M882,Desig_Codes,0)),""))</f>
        <v/>
      </c>
      <c r="P882" s="12" t="n"/>
      <c r="Q882" s="12" t="n"/>
      <c r="R882" s="12" t="n"/>
      <c r="S882" s="13">
        <f>IF($R882="","",IFERROR(INDEX(Emp_Names,MATCH($R882,Emp_Codes,0)),"NOT FOUND"))</f>
        <v/>
      </c>
      <c r="T882" s="12" t="n"/>
      <c r="U882" s="12" t="n"/>
      <c r="V882" s="12" t="n"/>
    </row>
    <row r="883">
      <c r="A883" s="12" t="n"/>
      <c r="B883" s="12" t="n"/>
      <c r="C883" s="12" t="n"/>
      <c r="D883" s="13">
        <f>IF($A883="","",TRIM($B883&amp;" "&amp;$C883))</f>
        <v/>
      </c>
      <c r="E883" s="12" t="n"/>
      <c r="F883" s="12" t="n"/>
      <c r="G883" s="14" t="n"/>
      <c r="H883" s="14" t="n"/>
      <c r="I883" s="12" t="n"/>
      <c r="J883" s="14" t="n"/>
      <c r="K883" s="12" t="n"/>
      <c r="L883" s="13">
        <f>IF($K883="","",IFERROR(INDEX(Dept_Names,MATCH($K883,Dept_Codes,0)),"NOT FOUND"))</f>
        <v/>
      </c>
      <c r="M883" s="12" t="n"/>
      <c r="N883" s="13">
        <f>IF($M883="","",IFERROR(INDEX(Desig_Names,MATCH($M883,Desig_Codes,0)),"NOT FOUND"))</f>
        <v/>
      </c>
      <c r="O883" s="13">
        <f>IF($M883="","",IFERROR(INDEX(Desig_Levels,MATCH($M883,Desig_Codes,0)),""))</f>
        <v/>
      </c>
      <c r="P883" s="12" t="n"/>
      <c r="Q883" s="12" t="n"/>
      <c r="R883" s="12" t="n"/>
      <c r="S883" s="13">
        <f>IF($R883="","",IFERROR(INDEX(Emp_Names,MATCH($R883,Emp_Codes,0)),"NOT FOUND"))</f>
        <v/>
      </c>
      <c r="T883" s="12" t="n"/>
      <c r="U883" s="12" t="n"/>
      <c r="V883" s="12" t="n"/>
    </row>
    <row r="884">
      <c r="A884" s="12" t="n"/>
      <c r="B884" s="12" t="n"/>
      <c r="C884" s="12" t="n"/>
      <c r="D884" s="13">
        <f>IF($A884="","",TRIM($B884&amp;" "&amp;$C884))</f>
        <v/>
      </c>
      <c r="E884" s="12" t="n"/>
      <c r="F884" s="12" t="n"/>
      <c r="G884" s="14" t="n"/>
      <c r="H884" s="14" t="n"/>
      <c r="I884" s="12" t="n"/>
      <c r="J884" s="14" t="n"/>
      <c r="K884" s="12" t="n"/>
      <c r="L884" s="13">
        <f>IF($K884="","",IFERROR(INDEX(Dept_Names,MATCH($K884,Dept_Codes,0)),"NOT FOUND"))</f>
        <v/>
      </c>
      <c r="M884" s="12" t="n"/>
      <c r="N884" s="13">
        <f>IF($M884="","",IFERROR(INDEX(Desig_Names,MATCH($M884,Desig_Codes,0)),"NOT FOUND"))</f>
        <v/>
      </c>
      <c r="O884" s="13">
        <f>IF($M884="","",IFERROR(INDEX(Desig_Levels,MATCH($M884,Desig_Codes,0)),""))</f>
        <v/>
      </c>
      <c r="P884" s="12" t="n"/>
      <c r="Q884" s="12" t="n"/>
      <c r="R884" s="12" t="n"/>
      <c r="S884" s="13">
        <f>IF($R884="","",IFERROR(INDEX(Emp_Names,MATCH($R884,Emp_Codes,0)),"NOT FOUND"))</f>
        <v/>
      </c>
      <c r="T884" s="12" t="n"/>
      <c r="U884" s="12" t="n"/>
      <c r="V884" s="12" t="n"/>
    </row>
    <row r="885">
      <c r="A885" s="12" t="n"/>
      <c r="B885" s="12" t="n"/>
      <c r="C885" s="12" t="n"/>
      <c r="D885" s="13">
        <f>IF($A885="","",TRIM($B885&amp;" "&amp;$C885))</f>
        <v/>
      </c>
      <c r="E885" s="12" t="n"/>
      <c r="F885" s="12" t="n"/>
      <c r="G885" s="14" t="n"/>
      <c r="H885" s="14" t="n"/>
      <c r="I885" s="12" t="n"/>
      <c r="J885" s="14" t="n"/>
      <c r="K885" s="12" t="n"/>
      <c r="L885" s="13">
        <f>IF($K885="","",IFERROR(INDEX(Dept_Names,MATCH($K885,Dept_Codes,0)),"NOT FOUND"))</f>
        <v/>
      </c>
      <c r="M885" s="12" t="n"/>
      <c r="N885" s="13">
        <f>IF($M885="","",IFERROR(INDEX(Desig_Names,MATCH($M885,Desig_Codes,0)),"NOT FOUND"))</f>
        <v/>
      </c>
      <c r="O885" s="13">
        <f>IF($M885="","",IFERROR(INDEX(Desig_Levels,MATCH($M885,Desig_Codes,0)),""))</f>
        <v/>
      </c>
      <c r="P885" s="12" t="n"/>
      <c r="Q885" s="12" t="n"/>
      <c r="R885" s="12" t="n"/>
      <c r="S885" s="13">
        <f>IF($R885="","",IFERROR(INDEX(Emp_Names,MATCH($R885,Emp_Codes,0)),"NOT FOUND"))</f>
        <v/>
      </c>
      <c r="T885" s="12" t="n"/>
      <c r="U885" s="12" t="n"/>
      <c r="V885" s="12" t="n"/>
    </row>
    <row r="886">
      <c r="A886" s="12" t="n"/>
      <c r="B886" s="12" t="n"/>
      <c r="C886" s="12" t="n"/>
      <c r="D886" s="13">
        <f>IF($A886="","",TRIM($B886&amp;" "&amp;$C886))</f>
        <v/>
      </c>
      <c r="E886" s="12" t="n"/>
      <c r="F886" s="12" t="n"/>
      <c r="G886" s="14" t="n"/>
      <c r="H886" s="14" t="n"/>
      <c r="I886" s="12" t="n"/>
      <c r="J886" s="14" t="n"/>
      <c r="K886" s="12" t="n"/>
      <c r="L886" s="13">
        <f>IF($K886="","",IFERROR(INDEX(Dept_Names,MATCH($K886,Dept_Codes,0)),"NOT FOUND"))</f>
        <v/>
      </c>
      <c r="M886" s="12" t="n"/>
      <c r="N886" s="13">
        <f>IF($M886="","",IFERROR(INDEX(Desig_Names,MATCH($M886,Desig_Codes,0)),"NOT FOUND"))</f>
        <v/>
      </c>
      <c r="O886" s="13">
        <f>IF($M886="","",IFERROR(INDEX(Desig_Levels,MATCH($M886,Desig_Codes,0)),""))</f>
        <v/>
      </c>
      <c r="P886" s="12" t="n"/>
      <c r="Q886" s="12" t="n"/>
      <c r="R886" s="12" t="n"/>
      <c r="S886" s="13">
        <f>IF($R886="","",IFERROR(INDEX(Emp_Names,MATCH($R886,Emp_Codes,0)),"NOT FOUND"))</f>
        <v/>
      </c>
      <c r="T886" s="12" t="n"/>
      <c r="U886" s="12" t="n"/>
      <c r="V886" s="12" t="n"/>
    </row>
    <row r="887">
      <c r="A887" s="12" t="n"/>
      <c r="B887" s="12" t="n"/>
      <c r="C887" s="12" t="n"/>
      <c r="D887" s="13">
        <f>IF($A887="","",TRIM($B887&amp;" "&amp;$C887))</f>
        <v/>
      </c>
      <c r="E887" s="12" t="n"/>
      <c r="F887" s="12" t="n"/>
      <c r="G887" s="14" t="n"/>
      <c r="H887" s="14" t="n"/>
      <c r="I887" s="12" t="n"/>
      <c r="J887" s="14" t="n"/>
      <c r="K887" s="12" t="n"/>
      <c r="L887" s="13">
        <f>IF($K887="","",IFERROR(INDEX(Dept_Names,MATCH($K887,Dept_Codes,0)),"NOT FOUND"))</f>
        <v/>
      </c>
      <c r="M887" s="12" t="n"/>
      <c r="N887" s="13">
        <f>IF($M887="","",IFERROR(INDEX(Desig_Names,MATCH($M887,Desig_Codes,0)),"NOT FOUND"))</f>
        <v/>
      </c>
      <c r="O887" s="13">
        <f>IF($M887="","",IFERROR(INDEX(Desig_Levels,MATCH($M887,Desig_Codes,0)),""))</f>
        <v/>
      </c>
      <c r="P887" s="12" t="n"/>
      <c r="Q887" s="12" t="n"/>
      <c r="R887" s="12" t="n"/>
      <c r="S887" s="13">
        <f>IF($R887="","",IFERROR(INDEX(Emp_Names,MATCH($R887,Emp_Codes,0)),"NOT FOUND"))</f>
        <v/>
      </c>
      <c r="T887" s="12" t="n"/>
      <c r="U887" s="12" t="n"/>
      <c r="V887" s="12" t="n"/>
    </row>
    <row r="888">
      <c r="A888" s="12" t="n"/>
      <c r="B888" s="12" t="n"/>
      <c r="C888" s="12" t="n"/>
      <c r="D888" s="13">
        <f>IF($A888="","",TRIM($B888&amp;" "&amp;$C888))</f>
        <v/>
      </c>
      <c r="E888" s="12" t="n"/>
      <c r="F888" s="12" t="n"/>
      <c r="G888" s="14" t="n"/>
      <c r="H888" s="14" t="n"/>
      <c r="I888" s="12" t="n"/>
      <c r="J888" s="14" t="n"/>
      <c r="K888" s="12" t="n"/>
      <c r="L888" s="13">
        <f>IF($K888="","",IFERROR(INDEX(Dept_Names,MATCH($K888,Dept_Codes,0)),"NOT FOUND"))</f>
        <v/>
      </c>
      <c r="M888" s="12" t="n"/>
      <c r="N888" s="13">
        <f>IF($M888="","",IFERROR(INDEX(Desig_Names,MATCH($M888,Desig_Codes,0)),"NOT FOUND"))</f>
        <v/>
      </c>
      <c r="O888" s="13">
        <f>IF($M888="","",IFERROR(INDEX(Desig_Levels,MATCH($M888,Desig_Codes,0)),""))</f>
        <v/>
      </c>
      <c r="P888" s="12" t="n"/>
      <c r="Q888" s="12" t="n"/>
      <c r="R888" s="12" t="n"/>
      <c r="S888" s="13">
        <f>IF($R888="","",IFERROR(INDEX(Emp_Names,MATCH($R888,Emp_Codes,0)),"NOT FOUND"))</f>
        <v/>
      </c>
      <c r="T888" s="12" t="n"/>
      <c r="U888" s="12" t="n"/>
      <c r="V888" s="12" t="n"/>
    </row>
    <row r="889">
      <c r="A889" s="12" t="n"/>
      <c r="B889" s="12" t="n"/>
      <c r="C889" s="12" t="n"/>
      <c r="D889" s="13">
        <f>IF($A889="","",TRIM($B889&amp;" "&amp;$C889))</f>
        <v/>
      </c>
      <c r="E889" s="12" t="n"/>
      <c r="F889" s="12" t="n"/>
      <c r="G889" s="14" t="n"/>
      <c r="H889" s="14" t="n"/>
      <c r="I889" s="12" t="n"/>
      <c r="J889" s="14" t="n"/>
      <c r="K889" s="12" t="n"/>
      <c r="L889" s="13">
        <f>IF($K889="","",IFERROR(INDEX(Dept_Names,MATCH($K889,Dept_Codes,0)),"NOT FOUND"))</f>
        <v/>
      </c>
      <c r="M889" s="12" t="n"/>
      <c r="N889" s="13">
        <f>IF($M889="","",IFERROR(INDEX(Desig_Names,MATCH($M889,Desig_Codes,0)),"NOT FOUND"))</f>
        <v/>
      </c>
      <c r="O889" s="13">
        <f>IF($M889="","",IFERROR(INDEX(Desig_Levels,MATCH($M889,Desig_Codes,0)),""))</f>
        <v/>
      </c>
      <c r="P889" s="12" t="n"/>
      <c r="Q889" s="12" t="n"/>
      <c r="R889" s="12" t="n"/>
      <c r="S889" s="13">
        <f>IF($R889="","",IFERROR(INDEX(Emp_Names,MATCH($R889,Emp_Codes,0)),"NOT FOUND"))</f>
        <v/>
      </c>
      <c r="T889" s="12" t="n"/>
      <c r="U889" s="12" t="n"/>
      <c r="V889" s="12" t="n"/>
    </row>
    <row r="890">
      <c r="A890" s="12" t="n"/>
      <c r="B890" s="12" t="n"/>
      <c r="C890" s="12" t="n"/>
      <c r="D890" s="13">
        <f>IF($A890="","",TRIM($B890&amp;" "&amp;$C890))</f>
        <v/>
      </c>
      <c r="E890" s="12" t="n"/>
      <c r="F890" s="12" t="n"/>
      <c r="G890" s="14" t="n"/>
      <c r="H890" s="14" t="n"/>
      <c r="I890" s="12" t="n"/>
      <c r="J890" s="14" t="n"/>
      <c r="K890" s="12" t="n"/>
      <c r="L890" s="13">
        <f>IF($K890="","",IFERROR(INDEX(Dept_Names,MATCH($K890,Dept_Codes,0)),"NOT FOUND"))</f>
        <v/>
      </c>
      <c r="M890" s="12" t="n"/>
      <c r="N890" s="13">
        <f>IF($M890="","",IFERROR(INDEX(Desig_Names,MATCH($M890,Desig_Codes,0)),"NOT FOUND"))</f>
        <v/>
      </c>
      <c r="O890" s="13">
        <f>IF($M890="","",IFERROR(INDEX(Desig_Levels,MATCH($M890,Desig_Codes,0)),""))</f>
        <v/>
      </c>
      <c r="P890" s="12" t="n"/>
      <c r="Q890" s="12" t="n"/>
      <c r="R890" s="12" t="n"/>
      <c r="S890" s="13">
        <f>IF($R890="","",IFERROR(INDEX(Emp_Names,MATCH($R890,Emp_Codes,0)),"NOT FOUND"))</f>
        <v/>
      </c>
      <c r="T890" s="12" t="n"/>
      <c r="U890" s="12" t="n"/>
      <c r="V890" s="12" t="n"/>
    </row>
    <row r="891">
      <c r="A891" s="12" t="n"/>
      <c r="B891" s="12" t="n"/>
      <c r="C891" s="12" t="n"/>
      <c r="D891" s="13">
        <f>IF($A891="","",TRIM($B891&amp;" "&amp;$C891))</f>
        <v/>
      </c>
      <c r="E891" s="12" t="n"/>
      <c r="F891" s="12" t="n"/>
      <c r="G891" s="14" t="n"/>
      <c r="H891" s="14" t="n"/>
      <c r="I891" s="12" t="n"/>
      <c r="J891" s="14" t="n"/>
      <c r="K891" s="12" t="n"/>
      <c r="L891" s="13">
        <f>IF($K891="","",IFERROR(INDEX(Dept_Names,MATCH($K891,Dept_Codes,0)),"NOT FOUND"))</f>
        <v/>
      </c>
      <c r="M891" s="12" t="n"/>
      <c r="N891" s="13">
        <f>IF($M891="","",IFERROR(INDEX(Desig_Names,MATCH($M891,Desig_Codes,0)),"NOT FOUND"))</f>
        <v/>
      </c>
      <c r="O891" s="13">
        <f>IF($M891="","",IFERROR(INDEX(Desig_Levels,MATCH($M891,Desig_Codes,0)),""))</f>
        <v/>
      </c>
      <c r="P891" s="12" t="n"/>
      <c r="Q891" s="12" t="n"/>
      <c r="R891" s="12" t="n"/>
      <c r="S891" s="13">
        <f>IF($R891="","",IFERROR(INDEX(Emp_Names,MATCH($R891,Emp_Codes,0)),"NOT FOUND"))</f>
        <v/>
      </c>
      <c r="T891" s="12" t="n"/>
      <c r="U891" s="12" t="n"/>
      <c r="V891" s="12" t="n"/>
    </row>
    <row r="892">
      <c r="A892" s="12" t="n"/>
      <c r="B892" s="12" t="n"/>
      <c r="C892" s="12" t="n"/>
      <c r="D892" s="13">
        <f>IF($A892="","",TRIM($B892&amp;" "&amp;$C892))</f>
        <v/>
      </c>
      <c r="E892" s="12" t="n"/>
      <c r="F892" s="12" t="n"/>
      <c r="G892" s="14" t="n"/>
      <c r="H892" s="14" t="n"/>
      <c r="I892" s="12" t="n"/>
      <c r="J892" s="14" t="n"/>
      <c r="K892" s="12" t="n"/>
      <c r="L892" s="13">
        <f>IF($K892="","",IFERROR(INDEX(Dept_Names,MATCH($K892,Dept_Codes,0)),"NOT FOUND"))</f>
        <v/>
      </c>
      <c r="M892" s="12" t="n"/>
      <c r="N892" s="13">
        <f>IF($M892="","",IFERROR(INDEX(Desig_Names,MATCH($M892,Desig_Codes,0)),"NOT FOUND"))</f>
        <v/>
      </c>
      <c r="O892" s="13">
        <f>IF($M892="","",IFERROR(INDEX(Desig_Levels,MATCH($M892,Desig_Codes,0)),""))</f>
        <v/>
      </c>
      <c r="P892" s="12" t="n"/>
      <c r="Q892" s="12" t="n"/>
      <c r="R892" s="12" t="n"/>
      <c r="S892" s="13">
        <f>IF($R892="","",IFERROR(INDEX(Emp_Names,MATCH($R892,Emp_Codes,0)),"NOT FOUND"))</f>
        <v/>
      </c>
      <c r="T892" s="12" t="n"/>
      <c r="U892" s="12" t="n"/>
      <c r="V892" s="12" t="n"/>
    </row>
    <row r="893">
      <c r="A893" s="12" t="n"/>
      <c r="B893" s="12" t="n"/>
      <c r="C893" s="12" t="n"/>
      <c r="D893" s="13">
        <f>IF($A893="","",TRIM($B893&amp;" "&amp;$C893))</f>
        <v/>
      </c>
      <c r="E893" s="12" t="n"/>
      <c r="F893" s="12" t="n"/>
      <c r="G893" s="14" t="n"/>
      <c r="H893" s="14" t="n"/>
      <c r="I893" s="12" t="n"/>
      <c r="J893" s="14" t="n"/>
      <c r="K893" s="12" t="n"/>
      <c r="L893" s="13">
        <f>IF($K893="","",IFERROR(INDEX(Dept_Names,MATCH($K893,Dept_Codes,0)),"NOT FOUND"))</f>
        <v/>
      </c>
      <c r="M893" s="12" t="n"/>
      <c r="N893" s="13">
        <f>IF($M893="","",IFERROR(INDEX(Desig_Names,MATCH($M893,Desig_Codes,0)),"NOT FOUND"))</f>
        <v/>
      </c>
      <c r="O893" s="13">
        <f>IF($M893="","",IFERROR(INDEX(Desig_Levels,MATCH($M893,Desig_Codes,0)),""))</f>
        <v/>
      </c>
      <c r="P893" s="12" t="n"/>
      <c r="Q893" s="12" t="n"/>
      <c r="R893" s="12" t="n"/>
      <c r="S893" s="13">
        <f>IF($R893="","",IFERROR(INDEX(Emp_Names,MATCH($R893,Emp_Codes,0)),"NOT FOUND"))</f>
        <v/>
      </c>
      <c r="T893" s="12" t="n"/>
      <c r="U893" s="12" t="n"/>
      <c r="V893" s="12" t="n"/>
    </row>
    <row r="894">
      <c r="A894" s="12" t="n"/>
      <c r="B894" s="12" t="n"/>
      <c r="C894" s="12" t="n"/>
      <c r="D894" s="13">
        <f>IF($A894="","",TRIM($B894&amp;" "&amp;$C894))</f>
        <v/>
      </c>
      <c r="E894" s="12" t="n"/>
      <c r="F894" s="12" t="n"/>
      <c r="G894" s="14" t="n"/>
      <c r="H894" s="14" t="n"/>
      <c r="I894" s="12" t="n"/>
      <c r="J894" s="14" t="n"/>
      <c r="K894" s="12" t="n"/>
      <c r="L894" s="13">
        <f>IF($K894="","",IFERROR(INDEX(Dept_Names,MATCH($K894,Dept_Codes,0)),"NOT FOUND"))</f>
        <v/>
      </c>
      <c r="M894" s="12" t="n"/>
      <c r="N894" s="13">
        <f>IF($M894="","",IFERROR(INDEX(Desig_Names,MATCH($M894,Desig_Codes,0)),"NOT FOUND"))</f>
        <v/>
      </c>
      <c r="O894" s="13">
        <f>IF($M894="","",IFERROR(INDEX(Desig_Levels,MATCH($M894,Desig_Codes,0)),""))</f>
        <v/>
      </c>
      <c r="P894" s="12" t="n"/>
      <c r="Q894" s="12" t="n"/>
      <c r="R894" s="12" t="n"/>
      <c r="S894" s="13">
        <f>IF($R894="","",IFERROR(INDEX(Emp_Names,MATCH($R894,Emp_Codes,0)),"NOT FOUND"))</f>
        <v/>
      </c>
      <c r="T894" s="12" t="n"/>
      <c r="U894" s="12" t="n"/>
      <c r="V894" s="12" t="n"/>
    </row>
    <row r="895">
      <c r="A895" s="12" t="n"/>
      <c r="B895" s="12" t="n"/>
      <c r="C895" s="12" t="n"/>
      <c r="D895" s="13">
        <f>IF($A895="","",TRIM($B895&amp;" "&amp;$C895))</f>
        <v/>
      </c>
      <c r="E895" s="12" t="n"/>
      <c r="F895" s="12" t="n"/>
      <c r="G895" s="14" t="n"/>
      <c r="H895" s="14" t="n"/>
      <c r="I895" s="12" t="n"/>
      <c r="J895" s="14" t="n"/>
      <c r="K895" s="12" t="n"/>
      <c r="L895" s="13">
        <f>IF($K895="","",IFERROR(INDEX(Dept_Names,MATCH($K895,Dept_Codes,0)),"NOT FOUND"))</f>
        <v/>
      </c>
      <c r="M895" s="12" t="n"/>
      <c r="N895" s="13">
        <f>IF($M895="","",IFERROR(INDEX(Desig_Names,MATCH($M895,Desig_Codes,0)),"NOT FOUND"))</f>
        <v/>
      </c>
      <c r="O895" s="13">
        <f>IF($M895="","",IFERROR(INDEX(Desig_Levels,MATCH($M895,Desig_Codes,0)),""))</f>
        <v/>
      </c>
      <c r="P895" s="12" t="n"/>
      <c r="Q895" s="12" t="n"/>
      <c r="R895" s="12" t="n"/>
      <c r="S895" s="13">
        <f>IF($R895="","",IFERROR(INDEX(Emp_Names,MATCH($R895,Emp_Codes,0)),"NOT FOUND"))</f>
        <v/>
      </c>
      <c r="T895" s="12" t="n"/>
      <c r="U895" s="12" t="n"/>
      <c r="V895" s="12" t="n"/>
    </row>
    <row r="896">
      <c r="A896" s="12" t="n"/>
      <c r="B896" s="12" t="n"/>
      <c r="C896" s="12" t="n"/>
      <c r="D896" s="13">
        <f>IF($A896="","",TRIM($B896&amp;" "&amp;$C896))</f>
        <v/>
      </c>
      <c r="E896" s="12" t="n"/>
      <c r="F896" s="12" t="n"/>
      <c r="G896" s="14" t="n"/>
      <c r="H896" s="14" t="n"/>
      <c r="I896" s="12" t="n"/>
      <c r="J896" s="14" t="n"/>
      <c r="K896" s="12" t="n"/>
      <c r="L896" s="13">
        <f>IF($K896="","",IFERROR(INDEX(Dept_Names,MATCH($K896,Dept_Codes,0)),"NOT FOUND"))</f>
        <v/>
      </c>
      <c r="M896" s="12" t="n"/>
      <c r="N896" s="13">
        <f>IF($M896="","",IFERROR(INDEX(Desig_Names,MATCH($M896,Desig_Codes,0)),"NOT FOUND"))</f>
        <v/>
      </c>
      <c r="O896" s="13">
        <f>IF($M896="","",IFERROR(INDEX(Desig_Levels,MATCH($M896,Desig_Codes,0)),""))</f>
        <v/>
      </c>
      <c r="P896" s="12" t="n"/>
      <c r="Q896" s="12" t="n"/>
      <c r="R896" s="12" t="n"/>
      <c r="S896" s="13">
        <f>IF($R896="","",IFERROR(INDEX(Emp_Names,MATCH($R896,Emp_Codes,0)),"NOT FOUND"))</f>
        <v/>
      </c>
      <c r="T896" s="12" t="n"/>
      <c r="U896" s="12" t="n"/>
      <c r="V896" s="12" t="n"/>
    </row>
    <row r="897">
      <c r="A897" s="12" t="n"/>
      <c r="B897" s="12" t="n"/>
      <c r="C897" s="12" t="n"/>
      <c r="D897" s="13">
        <f>IF($A897="","",TRIM($B897&amp;" "&amp;$C897))</f>
        <v/>
      </c>
      <c r="E897" s="12" t="n"/>
      <c r="F897" s="12" t="n"/>
      <c r="G897" s="14" t="n"/>
      <c r="H897" s="14" t="n"/>
      <c r="I897" s="12" t="n"/>
      <c r="J897" s="14" t="n"/>
      <c r="K897" s="12" t="n"/>
      <c r="L897" s="13">
        <f>IF($K897="","",IFERROR(INDEX(Dept_Names,MATCH($K897,Dept_Codes,0)),"NOT FOUND"))</f>
        <v/>
      </c>
      <c r="M897" s="12" t="n"/>
      <c r="N897" s="13">
        <f>IF($M897="","",IFERROR(INDEX(Desig_Names,MATCH($M897,Desig_Codes,0)),"NOT FOUND"))</f>
        <v/>
      </c>
      <c r="O897" s="13">
        <f>IF($M897="","",IFERROR(INDEX(Desig_Levels,MATCH($M897,Desig_Codes,0)),""))</f>
        <v/>
      </c>
      <c r="P897" s="12" t="n"/>
      <c r="Q897" s="12" t="n"/>
      <c r="R897" s="12" t="n"/>
      <c r="S897" s="13">
        <f>IF($R897="","",IFERROR(INDEX(Emp_Names,MATCH($R897,Emp_Codes,0)),"NOT FOUND"))</f>
        <v/>
      </c>
      <c r="T897" s="12" t="n"/>
      <c r="U897" s="12" t="n"/>
      <c r="V897" s="12" t="n"/>
    </row>
    <row r="898">
      <c r="A898" s="12" t="n"/>
      <c r="B898" s="12" t="n"/>
      <c r="C898" s="12" t="n"/>
      <c r="D898" s="13">
        <f>IF($A898="","",TRIM($B898&amp;" "&amp;$C898))</f>
        <v/>
      </c>
      <c r="E898" s="12" t="n"/>
      <c r="F898" s="12" t="n"/>
      <c r="G898" s="14" t="n"/>
      <c r="H898" s="14" t="n"/>
      <c r="I898" s="12" t="n"/>
      <c r="J898" s="14" t="n"/>
      <c r="K898" s="12" t="n"/>
      <c r="L898" s="13">
        <f>IF($K898="","",IFERROR(INDEX(Dept_Names,MATCH($K898,Dept_Codes,0)),"NOT FOUND"))</f>
        <v/>
      </c>
      <c r="M898" s="12" t="n"/>
      <c r="N898" s="13">
        <f>IF($M898="","",IFERROR(INDEX(Desig_Names,MATCH($M898,Desig_Codes,0)),"NOT FOUND"))</f>
        <v/>
      </c>
      <c r="O898" s="13">
        <f>IF($M898="","",IFERROR(INDEX(Desig_Levels,MATCH($M898,Desig_Codes,0)),""))</f>
        <v/>
      </c>
      <c r="P898" s="12" t="n"/>
      <c r="Q898" s="12" t="n"/>
      <c r="R898" s="12" t="n"/>
      <c r="S898" s="13">
        <f>IF($R898="","",IFERROR(INDEX(Emp_Names,MATCH($R898,Emp_Codes,0)),"NOT FOUND"))</f>
        <v/>
      </c>
      <c r="T898" s="12" t="n"/>
      <c r="U898" s="12" t="n"/>
      <c r="V898" s="12" t="n"/>
    </row>
    <row r="899">
      <c r="A899" s="12" t="n"/>
      <c r="B899" s="12" t="n"/>
      <c r="C899" s="12" t="n"/>
      <c r="D899" s="13">
        <f>IF($A899="","",TRIM($B899&amp;" "&amp;$C899))</f>
        <v/>
      </c>
      <c r="E899" s="12" t="n"/>
      <c r="F899" s="12" t="n"/>
      <c r="G899" s="14" t="n"/>
      <c r="H899" s="14" t="n"/>
      <c r="I899" s="12" t="n"/>
      <c r="J899" s="14" t="n"/>
      <c r="K899" s="12" t="n"/>
      <c r="L899" s="13">
        <f>IF($K899="","",IFERROR(INDEX(Dept_Names,MATCH($K899,Dept_Codes,0)),"NOT FOUND"))</f>
        <v/>
      </c>
      <c r="M899" s="12" t="n"/>
      <c r="N899" s="13">
        <f>IF($M899="","",IFERROR(INDEX(Desig_Names,MATCH($M899,Desig_Codes,0)),"NOT FOUND"))</f>
        <v/>
      </c>
      <c r="O899" s="13">
        <f>IF($M899="","",IFERROR(INDEX(Desig_Levels,MATCH($M899,Desig_Codes,0)),""))</f>
        <v/>
      </c>
      <c r="P899" s="12" t="n"/>
      <c r="Q899" s="12" t="n"/>
      <c r="R899" s="12" t="n"/>
      <c r="S899" s="13">
        <f>IF($R899="","",IFERROR(INDEX(Emp_Names,MATCH($R899,Emp_Codes,0)),"NOT FOUND"))</f>
        <v/>
      </c>
      <c r="T899" s="12" t="n"/>
      <c r="U899" s="12" t="n"/>
      <c r="V899" s="12" t="n"/>
    </row>
    <row r="900">
      <c r="A900" s="12" t="n"/>
      <c r="B900" s="12" t="n"/>
      <c r="C900" s="12" t="n"/>
      <c r="D900" s="13">
        <f>IF($A900="","",TRIM($B900&amp;" "&amp;$C900))</f>
        <v/>
      </c>
      <c r="E900" s="12" t="n"/>
      <c r="F900" s="12" t="n"/>
      <c r="G900" s="14" t="n"/>
      <c r="H900" s="14" t="n"/>
      <c r="I900" s="12" t="n"/>
      <c r="J900" s="14" t="n"/>
      <c r="K900" s="12" t="n"/>
      <c r="L900" s="13">
        <f>IF($K900="","",IFERROR(INDEX(Dept_Names,MATCH($K900,Dept_Codes,0)),"NOT FOUND"))</f>
        <v/>
      </c>
      <c r="M900" s="12" t="n"/>
      <c r="N900" s="13">
        <f>IF($M900="","",IFERROR(INDEX(Desig_Names,MATCH($M900,Desig_Codes,0)),"NOT FOUND"))</f>
        <v/>
      </c>
      <c r="O900" s="13">
        <f>IF($M900="","",IFERROR(INDEX(Desig_Levels,MATCH($M900,Desig_Codes,0)),""))</f>
        <v/>
      </c>
      <c r="P900" s="12" t="n"/>
      <c r="Q900" s="12" t="n"/>
      <c r="R900" s="12" t="n"/>
      <c r="S900" s="13">
        <f>IF($R900="","",IFERROR(INDEX(Emp_Names,MATCH($R900,Emp_Codes,0)),"NOT FOUND"))</f>
        <v/>
      </c>
      <c r="T900" s="12" t="n"/>
      <c r="U900" s="12" t="n"/>
      <c r="V900" s="12" t="n"/>
    </row>
    <row r="901">
      <c r="A901" s="12" t="n"/>
      <c r="B901" s="12" t="n"/>
      <c r="C901" s="12" t="n"/>
      <c r="D901" s="13">
        <f>IF($A901="","",TRIM($B901&amp;" "&amp;$C901))</f>
        <v/>
      </c>
      <c r="E901" s="12" t="n"/>
      <c r="F901" s="12" t="n"/>
      <c r="G901" s="14" t="n"/>
      <c r="H901" s="14" t="n"/>
      <c r="I901" s="12" t="n"/>
      <c r="J901" s="14" t="n"/>
      <c r="K901" s="12" t="n"/>
      <c r="L901" s="13">
        <f>IF($K901="","",IFERROR(INDEX(Dept_Names,MATCH($K901,Dept_Codes,0)),"NOT FOUND"))</f>
        <v/>
      </c>
      <c r="M901" s="12" t="n"/>
      <c r="N901" s="13">
        <f>IF($M901="","",IFERROR(INDEX(Desig_Names,MATCH($M901,Desig_Codes,0)),"NOT FOUND"))</f>
        <v/>
      </c>
      <c r="O901" s="13">
        <f>IF($M901="","",IFERROR(INDEX(Desig_Levels,MATCH($M901,Desig_Codes,0)),""))</f>
        <v/>
      </c>
      <c r="P901" s="12" t="n"/>
      <c r="Q901" s="12" t="n"/>
      <c r="R901" s="12" t="n"/>
      <c r="S901" s="13">
        <f>IF($R901="","",IFERROR(INDEX(Emp_Names,MATCH($R901,Emp_Codes,0)),"NOT FOUND"))</f>
        <v/>
      </c>
      <c r="T901" s="12" t="n"/>
      <c r="U901" s="12" t="n"/>
      <c r="V901" s="12" t="n"/>
    </row>
    <row r="902">
      <c r="A902" s="12" t="n"/>
      <c r="B902" s="12" t="n"/>
      <c r="C902" s="12" t="n"/>
      <c r="D902" s="13">
        <f>IF($A902="","",TRIM($B902&amp;" "&amp;$C902))</f>
        <v/>
      </c>
      <c r="E902" s="12" t="n"/>
      <c r="F902" s="12" t="n"/>
      <c r="G902" s="14" t="n"/>
      <c r="H902" s="14" t="n"/>
      <c r="I902" s="12" t="n"/>
      <c r="J902" s="14" t="n"/>
      <c r="K902" s="12" t="n"/>
      <c r="L902" s="13">
        <f>IF($K902="","",IFERROR(INDEX(Dept_Names,MATCH($K902,Dept_Codes,0)),"NOT FOUND"))</f>
        <v/>
      </c>
      <c r="M902" s="12" t="n"/>
      <c r="N902" s="13">
        <f>IF($M902="","",IFERROR(INDEX(Desig_Names,MATCH($M902,Desig_Codes,0)),"NOT FOUND"))</f>
        <v/>
      </c>
      <c r="O902" s="13">
        <f>IF($M902="","",IFERROR(INDEX(Desig_Levels,MATCH($M902,Desig_Codes,0)),""))</f>
        <v/>
      </c>
      <c r="P902" s="12" t="n"/>
      <c r="Q902" s="12" t="n"/>
      <c r="R902" s="12" t="n"/>
      <c r="S902" s="13">
        <f>IF($R902="","",IFERROR(INDEX(Emp_Names,MATCH($R902,Emp_Codes,0)),"NOT FOUND"))</f>
        <v/>
      </c>
      <c r="T902" s="12" t="n"/>
      <c r="U902" s="12" t="n"/>
      <c r="V902" s="12" t="n"/>
    </row>
    <row r="903">
      <c r="A903" s="12" t="n"/>
      <c r="B903" s="12" t="n"/>
      <c r="C903" s="12" t="n"/>
      <c r="D903" s="13">
        <f>IF($A903="","",TRIM($B903&amp;" "&amp;$C903))</f>
        <v/>
      </c>
      <c r="E903" s="12" t="n"/>
      <c r="F903" s="12" t="n"/>
      <c r="G903" s="14" t="n"/>
      <c r="H903" s="14" t="n"/>
      <c r="I903" s="12" t="n"/>
      <c r="J903" s="14" t="n"/>
      <c r="K903" s="12" t="n"/>
      <c r="L903" s="13">
        <f>IF($K903="","",IFERROR(INDEX(Dept_Names,MATCH($K903,Dept_Codes,0)),"NOT FOUND"))</f>
        <v/>
      </c>
      <c r="M903" s="12" t="n"/>
      <c r="N903" s="13">
        <f>IF($M903="","",IFERROR(INDEX(Desig_Names,MATCH($M903,Desig_Codes,0)),"NOT FOUND"))</f>
        <v/>
      </c>
      <c r="O903" s="13">
        <f>IF($M903="","",IFERROR(INDEX(Desig_Levels,MATCH($M903,Desig_Codes,0)),""))</f>
        <v/>
      </c>
      <c r="P903" s="12" t="n"/>
      <c r="Q903" s="12" t="n"/>
      <c r="R903" s="12" t="n"/>
      <c r="S903" s="13">
        <f>IF($R903="","",IFERROR(INDEX(Emp_Names,MATCH($R903,Emp_Codes,0)),"NOT FOUND"))</f>
        <v/>
      </c>
      <c r="T903" s="12" t="n"/>
      <c r="U903" s="12" t="n"/>
      <c r="V903" s="12" t="n"/>
    </row>
    <row r="904">
      <c r="A904" s="12" t="n"/>
      <c r="B904" s="12" t="n"/>
      <c r="C904" s="12" t="n"/>
      <c r="D904" s="13">
        <f>IF($A904="","",TRIM($B904&amp;" "&amp;$C904))</f>
        <v/>
      </c>
      <c r="E904" s="12" t="n"/>
      <c r="F904" s="12" t="n"/>
      <c r="G904" s="14" t="n"/>
      <c r="H904" s="14" t="n"/>
      <c r="I904" s="12" t="n"/>
      <c r="J904" s="14" t="n"/>
      <c r="K904" s="12" t="n"/>
      <c r="L904" s="13">
        <f>IF($K904="","",IFERROR(INDEX(Dept_Names,MATCH($K904,Dept_Codes,0)),"NOT FOUND"))</f>
        <v/>
      </c>
      <c r="M904" s="12" t="n"/>
      <c r="N904" s="13">
        <f>IF($M904="","",IFERROR(INDEX(Desig_Names,MATCH($M904,Desig_Codes,0)),"NOT FOUND"))</f>
        <v/>
      </c>
      <c r="O904" s="13">
        <f>IF($M904="","",IFERROR(INDEX(Desig_Levels,MATCH($M904,Desig_Codes,0)),""))</f>
        <v/>
      </c>
      <c r="P904" s="12" t="n"/>
      <c r="Q904" s="12" t="n"/>
      <c r="R904" s="12" t="n"/>
      <c r="S904" s="13">
        <f>IF($R904="","",IFERROR(INDEX(Emp_Names,MATCH($R904,Emp_Codes,0)),"NOT FOUND"))</f>
        <v/>
      </c>
      <c r="T904" s="12" t="n"/>
      <c r="U904" s="12" t="n"/>
      <c r="V904" s="12" t="n"/>
    </row>
    <row r="905">
      <c r="A905" s="12" t="n"/>
      <c r="B905" s="12" t="n"/>
      <c r="C905" s="12" t="n"/>
      <c r="D905" s="13">
        <f>IF($A905="","",TRIM($B905&amp;" "&amp;$C905))</f>
        <v/>
      </c>
      <c r="E905" s="12" t="n"/>
      <c r="F905" s="12" t="n"/>
      <c r="G905" s="14" t="n"/>
      <c r="H905" s="14" t="n"/>
      <c r="I905" s="12" t="n"/>
      <c r="J905" s="14" t="n"/>
      <c r="K905" s="12" t="n"/>
      <c r="L905" s="13">
        <f>IF($K905="","",IFERROR(INDEX(Dept_Names,MATCH($K905,Dept_Codes,0)),"NOT FOUND"))</f>
        <v/>
      </c>
      <c r="M905" s="12" t="n"/>
      <c r="N905" s="13">
        <f>IF($M905="","",IFERROR(INDEX(Desig_Names,MATCH($M905,Desig_Codes,0)),"NOT FOUND"))</f>
        <v/>
      </c>
      <c r="O905" s="13">
        <f>IF($M905="","",IFERROR(INDEX(Desig_Levels,MATCH($M905,Desig_Codes,0)),""))</f>
        <v/>
      </c>
      <c r="P905" s="12" t="n"/>
      <c r="Q905" s="12" t="n"/>
      <c r="R905" s="12" t="n"/>
      <c r="S905" s="13">
        <f>IF($R905="","",IFERROR(INDEX(Emp_Names,MATCH($R905,Emp_Codes,0)),"NOT FOUND"))</f>
        <v/>
      </c>
      <c r="T905" s="12" t="n"/>
      <c r="U905" s="12" t="n"/>
      <c r="V905" s="12" t="n"/>
    </row>
    <row r="906">
      <c r="A906" s="12" t="n"/>
      <c r="B906" s="12" t="n"/>
      <c r="C906" s="12" t="n"/>
      <c r="D906" s="13">
        <f>IF($A906="","",TRIM($B906&amp;" "&amp;$C906))</f>
        <v/>
      </c>
      <c r="E906" s="12" t="n"/>
      <c r="F906" s="12" t="n"/>
      <c r="G906" s="14" t="n"/>
      <c r="H906" s="14" t="n"/>
      <c r="I906" s="12" t="n"/>
      <c r="J906" s="14" t="n"/>
      <c r="K906" s="12" t="n"/>
      <c r="L906" s="13">
        <f>IF($K906="","",IFERROR(INDEX(Dept_Names,MATCH($K906,Dept_Codes,0)),"NOT FOUND"))</f>
        <v/>
      </c>
      <c r="M906" s="12" t="n"/>
      <c r="N906" s="13">
        <f>IF($M906="","",IFERROR(INDEX(Desig_Names,MATCH($M906,Desig_Codes,0)),"NOT FOUND"))</f>
        <v/>
      </c>
      <c r="O906" s="13">
        <f>IF($M906="","",IFERROR(INDEX(Desig_Levels,MATCH($M906,Desig_Codes,0)),""))</f>
        <v/>
      </c>
      <c r="P906" s="12" t="n"/>
      <c r="Q906" s="12" t="n"/>
      <c r="R906" s="12" t="n"/>
      <c r="S906" s="13">
        <f>IF($R906="","",IFERROR(INDEX(Emp_Names,MATCH($R906,Emp_Codes,0)),"NOT FOUND"))</f>
        <v/>
      </c>
      <c r="T906" s="12" t="n"/>
      <c r="U906" s="12" t="n"/>
      <c r="V906" s="12" t="n"/>
    </row>
    <row r="907">
      <c r="A907" s="12" t="n"/>
      <c r="B907" s="12" t="n"/>
      <c r="C907" s="12" t="n"/>
      <c r="D907" s="13">
        <f>IF($A907="","",TRIM($B907&amp;" "&amp;$C907))</f>
        <v/>
      </c>
      <c r="E907" s="12" t="n"/>
      <c r="F907" s="12" t="n"/>
      <c r="G907" s="14" t="n"/>
      <c r="H907" s="14" t="n"/>
      <c r="I907" s="12" t="n"/>
      <c r="J907" s="14" t="n"/>
      <c r="K907" s="12" t="n"/>
      <c r="L907" s="13">
        <f>IF($K907="","",IFERROR(INDEX(Dept_Names,MATCH($K907,Dept_Codes,0)),"NOT FOUND"))</f>
        <v/>
      </c>
      <c r="M907" s="12" t="n"/>
      <c r="N907" s="13">
        <f>IF($M907="","",IFERROR(INDEX(Desig_Names,MATCH($M907,Desig_Codes,0)),"NOT FOUND"))</f>
        <v/>
      </c>
      <c r="O907" s="13">
        <f>IF($M907="","",IFERROR(INDEX(Desig_Levels,MATCH($M907,Desig_Codes,0)),""))</f>
        <v/>
      </c>
      <c r="P907" s="12" t="n"/>
      <c r="Q907" s="12" t="n"/>
      <c r="R907" s="12" t="n"/>
      <c r="S907" s="13">
        <f>IF($R907="","",IFERROR(INDEX(Emp_Names,MATCH($R907,Emp_Codes,0)),"NOT FOUND"))</f>
        <v/>
      </c>
      <c r="T907" s="12" t="n"/>
      <c r="U907" s="12" t="n"/>
      <c r="V907" s="12" t="n"/>
    </row>
    <row r="908">
      <c r="A908" s="12" t="n"/>
      <c r="B908" s="12" t="n"/>
      <c r="C908" s="12" t="n"/>
      <c r="D908" s="13">
        <f>IF($A908="","",TRIM($B908&amp;" "&amp;$C908))</f>
        <v/>
      </c>
      <c r="E908" s="12" t="n"/>
      <c r="F908" s="12" t="n"/>
      <c r="G908" s="14" t="n"/>
      <c r="H908" s="14" t="n"/>
      <c r="I908" s="12" t="n"/>
      <c r="J908" s="14" t="n"/>
      <c r="K908" s="12" t="n"/>
      <c r="L908" s="13">
        <f>IF($K908="","",IFERROR(INDEX(Dept_Names,MATCH($K908,Dept_Codes,0)),"NOT FOUND"))</f>
        <v/>
      </c>
      <c r="M908" s="12" t="n"/>
      <c r="N908" s="13">
        <f>IF($M908="","",IFERROR(INDEX(Desig_Names,MATCH($M908,Desig_Codes,0)),"NOT FOUND"))</f>
        <v/>
      </c>
      <c r="O908" s="13">
        <f>IF($M908="","",IFERROR(INDEX(Desig_Levels,MATCH($M908,Desig_Codes,0)),""))</f>
        <v/>
      </c>
      <c r="P908" s="12" t="n"/>
      <c r="Q908" s="12" t="n"/>
      <c r="R908" s="12" t="n"/>
      <c r="S908" s="13">
        <f>IF($R908="","",IFERROR(INDEX(Emp_Names,MATCH($R908,Emp_Codes,0)),"NOT FOUND"))</f>
        <v/>
      </c>
      <c r="T908" s="12" t="n"/>
      <c r="U908" s="12" t="n"/>
      <c r="V908" s="12" t="n"/>
    </row>
    <row r="909">
      <c r="A909" s="12" t="n"/>
      <c r="B909" s="12" t="n"/>
      <c r="C909" s="12" t="n"/>
      <c r="D909" s="13">
        <f>IF($A909="","",TRIM($B909&amp;" "&amp;$C909))</f>
        <v/>
      </c>
      <c r="E909" s="12" t="n"/>
      <c r="F909" s="12" t="n"/>
      <c r="G909" s="14" t="n"/>
      <c r="H909" s="14" t="n"/>
      <c r="I909" s="12" t="n"/>
      <c r="J909" s="14" t="n"/>
      <c r="K909" s="12" t="n"/>
      <c r="L909" s="13">
        <f>IF($K909="","",IFERROR(INDEX(Dept_Names,MATCH($K909,Dept_Codes,0)),"NOT FOUND"))</f>
        <v/>
      </c>
      <c r="M909" s="12" t="n"/>
      <c r="N909" s="13">
        <f>IF($M909="","",IFERROR(INDEX(Desig_Names,MATCH($M909,Desig_Codes,0)),"NOT FOUND"))</f>
        <v/>
      </c>
      <c r="O909" s="13">
        <f>IF($M909="","",IFERROR(INDEX(Desig_Levels,MATCH($M909,Desig_Codes,0)),""))</f>
        <v/>
      </c>
      <c r="P909" s="12" t="n"/>
      <c r="Q909" s="12" t="n"/>
      <c r="R909" s="12" t="n"/>
      <c r="S909" s="13">
        <f>IF($R909="","",IFERROR(INDEX(Emp_Names,MATCH($R909,Emp_Codes,0)),"NOT FOUND"))</f>
        <v/>
      </c>
      <c r="T909" s="12" t="n"/>
      <c r="U909" s="12" t="n"/>
      <c r="V909" s="12" t="n"/>
    </row>
    <row r="910">
      <c r="A910" s="12" t="n"/>
      <c r="B910" s="12" t="n"/>
      <c r="C910" s="12" t="n"/>
      <c r="D910" s="13">
        <f>IF($A910="","",TRIM($B910&amp;" "&amp;$C910))</f>
        <v/>
      </c>
      <c r="E910" s="12" t="n"/>
      <c r="F910" s="12" t="n"/>
      <c r="G910" s="14" t="n"/>
      <c r="H910" s="14" t="n"/>
      <c r="I910" s="12" t="n"/>
      <c r="J910" s="14" t="n"/>
      <c r="K910" s="12" t="n"/>
      <c r="L910" s="13">
        <f>IF($K910="","",IFERROR(INDEX(Dept_Names,MATCH($K910,Dept_Codes,0)),"NOT FOUND"))</f>
        <v/>
      </c>
      <c r="M910" s="12" t="n"/>
      <c r="N910" s="13">
        <f>IF($M910="","",IFERROR(INDEX(Desig_Names,MATCH($M910,Desig_Codes,0)),"NOT FOUND"))</f>
        <v/>
      </c>
      <c r="O910" s="13">
        <f>IF($M910="","",IFERROR(INDEX(Desig_Levels,MATCH($M910,Desig_Codes,0)),""))</f>
        <v/>
      </c>
      <c r="P910" s="12" t="n"/>
      <c r="Q910" s="12" t="n"/>
      <c r="R910" s="12" t="n"/>
      <c r="S910" s="13">
        <f>IF($R910="","",IFERROR(INDEX(Emp_Names,MATCH($R910,Emp_Codes,0)),"NOT FOUND"))</f>
        <v/>
      </c>
      <c r="T910" s="12" t="n"/>
      <c r="U910" s="12" t="n"/>
      <c r="V910" s="12" t="n"/>
    </row>
    <row r="911">
      <c r="A911" s="12" t="n"/>
      <c r="B911" s="12" t="n"/>
      <c r="C911" s="12" t="n"/>
      <c r="D911" s="13">
        <f>IF($A911="","",TRIM($B911&amp;" "&amp;$C911))</f>
        <v/>
      </c>
      <c r="E911" s="12" t="n"/>
      <c r="F911" s="12" t="n"/>
      <c r="G911" s="14" t="n"/>
      <c r="H911" s="14" t="n"/>
      <c r="I911" s="12" t="n"/>
      <c r="J911" s="14" t="n"/>
      <c r="K911" s="12" t="n"/>
      <c r="L911" s="13">
        <f>IF($K911="","",IFERROR(INDEX(Dept_Names,MATCH($K911,Dept_Codes,0)),"NOT FOUND"))</f>
        <v/>
      </c>
      <c r="M911" s="12" t="n"/>
      <c r="N911" s="13">
        <f>IF($M911="","",IFERROR(INDEX(Desig_Names,MATCH($M911,Desig_Codes,0)),"NOT FOUND"))</f>
        <v/>
      </c>
      <c r="O911" s="13">
        <f>IF($M911="","",IFERROR(INDEX(Desig_Levels,MATCH($M911,Desig_Codes,0)),""))</f>
        <v/>
      </c>
      <c r="P911" s="12" t="n"/>
      <c r="Q911" s="12" t="n"/>
      <c r="R911" s="12" t="n"/>
      <c r="S911" s="13">
        <f>IF($R911="","",IFERROR(INDEX(Emp_Names,MATCH($R911,Emp_Codes,0)),"NOT FOUND"))</f>
        <v/>
      </c>
      <c r="T911" s="12" t="n"/>
      <c r="U911" s="12" t="n"/>
      <c r="V911" s="12" t="n"/>
    </row>
    <row r="912">
      <c r="A912" s="12" t="n"/>
      <c r="B912" s="12" t="n"/>
      <c r="C912" s="12" t="n"/>
      <c r="D912" s="13">
        <f>IF($A912="","",TRIM($B912&amp;" "&amp;$C912))</f>
        <v/>
      </c>
      <c r="E912" s="12" t="n"/>
      <c r="F912" s="12" t="n"/>
      <c r="G912" s="14" t="n"/>
      <c r="H912" s="14" t="n"/>
      <c r="I912" s="12" t="n"/>
      <c r="J912" s="14" t="n"/>
      <c r="K912" s="12" t="n"/>
      <c r="L912" s="13">
        <f>IF($K912="","",IFERROR(INDEX(Dept_Names,MATCH($K912,Dept_Codes,0)),"NOT FOUND"))</f>
        <v/>
      </c>
      <c r="M912" s="12" t="n"/>
      <c r="N912" s="13">
        <f>IF($M912="","",IFERROR(INDEX(Desig_Names,MATCH($M912,Desig_Codes,0)),"NOT FOUND"))</f>
        <v/>
      </c>
      <c r="O912" s="13">
        <f>IF($M912="","",IFERROR(INDEX(Desig_Levels,MATCH($M912,Desig_Codes,0)),""))</f>
        <v/>
      </c>
      <c r="P912" s="12" t="n"/>
      <c r="Q912" s="12" t="n"/>
      <c r="R912" s="12" t="n"/>
      <c r="S912" s="13">
        <f>IF($R912="","",IFERROR(INDEX(Emp_Names,MATCH($R912,Emp_Codes,0)),"NOT FOUND"))</f>
        <v/>
      </c>
      <c r="T912" s="12" t="n"/>
      <c r="U912" s="12" t="n"/>
      <c r="V912" s="12" t="n"/>
    </row>
    <row r="913">
      <c r="A913" s="12" t="n"/>
      <c r="B913" s="12" t="n"/>
      <c r="C913" s="12" t="n"/>
      <c r="D913" s="13">
        <f>IF($A913="","",TRIM($B913&amp;" "&amp;$C913))</f>
        <v/>
      </c>
      <c r="E913" s="12" t="n"/>
      <c r="F913" s="12" t="n"/>
      <c r="G913" s="14" t="n"/>
      <c r="H913" s="14" t="n"/>
      <c r="I913" s="12" t="n"/>
      <c r="J913" s="14" t="n"/>
      <c r="K913" s="12" t="n"/>
      <c r="L913" s="13">
        <f>IF($K913="","",IFERROR(INDEX(Dept_Names,MATCH($K913,Dept_Codes,0)),"NOT FOUND"))</f>
        <v/>
      </c>
      <c r="M913" s="12" t="n"/>
      <c r="N913" s="13">
        <f>IF($M913="","",IFERROR(INDEX(Desig_Names,MATCH($M913,Desig_Codes,0)),"NOT FOUND"))</f>
        <v/>
      </c>
      <c r="O913" s="13">
        <f>IF($M913="","",IFERROR(INDEX(Desig_Levels,MATCH($M913,Desig_Codes,0)),""))</f>
        <v/>
      </c>
      <c r="P913" s="12" t="n"/>
      <c r="Q913" s="12" t="n"/>
      <c r="R913" s="12" t="n"/>
      <c r="S913" s="13">
        <f>IF($R913="","",IFERROR(INDEX(Emp_Names,MATCH($R913,Emp_Codes,0)),"NOT FOUND"))</f>
        <v/>
      </c>
      <c r="T913" s="12" t="n"/>
      <c r="U913" s="12" t="n"/>
      <c r="V913" s="12" t="n"/>
    </row>
    <row r="914">
      <c r="A914" s="12" t="n"/>
      <c r="B914" s="12" t="n"/>
      <c r="C914" s="12" t="n"/>
      <c r="D914" s="13">
        <f>IF($A914="","",TRIM($B914&amp;" "&amp;$C914))</f>
        <v/>
      </c>
      <c r="E914" s="12" t="n"/>
      <c r="F914" s="12" t="n"/>
      <c r="G914" s="14" t="n"/>
      <c r="H914" s="14" t="n"/>
      <c r="I914" s="12" t="n"/>
      <c r="J914" s="14" t="n"/>
      <c r="K914" s="12" t="n"/>
      <c r="L914" s="13">
        <f>IF($K914="","",IFERROR(INDEX(Dept_Names,MATCH($K914,Dept_Codes,0)),"NOT FOUND"))</f>
        <v/>
      </c>
      <c r="M914" s="12" t="n"/>
      <c r="N914" s="13">
        <f>IF($M914="","",IFERROR(INDEX(Desig_Names,MATCH($M914,Desig_Codes,0)),"NOT FOUND"))</f>
        <v/>
      </c>
      <c r="O914" s="13">
        <f>IF($M914="","",IFERROR(INDEX(Desig_Levels,MATCH($M914,Desig_Codes,0)),""))</f>
        <v/>
      </c>
      <c r="P914" s="12" t="n"/>
      <c r="Q914" s="12" t="n"/>
      <c r="R914" s="12" t="n"/>
      <c r="S914" s="13">
        <f>IF($R914="","",IFERROR(INDEX(Emp_Names,MATCH($R914,Emp_Codes,0)),"NOT FOUND"))</f>
        <v/>
      </c>
      <c r="T914" s="12" t="n"/>
      <c r="U914" s="12" t="n"/>
      <c r="V914" s="12" t="n"/>
    </row>
    <row r="915">
      <c r="A915" s="12" t="n"/>
      <c r="B915" s="12" t="n"/>
      <c r="C915" s="12" t="n"/>
      <c r="D915" s="13">
        <f>IF($A915="","",TRIM($B915&amp;" "&amp;$C915))</f>
        <v/>
      </c>
      <c r="E915" s="12" t="n"/>
      <c r="F915" s="12" t="n"/>
      <c r="G915" s="14" t="n"/>
      <c r="H915" s="14" t="n"/>
      <c r="I915" s="12" t="n"/>
      <c r="J915" s="14" t="n"/>
      <c r="K915" s="12" t="n"/>
      <c r="L915" s="13">
        <f>IF($K915="","",IFERROR(INDEX(Dept_Names,MATCH($K915,Dept_Codes,0)),"NOT FOUND"))</f>
        <v/>
      </c>
      <c r="M915" s="12" t="n"/>
      <c r="N915" s="13">
        <f>IF($M915="","",IFERROR(INDEX(Desig_Names,MATCH($M915,Desig_Codes,0)),"NOT FOUND"))</f>
        <v/>
      </c>
      <c r="O915" s="13">
        <f>IF($M915="","",IFERROR(INDEX(Desig_Levels,MATCH($M915,Desig_Codes,0)),""))</f>
        <v/>
      </c>
      <c r="P915" s="12" t="n"/>
      <c r="Q915" s="12" t="n"/>
      <c r="R915" s="12" t="n"/>
      <c r="S915" s="13">
        <f>IF($R915="","",IFERROR(INDEX(Emp_Names,MATCH($R915,Emp_Codes,0)),"NOT FOUND"))</f>
        <v/>
      </c>
      <c r="T915" s="12" t="n"/>
      <c r="U915" s="12" t="n"/>
      <c r="V915" s="12" t="n"/>
    </row>
    <row r="916">
      <c r="A916" s="12" t="n"/>
      <c r="B916" s="12" t="n"/>
      <c r="C916" s="12" t="n"/>
      <c r="D916" s="13">
        <f>IF($A916="","",TRIM($B916&amp;" "&amp;$C916))</f>
        <v/>
      </c>
      <c r="E916" s="12" t="n"/>
      <c r="F916" s="12" t="n"/>
      <c r="G916" s="14" t="n"/>
      <c r="H916" s="14" t="n"/>
      <c r="I916" s="12" t="n"/>
      <c r="J916" s="14" t="n"/>
      <c r="K916" s="12" t="n"/>
      <c r="L916" s="13">
        <f>IF($K916="","",IFERROR(INDEX(Dept_Names,MATCH($K916,Dept_Codes,0)),"NOT FOUND"))</f>
        <v/>
      </c>
      <c r="M916" s="12" t="n"/>
      <c r="N916" s="13">
        <f>IF($M916="","",IFERROR(INDEX(Desig_Names,MATCH($M916,Desig_Codes,0)),"NOT FOUND"))</f>
        <v/>
      </c>
      <c r="O916" s="13">
        <f>IF($M916="","",IFERROR(INDEX(Desig_Levels,MATCH($M916,Desig_Codes,0)),""))</f>
        <v/>
      </c>
      <c r="P916" s="12" t="n"/>
      <c r="Q916" s="12" t="n"/>
      <c r="R916" s="12" t="n"/>
      <c r="S916" s="13">
        <f>IF($R916="","",IFERROR(INDEX(Emp_Names,MATCH($R916,Emp_Codes,0)),"NOT FOUND"))</f>
        <v/>
      </c>
      <c r="T916" s="12" t="n"/>
      <c r="U916" s="12" t="n"/>
      <c r="V916" s="12" t="n"/>
    </row>
    <row r="917">
      <c r="A917" s="12" t="n"/>
      <c r="B917" s="12" t="n"/>
      <c r="C917" s="12" t="n"/>
      <c r="D917" s="13">
        <f>IF($A917="","",TRIM($B917&amp;" "&amp;$C917))</f>
        <v/>
      </c>
      <c r="E917" s="12" t="n"/>
      <c r="F917" s="12" t="n"/>
      <c r="G917" s="14" t="n"/>
      <c r="H917" s="14" t="n"/>
      <c r="I917" s="12" t="n"/>
      <c r="J917" s="14" t="n"/>
      <c r="K917" s="12" t="n"/>
      <c r="L917" s="13">
        <f>IF($K917="","",IFERROR(INDEX(Dept_Names,MATCH($K917,Dept_Codes,0)),"NOT FOUND"))</f>
        <v/>
      </c>
      <c r="M917" s="12" t="n"/>
      <c r="N917" s="13">
        <f>IF($M917="","",IFERROR(INDEX(Desig_Names,MATCH($M917,Desig_Codes,0)),"NOT FOUND"))</f>
        <v/>
      </c>
      <c r="O917" s="13">
        <f>IF($M917="","",IFERROR(INDEX(Desig_Levels,MATCH($M917,Desig_Codes,0)),""))</f>
        <v/>
      </c>
      <c r="P917" s="12" t="n"/>
      <c r="Q917" s="12" t="n"/>
      <c r="R917" s="12" t="n"/>
      <c r="S917" s="13">
        <f>IF($R917="","",IFERROR(INDEX(Emp_Names,MATCH($R917,Emp_Codes,0)),"NOT FOUND"))</f>
        <v/>
      </c>
      <c r="T917" s="12" t="n"/>
      <c r="U917" s="12" t="n"/>
      <c r="V917" s="12" t="n"/>
    </row>
    <row r="918">
      <c r="A918" s="12" t="n"/>
      <c r="B918" s="12" t="n"/>
      <c r="C918" s="12" t="n"/>
      <c r="D918" s="13">
        <f>IF($A918="","",TRIM($B918&amp;" "&amp;$C918))</f>
        <v/>
      </c>
      <c r="E918" s="12" t="n"/>
      <c r="F918" s="12" t="n"/>
      <c r="G918" s="14" t="n"/>
      <c r="H918" s="14" t="n"/>
      <c r="I918" s="12" t="n"/>
      <c r="J918" s="14" t="n"/>
      <c r="K918" s="12" t="n"/>
      <c r="L918" s="13">
        <f>IF($K918="","",IFERROR(INDEX(Dept_Names,MATCH($K918,Dept_Codes,0)),"NOT FOUND"))</f>
        <v/>
      </c>
      <c r="M918" s="12" t="n"/>
      <c r="N918" s="13">
        <f>IF($M918="","",IFERROR(INDEX(Desig_Names,MATCH($M918,Desig_Codes,0)),"NOT FOUND"))</f>
        <v/>
      </c>
      <c r="O918" s="13">
        <f>IF($M918="","",IFERROR(INDEX(Desig_Levels,MATCH($M918,Desig_Codes,0)),""))</f>
        <v/>
      </c>
      <c r="P918" s="12" t="n"/>
      <c r="Q918" s="12" t="n"/>
      <c r="R918" s="12" t="n"/>
      <c r="S918" s="13">
        <f>IF($R918="","",IFERROR(INDEX(Emp_Names,MATCH($R918,Emp_Codes,0)),"NOT FOUND"))</f>
        <v/>
      </c>
      <c r="T918" s="12" t="n"/>
      <c r="U918" s="12" t="n"/>
      <c r="V918" s="12" t="n"/>
    </row>
    <row r="919">
      <c r="A919" s="12" t="n"/>
      <c r="B919" s="12" t="n"/>
      <c r="C919" s="12" t="n"/>
      <c r="D919" s="13">
        <f>IF($A919="","",TRIM($B919&amp;" "&amp;$C919))</f>
        <v/>
      </c>
      <c r="E919" s="12" t="n"/>
      <c r="F919" s="12" t="n"/>
      <c r="G919" s="14" t="n"/>
      <c r="H919" s="14" t="n"/>
      <c r="I919" s="12" t="n"/>
      <c r="J919" s="14" t="n"/>
      <c r="K919" s="12" t="n"/>
      <c r="L919" s="13">
        <f>IF($K919="","",IFERROR(INDEX(Dept_Names,MATCH($K919,Dept_Codes,0)),"NOT FOUND"))</f>
        <v/>
      </c>
      <c r="M919" s="12" t="n"/>
      <c r="N919" s="13">
        <f>IF($M919="","",IFERROR(INDEX(Desig_Names,MATCH($M919,Desig_Codes,0)),"NOT FOUND"))</f>
        <v/>
      </c>
      <c r="O919" s="13">
        <f>IF($M919="","",IFERROR(INDEX(Desig_Levels,MATCH($M919,Desig_Codes,0)),""))</f>
        <v/>
      </c>
      <c r="P919" s="12" t="n"/>
      <c r="Q919" s="12" t="n"/>
      <c r="R919" s="12" t="n"/>
      <c r="S919" s="13">
        <f>IF($R919="","",IFERROR(INDEX(Emp_Names,MATCH($R919,Emp_Codes,0)),"NOT FOUND"))</f>
        <v/>
      </c>
      <c r="T919" s="12" t="n"/>
      <c r="U919" s="12" t="n"/>
      <c r="V919" s="12" t="n"/>
    </row>
    <row r="920">
      <c r="A920" s="12" t="n"/>
      <c r="B920" s="12" t="n"/>
      <c r="C920" s="12" t="n"/>
      <c r="D920" s="13">
        <f>IF($A920="","",TRIM($B920&amp;" "&amp;$C920))</f>
        <v/>
      </c>
      <c r="E920" s="12" t="n"/>
      <c r="F920" s="12" t="n"/>
      <c r="G920" s="14" t="n"/>
      <c r="H920" s="14" t="n"/>
      <c r="I920" s="12" t="n"/>
      <c r="J920" s="14" t="n"/>
      <c r="K920" s="12" t="n"/>
      <c r="L920" s="13">
        <f>IF($K920="","",IFERROR(INDEX(Dept_Names,MATCH($K920,Dept_Codes,0)),"NOT FOUND"))</f>
        <v/>
      </c>
      <c r="M920" s="12" t="n"/>
      <c r="N920" s="13">
        <f>IF($M920="","",IFERROR(INDEX(Desig_Names,MATCH($M920,Desig_Codes,0)),"NOT FOUND"))</f>
        <v/>
      </c>
      <c r="O920" s="13">
        <f>IF($M920="","",IFERROR(INDEX(Desig_Levels,MATCH($M920,Desig_Codes,0)),""))</f>
        <v/>
      </c>
      <c r="P920" s="12" t="n"/>
      <c r="Q920" s="12" t="n"/>
      <c r="R920" s="12" t="n"/>
      <c r="S920" s="13">
        <f>IF($R920="","",IFERROR(INDEX(Emp_Names,MATCH($R920,Emp_Codes,0)),"NOT FOUND"))</f>
        <v/>
      </c>
      <c r="T920" s="12" t="n"/>
      <c r="U920" s="12" t="n"/>
      <c r="V920" s="12" t="n"/>
    </row>
    <row r="921">
      <c r="A921" s="12" t="n"/>
      <c r="B921" s="12" t="n"/>
      <c r="C921" s="12" t="n"/>
      <c r="D921" s="13">
        <f>IF($A921="","",TRIM($B921&amp;" "&amp;$C921))</f>
        <v/>
      </c>
      <c r="E921" s="12" t="n"/>
      <c r="F921" s="12" t="n"/>
      <c r="G921" s="14" t="n"/>
      <c r="H921" s="14" t="n"/>
      <c r="I921" s="12" t="n"/>
      <c r="J921" s="14" t="n"/>
      <c r="K921" s="12" t="n"/>
      <c r="L921" s="13">
        <f>IF($K921="","",IFERROR(INDEX(Dept_Names,MATCH($K921,Dept_Codes,0)),"NOT FOUND"))</f>
        <v/>
      </c>
      <c r="M921" s="12" t="n"/>
      <c r="N921" s="13">
        <f>IF($M921="","",IFERROR(INDEX(Desig_Names,MATCH($M921,Desig_Codes,0)),"NOT FOUND"))</f>
        <v/>
      </c>
      <c r="O921" s="13">
        <f>IF($M921="","",IFERROR(INDEX(Desig_Levels,MATCH($M921,Desig_Codes,0)),""))</f>
        <v/>
      </c>
      <c r="P921" s="12" t="n"/>
      <c r="Q921" s="12" t="n"/>
      <c r="R921" s="12" t="n"/>
      <c r="S921" s="13">
        <f>IF($R921="","",IFERROR(INDEX(Emp_Names,MATCH($R921,Emp_Codes,0)),"NOT FOUND"))</f>
        <v/>
      </c>
      <c r="T921" s="12" t="n"/>
      <c r="U921" s="12" t="n"/>
      <c r="V921" s="12" t="n"/>
    </row>
    <row r="922">
      <c r="A922" s="12" t="n"/>
      <c r="B922" s="12" t="n"/>
      <c r="C922" s="12" t="n"/>
      <c r="D922" s="13">
        <f>IF($A922="","",TRIM($B922&amp;" "&amp;$C922))</f>
        <v/>
      </c>
      <c r="E922" s="12" t="n"/>
      <c r="F922" s="12" t="n"/>
      <c r="G922" s="14" t="n"/>
      <c r="H922" s="14" t="n"/>
      <c r="I922" s="12" t="n"/>
      <c r="J922" s="14" t="n"/>
      <c r="K922" s="12" t="n"/>
      <c r="L922" s="13">
        <f>IF($K922="","",IFERROR(INDEX(Dept_Names,MATCH($K922,Dept_Codes,0)),"NOT FOUND"))</f>
        <v/>
      </c>
      <c r="M922" s="12" t="n"/>
      <c r="N922" s="13">
        <f>IF($M922="","",IFERROR(INDEX(Desig_Names,MATCH($M922,Desig_Codes,0)),"NOT FOUND"))</f>
        <v/>
      </c>
      <c r="O922" s="13">
        <f>IF($M922="","",IFERROR(INDEX(Desig_Levels,MATCH($M922,Desig_Codes,0)),""))</f>
        <v/>
      </c>
      <c r="P922" s="12" t="n"/>
      <c r="Q922" s="12" t="n"/>
      <c r="R922" s="12" t="n"/>
      <c r="S922" s="13">
        <f>IF($R922="","",IFERROR(INDEX(Emp_Names,MATCH($R922,Emp_Codes,0)),"NOT FOUND"))</f>
        <v/>
      </c>
      <c r="T922" s="12" t="n"/>
      <c r="U922" s="12" t="n"/>
      <c r="V922" s="12" t="n"/>
    </row>
    <row r="923">
      <c r="A923" s="12" t="n"/>
      <c r="B923" s="12" t="n"/>
      <c r="C923" s="12" t="n"/>
      <c r="D923" s="13">
        <f>IF($A923="","",TRIM($B923&amp;" "&amp;$C923))</f>
        <v/>
      </c>
      <c r="E923" s="12" t="n"/>
      <c r="F923" s="12" t="n"/>
      <c r="G923" s="14" t="n"/>
      <c r="H923" s="14" t="n"/>
      <c r="I923" s="12" t="n"/>
      <c r="J923" s="14" t="n"/>
      <c r="K923" s="12" t="n"/>
      <c r="L923" s="13">
        <f>IF($K923="","",IFERROR(INDEX(Dept_Names,MATCH($K923,Dept_Codes,0)),"NOT FOUND"))</f>
        <v/>
      </c>
      <c r="M923" s="12" t="n"/>
      <c r="N923" s="13">
        <f>IF($M923="","",IFERROR(INDEX(Desig_Names,MATCH($M923,Desig_Codes,0)),"NOT FOUND"))</f>
        <v/>
      </c>
      <c r="O923" s="13">
        <f>IF($M923="","",IFERROR(INDEX(Desig_Levels,MATCH($M923,Desig_Codes,0)),""))</f>
        <v/>
      </c>
      <c r="P923" s="12" t="n"/>
      <c r="Q923" s="12" t="n"/>
      <c r="R923" s="12" t="n"/>
      <c r="S923" s="13">
        <f>IF($R923="","",IFERROR(INDEX(Emp_Names,MATCH($R923,Emp_Codes,0)),"NOT FOUND"))</f>
        <v/>
      </c>
      <c r="T923" s="12" t="n"/>
      <c r="U923" s="12" t="n"/>
      <c r="V923" s="12" t="n"/>
    </row>
    <row r="924">
      <c r="A924" s="12" t="n"/>
      <c r="B924" s="12" t="n"/>
      <c r="C924" s="12" t="n"/>
      <c r="D924" s="13">
        <f>IF($A924="","",TRIM($B924&amp;" "&amp;$C924))</f>
        <v/>
      </c>
      <c r="E924" s="12" t="n"/>
      <c r="F924" s="12" t="n"/>
      <c r="G924" s="14" t="n"/>
      <c r="H924" s="14" t="n"/>
      <c r="I924" s="12" t="n"/>
      <c r="J924" s="14" t="n"/>
      <c r="K924" s="12" t="n"/>
      <c r="L924" s="13">
        <f>IF($K924="","",IFERROR(INDEX(Dept_Names,MATCH($K924,Dept_Codes,0)),"NOT FOUND"))</f>
        <v/>
      </c>
      <c r="M924" s="12" t="n"/>
      <c r="N924" s="13">
        <f>IF($M924="","",IFERROR(INDEX(Desig_Names,MATCH($M924,Desig_Codes,0)),"NOT FOUND"))</f>
        <v/>
      </c>
      <c r="O924" s="13">
        <f>IF($M924="","",IFERROR(INDEX(Desig_Levels,MATCH($M924,Desig_Codes,0)),""))</f>
        <v/>
      </c>
      <c r="P924" s="12" t="n"/>
      <c r="Q924" s="12" t="n"/>
      <c r="R924" s="12" t="n"/>
      <c r="S924" s="13">
        <f>IF($R924="","",IFERROR(INDEX(Emp_Names,MATCH($R924,Emp_Codes,0)),"NOT FOUND"))</f>
        <v/>
      </c>
      <c r="T924" s="12" t="n"/>
      <c r="U924" s="12" t="n"/>
      <c r="V924" s="12" t="n"/>
    </row>
    <row r="925">
      <c r="A925" s="12" t="n"/>
      <c r="B925" s="12" t="n"/>
      <c r="C925" s="12" t="n"/>
      <c r="D925" s="13">
        <f>IF($A925="","",TRIM($B925&amp;" "&amp;$C925))</f>
        <v/>
      </c>
      <c r="E925" s="12" t="n"/>
      <c r="F925" s="12" t="n"/>
      <c r="G925" s="14" t="n"/>
      <c r="H925" s="14" t="n"/>
      <c r="I925" s="12" t="n"/>
      <c r="J925" s="14" t="n"/>
      <c r="K925" s="12" t="n"/>
      <c r="L925" s="13">
        <f>IF($K925="","",IFERROR(INDEX(Dept_Names,MATCH($K925,Dept_Codes,0)),"NOT FOUND"))</f>
        <v/>
      </c>
      <c r="M925" s="12" t="n"/>
      <c r="N925" s="13">
        <f>IF($M925="","",IFERROR(INDEX(Desig_Names,MATCH($M925,Desig_Codes,0)),"NOT FOUND"))</f>
        <v/>
      </c>
      <c r="O925" s="13">
        <f>IF($M925="","",IFERROR(INDEX(Desig_Levels,MATCH($M925,Desig_Codes,0)),""))</f>
        <v/>
      </c>
      <c r="P925" s="12" t="n"/>
      <c r="Q925" s="12" t="n"/>
      <c r="R925" s="12" t="n"/>
      <c r="S925" s="13">
        <f>IF($R925="","",IFERROR(INDEX(Emp_Names,MATCH($R925,Emp_Codes,0)),"NOT FOUND"))</f>
        <v/>
      </c>
      <c r="T925" s="12" t="n"/>
      <c r="U925" s="12" t="n"/>
      <c r="V925" s="12" t="n"/>
    </row>
    <row r="926">
      <c r="A926" s="12" t="n"/>
      <c r="B926" s="12" t="n"/>
      <c r="C926" s="12" t="n"/>
      <c r="D926" s="13">
        <f>IF($A926="","",TRIM($B926&amp;" "&amp;$C926))</f>
        <v/>
      </c>
      <c r="E926" s="12" t="n"/>
      <c r="F926" s="12" t="n"/>
      <c r="G926" s="14" t="n"/>
      <c r="H926" s="14" t="n"/>
      <c r="I926" s="12" t="n"/>
      <c r="J926" s="14" t="n"/>
      <c r="K926" s="12" t="n"/>
      <c r="L926" s="13">
        <f>IF($K926="","",IFERROR(INDEX(Dept_Names,MATCH($K926,Dept_Codes,0)),"NOT FOUND"))</f>
        <v/>
      </c>
      <c r="M926" s="12" t="n"/>
      <c r="N926" s="13">
        <f>IF($M926="","",IFERROR(INDEX(Desig_Names,MATCH($M926,Desig_Codes,0)),"NOT FOUND"))</f>
        <v/>
      </c>
      <c r="O926" s="13">
        <f>IF($M926="","",IFERROR(INDEX(Desig_Levels,MATCH($M926,Desig_Codes,0)),""))</f>
        <v/>
      </c>
      <c r="P926" s="12" t="n"/>
      <c r="Q926" s="12" t="n"/>
      <c r="R926" s="12" t="n"/>
      <c r="S926" s="13">
        <f>IF($R926="","",IFERROR(INDEX(Emp_Names,MATCH($R926,Emp_Codes,0)),"NOT FOUND"))</f>
        <v/>
      </c>
      <c r="T926" s="12" t="n"/>
      <c r="U926" s="12" t="n"/>
      <c r="V926" s="12" t="n"/>
    </row>
    <row r="927">
      <c r="A927" s="12" t="n"/>
      <c r="B927" s="12" t="n"/>
      <c r="C927" s="12" t="n"/>
      <c r="D927" s="13">
        <f>IF($A927="","",TRIM($B927&amp;" "&amp;$C927))</f>
        <v/>
      </c>
      <c r="E927" s="12" t="n"/>
      <c r="F927" s="12" t="n"/>
      <c r="G927" s="14" t="n"/>
      <c r="H927" s="14" t="n"/>
      <c r="I927" s="12" t="n"/>
      <c r="J927" s="14" t="n"/>
      <c r="K927" s="12" t="n"/>
      <c r="L927" s="13">
        <f>IF($K927="","",IFERROR(INDEX(Dept_Names,MATCH($K927,Dept_Codes,0)),"NOT FOUND"))</f>
        <v/>
      </c>
      <c r="M927" s="12" t="n"/>
      <c r="N927" s="13">
        <f>IF($M927="","",IFERROR(INDEX(Desig_Names,MATCH($M927,Desig_Codes,0)),"NOT FOUND"))</f>
        <v/>
      </c>
      <c r="O927" s="13">
        <f>IF($M927="","",IFERROR(INDEX(Desig_Levels,MATCH($M927,Desig_Codes,0)),""))</f>
        <v/>
      </c>
      <c r="P927" s="12" t="n"/>
      <c r="Q927" s="12" t="n"/>
      <c r="R927" s="12" t="n"/>
      <c r="S927" s="13">
        <f>IF($R927="","",IFERROR(INDEX(Emp_Names,MATCH($R927,Emp_Codes,0)),"NOT FOUND"))</f>
        <v/>
      </c>
      <c r="T927" s="12" t="n"/>
      <c r="U927" s="12" t="n"/>
      <c r="V927" s="12" t="n"/>
    </row>
    <row r="928">
      <c r="A928" s="12" t="n"/>
      <c r="B928" s="12" t="n"/>
      <c r="C928" s="12" t="n"/>
      <c r="D928" s="13">
        <f>IF($A928="","",TRIM($B928&amp;" "&amp;$C928))</f>
        <v/>
      </c>
      <c r="E928" s="12" t="n"/>
      <c r="F928" s="12" t="n"/>
      <c r="G928" s="14" t="n"/>
      <c r="H928" s="14" t="n"/>
      <c r="I928" s="12" t="n"/>
      <c r="J928" s="14" t="n"/>
      <c r="K928" s="12" t="n"/>
      <c r="L928" s="13">
        <f>IF($K928="","",IFERROR(INDEX(Dept_Names,MATCH($K928,Dept_Codes,0)),"NOT FOUND"))</f>
        <v/>
      </c>
      <c r="M928" s="12" t="n"/>
      <c r="N928" s="13">
        <f>IF($M928="","",IFERROR(INDEX(Desig_Names,MATCH($M928,Desig_Codes,0)),"NOT FOUND"))</f>
        <v/>
      </c>
      <c r="O928" s="13">
        <f>IF($M928="","",IFERROR(INDEX(Desig_Levels,MATCH($M928,Desig_Codes,0)),""))</f>
        <v/>
      </c>
      <c r="P928" s="12" t="n"/>
      <c r="Q928" s="12" t="n"/>
      <c r="R928" s="12" t="n"/>
      <c r="S928" s="13">
        <f>IF($R928="","",IFERROR(INDEX(Emp_Names,MATCH($R928,Emp_Codes,0)),"NOT FOUND"))</f>
        <v/>
      </c>
      <c r="T928" s="12" t="n"/>
      <c r="U928" s="12" t="n"/>
      <c r="V928" s="12" t="n"/>
    </row>
    <row r="929">
      <c r="A929" s="12" t="n"/>
      <c r="B929" s="12" t="n"/>
      <c r="C929" s="12" t="n"/>
      <c r="D929" s="13">
        <f>IF($A929="","",TRIM($B929&amp;" "&amp;$C929))</f>
        <v/>
      </c>
      <c r="E929" s="12" t="n"/>
      <c r="F929" s="12" t="n"/>
      <c r="G929" s="14" t="n"/>
      <c r="H929" s="14" t="n"/>
      <c r="I929" s="12" t="n"/>
      <c r="J929" s="14" t="n"/>
      <c r="K929" s="12" t="n"/>
      <c r="L929" s="13">
        <f>IF($K929="","",IFERROR(INDEX(Dept_Names,MATCH($K929,Dept_Codes,0)),"NOT FOUND"))</f>
        <v/>
      </c>
      <c r="M929" s="12" t="n"/>
      <c r="N929" s="13">
        <f>IF($M929="","",IFERROR(INDEX(Desig_Names,MATCH($M929,Desig_Codes,0)),"NOT FOUND"))</f>
        <v/>
      </c>
      <c r="O929" s="13">
        <f>IF($M929="","",IFERROR(INDEX(Desig_Levels,MATCH($M929,Desig_Codes,0)),""))</f>
        <v/>
      </c>
      <c r="P929" s="12" t="n"/>
      <c r="Q929" s="12" t="n"/>
      <c r="R929" s="12" t="n"/>
      <c r="S929" s="13">
        <f>IF($R929="","",IFERROR(INDEX(Emp_Names,MATCH($R929,Emp_Codes,0)),"NOT FOUND"))</f>
        <v/>
      </c>
      <c r="T929" s="12" t="n"/>
      <c r="U929" s="12" t="n"/>
      <c r="V929" s="12" t="n"/>
    </row>
    <row r="930">
      <c r="A930" s="12" t="n"/>
      <c r="B930" s="12" t="n"/>
      <c r="C930" s="12" t="n"/>
      <c r="D930" s="13">
        <f>IF($A930="","",TRIM($B930&amp;" "&amp;$C930))</f>
        <v/>
      </c>
      <c r="E930" s="12" t="n"/>
      <c r="F930" s="12" t="n"/>
      <c r="G930" s="14" t="n"/>
      <c r="H930" s="14" t="n"/>
      <c r="I930" s="12" t="n"/>
      <c r="J930" s="14" t="n"/>
      <c r="K930" s="12" t="n"/>
      <c r="L930" s="13">
        <f>IF($K930="","",IFERROR(INDEX(Dept_Names,MATCH($K930,Dept_Codes,0)),"NOT FOUND"))</f>
        <v/>
      </c>
      <c r="M930" s="12" t="n"/>
      <c r="N930" s="13">
        <f>IF($M930="","",IFERROR(INDEX(Desig_Names,MATCH($M930,Desig_Codes,0)),"NOT FOUND"))</f>
        <v/>
      </c>
      <c r="O930" s="13">
        <f>IF($M930="","",IFERROR(INDEX(Desig_Levels,MATCH($M930,Desig_Codes,0)),""))</f>
        <v/>
      </c>
      <c r="P930" s="12" t="n"/>
      <c r="Q930" s="12" t="n"/>
      <c r="R930" s="12" t="n"/>
      <c r="S930" s="13">
        <f>IF($R930="","",IFERROR(INDEX(Emp_Names,MATCH($R930,Emp_Codes,0)),"NOT FOUND"))</f>
        <v/>
      </c>
      <c r="T930" s="12" t="n"/>
      <c r="U930" s="12" t="n"/>
      <c r="V930" s="12" t="n"/>
    </row>
    <row r="931">
      <c r="A931" s="12" t="n"/>
      <c r="B931" s="12" t="n"/>
      <c r="C931" s="12" t="n"/>
      <c r="D931" s="13">
        <f>IF($A931="","",TRIM($B931&amp;" "&amp;$C931))</f>
        <v/>
      </c>
      <c r="E931" s="12" t="n"/>
      <c r="F931" s="12" t="n"/>
      <c r="G931" s="14" t="n"/>
      <c r="H931" s="14" t="n"/>
      <c r="I931" s="12" t="n"/>
      <c r="J931" s="14" t="n"/>
      <c r="K931" s="12" t="n"/>
      <c r="L931" s="13">
        <f>IF($K931="","",IFERROR(INDEX(Dept_Names,MATCH($K931,Dept_Codes,0)),"NOT FOUND"))</f>
        <v/>
      </c>
      <c r="M931" s="12" t="n"/>
      <c r="N931" s="13">
        <f>IF($M931="","",IFERROR(INDEX(Desig_Names,MATCH($M931,Desig_Codes,0)),"NOT FOUND"))</f>
        <v/>
      </c>
      <c r="O931" s="13">
        <f>IF($M931="","",IFERROR(INDEX(Desig_Levels,MATCH($M931,Desig_Codes,0)),""))</f>
        <v/>
      </c>
      <c r="P931" s="12" t="n"/>
      <c r="Q931" s="12" t="n"/>
      <c r="R931" s="12" t="n"/>
      <c r="S931" s="13">
        <f>IF($R931="","",IFERROR(INDEX(Emp_Names,MATCH($R931,Emp_Codes,0)),"NOT FOUND"))</f>
        <v/>
      </c>
      <c r="T931" s="12" t="n"/>
      <c r="U931" s="12" t="n"/>
      <c r="V931" s="12" t="n"/>
    </row>
    <row r="932">
      <c r="A932" s="12" t="n"/>
      <c r="B932" s="12" t="n"/>
      <c r="C932" s="12" t="n"/>
      <c r="D932" s="13">
        <f>IF($A932="","",TRIM($B932&amp;" "&amp;$C932))</f>
        <v/>
      </c>
      <c r="E932" s="12" t="n"/>
      <c r="F932" s="12" t="n"/>
      <c r="G932" s="14" t="n"/>
      <c r="H932" s="14" t="n"/>
      <c r="I932" s="12" t="n"/>
      <c r="J932" s="14" t="n"/>
      <c r="K932" s="12" t="n"/>
      <c r="L932" s="13">
        <f>IF($K932="","",IFERROR(INDEX(Dept_Names,MATCH($K932,Dept_Codes,0)),"NOT FOUND"))</f>
        <v/>
      </c>
      <c r="M932" s="12" t="n"/>
      <c r="N932" s="13">
        <f>IF($M932="","",IFERROR(INDEX(Desig_Names,MATCH($M932,Desig_Codes,0)),"NOT FOUND"))</f>
        <v/>
      </c>
      <c r="O932" s="13">
        <f>IF($M932="","",IFERROR(INDEX(Desig_Levels,MATCH($M932,Desig_Codes,0)),""))</f>
        <v/>
      </c>
      <c r="P932" s="12" t="n"/>
      <c r="Q932" s="12" t="n"/>
      <c r="R932" s="12" t="n"/>
      <c r="S932" s="13">
        <f>IF($R932="","",IFERROR(INDEX(Emp_Names,MATCH($R932,Emp_Codes,0)),"NOT FOUND"))</f>
        <v/>
      </c>
      <c r="T932" s="12" t="n"/>
      <c r="U932" s="12" t="n"/>
      <c r="V932" s="12" t="n"/>
    </row>
    <row r="933">
      <c r="A933" s="12" t="n"/>
      <c r="B933" s="12" t="n"/>
      <c r="C933" s="12" t="n"/>
      <c r="D933" s="13">
        <f>IF($A933="","",TRIM($B933&amp;" "&amp;$C933))</f>
        <v/>
      </c>
      <c r="E933" s="12" t="n"/>
      <c r="F933" s="12" t="n"/>
      <c r="G933" s="14" t="n"/>
      <c r="H933" s="14" t="n"/>
      <c r="I933" s="12" t="n"/>
      <c r="J933" s="14" t="n"/>
      <c r="K933" s="12" t="n"/>
      <c r="L933" s="13">
        <f>IF($K933="","",IFERROR(INDEX(Dept_Names,MATCH($K933,Dept_Codes,0)),"NOT FOUND"))</f>
        <v/>
      </c>
      <c r="M933" s="12" t="n"/>
      <c r="N933" s="13">
        <f>IF($M933="","",IFERROR(INDEX(Desig_Names,MATCH($M933,Desig_Codes,0)),"NOT FOUND"))</f>
        <v/>
      </c>
      <c r="O933" s="13">
        <f>IF($M933="","",IFERROR(INDEX(Desig_Levels,MATCH($M933,Desig_Codes,0)),""))</f>
        <v/>
      </c>
      <c r="P933" s="12" t="n"/>
      <c r="Q933" s="12" t="n"/>
      <c r="R933" s="12" t="n"/>
      <c r="S933" s="13">
        <f>IF($R933="","",IFERROR(INDEX(Emp_Names,MATCH($R933,Emp_Codes,0)),"NOT FOUND"))</f>
        <v/>
      </c>
      <c r="T933" s="12" t="n"/>
      <c r="U933" s="12" t="n"/>
      <c r="V933" s="12" t="n"/>
    </row>
    <row r="934">
      <c r="A934" s="12" t="n"/>
      <c r="B934" s="12" t="n"/>
      <c r="C934" s="12" t="n"/>
      <c r="D934" s="13">
        <f>IF($A934="","",TRIM($B934&amp;" "&amp;$C934))</f>
        <v/>
      </c>
      <c r="E934" s="12" t="n"/>
      <c r="F934" s="12" t="n"/>
      <c r="G934" s="14" t="n"/>
      <c r="H934" s="14" t="n"/>
      <c r="I934" s="12" t="n"/>
      <c r="J934" s="14" t="n"/>
      <c r="K934" s="12" t="n"/>
      <c r="L934" s="13">
        <f>IF($K934="","",IFERROR(INDEX(Dept_Names,MATCH($K934,Dept_Codes,0)),"NOT FOUND"))</f>
        <v/>
      </c>
      <c r="M934" s="12" t="n"/>
      <c r="N934" s="13">
        <f>IF($M934="","",IFERROR(INDEX(Desig_Names,MATCH($M934,Desig_Codes,0)),"NOT FOUND"))</f>
        <v/>
      </c>
      <c r="O934" s="13">
        <f>IF($M934="","",IFERROR(INDEX(Desig_Levels,MATCH($M934,Desig_Codes,0)),""))</f>
        <v/>
      </c>
      <c r="P934" s="12" t="n"/>
      <c r="Q934" s="12" t="n"/>
      <c r="R934" s="12" t="n"/>
      <c r="S934" s="13">
        <f>IF($R934="","",IFERROR(INDEX(Emp_Names,MATCH($R934,Emp_Codes,0)),"NOT FOUND"))</f>
        <v/>
      </c>
      <c r="T934" s="12" t="n"/>
      <c r="U934" s="12" t="n"/>
      <c r="V934" s="12" t="n"/>
    </row>
    <row r="935">
      <c r="A935" s="12" t="n"/>
      <c r="B935" s="12" t="n"/>
      <c r="C935" s="12" t="n"/>
      <c r="D935" s="13">
        <f>IF($A935="","",TRIM($B935&amp;" "&amp;$C935))</f>
        <v/>
      </c>
      <c r="E935" s="12" t="n"/>
      <c r="F935" s="12" t="n"/>
      <c r="G935" s="14" t="n"/>
      <c r="H935" s="14" t="n"/>
      <c r="I935" s="12" t="n"/>
      <c r="J935" s="14" t="n"/>
      <c r="K935" s="12" t="n"/>
      <c r="L935" s="13">
        <f>IF($K935="","",IFERROR(INDEX(Dept_Names,MATCH($K935,Dept_Codes,0)),"NOT FOUND"))</f>
        <v/>
      </c>
      <c r="M935" s="12" t="n"/>
      <c r="N935" s="13">
        <f>IF($M935="","",IFERROR(INDEX(Desig_Names,MATCH($M935,Desig_Codes,0)),"NOT FOUND"))</f>
        <v/>
      </c>
      <c r="O935" s="13">
        <f>IF($M935="","",IFERROR(INDEX(Desig_Levels,MATCH($M935,Desig_Codes,0)),""))</f>
        <v/>
      </c>
      <c r="P935" s="12" t="n"/>
      <c r="Q935" s="12" t="n"/>
      <c r="R935" s="12" t="n"/>
      <c r="S935" s="13">
        <f>IF($R935="","",IFERROR(INDEX(Emp_Names,MATCH($R935,Emp_Codes,0)),"NOT FOUND"))</f>
        <v/>
      </c>
      <c r="T935" s="12" t="n"/>
      <c r="U935" s="12" t="n"/>
      <c r="V935" s="12" t="n"/>
    </row>
    <row r="936">
      <c r="A936" s="12" t="n"/>
      <c r="B936" s="12" t="n"/>
      <c r="C936" s="12" t="n"/>
      <c r="D936" s="13">
        <f>IF($A936="","",TRIM($B936&amp;" "&amp;$C936))</f>
        <v/>
      </c>
      <c r="E936" s="12" t="n"/>
      <c r="F936" s="12" t="n"/>
      <c r="G936" s="14" t="n"/>
      <c r="H936" s="14" t="n"/>
      <c r="I936" s="12" t="n"/>
      <c r="J936" s="14" t="n"/>
      <c r="K936" s="12" t="n"/>
      <c r="L936" s="13">
        <f>IF($K936="","",IFERROR(INDEX(Dept_Names,MATCH($K936,Dept_Codes,0)),"NOT FOUND"))</f>
        <v/>
      </c>
      <c r="M936" s="12" t="n"/>
      <c r="N936" s="13">
        <f>IF($M936="","",IFERROR(INDEX(Desig_Names,MATCH($M936,Desig_Codes,0)),"NOT FOUND"))</f>
        <v/>
      </c>
      <c r="O936" s="13">
        <f>IF($M936="","",IFERROR(INDEX(Desig_Levels,MATCH($M936,Desig_Codes,0)),""))</f>
        <v/>
      </c>
      <c r="P936" s="12" t="n"/>
      <c r="Q936" s="12" t="n"/>
      <c r="R936" s="12" t="n"/>
      <c r="S936" s="13">
        <f>IF($R936="","",IFERROR(INDEX(Emp_Names,MATCH($R936,Emp_Codes,0)),"NOT FOUND"))</f>
        <v/>
      </c>
      <c r="T936" s="12" t="n"/>
      <c r="U936" s="12" t="n"/>
      <c r="V936" s="12" t="n"/>
    </row>
    <row r="937">
      <c r="A937" s="12" t="n"/>
      <c r="B937" s="12" t="n"/>
      <c r="C937" s="12" t="n"/>
      <c r="D937" s="13">
        <f>IF($A937="","",TRIM($B937&amp;" "&amp;$C937))</f>
        <v/>
      </c>
      <c r="E937" s="12" t="n"/>
      <c r="F937" s="12" t="n"/>
      <c r="G937" s="14" t="n"/>
      <c r="H937" s="14" t="n"/>
      <c r="I937" s="12" t="n"/>
      <c r="J937" s="14" t="n"/>
      <c r="K937" s="12" t="n"/>
      <c r="L937" s="13">
        <f>IF($K937="","",IFERROR(INDEX(Dept_Names,MATCH($K937,Dept_Codes,0)),"NOT FOUND"))</f>
        <v/>
      </c>
      <c r="M937" s="12" t="n"/>
      <c r="N937" s="13">
        <f>IF($M937="","",IFERROR(INDEX(Desig_Names,MATCH($M937,Desig_Codes,0)),"NOT FOUND"))</f>
        <v/>
      </c>
      <c r="O937" s="13">
        <f>IF($M937="","",IFERROR(INDEX(Desig_Levels,MATCH($M937,Desig_Codes,0)),""))</f>
        <v/>
      </c>
      <c r="P937" s="12" t="n"/>
      <c r="Q937" s="12" t="n"/>
      <c r="R937" s="12" t="n"/>
      <c r="S937" s="13">
        <f>IF($R937="","",IFERROR(INDEX(Emp_Names,MATCH($R937,Emp_Codes,0)),"NOT FOUND"))</f>
        <v/>
      </c>
      <c r="T937" s="12" t="n"/>
      <c r="U937" s="12" t="n"/>
      <c r="V937" s="12" t="n"/>
    </row>
    <row r="938">
      <c r="A938" s="12" t="n"/>
      <c r="B938" s="12" t="n"/>
      <c r="C938" s="12" t="n"/>
      <c r="D938" s="13">
        <f>IF($A938="","",TRIM($B938&amp;" "&amp;$C938))</f>
        <v/>
      </c>
      <c r="E938" s="12" t="n"/>
      <c r="F938" s="12" t="n"/>
      <c r="G938" s="14" t="n"/>
      <c r="H938" s="14" t="n"/>
      <c r="I938" s="12" t="n"/>
      <c r="J938" s="14" t="n"/>
      <c r="K938" s="12" t="n"/>
      <c r="L938" s="13">
        <f>IF($K938="","",IFERROR(INDEX(Dept_Names,MATCH($K938,Dept_Codes,0)),"NOT FOUND"))</f>
        <v/>
      </c>
      <c r="M938" s="12" t="n"/>
      <c r="N938" s="13">
        <f>IF($M938="","",IFERROR(INDEX(Desig_Names,MATCH($M938,Desig_Codes,0)),"NOT FOUND"))</f>
        <v/>
      </c>
      <c r="O938" s="13">
        <f>IF($M938="","",IFERROR(INDEX(Desig_Levels,MATCH($M938,Desig_Codes,0)),""))</f>
        <v/>
      </c>
      <c r="P938" s="12" t="n"/>
      <c r="Q938" s="12" t="n"/>
      <c r="R938" s="12" t="n"/>
      <c r="S938" s="13">
        <f>IF($R938="","",IFERROR(INDEX(Emp_Names,MATCH($R938,Emp_Codes,0)),"NOT FOUND"))</f>
        <v/>
      </c>
      <c r="T938" s="12" t="n"/>
      <c r="U938" s="12" t="n"/>
      <c r="V938" s="12" t="n"/>
    </row>
    <row r="939">
      <c r="A939" s="12" t="n"/>
      <c r="B939" s="12" t="n"/>
      <c r="C939" s="12" t="n"/>
      <c r="D939" s="13">
        <f>IF($A939="","",TRIM($B939&amp;" "&amp;$C939))</f>
        <v/>
      </c>
      <c r="E939" s="12" t="n"/>
      <c r="F939" s="12" t="n"/>
      <c r="G939" s="14" t="n"/>
      <c r="H939" s="14" t="n"/>
      <c r="I939" s="12" t="n"/>
      <c r="J939" s="14" t="n"/>
      <c r="K939" s="12" t="n"/>
      <c r="L939" s="13">
        <f>IF($K939="","",IFERROR(INDEX(Dept_Names,MATCH($K939,Dept_Codes,0)),"NOT FOUND"))</f>
        <v/>
      </c>
      <c r="M939" s="12" t="n"/>
      <c r="N939" s="13">
        <f>IF($M939="","",IFERROR(INDEX(Desig_Names,MATCH($M939,Desig_Codes,0)),"NOT FOUND"))</f>
        <v/>
      </c>
      <c r="O939" s="13">
        <f>IF($M939="","",IFERROR(INDEX(Desig_Levels,MATCH($M939,Desig_Codes,0)),""))</f>
        <v/>
      </c>
      <c r="P939" s="12" t="n"/>
      <c r="Q939" s="12" t="n"/>
      <c r="R939" s="12" t="n"/>
      <c r="S939" s="13">
        <f>IF($R939="","",IFERROR(INDEX(Emp_Names,MATCH($R939,Emp_Codes,0)),"NOT FOUND"))</f>
        <v/>
      </c>
      <c r="T939" s="12" t="n"/>
      <c r="U939" s="12" t="n"/>
      <c r="V939" s="12" t="n"/>
    </row>
    <row r="940">
      <c r="A940" s="12" t="n"/>
      <c r="B940" s="12" t="n"/>
      <c r="C940" s="12" t="n"/>
      <c r="D940" s="13">
        <f>IF($A940="","",TRIM($B940&amp;" "&amp;$C940))</f>
        <v/>
      </c>
      <c r="E940" s="12" t="n"/>
      <c r="F940" s="12" t="n"/>
      <c r="G940" s="14" t="n"/>
      <c r="H940" s="14" t="n"/>
      <c r="I940" s="12" t="n"/>
      <c r="J940" s="14" t="n"/>
      <c r="K940" s="12" t="n"/>
      <c r="L940" s="13">
        <f>IF($K940="","",IFERROR(INDEX(Dept_Names,MATCH($K940,Dept_Codes,0)),"NOT FOUND"))</f>
        <v/>
      </c>
      <c r="M940" s="12" t="n"/>
      <c r="N940" s="13">
        <f>IF($M940="","",IFERROR(INDEX(Desig_Names,MATCH($M940,Desig_Codes,0)),"NOT FOUND"))</f>
        <v/>
      </c>
      <c r="O940" s="13">
        <f>IF($M940="","",IFERROR(INDEX(Desig_Levels,MATCH($M940,Desig_Codes,0)),""))</f>
        <v/>
      </c>
      <c r="P940" s="12" t="n"/>
      <c r="Q940" s="12" t="n"/>
      <c r="R940" s="12" t="n"/>
      <c r="S940" s="13">
        <f>IF($R940="","",IFERROR(INDEX(Emp_Names,MATCH($R940,Emp_Codes,0)),"NOT FOUND"))</f>
        <v/>
      </c>
      <c r="T940" s="12" t="n"/>
      <c r="U940" s="12" t="n"/>
      <c r="V940" s="12" t="n"/>
    </row>
    <row r="941">
      <c r="A941" s="12" t="n"/>
      <c r="B941" s="12" t="n"/>
      <c r="C941" s="12" t="n"/>
      <c r="D941" s="13">
        <f>IF($A941="","",TRIM($B941&amp;" "&amp;$C941))</f>
        <v/>
      </c>
      <c r="E941" s="12" t="n"/>
      <c r="F941" s="12" t="n"/>
      <c r="G941" s="14" t="n"/>
      <c r="H941" s="14" t="n"/>
      <c r="I941" s="12" t="n"/>
      <c r="J941" s="14" t="n"/>
      <c r="K941" s="12" t="n"/>
      <c r="L941" s="13">
        <f>IF($K941="","",IFERROR(INDEX(Dept_Names,MATCH($K941,Dept_Codes,0)),"NOT FOUND"))</f>
        <v/>
      </c>
      <c r="M941" s="12" t="n"/>
      <c r="N941" s="13">
        <f>IF($M941="","",IFERROR(INDEX(Desig_Names,MATCH($M941,Desig_Codes,0)),"NOT FOUND"))</f>
        <v/>
      </c>
      <c r="O941" s="13">
        <f>IF($M941="","",IFERROR(INDEX(Desig_Levels,MATCH($M941,Desig_Codes,0)),""))</f>
        <v/>
      </c>
      <c r="P941" s="12" t="n"/>
      <c r="Q941" s="12" t="n"/>
      <c r="R941" s="12" t="n"/>
      <c r="S941" s="13">
        <f>IF($R941="","",IFERROR(INDEX(Emp_Names,MATCH($R941,Emp_Codes,0)),"NOT FOUND"))</f>
        <v/>
      </c>
      <c r="T941" s="12" t="n"/>
      <c r="U941" s="12" t="n"/>
      <c r="V941" s="12" t="n"/>
    </row>
    <row r="942">
      <c r="A942" s="12" t="n"/>
      <c r="B942" s="12" t="n"/>
      <c r="C942" s="12" t="n"/>
      <c r="D942" s="13">
        <f>IF($A942="","",TRIM($B942&amp;" "&amp;$C942))</f>
        <v/>
      </c>
      <c r="E942" s="12" t="n"/>
      <c r="F942" s="12" t="n"/>
      <c r="G942" s="14" t="n"/>
      <c r="H942" s="14" t="n"/>
      <c r="I942" s="12" t="n"/>
      <c r="J942" s="14" t="n"/>
      <c r="K942" s="12" t="n"/>
      <c r="L942" s="13">
        <f>IF($K942="","",IFERROR(INDEX(Dept_Names,MATCH($K942,Dept_Codes,0)),"NOT FOUND"))</f>
        <v/>
      </c>
      <c r="M942" s="12" t="n"/>
      <c r="N942" s="13">
        <f>IF($M942="","",IFERROR(INDEX(Desig_Names,MATCH($M942,Desig_Codes,0)),"NOT FOUND"))</f>
        <v/>
      </c>
      <c r="O942" s="13">
        <f>IF($M942="","",IFERROR(INDEX(Desig_Levels,MATCH($M942,Desig_Codes,0)),""))</f>
        <v/>
      </c>
      <c r="P942" s="12" t="n"/>
      <c r="Q942" s="12" t="n"/>
      <c r="R942" s="12" t="n"/>
      <c r="S942" s="13">
        <f>IF($R942="","",IFERROR(INDEX(Emp_Names,MATCH($R942,Emp_Codes,0)),"NOT FOUND"))</f>
        <v/>
      </c>
      <c r="T942" s="12" t="n"/>
      <c r="U942" s="12" t="n"/>
      <c r="V942" s="12" t="n"/>
    </row>
    <row r="943">
      <c r="A943" s="12" t="n"/>
      <c r="B943" s="12" t="n"/>
      <c r="C943" s="12" t="n"/>
      <c r="D943" s="13">
        <f>IF($A943="","",TRIM($B943&amp;" "&amp;$C943))</f>
        <v/>
      </c>
      <c r="E943" s="12" t="n"/>
      <c r="F943" s="12" t="n"/>
      <c r="G943" s="14" t="n"/>
      <c r="H943" s="14" t="n"/>
      <c r="I943" s="12" t="n"/>
      <c r="J943" s="14" t="n"/>
      <c r="K943" s="12" t="n"/>
      <c r="L943" s="13">
        <f>IF($K943="","",IFERROR(INDEX(Dept_Names,MATCH($K943,Dept_Codes,0)),"NOT FOUND"))</f>
        <v/>
      </c>
      <c r="M943" s="12" t="n"/>
      <c r="N943" s="13">
        <f>IF($M943="","",IFERROR(INDEX(Desig_Names,MATCH($M943,Desig_Codes,0)),"NOT FOUND"))</f>
        <v/>
      </c>
      <c r="O943" s="13">
        <f>IF($M943="","",IFERROR(INDEX(Desig_Levels,MATCH($M943,Desig_Codes,0)),""))</f>
        <v/>
      </c>
      <c r="P943" s="12" t="n"/>
      <c r="Q943" s="12" t="n"/>
      <c r="R943" s="12" t="n"/>
      <c r="S943" s="13">
        <f>IF($R943="","",IFERROR(INDEX(Emp_Names,MATCH($R943,Emp_Codes,0)),"NOT FOUND"))</f>
        <v/>
      </c>
      <c r="T943" s="12" t="n"/>
      <c r="U943" s="12" t="n"/>
      <c r="V943" s="12" t="n"/>
    </row>
    <row r="944">
      <c r="A944" s="12" t="n"/>
      <c r="B944" s="12" t="n"/>
      <c r="C944" s="12" t="n"/>
      <c r="D944" s="13">
        <f>IF($A944="","",TRIM($B944&amp;" "&amp;$C944))</f>
        <v/>
      </c>
      <c r="E944" s="12" t="n"/>
      <c r="F944" s="12" t="n"/>
      <c r="G944" s="14" t="n"/>
      <c r="H944" s="14" t="n"/>
      <c r="I944" s="12" t="n"/>
      <c r="J944" s="14" t="n"/>
      <c r="K944" s="12" t="n"/>
      <c r="L944" s="13">
        <f>IF($K944="","",IFERROR(INDEX(Dept_Names,MATCH($K944,Dept_Codes,0)),"NOT FOUND"))</f>
        <v/>
      </c>
      <c r="M944" s="12" t="n"/>
      <c r="N944" s="13">
        <f>IF($M944="","",IFERROR(INDEX(Desig_Names,MATCH($M944,Desig_Codes,0)),"NOT FOUND"))</f>
        <v/>
      </c>
      <c r="O944" s="13">
        <f>IF($M944="","",IFERROR(INDEX(Desig_Levels,MATCH($M944,Desig_Codes,0)),""))</f>
        <v/>
      </c>
      <c r="P944" s="12" t="n"/>
      <c r="Q944" s="12" t="n"/>
      <c r="R944" s="12" t="n"/>
      <c r="S944" s="13">
        <f>IF($R944="","",IFERROR(INDEX(Emp_Names,MATCH($R944,Emp_Codes,0)),"NOT FOUND"))</f>
        <v/>
      </c>
      <c r="T944" s="12" t="n"/>
      <c r="U944" s="12" t="n"/>
      <c r="V944" s="12" t="n"/>
    </row>
    <row r="945">
      <c r="A945" s="12" t="n"/>
      <c r="B945" s="12" t="n"/>
      <c r="C945" s="12" t="n"/>
      <c r="D945" s="13">
        <f>IF($A945="","",TRIM($B945&amp;" "&amp;$C945))</f>
        <v/>
      </c>
      <c r="E945" s="12" t="n"/>
      <c r="F945" s="12" t="n"/>
      <c r="G945" s="14" t="n"/>
      <c r="H945" s="14" t="n"/>
      <c r="I945" s="12" t="n"/>
      <c r="J945" s="14" t="n"/>
      <c r="K945" s="12" t="n"/>
      <c r="L945" s="13">
        <f>IF($K945="","",IFERROR(INDEX(Dept_Names,MATCH($K945,Dept_Codes,0)),"NOT FOUND"))</f>
        <v/>
      </c>
      <c r="M945" s="12" t="n"/>
      <c r="N945" s="13">
        <f>IF($M945="","",IFERROR(INDEX(Desig_Names,MATCH($M945,Desig_Codes,0)),"NOT FOUND"))</f>
        <v/>
      </c>
      <c r="O945" s="13">
        <f>IF($M945="","",IFERROR(INDEX(Desig_Levels,MATCH($M945,Desig_Codes,0)),""))</f>
        <v/>
      </c>
      <c r="P945" s="12" t="n"/>
      <c r="Q945" s="12" t="n"/>
      <c r="R945" s="12" t="n"/>
      <c r="S945" s="13">
        <f>IF($R945="","",IFERROR(INDEX(Emp_Names,MATCH($R945,Emp_Codes,0)),"NOT FOUND"))</f>
        <v/>
      </c>
      <c r="T945" s="12" t="n"/>
      <c r="U945" s="12" t="n"/>
      <c r="V945" s="12" t="n"/>
    </row>
    <row r="946">
      <c r="A946" s="12" t="n"/>
      <c r="B946" s="12" t="n"/>
      <c r="C946" s="12" t="n"/>
      <c r="D946" s="13">
        <f>IF($A946="","",TRIM($B946&amp;" "&amp;$C946))</f>
        <v/>
      </c>
      <c r="E946" s="12" t="n"/>
      <c r="F946" s="12" t="n"/>
      <c r="G946" s="14" t="n"/>
      <c r="H946" s="14" t="n"/>
      <c r="I946" s="12" t="n"/>
      <c r="J946" s="14" t="n"/>
      <c r="K946" s="12" t="n"/>
      <c r="L946" s="13">
        <f>IF($K946="","",IFERROR(INDEX(Dept_Names,MATCH($K946,Dept_Codes,0)),"NOT FOUND"))</f>
        <v/>
      </c>
      <c r="M946" s="12" t="n"/>
      <c r="N946" s="13">
        <f>IF($M946="","",IFERROR(INDEX(Desig_Names,MATCH($M946,Desig_Codes,0)),"NOT FOUND"))</f>
        <v/>
      </c>
      <c r="O946" s="13">
        <f>IF($M946="","",IFERROR(INDEX(Desig_Levels,MATCH($M946,Desig_Codes,0)),""))</f>
        <v/>
      </c>
      <c r="P946" s="12" t="n"/>
      <c r="Q946" s="12" t="n"/>
      <c r="R946" s="12" t="n"/>
      <c r="S946" s="13">
        <f>IF($R946="","",IFERROR(INDEX(Emp_Names,MATCH($R946,Emp_Codes,0)),"NOT FOUND"))</f>
        <v/>
      </c>
      <c r="T946" s="12" t="n"/>
      <c r="U946" s="12" t="n"/>
      <c r="V946" s="12" t="n"/>
    </row>
    <row r="947">
      <c r="A947" s="12" t="n"/>
      <c r="B947" s="12" t="n"/>
      <c r="C947" s="12" t="n"/>
      <c r="D947" s="13">
        <f>IF($A947="","",TRIM($B947&amp;" "&amp;$C947))</f>
        <v/>
      </c>
      <c r="E947" s="12" t="n"/>
      <c r="F947" s="12" t="n"/>
      <c r="G947" s="14" t="n"/>
      <c r="H947" s="14" t="n"/>
      <c r="I947" s="12" t="n"/>
      <c r="J947" s="14" t="n"/>
      <c r="K947" s="12" t="n"/>
      <c r="L947" s="13">
        <f>IF($K947="","",IFERROR(INDEX(Dept_Names,MATCH($K947,Dept_Codes,0)),"NOT FOUND"))</f>
        <v/>
      </c>
      <c r="M947" s="12" t="n"/>
      <c r="N947" s="13">
        <f>IF($M947="","",IFERROR(INDEX(Desig_Names,MATCH($M947,Desig_Codes,0)),"NOT FOUND"))</f>
        <v/>
      </c>
      <c r="O947" s="13">
        <f>IF($M947="","",IFERROR(INDEX(Desig_Levels,MATCH($M947,Desig_Codes,0)),""))</f>
        <v/>
      </c>
      <c r="P947" s="12" t="n"/>
      <c r="Q947" s="12" t="n"/>
      <c r="R947" s="12" t="n"/>
      <c r="S947" s="13">
        <f>IF($R947="","",IFERROR(INDEX(Emp_Names,MATCH($R947,Emp_Codes,0)),"NOT FOUND"))</f>
        <v/>
      </c>
      <c r="T947" s="12" t="n"/>
      <c r="U947" s="12" t="n"/>
      <c r="V947" s="12" t="n"/>
    </row>
    <row r="948">
      <c r="A948" s="12" t="n"/>
      <c r="B948" s="12" t="n"/>
      <c r="C948" s="12" t="n"/>
      <c r="D948" s="13">
        <f>IF($A948="","",TRIM($B948&amp;" "&amp;$C948))</f>
        <v/>
      </c>
      <c r="E948" s="12" t="n"/>
      <c r="F948" s="12" t="n"/>
      <c r="G948" s="14" t="n"/>
      <c r="H948" s="14" t="n"/>
      <c r="I948" s="12" t="n"/>
      <c r="J948" s="14" t="n"/>
      <c r="K948" s="12" t="n"/>
      <c r="L948" s="13">
        <f>IF($K948="","",IFERROR(INDEX(Dept_Names,MATCH($K948,Dept_Codes,0)),"NOT FOUND"))</f>
        <v/>
      </c>
      <c r="M948" s="12" t="n"/>
      <c r="N948" s="13">
        <f>IF($M948="","",IFERROR(INDEX(Desig_Names,MATCH($M948,Desig_Codes,0)),"NOT FOUND"))</f>
        <v/>
      </c>
      <c r="O948" s="13">
        <f>IF($M948="","",IFERROR(INDEX(Desig_Levels,MATCH($M948,Desig_Codes,0)),""))</f>
        <v/>
      </c>
      <c r="P948" s="12" t="n"/>
      <c r="Q948" s="12" t="n"/>
      <c r="R948" s="12" t="n"/>
      <c r="S948" s="13">
        <f>IF($R948="","",IFERROR(INDEX(Emp_Names,MATCH($R948,Emp_Codes,0)),"NOT FOUND"))</f>
        <v/>
      </c>
      <c r="T948" s="12" t="n"/>
      <c r="U948" s="12" t="n"/>
      <c r="V948" s="12" t="n"/>
    </row>
    <row r="949">
      <c r="A949" s="12" t="n"/>
      <c r="B949" s="12" t="n"/>
      <c r="C949" s="12" t="n"/>
      <c r="D949" s="13">
        <f>IF($A949="","",TRIM($B949&amp;" "&amp;$C949))</f>
        <v/>
      </c>
      <c r="E949" s="12" t="n"/>
      <c r="F949" s="12" t="n"/>
      <c r="G949" s="14" t="n"/>
      <c r="H949" s="14" t="n"/>
      <c r="I949" s="12" t="n"/>
      <c r="J949" s="14" t="n"/>
      <c r="K949" s="12" t="n"/>
      <c r="L949" s="13">
        <f>IF($K949="","",IFERROR(INDEX(Dept_Names,MATCH($K949,Dept_Codes,0)),"NOT FOUND"))</f>
        <v/>
      </c>
      <c r="M949" s="12" t="n"/>
      <c r="N949" s="13">
        <f>IF($M949="","",IFERROR(INDEX(Desig_Names,MATCH($M949,Desig_Codes,0)),"NOT FOUND"))</f>
        <v/>
      </c>
      <c r="O949" s="13">
        <f>IF($M949="","",IFERROR(INDEX(Desig_Levels,MATCH($M949,Desig_Codes,0)),""))</f>
        <v/>
      </c>
      <c r="P949" s="12" t="n"/>
      <c r="Q949" s="12" t="n"/>
      <c r="R949" s="12" t="n"/>
      <c r="S949" s="13">
        <f>IF($R949="","",IFERROR(INDEX(Emp_Names,MATCH($R949,Emp_Codes,0)),"NOT FOUND"))</f>
        <v/>
      </c>
      <c r="T949" s="12" t="n"/>
      <c r="U949" s="12" t="n"/>
      <c r="V949" s="12" t="n"/>
    </row>
    <row r="950">
      <c r="A950" s="12" t="n"/>
      <c r="B950" s="12" t="n"/>
      <c r="C950" s="12" t="n"/>
      <c r="D950" s="13">
        <f>IF($A950="","",TRIM($B950&amp;" "&amp;$C950))</f>
        <v/>
      </c>
      <c r="E950" s="12" t="n"/>
      <c r="F950" s="12" t="n"/>
      <c r="G950" s="14" t="n"/>
      <c r="H950" s="14" t="n"/>
      <c r="I950" s="12" t="n"/>
      <c r="J950" s="14" t="n"/>
      <c r="K950" s="12" t="n"/>
      <c r="L950" s="13">
        <f>IF($K950="","",IFERROR(INDEX(Dept_Names,MATCH($K950,Dept_Codes,0)),"NOT FOUND"))</f>
        <v/>
      </c>
      <c r="M950" s="12" t="n"/>
      <c r="N950" s="13">
        <f>IF($M950="","",IFERROR(INDEX(Desig_Names,MATCH($M950,Desig_Codes,0)),"NOT FOUND"))</f>
        <v/>
      </c>
      <c r="O950" s="13">
        <f>IF($M950="","",IFERROR(INDEX(Desig_Levels,MATCH($M950,Desig_Codes,0)),""))</f>
        <v/>
      </c>
      <c r="P950" s="12" t="n"/>
      <c r="Q950" s="12" t="n"/>
      <c r="R950" s="12" t="n"/>
      <c r="S950" s="13">
        <f>IF($R950="","",IFERROR(INDEX(Emp_Names,MATCH($R950,Emp_Codes,0)),"NOT FOUND"))</f>
        <v/>
      </c>
      <c r="T950" s="12" t="n"/>
      <c r="U950" s="12" t="n"/>
      <c r="V950" s="12" t="n"/>
    </row>
    <row r="951">
      <c r="A951" s="12" t="n"/>
      <c r="B951" s="12" t="n"/>
      <c r="C951" s="12" t="n"/>
      <c r="D951" s="13">
        <f>IF($A951="","",TRIM($B951&amp;" "&amp;$C951))</f>
        <v/>
      </c>
      <c r="E951" s="12" t="n"/>
      <c r="F951" s="12" t="n"/>
      <c r="G951" s="14" t="n"/>
      <c r="H951" s="14" t="n"/>
      <c r="I951" s="12" t="n"/>
      <c r="J951" s="14" t="n"/>
      <c r="K951" s="12" t="n"/>
      <c r="L951" s="13">
        <f>IF($K951="","",IFERROR(INDEX(Dept_Names,MATCH($K951,Dept_Codes,0)),"NOT FOUND"))</f>
        <v/>
      </c>
      <c r="M951" s="12" t="n"/>
      <c r="N951" s="13">
        <f>IF($M951="","",IFERROR(INDEX(Desig_Names,MATCH($M951,Desig_Codes,0)),"NOT FOUND"))</f>
        <v/>
      </c>
      <c r="O951" s="13">
        <f>IF($M951="","",IFERROR(INDEX(Desig_Levels,MATCH($M951,Desig_Codes,0)),""))</f>
        <v/>
      </c>
      <c r="P951" s="12" t="n"/>
      <c r="Q951" s="12" t="n"/>
      <c r="R951" s="12" t="n"/>
      <c r="S951" s="13">
        <f>IF($R951="","",IFERROR(INDEX(Emp_Names,MATCH($R951,Emp_Codes,0)),"NOT FOUND"))</f>
        <v/>
      </c>
      <c r="T951" s="12" t="n"/>
      <c r="U951" s="12" t="n"/>
      <c r="V951" s="12" t="n"/>
    </row>
    <row r="952">
      <c r="A952" s="12" t="n"/>
      <c r="B952" s="12" t="n"/>
      <c r="C952" s="12" t="n"/>
      <c r="D952" s="13">
        <f>IF($A952="","",TRIM($B952&amp;" "&amp;$C952))</f>
        <v/>
      </c>
      <c r="E952" s="12" t="n"/>
      <c r="F952" s="12" t="n"/>
      <c r="G952" s="14" t="n"/>
      <c r="H952" s="14" t="n"/>
      <c r="I952" s="12" t="n"/>
      <c r="J952" s="14" t="n"/>
      <c r="K952" s="12" t="n"/>
      <c r="L952" s="13">
        <f>IF($K952="","",IFERROR(INDEX(Dept_Names,MATCH($K952,Dept_Codes,0)),"NOT FOUND"))</f>
        <v/>
      </c>
      <c r="M952" s="12" t="n"/>
      <c r="N952" s="13">
        <f>IF($M952="","",IFERROR(INDEX(Desig_Names,MATCH($M952,Desig_Codes,0)),"NOT FOUND"))</f>
        <v/>
      </c>
      <c r="O952" s="13">
        <f>IF($M952="","",IFERROR(INDEX(Desig_Levels,MATCH($M952,Desig_Codes,0)),""))</f>
        <v/>
      </c>
      <c r="P952" s="12" t="n"/>
      <c r="Q952" s="12" t="n"/>
      <c r="R952" s="12" t="n"/>
      <c r="S952" s="13">
        <f>IF($R952="","",IFERROR(INDEX(Emp_Names,MATCH($R952,Emp_Codes,0)),"NOT FOUND"))</f>
        <v/>
      </c>
      <c r="T952" s="12" t="n"/>
      <c r="U952" s="12" t="n"/>
      <c r="V952" s="12" t="n"/>
    </row>
    <row r="953">
      <c r="A953" s="12" t="n"/>
      <c r="B953" s="12" t="n"/>
      <c r="C953" s="12" t="n"/>
      <c r="D953" s="13">
        <f>IF($A953="","",TRIM($B953&amp;" "&amp;$C953))</f>
        <v/>
      </c>
      <c r="E953" s="12" t="n"/>
      <c r="F953" s="12" t="n"/>
      <c r="G953" s="14" t="n"/>
      <c r="H953" s="14" t="n"/>
      <c r="I953" s="12" t="n"/>
      <c r="J953" s="14" t="n"/>
      <c r="K953" s="12" t="n"/>
      <c r="L953" s="13">
        <f>IF($K953="","",IFERROR(INDEX(Dept_Names,MATCH($K953,Dept_Codes,0)),"NOT FOUND"))</f>
        <v/>
      </c>
      <c r="M953" s="12" t="n"/>
      <c r="N953" s="13">
        <f>IF($M953="","",IFERROR(INDEX(Desig_Names,MATCH($M953,Desig_Codes,0)),"NOT FOUND"))</f>
        <v/>
      </c>
      <c r="O953" s="13">
        <f>IF($M953="","",IFERROR(INDEX(Desig_Levels,MATCH($M953,Desig_Codes,0)),""))</f>
        <v/>
      </c>
      <c r="P953" s="12" t="n"/>
      <c r="Q953" s="12" t="n"/>
      <c r="R953" s="12" t="n"/>
      <c r="S953" s="13">
        <f>IF($R953="","",IFERROR(INDEX(Emp_Names,MATCH($R953,Emp_Codes,0)),"NOT FOUND"))</f>
        <v/>
      </c>
      <c r="T953" s="12" t="n"/>
      <c r="U953" s="12" t="n"/>
      <c r="V953" s="12" t="n"/>
    </row>
    <row r="954">
      <c r="A954" s="12" t="n"/>
      <c r="B954" s="12" t="n"/>
      <c r="C954" s="12" t="n"/>
      <c r="D954" s="13">
        <f>IF($A954="","",TRIM($B954&amp;" "&amp;$C954))</f>
        <v/>
      </c>
      <c r="E954" s="12" t="n"/>
      <c r="F954" s="12" t="n"/>
      <c r="G954" s="14" t="n"/>
      <c r="H954" s="14" t="n"/>
      <c r="I954" s="12" t="n"/>
      <c r="J954" s="14" t="n"/>
      <c r="K954" s="12" t="n"/>
      <c r="L954" s="13">
        <f>IF($K954="","",IFERROR(INDEX(Dept_Names,MATCH($K954,Dept_Codes,0)),"NOT FOUND"))</f>
        <v/>
      </c>
      <c r="M954" s="12" t="n"/>
      <c r="N954" s="13">
        <f>IF($M954="","",IFERROR(INDEX(Desig_Names,MATCH($M954,Desig_Codes,0)),"NOT FOUND"))</f>
        <v/>
      </c>
      <c r="O954" s="13">
        <f>IF($M954="","",IFERROR(INDEX(Desig_Levels,MATCH($M954,Desig_Codes,0)),""))</f>
        <v/>
      </c>
      <c r="P954" s="12" t="n"/>
      <c r="Q954" s="12" t="n"/>
      <c r="R954" s="12" t="n"/>
      <c r="S954" s="13">
        <f>IF($R954="","",IFERROR(INDEX(Emp_Names,MATCH($R954,Emp_Codes,0)),"NOT FOUND"))</f>
        <v/>
      </c>
      <c r="T954" s="12" t="n"/>
      <c r="U954" s="12" t="n"/>
      <c r="V954" s="12" t="n"/>
    </row>
    <row r="955">
      <c r="A955" s="12" t="n"/>
      <c r="B955" s="12" t="n"/>
      <c r="C955" s="12" t="n"/>
      <c r="D955" s="13">
        <f>IF($A955="","",TRIM($B955&amp;" "&amp;$C955))</f>
        <v/>
      </c>
      <c r="E955" s="12" t="n"/>
      <c r="F955" s="12" t="n"/>
      <c r="G955" s="14" t="n"/>
      <c r="H955" s="14" t="n"/>
      <c r="I955" s="12" t="n"/>
      <c r="J955" s="14" t="n"/>
      <c r="K955" s="12" t="n"/>
      <c r="L955" s="13">
        <f>IF($K955="","",IFERROR(INDEX(Dept_Names,MATCH($K955,Dept_Codes,0)),"NOT FOUND"))</f>
        <v/>
      </c>
      <c r="M955" s="12" t="n"/>
      <c r="N955" s="13">
        <f>IF($M955="","",IFERROR(INDEX(Desig_Names,MATCH($M955,Desig_Codes,0)),"NOT FOUND"))</f>
        <v/>
      </c>
      <c r="O955" s="13">
        <f>IF($M955="","",IFERROR(INDEX(Desig_Levels,MATCH($M955,Desig_Codes,0)),""))</f>
        <v/>
      </c>
      <c r="P955" s="12" t="n"/>
      <c r="Q955" s="12" t="n"/>
      <c r="R955" s="12" t="n"/>
      <c r="S955" s="13">
        <f>IF($R955="","",IFERROR(INDEX(Emp_Names,MATCH($R955,Emp_Codes,0)),"NOT FOUND"))</f>
        <v/>
      </c>
      <c r="T955" s="12" t="n"/>
      <c r="U955" s="12" t="n"/>
      <c r="V955" s="12" t="n"/>
    </row>
    <row r="956">
      <c r="A956" s="12" t="n"/>
      <c r="B956" s="12" t="n"/>
      <c r="C956" s="12" t="n"/>
      <c r="D956" s="13">
        <f>IF($A956="","",TRIM($B956&amp;" "&amp;$C956))</f>
        <v/>
      </c>
      <c r="E956" s="12" t="n"/>
      <c r="F956" s="12" t="n"/>
      <c r="G956" s="14" t="n"/>
      <c r="H956" s="14" t="n"/>
      <c r="I956" s="12" t="n"/>
      <c r="J956" s="14" t="n"/>
      <c r="K956" s="12" t="n"/>
      <c r="L956" s="13">
        <f>IF($K956="","",IFERROR(INDEX(Dept_Names,MATCH($K956,Dept_Codes,0)),"NOT FOUND"))</f>
        <v/>
      </c>
      <c r="M956" s="12" t="n"/>
      <c r="N956" s="13">
        <f>IF($M956="","",IFERROR(INDEX(Desig_Names,MATCH($M956,Desig_Codes,0)),"NOT FOUND"))</f>
        <v/>
      </c>
      <c r="O956" s="13">
        <f>IF($M956="","",IFERROR(INDEX(Desig_Levels,MATCH($M956,Desig_Codes,0)),""))</f>
        <v/>
      </c>
      <c r="P956" s="12" t="n"/>
      <c r="Q956" s="12" t="n"/>
      <c r="R956" s="12" t="n"/>
      <c r="S956" s="13">
        <f>IF($R956="","",IFERROR(INDEX(Emp_Names,MATCH($R956,Emp_Codes,0)),"NOT FOUND"))</f>
        <v/>
      </c>
      <c r="T956" s="12" t="n"/>
      <c r="U956" s="12" t="n"/>
      <c r="V956" s="12" t="n"/>
    </row>
    <row r="957">
      <c r="A957" s="12" t="n"/>
      <c r="B957" s="12" t="n"/>
      <c r="C957" s="12" t="n"/>
      <c r="D957" s="13">
        <f>IF($A957="","",TRIM($B957&amp;" "&amp;$C957))</f>
        <v/>
      </c>
      <c r="E957" s="12" t="n"/>
      <c r="F957" s="12" t="n"/>
      <c r="G957" s="14" t="n"/>
      <c r="H957" s="14" t="n"/>
      <c r="I957" s="12" t="n"/>
      <c r="J957" s="14" t="n"/>
      <c r="K957" s="12" t="n"/>
      <c r="L957" s="13">
        <f>IF($K957="","",IFERROR(INDEX(Dept_Names,MATCH($K957,Dept_Codes,0)),"NOT FOUND"))</f>
        <v/>
      </c>
      <c r="M957" s="12" t="n"/>
      <c r="N957" s="13">
        <f>IF($M957="","",IFERROR(INDEX(Desig_Names,MATCH($M957,Desig_Codes,0)),"NOT FOUND"))</f>
        <v/>
      </c>
      <c r="O957" s="13">
        <f>IF($M957="","",IFERROR(INDEX(Desig_Levels,MATCH($M957,Desig_Codes,0)),""))</f>
        <v/>
      </c>
      <c r="P957" s="12" t="n"/>
      <c r="Q957" s="12" t="n"/>
      <c r="R957" s="12" t="n"/>
      <c r="S957" s="13">
        <f>IF($R957="","",IFERROR(INDEX(Emp_Names,MATCH($R957,Emp_Codes,0)),"NOT FOUND"))</f>
        <v/>
      </c>
      <c r="T957" s="12" t="n"/>
      <c r="U957" s="12" t="n"/>
      <c r="V957" s="12" t="n"/>
    </row>
    <row r="958">
      <c r="A958" s="12" t="n"/>
      <c r="B958" s="12" t="n"/>
      <c r="C958" s="12" t="n"/>
      <c r="D958" s="13">
        <f>IF($A958="","",TRIM($B958&amp;" "&amp;$C958))</f>
        <v/>
      </c>
      <c r="E958" s="12" t="n"/>
      <c r="F958" s="12" t="n"/>
      <c r="G958" s="14" t="n"/>
      <c r="H958" s="14" t="n"/>
      <c r="I958" s="12" t="n"/>
      <c r="J958" s="14" t="n"/>
      <c r="K958" s="12" t="n"/>
      <c r="L958" s="13">
        <f>IF($K958="","",IFERROR(INDEX(Dept_Names,MATCH($K958,Dept_Codes,0)),"NOT FOUND"))</f>
        <v/>
      </c>
      <c r="M958" s="12" t="n"/>
      <c r="N958" s="13">
        <f>IF($M958="","",IFERROR(INDEX(Desig_Names,MATCH($M958,Desig_Codes,0)),"NOT FOUND"))</f>
        <v/>
      </c>
      <c r="O958" s="13">
        <f>IF($M958="","",IFERROR(INDEX(Desig_Levels,MATCH($M958,Desig_Codes,0)),""))</f>
        <v/>
      </c>
      <c r="P958" s="12" t="n"/>
      <c r="Q958" s="12" t="n"/>
      <c r="R958" s="12" t="n"/>
      <c r="S958" s="13">
        <f>IF($R958="","",IFERROR(INDEX(Emp_Names,MATCH($R958,Emp_Codes,0)),"NOT FOUND"))</f>
        <v/>
      </c>
      <c r="T958" s="12" t="n"/>
      <c r="U958" s="12" t="n"/>
      <c r="V958" s="12" t="n"/>
    </row>
    <row r="959">
      <c r="A959" s="12" t="n"/>
      <c r="B959" s="12" t="n"/>
      <c r="C959" s="12" t="n"/>
      <c r="D959" s="13">
        <f>IF($A959="","",TRIM($B959&amp;" "&amp;$C959))</f>
        <v/>
      </c>
      <c r="E959" s="12" t="n"/>
      <c r="F959" s="12" t="n"/>
      <c r="G959" s="14" t="n"/>
      <c r="H959" s="14" t="n"/>
      <c r="I959" s="12" t="n"/>
      <c r="J959" s="14" t="n"/>
      <c r="K959" s="12" t="n"/>
      <c r="L959" s="13">
        <f>IF($K959="","",IFERROR(INDEX(Dept_Names,MATCH($K959,Dept_Codes,0)),"NOT FOUND"))</f>
        <v/>
      </c>
      <c r="M959" s="12" t="n"/>
      <c r="N959" s="13">
        <f>IF($M959="","",IFERROR(INDEX(Desig_Names,MATCH($M959,Desig_Codes,0)),"NOT FOUND"))</f>
        <v/>
      </c>
      <c r="O959" s="13">
        <f>IF($M959="","",IFERROR(INDEX(Desig_Levels,MATCH($M959,Desig_Codes,0)),""))</f>
        <v/>
      </c>
      <c r="P959" s="12" t="n"/>
      <c r="Q959" s="12" t="n"/>
      <c r="R959" s="12" t="n"/>
      <c r="S959" s="13">
        <f>IF($R959="","",IFERROR(INDEX(Emp_Names,MATCH($R959,Emp_Codes,0)),"NOT FOUND"))</f>
        <v/>
      </c>
      <c r="T959" s="12" t="n"/>
      <c r="U959" s="12" t="n"/>
      <c r="V959" s="12" t="n"/>
    </row>
    <row r="960">
      <c r="A960" s="12" t="n"/>
      <c r="B960" s="12" t="n"/>
      <c r="C960" s="12" t="n"/>
      <c r="D960" s="13">
        <f>IF($A960="","",TRIM($B960&amp;" "&amp;$C960))</f>
        <v/>
      </c>
      <c r="E960" s="12" t="n"/>
      <c r="F960" s="12" t="n"/>
      <c r="G960" s="14" t="n"/>
      <c r="H960" s="14" t="n"/>
      <c r="I960" s="12" t="n"/>
      <c r="J960" s="14" t="n"/>
      <c r="K960" s="12" t="n"/>
      <c r="L960" s="13">
        <f>IF($K960="","",IFERROR(INDEX(Dept_Names,MATCH($K960,Dept_Codes,0)),"NOT FOUND"))</f>
        <v/>
      </c>
      <c r="M960" s="12" t="n"/>
      <c r="N960" s="13">
        <f>IF($M960="","",IFERROR(INDEX(Desig_Names,MATCH($M960,Desig_Codes,0)),"NOT FOUND"))</f>
        <v/>
      </c>
      <c r="O960" s="13">
        <f>IF($M960="","",IFERROR(INDEX(Desig_Levels,MATCH($M960,Desig_Codes,0)),""))</f>
        <v/>
      </c>
      <c r="P960" s="12" t="n"/>
      <c r="Q960" s="12" t="n"/>
      <c r="R960" s="12" t="n"/>
      <c r="S960" s="13">
        <f>IF($R960="","",IFERROR(INDEX(Emp_Names,MATCH($R960,Emp_Codes,0)),"NOT FOUND"))</f>
        <v/>
      </c>
      <c r="T960" s="12" t="n"/>
      <c r="U960" s="12" t="n"/>
      <c r="V960" s="12" t="n"/>
    </row>
    <row r="961">
      <c r="A961" s="12" t="n"/>
      <c r="B961" s="12" t="n"/>
      <c r="C961" s="12" t="n"/>
      <c r="D961" s="13">
        <f>IF($A961="","",TRIM($B961&amp;" "&amp;$C961))</f>
        <v/>
      </c>
      <c r="E961" s="12" t="n"/>
      <c r="F961" s="12" t="n"/>
      <c r="G961" s="14" t="n"/>
      <c r="H961" s="14" t="n"/>
      <c r="I961" s="12" t="n"/>
      <c r="J961" s="14" t="n"/>
      <c r="K961" s="12" t="n"/>
      <c r="L961" s="13">
        <f>IF($K961="","",IFERROR(INDEX(Dept_Names,MATCH($K961,Dept_Codes,0)),"NOT FOUND"))</f>
        <v/>
      </c>
      <c r="M961" s="12" t="n"/>
      <c r="N961" s="13">
        <f>IF($M961="","",IFERROR(INDEX(Desig_Names,MATCH($M961,Desig_Codes,0)),"NOT FOUND"))</f>
        <v/>
      </c>
      <c r="O961" s="13">
        <f>IF($M961="","",IFERROR(INDEX(Desig_Levels,MATCH($M961,Desig_Codes,0)),""))</f>
        <v/>
      </c>
      <c r="P961" s="12" t="n"/>
      <c r="Q961" s="12" t="n"/>
      <c r="R961" s="12" t="n"/>
      <c r="S961" s="13">
        <f>IF($R961="","",IFERROR(INDEX(Emp_Names,MATCH($R961,Emp_Codes,0)),"NOT FOUND"))</f>
        <v/>
      </c>
      <c r="T961" s="12" t="n"/>
      <c r="U961" s="12" t="n"/>
      <c r="V961" s="12" t="n"/>
    </row>
    <row r="962">
      <c r="A962" s="12" t="n"/>
      <c r="B962" s="12" t="n"/>
      <c r="C962" s="12" t="n"/>
      <c r="D962" s="13">
        <f>IF($A962="","",TRIM($B962&amp;" "&amp;$C962))</f>
        <v/>
      </c>
      <c r="E962" s="12" t="n"/>
      <c r="F962" s="12" t="n"/>
      <c r="G962" s="14" t="n"/>
      <c r="H962" s="14" t="n"/>
      <c r="I962" s="12" t="n"/>
      <c r="J962" s="14" t="n"/>
      <c r="K962" s="12" t="n"/>
      <c r="L962" s="13">
        <f>IF($K962="","",IFERROR(INDEX(Dept_Names,MATCH($K962,Dept_Codes,0)),"NOT FOUND"))</f>
        <v/>
      </c>
      <c r="M962" s="12" t="n"/>
      <c r="N962" s="13">
        <f>IF($M962="","",IFERROR(INDEX(Desig_Names,MATCH($M962,Desig_Codes,0)),"NOT FOUND"))</f>
        <v/>
      </c>
      <c r="O962" s="13">
        <f>IF($M962="","",IFERROR(INDEX(Desig_Levels,MATCH($M962,Desig_Codes,0)),""))</f>
        <v/>
      </c>
      <c r="P962" s="12" t="n"/>
      <c r="Q962" s="12" t="n"/>
      <c r="R962" s="12" t="n"/>
      <c r="S962" s="13">
        <f>IF($R962="","",IFERROR(INDEX(Emp_Names,MATCH($R962,Emp_Codes,0)),"NOT FOUND"))</f>
        <v/>
      </c>
      <c r="T962" s="12" t="n"/>
      <c r="U962" s="12" t="n"/>
      <c r="V962" s="12" t="n"/>
    </row>
    <row r="963">
      <c r="A963" s="12" t="n"/>
      <c r="B963" s="12" t="n"/>
      <c r="C963" s="12" t="n"/>
      <c r="D963" s="13">
        <f>IF($A963="","",TRIM($B963&amp;" "&amp;$C963))</f>
        <v/>
      </c>
      <c r="E963" s="12" t="n"/>
      <c r="F963" s="12" t="n"/>
      <c r="G963" s="14" t="n"/>
      <c r="H963" s="14" t="n"/>
      <c r="I963" s="12" t="n"/>
      <c r="J963" s="14" t="n"/>
      <c r="K963" s="12" t="n"/>
      <c r="L963" s="13">
        <f>IF($K963="","",IFERROR(INDEX(Dept_Names,MATCH($K963,Dept_Codes,0)),"NOT FOUND"))</f>
        <v/>
      </c>
      <c r="M963" s="12" t="n"/>
      <c r="N963" s="13">
        <f>IF($M963="","",IFERROR(INDEX(Desig_Names,MATCH($M963,Desig_Codes,0)),"NOT FOUND"))</f>
        <v/>
      </c>
      <c r="O963" s="13">
        <f>IF($M963="","",IFERROR(INDEX(Desig_Levels,MATCH($M963,Desig_Codes,0)),""))</f>
        <v/>
      </c>
      <c r="P963" s="12" t="n"/>
      <c r="Q963" s="12" t="n"/>
      <c r="R963" s="12" t="n"/>
      <c r="S963" s="13">
        <f>IF($R963="","",IFERROR(INDEX(Emp_Names,MATCH($R963,Emp_Codes,0)),"NOT FOUND"))</f>
        <v/>
      </c>
      <c r="T963" s="12" t="n"/>
      <c r="U963" s="12" t="n"/>
      <c r="V963" s="12" t="n"/>
    </row>
    <row r="964">
      <c r="A964" s="12" t="n"/>
      <c r="B964" s="12" t="n"/>
      <c r="C964" s="12" t="n"/>
      <c r="D964" s="13">
        <f>IF($A964="","",TRIM($B964&amp;" "&amp;$C964))</f>
        <v/>
      </c>
      <c r="E964" s="12" t="n"/>
      <c r="F964" s="12" t="n"/>
      <c r="G964" s="14" t="n"/>
      <c r="H964" s="14" t="n"/>
      <c r="I964" s="12" t="n"/>
      <c r="J964" s="14" t="n"/>
      <c r="K964" s="12" t="n"/>
      <c r="L964" s="13">
        <f>IF($K964="","",IFERROR(INDEX(Dept_Names,MATCH($K964,Dept_Codes,0)),"NOT FOUND"))</f>
        <v/>
      </c>
      <c r="M964" s="12" t="n"/>
      <c r="N964" s="13">
        <f>IF($M964="","",IFERROR(INDEX(Desig_Names,MATCH($M964,Desig_Codes,0)),"NOT FOUND"))</f>
        <v/>
      </c>
      <c r="O964" s="13">
        <f>IF($M964="","",IFERROR(INDEX(Desig_Levels,MATCH($M964,Desig_Codes,0)),""))</f>
        <v/>
      </c>
      <c r="P964" s="12" t="n"/>
      <c r="Q964" s="12" t="n"/>
      <c r="R964" s="12" t="n"/>
      <c r="S964" s="13">
        <f>IF($R964="","",IFERROR(INDEX(Emp_Names,MATCH($R964,Emp_Codes,0)),"NOT FOUND"))</f>
        <v/>
      </c>
      <c r="T964" s="12" t="n"/>
      <c r="U964" s="12" t="n"/>
      <c r="V964" s="12" t="n"/>
    </row>
    <row r="965">
      <c r="A965" s="12" t="n"/>
      <c r="B965" s="12" t="n"/>
      <c r="C965" s="12" t="n"/>
      <c r="D965" s="13">
        <f>IF($A965="","",TRIM($B965&amp;" "&amp;$C965))</f>
        <v/>
      </c>
      <c r="E965" s="12" t="n"/>
      <c r="F965" s="12" t="n"/>
      <c r="G965" s="14" t="n"/>
      <c r="H965" s="14" t="n"/>
      <c r="I965" s="12" t="n"/>
      <c r="J965" s="14" t="n"/>
      <c r="K965" s="12" t="n"/>
      <c r="L965" s="13">
        <f>IF($K965="","",IFERROR(INDEX(Dept_Names,MATCH($K965,Dept_Codes,0)),"NOT FOUND"))</f>
        <v/>
      </c>
      <c r="M965" s="12" t="n"/>
      <c r="N965" s="13">
        <f>IF($M965="","",IFERROR(INDEX(Desig_Names,MATCH($M965,Desig_Codes,0)),"NOT FOUND"))</f>
        <v/>
      </c>
      <c r="O965" s="13">
        <f>IF($M965="","",IFERROR(INDEX(Desig_Levels,MATCH($M965,Desig_Codes,0)),""))</f>
        <v/>
      </c>
      <c r="P965" s="12" t="n"/>
      <c r="Q965" s="12" t="n"/>
      <c r="R965" s="12" t="n"/>
      <c r="S965" s="13">
        <f>IF($R965="","",IFERROR(INDEX(Emp_Names,MATCH($R965,Emp_Codes,0)),"NOT FOUND"))</f>
        <v/>
      </c>
      <c r="T965" s="12" t="n"/>
      <c r="U965" s="12" t="n"/>
      <c r="V965" s="12" t="n"/>
    </row>
    <row r="966">
      <c r="A966" s="12" t="n"/>
      <c r="B966" s="12" t="n"/>
      <c r="C966" s="12" t="n"/>
      <c r="D966" s="13">
        <f>IF($A966="","",TRIM($B966&amp;" "&amp;$C966))</f>
        <v/>
      </c>
      <c r="E966" s="12" t="n"/>
      <c r="F966" s="12" t="n"/>
      <c r="G966" s="14" t="n"/>
      <c r="H966" s="14" t="n"/>
      <c r="I966" s="12" t="n"/>
      <c r="J966" s="14" t="n"/>
      <c r="K966" s="12" t="n"/>
      <c r="L966" s="13">
        <f>IF($K966="","",IFERROR(INDEX(Dept_Names,MATCH($K966,Dept_Codes,0)),"NOT FOUND"))</f>
        <v/>
      </c>
      <c r="M966" s="12" t="n"/>
      <c r="N966" s="13">
        <f>IF($M966="","",IFERROR(INDEX(Desig_Names,MATCH($M966,Desig_Codes,0)),"NOT FOUND"))</f>
        <v/>
      </c>
      <c r="O966" s="13">
        <f>IF($M966="","",IFERROR(INDEX(Desig_Levels,MATCH($M966,Desig_Codes,0)),""))</f>
        <v/>
      </c>
      <c r="P966" s="12" t="n"/>
      <c r="Q966" s="12" t="n"/>
      <c r="R966" s="12" t="n"/>
      <c r="S966" s="13">
        <f>IF($R966="","",IFERROR(INDEX(Emp_Names,MATCH($R966,Emp_Codes,0)),"NOT FOUND"))</f>
        <v/>
      </c>
      <c r="T966" s="12" t="n"/>
      <c r="U966" s="12" t="n"/>
      <c r="V966" s="12" t="n"/>
    </row>
    <row r="967">
      <c r="A967" s="12" t="n"/>
      <c r="B967" s="12" t="n"/>
      <c r="C967" s="12" t="n"/>
      <c r="D967" s="13">
        <f>IF($A967="","",TRIM($B967&amp;" "&amp;$C967))</f>
        <v/>
      </c>
      <c r="E967" s="12" t="n"/>
      <c r="F967" s="12" t="n"/>
      <c r="G967" s="14" t="n"/>
      <c r="H967" s="14" t="n"/>
      <c r="I967" s="12" t="n"/>
      <c r="J967" s="14" t="n"/>
      <c r="K967" s="12" t="n"/>
      <c r="L967" s="13">
        <f>IF($K967="","",IFERROR(INDEX(Dept_Names,MATCH($K967,Dept_Codes,0)),"NOT FOUND"))</f>
        <v/>
      </c>
      <c r="M967" s="12" t="n"/>
      <c r="N967" s="13">
        <f>IF($M967="","",IFERROR(INDEX(Desig_Names,MATCH($M967,Desig_Codes,0)),"NOT FOUND"))</f>
        <v/>
      </c>
      <c r="O967" s="13">
        <f>IF($M967="","",IFERROR(INDEX(Desig_Levels,MATCH($M967,Desig_Codes,0)),""))</f>
        <v/>
      </c>
      <c r="P967" s="12" t="n"/>
      <c r="Q967" s="12" t="n"/>
      <c r="R967" s="12" t="n"/>
      <c r="S967" s="13">
        <f>IF($R967="","",IFERROR(INDEX(Emp_Names,MATCH($R967,Emp_Codes,0)),"NOT FOUND"))</f>
        <v/>
      </c>
      <c r="T967" s="12" t="n"/>
      <c r="U967" s="12" t="n"/>
      <c r="V967" s="12" t="n"/>
    </row>
    <row r="968">
      <c r="A968" s="12" t="n"/>
      <c r="B968" s="12" t="n"/>
      <c r="C968" s="12" t="n"/>
      <c r="D968" s="13">
        <f>IF($A968="","",TRIM($B968&amp;" "&amp;$C968))</f>
        <v/>
      </c>
      <c r="E968" s="12" t="n"/>
      <c r="F968" s="12" t="n"/>
      <c r="G968" s="14" t="n"/>
      <c r="H968" s="14" t="n"/>
      <c r="I968" s="12" t="n"/>
      <c r="J968" s="14" t="n"/>
      <c r="K968" s="12" t="n"/>
      <c r="L968" s="13">
        <f>IF($K968="","",IFERROR(INDEX(Dept_Names,MATCH($K968,Dept_Codes,0)),"NOT FOUND"))</f>
        <v/>
      </c>
      <c r="M968" s="12" t="n"/>
      <c r="N968" s="13">
        <f>IF($M968="","",IFERROR(INDEX(Desig_Names,MATCH($M968,Desig_Codes,0)),"NOT FOUND"))</f>
        <v/>
      </c>
      <c r="O968" s="13">
        <f>IF($M968="","",IFERROR(INDEX(Desig_Levels,MATCH($M968,Desig_Codes,0)),""))</f>
        <v/>
      </c>
      <c r="P968" s="12" t="n"/>
      <c r="Q968" s="12" t="n"/>
      <c r="R968" s="12" t="n"/>
      <c r="S968" s="13">
        <f>IF($R968="","",IFERROR(INDEX(Emp_Names,MATCH($R968,Emp_Codes,0)),"NOT FOUND"))</f>
        <v/>
      </c>
      <c r="T968" s="12" t="n"/>
      <c r="U968" s="12" t="n"/>
      <c r="V968" s="12" t="n"/>
    </row>
    <row r="969">
      <c r="A969" s="12" t="n"/>
      <c r="B969" s="12" t="n"/>
      <c r="C969" s="12" t="n"/>
      <c r="D969" s="13">
        <f>IF($A969="","",TRIM($B969&amp;" "&amp;$C969))</f>
        <v/>
      </c>
      <c r="E969" s="12" t="n"/>
      <c r="F969" s="12" t="n"/>
      <c r="G969" s="14" t="n"/>
      <c r="H969" s="14" t="n"/>
      <c r="I969" s="12" t="n"/>
      <c r="J969" s="14" t="n"/>
      <c r="K969" s="12" t="n"/>
      <c r="L969" s="13">
        <f>IF($K969="","",IFERROR(INDEX(Dept_Names,MATCH($K969,Dept_Codes,0)),"NOT FOUND"))</f>
        <v/>
      </c>
      <c r="M969" s="12" t="n"/>
      <c r="N969" s="13">
        <f>IF($M969="","",IFERROR(INDEX(Desig_Names,MATCH($M969,Desig_Codes,0)),"NOT FOUND"))</f>
        <v/>
      </c>
      <c r="O969" s="13">
        <f>IF($M969="","",IFERROR(INDEX(Desig_Levels,MATCH($M969,Desig_Codes,0)),""))</f>
        <v/>
      </c>
      <c r="P969" s="12" t="n"/>
      <c r="Q969" s="12" t="n"/>
      <c r="R969" s="12" t="n"/>
      <c r="S969" s="13">
        <f>IF($R969="","",IFERROR(INDEX(Emp_Names,MATCH($R969,Emp_Codes,0)),"NOT FOUND"))</f>
        <v/>
      </c>
      <c r="T969" s="12" t="n"/>
      <c r="U969" s="12" t="n"/>
      <c r="V969" s="12" t="n"/>
    </row>
    <row r="970">
      <c r="A970" s="12" t="n"/>
      <c r="B970" s="12" t="n"/>
      <c r="C970" s="12" t="n"/>
      <c r="D970" s="13">
        <f>IF($A970="","",TRIM($B970&amp;" "&amp;$C970))</f>
        <v/>
      </c>
      <c r="E970" s="12" t="n"/>
      <c r="F970" s="12" t="n"/>
      <c r="G970" s="14" t="n"/>
      <c r="H970" s="14" t="n"/>
      <c r="I970" s="12" t="n"/>
      <c r="J970" s="14" t="n"/>
      <c r="K970" s="12" t="n"/>
      <c r="L970" s="13">
        <f>IF($K970="","",IFERROR(INDEX(Dept_Names,MATCH($K970,Dept_Codes,0)),"NOT FOUND"))</f>
        <v/>
      </c>
      <c r="M970" s="12" t="n"/>
      <c r="N970" s="13">
        <f>IF($M970="","",IFERROR(INDEX(Desig_Names,MATCH($M970,Desig_Codes,0)),"NOT FOUND"))</f>
        <v/>
      </c>
      <c r="O970" s="13">
        <f>IF($M970="","",IFERROR(INDEX(Desig_Levels,MATCH($M970,Desig_Codes,0)),""))</f>
        <v/>
      </c>
      <c r="P970" s="12" t="n"/>
      <c r="Q970" s="12" t="n"/>
      <c r="R970" s="12" t="n"/>
      <c r="S970" s="13">
        <f>IF($R970="","",IFERROR(INDEX(Emp_Names,MATCH($R970,Emp_Codes,0)),"NOT FOUND"))</f>
        <v/>
      </c>
      <c r="T970" s="12" t="n"/>
      <c r="U970" s="12" t="n"/>
      <c r="V970" s="12" t="n"/>
    </row>
    <row r="971">
      <c r="A971" s="12" t="n"/>
      <c r="B971" s="12" t="n"/>
      <c r="C971" s="12" t="n"/>
      <c r="D971" s="13">
        <f>IF($A971="","",TRIM($B971&amp;" "&amp;$C971))</f>
        <v/>
      </c>
      <c r="E971" s="12" t="n"/>
      <c r="F971" s="12" t="n"/>
      <c r="G971" s="14" t="n"/>
      <c r="H971" s="14" t="n"/>
      <c r="I971" s="12" t="n"/>
      <c r="J971" s="14" t="n"/>
      <c r="K971" s="12" t="n"/>
      <c r="L971" s="13">
        <f>IF($K971="","",IFERROR(INDEX(Dept_Names,MATCH($K971,Dept_Codes,0)),"NOT FOUND"))</f>
        <v/>
      </c>
      <c r="M971" s="12" t="n"/>
      <c r="N971" s="13">
        <f>IF($M971="","",IFERROR(INDEX(Desig_Names,MATCH($M971,Desig_Codes,0)),"NOT FOUND"))</f>
        <v/>
      </c>
      <c r="O971" s="13">
        <f>IF($M971="","",IFERROR(INDEX(Desig_Levels,MATCH($M971,Desig_Codes,0)),""))</f>
        <v/>
      </c>
      <c r="P971" s="12" t="n"/>
      <c r="Q971" s="12" t="n"/>
      <c r="R971" s="12" t="n"/>
      <c r="S971" s="13">
        <f>IF($R971="","",IFERROR(INDEX(Emp_Names,MATCH($R971,Emp_Codes,0)),"NOT FOUND"))</f>
        <v/>
      </c>
      <c r="T971" s="12" t="n"/>
      <c r="U971" s="12" t="n"/>
      <c r="V971" s="12" t="n"/>
    </row>
    <row r="972">
      <c r="A972" s="12" t="n"/>
      <c r="B972" s="12" t="n"/>
      <c r="C972" s="12" t="n"/>
      <c r="D972" s="13">
        <f>IF($A972="","",TRIM($B972&amp;" "&amp;$C972))</f>
        <v/>
      </c>
      <c r="E972" s="12" t="n"/>
      <c r="F972" s="12" t="n"/>
      <c r="G972" s="14" t="n"/>
      <c r="H972" s="14" t="n"/>
      <c r="I972" s="12" t="n"/>
      <c r="J972" s="14" t="n"/>
      <c r="K972" s="12" t="n"/>
      <c r="L972" s="13">
        <f>IF($K972="","",IFERROR(INDEX(Dept_Names,MATCH($K972,Dept_Codes,0)),"NOT FOUND"))</f>
        <v/>
      </c>
      <c r="M972" s="12" t="n"/>
      <c r="N972" s="13">
        <f>IF($M972="","",IFERROR(INDEX(Desig_Names,MATCH($M972,Desig_Codes,0)),"NOT FOUND"))</f>
        <v/>
      </c>
      <c r="O972" s="13">
        <f>IF($M972="","",IFERROR(INDEX(Desig_Levels,MATCH($M972,Desig_Codes,0)),""))</f>
        <v/>
      </c>
      <c r="P972" s="12" t="n"/>
      <c r="Q972" s="12" t="n"/>
      <c r="R972" s="12" t="n"/>
      <c r="S972" s="13">
        <f>IF($R972="","",IFERROR(INDEX(Emp_Names,MATCH($R972,Emp_Codes,0)),"NOT FOUND"))</f>
        <v/>
      </c>
      <c r="T972" s="12" t="n"/>
      <c r="U972" s="12" t="n"/>
      <c r="V972" s="12" t="n"/>
    </row>
    <row r="973">
      <c r="A973" s="12" t="n"/>
      <c r="B973" s="12" t="n"/>
      <c r="C973" s="12" t="n"/>
      <c r="D973" s="13">
        <f>IF($A973="","",TRIM($B973&amp;" "&amp;$C973))</f>
        <v/>
      </c>
      <c r="E973" s="12" t="n"/>
      <c r="F973" s="12" t="n"/>
      <c r="G973" s="14" t="n"/>
      <c r="H973" s="14" t="n"/>
      <c r="I973" s="12" t="n"/>
      <c r="J973" s="14" t="n"/>
      <c r="K973" s="12" t="n"/>
      <c r="L973" s="13">
        <f>IF($K973="","",IFERROR(INDEX(Dept_Names,MATCH($K973,Dept_Codes,0)),"NOT FOUND"))</f>
        <v/>
      </c>
      <c r="M973" s="12" t="n"/>
      <c r="N973" s="13">
        <f>IF($M973="","",IFERROR(INDEX(Desig_Names,MATCH($M973,Desig_Codes,0)),"NOT FOUND"))</f>
        <v/>
      </c>
      <c r="O973" s="13">
        <f>IF($M973="","",IFERROR(INDEX(Desig_Levels,MATCH($M973,Desig_Codes,0)),""))</f>
        <v/>
      </c>
      <c r="P973" s="12" t="n"/>
      <c r="Q973" s="12" t="n"/>
      <c r="R973" s="12" t="n"/>
      <c r="S973" s="13">
        <f>IF($R973="","",IFERROR(INDEX(Emp_Names,MATCH($R973,Emp_Codes,0)),"NOT FOUND"))</f>
        <v/>
      </c>
      <c r="T973" s="12" t="n"/>
      <c r="U973" s="12" t="n"/>
      <c r="V973" s="12" t="n"/>
    </row>
    <row r="974">
      <c r="A974" s="12" t="n"/>
      <c r="B974" s="12" t="n"/>
      <c r="C974" s="12" t="n"/>
      <c r="D974" s="13">
        <f>IF($A974="","",TRIM($B974&amp;" "&amp;$C974))</f>
        <v/>
      </c>
      <c r="E974" s="12" t="n"/>
      <c r="F974" s="12" t="n"/>
      <c r="G974" s="14" t="n"/>
      <c r="H974" s="14" t="n"/>
      <c r="I974" s="12" t="n"/>
      <c r="J974" s="14" t="n"/>
      <c r="K974" s="12" t="n"/>
      <c r="L974" s="13">
        <f>IF($K974="","",IFERROR(INDEX(Dept_Names,MATCH($K974,Dept_Codes,0)),"NOT FOUND"))</f>
        <v/>
      </c>
      <c r="M974" s="12" t="n"/>
      <c r="N974" s="13">
        <f>IF($M974="","",IFERROR(INDEX(Desig_Names,MATCH($M974,Desig_Codes,0)),"NOT FOUND"))</f>
        <v/>
      </c>
      <c r="O974" s="13">
        <f>IF($M974="","",IFERROR(INDEX(Desig_Levels,MATCH($M974,Desig_Codes,0)),""))</f>
        <v/>
      </c>
      <c r="P974" s="12" t="n"/>
      <c r="Q974" s="12" t="n"/>
      <c r="R974" s="12" t="n"/>
      <c r="S974" s="13">
        <f>IF($R974="","",IFERROR(INDEX(Emp_Names,MATCH($R974,Emp_Codes,0)),"NOT FOUND"))</f>
        <v/>
      </c>
      <c r="T974" s="12" t="n"/>
      <c r="U974" s="12" t="n"/>
      <c r="V974" s="12" t="n"/>
    </row>
    <row r="975">
      <c r="A975" s="12" t="n"/>
      <c r="B975" s="12" t="n"/>
      <c r="C975" s="12" t="n"/>
      <c r="D975" s="13">
        <f>IF($A975="","",TRIM($B975&amp;" "&amp;$C975))</f>
        <v/>
      </c>
      <c r="E975" s="12" t="n"/>
      <c r="F975" s="12" t="n"/>
      <c r="G975" s="14" t="n"/>
      <c r="H975" s="14" t="n"/>
      <c r="I975" s="12" t="n"/>
      <c r="J975" s="14" t="n"/>
      <c r="K975" s="12" t="n"/>
      <c r="L975" s="13">
        <f>IF($K975="","",IFERROR(INDEX(Dept_Names,MATCH($K975,Dept_Codes,0)),"NOT FOUND"))</f>
        <v/>
      </c>
      <c r="M975" s="12" t="n"/>
      <c r="N975" s="13">
        <f>IF($M975="","",IFERROR(INDEX(Desig_Names,MATCH($M975,Desig_Codes,0)),"NOT FOUND"))</f>
        <v/>
      </c>
      <c r="O975" s="13">
        <f>IF($M975="","",IFERROR(INDEX(Desig_Levels,MATCH($M975,Desig_Codes,0)),""))</f>
        <v/>
      </c>
      <c r="P975" s="12" t="n"/>
      <c r="Q975" s="12" t="n"/>
      <c r="R975" s="12" t="n"/>
      <c r="S975" s="13">
        <f>IF($R975="","",IFERROR(INDEX(Emp_Names,MATCH($R975,Emp_Codes,0)),"NOT FOUND"))</f>
        <v/>
      </c>
      <c r="T975" s="12" t="n"/>
      <c r="U975" s="12" t="n"/>
      <c r="V975" s="12" t="n"/>
    </row>
    <row r="976">
      <c r="A976" s="12" t="n"/>
      <c r="B976" s="12" t="n"/>
      <c r="C976" s="12" t="n"/>
      <c r="D976" s="13">
        <f>IF($A976="","",TRIM($B976&amp;" "&amp;$C976))</f>
        <v/>
      </c>
      <c r="E976" s="12" t="n"/>
      <c r="F976" s="12" t="n"/>
      <c r="G976" s="14" t="n"/>
      <c r="H976" s="14" t="n"/>
      <c r="I976" s="12" t="n"/>
      <c r="J976" s="14" t="n"/>
      <c r="K976" s="12" t="n"/>
      <c r="L976" s="13">
        <f>IF($K976="","",IFERROR(INDEX(Dept_Names,MATCH($K976,Dept_Codes,0)),"NOT FOUND"))</f>
        <v/>
      </c>
      <c r="M976" s="12" t="n"/>
      <c r="N976" s="13">
        <f>IF($M976="","",IFERROR(INDEX(Desig_Names,MATCH($M976,Desig_Codes,0)),"NOT FOUND"))</f>
        <v/>
      </c>
      <c r="O976" s="13">
        <f>IF($M976="","",IFERROR(INDEX(Desig_Levels,MATCH($M976,Desig_Codes,0)),""))</f>
        <v/>
      </c>
      <c r="P976" s="12" t="n"/>
      <c r="Q976" s="12" t="n"/>
      <c r="R976" s="12" t="n"/>
      <c r="S976" s="13">
        <f>IF($R976="","",IFERROR(INDEX(Emp_Names,MATCH($R976,Emp_Codes,0)),"NOT FOUND"))</f>
        <v/>
      </c>
      <c r="T976" s="12" t="n"/>
      <c r="U976" s="12" t="n"/>
      <c r="V976" s="12" t="n"/>
    </row>
    <row r="977">
      <c r="A977" s="12" t="n"/>
      <c r="B977" s="12" t="n"/>
      <c r="C977" s="12" t="n"/>
      <c r="D977" s="13">
        <f>IF($A977="","",TRIM($B977&amp;" "&amp;$C977))</f>
        <v/>
      </c>
      <c r="E977" s="12" t="n"/>
      <c r="F977" s="12" t="n"/>
      <c r="G977" s="14" t="n"/>
      <c r="H977" s="14" t="n"/>
      <c r="I977" s="12" t="n"/>
      <c r="J977" s="14" t="n"/>
      <c r="K977" s="12" t="n"/>
      <c r="L977" s="13">
        <f>IF($K977="","",IFERROR(INDEX(Dept_Names,MATCH($K977,Dept_Codes,0)),"NOT FOUND"))</f>
        <v/>
      </c>
      <c r="M977" s="12" t="n"/>
      <c r="N977" s="13">
        <f>IF($M977="","",IFERROR(INDEX(Desig_Names,MATCH($M977,Desig_Codes,0)),"NOT FOUND"))</f>
        <v/>
      </c>
      <c r="O977" s="13">
        <f>IF($M977="","",IFERROR(INDEX(Desig_Levels,MATCH($M977,Desig_Codes,0)),""))</f>
        <v/>
      </c>
      <c r="P977" s="12" t="n"/>
      <c r="Q977" s="12" t="n"/>
      <c r="R977" s="12" t="n"/>
      <c r="S977" s="13">
        <f>IF($R977="","",IFERROR(INDEX(Emp_Names,MATCH($R977,Emp_Codes,0)),"NOT FOUND"))</f>
        <v/>
      </c>
      <c r="T977" s="12" t="n"/>
      <c r="U977" s="12" t="n"/>
      <c r="V977" s="12" t="n"/>
    </row>
    <row r="978">
      <c r="A978" s="12" t="n"/>
      <c r="B978" s="12" t="n"/>
      <c r="C978" s="12" t="n"/>
      <c r="D978" s="13">
        <f>IF($A978="","",TRIM($B978&amp;" "&amp;$C978))</f>
        <v/>
      </c>
      <c r="E978" s="12" t="n"/>
      <c r="F978" s="12" t="n"/>
      <c r="G978" s="14" t="n"/>
      <c r="H978" s="14" t="n"/>
      <c r="I978" s="12" t="n"/>
      <c r="J978" s="14" t="n"/>
      <c r="K978" s="12" t="n"/>
      <c r="L978" s="13">
        <f>IF($K978="","",IFERROR(INDEX(Dept_Names,MATCH($K978,Dept_Codes,0)),"NOT FOUND"))</f>
        <v/>
      </c>
      <c r="M978" s="12" t="n"/>
      <c r="N978" s="13">
        <f>IF($M978="","",IFERROR(INDEX(Desig_Names,MATCH($M978,Desig_Codes,0)),"NOT FOUND"))</f>
        <v/>
      </c>
      <c r="O978" s="13">
        <f>IF($M978="","",IFERROR(INDEX(Desig_Levels,MATCH($M978,Desig_Codes,0)),""))</f>
        <v/>
      </c>
      <c r="P978" s="12" t="n"/>
      <c r="Q978" s="12" t="n"/>
      <c r="R978" s="12" t="n"/>
      <c r="S978" s="13">
        <f>IF($R978="","",IFERROR(INDEX(Emp_Names,MATCH($R978,Emp_Codes,0)),"NOT FOUND"))</f>
        <v/>
      </c>
      <c r="T978" s="12" t="n"/>
      <c r="U978" s="12" t="n"/>
      <c r="V978" s="12" t="n"/>
    </row>
    <row r="979">
      <c r="A979" s="12" t="n"/>
      <c r="B979" s="12" t="n"/>
      <c r="C979" s="12" t="n"/>
      <c r="D979" s="13">
        <f>IF($A979="","",TRIM($B979&amp;" "&amp;$C979))</f>
        <v/>
      </c>
      <c r="E979" s="12" t="n"/>
      <c r="F979" s="12" t="n"/>
      <c r="G979" s="14" t="n"/>
      <c r="H979" s="14" t="n"/>
      <c r="I979" s="12" t="n"/>
      <c r="J979" s="14" t="n"/>
      <c r="K979" s="12" t="n"/>
      <c r="L979" s="13">
        <f>IF($K979="","",IFERROR(INDEX(Dept_Names,MATCH($K979,Dept_Codes,0)),"NOT FOUND"))</f>
        <v/>
      </c>
      <c r="M979" s="12" t="n"/>
      <c r="N979" s="13">
        <f>IF($M979="","",IFERROR(INDEX(Desig_Names,MATCH($M979,Desig_Codes,0)),"NOT FOUND"))</f>
        <v/>
      </c>
      <c r="O979" s="13">
        <f>IF($M979="","",IFERROR(INDEX(Desig_Levels,MATCH($M979,Desig_Codes,0)),""))</f>
        <v/>
      </c>
      <c r="P979" s="12" t="n"/>
      <c r="Q979" s="12" t="n"/>
      <c r="R979" s="12" t="n"/>
      <c r="S979" s="13">
        <f>IF($R979="","",IFERROR(INDEX(Emp_Names,MATCH($R979,Emp_Codes,0)),"NOT FOUND"))</f>
        <v/>
      </c>
      <c r="T979" s="12" t="n"/>
      <c r="U979" s="12" t="n"/>
      <c r="V979" s="12" t="n"/>
    </row>
    <row r="980">
      <c r="A980" s="12" t="n"/>
      <c r="B980" s="12" t="n"/>
      <c r="C980" s="12" t="n"/>
      <c r="D980" s="13">
        <f>IF($A980="","",TRIM($B980&amp;" "&amp;$C980))</f>
        <v/>
      </c>
      <c r="E980" s="12" t="n"/>
      <c r="F980" s="12" t="n"/>
      <c r="G980" s="14" t="n"/>
      <c r="H980" s="14" t="n"/>
      <c r="I980" s="12" t="n"/>
      <c r="J980" s="14" t="n"/>
      <c r="K980" s="12" t="n"/>
      <c r="L980" s="13">
        <f>IF($K980="","",IFERROR(INDEX(Dept_Names,MATCH($K980,Dept_Codes,0)),"NOT FOUND"))</f>
        <v/>
      </c>
      <c r="M980" s="12" t="n"/>
      <c r="N980" s="13">
        <f>IF($M980="","",IFERROR(INDEX(Desig_Names,MATCH($M980,Desig_Codes,0)),"NOT FOUND"))</f>
        <v/>
      </c>
      <c r="O980" s="13">
        <f>IF($M980="","",IFERROR(INDEX(Desig_Levels,MATCH($M980,Desig_Codes,0)),""))</f>
        <v/>
      </c>
      <c r="P980" s="12" t="n"/>
      <c r="Q980" s="12" t="n"/>
      <c r="R980" s="12" t="n"/>
      <c r="S980" s="13">
        <f>IF($R980="","",IFERROR(INDEX(Emp_Names,MATCH($R980,Emp_Codes,0)),"NOT FOUND"))</f>
        <v/>
      </c>
      <c r="T980" s="12" t="n"/>
      <c r="U980" s="12" t="n"/>
      <c r="V980" s="12" t="n"/>
    </row>
    <row r="981">
      <c r="A981" s="12" t="n"/>
      <c r="B981" s="12" t="n"/>
      <c r="C981" s="12" t="n"/>
      <c r="D981" s="13">
        <f>IF($A981="","",TRIM($B981&amp;" "&amp;$C981))</f>
        <v/>
      </c>
      <c r="E981" s="12" t="n"/>
      <c r="F981" s="12" t="n"/>
      <c r="G981" s="14" t="n"/>
      <c r="H981" s="14" t="n"/>
      <c r="I981" s="12" t="n"/>
      <c r="J981" s="14" t="n"/>
      <c r="K981" s="12" t="n"/>
      <c r="L981" s="13">
        <f>IF($K981="","",IFERROR(INDEX(Dept_Names,MATCH($K981,Dept_Codes,0)),"NOT FOUND"))</f>
        <v/>
      </c>
      <c r="M981" s="12" t="n"/>
      <c r="N981" s="13">
        <f>IF($M981="","",IFERROR(INDEX(Desig_Names,MATCH($M981,Desig_Codes,0)),"NOT FOUND"))</f>
        <v/>
      </c>
      <c r="O981" s="13">
        <f>IF($M981="","",IFERROR(INDEX(Desig_Levels,MATCH($M981,Desig_Codes,0)),""))</f>
        <v/>
      </c>
      <c r="P981" s="12" t="n"/>
      <c r="Q981" s="12" t="n"/>
      <c r="R981" s="12" t="n"/>
      <c r="S981" s="13">
        <f>IF($R981="","",IFERROR(INDEX(Emp_Names,MATCH($R981,Emp_Codes,0)),"NOT FOUND"))</f>
        <v/>
      </c>
      <c r="T981" s="12" t="n"/>
      <c r="U981" s="12" t="n"/>
      <c r="V981" s="12" t="n"/>
    </row>
    <row r="982">
      <c r="A982" s="12" t="n"/>
      <c r="B982" s="12" t="n"/>
      <c r="C982" s="12" t="n"/>
      <c r="D982" s="13">
        <f>IF($A982="","",TRIM($B982&amp;" "&amp;$C982))</f>
        <v/>
      </c>
      <c r="E982" s="12" t="n"/>
      <c r="F982" s="12" t="n"/>
      <c r="G982" s="14" t="n"/>
      <c r="H982" s="14" t="n"/>
      <c r="I982" s="12" t="n"/>
      <c r="J982" s="14" t="n"/>
      <c r="K982" s="12" t="n"/>
      <c r="L982" s="13">
        <f>IF($K982="","",IFERROR(INDEX(Dept_Names,MATCH($K982,Dept_Codes,0)),"NOT FOUND"))</f>
        <v/>
      </c>
      <c r="M982" s="12" t="n"/>
      <c r="N982" s="13">
        <f>IF($M982="","",IFERROR(INDEX(Desig_Names,MATCH($M982,Desig_Codes,0)),"NOT FOUND"))</f>
        <v/>
      </c>
      <c r="O982" s="13">
        <f>IF($M982="","",IFERROR(INDEX(Desig_Levels,MATCH($M982,Desig_Codes,0)),""))</f>
        <v/>
      </c>
      <c r="P982" s="12" t="n"/>
      <c r="Q982" s="12" t="n"/>
      <c r="R982" s="12" t="n"/>
      <c r="S982" s="13">
        <f>IF($R982="","",IFERROR(INDEX(Emp_Names,MATCH($R982,Emp_Codes,0)),"NOT FOUND"))</f>
        <v/>
      </c>
      <c r="T982" s="12" t="n"/>
      <c r="U982" s="12" t="n"/>
      <c r="V982" s="12" t="n"/>
    </row>
    <row r="983">
      <c r="A983" s="12" t="n"/>
      <c r="B983" s="12" t="n"/>
      <c r="C983" s="12" t="n"/>
      <c r="D983" s="13">
        <f>IF($A983="","",TRIM($B983&amp;" "&amp;$C983))</f>
        <v/>
      </c>
      <c r="E983" s="12" t="n"/>
      <c r="F983" s="12" t="n"/>
      <c r="G983" s="14" t="n"/>
      <c r="H983" s="14" t="n"/>
      <c r="I983" s="12" t="n"/>
      <c r="J983" s="14" t="n"/>
      <c r="K983" s="12" t="n"/>
      <c r="L983" s="13">
        <f>IF($K983="","",IFERROR(INDEX(Dept_Names,MATCH($K983,Dept_Codes,0)),"NOT FOUND"))</f>
        <v/>
      </c>
      <c r="M983" s="12" t="n"/>
      <c r="N983" s="13">
        <f>IF($M983="","",IFERROR(INDEX(Desig_Names,MATCH($M983,Desig_Codes,0)),"NOT FOUND"))</f>
        <v/>
      </c>
      <c r="O983" s="13">
        <f>IF($M983="","",IFERROR(INDEX(Desig_Levels,MATCH($M983,Desig_Codes,0)),""))</f>
        <v/>
      </c>
      <c r="P983" s="12" t="n"/>
      <c r="Q983" s="12" t="n"/>
      <c r="R983" s="12" t="n"/>
      <c r="S983" s="13">
        <f>IF($R983="","",IFERROR(INDEX(Emp_Names,MATCH($R983,Emp_Codes,0)),"NOT FOUND"))</f>
        <v/>
      </c>
      <c r="T983" s="12" t="n"/>
      <c r="U983" s="12" t="n"/>
      <c r="V983" s="12" t="n"/>
    </row>
    <row r="984">
      <c r="A984" s="12" t="n"/>
      <c r="B984" s="12" t="n"/>
      <c r="C984" s="12" t="n"/>
      <c r="D984" s="13">
        <f>IF($A984="","",TRIM($B984&amp;" "&amp;$C984))</f>
        <v/>
      </c>
      <c r="E984" s="12" t="n"/>
      <c r="F984" s="12" t="n"/>
      <c r="G984" s="14" t="n"/>
      <c r="H984" s="14" t="n"/>
      <c r="I984" s="12" t="n"/>
      <c r="J984" s="14" t="n"/>
      <c r="K984" s="12" t="n"/>
      <c r="L984" s="13">
        <f>IF($K984="","",IFERROR(INDEX(Dept_Names,MATCH($K984,Dept_Codes,0)),"NOT FOUND"))</f>
        <v/>
      </c>
      <c r="M984" s="12" t="n"/>
      <c r="N984" s="13">
        <f>IF($M984="","",IFERROR(INDEX(Desig_Names,MATCH($M984,Desig_Codes,0)),"NOT FOUND"))</f>
        <v/>
      </c>
      <c r="O984" s="13">
        <f>IF($M984="","",IFERROR(INDEX(Desig_Levels,MATCH($M984,Desig_Codes,0)),""))</f>
        <v/>
      </c>
      <c r="P984" s="12" t="n"/>
      <c r="Q984" s="12" t="n"/>
      <c r="R984" s="12" t="n"/>
      <c r="S984" s="13">
        <f>IF($R984="","",IFERROR(INDEX(Emp_Names,MATCH($R984,Emp_Codes,0)),"NOT FOUND"))</f>
        <v/>
      </c>
      <c r="T984" s="12" t="n"/>
      <c r="U984" s="12" t="n"/>
      <c r="V984" s="12" t="n"/>
    </row>
    <row r="985">
      <c r="A985" s="12" t="n"/>
      <c r="B985" s="12" t="n"/>
      <c r="C985" s="12" t="n"/>
      <c r="D985" s="13">
        <f>IF($A985="","",TRIM($B985&amp;" "&amp;$C985))</f>
        <v/>
      </c>
      <c r="E985" s="12" t="n"/>
      <c r="F985" s="12" t="n"/>
      <c r="G985" s="14" t="n"/>
      <c r="H985" s="14" t="n"/>
      <c r="I985" s="12" t="n"/>
      <c r="J985" s="14" t="n"/>
      <c r="K985" s="12" t="n"/>
      <c r="L985" s="13">
        <f>IF($K985="","",IFERROR(INDEX(Dept_Names,MATCH($K985,Dept_Codes,0)),"NOT FOUND"))</f>
        <v/>
      </c>
      <c r="M985" s="12" t="n"/>
      <c r="N985" s="13">
        <f>IF($M985="","",IFERROR(INDEX(Desig_Names,MATCH($M985,Desig_Codes,0)),"NOT FOUND"))</f>
        <v/>
      </c>
      <c r="O985" s="13">
        <f>IF($M985="","",IFERROR(INDEX(Desig_Levels,MATCH($M985,Desig_Codes,0)),""))</f>
        <v/>
      </c>
      <c r="P985" s="12" t="n"/>
      <c r="Q985" s="12" t="n"/>
      <c r="R985" s="12" t="n"/>
      <c r="S985" s="13">
        <f>IF($R985="","",IFERROR(INDEX(Emp_Names,MATCH($R985,Emp_Codes,0)),"NOT FOUND"))</f>
        <v/>
      </c>
      <c r="T985" s="12" t="n"/>
      <c r="U985" s="12" t="n"/>
      <c r="V985" s="12" t="n"/>
    </row>
    <row r="986">
      <c r="A986" s="12" t="n"/>
      <c r="B986" s="12" t="n"/>
      <c r="C986" s="12" t="n"/>
      <c r="D986" s="13">
        <f>IF($A986="","",TRIM($B986&amp;" "&amp;$C986))</f>
        <v/>
      </c>
      <c r="E986" s="12" t="n"/>
      <c r="F986" s="12" t="n"/>
      <c r="G986" s="14" t="n"/>
      <c r="H986" s="14" t="n"/>
      <c r="I986" s="12" t="n"/>
      <c r="J986" s="14" t="n"/>
      <c r="K986" s="12" t="n"/>
      <c r="L986" s="13">
        <f>IF($K986="","",IFERROR(INDEX(Dept_Names,MATCH($K986,Dept_Codes,0)),"NOT FOUND"))</f>
        <v/>
      </c>
      <c r="M986" s="12" t="n"/>
      <c r="N986" s="13">
        <f>IF($M986="","",IFERROR(INDEX(Desig_Names,MATCH($M986,Desig_Codes,0)),"NOT FOUND"))</f>
        <v/>
      </c>
      <c r="O986" s="13">
        <f>IF($M986="","",IFERROR(INDEX(Desig_Levels,MATCH($M986,Desig_Codes,0)),""))</f>
        <v/>
      </c>
      <c r="P986" s="12" t="n"/>
      <c r="Q986" s="12" t="n"/>
      <c r="R986" s="12" t="n"/>
      <c r="S986" s="13">
        <f>IF($R986="","",IFERROR(INDEX(Emp_Names,MATCH($R986,Emp_Codes,0)),"NOT FOUND"))</f>
        <v/>
      </c>
      <c r="T986" s="12" t="n"/>
      <c r="U986" s="12" t="n"/>
      <c r="V986" s="12" t="n"/>
    </row>
    <row r="987">
      <c r="A987" s="12" t="n"/>
      <c r="B987" s="12" t="n"/>
      <c r="C987" s="12" t="n"/>
      <c r="D987" s="13">
        <f>IF($A987="","",TRIM($B987&amp;" "&amp;$C987))</f>
        <v/>
      </c>
      <c r="E987" s="12" t="n"/>
      <c r="F987" s="12" t="n"/>
      <c r="G987" s="14" t="n"/>
      <c r="H987" s="14" t="n"/>
      <c r="I987" s="12" t="n"/>
      <c r="J987" s="14" t="n"/>
      <c r="K987" s="12" t="n"/>
      <c r="L987" s="13">
        <f>IF($K987="","",IFERROR(INDEX(Dept_Names,MATCH($K987,Dept_Codes,0)),"NOT FOUND"))</f>
        <v/>
      </c>
      <c r="M987" s="12" t="n"/>
      <c r="N987" s="13">
        <f>IF($M987="","",IFERROR(INDEX(Desig_Names,MATCH($M987,Desig_Codes,0)),"NOT FOUND"))</f>
        <v/>
      </c>
      <c r="O987" s="13">
        <f>IF($M987="","",IFERROR(INDEX(Desig_Levels,MATCH($M987,Desig_Codes,0)),""))</f>
        <v/>
      </c>
      <c r="P987" s="12" t="n"/>
      <c r="Q987" s="12" t="n"/>
      <c r="R987" s="12" t="n"/>
      <c r="S987" s="13">
        <f>IF($R987="","",IFERROR(INDEX(Emp_Names,MATCH($R987,Emp_Codes,0)),"NOT FOUND"))</f>
        <v/>
      </c>
      <c r="T987" s="12" t="n"/>
      <c r="U987" s="12" t="n"/>
      <c r="V987" s="12" t="n"/>
    </row>
    <row r="988">
      <c r="A988" s="12" t="n"/>
      <c r="B988" s="12" t="n"/>
      <c r="C988" s="12" t="n"/>
      <c r="D988" s="13">
        <f>IF($A988="","",TRIM($B988&amp;" "&amp;$C988))</f>
        <v/>
      </c>
      <c r="E988" s="12" t="n"/>
      <c r="F988" s="12" t="n"/>
      <c r="G988" s="14" t="n"/>
      <c r="H988" s="14" t="n"/>
      <c r="I988" s="12" t="n"/>
      <c r="J988" s="14" t="n"/>
      <c r="K988" s="12" t="n"/>
      <c r="L988" s="13">
        <f>IF($K988="","",IFERROR(INDEX(Dept_Names,MATCH($K988,Dept_Codes,0)),"NOT FOUND"))</f>
        <v/>
      </c>
      <c r="M988" s="12" t="n"/>
      <c r="N988" s="13">
        <f>IF($M988="","",IFERROR(INDEX(Desig_Names,MATCH($M988,Desig_Codes,0)),"NOT FOUND"))</f>
        <v/>
      </c>
      <c r="O988" s="13">
        <f>IF($M988="","",IFERROR(INDEX(Desig_Levels,MATCH($M988,Desig_Codes,0)),""))</f>
        <v/>
      </c>
      <c r="P988" s="12" t="n"/>
      <c r="Q988" s="12" t="n"/>
      <c r="R988" s="12" t="n"/>
      <c r="S988" s="13">
        <f>IF($R988="","",IFERROR(INDEX(Emp_Names,MATCH($R988,Emp_Codes,0)),"NOT FOUND"))</f>
        <v/>
      </c>
      <c r="T988" s="12" t="n"/>
      <c r="U988" s="12" t="n"/>
      <c r="V988" s="12" t="n"/>
    </row>
    <row r="989">
      <c r="A989" s="12" t="n"/>
      <c r="B989" s="12" t="n"/>
      <c r="C989" s="12" t="n"/>
      <c r="D989" s="13">
        <f>IF($A989="","",TRIM($B989&amp;" "&amp;$C989))</f>
        <v/>
      </c>
      <c r="E989" s="12" t="n"/>
      <c r="F989" s="12" t="n"/>
      <c r="G989" s="14" t="n"/>
      <c r="H989" s="14" t="n"/>
      <c r="I989" s="12" t="n"/>
      <c r="J989" s="14" t="n"/>
      <c r="K989" s="12" t="n"/>
      <c r="L989" s="13">
        <f>IF($K989="","",IFERROR(INDEX(Dept_Names,MATCH($K989,Dept_Codes,0)),"NOT FOUND"))</f>
        <v/>
      </c>
      <c r="M989" s="12" t="n"/>
      <c r="N989" s="13">
        <f>IF($M989="","",IFERROR(INDEX(Desig_Names,MATCH($M989,Desig_Codes,0)),"NOT FOUND"))</f>
        <v/>
      </c>
      <c r="O989" s="13">
        <f>IF($M989="","",IFERROR(INDEX(Desig_Levels,MATCH($M989,Desig_Codes,0)),""))</f>
        <v/>
      </c>
      <c r="P989" s="12" t="n"/>
      <c r="Q989" s="12" t="n"/>
      <c r="R989" s="12" t="n"/>
      <c r="S989" s="13">
        <f>IF($R989="","",IFERROR(INDEX(Emp_Names,MATCH($R989,Emp_Codes,0)),"NOT FOUND"))</f>
        <v/>
      </c>
      <c r="T989" s="12" t="n"/>
      <c r="U989" s="12" t="n"/>
      <c r="V989" s="12" t="n"/>
    </row>
    <row r="990">
      <c r="A990" s="12" t="n"/>
      <c r="B990" s="12" t="n"/>
      <c r="C990" s="12" t="n"/>
      <c r="D990" s="13">
        <f>IF($A990="","",TRIM($B990&amp;" "&amp;$C990))</f>
        <v/>
      </c>
      <c r="E990" s="12" t="n"/>
      <c r="F990" s="12" t="n"/>
      <c r="G990" s="14" t="n"/>
      <c r="H990" s="14" t="n"/>
      <c r="I990" s="12" t="n"/>
      <c r="J990" s="14" t="n"/>
      <c r="K990" s="12" t="n"/>
      <c r="L990" s="13">
        <f>IF($K990="","",IFERROR(INDEX(Dept_Names,MATCH($K990,Dept_Codes,0)),"NOT FOUND"))</f>
        <v/>
      </c>
      <c r="M990" s="12" t="n"/>
      <c r="N990" s="13">
        <f>IF($M990="","",IFERROR(INDEX(Desig_Names,MATCH($M990,Desig_Codes,0)),"NOT FOUND"))</f>
        <v/>
      </c>
      <c r="O990" s="13">
        <f>IF($M990="","",IFERROR(INDEX(Desig_Levels,MATCH($M990,Desig_Codes,0)),""))</f>
        <v/>
      </c>
      <c r="P990" s="12" t="n"/>
      <c r="Q990" s="12" t="n"/>
      <c r="R990" s="12" t="n"/>
      <c r="S990" s="13">
        <f>IF($R990="","",IFERROR(INDEX(Emp_Names,MATCH($R990,Emp_Codes,0)),"NOT FOUND"))</f>
        <v/>
      </c>
      <c r="T990" s="12" t="n"/>
      <c r="U990" s="12" t="n"/>
      <c r="V990" s="12" t="n"/>
    </row>
    <row r="991">
      <c r="A991" s="12" t="n"/>
      <c r="B991" s="12" t="n"/>
      <c r="C991" s="12" t="n"/>
      <c r="D991" s="13">
        <f>IF($A991="","",TRIM($B991&amp;" "&amp;$C991))</f>
        <v/>
      </c>
      <c r="E991" s="12" t="n"/>
      <c r="F991" s="12" t="n"/>
      <c r="G991" s="14" t="n"/>
      <c r="H991" s="14" t="n"/>
      <c r="I991" s="12" t="n"/>
      <c r="J991" s="14" t="n"/>
      <c r="K991" s="12" t="n"/>
      <c r="L991" s="13">
        <f>IF($K991="","",IFERROR(INDEX(Dept_Names,MATCH($K991,Dept_Codes,0)),"NOT FOUND"))</f>
        <v/>
      </c>
      <c r="M991" s="12" t="n"/>
      <c r="N991" s="13">
        <f>IF($M991="","",IFERROR(INDEX(Desig_Names,MATCH($M991,Desig_Codes,0)),"NOT FOUND"))</f>
        <v/>
      </c>
      <c r="O991" s="13">
        <f>IF($M991="","",IFERROR(INDEX(Desig_Levels,MATCH($M991,Desig_Codes,0)),""))</f>
        <v/>
      </c>
      <c r="P991" s="12" t="n"/>
      <c r="Q991" s="12" t="n"/>
      <c r="R991" s="12" t="n"/>
      <c r="S991" s="13">
        <f>IF($R991="","",IFERROR(INDEX(Emp_Names,MATCH($R991,Emp_Codes,0)),"NOT FOUND"))</f>
        <v/>
      </c>
      <c r="T991" s="12" t="n"/>
      <c r="U991" s="12" t="n"/>
      <c r="V991" s="12" t="n"/>
    </row>
    <row r="992">
      <c r="A992" s="12" t="n"/>
      <c r="B992" s="12" t="n"/>
      <c r="C992" s="12" t="n"/>
      <c r="D992" s="13">
        <f>IF($A992="","",TRIM($B992&amp;" "&amp;$C992))</f>
        <v/>
      </c>
      <c r="E992" s="12" t="n"/>
      <c r="F992" s="12" t="n"/>
      <c r="G992" s="14" t="n"/>
      <c r="H992" s="14" t="n"/>
      <c r="I992" s="12" t="n"/>
      <c r="J992" s="14" t="n"/>
      <c r="K992" s="12" t="n"/>
      <c r="L992" s="13">
        <f>IF($K992="","",IFERROR(INDEX(Dept_Names,MATCH($K992,Dept_Codes,0)),"NOT FOUND"))</f>
        <v/>
      </c>
      <c r="M992" s="12" t="n"/>
      <c r="N992" s="13">
        <f>IF($M992="","",IFERROR(INDEX(Desig_Names,MATCH($M992,Desig_Codes,0)),"NOT FOUND"))</f>
        <v/>
      </c>
      <c r="O992" s="13">
        <f>IF($M992="","",IFERROR(INDEX(Desig_Levels,MATCH($M992,Desig_Codes,0)),""))</f>
        <v/>
      </c>
      <c r="P992" s="12" t="n"/>
      <c r="Q992" s="12" t="n"/>
      <c r="R992" s="12" t="n"/>
      <c r="S992" s="13">
        <f>IF($R992="","",IFERROR(INDEX(Emp_Names,MATCH($R992,Emp_Codes,0)),"NOT FOUND"))</f>
        <v/>
      </c>
      <c r="T992" s="12" t="n"/>
      <c r="U992" s="12" t="n"/>
      <c r="V992" s="12" t="n"/>
    </row>
    <row r="993">
      <c r="A993" s="12" t="n"/>
      <c r="B993" s="12" t="n"/>
      <c r="C993" s="12" t="n"/>
      <c r="D993" s="13">
        <f>IF($A993="","",TRIM($B993&amp;" "&amp;$C993))</f>
        <v/>
      </c>
      <c r="E993" s="12" t="n"/>
      <c r="F993" s="12" t="n"/>
      <c r="G993" s="14" t="n"/>
      <c r="H993" s="14" t="n"/>
      <c r="I993" s="12" t="n"/>
      <c r="J993" s="14" t="n"/>
      <c r="K993" s="12" t="n"/>
      <c r="L993" s="13">
        <f>IF($K993="","",IFERROR(INDEX(Dept_Names,MATCH($K993,Dept_Codes,0)),"NOT FOUND"))</f>
        <v/>
      </c>
      <c r="M993" s="12" t="n"/>
      <c r="N993" s="13">
        <f>IF($M993="","",IFERROR(INDEX(Desig_Names,MATCH($M993,Desig_Codes,0)),"NOT FOUND"))</f>
        <v/>
      </c>
      <c r="O993" s="13">
        <f>IF($M993="","",IFERROR(INDEX(Desig_Levels,MATCH($M993,Desig_Codes,0)),""))</f>
        <v/>
      </c>
      <c r="P993" s="12" t="n"/>
      <c r="Q993" s="12" t="n"/>
      <c r="R993" s="12" t="n"/>
      <c r="S993" s="13">
        <f>IF($R993="","",IFERROR(INDEX(Emp_Names,MATCH($R993,Emp_Codes,0)),"NOT FOUND"))</f>
        <v/>
      </c>
      <c r="T993" s="12" t="n"/>
      <c r="U993" s="12" t="n"/>
      <c r="V993" s="12" t="n"/>
    </row>
    <row r="994">
      <c r="A994" s="12" t="n"/>
      <c r="B994" s="12" t="n"/>
      <c r="C994" s="12" t="n"/>
      <c r="D994" s="13">
        <f>IF($A994="","",TRIM($B994&amp;" "&amp;$C994))</f>
        <v/>
      </c>
      <c r="E994" s="12" t="n"/>
      <c r="F994" s="12" t="n"/>
      <c r="G994" s="14" t="n"/>
      <c r="H994" s="14" t="n"/>
      <c r="I994" s="12" t="n"/>
      <c r="J994" s="14" t="n"/>
      <c r="K994" s="12" t="n"/>
      <c r="L994" s="13">
        <f>IF($K994="","",IFERROR(INDEX(Dept_Names,MATCH($K994,Dept_Codes,0)),"NOT FOUND"))</f>
        <v/>
      </c>
      <c r="M994" s="12" t="n"/>
      <c r="N994" s="13">
        <f>IF($M994="","",IFERROR(INDEX(Desig_Names,MATCH($M994,Desig_Codes,0)),"NOT FOUND"))</f>
        <v/>
      </c>
      <c r="O994" s="13">
        <f>IF($M994="","",IFERROR(INDEX(Desig_Levels,MATCH($M994,Desig_Codes,0)),""))</f>
        <v/>
      </c>
      <c r="P994" s="12" t="n"/>
      <c r="Q994" s="12" t="n"/>
      <c r="R994" s="12" t="n"/>
      <c r="S994" s="13">
        <f>IF($R994="","",IFERROR(INDEX(Emp_Names,MATCH($R994,Emp_Codes,0)),"NOT FOUND"))</f>
        <v/>
      </c>
      <c r="T994" s="12" t="n"/>
      <c r="U994" s="12" t="n"/>
      <c r="V994" s="12" t="n"/>
    </row>
    <row r="995">
      <c r="A995" s="12" t="n"/>
      <c r="B995" s="12" t="n"/>
      <c r="C995" s="12" t="n"/>
      <c r="D995" s="13">
        <f>IF($A995="","",TRIM($B995&amp;" "&amp;$C995))</f>
        <v/>
      </c>
      <c r="E995" s="12" t="n"/>
      <c r="F995" s="12" t="n"/>
      <c r="G995" s="14" t="n"/>
      <c r="H995" s="14" t="n"/>
      <c r="I995" s="12" t="n"/>
      <c r="J995" s="14" t="n"/>
      <c r="K995" s="12" t="n"/>
      <c r="L995" s="13">
        <f>IF($K995="","",IFERROR(INDEX(Dept_Names,MATCH($K995,Dept_Codes,0)),"NOT FOUND"))</f>
        <v/>
      </c>
      <c r="M995" s="12" t="n"/>
      <c r="N995" s="13">
        <f>IF($M995="","",IFERROR(INDEX(Desig_Names,MATCH($M995,Desig_Codes,0)),"NOT FOUND"))</f>
        <v/>
      </c>
      <c r="O995" s="13">
        <f>IF($M995="","",IFERROR(INDEX(Desig_Levels,MATCH($M995,Desig_Codes,0)),""))</f>
        <v/>
      </c>
      <c r="P995" s="12" t="n"/>
      <c r="Q995" s="12" t="n"/>
      <c r="R995" s="12" t="n"/>
      <c r="S995" s="13">
        <f>IF($R995="","",IFERROR(INDEX(Emp_Names,MATCH($R995,Emp_Codes,0)),"NOT FOUND"))</f>
        <v/>
      </c>
      <c r="T995" s="12" t="n"/>
      <c r="U995" s="12" t="n"/>
      <c r="V995" s="12" t="n"/>
    </row>
    <row r="996">
      <c r="A996" s="12" t="n"/>
      <c r="B996" s="12" t="n"/>
      <c r="C996" s="12" t="n"/>
      <c r="D996" s="13">
        <f>IF($A996="","",TRIM($B996&amp;" "&amp;$C996))</f>
        <v/>
      </c>
      <c r="E996" s="12" t="n"/>
      <c r="F996" s="12" t="n"/>
      <c r="G996" s="14" t="n"/>
      <c r="H996" s="14" t="n"/>
      <c r="I996" s="12" t="n"/>
      <c r="J996" s="14" t="n"/>
      <c r="K996" s="12" t="n"/>
      <c r="L996" s="13">
        <f>IF($K996="","",IFERROR(INDEX(Dept_Names,MATCH($K996,Dept_Codes,0)),"NOT FOUND"))</f>
        <v/>
      </c>
      <c r="M996" s="12" t="n"/>
      <c r="N996" s="13">
        <f>IF($M996="","",IFERROR(INDEX(Desig_Names,MATCH($M996,Desig_Codes,0)),"NOT FOUND"))</f>
        <v/>
      </c>
      <c r="O996" s="13">
        <f>IF($M996="","",IFERROR(INDEX(Desig_Levels,MATCH($M996,Desig_Codes,0)),""))</f>
        <v/>
      </c>
      <c r="P996" s="12" t="n"/>
      <c r="Q996" s="12" t="n"/>
      <c r="R996" s="12" t="n"/>
      <c r="S996" s="13">
        <f>IF($R996="","",IFERROR(INDEX(Emp_Names,MATCH($R996,Emp_Codes,0)),"NOT FOUND"))</f>
        <v/>
      </c>
      <c r="T996" s="12" t="n"/>
      <c r="U996" s="12" t="n"/>
      <c r="V996" s="12" t="n"/>
    </row>
    <row r="997">
      <c r="A997" s="12" t="n"/>
      <c r="B997" s="12" t="n"/>
      <c r="C997" s="12" t="n"/>
      <c r="D997" s="13">
        <f>IF($A997="","",TRIM($B997&amp;" "&amp;$C997))</f>
        <v/>
      </c>
      <c r="E997" s="12" t="n"/>
      <c r="F997" s="12" t="n"/>
      <c r="G997" s="14" t="n"/>
      <c r="H997" s="14" t="n"/>
      <c r="I997" s="12" t="n"/>
      <c r="J997" s="14" t="n"/>
      <c r="K997" s="12" t="n"/>
      <c r="L997" s="13">
        <f>IF($K997="","",IFERROR(INDEX(Dept_Names,MATCH($K997,Dept_Codes,0)),"NOT FOUND"))</f>
        <v/>
      </c>
      <c r="M997" s="12" t="n"/>
      <c r="N997" s="13">
        <f>IF($M997="","",IFERROR(INDEX(Desig_Names,MATCH($M997,Desig_Codes,0)),"NOT FOUND"))</f>
        <v/>
      </c>
      <c r="O997" s="13">
        <f>IF($M997="","",IFERROR(INDEX(Desig_Levels,MATCH($M997,Desig_Codes,0)),""))</f>
        <v/>
      </c>
      <c r="P997" s="12" t="n"/>
      <c r="Q997" s="12" t="n"/>
      <c r="R997" s="12" t="n"/>
      <c r="S997" s="13">
        <f>IF($R997="","",IFERROR(INDEX(Emp_Names,MATCH($R997,Emp_Codes,0)),"NOT FOUND"))</f>
        <v/>
      </c>
      <c r="T997" s="12" t="n"/>
      <c r="U997" s="12" t="n"/>
      <c r="V997" s="12" t="n"/>
    </row>
    <row r="998">
      <c r="A998" s="12" t="n"/>
      <c r="B998" s="12" t="n"/>
      <c r="C998" s="12" t="n"/>
      <c r="D998" s="13">
        <f>IF($A998="","",TRIM($B998&amp;" "&amp;$C998))</f>
        <v/>
      </c>
      <c r="E998" s="12" t="n"/>
      <c r="F998" s="12" t="n"/>
      <c r="G998" s="14" t="n"/>
      <c r="H998" s="14" t="n"/>
      <c r="I998" s="12" t="n"/>
      <c r="J998" s="14" t="n"/>
      <c r="K998" s="12" t="n"/>
      <c r="L998" s="13">
        <f>IF($K998="","",IFERROR(INDEX(Dept_Names,MATCH($K998,Dept_Codes,0)),"NOT FOUND"))</f>
        <v/>
      </c>
      <c r="M998" s="12" t="n"/>
      <c r="N998" s="13">
        <f>IF($M998="","",IFERROR(INDEX(Desig_Names,MATCH($M998,Desig_Codes,0)),"NOT FOUND"))</f>
        <v/>
      </c>
      <c r="O998" s="13">
        <f>IF($M998="","",IFERROR(INDEX(Desig_Levels,MATCH($M998,Desig_Codes,0)),""))</f>
        <v/>
      </c>
      <c r="P998" s="12" t="n"/>
      <c r="Q998" s="12" t="n"/>
      <c r="R998" s="12" t="n"/>
      <c r="S998" s="13">
        <f>IF($R998="","",IFERROR(INDEX(Emp_Names,MATCH($R998,Emp_Codes,0)),"NOT FOUND"))</f>
        <v/>
      </c>
      <c r="T998" s="12" t="n"/>
      <c r="U998" s="12" t="n"/>
      <c r="V998" s="12" t="n"/>
    </row>
    <row r="999">
      <c r="A999" s="12" t="n"/>
      <c r="B999" s="12" t="n"/>
      <c r="C999" s="12" t="n"/>
      <c r="D999" s="13">
        <f>IF($A999="","",TRIM($B999&amp;" "&amp;$C999))</f>
        <v/>
      </c>
      <c r="E999" s="12" t="n"/>
      <c r="F999" s="12" t="n"/>
      <c r="G999" s="14" t="n"/>
      <c r="H999" s="14" t="n"/>
      <c r="I999" s="12" t="n"/>
      <c r="J999" s="14" t="n"/>
      <c r="K999" s="12" t="n"/>
      <c r="L999" s="13">
        <f>IF($K999="","",IFERROR(INDEX(Dept_Names,MATCH($K999,Dept_Codes,0)),"NOT FOUND"))</f>
        <v/>
      </c>
      <c r="M999" s="12" t="n"/>
      <c r="N999" s="13">
        <f>IF($M999="","",IFERROR(INDEX(Desig_Names,MATCH($M999,Desig_Codes,0)),"NOT FOUND"))</f>
        <v/>
      </c>
      <c r="O999" s="13">
        <f>IF($M999="","",IFERROR(INDEX(Desig_Levels,MATCH($M999,Desig_Codes,0)),""))</f>
        <v/>
      </c>
      <c r="P999" s="12" t="n"/>
      <c r="Q999" s="12" t="n"/>
      <c r="R999" s="12" t="n"/>
      <c r="S999" s="13">
        <f>IF($R999="","",IFERROR(INDEX(Emp_Names,MATCH($R999,Emp_Codes,0)),"NOT FOUND"))</f>
        <v/>
      </c>
      <c r="T999" s="12" t="n"/>
      <c r="U999" s="12" t="n"/>
      <c r="V999" s="12" t="n"/>
    </row>
    <row r="1000">
      <c r="A1000" s="12" t="n"/>
      <c r="B1000" s="12" t="n"/>
      <c r="C1000" s="12" t="n"/>
      <c r="D1000" s="13">
        <f>IF($A1000="","",TRIM($B1000&amp;" "&amp;$C1000))</f>
        <v/>
      </c>
      <c r="E1000" s="12" t="n"/>
      <c r="F1000" s="12" t="n"/>
      <c r="G1000" s="14" t="n"/>
      <c r="H1000" s="14" t="n"/>
      <c r="I1000" s="12" t="n"/>
      <c r="J1000" s="14" t="n"/>
      <c r="K1000" s="12" t="n"/>
      <c r="L1000" s="13">
        <f>IF($K1000="","",IFERROR(INDEX(Dept_Names,MATCH($K1000,Dept_Codes,0)),"NOT FOUND"))</f>
        <v/>
      </c>
      <c r="M1000" s="12" t="n"/>
      <c r="N1000" s="13">
        <f>IF($M1000="","",IFERROR(INDEX(Desig_Names,MATCH($M1000,Desig_Codes,0)),"NOT FOUND"))</f>
        <v/>
      </c>
      <c r="O1000" s="13">
        <f>IF($M1000="","",IFERROR(INDEX(Desig_Levels,MATCH($M1000,Desig_Codes,0)),""))</f>
        <v/>
      </c>
      <c r="P1000" s="12" t="n"/>
      <c r="Q1000" s="12" t="n"/>
      <c r="R1000" s="12" t="n"/>
      <c r="S1000" s="13">
        <f>IF($R1000="","",IFERROR(INDEX(Emp_Names,MATCH($R1000,Emp_Codes,0)),"NOT FOUND"))</f>
        <v/>
      </c>
      <c r="T1000" s="12" t="n"/>
      <c r="U1000" s="12" t="n"/>
      <c r="V1000" s="12" t="n"/>
    </row>
    <row r="1001">
      <c r="A1001" s="12" t="n"/>
      <c r="B1001" s="12" t="n"/>
      <c r="C1001" s="12" t="n"/>
      <c r="D1001" s="13">
        <f>IF($A1001="","",TRIM($B1001&amp;" "&amp;$C1001))</f>
        <v/>
      </c>
      <c r="E1001" s="12" t="n"/>
      <c r="F1001" s="12" t="n"/>
      <c r="G1001" s="14" t="n"/>
      <c r="H1001" s="14" t="n"/>
      <c r="I1001" s="12" t="n"/>
      <c r="J1001" s="14" t="n"/>
      <c r="K1001" s="12" t="n"/>
      <c r="L1001" s="13">
        <f>IF($K1001="","",IFERROR(INDEX(Dept_Names,MATCH($K1001,Dept_Codes,0)),"NOT FOUND"))</f>
        <v/>
      </c>
      <c r="M1001" s="12" t="n"/>
      <c r="N1001" s="13">
        <f>IF($M1001="","",IFERROR(INDEX(Desig_Names,MATCH($M1001,Desig_Codes,0)),"NOT FOUND"))</f>
        <v/>
      </c>
      <c r="O1001" s="13">
        <f>IF($M1001="","",IFERROR(INDEX(Desig_Levels,MATCH($M1001,Desig_Codes,0)),""))</f>
        <v/>
      </c>
      <c r="P1001" s="12" t="n"/>
      <c r="Q1001" s="12" t="n"/>
      <c r="R1001" s="12" t="n"/>
      <c r="S1001" s="13">
        <f>IF($R1001="","",IFERROR(INDEX(Emp_Names,MATCH($R1001,Emp_Codes,0)),"NOT FOUND"))</f>
        <v/>
      </c>
      <c r="T1001" s="12" t="n"/>
      <c r="U1001" s="12" t="n"/>
      <c r="V1001" s="12" t="n"/>
    </row>
    <row r="1002">
      <c r="A1002" s="12" t="n"/>
      <c r="B1002" s="12" t="n"/>
      <c r="C1002" s="12" t="n"/>
      <c r="D1002" s="13">
        <f>IF($A1002="","",TRIM($B1002&amp;" "&amp;$C1002))</f>
        <v/>
      </c>
      <c r="E1002" s="12" t="n"/>
      <c r="F1002" s="12" t="n"/>
      <c r="G1002" s="14" t="n"/>
      <c r="H1002" s="14" t="n"/>
      <c r="I1002" s="12" t="n"/>
      <c r="J1002" s="14" t="n"/>
      <c r="K1002" s="12" t="n"/>
      <c r="L1002" s="13">
        <f>IF($K1002="","",IFERROR(INDEX(Dept_Names,MATCH($K1002,Dept_Codes,0)),"NOT FOUND"))</f>
        <v/>
      </c>
      <c r="M1002" s="12" t="n"/>
      <c r="N1002" s="13">
        <f>IF($M1002="","",IFERROR(INDEX(Desig_Names,MATCH($M1002,Desig_Codes,0)),"NOT FOUND"))</f>
        <v/>
      </c>
      <c r="O1002" s="13">
        <f>IF($M1002="","",IFERROR(INDEX(Desig_Levels,MATCH($M1002,Desig_Codes,0)),""))</f>
        <v/>
      </c>
      <c r="P1002" s="12" t="n"/>
      <c r="Q1002" s="12" t="n"/>
      <c r="R1002" s="12" t="n"/>
      <c r="S1002" s="13">
        <f>IF($R1002="","",IFERROR(INDEX(Emp_Names,MATCH($R1002,Emp_Codes,0)),"NOT FOUND"))</f>
        <v/>
      </c>
      <c r="T1002" s="12" t="n"/>
      <c r="U1002" s="12" t="n"/>
      <c r="V1002" s="12" t="n"/>
    </row>
    <row r="1003">
      <c r="A1003" s="12" t="n"/>
      <c r="B1003" s="12" t="n"/>
      <c r="C1003" s="12" t="n"/>
      <c r="D1003" s="13">
        <f>IF($A1003="","",TRIM($B1003&amp;" "&amp;$C1003))</f>
        <v/>
      </c>
      <c r="E1003" s="12" t="n"/>
      <c r="F1003" s="12" t="n"/>
      <c r="G1003" s="14" t="n"/>
      <c r="H1003" s="14" t="n"/>
      <c r="I1003" s="12" t="n"/>
      <c r="J1003" s="14" t="n"/>
      <c r="K1003" s="12" t="n"/>
      <c r="L1003" s="13">
        <f>IF($K1003="","",IFERROR(INDEX(Dept_Names,MATCH($K1003,Dept_Codes,0)),"NOT FOUND"))</f>
        <v/>
      </c>
      <c r="M1003" s="12" t="n"/>
      <c r="N1003" s="13">
        <f>IF($M1003="","",IFERROR(INDEX(Desig_Names,MATCH($M1003,Desig_Codes,0)),"NOT FOUND"))</f>
        <v/>
      </c>
      <c r="O1003" s="13">
        <f>IF($M1003="","",IFERROR(INDEX(Desig_Levels,MATCH($M1003,Desig_Codes,0)),""))</f>
        <v/>
      </c>
      <c r="P1003" s="12" t="n"/>
      <c r="Q1003" s="12" t="n"/>
      <c r="R1003" s="12" t="n"/>
      <c r="S1003" s="13">
        <f>IF($R1003="","",IFERROR(INDEX(Emp_Names,MATCH($R1003,Emp_Codes,0)),"NOT FOUND"))</f>
        <v/>
      </c>
      <c r="T1003" s="12" t="n"/>
      <c r="U1003" s="12" t="n"/>
      <c r="V1003" s="12" t="n"/>
    </row>
    <row r="1004">
      <c r="A1004" s="12" t="n"/>
      <c r="B1004" s="12" t="n"/>
      <c r="C1004" s="12" t="n"/>
      <c r="D1004" s="13">
        <f>IF($A1004="","",TRIM($B1004&amp;" "&amp;$C1004))</f>
        <v/>
      </c>
      <c r="E1004" s="12" t="n"/>
      <c r="F1004" s="12" t="n"/>
      <c r="G1004" s="14" t="n"/>
      <c r="H1004" s="14" t="n"/>
      <c r="I1004" s="12" t="n"/>
      <c r="J1004" s="14" t="n"/>
      <c r="K1004" s="12" t="n"/>
      <c r="L1004" s="13">
        <f>IF($K1004="","",IFERROR(INDEX(Dept_Names,MATCH($K1004,Dept_Codes,0)),"NOT FOUND"))</f>
        <v/>
      </c>
      <c r="M1004" s="12" t="n"/>
      <c r="N1004" s="13">
        <f>IF($M1004="","",IFERROR(INDEX(Desig_Names,MATCH($M1004,Desig_Codes,0)),"NOT FOUND"))</f>
        <v/>
      </c>
      <c r="O1004" s="13">
        <f>IF($M1004="","",IFERROR(INDEX(Desig_Levels,MATCH($M1004,Desig_Codes,0)),""))</f>
        <v/>
      </c>
      <c r="P1004" s="12" t="n"/>
      <c r="Q1004" s="12" t="n"/>
      <c r="R1004" s="12" t="n"/>
      <c r="S1004" s="13">
        <f>IF($R1004="","",IFERROR(INDEX(Emp_Names,MATCH($R1004,Emp_Codes,0)),"NOT FOUND"))</f>
        <v/>
      </c>
      <c r="T1004" s="12" t="n"/>
      <c r="U1004" s="12" t="n"/>
      <c r="V1004" s="12" t="n"/>
    </row>
    <row r="1005">
      <c r="A1005" s="12" t="n"/>
      <c r="B1005" s="12" t="n"/>
      <c r="C1005" s="12" t="n"/>
      <c r="D1005" s="13">
        <f>IF($A1005="","",TRIM($B1005&amp;" "&amp;$C1005))</f>
        <v/>
      </c>
      <c r="E1005" s="12" t="n"/>
      <c r="F1005" s="12" t="n"/>
      <c r="G1005" s="14" t="n"/>
      <c r="H1005" s="14" t="n"/>
      <c r="I1005" s="12" t="n"/>
      <c r="J1005" s="14" t="n"/>
      <c r="K1005" s="12" t="n"/>
      <c r="L1005" s="13">
        <f>IF($K1005="","",IFERROR(INDEX(Dept_Names,MATCH($K1005,Dept_Codes,0)),"NOT FOUND"))</f>
        <v/>
      </c>
      <c r="M1005" s="12" t="n"/>
      <c r="N1005" s="13">
        <f>IF($M1005="","",IFERROR(INDEX(Desig_Names,MATCH($M1005,Desig_Codes,0)),"NOT FOUND"))</f>
        <v/>
      </c>
      <c r="O1005" s="13">
        <f>IF($M1005="","",IFERROR(INDEX(Desig_Levels,MATCH($M1005,Desig_Codes,0)),""))</f>
        <v/>
      </c>
      <c r="P1005" s="12" t="n"/>
      <c r="Q1005" s="12" t="n"/>
      <c r="R1005" s="12" t="n"/>
      <c r="S1005" s="13">
        <f>IF($R1005="","",IFERROR(INDEX(Emp_Names,MATCH($R1005,Emp_Codes,0)),"NOT FOUND"))</f>
        <v/>
      </c>
      <c r="T1005" s="12" t="n"/>
      <c r="U1005" s="12" t="n"/>
      <c r="V1005" s="12" t="n"/>
    </row>
    <row r="1006">
      <c r="A1006" s="12" t="n"/>
      <c r="B1006" s="12" t="n"/>
      <c r="C1006" s="12" t="n"/>
      <c r="D1006" s="13">
        <f>IF($A1006="","",TRIM($B1006&amp;" "&amp;$C1006))</f>
        <v/>
      </c>
      <c r="E1006" s="12" t="n"/>
      <c r="F1006" s="12" t="n"/>
      <c r="G1006" s="14" t="n"/>
      <c r="H1006" s="14" t="n"/>
      <c r="I1006" s="12" t="n"/>
      <c r="J1006" s="14" t="n"/>
      <c r="K1006" s="12" t="n"/>
      <c r="L1006" s="13">
        <f>IF($K1006="","",IFERROR(INDEX(Dept_Names,MATCH($K1006,Dept_Codes,0)),"NOT FOUND"))</f>
        <v/>
      </c>
      <c r="M1006" s="12" t="n"/>
      <c r="N1006" s="13">
        <f>IF($M1006="","",IFERROR(INDEX(Desig_Names,MATCH($M1006,Desig_Codes,0)),"NOT FOUND"))</f>
        <v/>
      </c>
      <c r="O1006" s="13">
        <f>IF($M1006="","",IFERROR(INDEX(Desig_Levels,MATCH($M1006,Desig_Codes,0)),""))</f>
        <v/>
      </c>
      <c r="P1006" s="12" t="n"/>
      <c r="Q1006" s="12" t="n"/>
      <c r="R1006" s="12" t="n"/>
      <c r="S1006" s="13">
        <f>IF($R1006="","",IFERROR(INDEX(Emp_Names,MATCH($R1006,Emp_Codes,0)),"NOT FOUND"))</f>
        <v/>
      </c>
      <c r="T1006" s="12" t="n"/>
      <c r="U1006" s="12" t="n"/>
      <c r="V1006" s="12" t="n"/>
    </row>
    <row r="1007">
      <c r="A1007" s="12" t="n"/>
      <c r="B1007" s="12" t="n"/>
      <c r="C1007" s="12" t="n"/>
      <c r="D1007" s="13">
        <f>IF($A1007="","",TRIM($B1007&amp;" "&amp;$C1007))</f>
        <v/>
      </c>
      <c r="E1007" s="12" t="n"/>
      <c r="F1007" s="12" t="n"/>
      <c r="G1007" s="14" t="n"/>
      <c r="H1007" s="14" t="n"/>
      <c r="I1007" s="12" t="n"/>
      <c r="J1007" s="14" t="n"/>
      <c r="K1007" s="12" t="n"/>
      <c r="L1007" s="13">
        <f>IF($K1007="","",IFERROR(INDEX(Dept_Names,MATCH($K1007,Dept_Codes,0)),"NOT FOUND"))</f>
        <v/>
      </c>
      <c r="M1007" s="12" t="n"/>
      <c r="N1007" s="13">
        <f>IF($M1007="","",IFERROR(INDEX(Desig_Names,MATCH($M1007,Desig_Codes,0)),"NOT FOUND"))</f>
        <v/>
      </c>
      <c r="O1007" s="13">
        <f>IF($M1007="","",IFERROR(INDEX(Desig_Levels,MATCH($M1007,Desig_Codes,0)),""))</f>
        <v/>
      </c>
      <c r="P1007" s="12" t="n"/>
      <c r="Q1007" s="12" t="n"/>
      <c r="R1007" s="12" t="n"/>
      <c r="S1007" s="13">
        <f>IF($R1007="","",IFERROR(INDEX(Emp_Names,MATCH($R1007,Emp_Codes,0)),"NOT FOUND"))</f>
        <v/>
      </c>
      <c r="T1007" s="12" t="n"/>
      <c r="U1007" s="12" t="n"/>
      <c r="V1007" s="12" t="n"/>
    </row>
    <row r="1008">
      <c r="A1008" s="12" t="n"/>
      <c r="B1008" s="12" t="n"/>
      <c r="C1008" s="12" t="n"/>
      <c r="D1008" s="13">
        <f>IF($A1008="","",TRIM($B1008&amp;" "&amp;$C1008))</f>
        <v/>
      </c>
      <c r="E1008" s="12" t="n"/>
      <c r="F1008" s="12" t="n"/>
      <c r="G1008" s="14" t="n"/>
      <c r="H1008" s="14" t="n"/>
      <c r="I1008" s="12" t="n"/>
      <c r="J1008" s="14" t="n"/>
      <c r="K1008" s="12" t="n"/>
      <c r="L1008" s="13">
        <f>IF($K1008="","",IFERROR(INDEX(Dept_Names,MATCH($K1008,Dept_Codes,0)),"NOT FOUND"))</f>
        <v/>
      </c>
      <c r="M1008" s="12" t="n"/>
      <c r="N1008" s="13">
        <f>IF($M1008="","",IFERROR(INDEX(Desig_Names,MATCH($M1008,Desig_Codes,0)),"NOT FOUND"))</f>
        <v/>
      </c>
      <c r="O1008" s="13">
        <f>IF($M1008="","",IFERROR(INDEX(Desig_Levels,MATCH($M1008,Desig_Codes,0)),""))</f>
        <v/>
      </c>
      <c r="P1008" s="12" t="n"/>
      <c r="Q1008" s="12" t="n"/>
      <c r="R1008" s="12" t="n"/>
      <c r="S1008" s="13">
        <f>IF($R1008="","",IFERROR(INDEX(Emp_Names,MATCH($R1008,Emp_Codes,0)),"NOT FOUND"))</f>
        <v/>
      </c>
      <c r="T1008" s="12" t="n"/>
      <c r="U1008" s="12" t="n"/>
      <c r="V1008" s="12" t="n"/>
    </row>
    <row r="1009">
      <c r="A1009" s="12" t="n"/>
      <c r="B1009" s="12" t="n"/>
      <c r="C1009" s="12" t="n"/>
      <c r="D1009" s="13">
        <f>IF($A1009="","",TRIM($B1009&amp;" "&amp;$C1009))</f>
        <v/>
      </c>
      <c r="E1009" s="12" t="n"/>
      <c r="F1009" s="12" t="n"/>
      <c r="G1009" s="14" t="n"/>
      <c r="H1009" s="14" t="n"/>
      <c r="I1009" s="12" t="n"/>
      <c r="J1009" s="14" t="n"/>
      <c r="K1009" s="12" t="n"/>
      <c r="L1009" s="13">
        <f>IF($K1009="","",IFERROR(INDEX(Dept_Names,MATCH($K1009,Dept_Codes,0)),"NOT FOUND"))</f>
        <v/>
      </c>
      <c r="M1009" s="12" t="n"/>
      <c r="N1009" s="13">
        <f>IF($M1009="","",IFERROR(INDEX(Desig_Names,MATCH($M1009,Desig_Codes,0)),"NOT FOUND"))</f>
        <v/>
      </c>
      <c r="O1009" s="13">
        <f>IF($M1009="","",IFERROR(INDEX(Desig_Levels,MATCH($M1009,Desig_Codes,0)),""))</f>
        <v/>
      </c>
      <c r="P1009" s="12" t="n"/>
      <c r="Q1009" s="12" t="n"/>
      <c r="R1009" s="12" t="n"/>
      <c r="S1009" s="13">
        <f>IF($R1009="","",IFERROR(INDEX(Emp_Names,MATCH($R1009,Emp_Codes,0)),"NOT FOUND"))</f>
        <v/>
      </c>
      <c r="T1009" s="12" t="n"/>
      <c r="U1009" s="12" t="n"/>
      <c r="V1009" s="12" t="n"/>
    </row>
    <row r="1010">
      <c r="A1010" s="12" t="n"/>
      <c r="B1010" s="12" t="n"/>
      <c r="C1010" s="12" t="n"/>
      <c r="D1010" s="13">
        <f>IF($A1010="","",TRIM($B1010&amp;" "&amp;$C1010))</f>
        <v/>
      </c>
      <c r="E1010" s="12" t="n"/>
      <c r="F1010" s="12" t="n"/>
      <c r="G1010" s="14" t="n"/>
      <c r="H1010" s="14" t="n"/>
      <c r="I1010" s="12" t="n"/>
      <c r="J1010" s="14" t="n"/>
      <c r="K1010" s="12" t="n"/>
      <c r="L1010" s="13">
        <f>IF($K1010="","",IFERROR(INDEX(Dept_Names,MATCH($K1010,Dept_Codes,0)),"NOT FOUND"))</f>
        <v/>
      </c>
      <c r="M1010" s="12" t="n"/>
      <c r="N1010" s="13">
        <f>IF($M1010="","",IFERROR(INDEX(Desig_Names,MATCH($M1010,Desig_Codes,0)),"NOT FOUND"))</f>
        <v/>
      </c>
      <c r="O1010" s="13">
        <f>IF($M1010="","",IFERROR(INDEX(Desig_Levels,MATCH($M1010,Desig_Codes,0)),""))</f>
        <v/>
      </c>
      <c r="P1010" s="12" t="n"/>
      <c r="Q1010" s="12" t="n"/>
      <c r="R1010" s="12" t="n"/>
      <c r="S1010" s="13">
        <f>IF($R1010="","",IFERROR(INDEX(Emp_Names,MATCH($R1010,Emp_Codes,0)),"NOT FOUND"))</f>
        <v/>
      </c>
      <c r="T1010" s="12" t="n"/>
      <c r="U1010" s="12" t="n"/>
      <c r="V1010" s="12" t="n"/>
    </row>
    <row r="1011">
      <c r="A1011" s="12" t="n"/>
      <c r="B1011" s="12" t="n"/>
      <c r="C1011" s="12" t="n"/>
      <c r="D1011" s="13">
        <f>IF($A1011="","",TRIM($B1011&amp;" "&amp;$C1011))</f>
        <v/>
      </c>
      <c r="E1011" s="12" t="n"/>
      <c r="F1011" s="12" t="n"/>
      <c r="G1011" s="14" t="n"/>
      <c r="H1011" s="14" t="n"/>
      <c r="I1011" s="12" t="n"/>
      <c r="J1011" s="14" t="n"/>
      <c r="K1011" s="12" t="n"/>
      <c r="L1011" s="13">
        <f>IF($K1011="","",IFERROR(INDEX(Dept_Names,MATCH($K1011,Dept_Codes,0)),"NOT FOUND"))</f>
        <v/>
      </c>
      <c r="M1011" s="12" t="n"/>
      <c r="N1011" s="13">
        <f>IF($M1011="","",IFERROR(INDEX(Desig_Names,MATCH($M1011,Desig_Codes,0)),"NOT FOUND"))</f>
        <v/>
      </c>
      <c r="O1011" s="13">
        <f>IF($M1011="","",IFERROR(INDEX(Desig_Levels,MATCH($M1011,Desig_Codes,0)),""))</f>
        <v/>
      </c>
      <c r="P1011" s="12" t="n"/>
      <c r="Q1011" s="12" t="n"/>
      <c r="R1011" s="12" t="n"/>
      <c r="S1011" s="13">
        <f>IF($R1011="","",IFERROR(INDEX(Emp_Names,MATCH($R1011,Emp_Codes,0)),"NOT FOUND"))</f>
        <v/>
      </c>
      <c r="T1011" s="12" t="n"/>
      <c r="U1011" s="12" t="n"/>
      <c r="V1011" s="12" t="n"/>
    </row>
    <row r="1012">
      <c r="A1012" s="12" t="n"/>
      <c r="B1012" s="12" t="n"/>
      <c r="C1012" s="12" t="n"/>
      <c r="D1012" s="13">
        <f>IF($A1012="","",TRIM($B1012&amp;" "&amp;$C1012))</f>
        <v/>
      </c>
      <c r="E1012" s="12" t="n"/>
      <c r="F1012" s="12" t="n"/>
      <c r="G1012" s="14" t="n"/>
      <c r="H1012" s="14" t="n"/>
      <c r="I1012" s="12" t="n"/>
      <c r="J1012" s="14" t="n"/>
      <c r="K1012" s="12" t="n"/>
      <c r="L1012" s="13">
        <f>IF($K1012="","",IFERROR(INDEX(Dept_Names,MATCH($K1012,Dept_Codes,0)),"NOT FOUND"))</f>
        <v/>
      </c>
      <c r="M1012" s="12" t="n"/>
      <c r="N1012" s="13">
        <f>IF($M1012="","",IFERROR(INDEX(Desig_Names,MATCH($M1012,Desig_Codes,0)),"NOT FOUND"))</f>
        <v/>
      </c>
      <c r="O1012" s="13">
        <f>IF($M1012="","",IFERROR(INDEX(Desig_Levels,MATCH($M1012,Desig_Codes,0)),""))</f>
        <v/>
      </c>
      <c r="P1012" s="12" t="n"/>
      <c r="Q1012" s="12" t="n"/>
      <c r="R1012" s="12" t="n"/>
      <c r="S1012" s="13">
        <f>IF($R1012="","",IFERROR(INDEX(Emp_Names,MATCH($R1012,Emp_Codes,0)),"NOT FOUND"))</f>
        <v/>
      </c>
      <c r="T1012" s="12" t="n"/>
      <c r="U1012" s="12" t="n"/>
      <c r="V1012" s="12" t="n"/>
    </row>
    <row r="1013">
      <c r="A1013" s="12" t="n"/>
      <c r="B1013" s="12" t="n"/>
      <c r="C1013" s="12" t="n"/>
      <c r="D1013" s="13">
        <f>IF($A1013="","",TRIM($B1013&amp;" "&amp;$C1013))</f>
        <v/>
      </c>
      <c r="E1013" s="12" t="n"/>
      <c r="F1013" s="12" t="n"/>
      <c r="G1013" s="14" t="n"/>
      <c r="H1013" s="14" t="n"/>
      <c r="I1013" s="12" t="n"/>
      <c r="J1013" s="14" t="n"/>
      <c r="K1013" s="12" t="n"/>
      <c r="L1013" s="13">
        <f>IF($K1013="","",IFERROR(INDEX(Dept_Names,MATCH($K1013,Dept_Codes,0)),"NOT FOUND"))</f>
        <v/>
      </c>
      <c r="M1013" s="12" t="n"/>
      <c r="N1013" s="13">
        <f>IF($M1013="","",IFERROR(INDEX(Desig_Names,MATCH($M1013,Desig_Codes,0)),"NOT FOUND"))</f>
        <v/>
      </c>
      <c r="O1013" s="13">
        <f>IF($M1013="","",IFERROR(INDEX(Desig_Levels,MATCH($M1013,Desig_Codes,0)),""))</f>
        <v/>
      </c>
      <c r="P1013" s="12" t="n"/>
      <c r="Q1013" s="12" t="n"/>
      <c r="R1013" s="12" t="n"/>
      <c r="S1013" s="13">
        <f>IF($R1013="","",IFERROR(INDEX(Emp_Names,MATCH($R1013,Emp_Codes,0)),"NOT FOUND"))</f>
        <v/>
      </c>
      <c r="T1013" s="12" t="n"/>
      <c r="U1013" s="12" t="n"/>
      <c r="V1013" s="12" t="n"/>
    </row>
    <row r="1014">
      <c r="A1014" s="12" t="n"/>
      <c r="B1014" s="12" t="n"/>
      <c r="C1014" s="12" t="n"/>
      <c r="D1014" s="13">
        <f>IF($A1014="","",TRIM($B1014&amp;" "&amp;$C1014))</f>
        <v/>
      </c>
      <c r="E1014" s="12" t="n"/>
      <c r="F1014" s="12" t="n"/>
      <c r="G1014" s="14" t="n"/>
      <c r="H1014" s="14" t="n"/>
      <c r="I1014" s="12" t="n"/>
      <c r="J1014" s="14" t="n"/>
      <c r="K1014" s="12" t="n"/>
      <c r="L1014" s="13">
        <f>IF($K1014="","",IFERROR(INDEX(Dept_Names,MATCH($K1014,Dept_Codes,0)),"NOT FOUND"))</f>
        <v/>
      </c>
      <c r="M1014" s="12" t="n"/>
      <c r="N1014" s="13">
        <f>IF($M1014="","",IFERROR(INDEX(Desig_Names,MATCH($M1014,Desig_Codes,0)),"NOT FOUND"))</f>
        <v/>
      </c>
      <c r="O1014" s="13">
        <f>IF($M1014="","",IFERROR(INDEX(Desig_Levels,MATCH($M1014,Desig_Codes,0)),""))</f>
        <v/>
      </c>
      <c r="P1014" s="12" t="n"/>
      <c r="Q1014" s="12" t="n"/>
      <c r="R1014" s="12" t="n"/>
      <c r="S1014" s="13">
        <f>IF($R1014="","",IFERROR(INDEX(Emp_Names,MATCH($R1014,Emp_Codes,0)),"NOT FOUND"))</f>
        <v/>
      </c>
      <c r="T1014" s="12" t="n"/>
      <c r="U1014" s="12" t="n"/>
      <c r="V1014" s="12" t="n"/>
    </row>
    <row r="1015">
      <c r="A1015" s="12" t="n"/>
      <c r="B1015" s="12" t="n"/>
      <c r="C1015" s="12" t="n"/>
      <c r="D1015" s="13">
        <f>IF($A1015="","",TRIM($B1015&amp;" "&amp;$C1015))</f>
        <v/>
      </c>
      <c r="E1015" s="12" t="n"/>
      <c r="F1015" s="12" t="n"/>
      <c r="G1015" s="14" t="n"/>
      <c r="H1015" s="14" t="n"/>
      <c r="I1015" s="12" t="n"/>
      <c r="J1015" s="14" t="n"/>
      <c r="K1015" s="12" t="n"/>
      <c r="L1015" s="13">
        <f>IF($K1015="","",IFERROR(INDEX(Dept_Names,MATCH($K1015,Dept_Codes,0)),"NOT FOUND"))</f>
        <v/>
      </c>
      <c r="M1015" s="12" t="n"/>
      <c r="N1015" s="13">
        <f>IF($M1015="","",IFERROR(INDEX(Desig_Names,MATCH($M1015,Desig_Codes,0)),"NOT FOUND"))</f>
        <v/>
      </c>
      <c r="O1015" s="13">
        <f>IF($M1015="","",IFERROR(INDEX(Desig_Levels,MATCH($M1015,Desig_Codes,0)),""))</f>
        <v/>
      </c>
      <c r="P1015" s="12" t="n"/>
      <c r="Q1015" s="12" t="n"/>
      <c r="R1015" s="12" t="n"/>
      <c r="S1015" s="13">
        <f>IF($R1015="","",IFERROR(INDEX(Emp_Names,MATCH($R1015,Emp_Codes,0)),"NOT FOUND"))</f>
        <v/>
      </c>
      <c r="T1015" s="12" t="n"/>
      <c r="U1015" s="12" t="n"/>
      <c r="V1015" s="12" t="n"/>
    </row>
    <row r="1016">
      <c r="A1016" s="12" t="n"/>
      <c r="B1016" s="12" t="n"/>
      <c r="C1016" s="12" t="n"/>
      <c r="D1016" s="13">
        <f>IF($A1016="","",TRIM($B1016&amp;" "&amp;$C1016))</f>
        <v/>
      </c>
      <c r="E1016" s="12" t="n"/>
      <c r="F1016" s="12" t="n"/>
      <c r="G1016" s="14" t="n"/>
      <c r="H1016" s="14" t="n"/>
      <c r="I1016" s="12" t="n"/>
      <c r="J1016" s="14" t="n"/>
      <c r="K1016" s="12" t="n"/>
      <c r="L1016" s="13">
        <f>IF($K1016="","",IFERROR(INDEX(Dept_Names,MATCH($K1016,Dept_Codes,0)),"NOT FOUND"))</f>
        <v/>
      </c>
      <c r="M1016" s="12" t="n"/>
      <c r="N1016" s="13">
        <f>IF($M1016="","",IFERROR(INDEX(Desig_Names,MATCH($M1016,Desig_Codes,0)),"NOT FOUND"))</f>
        <v/>
      </c>
      <c r="O1016" s="13">
        <f>IF($M1016="","",IFERROR(INDEX(Desig_Levels,MATCH($M1016,Desig_Codes,0)),""))</f>
        <v/>
      </c>
      <c r="P1016" s="12" t="n"/>
      <c r="Q1016" s="12" t="n"/>
      <c r="R1016" s="12" t="n"/>
      <c r="S1016" s="13">
        <f>IF($R1016="","",IFERROR(INDEX(Emp_Names,MATCH($R1016,Emp_Codes,0)),"NOT FOUND"))</f>
        <v/>
      </c>
      <c r="T1016" s="12" t="n"/>
      <c r="U1016" s="12" t="n"/>
      <c r="V1016" s="12" t="n"/>
    </row>
    <row r="1017">
      <c r="A1017" s="12" t="n"/>
      <c r="B1017" s="12" t="n"/>
      <c r="C1017" s="12" t="n"/>
      <c r="D1017" s="13">
        <f>IF($A1017="","",TRIM($B1017&amp;" "&amp;$C1017))</f>
        <v/>
      </c>
      <c r="E1017" s="12" t="n"/>
      <c r="F1017" s="12" t="n"/>
      <c r="G1017" s="14" t="n"/>
      <c r="H1017" s="14" t="n"/>
      <c r="I1017" s="12" t="n"/>
      <c r="J1017" s="14" t="n"/>
      <c r="K1017" s="12" t="n"/>
      <c r="L1017" s="13">
        <f>IF($K1017="","",IFERROR(INDEX(Dept_Names,MATCH($K1017,Dept_Codes,0)),"NOT FOUND"))</f>
        <v/>
      </c>
      <c r="M1017" s="12" t="n"/>
      <c r="N1017" s="13">
        <f>IF($M1017="","",IFERROR(INDEX(Desig_Names,MATCH($M1017,Desig_Codes,0)),"NOT FOUND"))</f>
        <v/>
      </c>
      <c r="O1017" s="13">
        <f>IF($M1017="","",IFERROR(INDEX(Desig_Levels,MATCH($M1017,Desig_Codes,0)),""))</f>
        <v/>
      </c>
      <c r="P1017" s="12" t="n"/>
      <c r="Q1017" s="12" t="n"/>
      <c r="R1017" s="12" t="n"/>
      <c r="S1017" s="13">
        <f>IF($R1017="","",IFERROR(INDEX(Emp_Names,MATCH($R1017,Emp_Codes,0)),"NOT FOUND"))</f>
        <v/>
      </c>
      <c r="T1017" s="12" t="n"/>
      <c r="U1017" s="12" t="n"/>
      <c r="V1017" s="12" t="n"/>
    </row>
    <row r="1018">
      <c r="A1018" s="12" t="n"/>
      <c r="B1018" s="12" t="n"/>
      <c r="C1018" s="12" t="n"/>
      <c r="D1018" s="13">
        <f>IF($A1018="","",TRIM($B1018&amp;" "&amp;$C1018))</f>
        <v/>
      </c>
      <c r="E1018" s="12" t="n"/>
      <c r="F1018" s="12" t="n"/>
      <c r="G1018" s="14" t="n"/>
      <c r="H1018" s="14" t="n"/>
      <c r="I1018" s="12" t="n"/>
      <c r="J1018" s="14" t="n"/>
      <c r="K1018" s="12" t="n"/>
      <c r="L1018" s="13">
        <f>IF($K1018="","",IFERROR(INDEX(Dept_Names,MATCH($K1018,Dept_Codes,0)),"NOT FOUND"))</f>
        <v/>
      </c>
      <c r="M1018" s="12" t="n"/>
      <c r="N1018" s="13">
        <f>IF($M1018="","",IFERROR(INDEX(Desig_Names,MATCH($M1018,Desig_Codes,0)),"NOT FOUND"))</f>
        <v/>
      </c>
      <c r="O1018" s="13">
        <f>IF($M1018="","",IFERROR(INDEX(Desig_Levels,MATCH($M1018,Desig_Codes,0)),""))</f>
        <v/>
      </c>
      <c r="P1018" s="12" t="n"/>
      <c r="Q1018" s="12" t="n"/>
      <c r="R1018" s="12" t="n"/>
      <c r="S1018" s="13">
        <f>IF($R1018="","",IFERROR(INDEX(Emp_Names,MATCH($R1018,Emp_Codes,0)),"NOT FOUND"))</f>
        <v/>
      </c>
      <c r="T1018" s="12" t="n"/>
      <c r="U1018" s="12" t="n"/>
      <c r="V1018" s="12" t="n"/>
    </row>
    <row r="1019">
      <c r="A1019" s="12" t="n"/>
      <c r="B1019" s="12" t="n"/>
      <c r="C1019" s="12" t="n"/>
      <c r="D1019" s="13">
        <f>IF($A1019="","",TRIM($B1019&amp;" "&amp;$C1019))</f>
        <v/>
      </c>
      <c r="E1019" s="12" t="n"/>
      <c r="F1019" s="12" t="n"/>
      <c r="G1019" s="14" t="n"/>
      <c r="H1019" s="14" t="n"/>
      <c r="I1019" s="12" t="n"/>
      <c r="J1019" s="14" t="n"/>
      <c r="K1019" s="12" t="n"/>
      <c r="L1019" s="13">
        <f>IF($K1019="","",IFERROR(INDEX(Dept_Names,MATCH($K1019,Dept_Codes,0)),"NOT FOUND"))</f>
        <v/>
      </c>
      <c r="M1019" s="12" t="n"/>
      <c r="N1019" s="13">
        <f>IF($M1019="","",IFERROR(INDEX(Desig_Names,MATCH($M1019,Desig_Codes,0)),"NOT FOUND"))</f>
        <v/>
      </c>
      <c r="O1019" s="13">
        <f>IF($M1019="","",IFERROR(INDEX(Desig_Levels,MATCH($M1019,Desig_Codes,0)),""))</f>
        <v/>
      </c>
      <c r="P1019" s="12" t="n"/>
      <c r="Q1019" s="12" t="n"/>
      <c r="R1019" s="12" t="n"/>
      <c r="S1019" s="13">
        <f>IF($R1019="","",IFERROR(INDEX(Emp_Names,MATCH($R1019,Emp_Codes,0)),"NOT FOUND"))</f>
        <v/>
      </c>
      <c r="T1019" s="12" t="n"/>
      <c r="U1019" s="12" t="n"/>
      <c r="V1019" s="12" t="n"/>
    </row>
    <row r="1020">
      <c r="A1020" s="12" t="n"/>
      <c r="B1020" s="12" t="n"/>
      <c r="C1020" s="12" t="n"/>
      <c r="D1020" s="13">
        <f>IF($A1020="","",TRIM($B1020&amp;" "&amp;$C1020))</f>
        <v/>
      </c>
      <c r="E1020" s="12" t="n"/>
      <c r="F1020" s="12" t="n"/>
      <c r="G1020" s="14" t="n"/>
      <c r="H1020" s="14" t="n"/>
      <c r="I1020" s="12" t="n"/>
      <c r="J1020" s="14" t="n"/>
      <c r="K1020" s="12" t="n"/>
      <c r="L1020" s="13">
        <f>IF($K1020="","",IFERROR(INDEX(Dept_Names,MATCH($K1020,Dept_Codes,0)),"NOT FOUND"))</f>
        <v/>
      </c>
      <c r="M1020" s="12" t="n"/>
      <c r="N1020" s="13">
        <f>IF($M1020="","",IFERROR(INDEX(Desig_Names,MATCH($M1020,Desig_Codes,0)),"NOT FOUND"))</f>
        <v/>
      </c>
      <c r="O1020" s="13">
        <f>IF($M1020="","",IFERROR(INDEX(Desig_Levels,MATCH($M1020,Desig_Codes,0)),""))</f>
        <v/>
      </c>
      <c r="P1020" s="12" t="n"/>
      <c r="Q1020" s="12" t="n"/>
      <c r="R1020" s="12" t="n"/>
      <c r="S1020" s="13">
        <f>IF($R1020="","",IFERROR(INDEX(Emp_Names,MATCH($R1020,Emp_Codes,0)),"NOT FOUND"))</f>
        <v/>
      </c>
      <c r="T1020" s="12" t="n"/>
      <c r="U1020" s="12" t="n"/>
      <c r="V1020" s="12" t="n"/>
    </row>
    <row r="1021">
      <c r="A1021" s="12" t="n"/>
      <c r="B1021" s="12" t="n"/>
      <c r="C1021" s="12" t="n"/>
      <c r="D1021" s="13">
        <f>IF($A1021="","",TRIM($B1021&amp;" "&amp;$C1021))</f>
        <v/>
      </c>
      <c r="E1021" s="12" t="n"/>
      <c r="F1021" s="12" t="n"/>
      <c r="G1021" s="14" t="n"/>
      <c r="H1021" s="14" t="n"/>
      <c r="I1021" s="12" t="n"/>
      <c r="J1021" s="14" t="n"/>
      <c r="K1021" s="12" t="n"/>
      <c r="L1021" s="13">
        <f>IF($K1021="","",IFERROR(INDEX(Dept_Names,MATCH($K1021,Dept_Codes,0)),"NOT FOUND"))</f>
        <v/>
      </c>
      <c r="M1021" s="12" t="n"/>
      <c r="N1021" s="13">
        <f>IF($M1021="","",IFERROR(INDEX(Desig_Names,MATCH($M1021,Desig_Codes,0)),"NOT FOUND"))</f>
        <v/>
      </c>
      <c r="O1021" s="13">
        <f>IF($M1021="","",IFERROR(INDEX(Desig_Levels,MATCH($M1021,Desig_Codes,0)),""))</f>
        <v/>
      </c>
      <c r="P1021" s="12" t="n"/>
      <c r="Q1021" s="12" t="n"/>
      <c r="R1021" s="12" t="n"/>
      <c r="S1021" s="13">
        <f>IF($R1021="","",IFERROR(INDEX(Emp_Names,MATCH($R1021,Emp_Codes,0)),"NOT FOUND"))</f>
        <v/>
      </c>
      <c r="T1021" s="12" t="n"/>
      <c r="U1021" s="12" t="n"/>
      <c r="V1021" s="12" t="n"/>
    </row>
    <row r="1022">
      <c r="A1022" s="12" t="n"/>
      <c r="B1022" s="12" t="n"/>
      <c r="C1022" s="12" t="n"/>
      <c r="D1022" s="13">
        <f>IF($A1022="","",TRIM($B1022&amp;" "&amp;$C1022))</f>
        <v/>
      </c>
      <c r="E1022" s="12" t="n"/>
      <c r="F1022" s="12" t="n"/>
      <c r="G1022" s="14" t="n"/>
      <c r="H1022" s="14" t="n"/>
      <c r="I1022" s="12" t="n"/>
      <c r="J1022" s="14" t="n"/>
      <c r="K1022" s="12" t="n"/>
      <c r="L1022" s="13">
        <f>IF($K1022="","",IFERROR(INDEX(Dept_Names,MATCH($K1022,Dept_Codes,0)),"NOT FOUND"))</f>
        <v/>
      </c>
      <c r="M1022" s="12" t="n"/>
      <c r="N1022" s="13">
        <f>IF($M1022="","",IFERROR(INDEX(Desig_Names,MATCH($M1022,Desig_Codes,0)),"NOT FOUND"))</f>
        <v/>
      </c>
      <c r="O1022" s="13">
        <f>IF($M1022="","",IFERROR(INDEX(Desig_Levels,MATCH($M1022,Desig_Codes,0)),""))</f>
        <v/>
      </c>
      <c r="P1022" s="12" t="n"/>
      <c r="Q1022" s="12" t="n"/>
      <c r="R1022" s="12" t="n"/>
      <c r="S1022" s="13">
        <f>IF($R1022="","",IFERROR(INDEX(Emp_Names,MATCH($R1022,Emp_Codes,0)),"NOT FOUND"))</f>
        <v/>
      </c>
      <c r="T1022" s="12" t="n"/>
      <c r="U1022" s="12" t="n"/>
      <c r="V1022" s="12" t="n"/>
    </row>
    <row r="1023">
      <c r="A1023" s="12" t="n"/>
      <c r="B1023" s="12" t="n"/>
      <c r="C1023" s="12" t="n"/>
      <c r="D1023" s="13">
        <f>IF($A1023="","",TRIM($B1023&amp;" "&amp;$C1023))</f>
        <v/>
      </c>
      <c r="E1023" s="12" t="n"/>
      <c r="F1023" s="12" t="n"/>
      <c r="G1023" s="14" t="n"/>
      <c r="H1023" s="14" t="n"/>
      <c r="I1023" s="12" t="n"/>
      <c r="J1023" s="14" t="n"/>
      <c r="K1023" s="12" t="n"/>
      <c r="L1023" s="13">
        <f>IF($K1023="","",IFERROR(INDEX(Dept_Names,MATCH($K1023,Dept_Codes,0)),"NOT FOUND"))</f>
        <v/>
      </c>
      <c r="M1023" s="12" t="n"/>
      <c r="N1023" s="13">
        <f>IF($M1023="","",IFERROR(INDEX(Desig_Names,MATCH($M1023,Desig_Codes,0)),"NOT FOUND"))</f>
        <v/>
      </c>
      <c r="O1023" s="13">
        <f>IF($M1023="","",IFERROR(INDEX(Desig_Levels,MATCH($M1023,Desig_Codes,0)),""))</f>
        <v/>
      </c>
      <c r="P1023" s="12" t="n"/>
      <c r="Q1023" s="12" t="n"/>
      <c r="R1023" s="12" t="n"/>
      <c r="S1023" s="13">
        <f>IF($R1023="","",IFERROR(INDEX(Emp_Names,MATCH($R1023,Emp_Codes,0)),"NOT FOUND"))</f>
        <v/>
      </c>
      <c r="T1023" s="12" t="n"/>
      <c r="U1023" s="12" t="n"/>
      <c r="V1023" s="12" t="n"/>
    </row>
    <row r="1024">
      <c r="A1024" s="12" t="n"/>
      <c r="B1024" s="12" t="n"/>
      <c r="C1024" s="12" t="n"/>
      <c r="D1024" s="13">
        <f>IF($A1024="","",TRIM($B1024&amp;" "&amp;$C1024))</f>
        <v/>
      </c>
      <c r="E1024" s="12" t="n"/>
      <c r="F1024" s="12" t="n"/>
      <c r="G1024" s="14" t="n"/>
      <c r="H1024" s="14" t="n"/>
      <c r="I1024" s="12" t="n"/>
      <c r="J1024" s="14" t="n"/>
      <c r="K1024" s="12" t="n"/>
      <c r="L1024" s="13">
        <f>IF($K1024="","",IFERROR(INDEX(Dept_Names,MATCH($K1024,Dept_Codes,0)),"NOT FOUND"))</f>
        <v/>
      </c>
      <c r="M1024" s="12" t="n"/>
      <c r="N1024" s="13">
        <f>IF($M1024="","",IFERROR(INDEX(Desig_Names,MATCH($M1024,Desig_Codes,0)),"NOT FOUND"))</f>
        <v/>
      </c>
      <c r="O1024" s="13">
        <f>IF($M1024="","",IFERROR(INDEX(Desig_Levels,MATCH($M1024,Desig_Codes,0)),""))</f>
        <v/>
      </c>
      <c r="P1024" s="12" t="n"/>
      <c r="Q1024" s="12" t="n"/>
      <c r="R1024" s="12" t="n"/>
      <c r="S1024" s="13">
        <f>IF($R1024="","",IFERROR(INDEX(Emp_Names,MATCH($R1024,Emp_Codes,0)),"NOT FOUND"))</f>
        <v/>
      </c>
      <c r="T1024" s="12" t="n"/>
      <c r="U1024" s="12" t="n"/>
      <c r="V1024" s="12" t="n"/>
    </row>
    <row r="1025">
      <c r="A1025" s="12" t="n"/>
      <c r="B1025" s="12" t="n"/>
      <c r="C1025" s="12" t="n"/>
      <c r="D1025" s="13">
        <f>IF($A1025="","",TRIM($B1025&amp;" "&amp;$C1025))</f>
        <v/>
      </c>
      <c r="E1025" s="12" t="n"/>
      <c r="F1025" s="12" t="n"/>
      <c r="G1025" s="14" t="n"/>
      <c r="H1025" s="14" t="n"/>
      <c r="I1025" s="12" t="n"/>
      <c r="J1025" s="14" t="n"/>
      <c r="K1025" s="12" t="n"/>
      <c r="L1025" s="13">
        <f>IF($K1025="","",IFERROR(INDEX(Dept_Names,MATCH($K1025,Dept_Codes,0)),"NOT FOUND"))</f>
        <v/>
      </c>
      <c r="M1025" s="12" t="n"/>
      <c r="N1025" s="13">
        <f>IF($M1025="","",IFERROR(INDEX(Desig_Names,MATCH($M1025,Desig_Codes,0)),"NOT FOUND"))</f>
        <v/>
      </c>
      <c r="O1025" s="13">
        <f>IF($M1025="","",IFERROR(INDEX(Desig_Levels,MATCH($M1025,Desig_Codes,0)),""))</f>
        <v/>
      </c>
      <c r="P1025" s="12" t="n"/>
      <c r="Q1025" s="12" t="n"/>
      <c r="R1025" s="12" t="n"/>
      <c r="S1025" s="13">
        <f>IF($R1025="","",IFERROR(INDEX(Emp_Names,MATCH($R1025,Emp_Codes,0)),"NOT FOUND"))</f>
        <v/>
      </c>
      <c r="T1025" s="12" t="n"/>
      <c r="U1025" s="12" t="n"/>
      <c r="V1025" s="12" t="n"/>
    </row>
    <row r="1026">
      <c r="A1026" s="12" t="n"/>
      <c r="B1026" s="12" t="n"/>
      <c r="C1026" s="12" t="n"/>
      <c r="D1026" s="13">
        <f>IF($A1026="","",TRIM($B1026&amp;" "&amp;$C1026))</f>
        <v/>
      </c>
      <c r="E1026" s="12" t="n"/>
      <c r="F1026" s="12" t="n"/>
      <c r="G1026" s="14" t="n"/>
      <c r="H1026" s="14" t="n"/>
      <c r="I1026" s="12" t="n"/>
      <c r="J1026" s="14" t="n"/>
      <c r="K1026" s="12" t="n"/>
      <c r="L1026" s="13">
        <f>IF($K1026="","",IFERROR(INDEX(Dept_Names,MATCH($K1026,Dept_Codes,0)),"NOT FOUND"))</f>
        <v/>
      </c>
      <c r="M1026" s="12" t="n"/>
      <c r="N1026" s="13">
        <f>IF($M1026="","",IFERROR(INDEX(Desig_Names,MATCH($M1026,Desig_Codes,0)),"NOT FOUND"))</f>
        <v/>
      </c>
      <c r="O1026" s="13">
        <f>IF($M1026="","",IFERROR(INDEX(Desig_Levels,MATCH($M1026,Desig_Codes,0)),""))</f>
        <v/>
      </c>
      <c r="P1026" s="12" t="n"/>
      <c r="Q1026" s="12" t="n"/>
      <c r="R1026" s="12" t="n"/>
      <c r="S1026" s="13">
        <f>IF($R1026="","",IFERROR(INDEX(Emp_Names,MATCH($R1026,Emp_Codes,0)),"NOT FOUND"))</f>
        <v/>
      </c>
      <c r="T1026" s="12" t="n"/>
      <c r="U1026" s="12" t="n"/>
      <c r="V1026" s="12" t="n"/>
    </row>
    <row r="1027">
      <c r="A1027" s="12" t="n"/>
      <c r="B1027" s="12" t="n"/>
      <c r="C1027" s="12" t="n"/>
      <c r="D1027" s="13">
        <f>IF($A1027="","",TRIM($B1027&amp;" "&amp;$C1027))</f>
        <v/>
      </c>
      <c r="E1027" s="12" t="n"/>
      <c r="F1027" s="12" t="n"/>
      <c r="G1027" s="14" t="n"/>
      <c r="H1027" s="14" t="n"/>
      <c r="I1027" s="12" t="n"/>
      <c r="J1027" s="14" t="n"/>
      <c r="K1027" s="12" t="n"/>
      <c r="L1027" s="13">
        <f>IF($K1027="","",IFERROR(INDEX(Dept_Names,MATCH($K1027,Dept_Codes,0)),"NOT FOUND"))</f>
        <v/>
      </c>
      <c r="M1027" s="12" t="n"/>
      <c r="N1027" s="13">
        <f>IF($M1027="","",IFERROR(INDEX(Desig_Names,MATCH($M1027,Desig_Codes,0)),"NOT FOUND"))</f>
        <v/>
      </c>
      <c r="O1027" s="13">
        <f>IF($M1027="","",IFERROR(INDEX(Desig_Levels,MATCH($M1027,Desig_Codes,0)),""))</f>
        <v/>
      </c>
      <c r="P1027" s="12" t="n"/>
      <c r="Q1027" s="12" t="n"/>
      <c r="R1027" s="12" t="n"/>
      <c r="S1027" s="13">
        <f>IF($R1027="","",IFERROR(INDEX(Emp_Names,MATCH($R1027,Emp_Codes,0)),"NOT FOUND"))</f>
        <v/>
      </c>
      <c r="T1027" s="12" t="n"/>
      <c r="U1027" s="12" t="n"/>
      <c r="V1027" s="12" t="n"/>
    </row>
    <row r="1028">
      <c r="A1028" s="12" t="n"/>
      <c r="B1028" s="12" t="n"/>
      <c r="C1028" s="12" t="n"/>
      <c r="D1028" s="13">
        <f>IF($A1028="","",TRIM($B1028&amp;" "&amp;$C1028))</f>
        <v/>
      </c>
      <c r="E1028" s="12" t="n"/>
      <c r="F1028" s="12" t="n"/>
      <c r="G1028" s="14" t="n"/>
      <c r="H1028" s="14" t="n"/>
      <c r="I1028" s="12" t="n"/>
      <c r="J1028" s="14" t="n"/>
      <c r="K1028" s="12" t="n"/>
      <c r="L1028" s="13">
        <f>IF($K1028="","",IFERROR(INDEX(Dept_Names,MATCH($K1028,Dept_Codes,0)),"NOT FOUND"))</f>
        <v/>
      </c>
      <c r="M1028" s="12" t="n"/>
      <c r="N1028" s="13">
        <f>IF($M1028="","",IFERROR(INDEX(Desig_Names,MATCH($M1028,Desig_Codes,0)),"NOT FOUND"))</f>
        <v/>
      </c>
      <c r="O1028" s="13">
        <f>IF($M1028="","",IFERROR(INDEX(Desig_Levels,MATCH($M1028,Desig_Codes,0)),""))</f>
        <v/>
      </c>
      <c r="P1028" s="12" t="n"/>
      <c r="Q1028" s="12" t="n"/>
      <c r="R1028" s="12" t="n"/>
      <c r="S1028" s="13">
        <f>IF($R1028="","",IFERROR(INDEX(Emp_Names,MATCH($R1028,Emp_Codes,0)),"NOT FOUND"))</f>
        <v/>
      </c>
      <c r="T1028" s="12" t="n"/>
      <c r="U1028" s="12" t="n"/>
      <c r="V1028" s="12" t="n"/>
    </row>
    <row r="1029">
      <c r="A1029" s="12" t="n"/>
      <c r="B1029" s="12" t="n"/>
      <c r="C1029" s="12" t="n"/>
      <c r="D1029" s="13">
        <f>IF($A1029="","",TRIM($B1029&amp;" "&amp;$C1029))</f>
        <v/>
      </c>
      <c r="E1029" s="12" t="n"/>
      <c r="F1029" s="12" t="n"/>
      <c r="G1029" s="14" t="n"/>
      <c r="H1029" s="14" t="n"/>
      <c r="I1029" s="12" t="n"/>
      <c r="J1029" s="14" t="n"/>
      <c r="K1029" s="12" t="n"/>
      <c r="L1029" s="13">
        <f>IF($K1029="","",IFERROR(INDEX(Dept_Names,MATCH($K1029,Dept_Codes,0)),"NOT FOUND"))</f>
        <v/>
      </c>
      <c r="M1029" s="12" t="n"/>
      <c r="N1029" s="13">
        <f>IF($M1029="","",IFERROR(INDEX(Desig_Names,MATCH($M1029,Desig_Codes,0)),"NOT FOUND"))</f>
        <v/>
      </c>
      <c r="O1029" s="13">
        <f>IF($M1029="","",IFERROR(INDEX(Desig_Levels,MATCH($M1029,Desig_Codes,0)),""))</f>
        <v/>
      </c>
      <c r="P1029" s="12" t="n"/>
      <c r="Q1029" s="12" t="n"/>
      <c r="R1029" s="12" t="n"/>
      <c r="S1029" s="13">
        <f>IF($R1029="","",IFERROR(INDEX(Emp_Names,MATCH($R1029,Emp_Codes,0)),"NOT FOUND"))</f>
        <v/>
      </c>
      <c r="T1029" s="12" t="n"/>
      <c r="U1029" s="12" t="n"/>
      <c r="V1029" s="12" t="n"/>
    </row>
    <row r="1030">
      <c r="A1030" s="12" t="n"/>
      <c r="B1030" s="12" t="n"/>
      <c r="C1030" s="12" t="n"/>
      <c r="D1030" s="13">
        <f>IF($A1030="","",TRIM($B1030&amp;" "&amp;$C1030))</f>
        <v/>
      </c>
      <c r="E1030" s="12" t="n"/>
      <c r="F1030" s="12" t="n"/>
      <c r="G1030" s="14" t="n"/>
      <c r="H1030" s="14" t="n"/>
      <c r="I1030" s="12" t="n"/>
      <c r="J1030" s="14" t="n"/>
      <c r="K1030" s="12" t="n"/>
      <c r="L1030" s="13">
        <f>IF($K1030="","",IFERROR(INDEX(Dept_Names,MATCH($K1030,Dept_Codes,0)),"NOT FOUND"))</f>
        <v/>
      </c>
      <c r="M1030" s="12" t="n"/>
      <c r="N1030" s="13">
        <f>IF($M1030="","",IFERROR(INDEX(Desig_Names,MATCH($M1030,Desig_Codes,0)),"NOT FOUND"))</f>
        <v/>
      </c>
      <c r="O1030" s="13">
        <f>IF($M1030="","",IFERROR(INDEX(Desig_Levels,MATCH($M1030,Desig_Codes,0)),""))</f>
        <v/>
      </c>
      <c r="P1030" s="12" t="n"/>
      <c r="Q1030" s="12" t="n"/>
      <c r="R1030" s="12" t="n"/>
      <c r="S1030" s="13">
        <f>IF($R1030="","",IFERROR(INDEX(Emp_Names,MATCH($R1030,Emp_Codes,0)),"NOT FOUND"))</f>
        <v/>
      </c>
      <c r="T1030" s="12" t="n"/>
      <c r="U1030" s="12" t="n"/>
      <c r="V1030" s="12" t="n"/>
    </row>
    <row r="1031">
      <c r="A1031" s="12" t="n"/>
      <c r="B1031" s="12" t="n"/>
      <c r="C1031" s="12" t="n"/>
      <c r="D1031" s="13">
        <f>IF($A1031="","",TRIM($B1031&amp;" "&amp;$C1031))</f>
        <v/>
      </c>
      <c r="E1031" s="12" t="n"/>
      <c r="F1031" s="12" t="n"/>
      <c r="G1031" s="14" t="n"/>
      <c r="H1031" s="14" t="n"/>
      <c r="I1031" s="12" t="n"/>
      <c r="J1031" s="14" t="n"/>
      <c r="K1031" s="12" t="n"/>
      <c r="L1031" s="13">
        <f>IF($K1031="","",IFERROR(INDEX(Dept_Names,MATCH($K1031,Dept_Codes,0)),"NOT FOUND"))</f>
        <v/>
      </c>
      <c r="M1031" s="12" t="n"/>
      <c r="N1031" s="13">
        <f>IF($M1031="","",IFERROR(INDEX(Desig_Names,MATCH($M1031,Desig_Codes,0)),"NOT FOUND"))</f>
        <v/>
      </c>
      <c r="O1031" s="13">
        <f>IF($M1031="","",IFERROR(INDEX(Desig_Levels,MATCH($M1031,Desig_Codes,0)),""))</f>
        <v/>
      </c>
      <c r="P1031" s="12" t="n"/>
      <c r="Q1031" s="12" t="n"/>
      <c r="R1031" s="12" t="n"/>
      <c r="S1031" s="13">
        <f>IF($R1031="","",IFERROR(INDEX(Emp_Names,MATCH($R1031,Emp_Codes,0)),"NOT FOUND"))</f>
        <v/>
      </c>
      <c r="T1031" s="12" t="n"/>
      <c r="U1031" s="12" t="n"/>
      <c r="V1031" s="12" t="n"/>
    </row>
    <row r="1032">
      <c r="A1032" s="12" t="n"/>
      <c r="B1032" s="12" t="n"/>
      <c r="C1032" s="12" t="n"/>
      <c r="D1032" s="13">
        <f>IF($A1032="","",TRIM($B1032&amp;" "&amp;$C1032))</f>
        <v/>
      </c>
      <c r="E1032" s="12" t="n"/>
      <c r="F1032" s="12" t="n"/>
      <c r="G1032" s="14" t="n"/>
      <c r="H1032" s="14" t="n"/>
      <c r="I1032" s="12" t="n"/>
      <c r="J1032" s="14" t="n"/>
      <c r="K1032" s="12" t="n"/>
      <c r="L1032" s="13">
        <f>IF($K1032="","",IFERROR(INDEX(Dept_Names,MATCH($K1032,Dept_Codes,0)),"NOT FOUND"))</f>
        <v/>
      </c>
      <c r="M1032" s="12" t="n"/>
      <c r="N1032" s="13">
        <f>IF($M1032="","",IFERROR(INDEX(Desig_Names,MATCH($M1032,Desig_Codes,0)),"NOT FOUND"))</f>
        <v/>
      </c>
      <c r="O1032" s="13">
        <f>IF($M1032="","",IFERROR(INDEX(Desig_Levels,MATCH($M1032,Desig_Codes,0)),""))</f>
        <v/>
      </c>
      <c r="P1032" s="12" t="n"/>
      <c r="Q1032" s="12" t="n"/>
      <c r="R1032" s="12" t="n"/>
      <c r="S1032" s="13">
        <f>IF($R1032="","",IFERROR(INDEX(Emp_Names,MATCH($R1032,Emp_Codes,0)),"NOT FOUND"))</f>
        <v/>
      </c>
      <c r="T1032" s="12" t="n"/>
      <c r="U1032" s="12" t="n"/>
      <c r="V1032" s="12" t="n"/>
    </row>
    <row r="1033">
      <c r="A1033" s="12" t="n"/>
      <c r="B1033" s="12" t="n"/>
      <c r="C1033" s="12" t="n"/>
      <c r="D1033" s="13">
        <f>IF($A1033="","",TRIM($B1033&amp;" "&amp;$C1033))</f>
        <v/>
      </c>
      <c r="E1033" s="12" t="n"/>
      <c r="F1033" s="12" t="n"/>
      <c r="G1033" s="14" t="n"/>
      <c r="H1033" s="14" t="n"/>
      <c r="I1033" s="12" t="n"/>
      <c r="J1033" s="14" t="n"/>
      <c r="K1033" s="12" t="n"/>
      <c r="L1033" s="13">
        <f>IF($K1033="","",IFERROR(INDEX(Dept_Names,MATCH($K1033,Dept_Codes,0)),"NOT FOUND"))</f>
        <v/>
      </c>
      <c r="M1033" s="12" t="n"/>
      <c r="N1033" s="13">
        <f>IF($M1033="","",IFERROR(INDEX(Desig_Names,MATCH($M1033,Desig_Codes,0)),"NOT FOUND"))</f>
        <v/>
      </c>
      <c r="O1033" s="13">
        <f>IF($M1033="","",IFERROR(INDEX(Desig_Levels,MATCH($M1033,Desig_Codes,0)),""))</f>
        <v/>
      </c>
      <c r="P1033" s="12" t="n"/>
      <c r="Q1033" s="12" t="n"/>
      <c r="R1033" s="12" t="n"/>
      <c r="S1033" s="13">
        <f>IF($R1033="","",IFERROR(INDEX(Emp_Names,MATCH($R1033,Emp_Codes,0)),"NOT FOUND"))</f>
        <v/>
      </c>
      <c r="T1033" s="12" t="n"/>
      <c r="U1033" s="12" t="n"/>
      <c r="V1033" s="12" t="n"/>
    </row>
    <row r="1034">
      <c r="A1034" s="12" t="n"/>
      <c r="B1034" s="12" t="n"/>
      <c r="C1034" s="12" t="n"/>
      <c r="D1034" s="13">
        <f>IF($A1034="","",TRIM($B1034&amp;" "&amp;$C1034))</f>
        <v/>
      </c>
      <c r="E1034" s="12" t="n"/>
      <c r="F1034" s="12" t="n"/>
      <c r="G1034" s="14" t="n"/>
      <c r="H1034" s="14" t="n"/>
      <c r="I1034" s="12" t="n"/>
      <c r="J1034" s="14" t="n"/>
      <c r="K1034" s="12" t="n"/>
      <c r="L1034" s="13">
        <f>IF($K1034="","",IFERROR(INDEX(Dept_Names,MATCH($K1034,Dept_Codes,0)),"NOT FOUND"))</f>
        <v/>
      </c>
      <c r="M1034" s="12" t="n"/>
      <c r="N1034" s="13">
        <f>IF($M1034="","",IFERROR(INDEX(Desig_Names,MATCH($M1034,Desig_Codes,0)),"NOT FOUND"))</f>
        <v/>
      </c>
      <c r="O1034" s="13">
        <f>IF($M1034="","",IFERROR(INDEX(Desig_Levels,MATCH($M1034,Desig_Codes,0)),""))</f>
        <v/>
      </c>
      <c r="P1034" s="12" t="n"/>
      <c r="Q1034" s="12" t="n"/>
      <c r="R1034" s="12" t="n"/>
      <c r="S1034" s="13">
        <f>IF($R1034="","",IFERROR(INDEX(Emp_Names,MATCH($R1034,Emp_Codes,0)),"NOT FOUND"))</f>
        <v/>
      </c>
      <c r="T1034" s="12" t="n"/>
      <c r="U1034" s="12" t="n"/>
      <c r="V1034" s="12" t="n"/>
    </row>
    <row r="1035">
      <c r="A1035" s="12" t="n"/>
      <c r="B1035" s="12" t="n"/>
      <c r="C1035" s="12" t="n"/>
      <c r="D1035" s="13">
        <f>IF($A1035="","",TRIM($B1035&amp;" "&amp;$C1035))</f>
        <v/>
      </c>
      <c r="E1035" s="12" t="n"/>
      <c r="F1035" s="12" t="n"/>
      <c r="G1035" s="14" t="n"/>
      <c r="H1035" s="14" t="n"/>
      <c r="I1035" s="12" t="n"/>
      <c r="J1035" s="14" t="n"/>
      <c r="K1035" s="12" t="n"/>
      <c r="L1035" s="13">
        <f>IF($K1035="","",IFERROR(INDEX(Dept_Names,MATCH($K1035,Dept_Codes,0)),"NOT FOUND"))</f>
        <v/>
      </c>
      <c r="M1035" s="12" t="n"/>
      <c r="N1035" s="13">
        <f>IF($M1035="","",IFERROR(INDEX(Desig_Names,MATCH($M1035,Desig_Codes,0)),"NOT FOUND"))</f>
        <v/>
      </c>
      <c r="O1035" s="13">
        <f>IF($M1035="","",IFERROR(INDEX(Desig_Levels,MATCH($M1035,Desig_Codes,0)),""))</f>
        <v/>
      </c>
      <c r="P1035" s="12" t="n"/>
      <c r="Q1035" s="12" t="n"/>
      <c r="R1035" s="12" t="n"/>
      <c r="S1035" s="13">
        <f>IF($R1035="","",IFERROR(INDEX(Emp_Names,MATCH($R1035,Emp_Codes,0)),"NOT FOUND"))</f>
        <v/>
      </c>
      <c r="T1035" s="12" t="n"/>
      <c r="U1035" s="12" t="n"/>
      <c r="V1035" s="12" t="n"/>
    </row>
    <row r="1036">
      <c r="A1036" s="12" t="n"/>
      <c r="B1036" s="12" t="n"/>
      <c r="C1036" s="12" t="n"/>
      <c r="D1036" s="13">
        <f>IF($A1036="","",TRIM($B1036&amp;" "&amp;$C1036))</f>
        <v/>
      </c>
      <c r="E1036" s="12" t="n"/>
      <c r="F1036" s="12" t="n"/>
      <c r="G1036" s="14" t="n"/>
      <c r="H1036" s="14" t="n"/>
      <c r="I1036" s="12" t="n"/>
      <c r="J1036" s="14" t="n"/>
      <c r="K1036" s="12" t="n"/>
      <c r="L1036" s="13">
        <f>IF($K1036="","",IFERROR(INDEX(Dept_Names,MATCH($K1036,Dept_Codes,0)),"NOT FOUND"))</f>
        <v/>
      </c>
      <c r="M1036" s="12" t="n"/>
      <c r="N1036" s="13">
        <f>IF($M1036="","",IFERROR(INDEX(Desig_Names,MATCH($M1036,Desig_Codes,0)),"NOT FOUND"))</f>
        <v/>
      </c>
      <c r="O1036" s="13">
        <f>IF($M1036="","",IFERROR(INDEX(Desig_Levels,MATCH($M1036,Desig_Codes,0)),""))</f>
        <v/>
      </c>
      <c r="P1036" s="12" t="n"/>
      <c r="Q1036" s="12" t="n"/>
      <c r="R1036" s="12" t="n"/>
      <c r="S1036" s="13">
        <f>IF($R1036="","",IFERROR(INDEX(Emp_Names,MATCH($R1036,Emp_Codes,0)),"NOT FOUND"))</f>
        <v/>
      </c>
      <c r="T1036" s="12" t="n"/>
      <c r="U1036" s="12" t="n"/>
      <c r="V1036" s="12" t="n"/>
    </row>
    <row r="1037">
      <c r="A1037" s="12" t="n"/>
      <c r="B1037" s="12" t="n"/>
      <c r="C1037" s="12" t="n"/>
      <c r="D1037" s="13">
        <f>IF($A1037="","",TRIM($B1037&amp;" "&amp;$C1037))</f>
        <v/>
      </c>
      <c r="E1037" s="12" t="n"/>
      <c r="F1037" s="12" t="n"/>
      <c r="G1037" s="14" t="n"/>
      <c r="H1037" s="14" t="n"/>
      <c r="I1037" s="12" t="n"/>
      <c r="J1037" s="14" t="n"/>
      <c r="K1037" s="12" t="n"/>
      <c r="L1037" s="13">
        <f>IF($K1037="","",IFERROR(INDEX(Dept_Names,MATCH($K1037,Dept_Codes,0)),"NOT FOUND"))</f>
        <v/>
      </c>
      <c r="M1037" s="12" t="n"/>
      <c r="N1037" s="13">
        <f>IF($M1037="","",IFERROR(INDEX(Desig_Names,MATCH($M1037,Desig_Codes,0)),"NOT FOUND"))</f>
        <v/>
      </c>
      <c r="O1037" s="13">
        <f>IF($M1037="","",IFERROR(INDEX(Desig_Levels,MATCH($M1037,Desig_Codes,0)),""))</f>
        <v/>
      </c>
      <c r="P1037" s="12" t="n"/>
      <c r="Q1037" s="12" t="n"/>
      <c r="R1037" s="12" t="n"/>
      <c r="S1037" s="13">
        <f>IF($R1037="","",IFERROR(INDEX(Emp_Names,MATCH($R1037,Emp_Codes,0)),"NOT FOUND"))</f>
        <v/>
      </c>
      <c r="T1037" s="12" t="n"/>
      <c r="U1037" s="12" t="n"/>
      <c r="V1037" s="12" t="n"/>
    </row>
    <row r="1038">
      <c r="A1038" s="12" t="n"/>
      <c r="B1038" s="12" t="n"/>
      <c r="C1038" s="12" t="n"/>
      <c r="D1038" s="13">
        <f>IF($A1038="","",TRIM($B1038&amp;" "&amp;$C1038))</f>
        <v/>
      </c>
      <c r="E1038" s="12" t="n"/>
      <c r="F1038" s="12" t="n"/>
      <c r="G1038" s="14" t="n"/>
      <c r="H1038" s="14" t="n"/>
      <c r="I1038" s="12" t="n"/>
      <c r="J1038" s="14" t="n"/>
      <c r="K1038" s="12" t="n"/>
      <c r="L1038" s="13">
        <f>IF($K1038="","",IFERROR(INDEX(Dept_Names,MATCH($K1038,Dept_Codes,0)),"NOT FOUND"))</f>
        <v/>
      </c>
      <c r="M1038" s="12" t="n"/>
      <c r="N1038" s="13">
        <f>IF($M1038="","",IFERROR(INDEX(Desig_Names,MATCH($M1038,Desig_Codes,0)),"NOT FOUND"))</f>
        <v/>
      </c>
      <c r="O1038" s="13">
        <f>IF($M1038="","",IFERROR(INDEX(Desig_Levels,MATCH($M1038,Desig_Codes,0)),""))</f>
        <v/>
      </c>
      <c r="P1038" s="12" t="n"/>
      <c r="Q1038" s="12" t="n"/>
      <c r="R1038" s="12" t="n"/>
      <c r="S1038" s="13">
        <f>IF($R1038="","",IFERROR(INDEX(Emp_Names,MATCH($R1038,Emp_Codes,0)),"NOT FOUND"))</f>
        <v/>
      </c>
      <c r="T1038" s="12" t="n"/>
      <c r="U1038" s="12" t="n"/>
      <c r="V1038" s="12" t="n"/>
    </row>
    <row r="1039">
      <c r="A1039" s="12" t="n"/>
      <c r="B1039" s="12" t="n"/>
      <c r="C1039" s="12" t="n"/>
      <c r="D1039" s="13">
        <f>IF($A1039="","",TRIM($B1039&amp;" "&amp;$C1039))</f>
        <v/>
      </c>
      <c r="E1039" s="12" t="n"/>
      <c r="F1039" s="12" t="n"/>
      <c r="G1039" s="14" t="n"/>
      <c r="H1039" s="14" t="n"/>
      <c r="I1039" s="12" t="n"/>
      <c r="J1039" s="14" t="n"/>
      <c r="K1039" s="12" t="n"/>
      <c r="L1039" s="13">
        <f>IF($K1039="","",IFERROR(INDEX(Dept_Names,MATCH($K1039,Dept_Codes,0)),"NOT FOUND"))</f>
        <v/>
      </c>
      <c r="M1039" s="12" t="n"/>
      <c r="N1039" s="13">
        <f>IF($M1039="","",IFERROR(INDEX(Desig_Names,MATCH($M1039,Desig_Codes,0)),"NOT FOUND"))</f>
        <v/>
      </c>
      <c r="O1039" s="13">
        <f>IF($M1039="","",IFERROR(INDEX(Desig_Levels,MATCH($M1039,Desig_Codes,0)),""))</f>
        <v/>
      </c>
      <c r="P1039" s="12" t="n"/>
      <c r="Q1039" s="12" t="n"/>
      <c r="R1039" s="12" t="n"/>
      <c r="S1039" s="13">
        <f>IF($R1039="","",IFERROR(INDEX(Emp_Names,MATCH($R1039,Emp_Codes,0)),"NOT FOUND"))</f>
        <v/>
      </c>
      <c r="T1039" s="12" t="n"/>
      <c r="U1039" s="12" t="n"/>
      <c r="V1039" s="12" t="n"/>
    </row>
    <row r="1040">
      <c r="A1040" s="12" t="n"/>
      <c r="B1040" s="12" t="n"/>
      <c r="C1040" s="12" t="n"/>
      <c r="D1040" s="13">
        <f>IF($A1040="","",TRIM($B1040&amp;" "&amp;$C1040))</f>
        <v/>
      </c>
      <c r="E1040" s="12" t="n"/>
      <c r="F1040" s="12" t="n"/>
      <c r="G1040" s="14" t="n"/>
      <c r="H1040" s="14" t="n"/>
      <c r="I1040" s="12" t="n"/>
      <c r="J1040" s="14" t="n"/>
      <c r="K1040" s="12" t="n"/>
      <c r="L1040" s="13">
        <f>IF($K1040="","",IFERROR(INDEX(Dept_Names,MATCH($K1040,Dept_Codes,0)),"NOT FOUND"))</f>
        <v/>
      </c>
      <c r="M1040" s="12" t="n"/>
      <c r="N1040" s="13">
        <f>IF($M1040="","",IFERROR(INDEX(Desig_Names,MATCH($M1040,Desig_Codes,0)),"NOT FOUND"))</f>
        <v/>
      </c>
      <c r="O1040" s="13">
        <f>IF($M1040="","",IFERROR(INDEX(Desig_Levels,MATCH($M1040,Desig_Codes,0)),""))</f>
        <v/>
      </c>
      <c r="P1040" s="12" t="n"/>
      <c r="Q1040" s="12" t="n"/>
      <c r="R1040" s="12" t="n"/>
      <c r="S1040" s="13">
        <f>IF($R1040="","",IFERROR(INDEX(Emp_Names,MATCH($R1040,Emp_Codes,0)),"NOT FOUND"))</f>
        <v/>
      </c>
      <c r="T1040" s="12" t="n"/>
      <c r="U1040" s="12" t="n"/>
      <c r="V1040" s="12" t="n"/>
    </row>
    <row r="1041">
      <c r="A1041" s="12" t="n"/>
      <c r="B1041" s="12" t="n"/>
      <c r="C1041" s="12" t="n"/>
      <c r="D1041" s="13">
        <f>IF($A1041="","",TRIM($B1041&amp;" "&amp;$C1041))</f>
        <v/>
      </c>
      <c r="E1041" s="12" t="n"/>
      <c r="F1041" s="12" t="n"/>
      <c r="G1041" s="14" t="n"/>
      <c r="H1041" s="14" t="n"/>
      <c r="I1041" s="12" t="n"/>
      <c r="J1041" s="14" t="n"/>
      <c r="K1041" s="12" t="n"/>
      <c r="L1041" s="13">
        <f>IF($K1041="","",IFERROR(INDEX(Dept_Names,MATCH($K1041,Dept_Codes,0)),"NOT FOUND"))</f>
        <v/>
      </c>
      <c r="M1041" s="12" t="n"/>
      <c r="N1041" s="13">
        <f>IF($M1041="","",IFERROR(INDEX(Desig_Names,MATCH($M1041,Desig_Codes,0)),"NOT FOUND"))</f>
        <v/>
      </c>
      <c r="O1041" s="13">
        <f>IF($M1041="","",IFERROR(INDEX(Desig_Levels,MATCH($M1041,Desig_Codes,0)),""))</f>
        <v/>
      </c>
      <c r="P1041" s="12" t="n"/>
      <c r="Q1041" s="12" t="n"/>
      <c r="R1041" s="12" t="n"/>
      <c r="S1041" s="13">
        <f>IF($R1041="","",IFERROR(INDEX(Emp_Names,MATCH($R1041,Emp_Codes,0)),"NOT FOUND"))</f>
        <v/>
      </c>
      <c r="T1041" s="12" t="n"/>
      <c r="U1041" s="12" t="n"/>
      <c r="V1041" s="12" t="n"/>
    </row>
    <row r="1042">
      <c r="A1042" s="12" t="n"/>
      <c r="B1042" s="12" t="n"/>
      <c r="C1042" s="12" t="n"/>
      <c r="D1042" s="13">
        <f>IF($A1042="","",TRIM($B1042&amp;" "&amp;$C1042))</f>
        <v/>
      </c>
      <c r="E1042" s="12" t="n"/>
      <c r="F1042" s="12" t="n"/>
      <c r="G1042" s="14" t="n"/>
      <c r="H1042" s="14" t="n"/>
      <c r="I1042" s="12" t="n"/>
      <c r="J1042" s="14" t="n"/>
      <c r="K1042" s="12" t="n"/>
      <c r="L1042" s="13">
        <f>IF($K1042="","",IFERROR(INDEX(Dept_Names,MATCH($K1042,Dept_Codes,0)),"NOT FOUND"))</f>
        <v/>
      </c>
      <c r="M1042" s="12" t="n"/>
      <c r="N1042" s="13">
        <f>IF($M1042="","",IFERROR(INDEX(Desig_Names,MATCH($M1042,Desig_Codes,0)),"NOT FOUND"))</f>
        <v/>
      </c>
      <c r="O1042" s="13">
        <f>IF($M1042="","",IFERROR(INDEX(Desig_Levels,MATCH($M1042,Desig_Codes,0)),""))</f>
        <v/>
      </c>
      <c r="P1042" s="12" t="n"/>
      <c r="Q1042" s="12" t="n"/>
      <c r="R1042" s="12" t="n"/>
      <c r="S1042" s="13">
        <f>IF($R1042="","",IFERROR(INDEX(Emp_Names,MATCH($R1042,Emp_Codes,0)),"NOT FOUND"))</f>
        <v/>
      </c>
      <c r="T1042" s="12" t="n"/>
      <c r="U1042" s="12" t="n"/>
      <c r="V1042" s="12" t="n"/>
    </row>
    <row r="1043">
      <c r="A1043" s="12" t="n"/>
      <c r="B1043" s="12" t="n"/>
      <c r="C1043" s="12" t="n"/>
      <c r="D1043" s="13">
        <f>IF($A1043="","",TRIM($B1043&amp;" "&amp;$C1043))</f>
        <v/>
      </c>
      <c r="E1043" s="12" t="n"/>
      <c r="F1043" s="12" t="n"/>
      <c r="G1043" s="14" t="n"/>
      <c r="H1043" s="14" t="n"/>
      <c r="I1043" s="12" t="n"/>
      <c r="J1043" s="14" t="n"/>
      <c r="K1043" s="12" t="n"/>
      <c r="L1043" s="13">
        <f>IF($K1043="","",IFERROR(INDEX(Dept_Names,MATCH($K1043,Dept_Codes,0)),"NOT FOUND"))</f>
        <v/>
      </c>
      <c r="M1043" s="12" t="n"/>
      <c r="N1043" s="13">
        <f>IF($M1043="","",IFERROR(INDEX(Desig_Names,MATCH($M1043,Desig_Codes,0)),"NOT FOUND"))</f>
        <v/>
      </c>
      <c r="O1043" s="13">
        <f>IF($M1043="","",IFERROR(INDEX(Desig_Levels,MATCH($M1043,Desig_Codes,0)),""))</f>
        <v/>
      </c>
      <c r="P1043" s="12" t="n"/>
      <c r="Q1043" s="12" t="n"/>
      <c r="R1043" s="12" t="n"/>
      <c r="S1043" s="13">
        <f>IF($R1043="","",IFERROR(INDEX(Emp_Names,MATCH($R1043,Emp_Codes,0)),"NOT FOUND"))</f>
        <v/>
      </c>
      <c r="T1043" s="12" t="n"/>
      <c r="U1043" s="12" t="n"/>
      <c r="V1043" s="12" t="n"/>
    </row>
    <row r="1044">
      <c r="A1044" s="12" t="n"/>
      <c r="B1044" s="12" t="n"/>
      <c r="C1044" s="12" t="n"/>
      <c r="D1044" s="13">
        <f>IF($A1044="","",TRIM($B1044&amp;" "&amp;$C1044))</f>
        <v/>
      </c>
      <c r="E1044" s="12" t="n"/>
      <c r="F1044" s="12" t="n"/>
      <c r="G1044" s="14" t="n"/>
      <c r="H1044" s="14" t="n"/>
      <c r="I1044" s="12" t="n"/>
      <c r="J1044" s="14" t="n"/>
      <c r="K1044" s="12" t="n"/>
      <c r="L1044" s="13">
        <f>IF($K1044="","",IFERROR(INDEX(Dept_Names,MATCH($K1044,Dept_Codes,0)),"NOT FOUND"))</f>
        <v/>
      </c>
      <c r="M1044" s="12" t="n"/>
      <c r="N1044" s="13">
        <f>IF($M1044="","",IFERROR(INDEX(Desig_Names,MATCH($M1044,Desig_Codes,0)),"NOT FOUND"))</f>
        <v/>
      </c>
      <c r="O1044" s="13">
        <f>IF($M1044="","",IFERROR(INDEX(Desig_Levels,MATCH($M1044,Desig_Codes,0)),""))</f>
        <v/>
      </c>
      <c r="P1044" s="12" t="n"/>
      <c r="Q1044" s="12" t="n"/>
      <c r="R1044" s="12" t="n"/>
      <c r="S1044" s="13">
        <f>IF($R1044="","",IFERROR(INDEX(Emp_Names,MATCH($R1044,Emp_Codes,0)),"NOT FOUND"))</f>
        <v/>
      </c>
      <c r="T1044" s="12" t="n"/>
      <c r="U1044" s="12" t="n"/>
      <c r="V1044" s="12" t="n"/>
    </row>
    <row r="1045">
      <c r="A1045" s="12" t="n"/>
      <c r="B1045" s="12" t="n"/>
      <c r="C1045" s="12" t="n"/>
      <c r="D1045" s="13">
        <f>IF($A1045="","",TRIM($B1045&amp;" "&amp;$C1045))</f>
        <v/>
      </c>
      <c r="E1045" s="12" t="n"/>
      <c r="F1045" s="12" t="n"/>
      <c r="G1045" s="14" t="n"/>
      <c r="H1045" s="14" t="n"/>
      <c r="I1045" s="12" t="n"/>
      <c r="J1045" s="14" t="n"/>
      <c r="K1045" s="12" t="n"/>
      <c r="L1045" s="13">
        <f>IF($K1045="","",IFERROR(INDEX(Dept_Names,MATCH($K1045,Dept_Codes,0)),"NOT FOUND"))</f>
        <v/>
      </c>
      <c r="M1045" s="12" t="n"/>
      <c r="N1045" s="13">
        <f>IF($M1045="","",IFERROR(INDEX(Desig_Names,MATCH($M1045,Desig_Codes,0)),"NOT FOUND"))</f>
        <v/>
      </c>
      <c r="O1045" s="13">
        <f>IF($M1045="","",IFERROR(INDEX(Desig_Levels,MATCH($M1045,Desig_Codes,0)),""))</f>
        <v/>
      </c>
      <c r="P1045" s="12" t="n"/>
      <c r="Q1045" s="12" t="n"/>
      <c r="R1045" s="12" t="n"/>
      <c r="S1045" s="13">
        <f>IF($R1045="","",IFERROR(INDEX(Emp_Names,MATCH($R1045,Emp_Codes,0)),"NOT FOUND"))</f>
        <v/>
      </c>
      <c r="T1045" s="12" t="n"/>
      <c r="U1045" s="12" t="n"/>
      <c r="V1045" s="12" t="n"/>
    </row>
    <row r="1046">
      <c r="A1046" s="12" t="n"/>
      <c r="B1046" s="12" t="n"/>
      <c r="C1046" s="12" t="n"/>
      <c r="D1046" s="13">
        <f>IF($A1046="","",TRIM($B1046&amp;" "&amp;$C1046))</f>
        <v/>
      </c>
      <c r="E1046" s="12" t="n"/>
      <c r="F1046" s="12" t="n"/>
      <c r="G1046" s="14" t="n"/>
      <c r="H1046" s="14" t="n"/>
      <c r="I1046" s="12" t="n"/>
      <c r="J1046" s="14" t="n"/>
      <c r="K1046" s="12" t="n"/>
      <c r="L1046" s="13">
        <f>IF($K1046="","",IFERROR(INDEX(Dept_Names,MATCH($K1046,Dept_Codes,0)),"NOT FOUND"))</f>
        <v/>
      </c>
      <c r="M1046" s="12" t="n"/>
      <c r="N1046" s="13">
        <f>IF($M1046="","",IFERROR(INDEX(Desig_Names,MATCH($M1046,Desig_Codes,0)),"NOT FOUND"))</f>
        <v/>
      </c>
      <c r="O1046" s="13">
        <f>IF($M1046="","",IFERROR(INDEX(Desig_Levels,MATCH($M1046,Desig_Codes,0)),""))</f>
        <v/>
      </c>
      <c r="P1046" s="12" t="n"/>
      <c r="Q1046" s="12" t="n"/>
      <c r="R1046" s="12" t="n"/>
      <c r="S1046" s="13">
        <f>IF($R1046="","",IFERROR(INDEX(Emp_Names,MATCH($R1046,Emp_Codes,0)),"NOT FOUND"))</f>
        <v/>
      </c>
      <c r="T1046" s="12" t="n"/>
      <c r="U1046" s="12" t="n"/>
      <c r="V1046" s="12" t="n"/>
    </row>
    <row r="1047">
      <c r="A1047" s="12" t="n"/>
      <c r="B1047" s="12" t="n"/>
      <c r="C1047" s="12" t="n"/>
      <c r="D1047" s="13">
        <f>IF($A1047="","",TRIM($B1047&amp;" "&amp;$C1047))</f>
        <v/>
      </c>
      <c r="E1047" s="12" t="n"/>
      <c r="F1047" s="12" t="n"/>
      <c r="G1047" s="14" t="n"/>
      <c r="H1047" s="14" t="n"/>
      <c r="I1047" s="12" t="n"/>
      <c r="J1047" s="14" t="n"/>
      <c r="K1047" s="12" t="n"/>
      <c r="L1047" s="13">
        <f>IF($K1047="","",IFERROR(INDEX(Dept_Names,MATCH($K1047,Dept_Codes,0)),"NOT FOUND"))</f>
        <v/>
      </c>
      <c r="M1047" s="12" t="n"/>
      <c r="N1047" s="13">
        <f>IF($M1047="","",IFERROR(INDEX(Desig_Names,MATCH($M1047,Desig_Codes,0)),"NOT FOUND"))</f>
        <v/>
      </c>
      <c r="O1047" s="13">
        <f>IF($M1047="","",IFERROR(INDEX(Desig_Levels,MATCH($M1047,Desig_Codes,0)),""))</f>
        <v/>
      </c>
      <c r="P1047" s="12" t="n"/>
      <c r="Q1047" s="12" t="n"/>
      <c r="R1047" s="12" t="n"/>
      <c r="S1047" s="13">
        <f>IF($R1047="","",IFERROR(INDEX(Emp_Names,MATCH($R1047,Emp_Codes,0)),"NOT FOUND"))</f>
        <v/>
      </c>
      <c r="T1047" s="12" t="n"/>
      <c r="U1047" s="12" t="n"/>
      <c r="V1047" s="12" t="n"/>
    </row>
    <row r="1048">
      <c r="A1048" s="12" t="n"/>
      <c r="B1048" s="12" t="n"/>
      <c r="C1048" s="12" t="n"/>
      <c r="D1048" s="13">
        <f>IF($A1048="","",TRIM($B1048&amp;" "&amp;$C1048))</f>
        <v/>
      </c>
      <c r="E1048" s="12" t="n"/>
      <c r="F1048" s="12" t="n"/>
      <c r="G1048" s="14" t="n"/>
      <c r="H1048" s="14" t="n"/>
      <c r="I1048" s="12" t="n"/>
      <c r="J1048" s="14" t="n"/>
      <c r="K1048" s="12" t="n"/>
      <c r="L1048" s="13">
        <f>IF($K1048="","",IFERROR(INDEX(Dept_Names,MATCH($K1048,Dept_Codes,0)),"NOT FOUND"))</f>
        <v/>
      </c>
      <c r="M1048" s="12" t="n"/>
      <c r="N1048" s="13">
        <f>IF($M1048="","",IFERROR(INDEX(Desig_Names,MATCH($M1048,Desig_Codes,0)),"NOT FOUND"))</f>
        <v/>
      </c>
      <c r="O1048" s="13">
        <f>IF($M1048="","",IFERROR(INDEX(Desig_Levels,MATCH($M1048,Desig_Codes,0)),""))</f>
        <v/>
      </c>
      <c r="P1048" s="12" t="n"/>
      <c r="Q1048" s="12" t="n"/>
      <c r="R1048" s="12" t="n"/>
      <c r="S1048" s="13">
        <f>IF($R1048="","",IFERROR(INDEX(Emp_Names,MATCH($R1048,Emp_Codes,0)),"NOT FOUND"))</f>
        <v/>
      </c>
      <c r="T1048" s="12" t="n"/>
      <c r="U1048" s="12" t="n"/>
      <c r="V1048" s="12" t="n"/>
    </row>
    <row r="1049">
      <c r="A1049" s="12" t="n"/>
      <c r="B1049" s="12" t="n"/>
      <c r="C1049" s="12" t="n"/>
      <c r="D1049" s="13">
        <f>IF($A1049="","",TRIM($B1049&amp;" "&amp;$C1049))</f>
        <v/>
      </c>
      <c r="E1049" s="12" t="n"/>
      <c r="F1049" s="12" t="n"/>
      <c r="G1049" s="14" t="n"/>
      <c r="H1049" s="14" t="n"/>
      <c r="I1049" s="12" t="n"/>
      <c r="J1049" s="14" t="n"/>
      <c r="K1049" s="12" t="n"/>
      <c r="L1049" s="13">
        <f>IF($K1049="","",IFERROR(INDEX(Dept_Names,MATCH($K1049,Dept_Codes,0)),"NOT FOUND"))</f>
        <v/>
      </c>
      <c r="M1049" s="12" t="n"/>
      <c r="N1049" s="13">
        <f>IF($M1049="","",IFERROR(INDEX(Desig_Names,MATCH($M1049,Desig_Codes,0)),"NOT FOUND"))</f>
        <v/>
      </c>
      <c r="O1049" s="13">
        <f>IF($M1049="","",IFERROR(INDEX(Desig_Levels,MATCH($M1049,Desig_Codes,0)),""))</f>
        <v/>
      </c>
      <c r="P1049" s="12" t="n"/>
      <c r="Q1049" s="12" t="n"/>
      <c r="R1049" s="12" t="n"/>
      <c r="S1049" s="13">
        <f>IF($R1049="","",IFERROR(INDEX(Emp_Names,MATCH($R1049,Emp_Codes,0)),"NOT FOUND"))</f>
        <v/>
      </c>
      <c r="T1049" s="12" t="n"/>
      <c r="U1049" s="12" t="n"/>
      <c r="V1049" s="12" t="n"/>
    </row>
    <row r="1050">
      <c r="A1050" s="12" t="n"/>
      <c r="B1050" s="12" t="n"/>
      <c r="C1050" s="12" t="n"/>
      <c r="D1050" s="13">
        <f>IF($A1050="","",TRIM($B1050&amp;" "&amp;$C1050))</f>
        <v/>
      </c>
      <c r="E1050" s="12" t="n"/>
      <c r="F1050" s="12" t="n"/>
      <c r="G1050" s="14" t="n"/>
      <c r="H1050" s="14" t="n"/>
      <c r="I1050" s="12" t="n"/>
      <c r="J1050" s="14" t="n"/>
      <c r="K1050" s="12" t="n"/>
      <c r="L1050" s="13">
        <f>IF($K1050="","",IFERROR(INDEX(Dept_Names,MATCH($K1050,Dept_Codes,0)),"NOT FOUND"))</f>
        <v/>
      </c>
      <c r="M1050" s="12" t="n"/>
      <c r="N1050" s="13">
        <f>IF($M1050="","",IFERROR(INDEX(Desig_Names,MATCH($M1050,Desig_Codes,0)),"NOT FOUND"))</f>
        <v/>
      </c>
      <c r="O1050" s="13">
        <f>IF($M1050="","",IFERROR(INDEX(Desig_Levels,MATCH($M1050,Desig_Codes,0)),""))</f>
        <v/>
      </c>
      <c r="P1050" s="12" t="n"/>
      <c r="Q1050" s="12" t="n"/>
      <c r="R1050" s="12" t="n"/>
      <c r="S1050" s="13">
        <f>IF($R1050="","",IFERROR(INDEX(Emp_Names,MATCH($R1050,Emp_Codes,0)),"NOT FOUND"))</f>
        <v/>
      </c>
      <c r="T1050" s="12" t="n"/>
      <c r="U1050" s="12" t="n"/>
      <c r="V1050" s="12" t="n"/>
    </row>
    <row r="1051">
      <c r="A1051" s="12" t="n"/>
      <c r="B1051" s="12" t="n"/>
      <c r="C1051" s="12" t="n"/>
      <c r="D1051" s="13">
        <f>IF($A1051="","",TRIM($B1051&amp;" "&amp;$C1051))</f>
        <v/>
      </c>
      <c r="E1051" s="12" t="n"/>
      <c r="F1051" s="12" t="n"/>
      <c r="G1051" s="14" t="n"/>
      <c r="H1051" s="14" t="n"/>
      <c r="I1051" s="12" t="n"/>
      <c r="J1051" s="14" t="n"/>
      <c r="K1051" s="12" t="n"/>
      <c r="L1051" s="13">
        <f>IF($K1051="","",IFERROR(INDEX(Dept_Names,MATCH($K1051,Dept_Codes,0)),"NOT FOUND"))</f>
        <v/>
      </c>
      <c r="M1051" s="12" t="n"/>
      <c r="N1051" s="13">
        <f>IF($M1051="","",IFERROR(INDEX(Desig_Names,MATCH($M1051,Desig_Codes,0)),"NOT FOUND"))</f>
        <v/>
      </c>
      <c r="O1051" s="13">
        <f>IF($M1051="","",IFERROR(INDEX(Desig_Levels,MATCH($M1051,Desig_Codes,0)),""))</f>
        <v/>
      </c>
      <c r="P1051" s="12" t="n"/>
      <c r="Q1051" s="12" t="n"/>
      <c r="R1051" s="12" t="n"/>
      <c r="S1051" s="13">
        <f>IF($R1051="","",IFERROR(INDEX(Emp_Names,MATCH($R1051,Emp_Codes,0)),"NOT FOUND"))</f>
        <v/>
      </c>
      <c r="T1051" s="12" t="n"/>
      <c r="U1051" s="12" t="n"/>
      <c r="V1051" s="12" t="n"/>
    </row>
    <row r="1052">
      <c r="A1052" s="12" t="n"/>
      <c r="B1052" s="12" t="n"/>
      <c r="C1052" s="12" t="n"/>
      <c r="D1052" s="13">
        <f>IF($A1052="","",TRIM($B1052&amp;" "&amp;$C1052))</f>
        <v/>
      </c>
      <c r="E1052" s="12" t="n"/>
      <c r="F1052" s="12" t="n"/>
      <c r="G1052" s="14" t="n"/>
      <c r="H1052" s="14" t="n"/>
      <c r="I1052" s="12" t="n"/>
      <c r="J1052" s="14" t="n"/>
      <c r="K1052" s="12" t="n"/>
      <c r="L1052" s="13">
        <f>IF($K1052="","",IFERROR(INDEX(Dept_Names,MATCH($K1052,Dept_Codes,0)),"NOT FOUND"))</f>
        <v/>
      </c>
      <c r="M1052" s="12" t="n"/>
      <c r="N1052" s="13">
        <f>IF($M1052="","",IFERROR(INDEX(Desig_Names,MATCH($M1052,Desig_Codes,0)),"NOT FOUND"))</f>
        <v/>
      </c>
      <c r="O1052" s="13">
        <f>IF($M1052="","",IFERROR(INDEX(Desig_Levels,MATCH($M1052,Desig_Codes,0)),""))</f>
        <v/>
      </c>
      <c r="P1052" s="12" t="n"/>
      <c r="Q1052" s="12" t="n"/>
      <c r="R1052" s="12" t="n"/>
      <c r="S1052" s="13">
        <f>IF($R1052="","",IFERROR(INDEX(Emp_Names,MATCH($R1052,Emp_Codes,0)),"NOT FOUND"))</f>
        <v/>
      </c>
      <c r="T1052" s="12" t="n"/>
      <c r="U1052" s="12" t="n"/>
      <c r="V1052" s="12" t="n"/>
    </row>
    <row r="1053">
      <c r="A1053" s="12" t="n"/>
      <c r="B1053" s="12" t="n"/>
      <c r="C1053" s="12" t="n"/>
      <c r="D1053" s="13">
        <f>IF($A1053="","",TRIM($B1053&amp;" "&amp;$C1053))</f>
        <v/>
      </c>
      <c r="E1053" s="12" t="n"/>
      <c r="F1053" s="12" t="n"/>
      <c r="G1053" s="14" t="n"/>
      <c r="H1053" s="14" t="n"/>
      <c r="I1053" s="12" t="n"/>
      <c r="J1053" s="14" t="n"/>
      <c r="K1053" s="12" t="n"/>
      <c r="L1053" s="13">
        <f>IF($K1053="","",IFERROR(INDEX(Dept_Names,MATCH($K1053,Dept_Codes,0)),"NOT FOUND"))</f>
        <v/>
      </c>
      <c r="M1053" s="12" t="n"/>
      <c r="N1053" s="13">
        <f>IF($M1053="","",IFERROR(INDEX(Desig_Names,MATCH($M1053,Desig_Codes,0)),"NOT FOUND"))</f>
        <v/>
      </c>
      <c r="O1053" s="13">
        <f>IF($M1053="","",IFERROR(INDEX(Desig_Levels,MATCH($M1053,Desig_Codes,0)),""))</f>
        <v/>
      </c>
      <c r="P1053" s="12" t="n"/>
      <c r="Q1053" s="12" t="n"/>
      <c r="R1053" s="12" t="n"/>
      <c r="S1053" s="13">
        <f>IF($R1053="","",IFERROR(INDEX(Emp_Names,MATCH($R1053,Emp_Codes,0)),"NOT FOUND"))</f>
        <v/>
      </c>
      <c r="T1053" s="12" t="n"/>
      <c r="U1053" s="12" t="n"/>
      <c r="V1053" s="12" t="n"/>
    </row>
    <row r="1054">
      <c r="A1054" s="12" t="n"/>
      <c r="B1054" s="12" t="n"/>
      <c r="C1054" s="12" t="n"/>
      <c r="D1054" s="13">
        <f>IF($A1054="","",TRIM($B1054&amp;" "&amp;$C1054))</f>
        <v/>
      </c>
      <c r="E1054" s="12" t="n"/>
      <c r="F1054" s="12" t="n"/>
      <c r="G1054" s="14" t="n"/>
      <c r="H1054" s="14" t="n"/>
      <c r="I1054" s="12" t="n"/>
      <c r="J1054" s="14" t="n"/>
      <c r="K1054" s="12" t="n"/>
      <c r="L1054" s="13">
        <f>IF($K1054="","",IFERROR(INDEX(Dept_Names,MATCH($K1054,Dept_Codes,0)),"NOT FOUND"))</f>
        <v/>
      </c>
      <c r="M1054" s="12" t="n"/>
      <c r="N1054" s="13">
        <f>IF($M1054="","",IFERROR(INDEX(Desig_Names,MATCH($M1054,Desig_Codes,0)),"NOT FOUND"))</f>
        <v/>
      </c>
      <c r="O1054" s="13">
        <f>IF($M1054="","",IFERROR(INDEX(Desig_Levels,MATCH($M1054,Desig_Codes,0)),""))</f>
        <v/>
      </c>
      <c r="P1054" s="12" t="n"/>
      <c r="Q1054" s="12" t="n"/>
      <c r="R1054" s="12" t="n"/>
      <c r="S1054" s="13">
        <f>IF($R1054="","",IFERROR(INDEX(Emp_Names,MATCH($R1054,Emp_Codes,0)),"NOT FOUND"))</f>
        <v/>
      </c>
      <c r="T1054" s="12" t="n"/>
      <c r="U1054" s="12" t="n"/>
      <c r="V1054" s="12" t="n"/>
    </row>
    <row r="1055">
      <c r="A1055" s="12" t="n"/>
      <c r="B1055" s="12" t="n"/>
      <c r="C1055" s="12" t="n"/>
      <c r="D1055" s="13">
        <f>IF($A1055="","",TRIM($B1055&amp;" "&amp;$C1055))</f>
        <v/>
      </c>
      <c r="E1055" s="12" t="n"/>
      <c r="F1055" s="12" t="n"/>
      <c r="G1055" s="14" t="n"/>
      <c r="H1055" s="14" t="n"/>
      <c r="I1055" s="12" t="n"/>
      <c r="J1055" s="14" t="n"/>
      <c r="K1055" s="12" t="n"/>
      <c r="L1055" s="13">
        <f>IF($K1055="","",IFERROR(INDEX(Dept_Names,MATCH($K1055,Dept_Codes,0)),"NOT FOUND"))</f>
        <v/>
      </c>
      <c r="M1055" s="12" t="n"/>
      <c r="N1055" s="13">
        <f>IF($M1055="","",IFERROR(INDEX(Desig_Names,MATCH($M1055,Desig_Codes,0)),"NOT FOUND"))</f>
        <v/>
      </c>
      <c r="O1055" s="13">
        <f>IF($M1055="","",IFERROR(INDEX(Desig_Levels,MATCH($M1055,Desig_Codes,0)),""))</f>
        <v/>
      </c>
      <c r="P1055" s="12" t="n"/>
      <c r="Q1055" s="12" t="n"/>
      <c r="R1055" s="12" t="n"/>
      <c r="S1055" s="13">
        <f>IF($R1055="","",IFERROR(INDEX(Emp_Names,MATCH($R1055,Emp_Codes,0)),"NOT FOUND"))</f>
        <v/>
      </c>
      <c r="T1055" s="12" t="n"/>
      <c r="U1055" s="12" t="n"/>
      <c r="V1055" s="12" t="n"/>
    </row>
    <row r="1056">
      <c r="A1056" s="12" t="n"/>
      <c r="B1056" s="12" t="n"/>
      <c r="C1056" s="12" t="n"/>
      <c r="D1056" s="13">
        <f>IF($A1056="","",TRIM($B1056&amp;" "&amp;$C1056))</f>
        <v/>
      </c>
      <c r="E1056" s="12" t="n"/>
      <c r="F1056" s="12" t="n"/>
      <c r="G1056" s="14" t="n"/>
      <c r="H1056" s="14" t="n"/>
      <c r="I1056" s="12" t="n"/>
      <c r="J1056" s="14" t="n"/>
      <c r="K1056" s="12" t="n"/>
      <c r="L1056" s="13">
        <f>IF($K1056="","",IFERROR(INDEX(Dept_Names,MATCH($K1056,Dept_Codes,0)),"NOT FOUND"))</f>
        <v/>
      </c>
      <c r="M1056" s="12" t="n"/>
      <c r="N1056" s="13">
        <f>IF($M1056="","",IFERROR(INDEX(Desig_Names,MATCH($M1056,Desig_Codes,0)),"NOT FOUND"))</f>
        <v/>
      </c>
      <c r="O1056" s="13">
        <f>IF($M1056="","",IFERROR(INDEX(Desig_Levels,MATCH($M1056,Desig_Codes,0)),""))</f>
        <v/>
      </c>
      <c r="P1056" s="12" t="n"/>
      <c r="Q1056" s="12" t="n"/>
      <c r="R1056" s="12" t="n"/>
      <c r="S1056" s="13">
        <f>IF($R1056="","",IFERROR(INDEX(Emp_Names,MATCH($R1056,Emp_Codes,0)),"NOT FOUND"))</f>
        <v/>
      </c>
      <c r="T1056" s="12" t="n"/>
      <c r="U1056" s="12" t="n"/>
      <c r="V1056" s="12" t="n"/>
    </row>
    <row r="1057">
      <c r="A1057" s="12" t="n"/>
      <c r="B1057" s="12" t="n"/>
      <c r="C1057" s="12" t="n"/>
      <c r="D1057" s="13">
        <f>IF($A1057="","",TRIM($B1057&amp;" "&amp;$C1057))</f>
        <v/>
      </c>
      <c r="E1057" s="12" t="n"/>
      <c r="F1057" s="12" t="n"/>
      <c r="G1057" s="14" t="n"/>
      <c r="H1057" s="14" t="n"/>
      <c r="I1057" s="12" t="n"/>
      <c r="J1057" s="14" t="n"/>
      <c r="K1057" s="12" t="n"/>
      <c r="L1057" s="13">
        <f>IF($K1057="","",IFERROR(INDEX(Dept_Names,MATCH($K1057,Dept_Codes,0)),"NOT FOUND"))</f>
        <v/>
      </c>
      <c r="M1057" s="12" t="n"/>
      <c r="N1057" s="13">
        <f>IF($M1057="","",IFERROR(INDEX(Desig_Names,MATCH($M1057,Desig_Codes,0)),"NOT FOUND"))</f>
        <v/>
      </c>
      <c r="O1057" s="13">
        <f>IF($M1057="","",IFERROR(INDEX(Desig_Levels,MATCH($M1057,Desig_Codes,0)),""))</f>
        <v/>
      </c>
      <c r="P1057" s="12" t="n"/>
      <c r="Q1057" s="12" t="n"/>
      <c r="R1057" s="12" t="n"/>
      <c r="S1057" s="13">
        <f>IF($R1057="","",IFERROR(INDEX(Emp_Names,MATCH($R1057,Emp_Codes,0)),"NOT FOUND"))</f>
        <v/>
      </c>
      <c r="T1057" s="12" t="n"/>
      <c r="U1057" s="12" t="n"/>
      <c r="V1057" s="12" t="n"/>
    </row>
    <row r="1058">
      <c r="A1058" s="12" t="n"/>
      <c r="B1058" s="12" t="n"/>
      <c r="C1058" s="12" t="n"/>
      <c r="D1058" s="13">
        <f>IF($A1058="","",TRIM($B1058&amp;" "&amp;$C1058))</f>
        <v/>
      </c>
      <c r="E1058" s="12" t="n"/>
      <c r="F1058" s="12" t="n"/>
      <c r="G1058" s="14" t="n"/>
      <c r="H1058" s="14" t="n"/>
      <c r="I1058" s="12" t="n"/>
      <c r="J1058" s="14" t="n"/>
      <c r="K1058" s="12" t="n"/>
      <c r="L1058" s="13">
        <f>IF($K1058="","",IFERROR(INDEX(Dept_Names,MATCH($K1058,Dept_Codes,0)),"NOT FOUND"))</f>
        <v/>
      </c>
      <c r="M1058" s="12" t="n"/>
      <c r="N1058" s="13">
        <f>IF($M1058="","",IFERROR(INDEX(Desig_Names,MATCH($M1058,Desig_Codes,0)),"NOT FOUND"))</f>
        <v/>
      </c>
      <c r="O1058" s="13">
        <f>IF($M1058="","",IFERROR(INDEX(Desig_Levels,MATCH($M1058,Desig_Codes,0)),""))</f>
        <v/>
      </c>
      <c r="P1058" s="12" t="n"/>
      <c r="Q1058" s="12" t="n"/>
      <c r="R1058" s="12" t="n"/>
      <c r="S1058" s="13">
        <f>IF($R1058="","",IFERROR(INDEX(Emp_Names,MATCH($R1058,Emp_Codes,0)),"NOT FOUND"))</f>
        <v/>
      </c>
      <c r="T1058" s="12" t="n"/>
      <c r="U1058" s="12" t="n"/>
      <c r="V1058" s="12" t="n"/>
    </row>
    <row r="1059">
      <c r="A1059" s="12" t="n"/>
      <c r="B1059" s="12" t="n"/>
      <c r="C1059" s="12" t="n"/>
      <c r="D1059" s="13">
        <f>IF($A1059="","",TRIM($B1059&amp;" "&amp;$C1059))</f>
        <v/>
      </c>
      <c r="E1059" s="12" t="n"/>
      <c r="F1059" s="12" t="n"/>
      <c r="G1059" s="14" t="n"/>
      <c r="H1059" s="14" t="n"/>
      <c r="I1059" s="12" t="n"/>
      <c r="J1059" s="14" t="n"/>
      <c r="K1059" s="12" t="n"/>
      <c r="L1059" s="13">
        <f>IF($K1059="","",IFERROR(INDEX(Dept_Names,MATCH($K1059,Dept_Codes,0)),"NOT FOUND"))</f>
        <v/>
      </c>
      <c r="M1059" s="12" t="n"/>
      <c r="N1059" s="13">
        <f>IF($M1059="","",IFERROR(INDEX(Desig_Names,MATCH($M1059,Desig_Codes,0)),"NOT FOUND"))</f>
        <v/>
      </c>
      <c r="O1059" s="13">
        <f>IF($M1059="","",IFERROR(INDEX(Desig_Levels,MATCH($M1059,Desig_Codes,0)),""))</f>
        <v/>
      </c>
      <c r="P1059" s="12" t="n"/>
      <c r="Q1059" s="12" t="n"/>
      <c r="R1059" s="12" t="n"/>
      <c r="S1059" s="13">
        <f>IF($R1059="","",IFERROR(INDEX(Emp_Names,MATCH($R1059,Emp_Codes,0)),"NOT FOUND"))</f>
        <v/>
      </c>
      <c r="T1059" s="12" t="n"/>
      <c r="U1059" s="12" t="n"/>
      <c r="V1059" s="12" t="n"/>
    </row>
    <row r="1060">
      <c r="A1060" s="12" t="n"/>
      <c r="B1060" s="12" t="n"/>
      <c r="C1060" s="12" t="n"/>
      <c r="D1060" s="13">
        <f>IF($A1060="","",TRIM($B1060&amp;" "&amp;$C1060))</f>
        <v/>
      </c>
      <c r="E1060" s="12" t="n"/>
      <c r="F1060" s="12" t="n"/>
      <c r="G1060" s="14" t="n"/>
      <c r="H1060" s="14" t="n"/>
      <c r="I1060" s="12" t="n"/>
      <c r="J1060" s="14" t="n"/>
      <c r="K1060" s="12" t="n"/>
      <c r="L1060" s="13">
        <f>IF($K1060="","",IFERROR(INDEX(Dept_Names,MATCH($K1060,Dept_Codes,0)),"NOT FOUND"))</f>
        <v/>
      </c>
      <c r="M1060" s="12" t="n"/>
      <c r="N1060" s="13">
        <f>IF($M1060="","",IFERROR(INDEX(Desig_Names,MATCH($M1060,Desig_Codes,0)),"NOT FOUND"))</f>
        <v/>
      </c>
      <c r="O1060" s="13">
        <f>IF($M1060="","",IFERROR(INDEX(Desig_Levels,MATCH($M1060,Desig_Codes,0)),""))</f>
        <v/>
      </c>
      <c r="P1060" s="12" t="n"/>
      <c r="Q1060" s="12" t="n"/>
      <c r="R1060" s="12" t="n"/>
      <c r="S1060" s="13">
        <f>IF($R1060="","",IFERROR(INDEX(Emp_Names,MATCH($R1060,Emp_Codes,0)),"NOT FOUND"))</f>
        <v/>
      </c>
      <c r="T1060" s="12" t="n"/>
      <c r="U1060" s="12" t="n"/>
      <c r="V1060" s="12" t="n"/>
    </row>
    <row r="1061">
      <c r="A1061" s="12" t="n"/>
      <c r="B1061" s="12" t="n"/>
      <c r="C1061" s="12" t="n"/>
      <c r="D1061" s="13">
        <f>IF($A1061="","",TRIM($B1061&amp;" "&amp;$C1061))</f>
        <v/>
      </c>
      <c r="E1061" s="12" t="n"/>
      <c r="F1061" s="12" t="n"/>
      <c r="G1061" s="14" t="n"/>
      <c r="H1061" s="14" t="n"/>
      <c r="I1061" s="12" t="n"/>
      <c r="J1061" s="14" t="n"/>
      <c r="K1061" s="12" t="n"/>
      <c r="L1061" s="13">
        <f>IF($K1061="","",IFERROR(INDEX(Dept_Names,MATCH($K1061,Dept_Codes,0)),"NOT FOUND"))</f>
        <v/>
      </c>
      <c r="M1061" s="12" t="n"/>
      <c r="N1061" s="13">
        <f>IF($M1061="","",IFERROR(INDEX(Desig_Names,MATCH($M1061,Desig_Codes,0)),"NOT FOUND"))</f>
        <v/>
      </c>
      <c r="O1061" s="13">
        <f>IF($M1061="","",IFERROR(INDEX(Desig_Levels,MATCH($M1061,Desig_Codes,0)),""))</f>
        <v/>
      </c>
      <c r="P1061" s="12" t="n"/>
      <c r="Q1061" s="12" t="n"/>
      <c r="R1061" s="12" t="n"/>
      <c r="S1061" s="13">
        <f>IF($R1061="","",IFERROR(INDEX(Emp_Names,MATCH($R1061,Emp_Codes,0)),"NOT FOUND"))</f>
        <v/>
      </c>
      <c r="T1061" s="12" t="n"/>
      <c r="U1061" s="12" t="n"/>
      <c r="V1061" s="12" t="n"/>
    </row>
    <row r="1062">
      <c r="A1062" s="12" t="n"/>
      <c r="B1062" s="12" t="n"/>
      <c r="C1062" s="12" t="n"/>
      <c r="D1062" s="13">
        <f>IF($A1062="","",TRIM($B1062&amp;" "&amp;$C1062))</f>
        <v/>
      </c>
      <c r="E1062" s="12" t="n"/>
      <c r="F1062" s="12" t="n"/>
      <c r="G1062" s="14" t="n"/>
      <c r="H1062" s="14" t="n"/>
      <c r="I1062" s="12" t="n"/>
      <c r="J1062" s="14" t="n"/>
      <c r="K1062" s="12" t="n"/>
      <c r="L1062" s="13">
        <f>IF($K1062="","",IFERROR(INDEX(Dept_Names,MATCH($K1062,Dept_Codes,0)),"NOT FOUND"))</f>
        <v/>
      </c>
      <c r="M1062" s="12" t="n"/>
      <c r="N1062" s="13">
        <f>IF($M1062="","",IFERROR(INDEX(Desig_Names,MATCH($M1062,Desig_Codes,0)),"NOT FOUND"))</f>
        <v/>
      </c>
      <c r="O1062" s="13">
        <f>IF($M1062="","",IFERROR(INDEX(Desig_Levels,MATCH($M1062,Desig_Codes,0)),""))</f>
        <v/>
      </c>
      <c r="P1062" s="12" t="n"/>
      <c r="Q1062" s="12" t="n"/>
      <c r="R1062" s="12" t="n"/>
      <c r="S1062" s="13">
        <f>IF($R1062="","",IFERROR(INDEX(Emp_Names,MATCH($R1062,Emp_Codes,0)),"NOT FOUND"))</f>
        <v/>
      </c>
      <c r="T1062" s="12" t="n"/>
      <c r="U1062" s="12" t="n"/>
      <c r="V1062" s="12" t="n"/>
    </row>
    <row r="1063">
      <c r="A1063" s="12" t="n"/>
      <c r="B1063" s="12" t="n"/>
      <c r="C1063" s="12" t="n"/>
      <c r="D1063" s="13">
        <f>IF($A1063="","",TRIM($B1063&amp;" "&amp;$C1063))</f>
        <v/>
      </c>
      <c r="E1063" s="12" t="n"/>
      <c r="F1063" s="12" t="n"/>
      <c r="G1063" s="14" t="n"/>
      <c r="H1063" s="14" t="n"/>
      <c r="I1063" s="12" t="n"/>
      <c r="J1063" s="14" t="n"/>
      <c r="K1063" s="12" t="n"/>
      <c r="L1063" s="13">
        <f>IF($K1063="","",IFERROR(INDEX(Dept_Names,MATCH($K1063,Dept_Codes,0)),"NOT FOUND"))</f>
        <v/>
      </c>
      <c r="M1063" s="12" t="n"/>
      <c r="N1063" s="13">
        <f>IF($M1063="","",IFERROR(INDEX(Desig_Names,MATCH($M1063,Desig_Codes,0)),"NOT FOUND"))</f>
        <v/>
      </c>
      <c r="O1063" s="13">
        <f>IF($M1063="","",IFERROR(INDEX(Desig_Levels,MATCH($M1063,Desig_Codes,0)),""))</f>
        <v/>
      </c>
      <c r="P1063" s="12" t="n"/>
      <c r="Q1063" s="12" t="n"/>
      <c r="R1063" s="12" t="n"/>
      <c r="S1063" s="13">
        <f>IF($R1063="","",IFERROR(INDEX(Emp_Names,MATCH($R1063,Emp_Codes,0)),"NOT FOUND"))</f>
        <v/>
      </c>
      <c r="T1063" s="12" t="n"/>
      <c r="U1063" s="12" t="n"/>
      <c r="V1063" s="12" t="n"/>
    </row>
    <row r="1064">
      <c r="A1064" s="12" t="n"/>
      <c r="B1064" s="12" t="n"/>
      <c r="C1064" s="12" t="n"/>
      <c r="D1064" s="13">
        <f>IF($A1064="","",TRIM($B1064&amp;" "&amp;$C1064))</f>
        <v/>
      </c>
      <c r="E1064" s="12" t="n"/>
      <c r="F1064" s="12" t="n"/>
      <c r="G1064" s="14" t="n"/>
      <c r="H1064" s="14" t="n"/>
      <c r="I1064" s="12" t="n"/>
      <c r="J1064" s="14" t="n"/>
      <c r="K1064" s="12" t="n"/>
      <c r="L1064" s="13">
        <f>IF($K1064="","",IFERROR(INDEX(Dept_Names,MATCH($K1064,Dept_Codes,0)),"NOT FOUND"))</f>
        <v/>
      </c>
      <c r="M1064" s="12" t="n"/>
      <c r="N1064" s="13">
        <f>IF($M1064="","",IFERROR(INDEX(Desig_Names,MATCH($M1064,Desig_Codes,0)),"NOT FOUND"))</f>
        <v/>
      </c>
      <c r="O1064" s="13">
        <f>IF($M1064="","",IFERROR(INDEX(Desig_Levels,MATCH($M1064,Desig_Codes,0)),""))</f>
        <v/>
      </c>
      <c r="P1064" s="12" t="n"/>
      <c r="Q1064" s="12" t="n"/>
      <c r="R1064" s="12" t="n"/>
      <c r="S1064" s="13">
        <f>IF($R1064="","",IFERROR(INDEX(Emp_Names,MATCH($R1064,Emp_Codes,0)),"NOT FOUND"))</f>
        <v/>
      </c>
      <c r="T1064" s="12" t="n"/>
      <c r="U1064" s="12" t="n"/>
      <c r="V1064" s="12" t="n"/>
    </row>
    <row r="1065">
      <c r="A1065" s="12" t="n"/>
      <c r="B1065" s="12" t="n"/>
      <c r="C1065" s="12" t="n"/>
      <c r="D1065" s="13">
        <f>IF($A1065="","",TRIM($B1065&amp;" "&amp;$C1065))</f>
        <v/>
      </c>
      <c r="E1065" s="12" t="n"/>
      <c r="F1065" s="12" t="n"/>
      <c r="G1065" s="14" t="n"/>
      <c r="H1065" s="14" t="n"/>
      <c r="I1065" s="12" t="n"/>
      <c r="J1065" s="14" t="n"/>
      <c r="K1065" s="12" t="n"/>
      <c r="L1065" s="13">
        <f>IF($K1065="","",IFERROR(INDEX(Dept_Names,MATCH($K1065,Dept_Codes,0)),"NOT FOUND"))</f>
        <v/>
      </c>
      <c r="M1065" s="12" t="n"/>
      <c r="N1065" s="13">
        <f>IF($M1065="","",IFERROR(INDEX(Desig_Names,MATCH($M1065,Desig_Codes,0)),"NOT FOUND"))</f>
        <v/>
      </c>
      <c r="O1065" s="13">
        <f>IF($M1065="","",IFERROR(INDEX(Desig_Levels,MATCH($M1065,Desig_Codes,0)),""))</f>
        <v/>
      </c>
      <c r="P1065" s="12" t="n"/>
      <c r="Q1065" s="12" t="n"/>
      <c r="R1065" s="12" t="n"/>
      <c r="S1065" s="13">
        <f>IF($R1065="","",IFERROR(INDEX(Emp_Names,MATCH($R1065,Emp_Codes,0)),"NOT FOUND"))</f>
        <v/>
      </c>
      <c r="T1065" s="12" t="n"/>
      <c r="U1065" s="12" t="n"/>
      <c r="V1065" s="12" t="n"/>
    </row>
    <row r="1066">
      <c r="A1066" s="12" t="n"/>
      <c r="B1066" s="12" t="n"/>
      <c r="C1066" s="12" t="n"/>
      <c r="D1066" s="13">
        <f>IF($A1066="","",TRIM($B1066&amp;" "&amp;$C1066))</f>
        <v/>
      </c>
      <c r="E1066" s="12" t="n"/>
      <c r="F1066" s="12" t="n"/>
      <c r="G1066" s="14" t="n"/>
      <c r="H1066" s="14" t="n"/>
      <c r="I1066" s="12" t="n"/>
      <c r="J1066" s="14" t="n"/>
      <c r="K1066" s="12" t="n"/>
      <c r="L1066" s="13">
        <f>IF($K1066="","",IFERROR(INDEX(Dept_Names,MATCH($K1066,Dept_Codes,0)),"NOT FOUND"))</f>
        <v/>
      </c>
      <c r="M1066" s="12" t="n"/>
      <c r="N1066" s="13">
        <f>IF($M1066="","",IFERROR(INDEX(Desig_Names,MATCH($M1066,Desig_Codes,0)),"NOT FOUND"))</f>
        <v/>
      </c>
      <c r="O1066" s="13">
        <f>IF($M1066="","",IFERROR(INDEX(Desig_Levels,MATCH($M1066,Desig_Codes,0)),""))</f>
        <v/>
      </c>
      <c r="P1066" s="12" t="n"/>
      <c r="Q1066" s="12" t="n"/>
      <c r="R1066" s="12" t="n"/>
      <c r="S1066" s="13">
        <f>IF($R1066="","",IFERROR(INDEX(Emp_Names,MATCH($R1066,Emp_Codes,0)),"NOT FOUND"))</f>
        <v/>
      </c>
      <c r="T1066" s="12" t="n"/>
      <c r="U1066" s="12" t="n"/>
      <c r="V1066" s="12" t="n"/>
    </row>
    <row r="1067">
      <c r="A1067" s="12" t="n"/>
      <c r="B1067" s="12" t="n"/>
      <c r="C1067" s="12" t="n"/>
      <c r="D1067" s="13">
        <f>IF($A1067="","",TRIM($B1067&amp;" "&amp;$C1067))</f>
        <v/>
      </c>
      <c r="E1067" s="12" t="n"/>
      <c r="F1067" s="12" t="n"/>
      <c r="G1067" s="14" t="n"/>
      <c r="H1067" s="14" t="n"/>
      <c r="I1067" s="12" t="n"/>
      <c r="J1067" s="14" t="n"/>
      <c r="K1067" s="12" t="n"/>
      <c r="L1067" s="13">
        <f>IF($K1067="","",IFERROR(INDEX(Dept_Names,MATCH($K1067,Dept_Codes,0)),"NOT FOUND"))</f>
        <v/>
      </c>
      <c r="M1067" s="12" t="n"/>
      <c r="N1067" s="13">
        <f>IF($M1067="","",IFERROR(INDEX(Desig_Names,MATCH($M1067,Desig_Codes,0)),"NOT FOUND"))</f>
        <v/>
      </c>
      <c r="O1067" s="13">
        <f>IF($M1067="","",IFERROR(INDEX(Desig_Levels,MATCH($M1067,Desig_Codes,0)),""))</f>
        <v/>
      </c>
      <c r="P1067" s="12" t="n"/>
      <c r="Q1067" s="12" t="n"/>
      <c r="R1067" s="12" t="n"/>
      <c r="S1067" s="13">
        <f>IF($R1067="","",IFERROR(INDEX(Emp_Names,MATCH($R1067,Emp_Codes,0)),"NOT FOUND"))</f>
        <v/>
      </c>
      <c r="T1067" s="12" t="n"/>
      <c r="U1067" s="12" t="n"/>
      <c r="V1067" s="12" t="n"/>
    </row>
    <row r="1068">
      <c r="A1068" s="12" t="n"/>
      <c r="B1068" s="12" t="n"/>
      <c r="C1068" s="12" t="n"/>
      <c r="D1068" s="13">
        <f>IF($A1068="","",TRIM($B1068&amp;" "&amp;$C1068))</f>
        <v/>
      </c>
      <c r="E1068" s="12" t="n"/>
      <c r="F1068" s="12" t="n"/>
      <c r="G1068" s="14" t="n"/>
      <c r="H1068" s="14" t="n"/>
      <c r="I1068" s="12" t="n"/>
      <c r="J1068" s="14" t="n"/>
      <c r="K1068" s="12" t="n"/>
      <c r="L1068" s="13">
        <f>IF($K1068="","",IFERROR(INDEX(Dept_Names,MATCH($K1068,Dept_Codes,0)),"NOT FOUND"))</f>
        <v/>
      </c>
      <c r="M1068" s="12" t="n"/>
      <c r="N1068" s="13">
        <f>IF($M1068="","",IFERROR(INDEX(Desig_Names,MATCH($M1068,Desig_Codes,0)),"NOT FOUND"))</f>
        <v/>
      </c>
      <c r="O1068" s="13">
        <f>IF($M1068="","",IFERROR(INDEX(Desig_Levels,MATCH($M1068,Desig_Codes,0)),""))</f>
        <v/>
      </c>
      <c r="P1068" s="12" t="n"/>
      <c r="Q1068" s="12" t="n"/>
      <c r="R1068" s="12" t="n"/>
      <c r="S1068" s="13">
        <f>IF($R1068="","",IFERROR(INDEX(Emp_Names,MATCH($R1068,Emp_Codes,0)),"NOT FOUND"))</f>
        <v/>
      </c>
      <c r="T1068" s="12" t="n"/>
      <c r="U1068" s="12" t="n"/>
      <c r="V1068" s="12" t="n"/>
    </row>
    <row r="1069">
      <c r="A1069" s="12" t="n"/>
      <c r="B1069" s="12" t="n"/>
      <c r="C1069" s="12" t="n"/>
      <c r="D1069" s="13">
        <f>IF($A1069="","",TRIM($B1069&amp;" "&amp;$C1069))</f>
        <v/>
      </c>
      <c r="E1069" s="12" t="n"/>
      <c r="F1069" s="12" t="n"/>
      <c r="G1069" s="14" t="n"/>
      <c r="H1069" s="14" t="n"/>
      <c r="I1069" s="12" t="n"/>
      <c r="J1069" s="14" t="n"/>
      <c r="K1069" s="12" t="n"/>
      <c r="L1069" s="13">
        <f>IF($K1069="","",IFERROR(INDEX(Dept_Names,MATCH($K1069,Dept_Codes,0)),"NOT FOUND"))</f>
        <v/>
      </c>
      <c r="M1069" s="12" t="n"/>
      <c r="N1069" s="13">
        <f>IF($M1069="","",IFERROR(INDEX(Desig_Names,MATCH($M1069,Desig_Codes,0)),"NOT FOUND"))</f>
        <v/>
      </c>
      <c r="O1069" s="13">
        <f>IF($M1069="","",IFERROR(INDEX(Desig_Levels,MATCH($M1069,Desig_Codes,0)),""))</f>
        <v/>
      </c>
      <c r="P1069" s="12" t="n"/>
      <c r="Q1069" s="12" t="n"/>
      <c r="R1069" s="12" t="n"/>
      <c r="S1069" s="13">
        <f>IF($R1069="","",IFERROR(INDEX(Emp_Names,MATCH($R1069,Emp_Codes,0)),"NOT FOUND"))</f>
        <v/>
      </c>
      <c r="T1069" s="12" t="n"/>
      <c r="U1069" s="12" t="n"/>
      <c r="V1069" s="12" t="n"/>
    </row>
    <row r="1070">
      <c r="A1070" s="12" t="n"/>
      <c r="B1070" s="12" t="n"/>
      <c r="C1070" s="12" t="n"/>
      <c r="D1070" s="13">
        <f>IF($A1070="","",TRIM($B1070&amp;" "&amp;$C1070))</f>
        <v/>
      </c>
      <c r="E1070" s="12" t="n"/>
      <c r="F1070" s="12" t="n"/>
      <c r="G1070" s="14" t="n"/>
      <c r="H1070" s="14" t="n"/>
      <c r="I1070" s="12" t="n"/>
      <c r="J1070" s="14" t="n"/>
      <c r="K1070" s="12" t="n"/>
      <c r="L1070" s="13">
        <f>IF($K1070="","",IFERROR(INDEX(Dept_Names,MATCH($K1070,Dept_Codes,0)),"NOT FOUND"))</f>
        <v/>
      </c>
      <c r="M1070" s="12" t="n"/>
      <c r="N1070" s="13">
        <f>IF($M1070="","",IFERROR(INDEX(Desig_Names,MATCH($M1070,Desig_Codes,0)),"NOT FOUND"))</f>
        <v/>
      </c>
      <c r="O1070" s="13">
        <f>IF($M1070="","",IFERROR(INDEX(Desig_Levels,MATCH($M1070,Desig_Codes,0)),""))</f>
        <v/>
      </c>
      <c r="P1070" s="12" t="n"/>
      <c r="Q1070" s="12" t="n"/>
      <c r="R1070" s="12" t="n"/>
      <c r="S1070" s="13">
        <f>IF($R1070="","",IFERROR(INDEX(Emp_Names,MATCH($R1070,Emp_Codes,0)),"NOT FOUND"))</f>
        <v/>
      </c>
      <c r="T1070" s="12" t="n"/>
      <c r="U1070" s="12" t="n"/>
      <c r="V1070" s="12" t="n"/>
    </row>
    <row r="1071">
      <c r="A1071" s="12" t="n"/>
      <c r="B1071" s="12" t="n"/>
      <c r="C1071" s="12" t="n"/>
      <c r="D1071" s="13">
        <f>IF($A1071="","",TRIM($B1071&amp;" "&amp;$C1071))</f>
        <v/>
      </c>
      <c r="E1071" s="12" t="n"/>
      <c r="F1071" s="12" t="n"/>
      <c r="G1071" s="14" t="n"/>
      <c r="H1071" s="14" t="n"/>
      <c r="I1071" s="12" t="n"/>
      <c r="J1071" s="14" t="n"/>
      <c r="K1071" s="12" t="n"/>
      <c r="L1071" s="13">
        <f>IF($K1071="","",IFERROR(INDEX(Dept_Names,MATCH($K1071,Dept_Codes,0)),"NOT FOUND"))</f>
        <v/>
      </c>
      <c r="M1071" s="12" t="n"/>
      <c r="N1071" s="13">
        <f>IF($M1071="","",IFERROR(INDEX(Desig_Names,MATCH($M1071,Desig_Codes,0)),"NOT FOUND"))</f>
        <v/>
      </c>
      <c r="O1071" s="13">
        <f>IF($M1071="","",IFERROR(INDEX(Desig_Levels,MATCH($M1071,Desig_Codes,0)),""))</f>
        <v/>
      </c>
      <c r="P1071" s="12" t="n"/>
      <c r="Q1071" s="12" t="n"/>
      <c r="R1071" s="12" t="n"/>
      <c r="S1071" s="13">
        <f>IF($R1071="","",IFERROR(INDEX(Emp_Names,MATCH($R1071,Emp_Codes,0)),"NOT FOUND"))</f>
        <v/>
      </c>
      <c r="T1071" s="12" t="n"/>
      <c r="U1071" s="12" t="n"/>
      <c r="V1071" s="12" t="n"/>
    </row>
    <row r="1072">
      <c r="A1072" s="12" t="n"/>
      <c r="B1072" s="12" t="n"/>
      <c r="C1072" s="12" t="n"/>
      <c r="D1072" s="13">
        <f>IF($A1072="","",TRIM($B1072&amp;" "&amp;$C1072))</f>
        <v/>
      </c>
      <c r="E1072" s="12" t="n"/>
      <c r="F1072" s="12" t="n"/>
      <c r="G1072" s="14" t="n"/>
      <c r="H1072" s="14" t="n"/>
      <c r="I1072" s="12" t="n"/>
      <c r="J1072" s="14" t="n"/>
      <c r="K1072" s="12" t="n"/>
      <c r="L1072" s="13">
        <f>IF($K1072="","",IFERROR(INDEX(Dept_Names,MATCH($K1072,Dept_Codes,0)),"NOT FOUND"))</f>
        <v/>
      </c>
      <c r="M1072" s="12" t="n"/>
      <c r="N1072" s="13">
        <f>IF($M1072="","",IFERROR(INDEX(Desig_Names,MATCH($M1072,Desig_Codes,0)),"NOT FOUND"))</f>
        <v/>
      </c>
      <c r="O1072" s="13">
        <f>IF($M1072="","",IFERROR(INDEX(Desig_Levels,MATCH($M1072,Desig_Codes,0)),""))</f>
        <v/>
      </c>
      <c r="P1072" s="12" t="n"/>
      <c r="Q1072" s="12" t="n"/>
      <c r="R1072" s="12" t="n"/>
      <c r="S1072" s="13">
        <f>IF($R1072="","",IFERROR(INDEX(Emp_Names,MATCH($R1072,Emp_Codes,0)),"NOT FOUND"))</f>
        <v/>
      </c>
      <c r="T1072" s="12" t="n"/>
      <c r="U1072" s="12" t="n"/>
      <c r="V1072" s="12" t="n"/>
    </row>
    <row r="1073">
      <c r="A1073" s="12" t="n"/>
      <c r="B1073" s="12" t="n"/>
      <c r="C1073" s="12" t="n"/>
      <c r="D1073" s="13">
        <f>IF($A1073="","",TRIM($B1073&amp;" "&amp;$C1073))</f>
        <v/>
      </c>
      <c r="E1073" s="12" t="n"/>
      <c r="F1073" s="12" t="n"/>
      <c r="G1073" s="14" t="n"/>
      <c r="H1073" s="14" t="n"/>
      <c r="I1073" s="12" t="n"/>
      <c r="J1073" s="14" t="n"/>
      <c r="K1073" s="12" t="n"/>
      <c r="L1073" s="13">
        <f>IF($K1073="","",IFERROR(INDEX(Dept_Names,MATCH($K1073,Dept_Codes,0)),"NOT FOUND"))</f>
        <v/>
      </c>
      <c r="M1073" s="12" t="n"/>
      <c r="N1073" s="13">
        <f>IF($M1073="","",IFERROR(INDEX(Desig_Names,MATCH($M1073,Desig_Codes,0)),"NOT FOUND"))</f>
        <v/>
      </c>
      <c r="O1073" s="13">
        <f>IF($M1073="","",IFERROR(INDEX(Desig_Levels,MATCH($M1073,Desig_Codes,0)),""))</f>
        <v/>
      </c>
      <c r="P1073" s="12" t="n"/>
      <c r="Q1073" s="12" t="n"/>
      <c r="R1073" s="12" t="n"/>
      <c r="S1073" s="13">
        <f>IF($R1073="","",IFERROR(INDEX(Emp_Names,MATCH($R1073,Emp_Codes,0)),"NOT FOUND"))</f>
        <v/>
      </c>
      <c r="T1073" s="12" t="n"/>
      <c r="U1073" s="12" t="n"/>
      <c r="V1073" s="12" t="n"/>
    </row>
    <row r="1074">
      <c r="A1074" s="12" t="n"/>
      <c r="B1074" s="12" t="n"/>
      <c r="C1074" s="12" t="n"/>
      <c r="D1074" s="13">
        <f>IF($A1074="","",TRIM($B1074&amp;" "&amp;$C1074))</f>
        <v/>
      </c>
      <c r="E1074" s="12" t="n"/>
      <c r="F1074" s="12" t="n"/>
      <c r="G1074" s="14" t="n"/>
      <c r="H1074" s="14" t="n"/>
      <c r="I1074" s="12" t="n"/>
      <c r="J1074" s="14" t="n"/>
      <c r="K1074" s="12" t="n"/>
      <c r="L1074" s="13">
        <f>IF($K1074="","",IFERROR(INDEX(Dept_Names,MATCH($K1074,Dept_Codes,0)),"NOT FOUND"))</f>
        <v/>
      </c>
      <c r="M1074" s="12" t="n"/>
      <c r="N1074" s="13">
        <f>IF($M1074="","",IFERROR(INDEX(Desig_Names,MATCH($M1074,Desig_Codes,0)),"NOT FOUND"))</f>
        <v/>
      </c>
      <c r="O1074" s="13">
        <f>IF($M1074="","",IFERROR(INDEX(Desig_Levels,MATCH($M1074,Desig_Codes,0)),""))</f>
        <v/>
      </c>
      <c r="P1074" s="12" t="n"/>
      <c r="Q1074" s="12" t="n"/>
      <c r="R1074" s="12" t="n"/>
      <c r="S1074" s="13">
        <f>IF($R1074="","",IFERROR(INDEX(Emp_Names,MATCH($R1074,Emp_Codes,0)),"NOT FOUND"))</f>
        <v/>
      </c>
      <c r="T1074" s="12" t="n"/>
      <c r="U1074" s="12" t="n"/>
      <c r="V1074" s="12" t="n"/>
    </row>
    <row r="1075">
      <c r="A1075" s="12" t="n"/>
      <c r="B1075" s="12" t="n"/>
      <c r="C1075" s="12" t="n"/>
      <c r="D1075" s="13">
        <f>IF($A1075="","",TRIM($B1075&amp;" "&amp;$C1075))</f>
        <v/>
      </c>
      <c r="E1075" s="12" t="n"/>
      <c r="F1075" s="12" t="n"/>
      <c r="G1075" s="14" t="n"/>
      <c r="H1075" s="14" t="n"/>
      <c r="I1075" s="12" t="n"/>
      <c r="J1075" s="14" t="n"/>
      <c r="K1075" s="12" t="n"/>
      <c r="L1075" s="13">
        <f>IF($K1075="","",IFERROR(INDEX(Dept_Names,MATCH($K1075,Dept_Codes,0)),"NOT FOUND"))</f>
        <v/>
      </c>
      <c r="M1075" s="12" t="n"/>
      <c r="N1075" s="13">
        <f>IF($M1075="","",IFERROR(INDEX(Desig_Names,MATCH($M1075,Desig_Codes,0)),"NOT FOUND"))</f>
        <v/>
      </c>
      <c r="O1075" s="13">
        <f>IF($M1075="","",IFERROR(INDEX(Desig_Levels,MATCH($M1075,Desig_Codes,0)),""))</f>
        <v/>
      </c>
      <c r="P1075" s="12" t="n"/>
      <c r="Q1075" s="12" t="n"/>
      <c r="R1075" s="12" t="n"/>
      <c r="S1075" s="13">
        <f>IF($R1075="","",IFERROR(INDEX(Emp_Names,MATCH($R1075,Emp_Codes,0)),"NOT FOUND"))</f>
        <v/>
      </c>
      <c r="T1075" s="12" t="n"/>
      <c r="U1075" s="12" t="n"/>
      <c r="V1075" s="12" t="n"/>
    </row>
    <row r="1076">
      <c r="A1076" s="12" t="n"/>
      <c r="B1076" s="12" t="n"/>
      <c r="C1076" s="12" t="n"/>
      <c r="D1076" s="13">
        <f>IF($A1076="","",TRIM($B1076&amp;" "&amp;$C1076))</f>
        <v/>
      </c>
      <c r="E1076" s="12" t="n"/>
      <c r="F1076" s="12" t="n"/>
      <c r="G1076" s="14" t="n"/>
      <c r="H1076" s="14" t="n"/>
      <c r="I1076" s="12" t="n"/>
      <c r="J1076" s="14" t="n"/>
      <c r="K1076" s="12" t="n"/>
      <c r="L1076" s="13">
        <f>IF($K1076="","",IFERROR(INDEX(Dept_Names,MATCH($K1076,Dept_Codes,0)),"NOT FOUND"))</f>
        <v/>
      </c>
      <c r="M1076" s="12" t="n"/>
      <c r="N1076" s="13">
        <f>IF($M1076="","",IFERROR(INDEX(Desig_Names,MATCH($M1076,Desig_Codes,0)),"NOT FOUND"))</f>
        <v/>
      </c>
      <c r="O1076" s="13">
        <f>IF($M1076="","",IFERROR(INDEX(Desig_Levels,MATCH($M1076,Desig_Codes,0)),""))</f>
        <v/>
      </c>
      <c r="P1076" s="12" t="n"/>
      <c r="Q1076" s="12" t="n"/>
      <c r="R1076" s="12" t="n"/>
      <c r="S1076" s="13">
        <f>IF($R1076="","",IFERROR(INDEX(Emp_Names,MATCH($R1076,Emp_Codes,0)),"NOT FOUND"))</f>
        <v/>
      </c>
      <c r="T1076" s="12" t="n"/>
      <c r="U1076" s="12" t="n"/>
      <c r="V1076" s="12" t="n"/>
    </row>
    <row r="1077">
      <c r="A1077" s="12" t="n"/>
      <c r="B1077" s="12" t="n"/>
      <c r="C1077" s="12" t="n"/>
      <c r="D1077" s="13">
        <f>IF($A1077="","",TRIM($B1077&amp;" "&amp;$C1077))</f>
        <v/>
      </c>
      <c r="E1077" s="12" t="n"/>
      <c r="F1077" s="12" t="n"/>
      <c r="G1077" s="14" t="n"/>
      <c r="H1077" s="14" t="n"/>
      <c r="I1077" s="12" t="n"/>
      <c r="J1077" s="14" t="n"/>
      <c r="K1077" s="12" t="n"/>
      <c r="L1077" s="13">
        <f>IF($K1077="","",IFERROR(INDEX(Dept_Names,MATCH($K1077,Dept_Codes,0)),"NOT FOUND"))</f>
        <v/>
      </c>
      <c r="M1077" s="12" t="n"/>
      <c r="N1077" s="13">
        <f>IF($M1077="","",IFERROR(INDEX(Desig_Names,MATCH($M1077,Desig_Codes,0)),"NOT FOUND"))</f>
        <v/>
      </c>
      <c r="O1077" s="13">
        <f>IF($M1077="","",IFERROR(INDEX(Desig_Levels,MATCH($M1077,Desig_Codes,0)),""))</f>
        <v/>
      </c>
      <c r="P1077" s="12" t="n"/>
      <c r="Q1077" s="12" t="n"/>
      <c r="R1077" s="12" t="n"/>
      <c r="S1077" s="13">
        <f>IF($R1077="","",IFERROR(INDEX(Emp_Names,MATCH($R1077,Emp_Codes,0)),"NOT FOUND"))</f>
        <v/>
      </c>
      <c r="T1077" s="12" t="n"/>
      <c r="U1077" s="12" t="n"/>
      <c r="V1077" s="12" t="n"/>
    </row>
    <row r="1078">
      <c r="A1078" s="12" t="n"/>
      <c r="B1078" s="12" t="n"/>
      <c r="C1078" s="12" t="n"/>
      <c r="D1078" s="13">
        <f>IF($A1078="","",TRIM($B1078&amp;" "&amp;$C1078))</f>
        <v/>
      </c>
      <c r="E1078" s="12" t="n"/>
      <c r="F1078" s="12" t="n"/>
      <c r="G1078" s="14" t="n"/>
      <c r="H1078" s="14" t="n"/>
      <c r="I1078" s="12" t="n"/>
      <c r="J1078" s="14" t="n"/>
      <c r="K1078" s="12" t="n"/>
      <c r="L1078" s="13">
        <f>IF($K1078="","",IFERROR(INDEX(Dept_Names,MATCH($K1078,Dept_Codes,0)),"NOT FOUND"))</f>
        <v/>
      </c>
      <c r="M1078" s="12" t="n"/>
      <c r="N1078" s="13">
        <f>IF($M1078="","",IFERROR(INDEX(Desig_Names,MATCH($M1078,Desig_Codes,0)),"NOT FOUND"))</f>
        <v/>
      </c>
      <c r="O1078" s="13">
        <f>IF($M1078="","",IFERROR(INDEX(Desig_Levels,MATCH($M1078,Desig_Codes,0)),""))</f>
        <v/>
      </c>
      <c r="P1078" s="12" t="n"/>
      <c r="Q1078" s="12" t="n"/>
      <c r="R1078" s="12" t="n"/>
      <c r="S1078" s="13">
        <f>IF($R1078="","",IFERROR(INDEX(Emp_Names,MATCH($R1078,Emp_Codes,0)),"NOT FOUND"))</f>
        <v/>
      </c>
      <c r="T1078" s="12" t="n"/>
      <c r="U1078" s="12" t="n"/>
      <c r="V1078" s="12" t="n"/>
    </row>
    <row r="1079">
      <c r="A1079" s="12" t="n"/>
      <c r="B1079" s="12" t="n"/>
      <c r="C1079" s="12" t="n"/>
      <c r="D1079" s="13">
        <f>IF($A1079="","",TRIM($B1079&amp;" "&amp;$C1079))</f>
        <v/>
      </c>
      <c r="E1079" s="12" t="n"/>
      <c r="F1079" s="12" t="n"/>
      <c r="G1079" s="14" t="n"/>
      <c r="H1079" s="14" t="n"/>
      <c r="I1079" s="12" t="n"/>
      <c r="J1079" s="14" t="n"/>
      <c r="K1079" s="12" t="n"/>
      <c r="L1079" s="13">
        <f>IF($K1079="","",IFERROR(INDEX(Dept_Names,MATCH($K1079,Dept_Codes,0)),"NOT FOUND"))</f>
        <v/>
      </c>
      <c r="M1079" s="12" t="n"/>
      <c r="N1079" s="13">
        <f>IF($M1079="","",IFERROR(INDEX(Desig_Names,MATCH($M1079,Desig_Codes,0)),"NOT FOUND"))</f>
        <v/>
      </c>
      <c r="O1079" s="13">
        <f>IF($M1079="","",IFERROR(INDEX(Desig_Levels,MATCH($M1079,Desig_Codes,0)),""))</f>
        <v/>
      </c>
      <c r="P1079" s="12" t="n"/>
      <c r="Q1079" s="12" t="n"/>
      <c r="R1079" s="12" t="n"/>
      <c r="S1079" s="13">
        <f>IF($R1079="","",IFERROR(INDEX(Emp_Names,MATCH($R1079,Emp_Codes,0)),"NOT FOUND"))</f>
        <v/>
      </c>
      <c r="T1079" s="12" t="n"/>
      <c r="U1079" s="12" t="n"/>
      <c r="V1079" s="12" t="n"/>
    </row>
    <row r="1080">
      <c r="A1080" s="12" t="n"/>
      <c r="B1080" s="12" t="n"/>
      <c r="C1080" s="12" t="n"/>
      <c r="D1080" s="13">
        <f>IF($A1080="","",TRIM($B1080&amp;" "&amp;$C1080))</f>
        <v/>
      </c>
      <c r="E1080" s="12" t="n"/>
      <c r="F1080" s="12" t="n"/>
      <c r="G1080" s="14" t="n"/>
      <c r="H1080" s="14" t="n"/>
      <c r="I1080" s="12" t="n"/>
      <c r="J1080" s="14" t="n"/>
      <c r="K1080" s="12" t="n"/>
      <c r="L1080" s="13">
        <f>IF($K1080="","",IFERROR(INDEX(Dept_Names,MATCH($K1080,Dept_Codes,0)),"NOT FOUND"))</f>
        <v/>
      </c>
      <c r="M1080" s="12" t="n"/>
      <c r="N1080" s="13">
        <f>IF($M1080="","",IFERROR(INDEX(Desig_Names,MATCH($M1080,Desig_Codes,0)),"NOT FOUND"))</f>
        <v/>
      </c>
      <c r="O1080" s="13">
        <f>IF($M1080="","",IFERROR(INDEX(Desig_Levels,MATCH($M1080,Desig_Codes,0)),""))</f>
        <v/>
      </c>
      <c r="P1080" s="12" t="n"/>
      <c r="Q1080" s="12" t="n"/>
      <c r="R1080" s="12" t="n"/>
      <c r="S1080" s="13">
        <f>IF($R1080="","",IFERROR(INDEX(Emp_Names,MATCH($R1080,Emp_Codes,0)),"NOT FOUND"))</f>
        <v/>
      </c>
      <c r="T1080" s="12" t="n"/>
      <c r="U1080" s="12" t="n"/>
      <c r="V1080" s="12" t="n"/>
    </row>
    <row r="1081">
      <c r="A1081" s="12" t="n"/>
      <c r="B1081" s="12" t="n"/>
      <c r="C1081" s="12" t="n"/>
      <c r="D1081" s="13">
        <f>IF($A1081="","",TRIM($B1081&amp;" "&amp;$C1081))</f>
        <v/>
      </c>
      <c r="E1081" s="12" t="n"/>
      <c r="F1081" s="12" t="n"/>
      <c r="G1081" s="14" t="n"/>
      <c r="H1081" s="14" t="n"/>
      <c r="I1081" s="12" t="n"/>
      <c r="J1081" s="14" t="n"/>
      <c r="K1081" s="12" t="n"/>
      <c r="L1081" s="13">
        <f>IF($K1081="","",IFERROR(INDEX(Dept_Names,MATCH($K1081,Dept_Codes,0)),"NOT FOUND"))</f>
        <v/>
      </c>
      <c r="M1081" s="12" t="n"/>
      <c r="N1081" s="13">
        <f>IF($M1081="","",IFERROR(INDEX(Desig_Names,MATCH($M1081,Desig_Codes,0)),"NOT FOUND"))</f>
        <v/>
      </c>
      <c r="O1081" s="13">
        <f>IF($M1081="","",IFERROR(INDEX(Desig_Levels,MATCH($M1081,Desig_Codes,0)),""))</f>
        <v/>
      </c>
      <c r="P1081" s="12" t="n"/>
      <c r="Q1081" s="12" t="n"/>
      <c r="R1081" s="12" t="n"/>
      <c r="S1081" s="13">
        <f>IF($R1081="","",IFERROR(INDEX(Emp_Names,MATCH($R1081,Emp_Codes,0)),"NOT FOUND"))</f>
        <v/>
      </c>
      <c r="T1081" s="12" t="n"/>
      <c r="U1081" s="12" t="n"/>
      <c r="V1081" s="12" t="n"/>
    </row>
    <row r="1082">
      <c r="A1082" s="12" t="n"/>
      <c r="B1082" s="12" t="n"/>
      <c r="C1082" s="12" t="n"/>
      <c r="D1082" s="13">
        <f>IF($A1082="","",TRIM($B1082&amp;" "&amp;$C1082))</f>
        <v/>
      </c>
      <c r="E1082" s="12" t="n"/>
      <c r="F1082" s="12" t="n"/>
      <c r="G1082" s="14" t="n"/>
      <c r="H1082" s="14" t="n"/>
      <c r="I1082" s="12" t="n"/>
      <c r="J1082" s="14" t="n"/>
      <c r="K1082" s="12" t="n"/>
      <c r="L1082" s="13">
        <f>IF($K1082="","",IFERROR(INDEX(Dept_Names,MATCH($K1082,Dept_Codes,0)),"NOT FOUND"))</f>
        <v/>
      </c>
      <c r="M1082" s="12" t="n"/>
      <c r="N1082" s="13">
        <f>IF($M1082="","",IFERROR(INDEX(Desig_Names,MATCH($M1082,Desig_Codes,0)),"NOT FOUND"))</f>
        <v/>
      </c>
      <c r="O1082" s="13">
        <f>IF($M1082="","",IFERROR(INDEX(Desig_Levels,MATCH($M1082,Desig_Codes,0)),""))</f>
        <v/>
      </c>
      <c r="P1082" s="12" t="n"/>
      <c r="Q1082" s="12" t="n"/>
      <c r="R1082" s="12" t="n"/>
      <c r="S1082" s="13">
        <f>IF($R1082="","",IFERROR(INDEX(Emp_Names,MATCH($R1082,Emp_Codes,0)),"NOT FOUND"))</f>
        <v/>
      </c>
      <c r="T1082" s="12" t="n"/>
      <c r="U1082" s="12" t="n"/>
      <c r="V1082" s="12" t="n"/>
    </row>
    <row r="1083">
      <c r="A1083" s="12" t="n"/>
      <c r="B1083" s="12" t="n"/>
      <c r="C1083" s="12" t="n"/>
      <c r="D1083" s="13">
        <f>IF($A1083="","",TRIM($B1083&amp;" "&amp;$C1083))</f>
        <v/>
      </c>
      <c r="E1083" s="12" t="n"/>
      <c r="F1083" s="12" t="n"/>
      <c r="G1083" s="14" t="n"/>
      <c r="H1083" s="14" t="n"/>
      <c r="I1083" s="12" t="n"/>
      <c r="J1083" s="14" t="n"/>
      <c r="K1083" s="12" t="n"/>
      <c r="L1083" s="13">
        <f>IF($K1083="","",IFERROR(INDEX(Dept_Names,MATCH($K1083,Dept_Codes,0)),"NOT FOUND"))</f>
        <v/>
      </c>
      <c r="M1083" s="12" t="n"/>
      <c r="N1083" s="13">
        <f>IF($M1083="","",IFERROR(INDEX(Desig_Names,MATCH($M1083,Desig_Codes,0)),"NOT FOUND"))</f>
        <v/>
      </c>
      <c r="O1083" s="13">
        <f>IF($M1083="","",IFERROR(INDEX(Desig_Levels,MATCH($M1083,Desig_Codes,0)),""))</f>
        <v/>
      </c>
      <c r="P1083" s="12" t="n"/>
      <c r="Q1083" s="12" t="n"/>
      <c r="R1083" s="12" t="n"/>
      <c r="S1083" s="13">
        <f>IF($R1083="","",IFERROR(INDEX(Emp_Names,MATCH($R1083,Emp_Codes,0)),"NOT FOUND"))</f>
        <v/>
      </c>
      <c r="T1083" s="12" t="n"/>
      <c r="U1083" s="12" t="n"/>
      <c r="V1083" s="12" t="n"/>
    </row>
    <row r="1084">
      <c r="A1084" s="12" t="n"/>
      <c r="B1084" s="12" t="n"/>
      <c r="C1084" s="12" t="n"/>
      <c r="D1084" s="13">
        <f>IF($A1084="","",TRIM($B1084&amp;" "&amp;$C1084))</f>
        <v/>
      </c>
      <c r="E1084" s="12" t="n"/>
      <c r="F1084" s="12" t="n"/>
      <c r="G1084" s="14" t="n"/>
      <c r="H1084" s="14" t="n"/>
      <c r="I1084" s="12" t="n"/>
      <c r="J1084" s="14" t="n"/>
      <c r="K1084" s="12" t="n"/>
      <c r="L1084" s="13">
        <f>IF($K1084="","",IFERROR(INDEX(Dept_Names,MATCH($K1084,Dept_Codes,0)),"NOT FOUND"))</f>
        <v/>
      </c>
      <c r="M1084" s="12" t="n"/>
      <c r="N1084" s="13">
        <f>IF($M1084="","",IFERROR(INDEX(Desig_Names,MATCH($M1084,Desig_Codes,0)),"NOT FOUND"))</f>
        <v/>
      </c>
      <c r="O1084" s="13">
        <f>IF($M1084="","",IFERROR(INDEX(Desig_Levels,MATCH($M1084,Desig_Codes,0)),""))</f>
        <v/>
      </c>
      <c r="P1084" s="12" t="n"/>
      <c r="Q1084" s="12" t="n"/>
      <c r="R1084" s="12" t="n"/>
      <c r="S1084" s="13">
        <f>IF($R1084="","",IFERROR(INDEX(Emp_Names,MATCH($R1084,Emp_Codes,0)),"NOT FOUND"))</f>
        <v/>
      </c>
      <c r="T1084" s="12" t="n"/>
      <c r="U1084" s="12" t="n"/>
      <c r="V1084" s="12" t="n"/>
    </row>
    <row r="1085">
      <c r="A1085" s="12" t="n"/>
      <c r="B1085" s="12" t="n"/>
      <c r="C1085" s="12" t="n"/>
      <c r="D1085" s="13">
        <f>IF($A1085="","",TRIM($B1085&amp;" "&amp;$C1085))</f>
        <v/>
      </c>
      <c r="E1085" s="12" t="n"/>
      <c r="F1085" s="12" t="n"/>
      <c r="G1085" s="14" t="n"/>
      <c r="H1085" s="14" t="n"/>
      <c r="I1085" s="12" t="n"/>
      <c r="J1085" s="14" t="n"/>
      <c r="K1085" s="12" t="n"/>
      <c r="L1085" s="13">
        <f>IF($K1085="","",IFERROR(INDEX(Dept_Names,MATCH($K1085,Dept_Codes,0)),"NOT FOUND"))</f>
        <v/>
      </c>
      <c r="M1085" s="12" t="n"/>
      <c r="N1085" s="13">
        <f>IF($M1085="","",IFERROR(INDEX(Desig_Names,MATCH($M1085,Desig_Codes,0)),"NOT FOUND"))</f>
        <v/>
      </c>
      <c r="O1085" s="13">
        <f>IF($M1085="","",IFERROR(INDEX(Desig_Levels,MATCH($M1085,Desig_Codes,0)),""))</f>
        <v/>
      </c>
      <c r="P1085" s="12" t="n"/>
      <c r="Q1085" s="12" t="n"/>
      <c r="R1085" s="12" t="n"/>
      <c r="S1085" s="13">
        <f>IF($R1085="","",IFERROR(INDEX(Emp_Names,MATCH($R1085,Emp_Codes,0)),"NOT FOUND"))</f>
        <v/>
      </c>
      <c r="T1085" s="12" t="n"/>
      <c r="U1085" s="12" t="n"/>
      <c r="V1085" s="12" t="n"/>
    </row>
    <row r="1086">
      <c r="A1086" s="12" t="n"/>
      <c r="B1086" s="12" t="n"/>
      <c r="C1086" s="12" t="n"/>
      <c r="D1086" s="13">
        <f>IF($A1086="","",TRIM($B1086&amp;" "&amp;$C1086))</f>
        <v/>
      </c>
      <c r="E1086" s="12" t="n"/>
      <c r="F1086" s="12" t="n"/>
      <c r="G1086" s="14" t="n"/>
      <c r="H1086" s="14" t="n"/>
      <c r="I1086" s="12" t="n"/>
      <c r="J1086" s="14" t="n"/>
      <c r="K1086" s="12" t="n"/>
      <c r="L1086" s="13">
        <f>IF($K1086="","",IFERROR(INDEX(Dept_Names,MATCH($K1086,Dept_Codes,0)),"NOT FOUND"))</f>
        <v/>
      </c>
      <c r="M1086" s="12" t="n"/>
      <c r="N1086" s="13">
        <f>IF($M1086="","",IFERROR(INDEX(Desig_Names,MATCH($M1086,Desig_Codes,0)),"NOT FOUND"))</f>
        <v/>
      </c>
      <c r="O1086" s="13">
        <f>IF($M1086="","",IFERROR(INDEX(Desig_Levels,MATCH($M1086,Desig_Codes,0)),""))</f>
        <v/>
      </c>
      <c r="P1086" s="12" t="n"/>
      <c r="Q1086" s="12" t="n"/>
      <c r="R1086" s="12" t="n"/>
      <c r="S1086" s="13">
        <f>IF($R1086="","",IFERROR(INDEX(Emp_Names,MATCH($R1086,Emp_Codes,0)),"NOT FOUND"))</f>
        <v/>
      </c>
      <c r="T1086" s="12" t="n"/>
      <c r="U1086" s="12" t="n"/>
      <c r="V1086" s="12" t="n"/>
    </row>
    <row r="1087">
      <c r="A1087" s="12" t="n"/>
      <c r="B1087" s="12" t="n"/>
      <c r="C1087" s="12" t="n"/>
      <c r="D1087" s="13">
        <f>IF($A1087="","",TRIM($B1087&amp;" "&amp;$C1087))</f>
        <v/>
      </c>
      <c r="E1087" s="12" t="n"/>
      <c r="F1087" s="12" t="n"/>
      <c r="G1087" s="14" t="n"/>
      <c r="H1087" s="14" t="n"/>
      <c r="I1087" s="12" t="n"/>
      <c r="J1087" s="14" t="n"/>
      <c r="K1087" s="12" t="n"/>
      <c r="L1087" s="13">
        <f>IF($K1087="","",IFERROR(INDEX(Dept_Names,MATCH($K1087,Dept_Codes,0)),"NOT FOUND"))</f>
        <v/>
      </c>
      <c r="M1087" s="12" t="n"/>
      <c r="N1087" s="13">
        <f>IF($M1087="","",IFERROR(INDEX(Desig_Names,MATCH($M1087,Desig_Codes,0)),"NOT FOUND"))</f>
        <v/>
      </c>
      <c r="O1087" s="13">
        <f>IF($M1087="","",IFERROR(INDEX(Desig_Levels,MATCH($M1087,Desig_Codes,0)),""))</f>
        <v/>
      </c>
      <c r="P1087" s="12" t="n"/>
      <c r="Q1087" s="12" t="n"/>
      <c r="R1087" s="12" t="n"/>
      <c r="S1087" s="13">
        <f>IF($R1087="","",IFERROR(INDEX(Emp_Names,MATCH($R1087,Emp_Codes,0)),"NOT FOUND"))</f>
        <v/>
      </c>
      <c r="T1087" s="12" t="n"/>
      <c r="U1087" s="12" t="n"/>
      <c r="V1087" s="12" t="n"/>
    </row>
    <row r="1088">
      <c r="A1088" s="12" t="n"/>
      <c r="B1088" s="12" t="n"/>
      <c r="C1088" s="12" t="n"/>
      <c r="D1088" s="13">
        <f>IF($A1088="","",TRIM($B1088&amp;" "&amp;$C1088))</f>
        <v/>
      </c>
      <c r="E1088" s="12" t="n"/>
      <c r="F1088" s="12" t="n"/>
      <c r="G1088" s="14" t="n"/>
      <c r="H1088" s="14" t="n"/>
      <c r="I1088" s="12" t="n"/>
      <c r="J1088" s="14" t="n"/>
      <c r="K1088" s="12" t="n"/>
      <c r="L1088" s="13">
        <f>IF($K1088="","",IFERROR(INDEX(Dept_Names,MATCH($K1088,Dept_Codes,0)),"NOT FOUND"))</f>
        <v/>
      </c>
      <c r="M1088" s="12" t="n"/>
      <c r="N1088" s="13">
        <f>IF($M1088="","",IFERROR(INDEX(Desig_Names,MATCH($M1088,Desig_Codes,0)),"NOT FOUND"))</f>
        <v/>
      </c>
      <c r="O1088" s="13">
        <f>IF($M1088="","",IFERROR(INDEX(Desig_Levels,MATCH($M1088,Desig_Codes,0)),""))</f>
        <v/>
      </c>
      <c r="P1088" s="12" t="n"/>
      <c r="Q1088" s="12" t="n"/>
      <c r="R1088" s="12" t="n"/>
      <c r="S1088" s="13">
        <f>IF($R1088="","",IFERROR(INDEX(Emp_Names,MATCH($R1088,Emp_Codes,0)),"NOT FOUND"))</f>
        <v/>
      </c>
      <c r="T1088" s="12" t="n"/>
      <c r="U1088" s="12" t="n"/>
      <c r="V1088" s="12" t="n"/>
    </row>
    <row r="1089">
      <c r="A1089" s="12" t="n"/>
      <c r="B1089" s="12" t="n"/>
      <c r="C1089" s="12" t="n"/>
      <c r="D1089" s="13">
        <f>IF($A1089="","",TRIM($B1089&amp;" "&amp;$C1089))</f>
        <v/>
      </c>
      <c r="E1089" s="12" t="n"/>
      <c r="F1089" s="12" t="n"/>
      <c r="G1089" s="14" t="n"/>
      <c r="H1089" s="14" t="n"/>
      <c r="I1089" s="12" t="n"/>
      <c r="J1089" s="14" t="n"/>
      <c r="K1089" s="12" t="n"/>
      <c r="L1089" s="13">
        <f>IF($K1089="","",IFERROR(INDEX(Dept_Names,MATCH($K1089,Dept_Codes,0)),"NOT FOUND"))</f>
        <v/>
      </c>
      <c r="M1089" s="12" t="n"/>
      <c r="N1089" s="13">
        <f>IF($M1089="","",IFERROR(INDEX(Desig_Names,MATCH($M1089,Desig_Codes,0)),"NOT FOUND"))</f>
        <v/>
      </c>
      <c r="O1089" s="13">
        <f>IF($M1089="","",IFERROR(INDEX(Desig_Levels,MATCH($M1089,Desig_Codes,0)),""))</f>
        <v/>
      </c>
      <c r="P1089" s="12" t="n"/>
      <c r="Q1089" s="12" t="n"/>
      <c r="R1089" s="12" t="n"/>
      <c r="S1089" s="13">
        <f>IF($R1089="","",IFERROR(INDEX(Emp_Names,MATCH($R1089,Emp_Codes,0)),"NOT FOUND"))</f>
        <v/>
      </c>
      <c r="T1089" s="12" t="n"/>
      <c r="U1089" s="12" t="n"/>
      <c r="V1089" s="12" t="n"/>
    </row>
    <row r="1090">
      <c r="A1090" s="12" t="n"/>
      <c r="B1090" s="12" t="n"/>
      <c r="C1090" s="12" t="n"/>
      <c r="D1090" s="13">
        <f>IF($A1090="","",TRIM($B1090&amp;" "&amp;$C1090))</f>
        <v/>
      </c>
      <c r="E1090" s="12" t="n"/>
      <c r="F1090" s="12" t="n"/>
      <c r="G1090" s="14" t="n"/>
      <c r="H1090" s="14" t="n"/>
      <c r="I1090" s="12" t="n"/>
      <c r="J1090" s="14" t="n"/>
      <c r="K1090" s="12" t="n"/>
      <c r="L1090" s="13">
        <f>IF($K1090="","",IFERROR(INDEX(Dept_Names,MATCH($K1090,Dept_Codes,0)),"NOT FOUND"))</f>
        <v/>
      </c>
      <c r="M1090" s="12" t="n"/>
      <c r="N1090" s="13">
        <f>IF($M1090="","",IFERROR(INDEX(Desig_Names,MATCH($M1090,Desig_Codes,0)),"NOT FOUND"))</f>
        <v/>
      </c>
      <c r="O1090" s="13">
        <f>IF($M1090="","",IFERROR(INDEX(Desig_Levels,MATCH($M1090,Desig_Codes,0)),""))</f>
        <v/>
      </c>
      <c r="P1090" s="12" t="n"/>
      <c r="Q1090" s="12" t="n"/>
      <c r="R1090" s="12" t="n"/>
      <c r="S1090" s="13">
        <f>IF($R1090="","",IFERROR(INDEX(Emp_Names,MATCH($R1090,Emp_Codes,0)),"NOT FOUND"))</f>
        <v/>
      </c>
      <c r="T1090" s="12" t="n"/>
      <c r="U1090" s="12" t="n"/>
      <c r="V1090" s="12" t="n"/>
    </row>
    <row r="1091">
      <c r="A1091" s="12" t="n"/>
      <c r="B1091" s="12" t="n"/>
      <c r="C1091" s="12" t="n"/>
      <c r="D1091" s="13">
        <f>IF($A1091="","",TRIM($B1091&amp;" "&amp;$C1091))</f>
        <v/>
      </c>
      <c r="E1091" s="12" t="n"/>
      <c r="F1091" s="12" t="n"/>
      <c r="G1091" s="14" t="n"/>
      <c r="H1091" s="14" t="n"/>
      <c r="I1091" s="12" t="n"/>
      <c r="J1091" s="14" t="n"/>
      <c r="K1091" s="12" t="n"/>
      <c r="L1091" s="13">
        <f>IF($K1091="","",IFERROR(INDEX(Dept_Names,MATCH($K1091,Dept_Codes,0)),"NOT FOUND"))</f>
        <v/>
      </c>
      <c r="M1091" s="12" t="n"/>
      <c r="N1091" s="13">
        <f>IF($M1091="","",IFERROR(INDEX(Desig_Names,MATCH($M1091,Desig_Codes,0)),"NOT FOUND"))</f>
        <v/>
      </c>
      <c r="O1091" s="13">
        <f>IF($M1091="","",IFERROR(INDEX(Desig_Levels,MATCH($M1091,Desig_Codes,0)),""))</f>
        <v/>
      </c>
      <c r="P1091" s="12" t="n"/>
      <c r="Q1091" s="12" t="n"/>
      <c r="R1091" s="12" t="n"/>
      <c r="S1091" s="13">
        <f>IF($R1091="","",IFERROR(INDEX(Emp_Names,MATCH($R1091,Emp_Codes,0)),"NOT FOUND"))</f>
        <v/>
      </c>
      <c r="T1091" s="12" t="n"/>
      <c r="U1091" s="12" t="n"/>
      <c r="V1091" s="12" t="n"/>
    </row>
    <row r="1092">
      <c r="A1092" s="12" t="n"/>
      <c r="B1092" s="12" t="n"/>
      <c r="C1092" s="12" t="n"/>
      <c r="D1092" s="13">
        <f>IF($A1092="","",TRIM($B1092&amp;" "&amp;$C1092))</f>
        <v/>
      </c>
      <c r="E1092" s="12" t="n"/>
      <c r="F1092" s="12" t="n"/>
      <c r="G1092" s="14" t="n"/>
      <c r="H1092" s="14" t="n"/>
      <c r="I1092" s="12" t="n"/>
      <c r="J1092" s="14" t="n"/>
      <c r="K1092" s="12" t="n"/>
      <c r="L1092" s="13">
        <f>IF($K1092="","",IFERROR(INDEX(Dept_Names,MATCH($K1092,Dept_Codes,0)),"NOT FOUND"))</f>
        <v/>
      </c>
      <c r="M1092" s="12" t="n"/>
      <c r="N1092" s="13">
        <f>IF($M1092="","",IFERROR(INDEX(Desig_Names,MATCH($M1092,Desig_Codes,0)),"NOT FOUND"))</f>
        <v/>
      </c>
      <c r="O1092" s="13">
        <f>IF($M1092="","",IFERROR(INDEX(Desig_Levels,MATCH($M1092,Desig_Codes,0)),""))</f>
        <v/>
      </c>
      <c r="P1092" s="12" t="n"/>
      <c r="Q1092" s="12" t="n"/>
      <c r="R1092" s="12" t="n"/>
      <c r="S1092" s="13">
        <f>IF($R1092="","",IFERROR(INDEX(Emp_Names,MATCH($R1092,Emp_Codes,0)),"NOT FOUND"))</f>
        <v/>
      </c>
      <c r="T1092" s="12" t="n"/>
      <c r="U1092" s="12" t="n"/>
      <c r="V1092" s="12" t="n"/>
    </row>
    <row r="1093">
      <c r="A1093" s="12" t="n"/>
      <c r="B1093" s="12" t="n"/>
      <c r="C1093" s="12" t="n"/>
      <c r="D1093" s="13">
        <f>IF($A1093="","",TRIM($B1093&amp;" "&amp;$C1093))</f>
        <v/>
      </c>
      <c r="E1093" s="12" t="n"/>
      <c r="F1093" s="12" t="n"/>
      <c r="G1093" s="14" t="n"/>
      <c r="H1093" s="14" t="n"/>
      <c r="I1093" s="12" t="n"/>
      <c r="J1093" s="14" t="n"/>
      <c r="K1093" s="12" t="n"/>
      <c r="L1093" s="13">
        <f>IF($K1093="","",IFERROR(INDEX(Dept_Names,MATCH($K1093,Dept_Codes,0)),"NOT FOUND"))</f>
        <v/>
      </c>
      <c r="M1093" s="12" t="n"/>
      <c r="N1093" s="13">
        <f>IF($M1093="","",IFERROR(INDEX(Desig_Names,MATCH($M1093,Desig_Codes,0)),"NOT FOUND"))</f>
        <v/>
      </c>
      <c r="O1093" s="13">
        <f>IF($M1093="","",IFERROR(INDEX(Desig_Levels,MATCH($M1093,Desig_Codes,0)),""))</f>
        <v/>
      </c>
      <c r="P1093" s="12" t="n"/>
      <c r="Q1093" s="12" t="n"/>
      <c r="R1093" s="12" t="n"/>
      <c r="S1093" s="13">
        <f>IF($R1093="","",IFERROR(INDEX(Emp_Names,MATCH($R1093,Emp_Codes,0)),"NOT FOUND"))</f>
        <v/>
      </c>
      <c r="T1093" s="12" t="n"/>
      <c r="U1093" s="12" t="n"/>
      <c r="V1093" s="12" t="n"/>
    </row>
    <row r="1094">
      <c r="A1094" s="12" t="n"/>
      <c r="B1094" s="12" t="n"/>
      <c r="C1094" s="12" t="n"/>
      <c r="D1094" s="13">
        <f>IF($A1094="","",TRIM($B1094&amp;" "&amp;$C1094))</f>
        <v/>
      </c>
      <c r="E1094" s="12" t="n"/>
      <c r="F1094" s="12" t="n"/>
      <c r="G1094" s="14" t="n"/>
      <c r="H1094" s="14" t="n"/>
      <c r="I1094" s="12" t="n"/>
      <c r="J1094" s="14" t="n"/>
      <c r="K1094" s="12" t="n"/>
      <c r="L1094" s="13">
        <f>IF($K1094="","",IFERROR(INDEX(Dept_Names,MATCH($K1094,Dept_Codes,0)),"NOT FOUND"))</f>
        <v/>
      </c>
      <c r="M1094" s="12" t="n"/>
      <c r="N1094" s="13">
        <f>IF($M1094="","",IFERROR(INDEX(Desig_Names,MATCH($M1094,Desig_Codes,0)),"NOT FOUND"))</f>
        <v/>
      </c>
      <c r="O1094" s="13">
        <f>IF($M1094="","",IFERROR(INDEX(Desig_Levels,MATCH($M1094,Desig_Codes,0)),""))</f>
        <v/>
      </c>
      <c r="P1094" s="12" t="n"/>
      <c r="Q1094" s="12" t="n"/>
      <c r="R1094" s="12" t="n"/>
      <c r="S1094" s="13">
        <f>IF($R1094="","",IFERROR(INDEX(Emp_Names,MATCH($R1094,Emp_Codes,0)),"NOT FOUND"))</f>
        <v/>
      </c>
      <c r="T1094" s="12" t="n"/>
      <c r="U1094" s="12" t="n"/>
      <c r="V1094" s="12" t="n"/>
    </row>
    <row r="1095">
      <c r="A1095" s="12" t="n"/>
      <c r="B1095" s="12" t="n"/>
      <c r="C1095" s="12" t="n"/>
      <c r="D1095" s="13">
        <f>IF($A1095="","",TRIM($B1095&amp;" "&amp;$C1095))</f>
        <v/>
      </c>
      <c r="E1095" s="12" t="n"/>
      <c r="F1095" s="12" t="n"/>
      <c r="G1095" s="14" t="n"/>
      <c r="H1095" s="14" t="n"/>
      <c r="I1095" s="12" t="n"/>
      <c r="J1095" s="14" t="n"/>
      <c r="K1095" s="12" t="n"/>
      <c r="L1095" s="13">
        <f>IF($K1095="","",IFERROR(INDEX(Dept_Names,MATCH($K1095,Dept_Codes,0)),"NOT FOUND"))</f>
        <v/>
      </c>
      <c r="M1095" s="12" t="n"/>
      <c r="N1095" s="13">
        <f>IF($M1095="","",IFERROR(INDEX(Desig_Names,MATCH($M1095,Desig_Codes,0)),"NOT FOUND"))</f>
        <v/>
      </c>
      <c r="O1095" s="13">
        <f>IF($M1095="","",IFERROR(INDEX(Desig_Levels,MATCH($M1095,Desig_Codes,0)),""))</f>
        <v/>
      </c>
      <c r="P1095" s="12" t="n"/>
      <c r="Q1095" s="12" t="n"/>
      <c r="R1095" s="12" t="n"/>
      <c r="S1095" s="13">
        <f>IF($R1095="","",IFERROR(INDEX(Emp_Names,MATCH($R1095,Emp_Codes,0)),"NOT FOUND"))</f>
        <v/>
      </c>
      <c r="T1095" s="12" t="n"/>
      <c r="U1095" s="12" t="n"/>
      <c r="V1095" s="12" t="n"/>
    </row>
    <row r="1096">
      <c r="A1096" s="12" t="n"/>
      <c r="B1096" s="12" t="n"/>
      <c r="C1096" s="12" t="n"/>
      <c r="D1096" s="13">
        <f>IF($A1096="","",TRIM($B1096&amp;" "&amp;$C1096))</f>
        <v/>
      </c>
      <c r="E1096" s="12" t="n"/>
      <c r="F1096" s="12" t="n"/>
      <c r="G1096" s="14" t="n"/>
      <c r="H1096" s="14" t="n"/>
      <c r="I1096" s="12" t="n"/>
      <c r="J1096" s="14" t="n"/>
      <c r="K1096" s="12" t="n"/>
      <c r="L1096" s="13">
        <f>IF($K1096="","",IFERROR(INDEX(Dept_Names,MATCH($K1096,Dept_Codes,0)),"NOT FOUND"))</f>
        <v/>
      </c>
      <c r="M1096" s="12" t="n"/>
      <c r="N1096" s="13">
        <f>IF($M1096="","",IFERROR(INDEX(Desig_Names,MATCH($M1096,Desig_Codes,0)),"NOT FOUND"))</f>
        <v/>
      </c>
      <c r="O1096" s="13">
        <f>IF($M1096="","",IFERROR(INDEX(Desig_Levels,MATCH($M1096,Desig_Codes,0)),""))</f>
        <v/>
      </c>
      <c r="P1096" s="12" t="n"/>
      <c r="Q1096" s="12" t="n"/>
      <c r="R1096" s="12" t="n"/>
      <c r="S1096" s="13">
        <f>IF($R1096="","",IFERROR(INDEX(Emp_Names,MATCH($R1096,Emp_Codes,0)),"NOT FOUND"))</f>
        <v/>
      </c>
      <c r="T1096" s="12" t="n"/>
      <c r="U1096" s="12" t="n"/>
      <c r="V1096" s="12" t="n"/>
    </row>
    <row r="1097">
      <c r="A1097" s="12" t="n"/>
      <c r="B1097" s="12" t="n"/>
      <c r="C1097" s="12" t="n"/>
      <c r="D1097" s="13">
        <f>IF($A1097="","",TRIM($B1097&amp;" "&amp;$C1097))</f>
        <v/>
      </c>
      <c r="E1097" s="12" t="n"/>
      <c r="F1097" s="12" t="n"/>
      <c r="G1097" s="14" t="n"/>
      <c r="H1097" s="14" t="n"/>
      <c r="I1097" s="12" t="n"/>
      <c r="J1097" s="14" t="n"/>
      <c r="K1097" s="12" t="n"/>
      <c r="L1097" s="13">
        <f>IF($K1097="","",IFERROR(INDEX(Dept_Names,MATCH($K1097,Dept_Codes,0)),"NOT FOUND"))</f>
        <v/>
      </c>
      <c r="M1097" s="12" t="n"/>
      <c r="N1097" s="13">
        <f>IF($M1097="","",IFERROR(INDEX(Desig_Names,MATCH($M1097,Desig_Codes,0)),"NOT FOUND"))</f>
        <v/>
      </c>
      <c r="O1097" s="13">
        <f>IF($M1097="","",IFERROR(INDEX(Desig_Levels,MATCH($M1097,Desig_Codes,0)),""))</f>
        <v/>
      </c>
      <c r="P1097" s="12" t="n"/>
      <c r="Q1097" s="12" t="n"/>
      <c r="R1097" s="12" t="n"/>
      <c r="S1097" s="13">
        <f>IF($R1097="","",IFERROR(INDEX(Emp_Names,MATCH($R1097,Emp_Codes,0)),"NOT FOUND"))</f>
        <v/>
      </c>
      <c r="T1097" s="12" t="n"/>
      <c r="U1097" s="12" t="n"/>
      <c r="V1097" s="12" t="n"/>
    </row>
    <row r="1098">
      <c r="A1098" s="12" t="n"/>
      <c r="B1098" s="12" t="n"/>
      <c r="C1098" s="12" t="n"/>
      <c r="D1098" s="13">
        <f>IF($A1098="","",TRIM($B1098&amp;" "&amp;$C1098))</f>
        <v/>
      </c>
      <c r="E1098" s="12" t="n"/>
      <c r="F1098" s="12" t="n"/>
      <c r="G1098" s="14" t="n"/>
      <c r="H1098" s="14" t="n"/>
      <c r="I1098" s="12" t="n"/>
      <c r="J1098" s="14" t="n"/>
      <c r="K1098" s="12" t="n"/>
      <c r="L1098" s="13">
        <f>IF($K1098="","",IFERROR(INDEX(Dept_Names,MATCH($K1098,Dept_Codes,0)),"NOT FOUND"))</f>
        <v/>
      </c>
      <c r="M1098" s="12" t="n"/>
      <c r="N1098" s="13">
        <f>IF($M1098="","",IFERROR(INDEX(Desig_Names,MATCH($M1098,Desig_Codes,0)),"NOT FOUND"))</f>
        <v/>
      </c>
      <c r="O1098" s="13">
        <f>IF($M1098="","",IFERROR(INDEX(Desig_Levels,MATCH($M1098,Desig_Codes,0)),""))</f>
        <v/>
      </c>
      <c r="P1098" s="12" t="n"/>
      <c r="Q1098" s="12" t="n"/>
      <c r="R1098" s="12" t="n"/>
      <c r="S1098" s="13">
        <f>IF($R1098="","",IFERROR(INDEX(Emp_Names,MATCH($R1098,Emp_Codes,0)),"NOT FOUND"))</f>
        <v/>
      </c>
      <c r="T1098" s="12" t="n"/>
      <c r="U1098" s="12" t="n"/>
      <c r="V1098" s="12" t="n"/>
    </row>
    <row r="1099">
      <c r="A1099" s="12" t="n"/>
      <c r="B1099" s="12" t="n"/>
      <c r="C1099" s="12" t="n"/>
      <c r="D1099" s="13">
        <f>IF($A1099="","",TRIM($B1099&amp;" "&amp;$C1099))</f>
        <v/>
      </c>
      <c r="E1099" s="12" t="n"/>
      <c r="F1099" s="12" t="n"/>
      <c r="G1099" s="14" t="n"/>
      <c r="H1099" s="14" t="n"/>
      <c r="I1099" s="12" t="n"/>
      <c r="J1099" s="14" t="n"/>
      <c r="K1099" s="12" t="n"/>
      <c r="L1099" s="13">
        <f>IF($K1099="","",IFERROR(INDEX(Dept_Names,MATCH($K1099,Dept_Codes,0)),"NOT FOUND"))</f>
        <v/>
      </c>
      <c r="M1099" s="12" t="n"/>
      <c r="N1099" s="13">
        <f>IF($M1099="","",IFERROR(INDEX(Desig_Names,MATCH($M1099,Desig_Codes,0)),"NOT FOUND"))</f>
        <v/>
      </c>
      <c r="O1099" s="13">
        <f>IF($M1099="","",IFERROR(INDEX(Desig_Levels,MATCH($M1099,Desig_Codes,0)),""))</f>
        <v/>
      </c>
      <c r="P1099" s="12" t="n"/>
      <c r="Q1099" s="12" t="n"/>
      <c r="R1099" s="12" t="n"/>
      <c r="S1099" s="13">
        <f>IF($R1099="","",IFERROR(INDEX(Emp_Names,MATCH($R1099,Emp_Codes,0)),"NOT FOUND"))</f>
        <v/>
      </c>
      <c r="T1099" s="12" t="n"/>
      <c r="U1099" s="12" t="n"/>
      <c r="V1099" s="12" t="n"/>
    </row>
    <row r="1100">
      <c r="A1100" s="12" t="n"/>
      <c r="B1100" s="12" t="n"/>
      <c r="C1100" s="12" t="n"/>
      <c r="D1100" s="13">
        <f>IF($A1100="","",TRIM($B1100&amp;" "&amp;$C1100))</f>
        <v/>
      </c>
      <c r="E1100" s="12" t="n"/>
      <c r="F1100" s="12" t="n"/>
      <c r="G1100" s="14" t="n"/>
      <c r="H1100" s="14" t="n"/>
      <c r="I1100" s="12" t="n"/>
      <c r="J1100" s="14" t="n"/>
      <c r="K1100" s="12" t="n"/>
      <c r="L1100" s="13">
        <f>IF($K1100="","",IFERROR(INDEX(Dept_Names,MATCH($K1100,Dept_Codes,0)),"NOT FOUND"))</f>
        <v/>
      </c>
      <c r="M1100" s="12" t="n"/>
      <c r="N1100" s="13">
        <f>IF($M1100="","",IFERROR(INDEX(Desig_Names,MATCH($M1100,Desig_Codes,0)),"NOT FOUND"))</f>
        <v/>
      </c>
      <c r="O1100" s="13">
        <f>IF($M1100="","",IFERROR(INDEX(Desig_Levels,MATCH($M1100,Desig_Codes,0)),""))</f>
        <v/>
      </c>
      <c r="P1100" s="12" t="n"/>
      <c r="Q1100" s="12" t="n"/>
      <c r="R1100" s="12" t="n"/>
      <c r="S1100" s="13">
        <f>IF($R1100="","",IFERROR(INDEX(Emp_Names,MATCH($R1100,Emp_Codes,0)),"NOT FOUND"))</f>
        <v/>
      </c>
      <c r="T1100" s="12" t="n"/>
      <c r="U1100" s="12" t="n"/>
      <c r="V1100" s="12" t="n"/>
    </row>
    <row r="1101">
      <c r="A1101" s="12" t="n"/>
      <c r="B1101" s="12" t="n"/>
      <c r="C1101" s="12" t="n"/>
      <c r="D1101" s="13">
        <f>IF($A1101="","",TRIM($B1101&amp;" "&amp;$C1101))</f>
        <v/>
      </c>
      <c r="E1101" s="12" t="n"/>
      <c r="F1101" s="12" t="n"/>
      <c r="G1101" s="14" t="n"/>
      <c r="H1101" s="14" t="n"/>
      <c r="I1101" s="12" t="n"/>
      <c r="J1101" s="14" t="n"/>
      <c r="K1101" s="12" t="n"/>
      <c r="L1101" s="13">
        <f>IF($K1101="","",IFERROR(INDEX(Dept_Names,MATCH($K1101,Dept_Codes,0)),"NOT FOUND"))</f>
        <v/>
      </c>
      <c r="M1101" s="12" t="n"/>
      <c r="N1101" s="13">
        <f>IF($M1101="","",IFERROR(INDEX(Desig_Names,MATCH($M1101,Desig_Codes,0)),"NOT FOUND"))</f>
        <v/>
      </c>
      <c r="O1101" s="13">
        <f>IF($M1101="","",IFERROR(INDEX(Desig_Levels,MATCH($M1101,Desig_Codes,0)),""))</f>
        <v/>
      </c>
      <c r="P1101" s="12" t="n"/>
      <c r="Q1101" s="12" t="n"/>
      <c r="R1101" s="12" t="n"/>
      <c r="S1101" s="13">
        <f>IF($R1101="","",IFERROR(INDEX(Emp_Names,MATCH($R1101,Emp_Codes,0)),"NOT FOUND"))</f>
        <v/>
      </c>
      <c r="T1101" s="12" t="n"/>
      <c r="U1101" s="12" t="n"/>
      <c r="V1101" s="12" t="n"/>
    </row>
    <row r="1102">
      <c r="A1102" s="12" t="n"/>
      <c r="B1102" s="12" t="n"/>
      <c r="C1102" s="12" t="n"/>
      <c r="D1102" s="13">
        <f>IF($A1102="","",TRIM($B1102&amp;" "&amp;$C1102))</f>
        <v/>
      </c>
      <c r="E1102" s="12" t="n"/>
      <c r="F1102" s="12" t="n"/>
      <c r="G1102" s="14" t="n"/>
      <c r="H1102" s="14" t="n"/>
      <c r="I1102" s="12" t="n"/>
      <c r="J1102" s="14" t="n"/>
      <c r="K1102" s="12" t="n"/>
      <c r="L1102" s="13">
        <f>IF($K1102="","",IFERROR(INDEX(Dept_Names,MATCH($K1102,Dept_Codes,0)),"NOT FOUND"))</f>
        <v/>
      </c>
      <c r="M1102" s="12" t="n"/>
      <c r="N1102" s="13">
        <f>IF($M1102="","",IFERROR(INDEX(Desig_Names,MATCH($M1102,Desig_Codes,0)),"NOT FOUND"))</f>
        <v/>
      </c>
      <c r="O1102" s="13">
        <f>IF($M1102="","",IFERROR(INDEX(Desig_Levels,MATCH($M1102,Desig_Codes,0)),""))</f>
        <v/>
      </c>
      <c r="P1102" s="12" t="n"/>
      <c r="Q1102" s="12" t="n"/>
      <c r="R1102" s="12" t="n"/>
      <c r="S1102" s="13">
        <f>IF($R1102="","",IFERROR(INDEX(Emp_Names,MATCH($R1102,Emp_Codes,0)),"NOT FOUND"))</f>
        <v/>
      </c>
      <c r="T1102" s="12" t="n"/>
      <c r="U1102" s="12" t="n"/>
      <c r="V1102" s="12" t="n"/>
    </row>
    <row r="1103">
      <c r="A1103" s="12" t="n"/>
      <c r="B1103" s="12" t="n"/>
      <c r="C1103" s="12" t="n"/>
      <c r="D1103" s="13">
        <f>IF($A1103="","",TRIM($B1103&amp;" "&amp;$C1103))</f>
        <v/>
      </c>
      <c r="E1103" s="12" t="n"/>
      <c r="F1103" s="12" t="n"/>
      <c r="G1103" s="14" t="n"/>
      <c r="H1103" s="14" t="n"/>
      <c r="I1103" s="12" t="n"/>
      <c r="J1103" s="14" t="n"/>
      <c r="K1103" s="12" t="n"/>
      <c r="L1103" s="13">
        <f>IF($K1103="","",IFERROR(INDEX(Dept_Names,MATCH($K1103,Dept_Codes,0)),"NOT FOUND"))</f>
        <v/>
      </c>
      <c r="M1103" s="12" t="n"/>
      <c r="N1103" s="13">
        <f>IF($M1103="","",IFERROR(INDEX(Desig_Names,MATCH($M1103,Desig_Codes,0)),"NOT FOUND"))</f>
        <v/>
      </c>
      <c r="O1103" s="13">
        <f>IF($M1103="","",IFERROR(INDEX(Desig_Levels,MATCH($M1103,Desig_Codes,0)),""))</f>
        <v/>
      </c>
      <c r="P1103" s="12" t="n"/>
      <c r="Q1103" s="12" t="n"/>
      <c r="R1103" s="12" t="n"/>
      <c r="S1103" s="13">
        <f>IF($R1103="","",IFERROR(INDEX(Emp_Names,MATCH($R1103,Emp_Codes,0)),"NOT FOUND"))</f>
        <v/>
      </c>
      <c r="T1103" s="12" t="n"/>
      <c r="U1103" s="12" t="n"/>
      <c r="V1103" s="12" t="n"/>
    </row>
    <row r="1104">
      <c r="A1104" s="12" t="n"/>
      <c r="B1104" s="12" t="n"/>
      <c r="C1104" s="12" t="n"/>
      <c r="D1104" s="13">
        <f>IF($A1104="","",TRIM($B1104&amp;" "&amp;$C1104))</f>
        <v/>
      </c>
      <c r="E1104" s="12" t="n"/>
      <c r="F1104" s="12" t="n"/>
      <c r="G1104" s="14" t="n"/>
      <c r="H1104" s="14" t="n"/>
      <c r="I1104" s="12" t="n"/>
      <c r="J1104" s="14" t="n"/>
      <c r="K1104" s="12" t="n"/>
      <c r="L1104" s="13">
        <f>IF($K1104="","",IFERROR(INDEX(Dept_Names,MATCH($K1104,Dept_Codes,0)),"NOT FOUND"))</f>
        <v/>
      </c>
      <c r="M1104" s="12" t="n"/>
      <c r="N1104" s="13">
        <f>IF($M1104="","",IFERROR(INDEX(Desig_Names,MATCH($M1104,Desig_Codes,0)),"NOT FOUND"))</f>
        <v/>
      </c>
      <c r="O1104" s="13">
        <f>IF($M1104="","",IFERROR(INDEX(Desig_Levels,MATCH($M1104,Desig_Codes,0)),""))</f>
        <v/>
      </c>
      <c r="P1104" s="12" t="n"/>
      <c r="Q1104" s="12" t="n"/>
      <c r="R1104" s="12" t="n"/>
      <c r="S1104" s="13">
        <f>IF($R1104="","",IFERROR(INDEX(Emp_Names,MATCH($R1104,Emp_Codes,0)),"NOT FOUND"))</f>
        <v/>
      </c>
      <c r="T1104" s="12" t="n"/>
      <c r="U1104" s="12" t="n"/>
      <c r="V1104" s="12" t="n"/>
    </row>
    <row r="1105">
      <c r="A1105" s="12" t="n"/>
      <c r="B1105" s="12" t="n"/>
      <c r="C1105" s="12" t="n"/>
      <c r="D1105" s="13">
        <f>IF($A1105="","",TRIM($B1105&amp;" "&amp;$C1105))</f>
        <v/>
      </c>
      <c r="E1105" s="12" t="n"/>
      <c r="F1105" s="12" t="n"/>
      <c r="G1105" s="14" t="n"/>
      <c r="H1105" s="14" t="n"/>
      <c r="I1105" s="12" t="n"/>
      <c r="J1105" s="14" t="n"/>
      <c r="K1105" s="12" t="n"/>
      <c r="L1105" s="13">
        <f>IF($K1105="","",IFERROR(INDEX(Dept_Names,MATCH($K1105,Dept_Codes,0)),"NOT FOUND"))</f>
        <v/>
      </c>
      <c r="M1105" s="12" t="n"/>
      <c r="N1105" s="13">
        <f>IF($M1105="","",IFERROR(INDEX(Desig_Names,MATCH($M1105,Desig_Codes,0)),"NOT FOUND"))</f>
        <v/>
      </c>
      <c r="O1105" s="13">
        <f>IF($M1105="","",IFERROR(INDEX(Desig_Levels,MATCH($M1105,Desig_Codes,0)),""))</f>
        <v/>
      </c>
      <c r="P1105" s="12" t="n"/>
      <c r="Q1105" s="12" t="n"/>
      <c r="R1105" s="12" t="n"/>
      <c r="S1105" s="13">
        <f>IF($R1105="","",IFERROR(INDEX(Emp_Names,MATCH($R1105,Emp_Codes,0)),"NOT FOUND"))</f>
        <v/>
      </c>
      <c r="T1105" s="12" t="n"/>
      <c r="U1105" s="12" t="n"/>
      <c r="V1105" s="12" t="n"/>
    </row>
    <row r="1106">
      <c r="A1106" s="12" t="n"/>
      <c r="B1106" s="12" t="n"/>
      <c r="C1106" s="12" t="n"/>
      <c r="D1106" s="13">
        <f>IF($A1106="","",TRIM($B1106&amp;" "&amp;$C1106))</f>
        <v/>
      </c>
      <c r="E1106" s="12" t="n"/>
      <c r="F1106" s="12" t="n"/>
      <c r="G1106" s="14" t="n"/>
      <c r="H1106" s="14" t="n"/>
      <c r="I1106" s="12" t="n"/>
      <c r="J1106" s="14" t="n"/>
      <c r="K1106" s="12" t="n"/>
      <c r="L1106" s="13">
        <f>IF($K1106="","",IFERROR(INDEX(Dept_Names,MATCH($K1106,Dept_Codes,0)),"NOT FOUND"))</f>
        <v/>
      </c>
      <c r="M1106" s="12" t="n"/>
      <c r="N1106" s="13">
        <f>IF($M1106="","",IFERROR(INDEX(Desig_Names,MATCH($M1106,Desig_Codes,0)),"NOT FOUND"))</f>
        <v/>
      </c>
      <c r="O1106" s="13">
        <f>IF($M1106="","",IFERROR(INDEX(Desig_Levels,MATCH($M1106,Desig_Codes,0)),""))</f>
        <v/>
      </c>
      <c r="P1106" s="12" t="n"/>
      <c r="Q1106" s="12" t="n"/>
      <c r="R1106" s="12" t="n"/>
      <c r="S1106" s="13">
        <f>IF($R1106="","",IFERROR(INDEX(Emp_Names,MATCH($R1106,Emp_Codes,0)),"NOT FOUND"))</f>
        <v/>
      </c>
      <c r="T1106" s="12" t="n"/>
      <c r="U1106" s="12" t="n"/>
      <c r="V1106" s="12" t="n"/>
    </row>
    <row r="1107">
      <c r="A1107" s="12" t="n"/>
      <c r="B1107" s="12" t="n"/>
      <c r="C1107" s="12" t="n"/>
      <c r="D1107" s="13">
        <f>IF($A1107="","",TRIM($B1107&amp;" "&amp;$C1107))</f>
        <v/>
      </c>
      <c r="E1107" s="12" t="n"/>
      <c r="F1107" s="12" t="n"/>
      <c r="G1107" s="14" t="n"/>
      <c r="H1107" s="14" t="n"/>
      <c r="I1107" s="12" t="n"/>
      <c r="J1107" s="14" t="n"/>
      <c r="K1107" s="12" t="n"/>
      <c r="L1107" s="13">
        <f>IF($K1107="","",IFERROR(INDEX(Dept_Names,MATCH($K1107,Dept_Codes,0)),"NOT FOUND"))</f>
        <v/>
      </c>
      <c r="M1107" s="12" t="n"/>
      <c r="N1107" s="13">
        <f>IF($M1107="","",IFERROR(INDEX(Desig_Names,MATCH($M1107,Desig_Codes,0)),"NOT FOUND"))</f>
        <v/>
      </c>
      <c r="O1107" s="13">
        <f>IF($M1107="","",IFERROR(INDEX(Desig_Levels,MATCH($M1107,Desig_Codes,0)),""))</f>
        <v/>
      </c>
      <c r="P1107" s="12" t="n"/>
      <c r="Q1107" s="12" t="n"/>
      <c r="R1107" s="12" t="n"/>
      <c r="S1107" s="13">
        <f>IF($R1107="","",IFERROR(INDEX(Emp_Names,MATCH($R1107,Emp_Codes,0)),"NOT FOUND"))</f>
        <v/>
      </c>
      <c r="T1107" s="12" t="n"/>
      <c r="U1107" s="12" t="n"/>
      <c r="V1107" s="12" t="n"/>
    </row>
    <row r="1108">
      <c r="A1108" s="12" t="n"/>
      <c r="B1108" s="12" t="n"/>
      <c r="C1108" s="12" t="n"/>
      <c r="D1108" s="13">
        <f>IF($A1108="","",TRIM($B1108&amp;" "&amp;$C1108))</f>
        <v/>
      </c>
      <c r="E1108" s="12" t="n"/>
      <c r="F1108" s="12" t="n"/>
      <c r="G1108" s="14" t="n"/>
      <c r="H1108" s="14" t="n"/>
      <c r="I1108" s="12" t="n"/>
      <c r="J1108" s="14" t="n"/>
      <c r="K1108" s="12" t="n"/>
      <c r="L1108" s="13">
        <f>IF($K1108="","",IFERROR(INDEX(Dept_Names,MATCH($K1108,Dept_Codes,0)),"NOT FOUND"))</f>
        <v/>
      </c>
      <c r="M1108" s="12" t="n"/>
      <c r="N1108" s="13">
        <f>IF($M1108="","",IFERROR(INDEX(Desig_Names,MATCH($M1108,Desig_Codes,0)),"NOT FOUND"))</f>
        <v/>
      </c>
      <c r="O1108" s="13">
        <f>IF($M1108="","",IFERROR(INDEX(Desig_Levels,MATCH($M1108,Desig_Codes,0)),""))</f>
        <v/>
      </c>
      <c r="P1108" s="12" t="n"/>
      <c r="Q1108" s="12" t="n"/>
      <c r="R1108" s="12" t="n"/>
      <c r="S1108" s="13">
        <f>IF($R1108="","",IFERROR(INDEX(Emp_Names,MATCH($R1108,Emp_Codes,0)),"NOT FOUND"))</f>
        <v/>
      </c>
      <c r="T1108" s="12" t="n"/>
      <c r="U1108" s="12" t="n"/>
      <c r="V1108" s="12" t="n"/>
    </row>
    <row r="1109">
      <c r="A1109" s="12" t="n"/>
      <c r="B1109" s="12" t="n"/>
      <c r="C1109" s="12" t="n"/>
      <c r="D1109" s="13">
        <f>IF($A1109="","",TRIM($B1109&amp;" "&amp;$C1109))</f>
        <v/>
      </c>
      <c r="E1109" s="12" t="n"/>
      <c r="F1109" s="12" t="n"/>
      <c r="G1109" s="14" t="n"/>
      <c r="H1109" s="14" t="n"/>
      <c r="I1109" s="12" t="n"/>
      <c r="J1109" s="14" t="n"/>
      <c r="K1109" s="12" t="n"/>
      <c r="L1109" s="13">
        <f>IF($K1109="","",IFERROR(INDEX(Dept_Names,MATCH($K1109,Dept_Codes,0)),"NOT FOUND"))</f>
        <v/>
      </c>
      <c r="M1109" s="12" t="n"/>
      <c r="N1109" s="13">
        <f>IF($M1109="","",IFERROR(INDEX(Desig_Names,MATCH($M1109,Desig_Codes,0)),"NOT FOUND"))</f>
        <v/>
      </c>
      <c r="O1109" s="13">
        <f>IF($M1109="","",IFERROR(INDEX(Desig_Levels,MATCH($M1109,Desig_Codes,0)),""))</f>
        <v/>
      </c>
      <c r="P1109" s="12" t="n"/>
      <c r="Q1109" s="12" t="n"/>
      <c r="R1109" s="12" t="n"/>
      <c r="S1109" s="13">
        <f>IF($R1109="","",IFERROR(INDEX(Emp_Names,MATCH($R1109,Emp_Codes,0)),"NOT FOUND"))</f>
        <v/>
      </c>
      <c r="T1109" s="12" t="n"/>
      <c r="U1109" s="12" t="n"/>
      <c r="V1109" s="12" t="n"/>
    </row>
    <row r="1110">
      <c r="A1110" s="12" t="n"/>
      <c r="B1110" s="12" t="n"/>
      <c r="C1110" s="12" t="n"/>
      <c r="D1110" s="13">
        <f>IF($A1110="","",TRIM($B1110&amp;" "&amp;$C1110))</f>
        <v/>
      </c>
      <c r="E1110" s="12" t="n"/>
      <c r="F1110" s="12" t="n"/>
      <c r="G1110" s="14" t="n"/>
      <c r="H1110" s="14" t="n"/>
      <c r="I1110" s="12" t="n"/>
      <c r="J1110" s="14" t="n"/>
      <c r="K1110" s="12" t="n"/>
      <c r="L1110" s="13">
        <f>IF($K1110="","",IFERROR(INDEX(Dept_Names,MATCH($K1110,Dept_Codes,0)),"NOT FOUND"))</f>
        <v/>
      </c>
      <c r="M1110" s="12" t="n"/>
      <c r="N1110" s="13">
        <f>IF($M1110="","",IFERROR(INDEX(Desig_Names,MATCH($M1110,Desig_Codes,0)),"NOT FOUND"))</f>
        <v/>
      </c>
      <c r="O1110" s="13">
        <f>IF($M1110="","",IFERROR(INDEX(Desig_Levels,MATCH($M1110,Desig_Codes,0)),""))</f>
        <v/>
      </c>
      <c r="P1110" s="12" t="n"/>
      <c r="Q1110" s="12" t="n"/>
      <c r="R1110" s="12" t="n"/>
      <c r="S1110" s="13">
        <f>IF($R1110="","",IFERROR(INDEX(Emp_Names,MATCH($R1110,Emp_Codes,0)),"NOT FOUND"))</f>
        <v/>
      </c>
      <c r="T1110" s="12" t="n"/>
      <c r="U1110" s="12" t="n"/>
      <c r="V1110" s="12" t="n"/>
    </row>
    <row r="1111">
      <c r="A1111" s="12" t="n"/>
      <c r="B1111" s="12" t="n"/>
      <c r="C1111" s="12" t="n"/>
      <c r="D1111" s="13">
        <f>IF($A1111="","",TRIM($B1111&amp;" "&amp;$C1111))</f>
        <v/>
      </c>
      <c r="E1111" s="12" t="n"/>
      <c r="F1111" s="12" t="n"/>
      <c r="G1111" s="14" t="n"/>
      <c r="H1111" s="14" t="n"/>
      <c r="I1111" s="12" t="n"/>
      <c r="J1111" s="14" t="n"/>
      <c r="K1111" s="12" t="n"/>
      <c r="L1111" s="13">
        <f>IF($K1111="","",IFERROR(INDEX(Dept_Names,MATCH($K1111,Dept_Codes,0)),"NOT FOUND"))</f>
        <v/>
      </c>
      <c r="M1111" s="12" t="n"/>
      <c r="N1111" s="13">
        <f>IF($M1111="","",IFERROR(INDEX(Desig_Names,MATCH($M1111,Desig_Codes,0)),"NOT FOUND"))</f>
        <v/>
      </c>
      <c r="O1111" s="13">
        <f>IF($M1111="","",IFERROR(INDEX(Desig_Levels,MATCH($M1111,Desig_Codes,0)),""))</f>
        <v/>
      </c>
      <c r="P1111" s="12" t="n"/>
      <c r="Q1111" s="12" t="n"/>
      <c r="R1111" s="12" t="n"/>
      <c r="S1111" s="13">
        <f>IF($R1111="","",IFERROR(INDEX(Emp_Names,MATCH($R1111,Emp_Codes,0)),"NOT FOUND"))</f>
        <v/>
      </c>
      <c r="T1111" s="12" t="n"/>
      <c r="U1111" s="12" t="n"/>
      <c r="V1111" s="12" t="n"/>
    </row>
    <row r="1112">
      <c r="A1112" s="12" t="n"/>
      <c r="B1112" s="12" t="n"/>
      <c r="C1112" s="12" t="n"/>
      <c r="D1112" s="13">
        <f>IF($A1112="","",TRIM($B1112&amp;" "&amp;$C1112))</f>
        <v/>
      </c>
      <c r="E1112" s="12" t="n"/>
      <c r="F1112" s="12" t="n"/>
      <c r="G1112" s="14" t="n"/>
      <c r="H1112" s="14" t="n"/>
      <c r="I1112" s="12" t="n"/>
      <c r="J1112" s="14" t="n"/>
      <c r="K1112" s="12" t="n"/>
      <c r="L1112" s="13">
        <f>IF($K1112="","",IFERROR(INDEX(Dept_Names,MATCH($K1112,Dept_Codes,0)),"NOT FOUND"))</f>
        <v/>
      </c>
      <c r="M1112" s="12" t="n"/>
      <c r="N1112" s="13">
        <f>IF($M1112="","",IFERROR(INDEX(Desig_Names,MATCH($M1112,Desig_Codes,0)),"NOT FOUND"))</f>
        <v/>
      </c>
      <c r="O1112" s="13">
        <f>IF($M1112="","",IFERROR(INDEX(Desig_Levels,MATCH($M1112,Desig_Codes,0)),""))</f>
        <v/>
      </c>
      <c r="P1112" s="12" t="n"/>
      <c r="Q1112" s="12" t="n"/>
      <c r="R1112" s="12" t="n"/>
      <c r="S1112" s="13">
        <f>IF($R1112="","",IFERROR(INDEX(Emp_Names,MATCH($R1112,Emp_Codes,0)),"NOT FOUND"))</f>
        <v/>
      </c>
      <c r="T1112" s="12" t="n"/>
      <c r="U1112" s="12" t="n"/>
      <c r="V1112" s="12" t="n"/>
    </row>
    <row r="1113">
      <c r="A1113" s="12" t="n"/>
      <c r="B1113" s="12" t="n"/>
      <c r="C1113" s="12" t="n"/>
      <c r="D1113" s="13">
        <f>IF($A1113="","",TRIM($B1113&amp;" "&amp;$C1113))</f>
        <v/>
      </c>
      <c r="E1113" s="12" t="n"/>
      <c r="F1113" s="12" t="n"/>
      <c r="G1113" s="14" t="n"/>
      <c r="H1113" s="14" t="n"/>
      <c r="I1113" s="12" t="n"/>
      <c r="J1113" s="14" t="n"/>
      <c r="K1113" s="12" t="n"/>
      <c r="L1113" s="13">
        <f>IF($K1113="","",IFERROR(INDEX(Dept_Names,MATCH($K1113,Dept_Codes,0)),"NOT FOUND"))</f>
        <v/>
      </c>
      <c r="M1113" s="12" t="n"/>
      <c r="N1113" s="13">
        <f>IF($M1113="","",IFERROR(INDEX(Desig_Names,MATCH($M1113,Desig_Codes,0)),"NOT FOUND"))</f>
        <v/>
      </c>
      <c r="O1113" s="13">
        <f>IF($M1113="","",IFERROR(INDEX(Desig_Levels,MATCH($M1113,Desig_Codes,0)),""))</f>
        <v/>
      </c>
      <c r="P1113" s="12" t="n"/>
      <c r="Q1113" s="12" t="n"/>
      <c r="R1113" s="12" t="n"/>
      <c r="S1113" s="13">
        <f>IF($R1113="","",IFERROR(INDEX(Emp_Names,MATCH($R1113,Emp_Codes,0)),"NOT FOUND"))</f>
        <v/>
      </c>
      <c r="T1113" s="12" t="n"/>
      <c r="U1113" s="12" t="n"/>
      <c r="V1113" s="12" t="n"/>
    </row>
    <row r="1114">
      <c r="A1114" s="12" t="n"/>
      <c r="B1114" s="12" t="n"/>
      <c r="C1114" s="12" t="n"/>
      <c r="D1114" s="13">
        <f>IF($A1114="","",TRIM($B1114&amp;" "&amp;$C1114))</f>
        <v/>
      </c>
      <c r="E1114" s="12" t="n"/>
      <c r="F1114" s="12" t="n"/>
      <c r="G1114" s="14" t="n"/>
      <c r="H1114" s="14" t="n"/>
      <c r="I1114" s="12" t="n"/>
      <c r="J1114" s="14" t="n"/>
      <c r="K1114" s="12" t="n"/>
      <c r="L1114" s="13">
        <f>IF($K1114="","",IFERROR(INDEX(Dept_Names,MATCH($K1114,Dept_Codes,0)),"NOT FOUND"))</f>
        <v/>
      </c>
      <c r="M1114" s="12" t="n"/>
      <c r="N1114" s="13">
        <f>IF($M1114="","",IFERROR(INDEX(Desig_Names,MATCH($M1114,Desig_Codes,0)),"NOT FOUND"))</f>
        <v/>
      </c>
      <c r="O1114" s="13">
        <f>IF($M1114="","",IFERROR(INDEX(Desig_Levels,MATCH($M1114,Desig_Codes,0)),""))</f>
        <v/>
      </c>
      <c r="P1114" s="12" t="n"/>
      <c r="Q1114" s="12" t="n"/>
      <c r="R1114" s="12" t="n"/>
      <c r="S1114" s="13">
        <f>IF($R1114="","",IFERROR(INDEX(Emp_Names,MATCH($R1114,Emp_Codes,0)),"NOT FOUND"))</f>
        <v/>
      </c>
      <c r="T1114" s="12" t="n"/>
      <c r="U1114" s="12" t="n"/>
      <c r="V1114" s="12" t="n"/>
    </row>
    <row r="1115">
      <c r="A1115" s="12" t="n"/>
      <c r="B1115" s="12" t="n"/>
      <c r="C1115" s="12" t="n"/>
      <c r="D1115" s="13">
        <f>IF($A1115="","",TRIM($B1115&amp;" "&amp;$C1115))</f>
        <v/>
      </c>
      <c r="E1115" s="12" t="n"/>
      <c r="F1115" s="12" t="n"/>
      <c r="G1115" s="14" t="n"/>
      <c r="H1115" s="14" t="n"/>
      <c r="I1115" s="12" t="n"/>
      <c r="J1115" s="14" t="n"/>
      <c r="K1115" s="12" t="n"/>
      <c r="L1115" s="13">
        <f>IF($K1115="","",IFERROR(INDEX(Dept_Names,MATCH($K1115,Dept_Codes,0)),"NOT FOUND"))</f>
        <v/>
      </c>
      <c r="M1115" s="12" t="n"/>
      <c r="N1115" s="13">
        <f>IF($M1115="","",IFERROR(INDEX(Desig_Names,MATCH($M1115,Desig_Codes,0)),"NOT FOUND"))</f>
        <v/>
      </c>
      <c r="O1115" s="13">
        <f>IF($M1115="","",IFERROR(INDEX(Desig_Levels,MATCH($M1115,Desig_Codes,0)),""))</f>
        <v/>
      </c>
      <c r="P1115" s="12" t="n"/>
      <c r="Q1115" s="12" t="n"/>
      <c r="R1115" s="12" t="n"/>
      <c r="S1115" s="13">
        <f>IF($R1115="","",IFERROR(INDEX(Emp_Names,MATCH($R1115,Emp_Codes,0)),"NOT FOUND"))</f>
        <v/>
      </c>
      <c r="T1115" s="12" t="n"/>
      <c r="U1115" s="12" t="n"/>
      <c r="V1115" s="12" t="n"/>
    </row>
    <row r="1116">
      <c r="A1116" s="12" t="n"/>
      <c r="B1116" s="12" t="n"/>
      <c r="C1116" s="12" t="n"/>
      <c r="D1116" s="13">
        <f>IF($A1116="","",TRIM($B1116&amp;" "&amp;$C1116))</f>
        <v/>
      </c>
      <c r="E1116" s="12" t="n"/>
      <c r="F1116" s="12" t="n"/>
      <c r="G1116" s="14" t="n"/>
      <c r="H1116" s="14" t="n"/>
      <c r="I1116" s="12" t="n"/>
      <c r="J1116" s="14" t="n"/>
      <c r="K1116" s="12" t="n"/>
      <c r="L1116" s="13">
        <f>IF($K1116="","",IFERROR(INDEX(Dept_Names,MATCH($K1116,Dept_Codes,0)),"NOT FOUND"))</f>
        <v/>
      </c>
      <c r="M1116" s="12" t="n"/>
      <c r="N1116" s="13">
        <f>IF($M1116="","",IFERROR(INDEX(Desig_Names,MATCH($M1116,Desig_Codes,0)),"NOT FOUND"))</f>
        <v/>
      </c>
      <c r="O1116" s="13">
        <f>IF($M1116="","",IFERROR(INDEX(Desig_Levels,MATCH($M1116,Desig_Codes,0)),""))</f>
        <v/>
      </c>
      <c r="P1116" s="12" t="n"/>
      <c r="Q1116" s="12" t="n"/>
      <c r="R1116" s="12" t="n"/>
      <c r="S1116" s="13">
        <f>IF($R1116="","",IFERROR(INDEX(Emp_Names,MATCH($R1116,Emp_Codes,0)),"NOT FOUND"))</f>
        <v/>
      </c>
      <c r="T1116" s="12" t="n"/>
      <c r="U1116" s="12" t="n"/>
      <c r="V1116" s="12" t="n"/>
    </row>
    <row r="1117">
      <c r="A1117" s="12" t="n"/>
      <c r="B1117" s="12" t="n"/>
      <c r="C1117" s="12" t="n"/>
      <c r="D1117" s="13">
        <f>IF($A1117="","",TRIM($B1117&amp;" "&amp;$C1117))</f>
        <v/>
      </c>
      <c r="E1117" s="12" t="n"/>
      <c r="F1117" s="12" t="n"/>
      <c r="G1117" s="14" t="n"/>
      <c r="H1117" s="14" t="n"/>
      <c r="I1117" s="12" t="n"/>
      <c r="J1117" s="14" t="n"/>
      <c r="K1117" s="12" t="n"/>
      <c r="L1117" s="13">
        <f>IF($K1117="","",IFERROR(INDEX(Dept_Names,MATCH($K1117,Dept_Codes,0)),"NOT FOUND"))</f>
        <v/>
      </c>
      <c r="M1117" s="12" t="n"/>
      <c r="N1117" s="13">
        <f>IF($M1117="","",IFERROR(INDEX(Desig_Names,MATCH($M1117,Desig_Codes,0)),"NOT FOUND"))</f>
        <v/>
      </c>
      <c r="O1117" s="13">
        <f>IF($M1117="","",IFERROR(INDEX(Desig_Levels,MATCH($M1117,Desig_Codes,0)),""))</f>
        <v/>
      </c>
      <c r="P1117" s="12" t="n"/>
      <c r="Q1117" s="12" t="n"/>
      <c r="R1117" s="12" t="n"/>
      <c r="S1117" s="13">
        <f>IF($R1117="","",IFERROR(INDEX(Emp_Names,MATCH($R1117,Emp_Codes,0)),"NOT FOUND"))</f>
        <v/>
      </c>
      <c r="T1117" s="12" t="n"/>
      <c r="U1117" s="12" t="n"/>
      <c r="V1117" s="12" t="n"/>
    </row>
    <row r="1118">
      <c r="A1118" s="12" t="n"/>
      <c r="B1118" s="12" t="n"/>
      <c r="C1118" s="12" t="n"/>
      <c r="D1118" s="13">
        <f>IF($A1118="","",TRIM($B1118&amp;" "&amp;$C1118))</f>
        <v/>
      </c>
      <c r="E1118" s="12" t="n"/>
      <c r="F1118" s="12" t="n"/>
      <c r="G1118" s="14" t="n"/>
      <c r="H1118" s="14" t="n"/>
      <c r="I1118" s="12" t="n"/>
      <c r="J1118" s="14" t="n"/>
      <c r="K1118" s="12" t="n"/>
      <c r="L1118" s="13">
        <f>IF($K1118="","",IFERROR(INDEX(Dept_Names,MATCH($K1118,Dept_Codes,0)),"NOT FOUND"))</f>
        <v/>
      </c>
      <c r="M1118" s="12" t="n"/>
      <c r="N1118" s="13">
        <f>IF($M1118="","",IFERROR(INDEX(Desig_Names,MATCH($M1118,Desig_Codes,0)),"NOT FOUND"))</f>
        <v/>
      </c>
      <c r="O1118" s="13">
        <f>IF($M1118="","",IFERROR(INDEX(Desig_Levels,MATCH($M1118,Desig_Codes,0)),""))</f>
        <v/>
      </c>
      <c r="P1118" s="12" t="n"/>
      <c r="Q1118" s="12" t="n"/>
      <c r="R1118" s="12" t="n"/>
      <c r="S1118" s="13">
        <f>IF($R1118="","",IFERROR(INDEX(Emp_Names,MATCH($R1118,Emp_Codes,0)),"NOT FOUND"))</f>
        <v/>
      </c>
      <c r="T1118" s="12" t="n"/>
      <c r="U1118" s="12" t="n"/>
      <c r="V1118" s="12" t="n"/>
    </row>
    <row r="1119">
      <c r="A1119" s="12" t="n"/>
      <c r="B1119" s="12" t="n"/>
      <c r="C1119" s="12" t="n"/>
      <c r="D1119" s="13">
        <f>IF($A1119="","",TRIM($B1119&amp;" "&amp;$C1119))</f>
        <v/>
      </c>
      <c r="E1119" s="12" t="n"/>
      <c r="F1119" s="12" t="n"/>
      <c r="G1119" s="14" t="n"/>
      <c r="H1119" s="14" t="n"/>
      <c r="I1119" s="12" t="n"/>
      <c r="J1119" s="14" t="n"/>
      <c r="K1119" s="12" t="n"/>
      <c r="L1119" s="13">
        <f>IF($K1119="","",IFERROR(INDEX(Dept_Names,MATCH($K1119,Dept_Codes,0)),"NOT FOUND"))</f>
        <v/>
      </c>
      <c r="M1119" s="12" t="n"/>
      <c r="N1119" s="13">
        <f>IF($M1119="","",IFERROR(INDEX(Desig_Names,MATCH($M1119,Desig_Codes,0)),"NOT FOUND"))</f>
        <v/>
      </c>
      <c r="O1119" s="13">
        <f>IF($M1119="","",IFERROR(INDEX(Desig_Levels,MATCH($M1119,Desig_Codes,0)),""))</f>
        <v/>
      </c>
      <c r="P1119" s="12" t="n"/>
      <c r="Q1119" s="12" t="n"/>
      <c r="R1119" s="12" t="n"/>
      <c r="S1119" s="13">
        <f>IF($R1119="","",IFERROR(INDEX(Emp_Names,MATCH($R1119,Emp_Codes,0)),"NOT FOUND"))</f>
        <v/>
      </c>
      <c r="T1119" s="12" t="n"/>
      <c r="U1119" s="12" t="n"/>
      <c r="V1119" s="12" t="n"/>
    </row>
    <row r="1120">
      <c r="A1120" s="12" t="n"/>
      <c r="B1120" s="12" t="n"/>
      <c r="C1120" s="12" t="n"/>
      <c r="D1120" s="13">
        <f>IF($A1120="","",TRIM($B1120&amp;" "&amp;$C1120))</f>
        <v/>
      </c>
      <c r="E1120" s="12" t="n"/>
      <c r="F1120" s="12" t="n"/>
      <c r="G1120" s="14" t="n"/>
      <c r="H1120" s="14" t="n"/>
      <c r="I1120" s="12" t="n"/>
      <c r="J1120" s="14" t="n"/>
      <c r="K1120" s="12" t="n"/>
      <c r="L1120" s="13">
        <f>IF($K1120="","",IFERROR(INDEX(Dept_Names,MATCH($K1120,Dept_Codes,0)),"NOT FOUND"))</f>
        <v/>
      </c>
      <c r="M1120" s="12" t="n"/>
      <c r="N1120" s="13">
        <f>IF($M1120="","",IFERROR(INDEX(Desig_Names,MATCH($M1120,Desig_Codes,0)),"NOT FOUND"))</f>
        <v/>
      </c>
      <c r="O1120" s="13">
        <f>IF($M1120="","",IFERROR(INDEX(Desig_Levels,MATCH($M1120,Desig_Codes,0)),""))</f>
        <v/>
      </c>
      <c r="P1120" s="12" t="n"/>
      <c r="Q1120" s="12" t="n"/>
      <c r="R1120" s="12" t="n"/>
      <c r="S1120" s="13">
        <f>IF($R1120="","",IFERROR(INDEX(Emp_Names,MATCH($R1120,Emp_Codes,0)),"NOT FOUND"))</f>
        <v/>
      </c>
      <c r="T1120" s="12" t="n"/>
      <c r="U1120" s="12" t="n"/>
      <c r="V1120" s="12" t="n"/>
    </row>
    <row r="1121">
      <c r="A1121" s="12" t="n"/>
      <c r="B1121" s="12" t="n"/>
      <c r="C1121" s="12" t="n"/>
      <c r="D1121" s="13">
        <f>IF($A1121="","",TRIM($B1121&amp;" "&amp;$C1121))</f>
        <v/>
      </c>
      <c r="E1121" s="12" t="n"/>
      <c r="F1121" s="12" t="n"/>
      <c r="G1121" s="14" t="n"/>
      <c r="H1121" s="14" t="n"/>
      <c r="I1121" s="12" t="n"/>
      <c r="J1121" s="14" t="n"/>
      <c r="K1121" s="12" t="n"/>
      <c r="L1121" s="13">
        <f>IF($K1121="","",IFERROR(INDEX(Dept_Names,MATCH($K1121,Dept_Codes,0)),"NOT FOUND"))</f>
        <v/>
      </c>
      <c r="M1121" s="12" t="n"/>
      <c r="N1121" s="13">
        <f>IF($M1121="","",IFERROR(INDEX(Desig_Names,MATCH($M1121,Desig_Codes,0)),"NOT FOUND"))</f>
        <v/>
      </c>
      <c r="O1121" s="13">
        <f>IF($M1121="","",IFERROR(INDEX(Desig_Levels,MATCH($M1121,Desig_Codes,0)),""))</f>
        <v/>
      </c>
      <c r="P1121" s="12" t="n"/>
      <c r="Q1121" s="12" t="n"/>
      <c r="R1121" s="12" t="n"/>
      <c r="S1121" s="13">
        <f>IF($R1121="","",IFERROR(INDEX(Emp_Names,MATCH($R1121,Emp_Codes,0)),"NOT FOUND"))</f>
        <v/>
      </c>
      <c r="T1121" s="12" t="n"/>
      <c r="U1121" s="12" t="n"/>
      <c r="V1121" s="12" t="n"/>
    </row>
    <row r="1122">
      <c r="A1122" s="12" t="n"/>
      <c r="B1122" s="12" t="n"/>
      <c r="C1122" s="12" t="n"/>
      <c r="D1122" s="13">
        <f>IF($A1122="","",TRIM($B1122&amp;" "&amp;$C1122))</f>
        <v/>
      </c>
      <c r="E1122" s="12" t="n"/>
      <c r="F1122" s="12" t="n"/>
      <c r="G1122" s="14" t="n"/>
      <c r="H1122" s="14" t="n"/>
      <c r="I1122" s="12" t="n"/>
      <c r="J1122" s="14" t="n"/>
      <c r="K1122" s="12" t="n"/>
      <c r="L1122" s="13">
        <f>IF($K1122="","",IFERROR(INDEX(Dept_Names,MATCH($K1122,Dept_Codes,0)),"NOT FOUND"))</f>
        <v/>
      </c>
      <c r="M1122" s="12" t="n"/>
      <c r="N1122" s="13">
        <f>IF($M1122="","",IFERROR(INDEX(Desig_Names,MATCH($M1122,Desig_Codes,0)),"NOT FOUND"))</f>
        <v/>
      </c>
      <c r="O1122" s="13">
        <f>IF($M1122="","",IFERROR(INDEX(Desig_Levels,MATCH($M1122,Desig_Codes,0)),""))</f>
        <v/>
      </c>
      <c r="P1122" s="12" t="n"/>
      <c r="Q1122" s="12" t="n"/>
      <c r="R1122" s="12" t="n"/>
      <c r="S1122" s="13">
        <f>IF($R1122="","",IFERROR(INDEX(Emp_Names,MATCH($R1122,Emp_Codes,0)),"NOT FOUND"))</f>
        <v/>
      </c>
      <c r="T1122" s="12" t="n"/>
      <c r="U1122" s="12" t="n"/>
      <c r="V1122" s="12" t="n"/>
    </row>
    <row r="1123">
      <c r="A1123" s="12" t="n"/>
      <c r="B1123" s="12" t="n"/>
      <c r="C1123" s="12" t="n"/>
      <c r="D1123" s="13">
        <f>IF($A1123="","",TRIM($B1123&amp;" "&amp;$C1123))</f>
        <v/>
      </c>
      <c r="E1123" s="12" t="n"/>
      <c r="F1123" s="12" t="n"/>
      <c r="G1123" s="14" t="n"/>
      <c r="H1123" s="14" t="n"/>
      <c r="I1123" s="12" t="n"/>
      <c r="J1123" s="14" t="n"/>
      <c r="K1123" s="12" t="n"/>
      <c r="L1123" s="13">
        <f>IF($K1123="","",IFERROR(INDEX(Dept_Names,MATCH($K1123,Dept_Codes,0)),"NOT FOUND"))</f>
        <v/>
      </c>
      <c r="M1123" s="12" t="n"/>
      <c r="N1123" s="13">
        <f>IF($M1123="","",IFERROR(INDEX(Desig_Names,MATCH($M1123,Desig_Codes,0)),"NOT FOUND"))</f>
        <v/>
      </c>
      <c r="O1123" s="13">
        <f>IF($M1123="","",IFERROR(INDEX(Desig_Levels,MATCH($M1123,Desig_Codes,0)),""))</f>
        <v/>
      </c>
      <c r="P1123" s="12" t="n"/>
      <c r="Q1123" s="12" t="n"/>
      <c r="R1123" s="12" t="n"/>
      <c r="S1123" s="13">
        <f>IF($R1123="","",IFERROR(INDEX(Emp_Names,MATCH($R1123,Emp_Codes,0)),"NOT FOUND"))</f>
        <v/>
      </c>
      <c r="T1123" s="12" t="n"/>
      <c r="U1123" s="12" t="n"/>
      <c r="V1123" s="12" t="n"/>
    </row>
    <row r="1124">
      <c r="A1124" s="12" t="n"/>
      <c r="B1124" s="12" t="n"/>
      <c r="C1124" s="12" t="n"/>
      <c r="D1124" s="13">
        <f>IF($A1124="","",TRIM($B1124&amp;" "&amp;$C1124))</f>
        <v/>
      </c>
      <c r="E1124" s="12" t="n"/>
      <c r="F1124" s="12" t="n"/>
      <c r="G1124" s="14" t="n"/>
      <c r="H1124" s="14" t="n"/>
      <c r="I1124" s="12" t="n"/>
      <c r="J1124" s="14" t="n"/>
      <c r="K1124" s="12" t="n"/>
      <c r="L1124" s="13">
        <f>IF($K1124="","",IFERROR(INDEX(Dept_Names,MATCH($K1124,Dept_Codes,0)),"NOT FOUND"))</f>
        <v/>
      </c>
      <c r="M1124" s="12" t="n"/>
      <c r="N1124" s="13">
        <f>IF($M1124="","",IFERROR(INDEX(Desig_Names,MATCH($M1124,Desig_Codes,0)),"NOT FOUND"))</f>
        <v/>
      </c>
      <c r="O1124" s="13">
        <f>IF($M1124="","",IFERROR(INDEX(Desig_Levels,MATCH($M1124,Desig_Codes,0)),""))</f>
        <v/>
      </c>
      <c r="P1124" s="12" t="n"/>
      <c r="Q1124" s="12" t="n"/>
      <c r="R1124" s="12" t="n"/>
      <c r="S1124" s="13">
        <f>IF($R1124="","",IFERROR(INDEX(Emp_Names,MATCH($R1124,Emp_Codes,0)),"NOT FOUND"))</f>
        <v/>
      </c>
      <c r="T1124" s="12" t="n"/>
      <c r="U1124" s="12" t="n"/>
      <c r="V1124" s="12" t="n"/>
    </row>
    <row r="1125">
      <c r="A1125" s="12" t="n"/>
      <c r="B1125" s="12" t="n"/>
      <c r="C1125" s="12" t="n"/>
      <c r="D1125" s="13">
        <f>IF($A1125="","",TRIM($B1125&amp;" "&amp;$C1125))</f>
        <v/>
      </c>
      <c r="E1125" s="12" t="n"/>
      <c r="F1125" s="12" t="n"/>
      <c r="G1125" s="14" t="n"/>
      <c r="H1125" s="14" t="n"/>
      <c r="I1125" s="12" t="n"/>
      <c r="J1125" s="14" t="n"/>
      <c r="K1125" s="12" t="n"/>
      <c r="L1125" s="13">
        <f>IF($K1125="","",IFERROR(INDEX(Dept_Names,MATCH($K1125,Dept_Codes,0)),"NOT FOUND"))</f>
        <v/>
      </c>
      <c r="M1125" s="12" t="n"/>
      <c r="N1125" s="13">
        <f>IF($M1125="","",IFERROR(INDEX(Desig_Names,MATCH($M1125,Desig_Codes,0)),"NOT FOUND"))</f>
        <v/>
      </c>
      <c r="O1125" s="13">
        <f>IF($M1125="","",IFERROR(INDEX(Desig_Levels,MATCH($M1125,Desig_Codes,0)),""))</f>
        <v/>
      </c>
      <c r="P1125" s="12" t="n"/>
      <c r="Q1125" s="12" t="n"/>
      <c r="R1125" s="12" t="n"/>
      <c r="S1125" s="13">
        <f>IF($R1125="","",IFERROR(INDEX(Emp_Names,MATCH($R1125,Emp_Codes,0)),"NOT FOUND"))</f>
        <v/>
      </c>
      <c r="T1125" s="12" t="n"/>
      <c r="U1125" s="12" t="n"/>
      <c r="V1125" s="12" t="n"/>
    </row>
    <row r="1126">
      <c r="A1126" s="12" t="n"/>
      <c r="B1126" s="12" t="n"/>
      <c r="C1126" s="12" t="n"/>
      <c r="D1126" s="13">
        <f>IF($A1126="","",TRIM($B1126&amp;" "&amp;$C1126))</f>
        <v/>
      </c>
      <c r="E1126" s="12" t="n"/>
      <c r="F1126" s="12" t="n"/>
      <c r="G1126" s="14" t="n"/>
      <c r="H1126" s="14" t="n"/>
      <c r="I1126" s="12" t="n"/>
      <c r="J1126" s="14" t="n"/>
      <c r="K1126" s="12" t="n"/>
      <c r="L1126" s="13">
        <f>IF($K1126="","",IFERROR(INDEX(Dept_Names,MATCH($K1126,Dept_Codes,0)),"NOT FOUND"))</f>
        <v/>
      </c>
      <c r="M1126" s="12" t="n"/>
      <c r="N1126" s="13">
        <f>IF($M1126="","",IFERROR(INDEX(Desig_Names,MATCH($M1126,Desig_Codes,0)),"NOT FOUND"))</f>
        <v/>
      </c>
      <c r="O1126" s="13">
        <f>IF($M1126="","",IFERROR(INDEX(Desig_Levels,MATCH($M1126,Desig_Codes,0)),""))</f>
        <v/>
      </c>
      <c r="P1126" s="12" t="n"/>
      <c r="Q1126" s="12" t="n"/>
      <c r="R1126" s="12" t="n"/>
      <c r="S1126" s="13">
        <f>IF($R1126="","",IFERROR(INDEX(Emp_Names,MATCH($R1126,Emp_Codes,0)),"NOT FOUND"))</f>
        <v/>
      </c>
      <c r="T1126" s="12" t="n"/>
      <c r="U1126" s="12" t="n"/>
      <c r="V1126" s="12" t="n"/>
    </row>
    <row r="1127">
      <c r="A1127" s="12" t="n"/>
      <c r="B1127" s="12" t="n"/>
      <c r="C1127" s="12" t="n"/>
      <c r="D1127" s="13">
        <f>IF($A1127="","",TRIM($B1127&amp;" "&amp;$C1127))</f>
        <v/>
      </c>
      <c r="E1127" s="12" t="n"/>
      <c r="F1127" s="12" t="n"/>
      <c r="G1127" s="14" t="n"/>
      <c r="H1127" s="14" t="n"/>
      <c r="I1127" s="12" t="n"/>
      <c r="J1127" s="14" t="n"/>
      <c r="K1127" s="12" t="n"/>
      <c r="L1127" s="13">
        <f>IF($K1127="","",IFERROR(INDEX(Dept_Names,MATCH($K1127,Dept_Codes,0)),"NOT FOUND"))</f>
        <v/>
      </c>
      <c r="M1127" s="12" t="n"/>
      <c r="N1127" s="13">
        <f>IF($M1127="","",IFERROR(INDEX(Desig_Names,MATCH($M1127,Desig_Codes,0)),"NOT FOUND"))</f>
        <v/>
      </c>
      <c r="O1127" s="13">
        <f>IF($M1127="","",IFERROR(INDEX(Desig_Levels,MATCH($M1127,Desig_Codes,0)),""))</f>
        <v/>
      </c>
      <c r="P1127" s="12" t="n"/>
      <c r="Q1127" s="12" t="n"/>
      <c r="R1127" s="12" t="n"/>
      <c r="S1127" s="13">
        <f>IF($R1127="","",IFERROR(INDEX(Emp_Names,MATCH($R1127,Emp_Codes,0)),"NOT FOUND"))</f>
        <v/>
      </c>
      <c r="T1127" s="12" t="n"/>
      <c r="U1127" s="12" t="n"/>
      <c r="V1127" s="12" t="n"/>
    </row>
    <row r="1128">
      <c r="A1128" s="12" t="n"/>
      <c r="B1128" s="12" t="n"/>
      <c r="C1128" s="12" t="n"/>
      <c r="D1128" s="13">
        <f>IF($A1128="","",TRIM($B1128&amp;" "&amp;$C1128))</f>
        <v/>
      </c>
      <c r="E1128" s="12" t="n"/>
      <c r="F1128" s="12" t="n"/>
      <c r="G1128" s="14" t="n"/>
      <c r="H1128" s="14" t="n"/>
      <c r="I1128" s="12" t="n"/>
      <c r="J1128" s="14" t="n"/>
      <c r="K1128" s="12" t="n"/>
      <c r="L1128" s="13">
        <f>IF($K1128="","",IFERROR(INDEX(Dept_Names,MATCH($K1128,Dept_Codes,0)),"NOT FOUND"))</f>
        <v/>
      </c>
      <c r="M1128" s="12" t="n"/>
      <c r="N1128" s="13">
        <f>IF($M1128="","",IFERROR(INDEX(Desig_Names,MATCH($M1128,Desig_Codes,0)),"NOT FOUND"))</f>
        <v/>
      </c>
      <c r="O1128" s="13">
        <f>IF($M1128="","",IFERROR(INDEX(Desig_Levels,MATCH($M1128,Desig_Codes,0)),""))</f>
        <v/>
      </c>
      <c r="P1128" s="12" t="n"/>
      <c r="Q1128" s="12" t="n"/>
      <c r="R1128" s="12" t="n"/>
      <c r="S1128" s="13">
        <f>IF($R1128="","",IFERROR(INDEX(Emp_Names,MATCH($R1128,Emp_Codes,0)),"NOT FOUND"))</f>
        <v/>
      </c>
      <c r="T1128" s="12" t="n"/>
      <c r="U1128" s="12" t="n"/>
      <c r="V1128" s="12" t="n"/>
    </row>
    <row r="1129">
      <c r="A1129" s="12" t="n"/>
      <c r="B1129" s="12" t="n"/>
      <c r="C1129" s="12" t="n"/>
      <c r="D1129" s="13">
        <f>IF($A1129="","",TRIM($B1129&amp;" "&amp;$C1129))</f>
        <v/>
      </c>
      <c r="E1129" s="12" t="n"/>
      <c r="F1129" s="12" t="n"/>
      <c r="G1129" s="14" t="n"/>
      <c r="H1129" s="14" t="n"/>
      <c r="I1129" s="12" t="n"/>
      <c r="J1129" s="14" t="n"/>
      <c r="K1129" s="12" t="n"/>
      <c r="L1129" s="13">
        <f>IF($K1129="","",IFERROR(INDEX(Dept_Names,MATCH($K1129,Dept_Codes,0)),"NOT FOUND"))</f>
        <v/>
      </c>
      <c r="M1129" s="12" t="n"/>
      <c r="N1129" s="13">
        <f>IF($M1129="","",IFERROR(INDEX(Desig_Names,MATCH($M1129,Desig_Codes,0)),"NOT FOUND"))</f>
        <v/>
      </c>
      <c r="O1129" s="13">
        <f>IF($M1129="","",IFERROR(INDEX(Desig_Levels,MATCH($M1129,Desig_Codes,0)),""))</f>
        <v/>
      </c>
      <c r="P1129" s="12" t="n"/>
      <c r="Q1129" s="12" t="n"/>
      <c r="R1129" s="12" t="n"/>
      <c r="S1129" s="13">
        <f>IF($R1129="","",IFERROR(INDEX(Emp_Names,MATCH($R1129,Emp_Codes,0)),"NOT FOUND"))</f>
        <v/>
      </c>
      <c r="T1129" s="12" t="n"/>
      <c r="U1129" s="12" t="n"/>
      <c r="V1129" s="12" t="n"/>
    </row>
    <row r="1130">
      <c r="A1130" s="12" t="n"/>
      <c r="B1130" s="12" t="n"/>
      <c r="C1130" s="12" t="n"/>
      <c r="D1130" s="13">
        <f>IF($A1130="","",TRIM($B1130&amp;" "&amp;$C1130))</f>
        <v/>
      </c>
      <c r="E1130" s="12" t="n"/>
      <c r="F1130" s="12" t="n"/>
      <c r="G1130" s="14" t="n"/>
      <c r="H1130" s="14" t="n"/>
      <c r="I1130" s="12" t="n"/>
      <c r="J1130" s="14" t="n"/>
      <c r="K1130" s="12" t="n"/>
      <c r="L1130" s="13">
        <f>IF($K1130="","",IFERROR(INDEX(Dept_Names,MATCH($K1130,Dept_Codes,0)),"NOT FOUND"))</f>
        <v/>
      </c>
      <c r="M1130" s="12" t="n"/>
      <c r="N1130" s="13">
        <f>IF($M1130="","",IFERROR(INDEX(Desig_Names,MATCH($M1130,Desig_Codes,0)),"NOT FOUND"))</f>
        <v/>
      </c>
      <c r="O1130" s="13">
        <f>IF($M1130="","",IFERROR(INDEX(Desig_Levels,MATCH($M1130,Desig_Codes,0)),""))</f>
        <v/>
      </c>
      <c r="P1130" s="12" t="n"/>
      <c r="Q1130" s="12" t="n"/>
      <c r="R1130" s="12" t="n"/>
      <c r="S1130" s="13">
        <f>IF($R1130="","",IFERROR(INDEX(Emp_Names,MATCH($R1130,Emp_Codes,0)),"NOT FOUND"))</f>
        <v/>
      </c>
      <c r="T1130" s="12" t="n"/>
      <c r="U1130" s="12" t="n"/>
      <c r="V1130" s="12" t="n"/>
    </row>
    <row r="1131">
      <c r="A1131" s="12" t="n"/>
      <c r="B1131" s="12" t="n"/>
      <c r="C1131" s="12" t="n"/>
      <c r="D1131" s="13">
        <f>IF($A1131="","",TRIM($B1131&amp;" "&amp;$C1131))</f>
        <v/>
      </c>
      <c r="E1131" s="12" t="n"/>
      <c r="F1131" s="12" t="n"/>
      <c r="G1131" s="14" t="n"/>
      <c r="H1131" s="14" t="n"/>
      <c r="I1131" s="12" t="n"/>
      <c r="J1131" s="14" t="n"/>
      <c r="K1131" s="12" t="n"/>
      <c r="L1131" s="13">
        <f>IF($K1131="","",IFERROR(INDEX(Dept_Names,MATCH($K1131,Dept_Codes,0)),"NOT FOUND"))</f>
        <v/>
      </c>
      <c r="M1131" s="12" t="n"/>
      <c r="N1131" s="13">
        <f>IF($M1131="","",IFERROR(INDEX(Desig_Names,MATCH($M1131,Desig_Codes,0)),"NOT FOUND"))</f>
        <v/>
      </c>
      <c r="O1131" s="13">
        <f>IF($M1131="","",IFERROR(INDEX(Desig_Levels,MATCH($M1131,Desig_Codes,0)),""))</f>
        <v/>
      </c>
      <c r="P1131" s="12" t="n"/>
      <c r="Q1131" s="12" t="n"/>
      <c r="R1131" s="12" t="n"/>
      <c r="S1131" s="13">
        <f>IF($R1131="","",IFERROR(INDEX(Emp_Names,MATCH($R1131,Emp_Codes,0)),"NOT FOUND"))</f>
        <v/>
      </c>
      <c r="T1131" s="12" t="n"/>
      <c r="U1131" s="12" t="n"/>
      <c r="V1131" s="12" t="n"/>
    </row>
    <row r="1132">
      <c r="A1132" s="12" t="n"/>
      <c r="B1132" s="12" t="n"/>
      <c r="C1132" s="12" t="n"/>
      <c r="D1132" s="13">
        <f>IF($A1132="","",TRIM($B1132&amp;" "&amp;$C1132))</f>
        <v/>
      </c>
      <c r="E1132" s="12" t="n"/>
      <c r="F1132" s="12" t="n"/>
      <c r="G1132" s="14" t="n"/>
      <c r="H1132" s="14" t="n"/>
      <c r="I1132" s="12" t="n"/>
      <c r="J1132" s="14" t="n"/>
      <c r="K1132" s="12" t="n"/>
      <c r="L1132" s="13">
        <f>IF($K1132="","",IFERROR(INDEX(Dept_Names,MATCH($K1132,Dept_Codes,0)),"NOT FOUND"))</f>
        <v/>
      </c>
      <c r="M1132" s="12" t="n"/>
      <c r="N1132" s="13">
        <f>IF($M1132="","",IFERROR(INDEX(Desig_Names,MATCH($M1132,Desig_Codes,0)),"NOT FOUND"))</f>
        <v/>
      </c>
      <c r="O1132" s="13">
        <f>IF($M1132="","",IFERROR(INDEX(Desig_Levels,MATCH($M1132,Desig_Codes,0)),""))</f>
        <v/>
      </c>
      <c r="P1132" s="12" t="n"/>
      <c r="Q1132" s="12" t="n"/>
      <c r="R1132" s="12" t="n"/>
      <c r="S1132" s="13">
        <f>IF($R1132="","",IFERROR(INDEX(Emp_Names,MATCH($R1132,Emp_Codes,0)),"NOT FOUND"))</f>
        <v/>
      </c>
      <c r="T1132" s="12" t="n"/>
      <c r="U1132" s="12" t="n"/>
      <c r="V1132" s="12" t="n"/>
    </row>
    <row r="1133">
      <c r="A1133" s="12" t="n"/>
      <c r="B1133" s="12" t="n"/>
      <c r="C1133" s="12" t="n"/>
      <c r="D1133" s="13">
        <f>IF($A1133="","",TRIM($B1133&amp;" "&amp;$C1133))</f>
        <v/>
      </c>
      <c r="E1133" s="12" t="n"/>
      <c r="F1133" s="12" t="n"/>
      <c r="G1133" s="14" t="n"/>
      <c r="H1133" s="14" t="n"/>
      <c r="I1133" s="12" t="n"/>
      <c r="J1133" s="14" t="n"/>
      <c r="K1133" s="12" t="n"/>
      <c r="L1133" s="13">
        <f>IF($K1133="","",IFERROR(INDEX(Dept_Names,MATCH($K1133,Dept_Codes,0)),"NOT FOUND"))</f>
        <v/>
      </c>
      <c r="M1133" s="12" t="n"/>
      <c r="N1133" s="13">
        <f>IF($M1133="","",IFERROR(INDEX(Desig_Names,MATCH($M1133,Desig_Codes,0)),"NOT FOUND"))</f>
        <v/>
      </c>
      <c r="O1133" s="13">
        <f>IF($M1133="","",IFERROR(INDEX(Desig_Levels,MATCH($M1133,Desig_Codes,0)),""))</f>
        <v/>
      </c>
      <c r="P1133" s="12" t="n"/>
      <c r="Q1133" s="12" t="n"/>
      <c r="R1133" s="12" t="n"/>
      <c r="S1133" s="13">
        <f>IF($R1133="","",IFERROR(INDEX(Emp_Names,MATCH($R1133,Emp_Codes,0)),"NOT FOUND"))</f>
        <v/>
      </c>
      <c r="T1133" s="12" t="n"/>
      <c r="U1133" s="12" t="n"/>
      <c r="V1133" s="12" t="n"/>
    </row>
    <row r="1134">
      <c r="A1134" s="12" t="n"/>
      <c r="B1134" s="12" t="n"/>
      <c r="C1134" s="12" t="n"/>
      <c r="D1134" s="13">
        <f>IF($A1134="","",TRIM($B1134&amp;" "&amp;$C1134))</f>
        <v/>
      </c>
      <c r="E1134" s="12" t="n"/>
      <c r="F1134" s="12" t="n"/>
      <c r="G1134" s="14" t="n"/>
      <c r="H1134" s="14" t="n"/>
      <c r="I1134" s="12" t="n"/>
      <c r="J1134" s="14" t="n"/>
      <c r="K1134" s="12" t="n"/>
      <c r="L1134" s="13">
        <f>IF($K1134="","",IFERROR(INDEX(Dept_Names,MATCH($K1134,Dept_Codes,0)),"NOT FOUND"))</f>
        <v/>
      </c>
      <c r="M1134" s="12" t="n"/>
      <c r="N1134" s="13">
        <f>IF($M1134="","",IFERROR(INDEX(Desig_Names,MATCH($M1134,Desig_Codes,0)),"NOT FOUND"))</f>
        <v/>
      </c>
      <c r="O1134" s="13">
        <f>IF($M1134="","",IFERROR(INDEX(Desig_Levels,MATCH($M1134,Desig_Codes,0)),""))</f>
        <v/>
      </c>
      <c r="P1134" s="12" t="n"/>
      <c r="Q1134" s="12" t="n"/>
      <c r="R1134" s="12" t="n"/>
      <c r="S1134" s="13">
        <f>IF($R1134="","",IFERROR(INDEX(Emp_Names,MATCH($R1134,Emp_Codes,0)),"NOT FOUND"))</f>
        <v/>
      </c>
      <c r="T1134" s="12" t="n"/>
      <c r="U1134" s="12" t="n"/>
      <c r="V1134" s="12" t="n"/>
    </row>
    <row r="1135">
      <c r="A1135" s="12" t="n"/>
      <c r="B1135" s="12" t="n"/>
      <c r="C1135" s="12" t="n"/>
      <c r="D1135" s="13">
        <f>IF($A1135="","",TRIM($B1135&amp;" "&amp;$C1135))</f>
        <v/>
      </c>
      <c r="E1135" s="12" t="n"/>
      <c r="F1135" s="12" t="n"/>
      <c r="G1135" s="14" t="n"/>
      <c r="H1135" s="14" t="n"/>
      <c r="I1135" s="12" t="n"/>
      <c r="J1135" s="14" t="n"/>
      <c r="K1135" s="12" t="n"/>
      <c r="L1135" s="13">
        <f>IF($K1135="","",IFERROR(INDEX(Dept_Names,MATCH($K1135,Dept_Codes,0)),"NOT FOUND"))</f>
        <v/>
      </c>
      <c r="M1135" s="12" t="n"/>
      <c r="N1135" s="13">
        <f>IF($M1135="","",IFERROR(INDEX(Desig_Names,MATCH($M1135,Desig_Codes,0)),"NOT FOUND"))</f>
        <v/>
      </c>
      <c r="O1135" s="13">
        <f>IF($M1135="","",IFERROR(INDEX(Desig_Levels,MATCH($M1135,Desig_Codes,0)),""))</f>
        <v/>
      </c>
      <c r="P1135" s="12" t="n"/>
      <c r="Q1135" s="12" t="n"/>
      <c r="R1135" s="12" t="n"/>
      <c r="S1135" s="13">
        <f>IF($R1135="","",IFERROR(INDEX(Emp_Names,MATCH($R1135,Emp_Codes,0)),"NOT FOUND"))</f>
        <v/>
      </c>
      <c r="T1135" s="12" t="n"/>
      <c r="U1135" s="12" t="n"/>
      <c r="V1135" s="12" t="n"/>
    </row>
    <row r="1136">
      <c r="A1136" s="12" t="n"/>
      <c r="B1136" s="12" t="n"/>
      <c r="C1136" s="12" t="n"/>
      <c r="D1136" s="13">
        <f>IF($A1136="","",TRIM($B1136&amp;" "&amp;$C1136))</f>
        <v/>
      </c>
      <c r="E1136" s="12" t="n"/>
      <c r="F1136" s="12" t="n"/>
      <c r="G1136" s="14" t="n"/>
      <c r="H1136" s="14" t="n"/>
      <c r="I1136" s="12" t="n"/>
      <c r="J1136" s="14" t="n"/>
      <c r="K1136" s="12" t="n"/>
      <c r="L1136" s="13">
        <f>IF($K1136="","",IFERROR(INDEX(Dept_Names,MATCH($K1136,Dept_Codes,0)),"NOT FOUND"))</f>
        <v/>
      </c>
      <c r="M1136" s="12" t="n"/>
      <c r="N1136" s="13">
        <f>IF($M1136="","",IFERROR(INDEX(Desig_Names,MATCH($M1136,Desig_Codes,0)),"NOT FOUND"))</f>
        <v/>
      </c>
      <c r="O1136" s="13">
        <f>IF($M1136="","",IFERROR(INDEX(Desig_Levels,MATCH($M1136,Desig_Codes,0)),""))</f>
        <v/>
      </c>
      <c r="P1136" s="12" t="n"/>
      <c r="Q1136" s="12" t="n"/>
      <c r="R1136" s="12" t="n"/>
      <c r="S1136" s="13">
        <f>IF($R1136="","",IFERROR(INDEX(Emp_Names,MATCH($R1136,Emp_Codes,0)),"NOT FOUND"))</f>
        <v/>
      </c>
      <c r="T1136" s="12" t="n"/>
      <c r="U1136" s="12" t="n"/>
      <c r="V1136" s="12" t="n"/>
    </row>
    <row r="1137">
      <c r="A1137" s="12" t="n"/>
      <c r="B1137" s="12" t="n"/>
      <c r="C1137" s="12" t="n"/>
      <c r="D1137" s="13">
        <f>IF($A1137="","",TRIM($B1137&amp;" "&amp;$C1137))</f>
        <v/>
      </c>
      <c r="E1137" s="12" t="n"/>
      <c r="F1137" s="12" t="n"/>
      <c r="G1137" s="14" t="n"/>
      <c r="H1137" s="14" t="n"/>
      <c r="I1137" s="12" t="n"/>
      <c r="J1137" s="14" t="n"/>
      <c r="K1137" s="12" t="n"/>
      <c r="L1137" s="13">
        <f>IF($K1137="","",IFERROR(INDEX(Dept_Names,MATCH($K1137,Dept_Codes,0)),"NOT FOUND"))</f>
        <v/>
      </c>
      <c r="M1137" s="12" t="n"/>
      <c r="N1137" s="13">
        <f>IF($M1137="","",IFERROR(INDEX(Desig_Names,MATCH($M1137,Desig_Codes,0)),"NOT FOUND"))</f>
        <v/>
      </c>
      <c r="O1137" s="13">
        <f>IF($M1137="","",IFERROR(INDEX(Desig_Levels,MATCH($M1137,Desig_Codes,0)),""))</f>
        <v/>
      </c>
      <c r="P1137" s="12" t="n"/>
      <c r="Q1137" s="12" t="n"/>
      <c r="R1137" s="12" t="n"/>
      <c r="S1137" s="13">
        <f>IF($R1137="","",IFERROR(INDEX(Emp_Names,MATCH($R1137,Emp_Codes,0)),"NOT FOUND"))</f>
        <v/>
      </c>
      <c r="T1137" s="12" t="n"/>
      <c r="U1137" s="12" t="n"/>
      <c r="V1137" s="12" t="n"/>
    </row>
    <row r="1138">
      <c r="A1138" s="12" t="n"/>
      <c r="B1138" s="12" t="n"/>
      <c r="C1138" s="12" t="n"/>
      <c r="D1138" s="13">
        <f>IF($A1138="","",TRIM($B1138&amp;" "&amp;$C1138))</f>
        <v/>
      </c>
      <c r="E1138" s="12" t="n"/>
      <c r="F1138" s="12" t="n"/>
      <c r="G1138" s="14" t="n"/>
      <c r="H1138" s="14" t="n"/>
      <c r="I1138" s="12" t="n"/>
      <c r="J1138" s="14" t="n"/>
      <c r="K1138" s="12" t="n"/>
      <c r="L1138" s="13">
        <f>IF($K1138="","",IFERROR(INDEX(Dept_Names,MATCH($K1138,Dept_Codes,0)),"NOT FOUND"))</f>
        <v/>
      </c>
      <c r="M1138" s="12" t="n"/>
      <c r="N1138" s="13">
        <f>IF($M1138="","",IFERROR(INDEX(Desig_Names,MATCH($M1138,Desig_Codes,0)),"NOT FOUND"))</f>
        <v/>
      </c>
      <c r="O1138" s="13">
        <f>IF($M1138="","",IFERROR(INDEX(Desig_Levels,MATCH($M1138,Desig_Codes,0)),""))</f>
        <v/>
      </c>
      <c r="P1138" s="12" t="n"/>
      <c r="Q1138" s="12" t="n"/>
      <c r="R1138" s="12" t="n"/>
      <c r="S1138" s="13">
        <f>IF($R1138="","",IFERROR(INDEX(Emp_Names,MATCH($R1138,Emp_Codes,0)),"NOT FOUND"))</f>
        <v/>
      </c>
      <c r="T1138" s="12" t="n"/>
      <c r="U1138" s="12" t="n"/>
      <c r="V1138" s="12" t="n"/>
    </row>
    <row r="1139">
      <c r="A1139" s="12" t="n"/>
      <c r="B1139" s="12" t="n"/>
      <c r="C1139" s="12" t="n"/>
      <c r="D1139" s="13">
        <f>IF($A1139="","",TRIM($B1139&amp;" "&amp;$C1139))</f>
        <v/>
      </c>
      <c r="E1139" s="12" t="n"/>
      <c r="F1139" s="12" t="n"/>
      <c r="G1139" s="14" t="n"/>
      <c r="H1139" s="14" t="n"/>
      <c r="I1139" s="12" t="n"/>
      <c r="J1139" s="14" t="n"/>
      <c r="K1139" s="12" t="n"/>
      <c r="L1139" s="13">
        <f>IF($K1139="","",IFERROR(INDEX(Dept_Names,MATCH($K1139,Dept_Codes,0)),"NOT FOUND"))</f>
        <v/>
      </c>
      <c r="M1139" s="12" t="n"/>
      <c r="N1139" s="13">
        <f>IF($M1139="","",IFERROR(INDEX(Desig_Names,MATCH($M1139,Desig_Codes,0)),"NOT FOUND"))</f>
        <v/>
      </c>
      <c r="O1139" s="13">
        <f>IF($M1139="","",IFERROR(INDEX(Desig_Levels,MATCH($M1139,Desig_Codes,0)),""))</f>
        <v/>
      </c>
      <c r="P1139" s="12" t="n"/>
      <c r="Q1139" s="12" t="n"/>
      <c r="R1139" s="12" t="n"/>
      <c r="S1139" s="13">
        <f>IF($R1139="","",IFERROR(INDEX(Emp_Names,MATCH($R1139,Emp_Codes,0)),"NOT FOUND"))</f>
        <v/>
      </c>
      <c r="T1139" s="12" t="n"/>
      <c r="U1139" s="12" t="n"/>
      <c r="V1139" s="12" t="n"/>
    </row>
    <row r="1140">
      <c r="A1140" s="12" t="n"/>
      <c r="B1140" s="12" t="n"/>
      <c r="C1140" s="12" t="n"/>
      <c r="D1140" s="13">
        <f>IF($A1140="","",TRIM($B1140&amp;" "&amp;$C1140))</f>
        <v/>
      </c>
      <c r="E1140" s="12" t="n"/>
      <c r="F1140" s="12" t="n"/>
      <c r="G1140" s="14" t="n"/>
      <c r="H1140" s="14" t="n"/>
      <c r="I1140" s="12" t="n"/>
      <c r="J1140" s="14" t="n"/>
      <c r="K1140" s="12" t="n"/>
      <c r="L1140" s="13">
        <f>IF($K1140="","",IFERROR(INDEX(Dept_Names,MATCH($K1140,Dept_Codes,0)),"NOT FOUND"))</f>
        <v/>
      </c>
      <c r="M1140" s="12" t="n"/>
      <c r="N1140" s="13">
        <f>IF($M1140="","",IFERROR(INDEX(Desig_Names,MATCH($M1140,Desig_Codes,0)),"NOT FOUND"))</f>
        <v/>
      </c>
      <c r="O1140" s="13">
        <f>IF($M1140="","",IFERROR(INDEX(Desig_Levels,MATCH($M1140,Desig_Codes,0)),""))</f>
        <v/>
      </c>
      <c r="P1140" s="12" t="n"/>
      <c r="Q1140" s="12" t="n"/>
      <c r="R1140" s="12" t="n"/>
      <c r="S1140" s="13">
        <f>IF($R1140="","",IFERROR(INDEX(Emp_Names,MATCH($R1140,Emp_Codes,0)),"NOT FOUND"))</f>
        <v/>
      </c>
      <c r="T1140" s="12" t="n"/>
      <c r="U1140" s="12" t="n"/>
      <c r="V1140" s="12" t="n"/>
    </row>
    <row r="1141">
      <c r="A1141" s="12" t="n"/>
      <c r="B1141" s="12" t="n"/>
      <c r="C1141" s="12" t="n"/>
      <c r="D1141" s="13">
        <f>IF($A1141="","",TRIM($B1141&amp;" "&amp;$C1141))</f>
        <v/>
      </c>
      <c r="E1141" s="12" t="n"/>
      <c r="F1141" s="12" t="n"/>
      <c r="G1141" s="14" t="n"/>
      <c r="H1141" s="14" t="n"/>
      <c r="I1141" s="12" t="n"/>
      <c r="J1141" s="14" t="n"/>
      <c r="K1141" s="12" t="n"/>
      <c r="L1141" s="13">
        <f>IF($K1141="","",IFERROR(INDEX(Dept_Names,MATCH($K1141,Dept_Codes,0)),"NOT FOUND"))</f>
        <v/>
      </c>
      <c r="M1141" s="12" t="n"/>
      <c r="N1141" s="13">
        <f>IF($M1141="","",IFERROR(INDEX(Desig_Names,MATCH($M1141,Desig_Codes,0)),"NOT FOUND"))</f>
        <v/>
      </c>
      <c r="O1141" s="13">
        <f>IF($M1141="","",IFERROR(INDEX(Desig_Levels,MATCH($M1141,Desig_Codes,0)),""))</f>
        <v/>
      </c>
      <c r="P1141" s="12" t="n"/>
      <c r="Q1141" s="12" t="n"/>
      <c r="R1141" s="12" t="n"/>
      <c r="S1141" s="13">
        <f>IF($R1141="","",IFERROR(INDEX(Emp_Names,MATCH($R1141,Emp_Codes,0)),"NOT FOUND"))</f>
        <v/>
      </c>
      <c r="T1141" s="12" t="n"/>
      <c r="U1141" s="12" t="n"/>
      <c r="V1141" s="12" t="n"/>
    </row>
    <row r="1142">
      <c r="A1142" s="12" t="n"/>
      <c r="B1142" s="12" t="n"/>
      <c r="C1142" s="12" t="n"/>
      <c r="D1142" s="13">
        <f>IF($A1142="","",TRIM($B1142&amp;" "&amp;$C1142))</f>
        <v/>
      </c>
      <c r="E1142" s="12" t="n"/>
      <c r="F1142" s="12" t="n"/>
      <c r="G1142" s="14" t="n"/>
      <c r="H1142" s="14" t="n"/>
      <c r="I1142" s="12" t="n"/>
      <c r="J1142" s="14" t="n"/>
      <c r="K1142" s="12" t="n"/>
      <c r="L1142" s="13">
        <f>IF($K1142="","",IFERROR(INDEX(Dept_Names,MATCH($K1142,Dept_Codes,0)),"NOT FOUND"))</f>
        <v/>
      </c>
      <c r="M1142" s="12" t="n"/>
      <c r="N1142" s="13">
        <f>IF($M1142="","",IFERROR(INDEX(Desig_Names,MATCH($M1142,Desig_Codes,0)),"NOT FOUND"))</f>
        <v/>
      </c>
      <c r="O1142" s="13">
        <f>IF($M1142="","",IFERROR(INDEX(Desig_Levels,MATCH($M1142,Desig_Codes,0)),""))</f>
        <v/>
      </c>
      <c r="P1142" s="12" t="n"/>
      <c r="Q1142" s="12" t="n"/>
      <c r="R1142" s="12" t="n"/>
      <c r="S1142" s="13">
        <f>IF($R1142="","",IFERROR(INDEX(Emp_Names,MATCH($R1142,Emp_Codes,0)),"NOT FOUND"))</f>
        <v/>
      </c>
      <c r="T1142" s="12" t="n"/>
      <c r="U1142" s="12" t="n"/>
      <c r="V1142" s="12" t="n"/>
    </row>
    <row r="1143">
      <c r="A1143" s="12" t="n"/>
      <c r="B1143" s="12" t="n"/>
      <c r="C1143" s="12" t="n"/>
      <c r="D1143" s="13">
        <f>IF($A1143="","",TRIM($B1143&amp;" "&amp;$C1143))</f>
        <v/>
      </c>
      <c r="E1143" s="12" t="n"/>
      <c r="F1143" s="12" t="n"/>
      <c r="G1143" s="14" t="n"/>
      <c r="H1143" s="14" t="n"/>
      <c r="I1143" s="12" t="n"/>
      <c r="J1143" s="14" t="n"/>
      <c r="K1143" s="12" t="n"/>
      <c r="L1143" s="13">
        <f>IF($K1143="","",IFERROR(INDEX(Dept_Names,MATCH($K1143,Dept_Codes,0)),"NOT FOUND"))</f>
        <v/>
      </c>
      <c r="M1143" s="12" t="n"/>
      <c r="N1143" s="13">
        <f>IF($M1143="","",IFERROR(INDEX(Desig_Names,MATCH($M1143,Desig_Codes,0)),"NOT FOUND"))</f>
        <v/>
      </c>
      <c r="O1143" s="13">
        <f>IF($M1143="","",IFERROR(INDEX(Desig_Levels,MATCH($M1143,Desig_Codes,0)),""))</f>
        <v/>
      </c>
      <c r="P1143" s="12" t="n"/>
      <c r="Q1143" s="12" t="n"/>
      <c r="R1143" s="12" t="n"/>
      <c r="S1143" s="13">
        <f>IF($R1143="","",IFERROR(INDEX(Emp_Names,MATCH($R1143,Emp_Codes,0)),"NOT FOUND"))</f>
        <v/>
      </c>
      <c r="T1143" s="12" t="n"/>
      <c r="U1143" s="12" t="n"/>
      <c r="V1143" s="12" t="n"/>
    </row>
    <row r="1144">
      <c r="A1144" s="12" t="n"/>
      <c r="B1144" s="12" t="n"/>
      <c r="C1144" s="12" t="n"/>
      <c r="D1144" s="13">
        <f>IF($A1144="","",TRIM($B1144&amp;" "&amp;$C1144))</f>
        <v/>
      </c>
      <c r="E1144" s="12" t="n"/>
      <c r="F1144" s="12" t="n"/>
      <c r="G1144" s="14" t="n"/>
      <c r="H1144" s="14" t="n"/>
      <c r="I1144" s="12" t="n"/>
      <c r="J1144" s="14" t="n"/>
      <c r="K1144" s="12" t="n"/>
      <c r="L1144" s="13">
        <f>IF($K1144="","",IFERROR(INDEX(Dept_Names,MATCH($K1144,Dept_Codes,0)),"NOT FOUND"))</f>
        <v/>
      </c>
      <c r="M1144" s="12" t="n"/>
      <c r="N1144" s="13">
        <f>IF($M1144="","",IFERROR(INDEX(Desig_Names,MATCH($M1144,Desig_Codes,0)),"NOT FOUND"))</f>
        <v/>
      </c>
      <c r="O1144" s="13">
        <f>IF($M1144="","",IFERROR(INDEX(Desig_Levels,MATCH($M1144,Desig_Codes,0)),""))</f>
        <v/>
      </c>
      <c r="P1144" s="12" t="n"/>
      <c r="Q1144" s="12" t="n"/>
      <c r="R1144" s="12" t="n"/>
      <c r="S1144" s="13">
        <f>IF($R1144="","",IFERROR(INDEX(Emp_Names,MATCH($R1144,Emp_Codes,0)),"NOT FOUND"))</f>
        <v/>
      </c>
      <c r="T1144" s="12" t="n"/>
      <c r="U1144" s="12" t="n"/>
      <c r="V1144" s="12" t="n"/>
    </row>
    <row r="1145">
      <c r="A1145" s="12" t="n"/>
      <c r="B1145" s="12" t="n"/>
      <c r="C1145" s="12" t="n"/>
      <c r="D1145" s="13">
        <f>IF($A1145="","",TRIM($B1145&amp;" "&amp;$C1145))</f>
        <v/>
      </c>
      <c r="E1145" s="12" t="n"/>
      <c r="F1145" s="12" t="n"/>
      <c r="G1145" s="14" t="n"/>
      <c r="H1145" s="14" t="n"/>
      <c r="I1145" s="12" t="n"/>
      <c r="J1145" s="14" t="n"/>
      <c r="K1145" s="12" t="n"/>
      <c r="L1145" s="13">
        <f>IF($K1145="","",IFERROR(INDEX(Dept_Names,MATCH($K1145,Dept_Codes,0)),"NOT FOUND"))</f>
        <v/>
      </c>
      <c r="M1145" s="12" t="n"/>
      <c r="N1145" s="13">
        <f>IF($M1145="","",IFERROR(INDEX(Desig_Names,MATCH($M1145,Desig_Codes,0)),"NOT FOUND"))</f>
        <v/>
      </c>
      <c r="O1145" s="13">
        <f>IF($M1145="","",IFERROR(INDEX(Desig_Levels,MATCH($M1145,Desig_Codes,0)),""))</f>
        <v/>
      </c>
      <c r="P1145" s="12" t="n"/>
      <c r="Q1145" s="12" t="n"/>
      <c r="R1145" s="12" t="n"/>
      <c r="S1145" s="13">
        <f>IF($R1145="","",IFERROR(INDEX(Emp_Names,MATCH($R1145,Emp_Codes,0)),"NOT FOUND"))</f>
        <v/>
      </c>
      <c r="T1145" s="12" t="n"/>
      <c r="U1145" s="12" t="n"/>
      <c r="V1145" s="12" t="n"/>
    </row>
    <row r="1146">
      <c r="A1146" s="12" t="n"/>
      <c r="B1146" s="12" t="n"/>
      <c r="C1146" s="12" t="n"/>
      <c r="D1146" s="13">
        <f>IF($A1146="","",TRIM($B1146&amp;" "&amp;$C1146))</f>
        <v/>
      </c>
      <c r="E1146" s="12" t="n"/>
      <c r="F1146" s="12" t="n"/>
      <c r="G1146" s="14" t="n"/>
      <c r="H1146" s="14" t="n"/>
      <c r="I1146" s="12" t="n"/>
      <c r="J1146" s="14" t="n"/>
      <c r="K1146" s="12" t="n"/>
      <c r="L1146" s="13">
        <f>IF($K1146="","",IFERROR(INDEX(Dept_Names,MATCH($K1146,Dept_Codes,0)),"NOT FOUND"))</f>
        <v/>
      </c>
      <c r="M1146" s="12" t="n"/>
      <c r="N1146" s="13">
        <f>IF($M1146="","",IFERROR(INDEX(Desig_Names,MATCH($M1146,Desig_Codes,0)),"NOT FOUND"))</f>
        <v/>
      </c>
      <c r="O1146" s="13">
        <f>IF($M1146="","",IFERROR(INDEX(Desig_Levels,MATCH($M1146,Desig_Codes,0)),""))</f>
        <v/>
      </c>
      <c r="P1146" s="12" t="n"/>
      <c r="Q1146" s="12" t="n"/>
      <c r="R1146" s="12" t="n"/>
      <c r="S1146" s="13">
        <f>IF($R1146="","",IFERROR(INDEX(Emp_Names,MATCH($R1146,Emp_Codes,0)),"NOT FOUND"))</f>
        <v/>
      </c>
      <c r="T1146" s="12" t="n"/>
      <c r="U1146" s="12" t="n"/>
      <c r="V1146" s="12" t="n"/>
    </row>
    <row r="1147">
      <c r="A1147" s="12" t="n"/>
      <c r="B1147" s="12" t="n"/>
      <c r="C1147" s="12" t="n"/>
      <c r="D1147" s="13">
        <f>IF($A1147="","",TRIM($B1147&amp;" "&amp;$C1147))</f>
        <v/>
      </c>
      <c r="E1147" s="12" t="n"/>
      <c r="F1147" s="12" t="n"/>
      <c r="G1147" s="14" t="n"/>
      <c r="H1147" s="14" t="n"/>
      <c r="I1147" s="12" t="n"/>
      <c r="J1147" s="14" t="n"/>
      <c r="K1147" s="12" t="n"/>
      <c r="L1147" s="13">
        <f>IF($K1147="","",IFERROR(INDEX(Dept_Names,MATCH($K1147,Dept_Codes,0)),"NOT FOUND"))</f>
        <v/>
      </c>
      <c r="M1147" s="12" t="n"/>
      <c r="N1147" s="13">
        <f>IF($M1147="","",IFERROR(INDEX(Desig_Names,MATCH($M1147,Desig_Codes,0)),"NOT FOUND"))</f>
        <v/>
      </c>
      <c r="O1147" s="13">
        <f>IF($M1147="","",IFERROR(INDEX(Desig_Levels,MATCH($M1147,Desig_Codes,0)),""))</f>
        <v/>
      </c>
      <c r="P1147" s="12" t="n"/>
      <c r="Q1147" s="12" t="n"/>
      <c r="R1147" s="12" t="n"/>
      <c r="S1147" s="13">
        <f>IF($R1147="","",IFERROR(INDEX(Emp_Names,MATCH($R1147,Emp_Codes,0)),"NOT FOUND"))</f>
        <v/>
      </c>
      <c r="T1147" s="12" t="n"/>
      <c r="U1147" s="12" t="n"/>
      <c r="V1147" s="12" t="n"/>
    </row>
    <row r="1148">
      <c r="A1148" s="12" t="n"/>
      <c r="B1148" s="12" t="n"/>
      <c r="C1148" s="12" t="n"/>
      <c r="D1148" s="13">
        <f>IF($A1148="","",TRIM($B1148&amp;" "&amp;$C1148))</f>
        <v/>
      </c>
      <c r="E1148" s="12" t="n"/>
      <c r="F1148" s="12" t="n"/>
      <c r="G1148" s="14" t="n"/>
      <c r="H1148" s="14" t="n"/>
      <c r="I1148" s="12" t="n"/>
      <c r="J1148" s="14" t="n"/>
      <c r="K1148" s="12" t="n"/>
      <c r="L1148" s="13">
        <f>IF($K1148="","",IFERROR(INDEX(Dept_Names,MATCH($K1148,Dept_Codes,0)),"NOT FOUND"))</f>
        <v/>
      </c>
      <c r="M1148" s="12" t="n"/>
      <c r="N1148" s="13">
        <f>IF($M1148="","",IFERROR(INDEX(Desig_Names,MATCH($M1148,Desig_Codes,0)),"NOT FOUND"))</f>
        <v/>
      </c>
      <c r="O1148" s="13">
        <f>IF($M1148="","",IFERROR(INDEX(Desig_Levels,MATCH($M1148,Desig_Codes,0)),""))</f>
        <v/>
      </c>
      <c r="P1148" s="12" t="n"/>
      <c r="Q1148" s="12" t="n"/>
      <c r="R1148" s="12" t="n"/>
      <c r="S1148" s="13">
        <f>IF($R1148="","",IFERROR(INDEX(Emp_Names,MATCH($R1148,Emp_Codes,0)),"NOT FOUND"))</f>
        <v/>
      </c>
      <c r="T1148" s="12" t="n"/>
      <c r="U1148" s="12" t="n"/>
      <c r="V1148" s="12" t="n"/>
    </row>
    <row r="1149">
      <c r="A1149" s="12" t="n"/>
      <c r="B1149" s="12" t="n"/>
      <c r="C1149" s="12" t="n"/>
      <c r="D1149" s="13">
        <f>IF($A1149="","",TRIM($B1149&amp;" "&amp;$C1149))</f>
        <v/>
      </c>
      <c r="E1149" s="12" t="n"/>
      <c r="F1149" s="12" t="n"/>
      <c r="G1149" s="14" t="n"/>
      <c r="H1149" s="14" t="n"/>
      <c r="I1149" s="12" t="n"/>
      <c r="J1149" s="14" t="n"/>
      <c r="K1149" s="12" t="n"/>
      <c r="L1149" s="13">
        <f>IF($K1149="","",IFERROR(INDEX(Dept_Names,MATCH($K1149,Dept_Codes,0)),"NOT FOUND"))</f>
        <v/>
      </c>
      <c r="M1149" s="12" t="n"/>
      <c r="N1149" s="13">
        <f>IF($M1149="","",IFERROR(INDEX(Desig_Names,MATCH($M1149,Desig_Codes,0)),"NOT FOUND"))</f>
        <v/>
      </c>
      <c r="O1149" s="13">
        <f>IF($M1149="","",IFERROR(INDEX(Desig_Levels,MATCH($M1149,Desig_Codes,0)),""))</f>
        <v/>
      </c>
      <c r="P1149" s="12" t="n"/>
      <c r="Q1149" s="12" t="n"/>
      <c r="R1149" s="12" t="n"/>
      <c r="S1149" s="13">
        <f>IF($R1149="","",IFERROR(INDEX(Emp_Names,MATCH($R1149,Emp_Codes,0)),"NOT FOUND"))</f>
        <v/>
      </c>
      <c r="T1149" s="12" t="n"/>
      <c r="U1149" s="12" t="n"/>
      <c r="V1149" s="12" t="n"/>
    </row>
    <row r="1150">
      <c r="A1150" s="12" t="n"/>
      <c r="B1150" s="12" t="n"/>
      <c r="C1150" s="12" t="n"/>
      <c r="D1150" s="13">
        <f>IF($A1150="","",TRIM($B1150&amp;" "&amp;$C1150))</f>
        <v/>
      </c>
      <c r="E1150" s="12" t="n"/>
      <c r="F1150" s="12" t="n"/>
      <c r="G1150" s="14" t="n"/>
      <c r="H1150" s="14" t="n"/>
      <c r="I1150" s="12" t="n"/>
      <c r="J1150" s="14" t="n"/>
      <c r="K1150" s="12" t="n"/>
      <c r="L1150" s="13">
        <f>IF($K1150="","",IFERROR(INDEX(Dept_Names,MATCH($K1150,Dept_Codes,0)),"NOT FOUND"))</f>
        <v/>
      </c>
      <c r="M1150" s="12" t="n"/>
      <c r="N1150" s="13">
        <f>IF($M1150="","",IFERROR(INDEX(Desig_Names,MATCH($M1150,Desig_Codes,0)),"NOT FOUND"))</f>
        <v/>
      </c>
      <c r="O1150" s="13">
        <f>IF($M1150="","",IFERROR(INDEX(Desig_Levels,MATCH($M1150,Desig_Codes,0)),""))</f>
        <v/>
      </c>
      <c r="P1150" s="12" t="n"/>
      <c r="Q1150" s="12" t="n"/>
      <c r="R1150" s="12" t="n"/>
      <c r="S1150" s="13">
        <f>IF($R1150="","",IFERROR(INDEX(Emp_Names,MATCH($R1150,Emp_Codes,0)),"NOT FOUND"))</f>
        <v/>
      </c>
      <c r="T1150" s="12" t="n"/>
      <c r="U1150" s="12" t="n"/>
      <c r="V1150" s="12" t="n"/>
    </row>
    <row r="1151">
      <c r="A1151" s="12" t="n"/>
      <c r="B1151" s="12" t="n"/>
      <c r="C1151" s="12" t="n"/>
      <c r="D1151" s="13">
        <f>IF($A1151="","",TRIM($B1151&amp;" "&amp;$C1151))</f>
        <v/>
      </c>
      <c r="E1151" s="12" t="n"/>
      <c r="F1151" s="12" t="n"/>
      <c r="G1151" s="14" t="n"/>
      <c r="H1151" s="14" t="n"/>
      <c r="I1151" s="12" t="n"/>
      <c r="J1151" s="14" t="n"/>
      <c r="K1151" s="12" t="n"/>
      <c r="L1151" s="13">
        <f>IF($K1151="","",IFERROR(INDEX(Dept_Names,MATCH($K1151,Dept_Codes,0)),"NOT FOUND"))</f>
        <v/>
      </c>
      <c r="M1151" s="12" t="n"/>
      <c r="N1151" s="13">
        <f>IF($M1151="","",IFERROR(INDEX(Desig_Names,MATCH($M1151,Desig_Codes,0)),"NOT FOUND"))</f>
        <v/>
      </c>
      <c r="O1151" s="13">
        <f>IF($M1151="","",IFERROR(INDEX(Desig_Levels,MATCH($M1151,Desig_Codes,0)),""))</f>
        <v/>
      </c>
      <c r="P1151" s="12" t="n"/>
      <c r="Q1151" s="12" t="n"/>
      <c r="R1151" s="12" t="n"/>
      <c r="S1151" s="13">
        <f>IF($R1151="","",IFERROR(INDEX(Emp_Names,MATCH($R1151,Emp_Codes,0)),"NOT FOUND"))</f>
        <v/>
      </c>
      <c r="T1151" s="12" t="n"/>
      <c r="U1151" s="12" t="n"/>
      <c r="V1151" s="12" t="n"/>
    </row>
    <row r="1152">
      <c r="A1152" s="12" t="n"/>
      <c r="B1152" s="12" t="n"/>
      <c r="C1152" s="12" t="n"/>
      <c r="D1152" s="13">
        <f>IF($A1152="","",TRIM($B1152&amp;" "&amp;$C1152))</f>
        <v/>
      </c>
      <c r="E1152" s="12" t="n"/>
      <c r="F1152" s="12" t="n"/>
      <c r="G1152" s="14" t="n"/>
      <c r="H1152" s="14" t="n"/>
      <c r="I1152" s="12" t="n"/>
      <c r="J1152" s="14" t="n"/>
      <c r="K1152" s="12" t="n"/>
      <c r="L1152" s="13">
        <f>IF($K1152="","",IFERROR(INDEX(Dept_Names,MATCH($K1152,Dept_Codes,0)),"NOT FOUND"))</f>
        <v/>
      </c>
      <c r="M1152" s="12" t="n"/>
      <c r="N1152" s="13">
        <f>IF($M1152="","",IFERROR(INDEX(Desig_Names,MATCH($M1152,Desig_Codes,0)),"NOT FOUND"))</f>
        <v/>
      </c>
      <c r="O1152" s="13">
        <f>IF($M1152="","",IFERROR(INDEX(Desig_Levels,MATCH($M1152,Desig_Codes,0)),""))</f>
        <v/>
      </c>
      <c r="P1152" s="12" t="n"/>
      <c r="Q1152" s="12" t="n"/>
      <c r="R1152" s="12" t="n"/>
      <c r="S1152" s="13">
        <f>IF($R1152="","",IFERROR(INDEX(Emp_Names,MATCH($R1152,Emp_Codes,0)),"NOT FOUND"))</f>
        <v/>
      </c>
      <c r="T1152" s="12" t="n"/>
      <c r="U1152" s="12" t="n"/>
      <c r="V1152" s="12" t="n"/>
    </row>
    <row r="1153">
      <c r="A1153" s="12" t="n"/>
      <c r="B1153" s="12" t="n"/>
      <c r="C1153" s="12" t="n"/>
      <c r="D1153" s="13">
        <f>IF($A1153="","",TRIM($B1153&amp;" "&amp;$C1153))</f>
        <v/>
      </c>
      <c r="E1153" s="12" t="n"/>
      <c r="F1153" s="12" t="n"/>
      <c r="G1153" s="14" t="n"/>
      <c r="H1153" s="14" t="n"/>
      <c r="I1153" s="12" t="n"/>
      <c r="J1153" s="14" t="n"/>
      <c r="K1153" s="12" t="n"/>
      <c r="L1153" s="13">
        <f>IF($K1153="","",IFERROR(INDEX(Dept_Names,MATCH($K1153,Dept_Codes,0)),"NOT FOUND"))</f>
        <v/>
      </c>
      <c r="M1153" s="12" t="n"/>
      <c r="N1153" s="13">
        <f>IF($M1153="","",IFERROR(INDEX(Desig_Names,MATCH($M1153,Desig_Codes,0)),"NOT FOUND"))</f>
        <v/>
      </c>
      <c r="O1153" s="13">
        <f>IF($M1153="","",IFERROR(INDEX(Desig_Levels,MATCH($M1153,Desig_Codes,0)),""))</f>
        <v/>
      </c>
      <c r="P1153" s="12" t="n"/>
      <c r="Q1153" s="12" t="n"/>
      <c r="R1153" s="12" t="n"/>
      <c r="S1153" s="13">
        <f>IF($R1153="","",IFERROR(INDEX(Emp_Names,MATCH($R1153,Emp_Codes,0)),"NOT FOUND"))</f>
        <v/>
      </c>
      <c r="T1153" s="12" t="n"/>
      <c r="U1153" s="12" t="n"/>
      <c r="V1153" s="12" t="n"/>
    </row>
    <row r="1154">
      <c r="A1154" s="12" t="n"/>
      <c r="B1154" s="12" t="n"/>
      <c r="C1154" s="12" t="n"/>
      <c r="D1154" s="13">
        <f>IF($A1154="","",TRIM($B1154&amp;" "&amp;$C1154))</f>
        <v/>
      </c>
      <c r="E1154" s="12" t="n"/>
      <c r="F1154" s="12" t="n"/>
      <c r="G1154" s="14" t="n"/>
      <c r="H1154" s="14" t="n"/>
      <c r="I1154" s="12" t="n"/>
      <c r="J1154" s="14" t="n"/>
      <c r="K1154" s="12" t="n"/>
      <c r="L1154" s="13">
        <f>IF($K1154="","",IFERROR(INDEX(Dept_Names,MATCH($K1154,Dept_Codes,0)),"NOT FOUND"))</f>
        <v/>
      </c>
      <c r="M1154" s="12" t="n"/>
      <c r="N1154" s="13">
        <f>IF($M1154="","",IFERROR(INDEX(Desig_Names,MATCH($M1154,Desig_Codes,0)),"NOT FOUND"))</f>
        <v/>
      </c>
      <c r="O1154" s="13">
        <f>IF($M1154="","",IFERROR(INDEX(Desig_Levels,MATCH($M1154,Desig_Codes,0)),""))</f>
        <v/>
      </c>
      <c r="P1154" s="12" t="n"/>
      <c r="Q1154" s="12" t="n"/>
      <c r="R1154" s="12" t="n"/>
      <c r="S1154" s="13">
        <f>IF($R1154="","",IFERROR(INDEX(Emp_Names,MATCH($R1154,Emp_Codes,0)),"NOT FOUND"))</f>
        <v/>
      </c>
      <c r="T1154" s="12" t="n"/>
      <c r="U1154" s="12" t="n"/>
      <c r="V1154" s="12" t="n"/>
    </row>
    <row r="1155">
      <c r="A1155" s="12" t="n"/>
      <c r="B1155" s="12" t="n"/>
      <c r="C1155" s="12" t="n"/>
      <c r="D1155" s="13">
        <f>IF($A1155="","",TRIM($B1155&amp;" "&amp;$C1155))</f>
        <v/>
      </c>
      <c r="E1155" s="12" t="n"/>
      <c r="F1155" s="12" t="n"/>
      <c r="G1155" s="14" t="n"/>
      <c r="H1155" s="14" t="n"/>
      <c r="I1155" s="12" t="n"/>
      <c r="J1155" s="14" t="n"/>
      <c r="K1155" s="12" t="n"/>
      <c r="L1155" s="13">
        <f>IF($K1155="","",IFERROR(INDEX(Dept_Names,MATCH($K1155,Dept_Codes,0)),"NOT FOUND"))</f>
        <v/>
      </c>
      <c r="M1155" s="12" t="n"/>
      <c r="N1155" s="13">
        <f>IF($M1155="","",IFERROR(INDEX(Desig_Names,MATCH($M1155,Desig_Codes,0)),"NOT FOUND"))</f>
        <v/>
      </c>
      <c r="O1155" s="13">
        <f>IF($M1155="","",IFERROR(INDEX(Desig_Levels,MATCH($M1155,Desig_Codes,0)),""))</f>
        <v/>
      </c>
      <c r="P1155" s="12" t="n"/>
      <c r="Q1155" s="12" t="n"/>
      <c r="R1155" s="12" t="n"/>
      <c r="S1155" s="13">
        <f>IF($R1155="","",IFERROR(INDEX(Emp_Names,MATCH($R1155,Emp_Codes,0)),"NOT FOUND"))</f>
        <v/>
      </c>
      <c r="T1155" s="12" t="n"/>
      <c r="U1155" s="12" t="n"/>
      <c r="V1155" s="12" t="n"/>
    </row>
    <row r="1156">
      <c r="A1156" s="12" t="n"/>
      <c r="B1156" s="12" t="n"/>
      <c r="C1156" s="12" t="n"/>
      <c r="D1156" s="13">
        <f>IF($A1156="","",TRIM($B1156&amp;" "&amp;$C1156))</f>
        <v/>
      </c>
      <c r="E1156" s="12" t="n"/>
      <c r="F1156" s="12" t="n"/>
      <c r="G1156" s="14" t="n"/>
      <c r="H1156" s="14" t="n"/>
      <c r="I1156" s="12" t="n"/>
      <c r="J1156" s="14" t="n"/>
      <c r="K1156" s="12" t="n"/>
      <c r="L1156" s="13">
        <f>IF($K1156="","",IFERROR(INDEX(Dept_Names,MATCH($K1156,Dept_Codes,0)),"NOT FOUND"))</f>
        <v/>
      </c>
      <c r="M1156" s="12" t="n"/>
      <c r="N1156" s="13">
        <f>IF($M1156="","",IFERROR(INDEX(Desig_Names,MATCH($M1156,Desig_Codes,0)),"NOT FOUND"))</f>
        <v/>
      </c>
      <c r="O1156" s="13">
        <f>IF($M1156="","",IFERROR(INDEX(Desig_Levels,MATCH($M1156,Desig_Codes,0)),""))</f>
        <v/>
      </c>
      <c r="P1156" s="12" t="n"/>
      <c r="Q1156" s="12" t="n"/>
      <c r="R1156" s="12" t="n"/>
      <c r="S1156" s="13">
        <f>IF($R1156="","",IFERROR(INDEX(Emp_Names,MATCH($R1156,Emp_Codes,0)),"NOT FOUND"))</f>
        <v/>
      </c>
      <c r="T1156" s="12" t="n"/>
      <c r="U1156" s="12" t="n"/>
      <c r="V1156" s="12" t="n"/>
    </row>
    <row r="1157">
      <c r="A1157" s="12" t="n"/>
      <c r="B1157" s="12" t="n"/>
      <c r="C1157" s="12" t="n"/>
      <c r="D1157" s="13">
        <f>IF($A1157="","",TRIM($B1157&amp;" "&amp;$C1157))</f>
        <v/>
      </c>
      <c r="E1157" s="12" t="n"/>
      <c r="F1157" s="12" t="n"/>
      <c r="G1157" s="14" t="n"/>
      <c r="H1157" s="14" t="n"/>
      <c r="I1157" s="12" t="n"/>
      <c r="J1157" s="14" t="n"/>
      <c r="K1157" s="12" t="n"/>
      <c r="L1157" s="13">
        <f>IF($K1157="","",IFERROR(INDEX(Dept_Names,MATCH($K1157,Dept_Codes,0)),"NOT FOUND"))</f>
        <v/>
      </c>
      <c r="M1157" s="12" t="n"/>
      <c r="N1157" s="13">
        <f>IF($M1157="","",IFERROR(INDEX(Desig_Names,MATCH($M1157,Desig_Codes,0)),"NOT FOUND"))</f>
        <v/>
      </c>
      <c r="O1157" s="13">
        <f>IF($M1157="","",IFERROR(INDEX(Desig_Levels,MATCH($M1157,Desig_Codes,0)),""))</f>
        <v/>
      </c>
      <c r="P1157" s="12" t="n"/>
      <c r="Q1157" s="12" t="n"/>
      <c r="R1157" s="12" t="n"/>
      <c r="S1157" s="13">
        <f>IF($R1157="","",IFERROR(INDEX(Emp_Names,MATCH($R1157,Emp_Codes,0)),"NOT FOUND"))</f>
        <v/>
      </c>
      <c r="T1157" s="12" t="n"/>
      <c r="U1157" s="12" t="n"/>
      <c r="V1157" s="12" t="n"/>
    </row>
    <row r="1158">
      <c r="A1158" s="12" t="n"/>
      <c r="B1158" s="12" t="n"/>
      <c r="C1158" s="12" t="n"/>
      <c r="D1158" s="13">
        <f>IF($A1158="","",TRIM($B1158&amp;" "&amp;$C1158))</f>
        <v/>
      </c>
      <c r="E1158" s="12" t="n"/>
      <c r="F1158" s="12" t="n"/>
      <c r="G1158" s="14" t="n"/>
      <c r="H1158" s="14" t="n"/>
      <c r="I1158" s="12" t="n"/>
      <c r="J1158" s="14" t="n"/>
      <c r="K1158" s="12" t="n"/>
      <c r="L1158" s="13">
        <f>IF($K1158="","",IFERROR(INDEX(Dept_Names,MATCH($K1158,Dept_Codes,0)),"NOT FOUND"))</f>
        <v/>
      </c>
      <c r="M1158" s="12" t="n"/>
      <c r="N1158" s="13">
        <f>IF($M1158="","",IFERROR(INDEX(Desig_Names,MATCH($M1158,Desig_Codes,0)),"NOT FOUND"))</f>
        <v/>
      </c>
      <c r="O1158" s="13">
        <f>IF($M1158="","",IFERROR(INDEX(Desig_Levels,MATCH($M1158,Desig_Codes,0)),""))</f>
        <v/>
      </c>
      <c r="P1158" s="12" t="n"/>
      <c r="Q1158" s="12" t="n"/>
      <c r="R1158" s="12" t="n"/>
      <c r="S1158" s="13">
        <f>IF($R1158="","",IFERROR(INDEX(Emp_Names,MATCH($R1158,Emp_Codes,0)),"NOT FOUND"))</f>
        <v/>
      </c>
      <c r="T1158" s="12" t="n"/>
      <c r="U1158" s="12" t="n"/>
      <c r="V1158" s="12" t="n"/>
    </row>
    <row r="1159">
      <c r="A1159" s="12" t="n"/>
      <c r="B1159" s="12" t="n"/>
      <c r="C1159" s="12" t="n"/>
      <c r="D1159" s="13">
        <f>IF($A1159="","",TRIM($B1159&amp;" "&amp;$C1159))</f>
        <v/>
      </c>
      <c r="E1159" s="12" t="n"/>
      <c r="F1159" s="12" t="n"/>
      <c r="G1159" s="14" t="n"/>
      <c r="H1159" s="14" t="n"/>
      <c r="I1159" s="12" t="n"/>
      <c r="J1159" s="14" t="n"/>
      <c r="K1159" s="12" t="n"/>
      <c r="L1159" s="13">
        <f>IF($K1159="","",IFERROR(INDEX(Dept_Names,MATCH($K1159,Dept_Codes,0)),"NOT FOUND"))</f>
        <v/>
      </c>
      <c r="M1159" s="12" t="n"/>
      <c r="N1159" s="13">
        <f>IF($M1159="","",IFERROR(INDEX(Desig_Names,MATCH($M1159,Desig_Codes,0)),"NOT FOUND"))</f>
        <v/>
      </c>
      <c r="O1159" s="13">
        <f>IF($M1159="","",IFERROR(INDEX(Desig_Levels,MATCH($M1159,Desig_Codes,0)),""))</f>
        <v/>
      </c>
      <c r="P1159" s="12" t="n"/>
      <c r="Q1159" s="12" t="n"/>
      <c r="R1159" s="12" t="n"/>
      <c r="S1159" s="13">
        <f>IF($R1159="","",IFERROR(INDEX(Emp_Names,MATCH($R1159,Emp_Codes,0)),"NOT FOUND"))</f>
        <v/>
      </c>
      <c r="T1159" s="12" t="n"/>
      <c r="U1159" s="12" t="n"/>
      <c r="V1159" s="12" t="n"/>
    </row>
    <row r="1160">
      <c r="A1160" s="12" t="n"/>
      <c r="B1160" s="12" t="n"/>
      <c r="C1160" s="12" t="n"/>
      <c r="D1160" s="13">
        <f>IF($A1160="","",TRIM($B1160&amp;" "&amp;$C1160))</f>
        <v/>
      </c>
      <c r="E1160" s="12" t="n"/>
      <c r="F1160" s="12" t="n"/>
      <c r="G1160" s="14" t="n"/>
      <c r="H1160" s="14" t="n"/>
      <c r="I1160" s="12" t="n"/>
      <c r="J1160" s="14" t="n"/>
      <c r="K1160" s="12" t="n"/>
      <c r="L1160" s="13">
        <f>IF($K1160="","",IFERROR(INDEX(Dept_Names,MATCH($K1160,Dept_Codes,0)),"NOT FOUND"))</f>
        <v/>
      </c>
      <c r="M1160" s="12" t="n"/>
      <c r="N1160" s="13">
        <f>IF($M1160="","",IFERROR(INDEX(Desig_Names,MATCH($M1160,Desig_Codes,0)),"NOT FOUND"))</f>
        <v/>
      </c>
      <c r="O1160" s="13">
        <f>IF($M1160="","",IFERROR(INDEX(Desig_Levels,MATCH($M1160,Desig_Codes,0)),""))</f>
        <v/>
      </c>
      <c r="P1160" s="12" t="n"/>
      <c r="Q1160" s="12" t="n"/>
      <c r="R1160" s="12" t="n"/>
      <c r="S1160" s="13">
        <f>IF($R1160="","",IFERROR(INDEX(Emp_Names,MATCH($R1160,Emp_Codes,0)),"NOT FOUND"))</f>
        <v/>
      </c>
      <c r="T1160" s="12" t="n"/>
      <c r="U1160" s="12" t="n"/>
      <c r="V1160" s="12" t="n"/>
    </row>
    <row r="1161">
      <c r="A1161" s="12" t="n"/>
      <c r="B1161" s="12" t="n"/>
      <c r="C1161" s="12" t="n"/>
      <c r="D1161" s="13">
        <f>IF($A1161="","",TRIM($B1161&amp;" "&amp;$C1161))</f>
        <v/>
      </c>
      <c r="E1161" s="12" t="n"/>
      <c r="F1161" s="12" t="n"/>
      <c r="G1161" s="14" t="n"/>
      <c r="H1161" s="14" t="n"/>
      <c r="I1161" s="12" t="n"/>
      <c r="J1161" s="14" t="n"/>
      <c r="K1161" s="12" t="n"/>
      <c r="L1161" s="13">
        <f>IF($K1161="","",IFERROR(INDEX(Dept_Names,MATCH($K1161,Dept_Codes,0)),"NOT FOUND"))</f>
        <v/>
      </c>
      <c r="M1161" s="12" t="n"/>
      <c r="N1161" s="13">
        <f>IF($M1161="","",IFERROR(INDEX(Desig_Names,MATCH($M1161,Desig_Codes,0)),"NOT FOUND"))</f>
        <v/>
      </c>
      <c r="O1161" s="13">
        <f>IF($M1161="","",IFERROR(INDEX(Desig_Levels,MATCH($M1161,Desig_Codes,0)),""))</f>
        <v/>
      </c>
      <c r="P1161" s="12" t="n"/>
      <c r="Q1161" s="12" t="n"/>
      <c r="R1161" s="12" t="n"/>
      <c r="S1161" s="13">
        <f>IF($R1161="","",IFERROR(INDEX(Emp_Names,MATCH($R1161,Emp_Codes,0)),"NOT FOUND"))</f>
        <v/>
      </c>
      <c r="T1161" s="12" t="n"/>
      <c r="U1161" s="12" t="n"/>
      <c r="V1161" s="12" t="n"/>
    </row>
    <row r="1162">
      <c r="A1162" s="12" t="n"/>
      <c r="B1162" s="12" t="n"/>
      <c r="C1162" s="12" t="n"/>
      <c r="D1162" s="13">
        <f>IF($A1162="","",TRIM($B1162&amp;" "&amp;$C1162))</f>
        <v/>
      </c>
      <c r="E1162" s="12" t="n"/>
      <c r="F1162" s="12" t="n"/>
      <c r="G1162" s="14" t="n"/>
      <c r="H1162" s="14" t="n"/>
      <c r="I1162" s="12" t="n"/>
      <c r="J1162" s="14" t="n"/>
      <c r="K1162" s="12" t="n"/>
      <c r="L1162" s="13">
        <f>IF($K1162="","",IFERROR(INDEX(Dept_Names,MATCH($K1162,Dept_Codes,0)),"NOT FOUND"))</f>
        <v/>
      </c>
      <c r="M1162" s="12" t="n"/>
      <c r="N1162" s="13">
        <f>IF($M1162="","",IFERROR(INDEX(Desig_Names,MATCH($M1162,Desig_Codes,0)),"NOT FOUND"))</f>
        <v/>
      </c>
      <c r="O1162" s="13">
        <f>IF($M1162="","",IFERROR(INDEX(Desig_Levels,MATCH($M1162,Desig_Codes,0)),""))</f>
        <v/>
      </c>
      <c r="P1162" s="12" t="n"/>
      <c r="Q1162" s="12" t="n"/>
      <c r="R1162" s="12" t="n"/>
      <c r="S1162" s="13">
        <f>IF($R1162="","",IFERROR(INDEX(Emp_Names,MATCH($R1162,Emp_Codes,0)),"NOT FOUND"))</f>
        <v/>
      </c>
      <c r="T1162" s="12" t="n"/>
      <c r="U1162" s="12" t="n"/>
      <c r="V1162" s="12" t="n"/>
    </row>
    <row r="1163">
      <c r="A1163" s="12" t="n"/>
      <c r="B1163" s="12" t="n"/>
      <c r="C1163" s="12" t="n"/>
      <c r="D1163" s="13">
        <f>IF($A1163="","",TRIM($B1163&amp;" "&amp;$C1163))</f>
        <v/>
      </c>
      <c r="E1163" s="12" t="n"/>
      <c r="F1163" s="12" t="n"/>
      <c r="G1163" s="14" t="n"/>
      <c r="H1163" s="14" t="n"/>
      <c r="I1163" s="12" t="n"/>
      <c r="J1163" s="14" t="n"/>
      <c r="K1163" s="12" t="n"/>
      <c r="L1163" s="13">
        <f>IF($K1163="","",IFERROR(INDEX(Dept_Names,MATCH($K1163,Dept_Codes,0)),"NOT FOUND"))</f>
        <v/>
      </c>
      <c r="M1163" s="12" t="n"/>
      <c r="N1163" s="13">
        <f>IF($M1163="","",IFERROR(INDEX(Desig_Names,MATCH($M1163,Desig_Codes,0)),"NOT FOUND"))</f>
        <v/>
      </c>
      <c r="O1163" s="13">
        <f>IF($M1163="","",IFERROR(INDEX(Desig_Levels,MATCH($M1163,Desig_Codes,0)),""))</f>
        <v/>
      </c>
      <c r="P1163" s="12" t="n"/>
      <c r="Q1163" s="12" t="n"/>
      <c r="R1163" s="12" t="n"/>
      <c r="S1163" s="13">
        <f>IF($R1163="","",IFERROR(INDEX(Emp_Names,MATCH($R1163,Emp_Codes,0)),"NOT FOUND"))</f>
        <v/>
      </c>
      <c r="T1163" s="12" t="n"/>
      <c r="U1163" s="12" t="n"/>
      <c r="V1163" s="12" t="n"/>
    </row>
    <row r="1164">
      <c r="A1164" s="12" t="n"/>
      <c r="B1164" s="12" t="n"/>
      <c r="C1164" s="12" t="n"/>
      <c r="D1164" s="13">
        <f>IF($A1164="","",TRIM($B1164&amp;" "&amp;$C1164))</f>
        <v/>
      </c>
      <c r="E1164" s="12" t="n"/>
      <c r="F1164" s="12" t="n"/>
      <c r="G1164" s="14" t="n"/>
      <c r="H1164" s="14" t="n"/>
      <c r="I1164" s="12" t="n"/>
      <c r="J1164" s="14" t="n"/>
      <c r="K1164" s="12" t="n"/>
      <c r="L1164" s="13">
        <f>IF($K1164="","",IFERROR(INDEX(Dept_Names,MATCH($K1164,Dept_Codes,0)),"NOT FOUND"))</f>
        <v/>
      </c>
      <c r="M1164" s="12" t="n"/>
      <c r="N1164" s="13">
        <f>IF($M1164="","",IFERROR(INDEX(Desig_Names,MATCH($M1164,Desig_Codes,0)),"NOT FOUND"))</f>
        <v/>
      </c>
      <c r="O1164" s="13">
        <f>IF($M1164="","",IFERROR(INDEX(Desig_Levels,MATCH($M1164,Desig_Codes,0)),""))</f>
        <v/>
      </c>
      <c r="P1164" s="12" t="n"/>
      <c r="Q1164" s="12" t="n"/>
      <c r="R1164" s="12" t="n"/>
      <c r="S1164" s="13">
        <f>IF($R1164="","",IFERROR(INDEX(Emp_Names,MATCH($R1164,Emp_Codes,0)),"NOT FOUND"))</f>
        <v/>
      </c>
      <c r="T1164" s="12" t="n"/>
      <c r="U1164" s="12" t="n"/>
      <c r="V1164" s="12" t="n"/>
    </row>
    <row r="1165">
      <c r="A1165" s="12" t="n"/>
      <c r="B1165" s="12" t="n"/>
      <c r="C1165" s="12" t="n"/>
      <c r="D1165" s="13">
        <f>IF($A1165="","",TRIM($B1165&amp;" "&amp;$C1165))</f>
        <v/>
      </c>
      <c r="E1165" s="12" t="n"/>
      <c r="F1165" s="12" t="n"/>
      <c r="G1165" s="14" t="n"/>
      <c r="H1165" s="14" t="n"/>
      <c r="I1165" s="12" t="n"/>
      <c r="J1165" s="14" t="n"/>
      <c r="K1165" s="12" t="n"/>
      <c r="L1165" s="13">
        <f>IF($K1165="","",IFERROR(INDEX(Dept_Names,MATCH($K1165,Dept_Codes,0)),"NOT FOUND"))</f>
        <v/>
      </c>
      <c r="M1165" s="12" t="n"/>
      <c r="N1165" s="13">
        <f>IF($M1165="","",IFERROR(INDEX(Desig_Names,MATCH($M1165,Desig_Codes,0)),"NOT FOUND"))</f>
        <v/>
      </c>
      <c r="O1165" s="13">
        <f>IF($M1165="","",IFERROR(INDEX(Desig_Levels,MATCH($M1165,Desig_Codes,0)),""))</f>
        <v/>
      </c>
      <c r="P1165" s="12" t="n"/>
      <c r="Q1165" s="12" t="n"/>
      <c r="R1165" s="12" t="n"/>
      <c r="S1165" s="13">
        <f>IF($R1165="","",IFERROR(INDEX(Emp_Names,MATCH($R1165,Emp_Codes,0)),"NOT FOUND"))</f>
        <v/>
      </c>
      <c r="T1165" s="12" t="n"/>
      <c r="U1165" s="12" t="n"/>
      <c r="V1165" s="12" t="n"/>
    </row>
    <row r="1166">
      <c r="A1166" s="12" t="n"/>
      <c r="B1166" s="12" t="n"/>
      <c r="C1166" s="12" t="n"/>
      <c r="D1166" s="13">
        <f>IF($A1166="","",TRIM($B1166&amp;" "&amp;$C1166))</f>
        <v/>
      </c>
      <c r="E1166" s="12" t="n"/>
      <c r="F1166" s="12" t="n"/>
      <c r="G1166" s="14" t="n"/>
      <c r="H1166" s="14" t="n"/>
      <c r="I1166" s="12" t="n"/>
      <c r="J1166" s="14" t="n"/>
      <c r="K1166" s="12" t="n"/>
      <c r="L1166" s="13">
        <f>IF($K1166="","",IFERROR(INDEX(Dept_Names,MATCH($K1166,Dept_Codes,0)),"NOT FOUND"))</f>
        <v/>
      </c>
      <c r="M1166" s="12" t="n"/>
      <c r="N1166" s="13">
        <f>IF($M1166="","",IFERROR(INDEX(Desig_Names,MATCH($M1166,Desig_Codes,0)),"NOT FOUND"))</f>
        <v/>
      </c>
      <c r="O1166" s="13">
        <f>IF($M1166="","",IFERROR(INDEX(Desig_Levels,MATCH($M1166,Desig_Codes,0)),""))</f>
        <v/>
      </c>
      <c r="P1166" s="12" t="n"/>
      <c r="Q1166" s="12" t="n"/>
      <c r="R1166" s="12" t="n"/>
      <c r="S1166" s="13">
        <f>IF($R1166="","",IFERROR(INDEX(Emp_Names,MATCH($R1166,Emp_Codes,0)),"NOT FOUND"))</f>
        <v/>
      </c>
      <c r="T1166" s="12" t="n"/>
      <c r="U1166" s="12" t="n"/>
      <c r="V1166" s="12" t="n"/>
    </row>
    <row r="1167">
      <c r="A1167" s="12" t="n"/>
      <c r="B1167" s="12" t="n"/>
      <c r="C1167" s="12" t="n"/>
      <c r="D1167" s="13">
        <f>IF($A1167="","",TRIM($B1167&amp;" "&amp;$C1167))</f>
        <v/>
      </c>
      <c r="E1167" s="12" t="n"/>
      <c r="F1167" s="12" t="n"/>
      <c r="G1167" s="14" t="n"/>
      <c r="H1167" s="14" t="n"/>
      <c r="I1167" s="12" t="n"/>
      <c r="J1167" s="14" t="n"/>
      <c r="K1167" s="12" t="n"/>
      <c r="L1167" s="13">
        <f>IF($K1167="","",IFERROR(INDEX(Dept_Names,MATCH($K1167,Dept_Codes,0)),"NOT FOUND"))</f>
        <v/>
      </c>
      <c r="M1167" s="12" t="n"/>
      <c r="N1167" s="13">
        <f>IF($M1167="","",IFERROR(INDEX(Desig_Names,MATCH($M1167,Desig_Codes,0)),"NOT FOUND"))</f>
        <v/>
      </c>
      <c r="O1167" s="13">
        <f>IF($M1167="","",IFERROR(INDEX(Desig_Levels,MATCH($M1167,Desig_Codes,0)),""))</f>
        <v/>
      </c>
      <c r="P1167" s="12" t="n"/>
      <c r="Q1167" s="12" t="n"/>
      <c r="R1167" s="12" t="n"/>
      <c r="S1167" s="13">
        <f>IF($R1167="","",IFERROR(INDEX(Emp_Names,MATCH($R1167,Emp_Codes,0)),"NOT FOUND"))</f>
        <v/>
      </c>
      <c r="T1167" s="12" t="n"/>
      <c r="U1167" s="12" t="n"/>
      <c r="V1167" s="12" t="n"/>
    </row>
    <row r="1168">
      <c r="A1168" s="12" t="n"/>
      <c r="B1168" s="12" t="n"/>
      <c r="C1168" s="12" t="n"/>
      <c r="D1168" s="13">
        <f>IF($A1168="","",TRIM($B1168&amp;" "&amp;$C1168))</f>
        <v/>
      </c>
      <c r="E1168" s="12" t="n"/>
      <c r="F1168" s="12" t="n"/>
      <c r="G1168" s="14" t="n"/>
      <c r="H1168" s="14" t="n"/>
      <c r="I1168" s="12" t="n"/>
      <c r="J1168" s="14" t="n"/>
      <c r="K1168" s="12" t="n"/>
      <c r="L1168" s="13">
        <f>IF($K1168="","",IFERROR(INDEX(Dept_Names,MATCH($K1168,Dept_Codes,0)),"NOT FOUND"))</f>
        <v/>
      </c>
      <c r="M1168" s="12" t="n"/>
      <c r="N1168" s="13">
        <f>IF($M1168="","",IFERROR(INDEX(Desig_Names,MATCH($M1168,Desig_Codes,0)),"NOT FOUND"))</f>
        <v/>
      </c>
      <c r="O1168" s="13">
        <f>IF($M1168="","",IFERROR(INDEX(Desig_Levels,MATCH($M1168,Desig_Codes,0)),""))</f>
        <v/>
      </c>
      <c r="P1168" s="12" t="n"/>
      <c r="Q1168" s="12" t="n"/>
      <c r="R1168" s="12" t="n"/>
      <c r="S1168" s="13">
        <f>IF($R1168="","",IFERROR(INDEX(Emp_Names,MATCH($R1168,Emp_Codes,0)),"NOT FOUND"))</f>
        <v/>
      </c>
      <c r="T1168" s="12" t="n"/>
      <c r="U1168" s="12" t="n"/>
      <c r="V1168" s="12" t="n"/>
    </row>
    <row r="1169">
      <c r="A1169" s="12" t="n"/>
      <c r="B1169" s="12" t="n"/>
      <c r="C1169" s="12" t="n"/>
      <c r="D1169" s="13">
        <f>IF($A1169="","",TRIM($B1169&amp;" "&amp;$C1169))</f>
        <v/>
      </c>
      <c r="E1169" s="12" t="n"/>
      <c r="F1169" s="12" t="n"/>
      <c r="G1169" s="14" t="n"/>
      <c r="H1169" s="14" t="n"/>
      <c r="I1169" s="12" t="n"/>
      <c r="J1169" s="14" t="n"/>
      <c r="K1169" s="12" t="n"/>
      <c r="L1169" s="13">
        <f>IF($K1169="","",IFERROR(INDEX(Dept_Names,MATCH($K1169,Dept_Codes,0)),"NOT FOUND"))</f>
        <v/>
      </c>
      <c r="M1169" s="12" t="n"/>
      <c r="N1169" s="13">
        <f>IF($M1169="","",IFERROR(INDEX(Desig_Names,MATCH($M1169,Desig_Codes,0)),"NOT FOUND"))</f>
        <v/>
      </c>
      <c r="O1169" s="13">
        <f>IF($M1169="","",IFERROR(INDEX(Desig_Levels,MATCH($M1169,Desig_Codes,0)),""))</f>
        <v/>
      </c>
      <c r="P1169" s="12" t="n"/>
      <c r="Q1169" s="12" t="n"/>
      <c r="R1169" s="12" t="n"/>
      <c r="S1169" s="13">
        <f>IF($R1169="","",IFERROR(INDEX(Emp_Names,MATCH($R1169,Emp_Codes,0)),"NOT FOUND"))</f>
        <v/>
      </c>
      <c r="T1169" s="12" t="n"/>
      <c r="U1169" s="12" t="n"/>
      <c r="V1169" s="12" t="n"/>
    </row>
    <row r="1170">
      <c r="A1170" s="12" t="n"/>
      <c r="B1170" s="12" t="n"/>
      <c r="C1170" s="12" t="n"/>
      <c r="D1170" s="13">
        <f>IF($A1170="","",TRIM($B1170&amp;" "&amp;$C1170))</f>
        <v/>
      </c>
      <c r="E1170" s="12" t="n"/>
      <c r="F1170" s="12" t="n"/>
      <c r="G1170" s="14" t="n"/>
      <c r="H1170" s="14" t="n"/>
      <c r="I1170" s="12" t="n"/>
      <c r="J1170" s="14" t="n"/>
      <c r="K1170" s="12" t="n"/>
      <c r="L1170" s="13">
        <f>IF($K1170="","",IFERROR(INDEX(Dept_Names,MATCH($K1170,Dept_Codes,0)),"NOT FOUND"))</f>
        <v/>
      </c>
      <c r="M1170" s="12" t="n"/>
      <c r="N1170" s="13">
        <f>IF($M1170="","",IFERROR(INDEX(Desig_Names,MATCH($M1170,Desig_Codes,0)),"NOT FOUND"))</f>
        <v/>
      </c>
      <c r="O1170" s="13">
        <f>IF($M1170="","",IFERROR(INDEX(Desig_Levels,MATCH($M1170,Desig_Codes,0)),""))</f>
        <v/>
      </c>
      <c r="P1170" s="12" t="n"/>
      <c r="Q1170" s="12" t="n"/>
      <c r="R1170" s="12" t="n"/>
      <c r="S1170" s="13">
        <f>IF($R1170="","",IFERROR(INDEX(Emp_Names,MATCH($R1170,Emp_Codes,0)),"NOT FOUND"))</f>
        <v/>
      </c>
      <c r="T1170" s="12" t="n"/>
      <c r="U1170" s="12" t="n"/>
      <c r="V1170" s="12" t="n"/>
    </row>
    <row r="1171">
      <c r="A1171" s="12" t="n"/>
      <c r="B1171" s="12" t="n"/>
      <c r="C1171" s="12" t="n"/>
      <c r="D1171" s="13">
        <f>IF($A1171="","",TRIM($B1171&amp;" "&amp;$C1171))</f>
        <v/>
      </c>
      <c r="E1171" s="12" t="n"/>
      <c r="F1171" s="12" t="n"/>
      <c r="G1171" s="14" t="n"/>
      <c r="H1171" s="14" t="n"/>
      <c r="I1171" s="12" t="n"/>
      <c r="J1171" s="14" t="n"/>
      <c r="K1171" s="12" t="n"/>
      <c r="L1171" s="13">
        <f>IF($K1171="","",IFERROR(INDEX(Dept_Names,MATCH($K1171,Dept_Codes,0)),"NOT FOUND"))</f>
        <v/>
      </c>
      <c r="M1171" s="12" t="n"/>
      <c r="N1171" s="13">
        <f>IF($M1171="","",IFERROR(INDEX(Desig_Names,MATCH($M1171,Desig_Codes,0)),"NOT FOUND"))</f>
        <v/>
      </c>
      <c r="O1171" s="13">
        <f>IF($M1171="","",IFERROR(INDEX(Desig_Levels,MATCH($M1171,Desig_Codes,0)),""))</f>
        <v/>
      </c>
      <c r="P1171" s="12" t="n"/>
      <c r="Q1171" s="12" t="n"/>
      <c r="R1171" s="12" t="n"/>
      <c r="S1171" s="13">
        <f>IF($R1171="","",IFERROR(INDEX(Emp_Names,MATCH($R1171,Emp_Codes,0)),"NOT FOUND"))</f>
        <v/>
      </c>
      <c r="T1171" s="12" t="n"/>
      <c r="U1171" s="12" t="n"/>
      <c r="V1171" s="12" t="n"/>
    </row>
    <row r="1172">
      <c r="A1172" s="12" t="n"/>
      <c r="B1172" s="12" t="n"/>
      <c r="C1172" s="12" t="n"/>
      <c r="D1172" s="13">
        <f>IF($A1172="","",TRIM($B1172&amp;" "&amp;$C1172))</f>
        <v/>
      </c>
      <c r="E1172" s="12" t="n"/>
      <c r="F1172" s="12" t="n"/>
      <c r="G1172" s="14" t="n"/>
      <c r="H1172" s="14" t="n"/>
      <c r="I1172" s="12" t="n"/>
      <c r="J1172" s="14" t="n"/>
      <c r="K1172" s="12" t="n"/>
      <c r="L1172" s="13">
        <f>IF($K1172="","",IFERROR(INDEX(Dept_Names,MATCH($K1172,Dept_Codes,0)),"NOT FOUND"))</f>
        <v/>
      </c>
      <c r="M1172" s="12" t="n"/>
      <c r="N1172" s="13">
        <f>IF($M1172="","",IFERROR(INDEX(Desig_Names,MATCH($M1172,Desig_Codes,0)),"NOT FOUND"))</f>
        <v/>
      </c>
      <c r="O1172" s="13">
        <f>IF($M1172="","",IFERROR(INDEX(Desig_Levels,MATCH($M1172,Desig_Codes,0)),""))</f>
        <v/>
      </c>
      <c r="P1172" s="12" t="n"/>
      <c r="Q1172" s="12" t="n"/>
      <c r="R1172" s="12" t="n"/>
      <c r="S1172" s="13">
        <f>IF($R1172="","",IFERROR(INDEX(Emp_Names,MATCH($R1172,Emp_Codes,0)),"NOT FOUND"))</f>
        <v/>
      </c>
      <c r="T1172" s="12" t="n"/>
      <c r="U1172" s="12" t="n"/>
      <c r="V1172" s="12" t="n"/>
    </row>
    <row r="1173">
      <c r="A1173" s="12" t="n"/>
      <c r="B1173" s="12" t="n"/>
      <c r="C1173" s="12" t="n"/>
      <c r="D1173" s="13">
        <f>IF($A1173="","",TRIM($B1173&amp;" "&amp;$C1173))</f>
        <v/>
      </c>
      <c r="E1173" s="12" t="n"/>
      <c r="F1173" s="12" t="n"/>
      <c r="G1173" s="14" t="n"/>
      <c r="H1173" s="14" t="n"/>
      <c r="I1173" s="12" t="n"/>
      <c r="J1173" s="14" t="n"/>
      <c r="K1173" s="12" t="n"/>
      <c r="L1173" s="13">
        <f>IF($K1173="","",IFERROR(INDEX(Dept_Names,MATCH($K1173,Dept_Codes,0)),"NOT FOUND"))</f>
        <v/>
      </c>
      <c r="M1173" s="12" t="n"/>
      <c r="N1173" s="13">
        <f>IF($M1173="","",IFERROR(INDEX(Desig_Names,MATCH($M1173,Desig_Codes,0)),"NOT FOUND"))</f>
        <v/>
      </c>
      <c r="O1173" s="13">
        <f>IF($M1173="","",IFERROR(INDEX(Desig_Levels,MATCH($M1173,Desig_Codes,0)),""))</f>
        <v/>
      </c>
      <c r="P1173" s="12" t="n"/>
      <c r="Q1173" s="12" t="n"/>
      <c r="R1173" s="12" t="n"/>
      <c r="S1173" s="13">
        <f>IF($R1173="","",IFERROR(INDEX(Emp_Names,MATCH($R1173,Emp_Codes,0)),"NOT FOUND"))</f>
        <v/>
      </c>
      <c r="T1173" s="12" t="n"/>
      <c r="U1173" s="12" t="n"/>
      <c r="V1173" s="12" t="n"/>
    </row>
    <row r="1174">
      <c r="A1174" s="12" t="n"/>
      <c r="B1174" s="12" t="n"/>
      <c r="C1174" s="12" t="n"/>
      <c r="D1174" s="13">
        <f>IF($A1174="","",TRIM($B1174&amp;" "&amp;$C1174))</f>
        <v/>
      </c>
      <c r="E1174" s="12" t="n"/>
      <c r="F1174" s="12" t="n"/>
      <c r="G1174" s="14" t="n"/>
      <c r="H1174" s="14" t="n"/>
      <c r="I1174" s="12" t="n"/>
      <c r="J1174" s="14" t="n"/>
      <c r="K1174" s="12" t="n"/>
      <c r="L1174" s="13">
        <f>IF($K1174="","",IFERROR(INDEX(Dept_Names,MATCH($K1174,Dept_Codes,0)),"NOT FOUND"))</f>
        <v/>
      </c>
      <c r="M1174" s="12" t="n"/>
      <c r="N1174" s="13">
        <f>IF($M1174="","",IFERROR(INDEX(Desig_Names,MATCH($M1174,Desig_Codes,0)),"NOT FOUND"))</f>
        <v/>
      </c>
      <c r="O1174" s="13">
        <f>IF($M1174="","",IFERROR(INDEX(Desig_Levels,MATCH($M1174,Desig_Codes,0)),""))</f>
        <v/>
      </c>
      <c r="P1174" s="12" t="n"/>
      <c r="Q1174" s="12" t="n"/>
      <c r="R1174" s="12" t="n"/>
      <c r="S1174" s="13">
        <f>IF($R1174="","",IFERROR(INDEX(Emp_Names,MATCH($R1174,Emp_Codes,0)),"NOT FOUND"))</f>
        <v/>
      </c>
      <c r="T1174" s="12" t="n"/>
      <c r="U1174" s="12" t="n"/>
      <c r="V1174" s="12" t="n"/>
    </row>
    <row r="1175">
      <c r="A1175" s="12" t="n"/>
      <c r="B1175" s="12" t="n"/>
      <c r="C1175" s="12" t="n"/>
      <c r="D1175" s="13">
        <f>IF($A1175="","",TRIM($B1175&amp;" "&amp;$C1175))</f>
        <v/>
      </c>
      <c r="E1175" s="12" t="n"/>
      <c r="F1175" s="12" t="n"/>
      <c r="G1175" s="14" t="n"/>
      <c r="H1175" s="14" t="n"/>
      <c r="I1175" s="12" t="n"/>
      <c r="J1175" s="14" t="n"/>
      <c r="K1175" s="12" t="n"/>
      <c r="L1175" s="13">
        <f>IF($K1175="","",IFERROR(INDEX(Dept_Names,MATCH($K1175,Dept_Codes,0)),"NOT FOUND"))</f>
        <v/>
      </c>
      <c r="M1175" s="12" t="n"/>
      <c r="N1175" s="13">
        <f>IF($M1175="","",IFERROR(INDEX(Desig_Names,MATCH($M1175,Desig_Codes,0)),"NOT FOUND"))</f>
        <v/>
      </c>
      <c r="O1175" s="13">
        <f>IF($M1175="","",IFERROR(INDEX(Desig_Levels,MATCH($M1175,Desig_Codes,0)),""))</f>
        <v/>
      </c>
      <c r="P1175" s="12" t="n"/>
      <c r="Q1175" s="12" t="n"/>
      <c r="R1175" s="12" t="n"/>
      <c r="S1175" s="13">
        <f>IF($R1175="","",IFERROR(INDEX(Emp_Names,MATCH($R1175,Emp_Codes,0)),"NOT FOUND"))</f>
        <v/>
      </c>
      <c r="T1175" s="12" t="n"/>
      <c r="U1175" s="12" t="n"/>
      <c r="V1175" s="12" t="n"/>
    </row>
    <row r="1176">
      <c r="A1176" s="12" t="n"/>
      <c r="B1176" s="12" t="n"/>
      <c r="C1176" s="12" t="n"/>
      <c r="D1176" s="13">
        <f>IF($A1176="","",TRIM($B1176&amp;" "&amp;$C1176))</f>
        <v/>
      </c>
      <c r="E1176" s="12" t="n"/>
      <c r="F1176" s="12" t="n"/>
      <c r="G1176" s="14" t="n"/>
      <c r="H1176" s="14" t="n"/>
      <c r="I1176" s="12" t="n"/>
      <c r="J1176" s="14" t="n"/>
      <c r="K1176" s="12" t="n"/>
      <c r="L1176" s="13">
        <f>IF($K1176="","",IFERROR(INDEX(Dept_Names,MATCH($K1176,Dept_Codes,0)),"NOT FOUND"))</f>
        <v/>
      </c>
      <c r="M1176" s="12" t="n"/>
      <c r="N1176" s="13">
        <f>IF($M1176="","",IFERROR(INDEX(Desig_Names,MATCH($M1176,Desig_Codes,0)),"NOT FOUND"))</f>
        <v/>
      </c>
      <c r="O1176" s="13">
        <f>IF($M1176="","",IFERROR(INDEX(Desig_Levels,MATCH($M1176,Desig_Codes,0)),""))</f>
        <v/>
      </c>
      <c r="P1176" s="12" t="n"/>
      <c r="Q1176" s="12" t="n"/>
      <c r="R1176" s="12" t="n"/>
      <c r="S1176" s="13">
        <f>IF($R1176="","",IFERROR(INDEX(Emp_Names,MATCH($R1176,Emp_Codes,0)),"NOT FOUND"))</f>
        <v/>
      </c>
      <c r="T1176" s="12" t="n"/>
      <c r="U1176" s="12" t="n"/>
      <c r="V1176" s="12" t="n"/>
    </row>
    <row r="1177">
      <c r="A1177" s="12" t="n"/>
      <c r="B1177" s="12" t="n"/>
      <c r="C1177" s="12" t="n"/>
      <c r="D1177" s="13">
        <f>IF($A1177="","",TRIM($B1177&amp;" "&amp;$C1177))</f>
        <v/>
      </c>
      <c r="E1177" s="12" t="n"/>
      <c r="F1177" s="12" t="n"/>
      <c r="G1177" s="14" t="n"/>
      <c r="H1177" s="14" t="n"/>
      <c r="I1177" s="12" t="n"/>
      <c r="J1177" s="14" t="n"/>
      <c r="K1177" s="12" t="n"/>
      <c r="L1177" s="13">
        <f>IF($K1177="","",IFERROR(INDEX(Dept_Names,MATCH($K1177,Dept_Codes,0)),"NOT FOUND"))</f>
        <v/>
      </c>
      <c r="M1177" s="12" t="n"/>
      <c r="N1177" s="13">
        <f>IF($M1177="","",IFERROR(INDEX(Desig_Names,MATCH($M1177,Desig_Codes,0)),"NOT FOUND"))</f>
        <v/>
      </c>
      <c r="O1177" s="13">
        <f>IF($M1177="","",IFERROR(INDEX(Desig_Levels,MATCH($M1177,Desig_Codes,0)),""))</f>
        <v/>
      </c>
      <c r="P1177" s="12" t="n"/>
      <c r="Q1177" s="12" t="n"/>
      <c r="R1177" s="12" t="n"/>
      <c r="S1177" s="13">
        <f>IF($R1177="","",IFERROR(INDEX(Emp_Names,MATCH($R1177,Emp_Codes,0)),"NOT FOUND"))</f>
        <v/>
      </c>
      <c r="T1177" s="12" t="n"/>
      <c r="U1177" s="12" t="n"/>
      <c r="V1177" s="12" t="n"/>
    </row>
    <row r="1178">
      <c r="A1178" s="12" t="n"/>
      <c r="B1178" s="12" t="n"/>
      <c r="C1178" s="12" t="n"/>
      <c r="D1178" s="13">
        <f>IF($A1178="","",TRIM($B1178&amp;" "&amp;$C1178))</f>
        <v/>
      </c>
      <c r="E1178" s="12" t="n"/>
      <c r="F1178" s="12" t="n"/>
      <c r="G1178" s="14" t="n"/>
      <c r="H1178" s="14" t="n"/>
      <c r="I1178" s="12" t="n"/>
      <c r="J1178" s="14" t="n"/>
      <c r="K1178" s="12" t="n"/>
      <c r="L1178" s="13">
        <f>IF($K1178="","",IFERROR(INDEX(Dept_Names,MATCH($K1178,Dept_Codes,0)),"NOT FOUND"))</f>
        <v/>
      </c>
      <c r="M1178" s="12" t="n"/>
      <c r="N1178" s="13">
        <f>IF($M1178="","",IFERROR(INDEX(Desig_Names,MATCH($M1178,Desig_Codes,0)),"NOT FOUND"))</f>
        <v/>
      </c>
      <c r="O1178" s="13">
        <f>IF($M1178="","",IFERROR(INDEX(Desig_Levels,MATCH($M1178,Desig_Codes,0)),""))</f>
        <v/>
      </c>
      <c r="P1178" s="12" t="n"/>
      <c r="Q1178" s="12" t="n"/>
      <c r="R1178" s="12" t="n"/>
      <c r="S1178" s="13">
        <f>IF($R1178="","",IFERROR(INDEX(Emp_Names,MATCH($R1178,Emp_Codes,0)),"NOT FOUND"))</f>
        <v/>
      </c>
      <c r="T1178" s="12" t="n"/>
      <c r="U1178" s="12" t="n"/>
      <c r="V1178" s="12" t="n"/>
    </row>
    <row r="1179">
      <c r="A1179" s="12" t="n"/>
      <c r="B1179" s="12" t="n"/>
      <c r="C1179" s="12" t="n"/>
      <c r="D1179" s="13">
        <f>IF($A1179="","",TRIM($B1179&amp;" "&amp;$C1179))</f>
        <v/>
      </c>
      <c r="E1179" s="12" t="n"/>
      <c r="F1179" s="12" t="n"/>
      <c r="G1179" s="14" t="n"/>
      <c r="H1179" s="14" t="n"/>
      <c r="I1179" s="12" t="n"/>
      <c r="J1179" s="14" t="n"/>
      <c r="K1179" s="12" t="n"/>
      <c r="L1179" s="13">
        <f>IF($K1179="","",IFERROR(INDEX(Dept_Names,MATCH($K1179,Dept_Codes,0)),"NOT FOUND"))</f>
        <v/>
      </c>
      <c r="M1179" s="12" t="n"/>
      <c r="N1179" s="13">
        <f>IF($M1179="","",IFERROR(INDEX(Desig_Names,MATCH($M1179,Desig_Codes,0)),"NOT FOUND"))</f>
        <v/>
      </c>
      <c r="O1179" s="13">
        <f>IF($M1179="","",IFERROR(INDEX(Desig_Levels,MATCH($M1179,Desig_Codes,0)),""))</f>
        <v/>
      </c>
      <c r="P1179" s="12" t="n"/>
      <c r="Q1179" s="12" t="n"/>
      <c r="R1179" s="12" t="n"/>
      <c r="S1179" s="13">
        <f>IF($R1179="","",IFERROR(INDEX(Emp_Names,MATCH($R1179,Emp_Codes,0)),"NOT FOUND"))</f>
        <v/>
      </c>
      <c r="T1179" s="12" t="n"/>
      <c r="U1179" s="12" t="n"/>
      <c r="V1179" s="12" t="n"/>
    </row>
    <row r="1180">
      <c r="A1180" s="12" t="n"/>
      <c r="B1180" s="12" t="n"/>
      <c r="C1180" s="12" t="n"/>
      <c r="D1180" s="13">
        <f>IF($A1180="","",TRIM($B1180&amp;" "&amp;$C1180))</f>
        <v/>
      </c>
      <c r="E1180" s="12" t="n"/>
      <c r="F1180" s="12" t="n"/>
      <c r="G1180" s="14" t="n"/>
      <c r="H1180" s="14" t="n"/>
      <c r="I1180" s="12" t="n"/>
      <c r="J1180" s="14" t="n"/>
      <c r="K1180" s="12" t="n"/>
      <c r="L1180" s="13">
        <f>IF($K1180="","",IFERROR(INDEX(Dept_Names,MATCH($K1180,Dept_Codes,0)),"NOT FOUND"))</f>
        <v/>
      </c>
      <c r="M1180" s="12" t="n"/>
      <c r="N1180" s="13">
        <f>IF($M1180="","",IFERROR(INDEX(Desig_Names,MATCH($M1180,Desig_Codes,0)),"NOT FOUND"))</f>
        <v/>
      </c>
      <c r="O1180" s="13">
        <f>IF($M1180="","",IFERROR(INDEX(Desig_Levels,MATCH($M1180,Desig_Codes,0)),""))</f>
        <v/>
      </c>
      <c r="P1180" s="12" t="n"/>
      <c r="Q1180" s="12" t="n"/>
      <c r="R1180" s="12" t="n"/>
      <c r="S1180" s="13">
        <f>IF($R1180="","",IFERROR(INDEX(Emp_Names,MATCH($R1180,Emp_Codes,0)),"NOT FOUND"))</f>
        <v/>
      </c>
      <c r="T1180" s="12" t="n"/>
      <c r="U1180" s="12" t="n"/>
      <c r="V1180" s="12" t="n"/>
    </row>
    <row r="1181">
      <c r="A1181" s="12" t="n"/>
      <c r="B1181" s="12" t="n"/>
      <c r="C1181" s="12" t="n"/>
      <c r="D1181" s="13">
        <f>IF($A1181="","",TRIM($B1181&amp;" "&amp;$C1181))</f>
        <v/>
      </c>
      <c r="E1181" s="12" t="n"/>
      <c r="F1181" s="12" t="n"/>
      <c r="G1181" s="14" t="n"/>
      <c r="H1181" s="14" t="n"/>
      <c r="I1181" s="12" t="n"/>
      <c r="J1181" s="14" t="n"/>
      <c r="K1181" s="12" t="n"/>
      <c r="L1181" s="13">
        <f>IF($K1181="","",IFERROR(INDEX(Dept_Names,MATCH($K1181,Dept_Codes,0)),"NOT FOUND"))</f>
        <v/>
      </c>
      <c r="M1181" s="12" t="n"/>
      <c r="N1181" s="13">
        <f>IF($M1181="","",IFERROR(INDEX(Desig_Names,MATCH($M1181,Desig_Codes,0)),"NOT FOUND"))</f>
        <v/>
      </c>
      <c r="O1181" s="13">
        <f>IF($M1181="","",IFERROR(INDEX(Desig_Levels,MATCH($M1181,Desig_Codes,0)),""))</f>
        <v/>
      </c>
      <c r="P1181" s="12" t="n"/>
      <c r="Q1181" s="12" t="n"/>
      <c r="R1181" s="12" t="n"/>
      <c r="S1181" s="13">
        <f>IF($R1181="","",IFERROR(INDEX(Emp_Names,MATCH($R1181,Emp_Codes,0)),"NOT FOUND"))</f>
        <v/>
      </c>
      <c r="T1181" s="12" t="n"/>
      <c r="U1181" s="12" t="n"/>
      <c r="V1181" s="12" t="n"/>
    </row>
    <row r="1182">
      <c r="A1182" s="12" t="n"/>
      <c r="B1182" s="12" t="n"/>
      <c r="C1182" s="12" t="n"/>
      <c r="D1182" s="13">
        <f>IF($A1182="","",TRIM($B1182&amp;" "&amp;$C1182))</f>
        <v/>
      </c>
      <c r="E1182" s="12" t="n"/>
      <c r="F1182" s="12" t="n"/>
      <c r="G1182" s="14" t="n"/>
      <c r="H1182" s="14" t="n"/>
      <c r="I1182" s="12" t="n"/>
      <c r="J1182" s="14" t="n"/>
      <c r="K1182" s="12" t="n"/>
      <c r="L1182" s="13">
        <f>IF($K1182="","",IFERROR(INDEX(Dept_Names,MATCH($K1182,Dept_Codes,0)),"NOT FOUND"))</f>
        <v/>
      </c>
      <c r="M1182" s="12" t="n"/>
      <c r="N1182" s="13">
        <f>IF($M1182="","",IFERROR(INDEX(Desig_Names,MATCH($M1182,Desig_Codes,0)),"NOT FOUND"))</f>
        <v/>
      </c>
      <c r="O1182" s="13">
        <f>IF($M1182="","",IFERROR(INDEX(Desig_Levels,MATCH($M1182,Desig_Codes,0)),""))</f>
        <v/>
      </c>
      <c r="P1182" s="12" t="n"/>
      <c r="Q1182" s="12" t="n"/>
      <c r="R1182" s="12" t="n"/>
      <c r="S1182" s="13">
        <f>IF($R1182="","",IFERROR(INDEX(Emp_Names,MATCH($R1182,Emp_Codes,0)),"NOT FOUND"))</f>
        <v/>
      </c>
      <c r="T1182" s="12" t="n"/>
      <c r="U1182" s="12" t="n"/>
      <c r="V1182" s="12" t="n"/>
    </row>
    <row r="1183">
      <c r="A1183" s="12" t="n"/>
      <c r="B1183" s="12" t="n"/>
      <c r="C1183" s="12" t="n"/>
      <c r="D1183" s="13">
        <f>IF($A1183="","",TRIM($B1183&amp;" "&amp;$C1183))</f>
        <v/>
      </c>
      <c r="E1183" s="12" t="n"/>
      <c r="F1183" s="12" t="n"/>
      <c r="G1183" s="14" t="n"/>
      <c r="H1183" s="14" t="n"/>
      <c r="I1183" s="12" t="n"/>
      <c r="J1183" s="14" t="n"/>
      <c r="K1183" s="12" t="n"/>
      <c r="L1183" s="13">
        <f>IF($K1183="","",IFERROR(INDEX(Dept_Names,MATCH($K1183,Dept_Codes,0)),"NOT FOUND"))</f>
        <v/>
      </c>
      <c r="M1183" s="12" t="n"/>
      <c r="N1183" s="13">
        <f>IF($M1183="","",IFERROR(INDEX(Desig_Names,MATCH($M1183,Desig_Codes,0)),"NOT FOUND"))</f>
        <v/>
      </c>
      <c r="O1183" s="13">
        <f>IF($M1183="","",IFERROR(INDEX(Desig_Levels,MATCH($M1183,Desig_Codes,0)),""))</f>
        <v/>
      </c>
      <c r="P1183" s="12" t="n"/>
      <c r="Q1183" s="12" t="n"/>
      <c r="R1183" s="12" t="n"/>
      <c r="S1183" s="13">
        <f>IF($R1183="","",IFERROR(INDEX(Emp_Names,MATCH($R1183,Emp_Codes,0)),"NOT FOUND"))</f>
        <v/>
      </c>
      <c r="T1183" s="12" t="n"/>
      <c r="U1183" s="12" t="n"/>
      <c r="V1183" s="12" t="n"/>
    </row>
    <row r="1184">
      <c r="A1184" s="12" t="n"/>
      <c r="B1184" s="12" t="n"/>
      <c r="C1184" s="12" t="n"/>
      <c r="D1184" s="13">
        <f>IF($A1184="","",TRIM($B1184&amp;" "&amp;$C1184))</f>
        <v/>
      </c>
      <c r="E1184" s="12" t="n"/>
      <c r="F1184" s="12" t="n"/>
      <c r="G1184" s="14" t="n"/>
      <c r="H1184" s="14" t="n"/>
      <c r="I1184" s="12" t="n"/>
      <c r="J1184" s="14" t="n"/>
      <c r="K1184" s="12" t="n"/>
      <c r="L1184" s="13">
        <f>IF($K1184="","",IFERROR(INDEX(Dept_Names,MATCH($K1184,Dept_Codes,0)),"NOT FOUND"))</f>
        <v/>
      </c>
      <c r="M1184" s="12" t="n"/>
      <c r="N1184" s="13">
        <f>IF($M1184="","",IFERROR(INDEX(Desig_Names,MATCH($M1184,Desig_Codes,0)),"NOT FOUND"))</f>
        <v/>
      </c>
      <c r="O1184" s="13">
        <f>IF($M1184="","",IFERROR(INDEX(Desig_Levels,MATCH($M1184,Desig_Codes,0)),""))</f>
        <v/>
      </c>
      <c r="P1184" s="12" t="n"/>
      <c r="Q1184" s="12" t="n"/>
      <c r="R1184" s="12" t="n"/>
      <c r="S1184" s="13">
        <f>IF($R1184="","",IFERROR(INDEX(Emp_Names,MATCH($R1184,Emp_Codes,0)),"NOT FOUND"))</f>
        <v/>
      </c>
      <c r="T1184" s="12" t="n"/>
      <c r="U1184" s="12" t="n"/>
      <c r="V1184" s="12" t="n"/>
    </row>
    <row r="1185">
      <c r="A1185" s="12" t="n"/>
      <c r="B1185" s="12" t="n"/>
      <c r="C1185" s="12" t="n"/>
      <c r="D1185" s="13">
        <f>IF($A1185="","",TRIM($B1185&amp;" "&amp;$C1185))</f>
        <v/>
      </c>
      <c r="E1185" s="12" t="n"/>
      <c r="F1185" s="12" t="n"/>
      <c r="G1185" s="14" t="n"/>
      <c r="H1185" s="14" t="n"/>
      <c r="I1185" s="12" t="n"/>
      <c r="J1185" s="14" t="n"/>
      <c r="K1185" s="12" t="n"/>
      <c r="L1185" s="13">
        <f>IF($K1185="","",IFERROR(INDEX(Dept_Names,MATCH($K1185,Dept_Codes,0)),"NOT FOUND"))</f>
        <v/>
      </c>
      <c r="M1185" s="12" t="n"/>
      <c r="N1185" s="13">
        <f>IF($M1185="","",IFERROR(INDEX(Desig_Names,MATCH($M1185,Desig_Codes,0)),"NOT FOUND"))</f>
        <v/>
      </c>
      <c r="O1185" s="13">
        <f>IF($M1185="","",IFERROR(INDEX(Desig_Levels,MATCH($M1185,Desig_Codes,0)),""))</f>
        <v/>
      </c>
      <c r="P1185" s="12" t="n"/>
      <c r="Q1185" s="12" t="n"/>
      <c r="R1185" s="12" t="n"/>
      <c r="S1185" s="13">
        <f>IF($R1185="","",IFERROR(INDEX(Emp_Names,MATCH($R1185,Emp_Codes,0)),"NOT FOUND"))</f>
        <v/>
      </c>
      <c r="T1185" s="12" t="n"/>
      <c r="U1185" s="12" t="n"/>
      <c r="V1185" s="12" t="n"/>
    </row>
    <row r="1186">
      <c r="A1186" s="12" t="n"/>
      <c r="B1186" s="12" t="n"/>
      <c r="C1186" s="12" t="n"/>
      <c r="D1186" s="13">
        <f>IF($A1186="","",TRIM($B1186&amp;" "&amp;$C1186))</f>
        <v/>
      </c>
      <c r="E1186" s="12" t="n"/>
      <c r="F1186" s="12" t="n"/>
      <c r="G1186" s="14" t="n"/>
      <c r="H1186" s="14" t="n"/>
      <c r="I1186" s="12" t="n"/>
      <c r="J1186" s="14" t="n"/>
      <c r="K1186" s="12" t="n"/>
      <c r="L1186" s="13">
        <f>IF($K1186="","",IFERROR(INDEX(Dept_Names,MATCH($K1186,Dept_Codes,0)),"NOT FOUND"))</f>
        <v/>
      </c>
      <c r="M1186" s="12" t="n"/>
      <c r="N1186" s="13">
        <f>IF($M1186="","",IFERROR(INDEX(Desig_Names,MATCH($M1186,Desig_Codes,0)),"NOT FOUND"))</f>
        <v/>
      </c>
      <c r="O1186" s="13">
        <f>IF($M1186="","",IFERROR(INDEX(Desig_Levels,MATCH($M1186,Desig_Codes,0)),""))</f>
        <v/>
      </c>
      <c r="P1186" s="12" t="n"/>
      <c r="Q1186" s="12" t="n"/>
      <c r="R1186" s="12" t="n"/>
      <c r="S1186" s="13">
        <f>IF($R1186="","",IFERROR(INDEX(Emp_Names,MATCH($R1186,Emp_Codes,0)),"NOT FOUND"))</f>
        <v/>
      </c>
      <c r="T1186" s="12" t="n"/>
      <c r="U1186" s="12" t="n"/>
      <c r="V1186" s="12" t="n"/>
    </row>
    <row r="1187">
      <c r="A1187" s="12" t="n"/>
      <c r="B1187" s="12" t="n"/>
      <c r="C1187" s="12" t="n"/>
      <c r="D1187" s="13">
        <f>IF($A1187="","",TRIM($B1187&amp;" "&amp;$C1187))</f>
        <v/>
      </c>
      <c r="E1187" s="12" t="n"/>
      <c r="F1187" s="12" t="n"/>
      <c r="G1187" s="14" t="n"/>
      <c r="H1187" s="14" t="n"/>
      <c r="I1187" s="12" t="n"/>
      <c r="J1187" s="14" t="n"/>
      <c r="K1187" s="12" t="n"/>
      <c r="L1187" s="13">
        <f>IF($K1187="","",IFERROR(INDEX(Dept_Names,MATCH($K1187,Dept_Codes,0)),"NOT FOUND"))</f>
        <v/>
      </c>
      <c r="M1187" s="12" t="n"/>
      <c r="N1187" s="13">
        <f>IF($M1187="","",IFERROR(INDEX(Desig_Names,MATCH($M1187,Desig_Codes,0)),"NOT FOUND"))</f>
        <v/>
      </c>
      <c r="O1187" s="13">
        <f>IF($M1187="","",IFERROR(INDEX(Desig_Levels,MATCH($M1187,Desig_Codes,0)),""))</f>
        <v/>
      </c>
      <c r="P1187" s="12" t="n"/>
      <c r="Q1187" s="12" t="n"/>
      <c r="R1187" s="12" t="n"/>
      <c r="S1187" s="13">
        <f>IF($R1187="","",IFERROR(INDEX(Emp_Names,MATCH($R1187,Emp_Codes,0)),"NOT FOUND"))</f>
        <v/>
      </c>
      <c r="T1187" s="12" t="n"/>
      <c r="U1187" s="12" t="n"/>
      <c r="V1187" s="12" t="n"/>
    </row>
    <row r="1188">
      <c r="A1188" s="12" t="n"/>
      <c r="B1188" s="12" t="n"/>
      <c r="C1188" s="12" t="n"/>
      <c r="D1188" s="13">
        <f>IF($A1188="","",TRIM($B1188&amp;" "&amp;$C1188))</f>
        <v/>
      </c>
      <c r="E1188" s="12" t="n"/>
      <c r="F1188" s="12" t="n"/>
      <c r="G1188" s="14" t="n"/>
      <c r="H1188" s="14" t="n"/>
      <c r="I1188" s="12" t="n"/>
      <c r="J1188" s="14" t="n"/>
      <c r="K1188" s="12" t="n"/>
      <c r="L1188" s="13">
        <f>IF($K1188="","",IFERROR(INDEX(Dept_Names,MATCH($K1188,Dept_Codes,0)),"NOT FOUND"))</f>
        <v/>
      </c>
      <c r="M1188" s="12" t="n"/>
      <c r="N1188" s="13">
        <f>IF($M1188="","",IFERROR(INDEX(Desig_Names,MATCH($M1188,Desig_Codes,0)),"NOT FOUND"))</f>
        <v/>
      </c>
      <c r="O1188" s="13">
        <f>IF($M1188="","",IFERROR(INDEX(Desig_Levels,MATCH($M1188,Desig_Codes,0)),""))</f>
        <v/>
      </c>
      <c r="P1188" s="12" t="n"/>
      <c r="Q1188" s="12" t="n"/>
      <c r="R1188" s="12" t="n"/>
      <c r="S1188" s="13">
        <f>IF($R1188="","",IFERROR(INDEX(Emp_Names,MATCH($R1188,Emp_Codes,0)),"NOT FOUND"))</f>
        <v/>
      </c>
      <c r="T1188" s="12" t="n"/>
      <c r="U1188" s="12" t="n"/>
      <c r="V1188" s="12" t="n"/>
    </row>
    <row r="1189">
      <c r="A1189" s="12" t="n"/>
      <c r="B1189" s="12" t="n"/>
      <c r="C1189" s="12" t="n"/>
      <c r="D1189" s="13">
        <f>IF($A1189="","",TRIM($B1189&amp;" "&amp;$C1189))</f>
        <v/>
      </c>
      <c r="E1189" s="12" t="n"/>
      <c r="F1189" s="12" t="n"/>
      <c r="G1189" s="14" t="n"/>
      <c r="H1189" s="14" t="n"/>
      <c r="I1189" s="12" t="n"/>
      <c r="J1189" s="14" t="n"/>
      <c r="K1189" s="12" t="n"/>
      <c r="L1189" s="13">
        <f>IF($K1189="","",IFERROR(INDEX(Dept_Names,MATCH($K1189,Dept_Codes,0)),"NOT FOUND"))</f>
        <v/>
      </c>
      <c r="M1189" s="12" t="n"/>
      <c r="N1189" s="13">
        <f>IF($M1189="","",IFERROR(INDEX(Desig_Names,MATCH($M1189,Desig_Codes,0)),"NOT FOUND"))</f>
        <v/>
      </c>
      <c r="O1189" s="13">
        <f>IF($M1189="","",IFERROR(INDEX(Desig_Levels,MATCH($M1189,Desig_Codes,0)),""))</f>
        <v/>
      </c>
      <c r="P1189" s="12" t="n"/>
      <c r="Q1189" s="12" t="n"/>
      <c r="R1189" s="12" t="n"/>
      <c r="S1189" s="13">
        <f>IF($R1189="","",IFERROR(INDEX(Emp_Names,MATCH($R1189,Emp_Codes,0)),"NOT FOUND"))</f>
        <v/>
      </c>
      <c r="T1189" s="12" t="n"/>
      <c r="U1189" s="12" t="n"/>
      <c r="V1189" s="12" t="n"/>
    </row>
    <row r="1190">
      <c r="A1190" s="12" t="n"/>
      <c r="B1190" s="12" t="n"/>
      <c r="C1190" s="12" t="n"/>
      <c r="D1190" s="13">
        <f>IF($A1190="","",TRIM($B1190&amp;" "&amp;$C1190))</f>
        <v/>
      </c>
      <c r="E1190" s="12" t="n"/>
      <c r="F1190" s="12" t="n"/>
      <c r="G1190" s="14" t="n"/>
      <c r="H1190" s="14" t="n"/>
      <c r="I1190" s="12" t="n"/>
      <c r="J1190" s="14" t="n"/>
      <c r="K1190" s="12" t="n"/>
      <c r="L1190" s="13">
        <f>IF($K1190="","",IFERROR(INDEX(Dept_Names,MATCH($K1190,Dept_Codes,0)),"NOT FOUND"))</f>
        <v/>
      </c>
      <c r="M1190" s="12" t="n"/>
      <c r="N1190" s="13">
        <f>IF($M1190="","",IFERROR(INDEX(Desig_Names,MATCH($M1190,Desig_Codes,0)),"NOT FOUND"))</f>
        <v/>
      </c>
      <c r="O1190" s="13">
        <f>IF($M1190="","",IFERROR(INDEX(Desig_Levels,MATCH($M1190,Desig_Codes,0)),""))</f>
        <v/>
      </c>
      <c r="P1190" s="12" t="n"/>
      <c r="Q1190" s="12" t="n"/>
      <c r="R1190" s="12" t="n"/>
      <c r="S1190" s="13">
        <f>IF($R1190="","",IFERROR(INDEX(Emp_Names,MATCH($R1190,Emp_Codes,0)),"NOT FOUND"))</f>
        <v/>
      </c>
      <c r="T1190" s="12" t="n"/>
      <c r="U1190" s="12" t="n"/>
      <c r="V1190" s="12" t="n"/>
    </row>
    <row r="1191">
      <c r="A1191" s="12" t="n"/>
      <c r="B1191" s="12" t="n"/>
      <c r="C1191" s="12" t="n"/>
      <c r="D1191" s="13">
        <f>IF($A1191="","",TRIM($B1191&amp;" "&amp;$C1191))</f>
        <v/>
      </c>
      <c r="E1191" s="12" t="n"/>
      <c r="F1191" s="12" t="n"/>
      <c r="G1191" s="14" t="n"/>
      <c r="H1191" s="14" t="n"/>
      <c r="I1191" s="12" t="n"/>
      <c r="J1191" s="14" t="n"/>
      <c r="K1191" s="12" t="n"/>
      <c r="L1191" s="13">
        <f>IF($K1191="","",IFERROR(INDEX(Dept_Names,MATCH($K1191,Dept_Codes,0)),"NOT FOUND"))</f>
        <v/>
      </c>
      <c r="M1191" s="12" t="n"/>
      <c r="N1191" s="13">
        <f>IF($M1191="","",IFERROR(INDEX(Desig_Names,MATCH($M1191,Desig_Codes,0)),"NOT FOUND"))</f>
        <v/>
      </c>
      <c r="O1191" s="13">
        <f>IF($M1191="","",IFERROR(INDEX(Desig_Levels,MATCH($M1191,Desig_Codes,0)),""))</f>
        <v/>
      </c>
      <c r="P1191" s="12" t="n"/>
      <c r="Q1191" s="12" t="n"/>
      <c r="R1191" s="12" t="n"/>
      <c r="S1191" s="13">
        <f>IF($R1191="","",IFERROR(INDEX(Emp_Names,MATCH($R1191,Emp_Codes,0)),"NOT FOUND"))</f>
        <v/>
      </c>
      <c r="T1191" s="12" t="n"/>
      <c r="U1191" s="12" t="n"/>
      <c r="V1191" s="12" t="n"/>
    </row>
    <row r="1192">
      <c r="A1192" s="12" t="n"/>
      <c r="B1192" s="12" t="n"/>
      <c r="C1192" s="12" t="n"/>
      <c r="D1192" s="13">
        <f>IF($A1192="","",TRIM($B1192&amp;" "&amp;$C1192))</f>
        <v/>
      </c>
      <c r="E1192" s="12" t="n"/>
      <c r="F1192" s="12" t="n"/>
      <c r="G1192" s="14" t="n"/>
      <c r="H1192" s="14" t="n"/>
      <c r="I1192" s="12" t="n"/>
      <c r="J1192" s="14" t="n"/>
      <c r="K1192" s="12" t="n"/>
      <c r="L1192" s="13">
        <f>IF($K1192="","",IFERROR(INDEX(Dept_Names,MATCH($K1192,Dept_Codes,0)),"NOT FOUND"))</f>
        <v/>
      </c>
      <c r="M1192" s="12" t="n"/>
      <c r="N1192" s="13">
        <f>IF($M1192="","",IFERROR(INDEX(Desig_Names,MATCH($M1192,Desig_Codes,0)),"NOT FOUND"))</f>
        <v/>
      </c>
      <c r="O1192" s="13">
        <f>IF($M1192="","",IFERROR(INDEX(Desig_Levels,MATCH($M1192,Desig_Codes,0)),""))</f>
        <v/>
      </c>
      <c r="P1192" s="12" t="n"/>
      <c r="Q1192" s="12" t="n"/>
      <c r="R1192" s="12" t="n"/>
      <c r="S1192" s="13">
        <f>IF($R1192="","",IFERROR(INDEX(Emp_Names,MATCH($R1192,Emp_Codes,0)),"NOT FOUND"))</f>
        <v/>
      </c>
      <c r="T1192" s="12" t="n"/>
      <c r="U1192" s="12" t="n"/>
      <c r="V1192" s="12" t="n"/>
    </row>
    <row r="1193">
      <c r="A1193" s="12" t="n"/>
      <c r="B1193" s="12" t="n"/>
      <c r="C1193" s="12" t="n"/>
      <c r="D1193" s="13">
        <f>IF($A1193="","",TRIM($B1193&amp;" "&amp;$C1193))</f>
        <v/>
      </c>
      <c r="E1193" s="12" t="n"/>
      <c r="F1193" s="12" t="n"/>
      <c r="G1193" s="14" t="n"/>
      <c r="H1193" s="14" t="n"/>
      <c r="I1193" s="12" t="n"/>
      <c r="J1193" s="14" t="n"/>
      <c r="K1193" s="12" t="n"/>
      <c r="L1193" s="13">
        <f>IF($K1193="","",IFERROR(INDEX(Dept_Names,MATCH($K1193,Dept_Codes,0)),"NOT FOUND"))</f>
        <v/>
      </c>
      <c r="M1193" s="12" t="n"/>
      <c r="N1193" s="13">
        <f>IF($M1193="","",IFERROR(INDEX(Desig_Names,MATCH($M1193,Desig_Codes,0)),"NOT FOUND"))</f>
        <v/>
      </c>
      <c r="O1193" s="13">
        <f>IF($M1193="","",IFERROR(INDEX(Desig_Levels,MATCH($M1193,Desig_Codes,0)),""))</f>
        <v/>
      </c>
      <c r="P1193" s="12" t="n"/>
      <c r="Q1193" s="12" t="n"/>
      <c r="R1193" s="12" t="n"/>
      <c r="S1193" s="13">
        <f>IF($R1193="","",IFERROR(INDEX(Emp_Names,MATCH($R1193,Emp_Codes,0)),"NOT FOUND"))</f>
        <v/>
      </c>
      <c r="T1193" s="12" t="n"/>
      <c r="U1193" s="12" t="n"/>
      <c r="V1193" s="12" t="n"/>
    </row>
    <row r="1194">
      <c r="A1194" s="12" t="n"/>
      <c r="B1194" s="12" t="n"/>
      <c r="C1194" s="12" t="n"/>
      <c r="D1194" s="13">
        <f>IF($A1194="","",TRIM($B1194&amp;" "&amp;$C1194))</f>
        <v/>
      </c>
      <c r="E1194" s="12" t="n"/>
      <c r="F1194" s="12" t="n"/>
      <c r="G1194" s="14" t="n"/>
      <c r="H1194" s="14" t="n"/>
      <c r="I1194" s="12" t="n"/>
      <c r="J1194" s="14" t="n"/>
      <c r="K1194" s="12" t="n"/>
      <c r="L1194" s="13">
        <f>IF($K1194="","",IFERROR(INDEX(Dept_Names,MATCH($K1194,Dept_Codes,0)),"NOT FOUND"))</f>
        <v/>
      </c>
      <c r="M1194" s="12" t="n"/>
      <c r="N1194" s="13">
        <f>IF($M1194="","",IFERROR(INDEX(Desig_Names,MATCH($M1194,Desig_Codes,0)),"NOT FOUND"))</f>
        <v/>
      </c>
      <c r="O1194" s="13">
        <f>IF($M1194="","",IFERROR(INDEX(Desig_Levels,MATCH($M1194,Desig_Codes,0)),""))</f>
        <v/>
      </c>
      <c r="P1194" s="12" t="n"/>
      <c r="Q1194" s="12" t="n"/>
      <c r="R1194" s="12" t="n"/>
      <c r="S1194" s="13">
        <f>IF($R1194="","",IFERROR(INDEX(Emp_Names,MATCH($R1194,Emp_Codes,0)),"NOT FOUND"))</f>
        <v/>
      </c>
      <c r="T1194" s="12" t="n"/>
      <c r="U1194" s="12" t="n"/>
      <c r="V1194" s="12" t="n"/>
    </row>
    <row r="1195">
      <c r="A1195" s="12" t="n"/>
      <c r="B1195" s="12" t="n"/>
      <c r="C1195" s="12" t="n"/>
      <c r="D1195" s="13">
        <f>IF($A1195="","",TRIM($B1195&amp;" "&amp;$C1195))</f>
        <v/>
      </c>
      <c r="E1195" s="12" t="n"/>
      <c r="F1195" s="12" t="n"/>
      <c r="G1195" s="14" t="n"/>
      <c r="H1195" s="14" t="n"/>
      <c r="I1195" s="12" t="n"/>
      <c r="J1195" s="14" t="n"/>
      <c r="K1195" s="12" t="n"/>
      <c r="L1195" s="13">
        <f>IF($K1195="","",IFERROR(INDEX(Dept_Names,MATCH($K1195,Dept_Codes,0)),"NOT FOUND"))</f>
        <v/>
      </c>
      <c r="M1195" s="12" t="n"/>
      <c r="N1195" s="13">
        <f>IF($M1195="","",IFERROR(INDEX(Desig_Names,MATCH($M1195,Desig_Codes,0)),"NOT FOUND"))</f>
        <v/>
      </c>
      <c r="O1195" s="13">
        <f>IF($M1195="","",IFERROR(INDEX(Desig_Levels,MATCH($M1195,Desig_Codes,0)),""))</f>
        <v/>
      </c>
      <c r="P1195" s="12" t="n"/>
      <c r="Q1195" s="12" t="n"/>
      <c r="R1195" s="12" t="n"/>
      <c r="S1195" s="13">
        <f>IF($R1195="","",IFERROR(INDEX(Emp_Names,MATCH($R1195,Emp_Codes,0)),"NOT FOUND"))</f>
        <v/>
      </c>
      <c r="T1195" s="12" t="n"/>
      <c r="U1195" s="12" t="n"/>
      <c r="V1195" s="12" t="n"/>
    </row>
    <row r="1196">
      <c r="A1196" s="12" t="n"/>
      <c r="B1196" s="12" t="n"/>
      <c r="C1196" s="12" t="n"/>
      <c r="D1196" s="13">
        <f>IF($A1196="","",TRIM($B1196&amp;" "&amp;$C1196))</f>
        <v/>
      </c>
      <c r="E1196" s="12" t="n"/>
      <c r="F1196" s="12" t="n"/>
      <c r="G1196" s="14" t="n"/>
      <c r="H1196" s="14" t="n"/>
      <c r="I1196" s="12" t="n"/>
      <c r="J1196" s="14" t="n"/>
      <c r="K1196" s="12" t="n"/>
      <c r="L1196" s="13">
        <f>IF($K1196="","",IFERROR(INDEX(Dept_Names,MATCH($K1196,Dept_Codes,0)),"NOT FOUND"))</f>
        <v/>
      </c>
      <c r="M1196" s="12" t="n"/>
      <c r="N1196" s="13">
        <f>IF($M1196="","",IFERROR(INDEX(Desig_Names,MATCH($M1196,Desig_Codes,0)),"NOT FOUND"))</f>
        <v/>
      </c>
      <c r="O1196" s="13">
        <f>IF($M1196="","",IFERROR(INDEX(Desig_Levels,MATCH($M1196,Desig_Codes,0)),""))</f>
        <v/>
      </c>
      <c r="P1196" s="12" t="n"/>
      <c r="Q1196" s="12" t="n"/>
      <c r="R1196" s="12" t="n"/>
      <c r="S1196" s="13">
        <f>IF($R1196="","",IFERROR(INDEX(Emp_Names,MATCH($R1196,Emp_Codes,0)),"NOT FOUND"))</f>
        <v/>
      </c>
      <c r="T1196" s="12" t="n"/>
      <c r="U1196" s="12" t="n"/>
      <c r="V1196" s="12" t="n"/>
    </row>
    <row r="1197">
      <c r="A1197" s="12" t="n"/>
      <c r="B1197" s="12" t="n"/>
      <c r="C1197" s="12" t="n"/>
      <c r="D1197" s="13">
        <f>IF($A1197="","",TRIM($B1197&amp;" "&amp;$C1197))</f>
        <v/>
      </c>
      <c r="E1197" s="12" t="n"/>
      <c r="F1197" s="12" t="n"/>
      <c r="G1197" s="14" t="n"/>
      <c r="H1197" s="14" t="n"/>
      <c r="I1197" s="12" t="n"/>
      <c r="J1197" s="14" t="n"/>
      <c r="K1197" s="12" t="n"/>
      <c r="L1197" s="13">
        <f>IF($K1197="","",IFERROR(INDEX(Dept_Names,MATCH($K1197,Dept_Codes,0)),"NOT FOUND"))</f>
        <v/>
      </c>
      <c r="M1197" s="12" t="n"/>
      <c r="N1197" s="13">
        <f>IF($M1197="","",IFERROR(INDEX(Desig_Names,MATCH($M1197,Desig_Codes,0)),"NOT FOUND"))</f>
        <v/>
      </c>
      <c r="O1197" s="13">
        <f>IF($M1197="","",IFERROR(INDEX(Desig_Levels,MATCH($M1197,Desig_Codes,0)),""))</f>
        <v/>
      </c>
      <c r="P1197" s="12" t="n"/>
      <c r="Q1197" s="12" t="n"/>
      <c r="R1197" s="12" t="n"/>
      <c r="S1197" s="13">
        <f>IF($R1197="","",IFERROR(INDEX(Emp_Names,MATCH($R1197,Emp_Codes,0)),"NOT FOUND"))</f>
        <v/>
      </c>
      <c r="T1197" s="12" t="n"/>
      <c r="U1197" s="12" t="n"/>
      <c r="V1197" s="12" t="n"/>
    </row>
    <row r="1198">
      <c r="A1198" s="12" t="n"/>
      <c r="B1198" s="12" t="n"/>
      <c r="C1198" s="12" t="n"/>
      <c r="D1198" s="13">
        <f>IF($A1198="","",TRIM($B1198&amp;" "&amp;$C1198))</f>
        <v/>
      </c>
      <c r="E1198" s="12" t="n"/>
      <c r="F1198" s="12" t="n"/>
      <c r="G1198" s="14" t="n"/>
      <c r="H1198" s="14" t="n"/>
      <c r="I1198" s="12" t="n"/>
      <c r="J1198" s="14" t="n"/>
      <c r="K1198" s="12" t="n"/>
      <c r="L1198" s="13">
        <f>IF($K1198="","",IFERROR(INDEX(Dept_Names,MATCH($K1198,Dept_Codes,0)),"NOT FOUND"))</f>
        <v/>
      </c>
      <c r="M1198" s="12" t="n"/>
      <c r="N1198" s="13">
        <f>IF($M1198="","",IFERROR(INDEX(Desig_Names,MATCH($M1198,Desig_Codes,0)),"NOT FOUND"))</f>
        <v/>
      </c>
      <c r="O1198" s="13">
        <f>IF($M1198="","",IFERROR(INDEX(Desig_Levels,MATCH($M1198,Desig_Codes,0)),""))</f>
        <v/>
      </c>
      <c r="P1198" s="12" t="n"/>
      <c r="Q1198" s="12" t="n"/>
      <c r="R1198" s="12" t="n"/>
      <c r="S1198" s="13">
        <f>IF($R1198="","",IFERROR(INDEX(Emp_Names,MATCH($R1198,Emp_Codes,0)),"NOT FOUND"))</f>
        <v/>
      </c>
      <c r="T1198" s="12" t="n"/>
      <c r="U1198" s="12" t="n"/>
      <c r="V1198" s="12" t="n"/>
    </row>
    <row r="1199">
      <c r="A1199" s="12" t="n"/>
      <c r="B1199" s="12" t="n"/>
      <c r="C1199" s="12" t="n"/>
      <c r="D1199" s="13">
        <f>IF($A1199="","",TRIM($B1199&amp;" "&amp;$C1199))</f>
        <v/>
      </c>
      <c r="E1199" s="12" t="n"/>
      <c r="F1199" s="12" t="n"/>
      <c r="G1199" s="14" t="n"/>
      <c r="H1199" s="14" t="n"/>
      <c r="I1199" s="12" t="n"/>
      <c r="J1199" s="14" t="n"/>
      <c r="K1199" s="12" t="n"/>
      <c r="L1199" s="13">
        <f>IF($K1199="","",IFERROR(INDEX(Dept_Names,MATCH($K1199,Dept_Codes,0)),"NOT FOUND"))</f>
        <v/>
      </c>
      <c r="M1199" s="12" t="n"/>
      <c r="N1199" s="13">
        <f>IF($M1199="","",IFERROR(INDEX(Desig_Names,MATCH($M1199,Desig_Codes,0)),"NOT FOUND"))</f>
        <v/>
      </c>
      <c r="O1199" s="13">
        <f>IF($M1199="","",IFERROR(INDEX(Desig_Levels,MATCH($M1199,Desig_Codes,0)),""))</f>
        <v/>
      </c>
      <c r="P1199" s="12" t="n"/>
      <c r="Q1199" s="12" t="n"/>
      <c r="R1199" s="12" t="n"/>
      <c r="S1199" s="13">
        <f>IF($R1199="","",IFERROR(INDEX(Emp_Names,MATCH($R1199,Emp_Codes,0)),"NOT FOUND"))</f>
        <v/>
      </c>
      <c r="T1199" s="12" t="n"/>
      <c r="U1199" s="12" t="n"/>
      <c r="V1199" s="12" t="n"/>
    </row>
    <row r="1200">
      <c r="A1200" s="12" t="n"/>
      <c r="B1200" s="12" t="n"/>
      <c r="C1200" s="12" t="n"/>
      <c r="D1200" s="13">
        <f>IF($A1200="","",TRIM($B1200&amp;" "&amp;$C1200))</f>
        <v/>
      </c>
      <c r="E1200" s="12" t="n"/>
      <c r="F1200" s="12" t="n"/>
      <c r="G1200" s="14" t="n"/>
      <c r="H1200" s="14" t="n"/>
      <c r="I1200" s="12" t="n"/>
      <c r="J1200" s="14" t="n"/>
      <c r="K1200" s="12" t="n"/>
      <c r="L1200" s="13">
        <f>IF($K1200="","",IFERROR(INDEX(Dept_Names,MATCH($K1200,Dept_Codes,0)),"NOT FOUND"))</f>
        <v/>
      </c>
      <c r="M1200" s="12" t="n"/>
      <c r="N1200" s="13">
        <f>IF($M1200="","",IFERROR(INDEX(Desig_Names,MATCH($M1200,Desig_Codes,0)),"NOT FOUND"))</f>
        <v/>
      </c>
      <c r="O1200" s="13">
        <f>IF($M1200="","",IFERROR(INDEX(Desig_Levels,MATCH($M1200,Desig_Codes,0)),""))</f>
        <v/>
      </c>
      <c r="P1200" s="12" t="n"/>
      <c r="Q1200" s="12" t="n"/>
      <c r="R1200" s="12" t="n"/>
      <c r="S1200" s="13">
        <f>IF($R1200="","",IFERROR(INDEX(Emp_Names,MATCH($R1200,Emp_Codes,0)),"NOT FOUND"))</f>
        <v/>
      </c>
      <c r="T1200" s="12" t="n"/>
      <c r="U1200" s="12" t="n"/>
      <c r="V1200" s="12" t="n"/>
    </row>
    <row r="1201">
      <c r="A1201" s="12" t="n"/>
      <c r="B1201" s="12" t="n"/>
      <c r="C1201" s="12" t="n"/>
      <c r="D1201" s="13">
        <f>IF($A1201="","",TRIM($B1201&amp;" "&amp;$C1201))</f>
        <v/>
      </c>
      <c r="E1201" s="12" t="n"/>
      <c r="F1201" s="12" t="n"/>
      <c r="G1201" s="14" t="n"/>
      <c r="H1201" s="14" t="n"/>
      <c r="I1201" s="12" t="n"/>
      <c r="J1201" s="14" t="n"/>
      <c r="K1201" s="12" t="n"/>
      <c r="L1201" s="13">
        <f>IF($K1201="","",IFERROR(INDEX(Dept_Names,MATCH($K1201,Dept_Codes,0)),"NOT FOUND"))</f>
        <v/>
      </c>
      <c r="M1201" s="12" t="n"/>
      <c r="N1201" s="13">
        <f>IF($M1201="","",IFERROR(INDEX(Desig_Names,MATCH($M1201,Desig_Codes,0)),"NOT FOUND"))</f>
        <v/>
      </c>
      <c r="O1201" s="13">
        <f>IF($M1201="","",IFERROR(INDEX(Desig_Levels,MATCH($M1201,Desig_Codes,0)),""))</f>
        <v/>
      </c>
      <c r="P1201" s="12" t="n"/>
      <c r="Q1201" s="12" t="n"/>
      <c r="R1201" s="12" t="n"/>
      <c r="S1201" s="13">
        <f>IF($R1201="","",IFERROR(INDEX(Emp_Names,MATCH($R1201,Emp_Codes,0)),"NOT FOUND"))</f>
        <v/>
      </c>
      <c r="T1201" s="12" t="n"/>
      <c r="U1201" s="12" t="n"/>
      <c r="V1201" s="12" t="n"/>
    </row>
    <row r="1202">
      <c r="A1202" s="12" t="n"/>
      <c r="B1202" s="12" t="n"/>
      <c r="C1202" s="12" t="n"/>
      <c r="D1202" s="13">
        <f>IF($A1202="","",TRIM($B1202&amp;" "&amp;$C1202))</f>
        <v/>
      </c>
      <c r="E1202" s="12" t="n"/>
      <c r="F1202" s="12" t="n"/>
      <c r="G1202" s="14" t="n"/>
      <c r="H1202" s="14" t="n"/>
      <c r="I1202" s="12" t="n"/>
      <c r="J1202" s="14" t="n"/>
      <c r="K1202" s="12" t="n"/>
      <c r="L1202" s="13">
        <f>IF($K1202="","",IFERROR(INDEX(Dept_Names,MATCH($K1202,Dept_Codes,0)),"NOT FOUND"))</f>
        <v/>
      </c>
      <c r="M1202" s="12" t="n"/>
      <c r="N1202" s="13">
        <f>IF($M1202="","",IFERROR(INDEX(Desig_Names,MATCH($M1202,Desig_Codes,0)),"NOT FOUND"))</f>
        <v/>
      </c>
      <c r="O1202" s="13">
        <f>IF($M1202="","",IFERROR(INDEX(Desig_Levels,MATCH($M1202,Desig_Codes,0)),""))</f>
        <v/>
      </c>
      <c r="P1202" s="12" t="n"/>
      <c r="Q1202" s="12" t="n"/>
      <c r="R1202" s="12" t="n"/>
      <c r="S1202" s="13">
        <f>IF($R1202="","",IFERROR(INDEX(Emp_Names,MATCH($R1202,Emp_Codes,0)),"NOT FOUND"))</f>
        <v/>
      </c>
      <c r="T1202" s="12" t="n"/>
      <c r="U1202" s="12" t="n"/>
      <c r="V1202" s="12" t="n"/>
    </row>
    <row r="1203">
      <c r="A1203" s="12" t="n"/>
      <c r="B1203" s="12" t="n"/>
      <c r="C1203" s="12" t="n"/>
      <c r="D1203" s="13">
        <f>IF($A1203="","",TRIM($B1203&amp;" "&amp;$C1203))</f>
        <v/>
      </c>
      <c r="E1203" s="12" t="n"/>
      <c r="F1203" s="12" t="n"/>
      <c r="G1203" s="14" t="n"/>
      <c r="H1203" s="14" t="n"/>
      <c r="I1203" s="12" t="n"/>
      <c r="J1203" s="14" t="n"/>
      <c r="K1203" s="12" t="n"/>
      <c r="L1203" s="13">
        <f>IF($K1203="","",IFERROR(INDEX(Dept_Names,MATCH($K1203,Dept_Codes,0)),"NOT FOUND"))</f>
        <v/>
      </c>
      <c r="M1203" s="12" t="n"/>
      <c r="N1203" s="13">
        <f>IF($M1203="","",IFERROR(INDEX(Desig_Names,MATCH($M1203,Desig_Codes,0)),"NOT FOUND"))</f>
        <v/>
      </c>
      <c r="O1203" s="13">
        <f>IF($M1203="","",IFERROR(INDEX(Desig_Levels,MATCH($M1203,Desig_Codes,0)),""))</f>
        <v/>
      </c>
      <c r="P1203" s="12" t="n"/>
      <c r="Q1203" s="12" t="n"/>
      <c r="R1203" s="12" t="n"/>
      <c r="S1203" s="13">
        <f>IF($R1203="","",IFERROR(INDEX(Emp_Names,MATCH($R1203,Emp_Codes,0)),"NOT FOUND"))</f>
        <v/>
      </c>
      <c r="T1203" s="12" t="n"/>
      <c r="U1203" s="12" t="n"/>
      <c r="V1203" s="12" t="n"/>
    </row>
    <row r="1204">
      <c r="A1204" s="12" t="n"/>
      <c r="B1204" s="12" t="n"/>
      <c r="C1204" s="12" t="n"/>
      <c r="D1204" s="13">
        <f>IF($A1204="","",TRIM($B1204&amp;" "&amp;$C1204))</f>
        <v/>
      </c>
      <c r="E1204" s="12" t="n"/>
      <c r="F1204" s="12" t="n"/>
      <c r="G1204" s="14" t="n"/>
      <c r="H1204" s="14" t="n"/>
      <c r="I1204" s="12" t="n"/>
      <c r="J1204" s="14" t="n"/>
      <c r="K1204" s="12" t="n"/>
      <c r="L1204" s="13">
        <f>IF($K1204="","",IFERROR(INDEX(Dept_Names,MATCH($K1204,Dept_Codes,0)),"NOT FOUND"))</f>
        <v/>
      </c>
      <c r="M1204" s="12" t="n"/>
      <c r="N1204" s="13">
        <f>IF($M1204="","",IFERROR(INDEX(Desig_Names,MATCH($M1204,Desig_Codes,0)),"NOT FOUND"))</f>
        <v/>
      </c>
      <c r="O1204" s="13">
        <f>IF($M1204="","",IFERROR(INDEX(Desig_Levels,MATCH($M1204,Desig_Codes,0)),""))</f>
        <v/>
      </c>
      <c r="P1204" s="12" t="n"/>
      <c r="Q1204" s="12" t="n"/>
      <c r="R1204" s="12" t="n"/>
      <c r="S1204" s="13">
        <f>IF($R1204="","",IFERROR(INDEX(Emp_Names,MATCH($R1204,Emp_Codes,0)),"NOT FOUND"))</f>
        <v/>
      </c>
      <c r="T1204" s="12" t="n"/>
      <c r="U1204" s="12" t="n"/>
      <c r="V1204" s="12" t="n"/>
    </row>
    <row r="1205">
      <c r="A1205" s="12" t="n"/>
      <c r="B1205" s="12" t="n"/>
      <c r="C1205" s="12" t="n"/>
      <c r="D1205" s="13">
        <f>IF($A1205="","",TRIM($B1205&amp;" "&amp;$C1205))</f>
        <v/>
      </c>
      <c r="E1205" s="12" t="n"/>
      <c r="F1205" s="12" t="n"/>
      <c r="G1205" s="14" t="n"/>
      <c r="H1205" s="14" t="n"/>
      <c r="I1205" s="12" t="n"/>
      <c r="J1205" s="14" t="n"/>
      <c r="K1205" s="12" t="n"/>
      <c r="L1205" s="13">
        <f>IF($K1205="","",IFERROR(INDEX(Dept_Names,MATCH($K1205,Dept_Codes,0)),"NOT FOUND"))</f>
        <v/>
      </c>
      <c r="M1205" s="12" t="n"/>
      <c r="N1205" s="13">
        <f>IF($M1205="","",IFERROR(INDEX(Desig_Names,MATCH($M1205,Desig_Codes,0)),"NOT FOUND"))</f>
        <v/>
      </c>
      <c r="O1205" s="13">
        <f>IF($M1205="","",IFERROR(INDEX(Desig_Levels,MATCH($M1205,Desig_Codes,0)),""))</f>
        <v/>
      </c>
      <c r="P1205" s="12" t="n"/>
      <c r="Q1205" s="12" t="n"/>
      <c r="R1205" s="12" t="n"/>
      <c r="S1205" s="13">
        <f>IF($R1205="","",IFERROR(INDEX(Emp_Names,MATCH($R1205,Emp_Codes,0)),"NOT FOUND"))</f>
        <v/>
      </c>
      <c r="T1205" s="12" t="n"/>
      <c r="U1205" s="12" t="n"/>
      <c r="V1205" s="12" t="n"/>
    </row>
    <row r="1206">
      <c r="A1206" s="12" t="n"/>
      <c r="B1206" s="12" t="n"/>
      <c r="C1206" s="12" t="n"/>
      <c r="D1206" s="13">
        <f>IF($A1206="","",TRIM($B1206&amp;" "&amp;$C1206))</f>
        <v/>
      </c>
      <c r="E1206" s="12" t="n"/>
      <c r="F1206" s="12" t="n"/>
      <c r="G1206" s="14" t="n"/>
      <c r="H1206" s="14" t="n"/>
      <c r="I1206" s="12" t="n"/>
      <c r="J1206" s="14" t="n"/>
      <c r="K1206" s="12" t="n"/>
      <c r="L1206" s="13">
        <f>IF($K1206="","",IFERROR(INDEX(Dept_Names,MATCH($K1206,Dept_Codes,0)),"NOT FOUND"))</f>
        <v/>
      </c>
      <c r="M1206" s="12" t="n"/>
      <c r="N1206" s="13">
        <f>IF($M1206="","",IFERROR(INDEX(Desig_Names,MATCH($M1206,Desig_Codes,0)),"NOT FOUND"))</f>
        <v/>
      </c>
      <c r="O1206" s="13">
        <f>IF($M1206="","",IFERROR(INDEX(Desig_Levels,MATCH($M1206,Desig_Codes,0)),""))</f>
        <v/>
      </c>
      <c r="P1206" s="12" t="n"/>
      <c r="Q1206" s="12" t="n"/>
      <c r="R1206" s="12" t="n"/>
      <c r="S1206" s="13">
        <f>IF($R1206="","",IFERROR(INDEX(Emp_Names,MATCH($R1206,Emp_Codes,0)),"NOT FOUND"))</f>
        <v/>
      </c>
      <c r="T1206" s="12" t="n"/>
      <c r="U1206" s="12" t="n"/>
      <c r="V1206" s="12" t="n"/>
    </row>
    <row r="1207">
      <c r="A1207" s="12" t="n"/>
      <c r="B1207" s="12" t="n"/>
      <c r="C1207" s="12" t="n"/>
      <c r="D1207" s="13">
        <f>IF($A1207="","",TRIM($B1207&amp;" "&amp;$C1207))</f>
        <v/>
      </c>
      <c r="E1207" s="12" t="n"/>
      <c r="F1207" s="12" t="n"/>
      <c r="G1207" s="14" t="n"/>
      <c r="H1207" s="14" t="n"/>
      <c r="I1207" s="12" t="n"/>
      <c r="J1207" s="14" t="n"/>
      <c r="K1207" s="12" t="n"/>
      <c r="L1207" s="13">
        <f>IF($K1207="","",IFERROR(INDEX(Dept_Names,MATCH($K1207,Dept_Codes,0)),"NOT FOUND"))</f>
        <v/>
      </c>
      <c r="M1207" s="12" t="n"/>
      <c r="N1207" s="13">
        <f>IF($M1207="","",IFERROR(INDEX(Desig_Names,MATCH($M1207,Desig_Codes,0)),"NOT FOUND"))</f>
        <v/>
      </c>
      <c r="O1207" s="13">
        <f>IF($M1207="","",IFERROR(INDEX(Desig_Levels,MATCH($M1207,Desig_Codes,0)),""))</f>
        <v/>
      </c>
      <c r="P1207" s="12" t="n"/>
      <c r="Q1207" s="12" t="n"/>
      <c r="R1207" s="12" t="n"/>
      <c r="S1207" s="13">
        <f>IF($R1207="","",IFERROR(INDEX(Emp_Names,MATCH($R1207,Emp_Codes,0)),"NOT FOUND"))</f>
        <v/>
      </c>
      <c r="T1207" s="12" t="n"/>
      <c r="U1207" s="12" t="n"/>
      <c r="V1207" s="12" t="n"/>
    </row>
    <row r="1208">
      <c r="A1208" s="12" t="n"/>
      <c r="B1208" s="12" t="n"/>
      <c r="C1208" s="12" t="n"/>
      <c r="D1208" s="13">
        <f>IF($A1208="","",TRIM($B1208&amp;" "&amp;$C1208))</f>
        <v/>
      </c>
      <c r="E1208" s="12" t="n"/>
      <c r="F1208" s="12" t="n"/>
      <c r="G1208" s="14" t="n"/>
      <c r="H1208" s="14" t="n"/>
      <c r="I1208" s="12" t="n"/>
      <c r="J1208" s="14" t="n"/>
      <c r="K1208" s="12" t="n"/>
      <c r="L1208" s="13">
        <f>IF($K1208="","",IFERROR(INDEX(Dept_Names,MATCH($K1208,Dept_Codes,0)),"NOT FOUND"))</f>
        <v/>
      </c>
      <c r="M1208" s="12" t="n"/>
      <c r="N1208" s="13">
        <f>IF($M1208="","",IFERROR(INDEX(Desig_Names,MATCH($M1208,Desig_Codes,0)),"NOT FOUND"))</f>
        <v/>
      </c>
      <c r="O1208" s="13">
        <f>IF($M1208="","",IFERROR(INDEX(Desig_Levels,MATCH($M1208,Desig_Codes,0)),""))</f>
        <v/>
      </c>
      <c r="P1208" s="12" t="n"/>
      <c r="Q1208" s="12" t="n"/>
      <c r="R1208" s="12" t="n"/>
      <c r="S1208" s="13">
        <f>IF($R1208="","",IFERROR(INDEX(Emp_Names,MATCH($R1208,Emp_Codes,0)),"NOT FOUND"))</f>
        <v/>
      </c>
      <c r="T1208" s="12" t="n"/>
      <c r="U1208" s="12" t="n"/>
      <c r="V1208" s="12" t="n"/>
    </row>
    <row r="1209">
      <c r="A1209" s="12" t="n"/>
      <c r="B1209" s="12" t="n"/>
      <c r="C1209" s="12" t="n"/>
      <c r="D1209" s="13">
        <f>IF($A1209="","",TRIM($B1209&amp;" "&amp;$C1209))</f>
        <v/>
      </c>
      <c r="E1209" s="12" t="n"/>
      <c r="F1209" s="12" t="n"/>
      <c r="G1209" s="14" t="n"/>
      <c r="H1209" s="14" t="n"/>
      <c r="I1209" s="12" t="n"/>
      <c r="J1209" s="14" t="n"/>
      <c r="K1209" s="12" t="n"/>
      <c r="L1209" s="13">
        <f>IF($K1209="","",IFERROR(INDEX(Dept_Names,MATCH($K1209,Dept_Codes,0)),"NOT FOUND"))</f>
        <v/>
      </c>
      <c r="M1209" s="12" t="n"/>
      <c r="N1209" s="13">
        <f>IF($M1209="","",IFERROR(INDEX(Desig_Names,MATCH($M1209,Desig_Codes,0)),"NOT FOUND"))</f>
        <v/>
      </c>
      <c r="O1209" s="13">
        <f>IF($M1209="","",IFERROR(INDEX(Desig_Levels,MATCH($M1209,Desig_Codes,0)),""))</f>
        <v/>
      </c>
      <c r="P1209" s="12" t="n"/>
      <c r="Q1209" s="12" t="n"/>
      <c r="R1209" s="12" t="n"/>
      <c r="S1209" s="13">
        <f>IF($R1209="","",IFERROR(INDEX(Emp_Names,MATCH($R1209,Emp_Codes,0)),"NOT FOUND"))</f>
        <v/>
      </c>
      <c r="T1209" s="12" t="n"/>
      <c r="U1209" s="12" t="n"/>
      <c r="V1209" s="12" t="n"/>
    </row>
    <row r="1210">
      <c r="A1210" s="12" t="n"/>
      <c r="B1210" s="12" t="n"/>
      <c r="C1210" s="12" t="n"/>
      <c r="D1210" s="13">
        <f>IF($A1210="","",TRIM($B1210&amp;" "&amp;$C1210))</f>
        <v/>
      </c>
      <c r="E1210" s="12" t="n"/>
      <c r="F1210" s="12" t="n"/>
      <c r="G1210" s="14" t="n"/>
      <c r="H1210" s="14" t="n"/>
      <c r="I1210" s="12" t="n"/>
      <c r="J1210" s="14" t="n"/>
      <c r="K1210" s="12" t="n"/>
      <c r="L1210" s="13">
        <f>IF($K1210="","",IFERROR(INDEX(Dept_Names,MATCH($K1210,Dept_Codes,0)),"NOT FOUND"))</f>
        <v/>
      </c>
      <c r="M1210" s="12" t="n"/>
      <c r="N1210" s="13">
        <f>IF($M1210="","",IFERROR(INDEX(Desig_Names,MATCH($M1210,Desig_Codes,0)),"NOT FOUND"))</f>
        <v/>
      </c>
      <c r="O1210" s="13">
        <f>IF($M1210="","",IFERROR(INDEX(Desig_Levels,MATCH($M1210,Desig_Codes,0)),""))</f>
        <v/>
      </c>
      <c r="P1210" s="12" t="n"/>
      <c r="Q1210" s="12" t="n"/>
      <c r="R1210" s="12" t="n"/>
      <c r="S1210" s="13">
        <f>IF($R1210="","",IFERROR(INDEX(Emp_Names,MATCH($R1210,Emp_Codes,0)),"NOT FOUND"))</f>
        <v/>
      </c>
      <c r="T1210" s="12" t="n"/>
      <c r="U1210" s="12" t="n"/>
      <c r="V1210" s="12" t="n"/>
    </row>
    <row r="1211">
      <c r="A1211" s="12" t="n"/>
      <c r="B1211" s="12" t="n"/>
      <c r="C1211" s="12" t="n"/>
      <c r="D1211" s="13">
        <f>IF($A1211="","",TRIM($B1211&amp;" "&amp;$C1211))</f>
        <v/>
      </c>
      <c r="E1211" s="12" t="n"/>
      <c r="F1211" s="12" t="n"/>
      <c r="G1211" s="14" t="n"/>
      <c r="H1211" s="14" t="n"/>
      <c r="I1211" s="12" t="n"/>
      <c r="J1211" s="14" t="n"/>
      <c r="K1211" s="12" t="n"/>
      <c r="L1211" s="13">
        <f>IF($K1211="","",IFERROR(INDEX(Dept_Names,MATCH($K1211,Dept_Codes,0)),"NOT FOUND"))</f>
        <v/>
      </c>
      <c r="M1211" s="12" t="n"/>
      <c r="N1211" s="13">
        <f>IF($M1211="","",IFERROR(INDEX(Desig_Names,MATCH($M1211,Desig_Codes,0)),"NOT FOUND"))</f>
        <v/>
      </c>
      <c r="O1211" s="13">
        <f>IF($M1211="","",IFERROR(INDEX(Desig_Levels,MATCH($M1211,Desig_Codes,0)),""))</f>
        <v/>
      </c>
      <c r="P1211" s="12" t="n"/>
      <c r="Q1211" s="12" t="n"/>
      <c r="R1211" s="12" t="n"/>
      <c r="S1211" s="13">
        <f>IF($R1211="","",IFERROR(INDEX(Emp_Names,MATCH($R1211,Emp_Codes,0)),"NOT FOUND"))</f>
        <v/>
      </c>
      <c r="T1211" s="12" t="n"/>
      <c r="U1211" s="12" t="n"/>
      <c r="V1211" s="12" t="n"/>
    </row>
    <row r="1212">
      <c r="A1212" s="12" t="n"/>
      <c r="B1212" s="12" t="n"/>
      <c r="C1212" s="12" t="n"/>
      <c r="D1212" s="13">
        <f>IF($A1212="","",TRIM($B1212&amp;" "&amp;$C1212))</f>
        <v/>
      </c>
      <c r="E1212" s="12" t="n"/>
      <c r="F1212" s="12" t="n"/>
      <c r="G1212" s="14" t="n"/>
      <c r="H1212" s="14" t="n"/>
      <c r="I1212" s="12" t="n"/>
      <c r="J1212" s="14" t="n"/>
      <c r="K1212" s="12" t="n"/>
      <c r="L1212" s="13">
        <f>IF($K1212="","",IFERROR(INDEX(Dept_Names,MATCH($K1212,Dept_Codes,0)),"NOT FOUND"))</f>
        <v/>
      </c>
      <c r="M1212" s="12" t="n"/>
      <c r="N1212" s="13">
        <f>IF($M1212="","",IFERROR(INDEX(Desig_Names,MATCH($M1212,Desig_Codes,0)),"NOT FOUND"))</f>
        <v/>
      </c>
      <c r="O1212" s="13">
        <f>IF($M1212="","",IFERROR(INDEX(Desig_Levels,MATCH($M1212,Desig_Codes,0)),""))</f>
        <v/>
      </c>
      <c r="P1212" s="12" t="n"/>
      <c r="Q1212" s="12" t="n"/>
      <c r="R1212" s="12" t="n"/>
      <c r="S1212" s="13">
        <f>IF($R1212="","",IFERROR(INDEX(Emp_Names,MATCH($R1212,Emp_Codes,0)),"NOT FOUND"))</f>
        <v/>
      </c>
      <c r="T1212" s="12" t="n"/>
      <c r="U1212" s="12" t="n"/>
      <c r="V1212" s="12" t="n"/>
    </row>
    <row r="1213">
      <c r="A1213" s="12" t="n"/>
      <c r="B1213" s="12" t="n"/>
      <c r="C1213" s="12" t="n"/>
      <c r="D1213" s="13">
        <f>IF($A1213="","",TRIM($B1213&amp;" "&amp;$C1213))</f>
        <v/>
      </c>
      <c r="E1213" s="12" t="n"/>
      <c r="F1213" s="12" t="n"/>
      <c r="G1213" s="14" t="n"/>
      <c r="H1213" s="14" t="n"/>
      <c r="I1213" s="12" t="n"/>
      <c r="J1213" s="14" t="n"/>
      <c r="K1213" s="12" t="n"/>
      <c r="L1213" s="13">
        <f>IF($K1213="","",IFERROR(INDEX(Dept_Names,MATCH($K1213,Dept_Codes,0)),"NOT FOUND"))</f>
        <v/>
      </c>
      <c r="M1213" s="12" t="n"/>
      <c r="N1213" s="13">
        <f>IF($M1213="","",IFERROR(INDEX(Desig_Names,MATCH($M1213,Desig_Codes,0)),"NOT FOUND"))</f>
        <v/>
      </c>
      <c r="O1213" s="13">
        <f>IF($M1213="","",IFERROR(INDEX(Desig_Levels,MATCH($M1213,Desig_Codes,0)),""))</f>
        <v/>
      </c>
      <c r="P1213" s="12" t="n"/>
      <c r="Q1213" s="12" t="n"/>
      <c r="R1213" s="12" t="n"/>
      <c r="S1213" s="13">
        <f>IF($R1213="","",IFERROR(INDEX(Emp_Names,MATCH($R1213,Emp_Codes,0)),"NOT FOUND"))</f>
        <v/>
      </c>
      <c r="T1213" s="12" t="n"/>
      <c r="U1213" s="12" t="n"/>
      <c r="V1213" s="12" t="n"/>
    </row>
    <row r="1214">
      <c r="A1214" s="12" t="n"/>
      <c r="B1214" s="12" t="n"/>
      <c r="C1214" s="12" t="n"/>
      <c r="D1214" s="13">
        <f>IF($A1214="","",TRIM($B1214&amp;" "&amp;$C1214))</f>
        <v/>
      </c>
      <c r="E1214" s="12" t="n"/>
      <c r="F1214" s="12" t="n"/>
      <c r="G1214" s="14" t="n"/>
      <c r="H1214" s="14" t="n"/>
      <c r="I1214" s="12" t="n"/>
      <c r="J1214" s="14" t="n"/>
      <c r="K1214" s="12" t="n"/>
      <c r="L1214" s="13">
        <f>IF($K1214="","",IFERROR(INDEX(Dept_Names,MATCH($K1214,Dept_Codes,0)),"NOT FOUND"))</f>
        <v/>
      </c>
      <c r="M1214" s="12" t="n"/>
      <c r="N1214" s="13">
        <f>IF($M1214="","",IFERROR(INDEX(Desig_Names,MATCH($M1214,Desig_Codes,0)),"NOT FOUND"))</f>
        <v/>
      </c>
      <c r="O1214" s="13">
        <f>IF($M1214="","",IFERROR(INDEX(Desig_Levels,MATCH($M1214,Desig_Codes,0)),""))</f>
        <v/>
      </c>
      <c r="P1214" s="12" t="n"/>
      <c r="Q1214" s="12" t="n"/>
      <c r="R1214" s="12" t="n"/>
      <c r="S1214" s="13">
        <f>IF($R1214="","",IFERROR(INDEX(Emp_Names,MATCH($R1214,Emp_Codes,0)),"NOT FOUND"))</f>
        <v/>
      </c>
      <c r="T1214" s="12" t="n"/>
      <c r="U1214" s="12" t="n"/>
      <c r="V1214" s="12" t="n"/>
    </row>
    <row r="1215">
      <c r="A1215" s="12" t="n"/>
      <c r="B1215" s="12" t="n"/>
      <c r="C1215" s="12" t="n"/>
      <c r="D1215" s="13">
        <f>IF($A1215="","",TRIM($B1215&amp;" "&amp;$C1215))</f>
        <v/>
      </c>
      <c r="E1215" s="12" t="n"/>
      <c r="F1215" s="12" t="n"/>
      <c r="G1215" s="14" t="n"/>
      <c r="H1215" s="14" t="n"/>
      <c r="I1215" s="12" t="n"/>
      <c r="J1215" s="14" t="n"/>
      <c r="K1215" s="12" t="n"/>
      <c r="L1215" s="13">
        <f>IF($K1215="","",IFERROR(INDEX(Dept_Names,MATCH($K1215,Dept_Codes,0)),"NOT FOUND"))</f>
        <v/>
      </c>
      <c r="M1215" s="12" t="n"/>
      <c r="N1215" s="13">
        <f>IF($M1215="","",IFERROR(INDEX(Desig_Names,MATCH($M1215,Desig_Codes,0)),"NOT FOUND"))</f>
        <v/>
      </c>
      <c r="O1215" s="13">
        <f>IF($M1215="","",IFERROR(INDEX(Desig_Levels,MATCH($M1215,Desig_Codes,0)),""))</f>
        <v/>
      </c>
      <c r="P1215" s="12" t="n"/>
      <c r="Q1215" s="12" t="n"/>
      <c r="R1215" s="12" t="n"/>
      <c r="S1215" s="13">
        <f>IF($R1215="","",IFERROR(INDEX(Emp_Names,MATCH($R1215,Emp_Codes,0)),"NOT FOUND"))</f>
        <v/>
      </c>
      <c r="T1215" s="12" t="n"/>
      <c r="U1215" s="12" t="n"/>
      <c r="V1215" s="12" t="n"/>
    </row>
    <row r="1216">
      <c r="A1216" s="12" t="n"/>
      <c r="B1216" s="12" t="n"/>
      <c r="C1216" s="12" t="n"/>
      <c r="D1216" s="13">
        <f>IF($A1216="","",TRIM($B1216&amp;" "&amp;$C1216))</f>
        <v/>
      </c>
      <c r="E1216" s="12" t="n"/>
      <c r="F1216" s="12" t="n"/>
      <c r="G1216" s="14" t="n"/>
      <c r="H1216" s="14" t="n"/>
      <c r="I1216" s="12" t="n"/>
      <c r="J1216" s="14" t="n"/>
      <c r="K1216" s="12" t="n"/>
      <c r="L1216" s="13">
        <f>IF($K1216="","",IFERROR(INDEX(Dept_Names,MATCH($K1216,Dept_Codes,0)),"NOT FOUND"))</f>
        <v/>
      </c>
      <c r="M1216" s="12" t="n"/>
      <c r="N1216" s="13">
        <f>IF($M1216="","",IFERROR(INDEX(Desig_Names,MATCH($M1216,Desig_Codes,0)),"NOT FOUND"))</f>
        <v/>
      </c>
      <c r="O1216" s="13">
        <f>IF($M1216="","",IFERROR(INDEX(Desig_Levels,MATCH($M1216,Desig_Codes,0)),""))</f>
        <v/>
      </c>
      <c r="P1216" s="12" t="n"/>
      <c r="Q1216" s="12" t="n"/>
      <c r="R1216" s="12" t="n"/>
      <c r="S1216" s="13">
        <f>IF($R1216="","",IFERROR(INDEX(Emp_Names,MATCH($R1216,Emp_Codes,0)),"NOT FOUND"))</f>
        <v/>
      </c>
      <c r="T1216" s="12" t="n"/>
      <c r="U1216" s="12" t="n"/>
      <c r="V1216" s="12" t="n"/>
    </row>
    <row r="1217">
      <c r="A1217" s="12" t="n"/>
      <c r="B1217" s="12" t="n"/>
      <c r="C1217" s="12" t="n"/>
      <c r="D1217" s="13">
        <f>IF($A1217="","",TRIM($B1217&amp;" "&amp;$C1217))</f>
        <v/>
      </c>
      <c r="E1217" s="12" t="n"/>
      <c r="F1217" s="12" t="n"/>
      <c r="G1217" s="14" t="n"/>
      <c r="H1217" s="14" t="n"/>
      <c r="I1217" s="12" t="n"/>
      <c r="J1217" s="14" t="n"/>
      <c r="K1217" s="12" t="n"/>
      <c r="L1217" s="13">
        <f>IF($K1217="","",IFERROR(INDEX(Dept_Names,MATCH($K1217,Dept_Codes,0)),"NOT FOUND"))</f>
        <v/>
      </c>
      <c r="M1217" s="12" t="n"/>
      <c r="N1217" s="13">
        <f>IF($M1217="","",IFERROR(INDEX(Desig_Names,MATCH($M1217,Desig_Codes,0)),"NOT FOUND"))</f>
        <v/>
      </c>
      <c r="O1217" s="13">
        <f>IF($M1217="","",IFERROR(INDEX(Desig_Levels,MATCH($M1217,Desig_Codes,0)),""))</f>
        <v/>
      </c>
      <c r="P1217" s="12" t="n"/>
      <c r="Q1217" s="12" t="n"/>
      <c r="R1217" s="12" t="n"/>
      <c r="S1217" s="13">
        <f>IF($R1217="","",IFERROR(INDEX(Emp_Names,MATCH($R1217,Emp_Codes,0)),"NOT FOUND"))</f>
        <v/>
      </c>
      <c r="T1217" s="12" t="n"/>
      <c r="U1217" s="12" t="n"/>
      <c r="V1217" s="12" t="n"/>
    </row>
    <row r="1218">
      <c r="A1218" s="12" t="n"/>
      <c r="B1218" s="12" t="n"/>
      <c r="C1218" s="12" t="n"/>
      <c r="D1218" s="13">
        <f>IF($A1218="","",TRIM($B1218&amp;" "&amp;$C1218))</f>
        <v/>
      </c>
      <c r="E1218" s="12" t="n"/>
      <c r="F1218" s="12" t="n"/>
      <c r="G1218" s="14" t="n"/>
      <c r="H1218" s="14" t="n"/>
      <c r="I1218" s="12" t="n"/>
      <c r="J1218" s="14" t="n"/>
      <c r="K1218" s="12" t="n"/>
      <c r="L1218" s="13">
        <f>IF($K1218="","",IFERROR(INDEX(Dept_Names,MATCH($K1218,Dept_Codes,0)),"NOT FOUND"))</f>
        <v/>
      </c>
      <c r="M1218" s="12" t="n"/>
      <c r="N1218" s="13">
        <f>IF($M1218="","",IFERROR(INDEX(Desig_Names,MATCH($M1218,Desig_Codes,0)),"NOT FOUND"))</f>
        <v/>
      </c>
      <c r="O1218" s="13">
        <f>IF($M1218="","",IFERROR(INDEX(Desig_Levels,MATCH($M1218,Desig_Codes,0)),""))</f>
        <v/>
      </c>
      <c r="P1218" s="12" t="n"/>
      <c r="Q1218" s="12" t="n"/>
      <c r="R1218" s="12" t="n"/>
      <c r="S1218" s="13">
        <f>IF($R1218="","",IFERROR(INDEX(Emp_Names,MATCH($R1218,Emp_Codes,0)),"NOT FOUND"))</f>
        <v/>
      </c>
      <c r="T1218" s="12" t="n"/>
      <c r="U1218" s="12" t="n"/>
      <c r="V1218" s="12" t="n"/>
    </row>
    <row r="1219">
      <c r="A1219" s="12" t="n"/>
      <c r="B1219" s="12" t="n"/>
      <c r="C1219" s="12" t="n"/>
      <c r="D1219" s="13">
        <f>IF($A1219="","",TRIM($B1219&amp;" "&amp;$C1219))</f>
        <v/>
      </c>
      <c r="E1219" s="12" t="n"/>
      <c r="F1219" s="12" t="n"/>
      <c r="G1219" s="14" t="n"/>
      <c r="H1219" s="14" t="n"/>
      <c r="I1219" s="12" t="n"/>
      <c r="J1219" s="14" t="n"/>
      <c r="K1219" s="12" t="n"/>
      <c r="L1219" s="13">
        <f>IF($K1219="","",IFERROR(INDEX(Dept_Names,MATCH($K1219,Dept_Codes,0)),"NOT FOUND"))</f>
        <v/>
      </c>
      <c r="M1219" s="12" t="n"/>
      <c r="N1219" s="13">
        <f>IF($M1219="","",IFERROR(INDEX(Desig_Names,MATCH($M1219,Desig_Codes,0)),"NOT FOUND"))</f>
        <v/>
      </c>
      <c r="O1219" s="13">
        <f>IF($M1219="","",IFERROR(INDEX(Desig_Levels,MATCH($M1219,Desig_Codes,0)),""))</f>
        <v/>
      </c>
      <c r="P1219" s="12" t="n"/>
      <c r="Q1219" s="12" t="n"/>
      <c r="R1219" s="12" t="n"/>
      <c r="S1219" s="13">
        <f>IF($R1219="","",IFERROR(INDEX(Emp_Names,MATCH($R1219,Emp_Codes,0)),"NOT FOUND"))</f>
        <v/>
      </c>
      <c r="T1219" s="12" t="n"/>
      <c r="U1219" s="12" t="n"/>
      <c r="V1219" s="12" t="n"/>
    </row>
    <row r="1220">
      <c r="A1220" s="12" t="n"/>
      <c r="B1220" s="12" t="n"/>
      <c r="C1220" s="12" t="n"/>
      <c r="D1220" s="13">
        <f>IF($A1220="","",TRIM($B1220&amp;" "&amp;$C1220))</f>
        <v/>
      </c>
      <c r="E1220" s="12" t="n"/>
      <c r="F1220" s="12" t="n"/>
      <c r="G1220" s="14" t="n"/>
      <c r="H1220" s="14" t="n"/>
      <c r="I1220" s="12" t="n"/>
      <c r="J1220" s="14" t="n"/>
      <c r="K1220" s="12" t="n"/>
      <c r="L1220" s="13">
        <f>IF($K1220="","",IFERROR(INDEX(Dept_Names,MATCH($K1220,Dept_Codes,0)),"NOT FOUND"))</f>
        <v/>
      </c>
      <c r="M1220" s="12" t="n"/>
      <c r="N1220" s="13">
        <f>IF($M1220="","",IFERROR(INDEX(Desig_Names,MATCH($M1220,Desig_Codes,0)),"NOT FOUND"))</f>
        <v/>
      </c>
      <c r="O1220" s="13">
        <f>IF($M1220="","",IFERROR(INDEX(Desig_Levels,MATCH($M1220,Desig_Codes,0)),""))</f>
        <v/>
      </c>
      <c r="P1220" s="12" t="n"/>
      <c r="Q1220" s="12" t="n"/>
      <c r="R1220" s="12" t="n"/>
      <c r="S1220" s="13">
        <f>IF($R1220="","",IFERROR(INDEX(Emp_Names,MATCH($R1220,Emp_Codes,0)),"NOT FOUND"))</f>
        <v/>
      </c>
      <c r="T1220" s="12" t="n"/>
      <c r="U1220" s="12" t="n"/>
      <c r="V1220" s="12" t="n"/>
    </row>
    <row r="1221">
      <c r="A1221" s="12" t="n"/>
      <c r="B1221" s="12" t="n"/>
      <c r="C1221" s="12" t="n"/>
      <c r="D1221" s="13">
        <f>IF($A1221="","",TRIM($B1221&amp;" "&amp;$C1221))</f>
        <v/>
      </c>
      <c r="E1221" s="12" t="n"/>
      <c r="F1221" s="12" t="n"/>
      <c r="G1221" s="14" t="n"/>
      <c r="H1221" s="14" t="n"/>
      <c r="I1221" s="12" t="n"/>
      <c r="J1221" s="14" t="n"/>
      <c r="K1221" s="12" t="n"/>
      <c r="L1221" s="13">
        <f>IF($K1221="","",IFERROR(INDEX(Dept_Names,MATCH($K1221,Dept_Codes,0)),"NOT FOUND"))</f>
        <v/>
      </c>
      <c r="M1221" s="12" t="n"/>
      <c r="N1221" s="13">
        <f>IF($M1221="","",IFERROR(INDEX(Desig_Names,MATCH($M1221,Desig_Codes,0)),"NOT FOUND"))</f>
        <v/>
      </c>
      <c r="O1221" s="13">
        <f>IF($M1221="","",IFERROR(INDEX(Desig_Levels,MATCH($M1221,Desig_Codes,0)),""))</f>
        <v/>
      </c>
      <c r="P1221" s="12" t="n"/>
      <c r="Q1221" s="12" t="n"/>
      <c r="R1221" s="12" t="n"/>
      <c r="S1221" s="13">
        <f>IF($R1221="","",IFERROR(INDEX(Emp_Names,MATCH($R1221,Emp_Codes,0)),"NOT FOUND"))</f>
        <v/>
      </c>
      <c r="T1221" s="12" t="n"/>
      <c r="U1221" s="12" t="n"/>
      <c r="V1221" s="12" t="n"/>
    </row>
    <row r="1222">
      <c r="A1222" s="12" t="n"/>
      <c r="B1222" s="12" t="n"/>
      <c r="C1222" s="12" t="n"/>
      <c r="D1222" s="13">
        <f>IF($A1222="","",TRIM($B1222&amp;" "&amp;$C1222))</f>
        <v/>
      </c>
      <c r="E1222" s="12" t="n"/>
      <c r="F1222" s="12" t="n"/>
      <c r="G1222" s="14" t="n"/>
      <c r="H1222" s="14" t="n"/>
      <c r="I1222" s="12" t="n"/>
      <c r="J1222" s="14" t="n"/>
      <c r="K1222" s="12" t="n"/>
      <c r="L1222" s="13">
        <f>IF($K1222="","",IFERROR(INDEX(Dept_Names,MATCH($K1222,Dept_Codes,0)),"NOT FOUND"))</f>
        <v/>
      </c>
      <c r="M1222" s="12" t="n"/>
      <c r="N1222" s="13">
        <f>IF($M1222="","",IFERROR(INDEX(Desig_Names,MATCH($M1222,Desig_Codes,0)),"NOT FOUND"))</f>
        <v/>
      </c>
      <c r="O1222" s="13">
        <f>IF($M1222="","",IFERROR(INDEX(Desig_Levels,MATCH($M1222,Desig_Codes,0)),""))</f>
        <v/>
      </c>
      <c r="P1222" s="12" t="n"/>
      <c r="Q1222" s="12" t="n"/>
      <c r="R1222" s="12" t="n"/>
      <c r="S1222" s="13">
        <f>IF($R1222="","",IFERROR(INDEX(Emp_Names,MATCH($R1222,Emp_Codes,0)),"NOT FOUND"))</f>
        <v/>
      </c>
      <c r="T1222" s="12" t="n"/>
      <c r="U1222" s="12" t="n"/>
      <c r="V1222" s="12" t="n"/>
    </row>
    <row r="1223">
      <c r="A1223" s="12" t="n"/>
      <c r="B1223" s="12" t="n"/>
      <c r="C1223" s="12" t="n"/>
      <c r="D1223" s="13">
        <f>IF($A1223="","",TRIM($B1223&amp;" "&amp;$C1223))</f>
        <v/>
      </c>
      <c r="E1223" s="12" t="n"/>
      <c r="F1223" s="12" t="n"/>
      <c r="G1223" s="14" t="n"/>
      <c r="H1223" s="14" t="n"/>
      <c r="I1223" s="12" t="n"/>
      <c r="J1223" s="14" t="n"/>
      <c r="K1223" s="12" t="n"/>
      <c r="L1223" s="13">
        <f>IF($K1223="","",IFERROR(INDEX(Dept_Names,MATCH($K1223,Dept_Codes,0)),"NOT FOUND"))</f>
        <v/>
      </c>
      <c r="M1223" s="12" t="n"/>
      <c r="N1223" s="13">
        <f>IF($M1223="","",IFERROR(INDEX(Desig_Names,MATCH($M1223,Desig_Codes,0)),"NOT FOUND"))</f>
        <v/>
      </c>
      <c r="O1223" s="13">
        <f>IF($M1223="","",IFERROR(INDEX(Desig_Levels,MATCH($M1223,Desig_Codes,0)),""))</f>
        <v/>
      </c>
      <c r="P1223" s="12" t="n"/>
      <c r="Q1223" s="12" t="n"/>
      <c r="R1223" s="12" t="n"/>
      <c r="S1223" s="13">
        <f>IF($R1223="","",IFERROR(INDEX(Emp_Names,MATCH($R1223,Emp_Codes,0)),"NOT FOUND"))</f>
        <v/>
      </c>
      <c r="T1223" s="12" t="n"/>
      <c r="U1223" s="12" t="n"/>
      <c r="V1223" s="12" t="n"/>
    </row>
    <row r="1224">
      <c r="A1224" s="12" t="n"/>
      <c r="B1224" s="12" t="n"/>
      <c r="C1224" s="12" t="n"/>
      <c r="D1224" s="13">
        <f>IF($A1224="","",TRIM($B1224&amp;" "&amp;$C1224))</f>
        <v/>
      </c>
      <c r="E1224" s="12" t="n"/>
      <c r="F1224" s="12" t="n"/>
      <c r="G1224" s="14" t="n"/>
      <c r="H1224" s="14" t="n"/>
      <c r="I1224" s="12" t="n"/>
      <c r="J1224" s="14" t="n"/>
      <c r="K1224" s="12" t="n"/>
      <c r="L1224" s="13">
        <f>IF($K1224="","",IFERROR(INDEX(Dept_Names,MATCH($K1224,Dept_Codes,0)),"NOT FOUND"))</f>
        <v/>
      </c>
      <c r="M1224" s="12" t="n"/>
      <c r="N1224" s="13">
        <f>IF($M1224="","",IFERROR(INDEX(Desig_Names,MATCH($M1224,Desig_Codes,0)),"NOT FOUND"))</f>
        <v/>
      </c>
      <c r="O1224" s="13">
        <f>IF($M1224="","",IFERROR(INDEX(Desig_Levels,MATCH($M1224,Desig_Codes,0)),""))</f>
        <v/>
      </c>
      <c r="P1224" s="12" t="n"/>
      <c r="Q1224" s="12" t="n"/>
      <c r="R1224" s="12" t="n"/>
      <c r="S1224" s="13">
        <f>IF($R1224="","",IFERROR(INDEX(Emp_Names,MATCH($R1224,Emp_Codes,0)),"NOT FOUND"))</f>
        <v/>
      </c>
      <c r="T1224" s="12" t="n"/>
      <c r="U1224" s="12" t="n"/>
      <c r="V1224" s="12" t="n"/>
    </row>
    <row r="1225">
      <c r="A1225" s="12" t="n"/>
      <c r="B1225" s="12" t="n"/>
      <c r="C1225" s="12" t="n"/>
      <c r="D1225" s="13">
        <f>IF($A1225="","",TRIM($B1225&amp;" "&amp;$C1225))</f>
        <v/>
      </c>
      <c r="E1225" s="12" t="n"/>
      <c r="F1225" s="12" t="n"/>
      <c r="G1225" s="14" t="n"/>
      <c r="H1225" s="14" t="n"/>
      <c r="I1225" s="12" t="n"/>
      <c r="J1225" s="14" t="n"/>
      <c r="K1225" s="12" t="n"/>
      <c r="L1225" s="13">
        <f>IF($K1225="","",IFERROR(INDEX(Dept_Names,MATCH($K1225,Dept_Codes,0)),"NOT FOUND"))</f>
        <v/>
      </c>
      <c r="M1225" s="12" t="n"/>
      <c r="N1225" s="13">
        <f>IF($M1225="","",IFERROR(INDEX(Desig_Names,MATCH($M1225,Desig_Codes,0)),"NOT FOUND"))</f>
        <v/>
      </c>
      <c r="O1225" s="13">
        <f>IF($M1225="","",IFERROR(INDEX(Desig_Levels,MATCH($M1225,Desig_Codes,0)),""))</f>
        <v/>
      </c>
      <c r="P1225" s="12" t="n"/>
      <c r="Q1225" s="12" t="n"/>
      <c r="R1225" s="12" t="n"/>
      <c r="S1225" s="13">
        <f>IF($R1225="","",IFERROR(INDEX(Emp_Names,MATCH($R1225,Emp_Codes,0)),"NOT FOUND"))</f>
        <v/>
      </c>
      <c r="T1225" s="12" t="n"/>
      <c r="U1225" s="12" t="n"/>
      <c r="V1225" s="12" t="n"/>
    </row>
    <row r="1226">
      <c r="A1226" s="12" t="n"/>
      <c r="B1226" s="12" t="n"/>
      <c r="C1226" s="12" t="n"/>
      <c r="D1226" s="13">
        <f>IF($A1226="","",TRIM($B1226&amp;" "&amp;$C1226))</f>
        <v/>
      </c>
      <c r="E1226" s="12" t="n"/>
      <c r="F1226" s="12" t="n"/>
      <c r="G1226" s="14" t="n"/>
      <c r="H1226" s="14" t="n"/>
      <c r="I1226" s="12" t="n"/>
      <c r="J1226" s="14" t="n"/>
      <c r="K1226" s="12" t="n"/>
      <c r="L1226" s="13">
        <f>IF($K1226="","",IFERROR(INDEX(Dept_Names,MATCH($K1226,Dept_Codes,0)),"NOT FOUND"))</f>
        <v/>
      </c>
      <c r="M1226" s="12" t="n"/>
      <c r="N1226" s="13">
        <f>IF($M1226="","",IFERROR(INDEX(Desig_Names,MATCH($M1226,Desig_Codes,0)),"NOT FOUND"))</f>
        <v/>
      </c>
      <c r="O1226" s="13">
        <f>IF($M1226="","",IFERROR(INDEX(Desig_Levels,MATCH($M1226,Desig_Codes,0)),""))</f>
        <v/>
      </c>
      <c r="P1226" s="12" t="n"/>
      <c r="Q1226" s="12" t="n"/>
      <c r="R1226" s="12" t="n"/>
      <c r="S1226" s="13">
        <f>IF($R1226="","",IFERROR(INDEX(Emp_Names,MATCH($R1226,Emp_Codes,0)),"NOT FOUND"))</f>
        <v/>
      </c>
      <c r="T1226" s="12" t="n"/>
      <c r="U1226" s="12" t="n"/>
      <c r="V1226" s="12" t="n"/>
    </row>
    <row r="1227">
      <c r="A1227" s="12" t="n"/>
      <c r="B1227" s="12" t="n"/>
      <c r="C1227" s="12" t="n"/>
      <c r="D1227" s="13">
        <f>IF($A1227="","",TRIM($B1227&amp;" "&amp;$C1227))</f>
        <v/>
      </c>
      <c r="E1227" s="12" t="n"/>
      <c r="F1227" s="12" t="n"/>
      <c r="G1227" s="14" t="n"/>
      <c r="H1227" s="14" t="n"/>
      <c r="I1227" s="12" t="n"/>
      <c r="J1227" s="14" t="n"/>
      <c r="K1227" s="12" t="n"/>
      <c r="L1227" s="13">
        <f>IF($K1227="","",IFERROR(INDEX(Dept_Names,MATCH($K1227,Dept_Codes,0)),"NOT FOUND"))</f>
        <v/>
      </c>
      <c r="M1227" s="12" t="n"/>
      <c r="N1227" s="13">
        <f>IF($M1227="","",IFERROR(INDEX(Desig_Names,MATCH($M1227,Desig_Codes,0)),"NOT FOUND"))</f>
        <v/>
      </c>
      <c r="O1227" s="13">
        <f>IF($M1227="","",IFERROR(INDEX(Desig_Levels,MATCH($M1227,Desig_Codes,0)),""))</f>
        <v/>
      </c>
      <c r="P1227" s="12" t="n"/>
      <c r="Q1227" s="12" t="n"/>
      <c r="R1227" s="12" t="n"/>
      <c r="S1227" s="13">
        <f>IF($R1227="","",IFERROR(INDEX(Emp_Names,MATCH($R1227,Emp_Codes,0)),"NOT FOUND"))</f>
        <v/>
      </c>
      <c r="T1227" s="12" t="n"/>
      <c r="U1227" s="12" t="n"/>
      <c r="V1227" s="12" t="n"/>
    </row>
    <row r="1228">
      <c r="A1228" s="12" t="n"/>
      <c r="B1228" s="12" t="n"/>
      <c r="C1228" s="12" t="n"/>
      <c r="D1228" s="13">
        <f>IF($A1228="","",TRIM($B1228&amp;" "&amp;$C1228))</f>
        <v/>
      </c>
      <c r="E1228" s="12" t="n"/>
      <c r="F1228" s="12" t="n"/>
      <c r="G1228" s="14" t="n"/>
      <c r="H1228" s="14" t="n"/>
      <c r="I1228" s="12" t="n"/>
      <c r="J1228" s="14" t="n"/>
      <c r="K1228" s="12" t="n"/>
      <c r="L1228" s="13">
        <f>IF($K1228="","",IFERROR(INDEX(Dept_Names,MATCH($K1228,Dept_Codes,0)),"NOT FOUND"))</f>
        <v/>
      </c>
      <c r="M1228" s="12" t="n"/>
      <c r="N1228" s="13">
        <f>IF($M1228="","",IFERROR(INDEX(Desig_Names,MATCH($M1228,Desig_Codes,0)),"NOT FOUND"))</f>
        <v/>
      </c>
      <c r="O1228" s="13">
        <f>IF($M1228="","",IFERROR(INDEX(Desig_Levels,MATCH($M1228,Desig_Codes,0)),""))</f>
        <v/>
      </c>
      <c r="P1228" s="12" t="n"/>
      <c r="Q1228" s="12" t="n"/>
      <c r="R1228" s="12" t="n"/>
      <c r="S1228" s="13">
        <f>IF($R1228="","",IFERROR(INDEX(Emp_Names,MATCH($R1228,Emp_Codes,0)),"NOT FOUND"))</f>
        <v/>
      </c>
      <c r="T1228" s="12" t="n"/>
      <c r="U1228" s="12" t="n"/>
      <c r="V1228" s="12" t="n"/>
    </row>
    <row r="1229">
      <c r="A1229" s="12" t="n"/>
      <c r="B1229" s="12" t="n"/>
      <c r="C1229" s="12" t="n"/>
      <c r="D1229" s="13">
        <f>IF($A1229="","",TRIM($B1229&amp;" "&amp;$C1229))</f>
        <v/>
      </c>
      <c r="E1229" s="12" t="n"/>
      <c r="F1229" s="12" t="n"/>
      <c r="G1229" s="14" t="n"/>
      <c r="H1229" s="14" t="n"/>
      <c r="I1229" s="12" t="n"/>
      <c r="J1229" s="14" t="n"/>
      <c r="K1229" s="12" t="n"/>
      <c r="L1229" s="13">
        <f>IF($K1229="","",IFERROR(INDEX(Dept_Names,MATCH($K1229,Dept_Codes,0)),"NOT FOUND"))</f>
        <v/>
      </c>
      <c r="M1229" s="12" t="n"/>
      <c r="N1229" s="13">
        <f>IF($M1229="","",IFERROR(INDEX(Desig_Names,MATCH($M1229,Desig_Codes,0)),"NOT FOUND"))</f>
        <v/>
      </c>
      <c r="O1229" s="13">
        <f>IF($M1229="","",IFERROR(INDEX(Desig_Levels,MATCH($M1229,Desig_Codes,0)),""))</f>
        <v/>
      </c>
      <c r="P1229" s="12" t="n"/>
      <c r="Q1229" s="12" t="n"/>
      <c r="R1229" s="12" t="n"/>
      <c r="S1229" s="13">
        <f>IF($R1229="","",IFERROR(INDEX(Emp_Names,MATCH($R1229,Emp_Codes,0)),"NOT FOUND"))</f>
        <v/>
      </c>
      <c r="T1229" s="12" t="n"/>
      <c r="U1229" s="12" t="n"/>
      <c r="V1229" s="12" t="n"/>
    </row>
    <row r="1230">
      <c r="A1230" s="12" t="n"/>
      <c r="B1230" s="12" t="n"/>
      <c r="C1230" s="12" t="n"/>
      <c r="D1230" s="13">
        <f>IF($A1230="","",TRIM($B1230&amp;" "&amp;$C1230))</f>
        <v/>
      </c>
      <c r="E1230" s="12" t="n"/>
      <c r="F1230" s="12" t="n"/>
      <c r="G1230" s="14" t="n"/>
      <c r="H1230" s="14" t="n"/>
      <c r="I1230" s="12" t="n"/>
      <c r="J1230" s="14" t="n"/>
      <c r="K1230" s="12" t="n"/>
      <c r="L1230" s="13">
        <f>IF($K1230="","",IFERROR(INDEX(Dept_Names,MATCH($K1230,Dept_Codes,0)),"NOT FOUND"))</f>
        <v/>
      </c>
      <c r="M1230" s="12" t="n"/>
      <c r="N1230" s="13">
        <f>IF($M1230="","",IFERROR(INDEX(Desig_Names,MATCH($M1230,Desig_Codes,0)),"NOT FOUND"))</f>
        <v/>
      </c>
      <c r="O1230" s="13">
        <f>IF($M1230="","",IFERROR(INDEX(Desig_Levels,MATCH($M1230,Desig_Codes,0)),""))</f>
        <v/>
      </c>
      <c r="P1230" s="12" t="n"/>
      <c r="Q1230" s="12" t="n"/>
      <c r="R1230" s="12" t="n"/>
      <c r="S1230" s="13">
        <f>IF($R1230="","",IFERROR(INDEX(Emp_Names,MATCH($R1230,Emp_Codes,0)),"NOT FOUND"))</f>
        <v/>
      </c>
      <c r="T1230" s="12" t="n"/>
      <c r="U1230" s="12" t="n"/>
      <c r="V1230" s="12" t="n"/>
    </row>
    <row r="1231">
      <c r="A1231" s="12" t="n"/>
      <c r="B1231" s="12" t="n"/>
      <c r="C1231" s="12" t="n"/>
      <c r="D1231" s="13">
        <f>IF($A1231="","",TRIM($B1231&amp;" "&amp;$C1231))</f>
        <v/>
      </c>
      <c r="E1231" s="12" t="n"/>
      <c r="F1231" s="12" t="n"/>
      <c r="G1231" s="14" t="n"/>
      <c r="H1231" s="14" t="n"/>
      <c r="I1231" s="12" t="n"/>
      <c r="J1231" s="14" t="n"/>
      <c r="K1231" s="12" t="n"/>
      <c r="L1231" s="13">
        <f>IF($K1231="","",IFERROR(INDEX(Dept_Names,MATCH($K1231,Dept_Codes,0)),"NOT FOUND"))</f>
        <v/>
      </c>
      <c r="M1231" s="12" t="n"/>
      <c r="N1231" s="13">
        <f>IF($M1231="","",IFERROR(INDEX(Desig_Names,MATCH($M1231,Desig_Codes,0)),"NOT FOUND"))</f>
        <v/>
      </c>
      <c r="O1231" s="13">
        <f>IF($M1231="","",IFERROR(INDEX(Desig_Levels,MATCH($M1231,Desig_Codes,0)),""))</f>
        <v/>
      </c>
      <c r="P1231" s="12" t="n"/>
      <c r="Q1231" s="12" t="n"/>
      <c r="R1231" s="12" t="n"/>
      <c r="S1231" s="13">
        <f>IF($R1231="","",IFERROR(INDEX(Emp_Names,MATCH($R1231,Emp_Codes,0)),"NOT FOUND"))</f>
        <v/>
      </c>
      <c r="T1231" s="12" t="n"/>
      <c r="U1231" s="12" t="n"/>
      <c r="V1231" s="12" t="n"/>
    </row>
    <row r="1232">
      <c r="A1232" s="12" t="n"/>
      <c r="B1232" s="12" t="n"/>
      <c r="C1232" s="12" t="n"/>
      <c r="D1232" s="13">
        <f>IF($A1232="","",TRIM($B1232&amp;" "&amp;$C1232))</f>
        <v/>
      </c>
      <c r="E1232" s="12" t="n"/>
      <c r="F1232" s="12" t="n"/>
      <c r="G1232" s="14" t="n"/>
      <c r="H1232" s="14" t="n"/>
      <c r="I1232" s="12" t="n"/>
      <c r="J1232" s="14" t="n"/>
      <c r="K1232" s="12" t="n"/>
      <c r="L1232" s="13">
        <f>IF($K1232="","",IFERROR(INDEX(Dept_Names,MATCH($K1232,Dept_Codes,0)),"NOT FOUND"))</f>
        <v/>
      </c>
      <c r="M1232" s="12" t="n"/>
      <c r="N1232" s="13">
        <f>IF($M1232="","",IFERROR(INDEX(Desig_Names,MATCH($M1232,Desig_Codes,0)),"NOT FOUND"))</f>
        <v/>
      </c>
      <c r="O1232" s="13">
        <f>IF($M1232="","",IFERROR(INDEX(Desig_Levels,MATCH($M1232,Desig_Codes,0)),""))</f>
        <v/>
      </c>
      <c r="P1232" s="12" t="n"/>
      <c r="Q1232" s="12" t="n"/>
      <c r="R1232" s="12" t="n"/>
      <c r="S1232" s="13">
        <f>IF($R1232="","",IFERROR(INDEX(Emp_Names,MATCH($R1232,Emp_Codes,0)),"NOT FOUND"))</f>
        <v/>
      </c>
      <c r="T1232" s="12" t="n"/>
      <c r="U1232" s="12" t="n"/>
      <c r="V1232" s="12" t="n"/>
    </row>
    <row r="1233">
      <c r="A1233" s="12" t="n"/>
      <c r="B1233" s="12" t="n"/>
      <c r="C1233" s="12" t="n"/>
      <c r="D1233" s="13">
        <f>IF($A1233="","",TRIM($B1233&amp;" "&amp;$C1233))</f>
        <v/>
      </c>
      <c r="E1233" s="12" t="n"/>
      <c r="F1233" s="12" t="n"/>
      <c r="G1233" s="14" t="n"/>
      <c r="H1233" s="14" t="n"/>
      <c r="I1233" s="12" t="n"/>
      <c r="J1233" s="14" t="n"/>
      <c r="K1233" s="12" t="n"/>
      <c r="L1233" s="13">
        <f>IF($K1233="","",IFERROR(INDEX(Dept_Names,MATCH($K1233,Dept_Codes,0)),"NOT FOUND"))</f>
        <v/>
      </c>
      <c r="M1233" s="12" t="n"/>
      <c r="N1233" s="13">
        <f>IF($M1233="","",IFERROR(INDEX(Desig_Names,MATCH($M1233,Desig_Codes,0)),"NOT FOUND"))</f>
        <v/>
      </c>
      <c r="O1233" s="13">
        <f>IF($M1233="","",IFERROR(INDEX(Desig_Levels,MATCH($M1233,Desig_Codes,0)),""))</f>
        <v/>
      </c>
      <c r="P1233" s="12" t="n"/>
      <c r="Q1233" s="12" t="n"/>
      <c r="R1233" s="12" t="n"/>
      <c r="S1233" s="13">
        <f>IF($R1233="","",IFERROR(INDEX(Emp_Names,MATCH($R1233,Emp_Codes,0)),"NOT FOUND"))</f>
        <v/>
      </c>
      <c r="T1233" s="12" t="n"/>
      <c r="U1233" s="12" t="n"/>
      <c r="V1233" s="12" t="n"/>
    </row>
    <row r="1234">
      <c r="A1234" s="12" t="n"/>
      <c r="B1234" s="12" t="n"/>
      <c r="C1234" s="12" t="n"/>
      <c r="D1234" s="13">
        <f>IF($A1234="","",TRIM($B1234&amp;" "&amp;$C1234))</f>
        <v/>
      </c>
      <c r="E1234" s="12" t="n"/>
      <c r="F1234" s="12" t="n"/>
      <c r="G1234" s="14" t="n"/>
      <c r="H1234" s="14" t="n"/>
      <c r="I1234" s="12" t="n"/>
      <c r="J1234" s="14" t="n"/>
      <c r="K1234" s="12" t="n"/>
      <c r="L1234" s="13">
        <f>IF($K1234="","",IFERROR(INDEX(Dept_Names,MATCH($K1234,Dept_Codes,0)),"NOT FOUND"))</f>
        <v/>
      </c>
      <c r="M1234" s="12" t="n"/>
      <c r="N1234" s="13">
        <f>IF($M1234="","",IFERROR(INDEX(Desig_Names,MATCH($M1234,Desig_Codes,0)),"NOT FOUND"))</f>
        <v/>
      </c>
      <c r="O1234" s="13">
        <f>IF($M1234="","",IFERROR(INDEX(Desig_Levels,MATCH($M1234,Desig_Codes,0)),""))</f>
        <v/>
      </c>
      <c r="P1234" s="12" t="n"/>
      <c r="Q1234" s="12" t="n"/>
      <c r="R1234" s="12" t="n"/>
      <c r="S1234" s="13">
        <f>IF($R1234="","",IFERROR(INDEX(Emp_Names,MATCH($R1234,Emp_Codes,0)),"NOT FOUND"))</f>
        <v/>
      </c>
      <c r="T1234" s="12" t="n"/>
      <c r="U1234" s="12" t="n"/>
      <c r="V1234" s="12" t="n"/>
    </row>
    <row r="1235">
      <c r="A1235" s="12" t="n"/>
      <c r="B1235" s="12" t="n"/>
      <c r="C1235" s="12" t="n"/>
      <c r="D1235" s="13">
        <f>IF($A1235="","",TRIM($B1235&amp;" "&amp;$C1235))</f>
        <v/>
      </c>
      <c r="E1235" s="12" t="n"/>
      <c r="F1235" s="12" t="n"/>
      <c r="G1235" s="14" t="n"/>
      <c r="H1235" s="14" t="n"/>
      <c r="I1235" s="12" t="n"/>
      <c r="J1235" s="14" t="n"/>
      <c r="K1235" s="12" t="n"/>
      <c r="L1235" s="13">
        <f>IF($K1235="","",IFERROR(INDEX(Dept_Names,MATCH($K1235,Dept_Codes,0)),"NOT FOUND"))</f>
        <v/>
      </c>
      <c r="M1235" s="12" t="n"/>
      <c r="N1235" s="13">
        <f>IF($M1235="","",IFERROR(INDEX(Desig_Names,MATCH($M1235,Desig_Codes,0)),"NOT FOUND"))</f>
        <v/>
      </c>
      <c r="O1235" s="13">
        <f>IF($M1235="","",IFERROR(INDEX(Desig_Levels,MATCH($M1235,Desig_Codes,0)),""))</f>
        <v/>
      </c>
      <c r="P1235" s="12" t="n"/>
      <c r="Q1235" s="12" t="n"/>
      <c r="R1235" s="12" t="n"/>
      <c r="S1235" s="13">
        <f>IF($R1235="","",IFERROR(INDEX(Emp_Names,MATCH($R1235,Emp_Codes,0)),"NOT FOUND"))</f>
        <v/>
      </c>
      <c r="T1235" s="12" t="n"/>
      <c r="U1235" s="12" t="n"/>
      <c r="V1235" s="12" t="n"/>
    </row>
    <row r="1236">
      <c r="A1236" s="12" t="n"/>
      <c r="B1236" s="12" t="n"/>
      <c r="C1236" s="12" t="n"/>
      <c r="D1236" s="13">
        <f>IF($A1236="","",TRIM($B1236&amp;" "&amp;$C1236))</f>
        <v/>
      </c>
      <c r="E1236" s="12" t="n"/>
      <c r="F1236" s="12" t="n"/>
      <c r="G1236" s="14" t="n"/>
      <c r="H1236" s="14" t="n"/>
      <c r="I1236" s="12" t="n"/>
      <c r="J1236" s="14" t="n"/>
      <c r="K1236" s="12" t="n"/>
      <c r="L1236" s="13">
        <f>IF($K1236="","",IFERROR(INDEX(Dept_Names,MATCH($K1236,Dept_Codes,0)),"NOT FOUND"))</f>
        <v/>
      </c>
      <c r="M1236" s="12" t="n"/>
      <c r="N1236" s="13">
        <f>IF($M1236="","",IFERROR(INDEX(Desig_Names,MATCH($M1236,Desig_Codes,0)),"NOT FOUND"))</f>
        <v/>
      </c>
      <c r="O1236" s="13">
        <f>IF($M1236="","",IFERROR(INDEX(Desig_Levels,MATCH($M1236,Desig_Codes,0)),""))</f>
        <v/>
      </c>
      <c r="P1236" s="12" t="n"/>
      <c r="Q1236" s="12" t="n"/>
      <c r="R1236" s="12" t="n"/>
      <c r="S1236" s="13">
        <f>IF($R1236="","",IFERROR(INDEX(Emp_Names,MATCH($R1236,Emp_Codes,0)),"NOT FOUND"))</f>
        <v/>
      </c>
      <c r="T1236" s="12" t="n"/>
      <c r="U1236" s="12" t="n"/>
      <c r="V1236" s="12" t="n"/>
    </row>
    <row r="1237">
      <c r="A1237" s="12" t="n"/>
      <c r="B1237" s="12" t="n"/>
      <c r="C1237" s="12" t="n"/>
      <c r="D1237" s="13">
        <f>IF($A1237="","",TRIM($B1237&amp;" "&amp;$C1237))</f>
        <v/>
      </c>
      <c r="E1237" s="12" t="n"/>
      <c r="F1237" s="12" t="n"/>
      <c r="G1237" s="14" t="n"/>
      <c r="H1237" s="14" t="n"/>
      <c r="I1237" s="12" t="n"/>
      <c r="J1237" s="14" t="n"/>
      <c r="K1237" s="12" t="n"/>
      <c r="L1237" s="13">
        <f>IF($K1237="","",IFERROR(INDEX(Dept_Names,MATCH($K1237,Dept_Codes,0)),"NOT FOUND"))</f>
        <v/>
      </c>
      <c r="M1237" s="12" t="n"/>
      <c r="N1237" s="13">
        <f>IF($M1237="","",IFERROR(INDEX(Desig_Names,MATCH($M1237,Desig_Codes,0)),"NOT FOUND"))</f>
        <v/>
      </c>
      <c r="O1237" s="13">
        <f>IF($M1237="","",IFERROR(INDEX(Desig_Levels,MATCH($M1237,Desig_Codes,0)),""))</f>
        <v/>
      </c>
      <c r="P1237" s="12" t="n"/>
      <c r="Q1237" s="12" t="n"/>
      <c r="R1237" s="12" t="n"/>
      <c r="S1237" s="13">
        <f>IF($R1237="","",IFERROR(INDEX(Emp_Names,MATCH($R1237,Emp_Codes,0)),"NOT FOUND"))</f>
        <v/>
      </c>
      <c r="T1237" s="12" t="n"/>
      <c r="U1237" s="12" t="n"/>
      <c r="V1237" s="12" t="n"/>
    </row>
    <row r="1238">
      <c r="A1238" s="12" t="n"/>
      <c r="B1238" s="12" t="n"/>
      <c r="C1238" s="12" t="n"/>
      <c r="D1238" s="13">
        <f>IF($A1238="","",TRIM($B1238&amp;" "&amp;$C1238))</f>
        <v/>
      </c>
      <c r="E1238" s="12" t="n"/>
      <c r="F1238" s="12" t="n"/>
      <c r="G1238" s="14" t="n"/>
      <c r="H1238" s="14" t="n"/>
      <c r="I1238" s="12" t="n"/>
      <c r="J1238" s="14" t="n"/>
      <c r="K1238" s="12" t="n"/>
      <c r="L1238" s="13">
        <f>IF($K1238="","",IFERROR(INDEX(Dept_Names,MATCH($K1238,Dept_Codes,0)),"NOT FOUND"))</f>
        <v/>
      </c>
      <c r="M1238" s="12" t="n"/>
      <c r="N1238" s="13">
        <f>IF($M1238="","",IFERROR(INDEX(Desig_Names,MATCH($M1238,Desig_Codes,0)),"NOT FOUND"))</f>
        <v/>
      </c>
      <c r="O1238" s="13">
        <f>IF($M1238="","",IFERROR(INDEX(Desig_Levels,MATCH($M1238,Desig_Codes,0)),""))</f>
        <v/>
      </c>
      <c r="P1238" s="12" t="n"/>
      <c r="Q1238" s="12" t="n"/>
      <c r="R1238" s="12" t="n"/>
      <c r="S1238" s="13">
        <f>IF($R1238="","",IFERROR(INDEX(Emp_Names,MATCH($R1238,Emp_Codes,0)),"NOT FOUND"))</f>
        <v/>
      </c>
      <c r="T1238" s="12" t="n"/>
      <c r="U1238" s="12" t="n"/>
      <c r="V1238" s="12" t="n"/>
    </row>
    <row r="1239">
      <c r="A1239" s="12" t="n"/>
      <c r="B1239" s="12" t="n"/>
      <c r="C1239" s="12" t="n"/>
      <c r="D1239" s="13">
        <f>IF($A1239="","",TRIM($B1239&amp;" "&amp;$C1239))</f>
        <v/>
      </c>
      <c r="E1239" s="12" t="n"/>
      <c r="F1239" s="12" t="n"/>
      <c r="G1239" s="14" t="n"/>
      <c r="H1239" s="14" t="n"/>
      <c r="I1239" s="12" t="n"/>
      <c r="J1239" s="14" t="n"/>
      <c r="K1239" s="12" t="n"/>
      <c r="L1239" s="13">
        <f>IF($K1239="","",IFERROR(INDEX(Dept_Names,MATCH($K1239,Dept_Codes,0)),"NOT FOUND"))</f>
        <v/>
      </c>
      <c r="M1239" s="12" t="n"/>
      <c r="N1239" s="13">
        <f>IF($M1239="","",IFERROR(INDEX(Desig_Names,MATCH($M1239,Desig_Codes,0)),"NOT FOUND"))</f>
        <v/>
      </c>
      <c r="O1239" s="13">
        <f>IF($M1239="","",IFERROR(INDEX(Desig_Levels,MATCH($M1239,Desig_Codes,0)),""))</f>
        <v/>
      </c>
      <c r="P1239" s="12" t="n"/>
      <c r="Q1239" s="12" t="n"/>
      <c r="R1239" s="12" t="n"/>
      <c r="S1239" s="13">
        <f>IF($R1239="","",IFERROR(INDEX(Emp_Names,MATCH($R1239,Emp_Codes,0)),"NOT FOUND"))</f>
        <v/>
      </c>
      <c r="T1239" s="12" t="n"/>
      <c r="U1239" s="12" t="n"/>
      <c r="V1239" s="12" t="n"/>
    </row>
    <row r="1240">
      <c r="A1240" s="12" t="n"/>
      <c r="B1240" s="12" t="n"/>
      <c r="C1240" s="12" t="n"/>
      <c r="D1240" s="13">
        <f>IF($A1240="","",TRIM($B1240&amp;" "&amp;$C1240))</f>
        <v/>
      </c>
      <c r="E1240" s="12" t="n"/>
      <c r="F1240" s="12" t="n"/>
      <c r="G1240" s="14" t="n"/>
      <c r="H1240" s="14" t="n"/>
      <c r="I1240" s="12" t="n"/>
      <c r="J1240" s="14" t="n"/>
      <c r="K1240" s="12" t="n"/>
      <c r="L1240" s="13">
        <f>IF($K1240="","",IFERROR(INDEX(Dept_Names,MATCH($K1240,Dept_Codes,0)),"NOT FOUND"))</f>
        <v/>
      </c>
      <c r="M1240" s="12" t="n"/>
      <c r="N1240" s="13">
        <f>IF($M1240="","",IFERROR(INDEX(Desig_Names,MATCH($M1240,Desig_Codes,0)),"NOT FOUND"))</f>
        <v/>
      </c>
      <c r="O1240" s="13">
        <f>IF($M1240="","",IFERROR(INDEX(Desig_Levels,MATCH($M1240,Desig_Codes,0)),""))</f>
        <v/>
      </c>
      <c r="P1240" s="12" t="n"/>
      <c r="Q1240" s="12" t="n"/>
      <c r="R1240" s="12" t="n"/>
      <c r="S1240" s="13">
        <f>IF($R1240="","",IFERROR(INDEX(Emp_Names,MATCH($R1240,Emp_Codes,0)),"NOT FOUND"))</f>
        <v/>
      </c>
      <c r="T1240" s="12" t="n"/>
      <c r="U1240" s="12" t="n"/>
      <c r="V1240" s="12" t="n"/>
    </row>
    <row r="1241">
      <c r="A1241" s="12" t="n"/>
      <c r="B1241" s="12" t="n"/>
      <c r="C1241" s="12" t="n"/>
      <c r="D1241" s="13">
        <f>IF($A1241="","",TRIM($B1241&amp;" "&amp;$C1241))</f>
        <v/>
      </c>
      <c r="E1241" s="12" t="n"/>
      <c r="F1241" s="12" t="n"/>
      <c r="G1241" s="14" t="n"/>
      <c r="H1241" s="14" t="n"/>
      <c r="I1241" s="12" t="n"/>
      <c r="J1241" s="14" t="n"/>
      <c r="K1241" s="12" t="n"/>
      <c r="L1241" s="13">
        <f>IF($K1241="","",IFERROR(INDEX(Dept_Names,MATCH($K1241,Dept_Codes,0)),"NOT FOUND"))</f>
        <v/>
      </c>
      <c r="M1241" s="12" t="n"/>
      <c r="N1241" s="13">
        <f>IF($M1241="","",IFERROR(INDEX(Desig_Names,MATCH($M1241,Desig_Codes,0)),"NOT FOUND"))</f>
        <v/>
      </c>
      <c r="O1241" s="13">
        <f>IF($M1241="","",IFERROR(INDEX(Desig_Levels,MATCH($M1241,Desig_Codes,0)),""))</f>
        <v/>
      </c>
      <c r="P1241" s="12" t="n"/>
      <c r="Q1241" s="12" t="n"/>
      <c r="R1241" s="12" t="n"/>
      <c r="S1241" s="13">
        <f>IF($R1241="","",IFERROR(INDEX(Emp_Names,MATCH($R1241,Emp_Codes,0)),"NOT FOUND"))</f>
        <v/>
      </c>
      <c r="T1241" s="12" t="n"/>
      <c r="U1241" s="12" t="n"/>
      <c r="V1241" s="12" t="n"/>
    </row>
    <row r="1242">
      <c r="A1242" s="12" t="n"/>
      <c r="B1242" s="12" t="n"/>
      <c r="C1242" s="12" t="n"/>
      <c r="D1242" s="13">
        <f>IF($A1242="","",TRIM($B1242&amp;" "&amp;$C1242))</f>
        <v/>
      </c>
      <c r="E1242" s="12" t="n"/>
      <c r="F1242" s="12" t="n"/>
      <c r="G1242" s="14" t="n"/>
      <c r="H1242" s="14" t="n"/>
      <c r="I1242" s="12" t="n"/>
      <c r="J1242" s="14" t="n"/>
      <c r="K1242" s="12" t="n"/>
      <c r="L1242" s="13">
        <f>IF($K1242="","",IFERROR(INDEX(Dept_Names,MATCH($K1242,Dept_Codes,0)),"NOT FOUND"))</f>
        <v/>
      </c>
      <c r="M1242" s="12" t="n"/>
      <c r="N1242" s="13">
        <f>IF($M1242="","",IFERROR(INDEX(Desig_Names,MATCH($M1242,Desig_Codes,0)),"NOT FOUND"))</f>
        <v/>
      </c>
      <c r="O1242" s="13">
        <f>IF($M1242="","",IFERROR(INDEX(Desig_Levels,MATCH($M1242,Desig_Codes,0)),""))</f>
        <v/>
      </c>
      <c r="P1242" s="12" t="n"/>
      <c r="Q1242" s="12" t="n"/>
      <c r="R1242" s="12" t="n"/>
      <c r="S1242" s="13">
        <f>IF($R1242="","",IFERROR(INDEX(Emp_Names,MATCH($R1242,Emp_Codes,0)),"NOT FOUND"))</f>
        <v/>
      </c>
      <c r="T1242" s="12" t="n"/>
      <c r="U1242" s="12" t="n"/>
      <c r="V1242" s="12" t="n"/>
    </row>
    <row r="1243">
      <c r="A1243" s="12" t="n"/>
      <c r="B1243" s="12" t="n"/>
      <c r="C1243" s="12" t="n"/>
      <c r="D1243" s="13">
        <f>IF($A1243="","",TRIM($B1243&amp;" "&amp;$C1243))</f>
        <v/>
      </c>
      <c r="E1243" s="12" t="n"/>
      <c r="F1243" s="12" t="n"/>
      <c r="G1243" s="14" t="n"/>
      <c r="H1243" s="14" t="n"/>
      <c r="I1243" s="12" t="n"/>
      <c r="J1243" s="14" t="n"/>
      <c r="K1243" s="12" t="n"/>
      <c r="L1243" s="13">
        <f>IF($K1243="","",IFERROR(INDEX(Dept_Names,MATCH($K1243,Dept_Codes,0)),"NOT FOUND"))</f>
        <v/>
      </c>
      <c r="M1243" s="12" t="n"/>
      <c r="N1243" s="13">
        <f>IF($M1243="","",IFERROR(INDEX(Desig_Names,MATCH($M1243,Desig_Codes,0)),"NOT FOUND"))</f>
        <v/>
      </c>
      <c r="O1243" s="13">
        <f>IF($M1243="","",IFERROR(INDEX(Desig_Levels,MATCH($M1243,Desig_Codes,0)),""))</f>
        <v/>
      </c>
      <c r="P1243" s="12" t="n"/>
      <c r="Q1243" s="12" t="n"/>
      <c r="R1243" s="12" t="n"/>
      <c r="S1243" s="13">
        <f>IF($R1243="","",IFERROR(INDEX(Emp_Names,MATCH($R1243,Emp_Codes,0)),"NOT FOUND"))</f>
        <v/>
      </c>
      <c r="T1243" s="12" t="n"/>
      <c r="U1243" s="12" t="n"/>
      <c r="V1243" s="12" t="n"/>
    </row>
    <row r="1244">
      <c r="A1244" s="12" t="n"/>
      <c r="B1244" s="12" t="n"/>
      <c r="C1244" s="12" t="n"/>
      <c r="D1244" s="13">
        <f>IF($A1244="","",TRIM($B1244&amp;" "&amp;$C1244))</f>
        <v/>
      </c>
      <c r="E1244" s="12" t="n"/>
      <c r="F1244" s="12" t="n"/>
      <c r="G1244" s="14" t="n"/>
      <c r="H1244" s="14" t="n"/>
      <c r="I1244" s="12" t="n"/>
      <c r="J1244" s="14" t="n"/>
      <c r="K1244" s="12" t="n"/>
      <c r="L1244" s="13">
        <f>IF($K1244="","",IFERROR(INDEX(Dept_Names,MATCH($K1244,Dept_Codes,0)),"NOT FOUND"))</f>
        <v/>
      </c>
      <c r="M1244" s="12" t="n"/>
      <c r="N1244" s="13">
        <f>IF($M1244="","",IFERROR(INDEX(Desig_Names,MATCH($M1244,Desig_Codes,0)),"NOT FOUND"))</f>
        <v/>
      </c>
      <c r="O1244" s="13">
        <f>IF($M1244="","",IFERROR(INDEX(Desig_Levels,MATCH($M1244,Desig_Codes,0)),""))</f>
        <v/>
      </c>
      <c r="P1244" s="12" t="n"/>
      <c r="Q1244" s="12" t="n"/>
      <c r="R1244" s="12" t="n"/>
      <c r="S1244" s="13">
        <f>IF($R1244="","",IFERROR(INDEX(Emp_Names,MATCH($R1244,Emp_Codes,0)),"NOT FOUND"))</f>
        <v/>
      </c>
      <c r="T1244" s="12" t="n"/>
      <c r="U1244" s="12" t="n"/>
      <c r="V1244" s="12" t="n"/>
    </row>
    <row r="1245">
      <c r="A1245" s="12" t="n"/>
      <c r="B1245" s="12" t="n"/>
      <c r="C1245" s="12" t="n"/>
      <c r="D1245" s="13">
        <f>IF($A1245="","",TRIM($B1245&amp;" "&amp;$C1245))</f>
        <v/>
      </c>
      <c r="E1245" s="12" t="n"/>
      <c r="F1245" s="12" t="n"/>
      <c r="G1245" s="14" t="n"/>
      <c r="H1245" s="14" t="n"/>
      <c r="I1245" s="12" t="n"/>
      <c r="J1245" s="14" t="n"/>
      <c r="K1245" s="12" t="n"/>
      <c r="L1245" s="13">
        <f>IF($K1245="","",IFERROR(INDEX(Dept_Names,MATCH($K1245,Dept_Codes,0)),"NOT FOUND"))</f>
        <v/>
      </c>
      <c r="M1245" s="12" t="n"/>
      <c r="N1245" s="13">
        <f>IF($M1245="","",IFERROR(INDEX(Desig_Names,MATCH($M1245,Desig_Codes,0)),"NOT FOUND"))</f>
        <v/>
      </c>
      <c r="O1245" s="13">
        <f>IF($M1245="","",IFERROR(INDEX(Desig_Levels,MATCH($M1245,Desig_Codes,0)),""))</f>
        <v/>
      </c>
      <c r="P1245" s="12" t="n"/>
      <c r="Q1245" s="12" t="n"/>
      <c r="R1245" s="12" t="n"/>
      <c r="S1245" s="13">
        <f>IF($R1245="","",IFERROR(INDEX(Emp_Names,MATCH($R1245,Emp_Codes,0)),"NOT FOUND"))</f>
        <v/>
      </c>
      <c r="T1245" s="12" t="n"/>
      <c r="U1245" s="12" t="n"/>
      <c r="V1245" s="12" t="n"/>
    </row>
    <row r="1246">
      <c r="A1246" s="12" t="n"/>
      <c r="B1246" s="12" t="n"/>
      <c r="C1246" s="12" t="n"/>
      <c r="D1246" s="13">
        <f>IF($A1246="","",TRIM($B1246&amp;" "&amp;$C1246))</f>
        <v/>
      </c>
      <c r="E1246" s="12" t="n"/>
      <c r="F1246" s="12" t="n"/>
      <c r="G1246" s="14" t="n"/>
      <c r="H1246" s="14" t="n"/>
      <c r="I1246" s="12" t="n"/>
      <c r="J1246" s="14" t="n"/>
      <c r="K1246" s="12" t="n"/>
      <c r="L1246" s="13">
        <f>IF($K1246="","",IFERROR(INDEX(Dept_Names,MATCH($K1246,Dept_Codes,0)),"NOT FOUND"))</f>
        <v/>
      </c>
      <c r="M1246" s="12" t="n"/>
      <c r="N1246" s="13">
        <f>IF($M1246="","",IFERROR(INDEX(Desig_Names,MATCH($M1246,Desig_Codes,0)),"NOT FOUND"))</f>
        <v/>
      </c>
      <c r="O1246" s="13">
        <f>IF($M1246="","",IFERROR(INDEX(Desig_Levels,MATCH($M1246,Desig_Codes,0)),""))</f>
        <v/>
      </c>
      <c r="P1246" s="12" t="n"/>
      <c r="Q1246" s="12" t="n"/>
      <c r="R1246" s="12" t="n"/>
      <c r="S1246" s="13">
        <f>IF($R1246="","",IFERROR(INDEX(Emp_Names,MATCH($R1246,Emp_Codes,0)),"NOT FOUND"))</f>
        <v/>
      </c>
      <c r="T1246" s="12" t="n"/>
      <c r="U1246" s="12" t="n"/>
      <c r="V1246" s="12" t="n"/>
    </row>
    <row r="1247">
      <c r="A1247" s="12" t="n"/>
      <c r="B1247" s="12" t="n"/>
      <c r="C1247" s="12" t="n"/>
      <c r="D1247" s="13">
        <f>IF($A1247="","",TRIM($B1247&amp;" "&amp;$C1247))</f>
        <v/>
      </c>
      <c r="E1247" s="12" t="n"/>
      <c r="F1247" s="12" t="n"/>
      <c r="G1247" s="14" t="n"/>
      <c r="H1247" s="14" t="n"/>
      <c r="I1247" s="12" t="n"/>
      <c r="J1247" s="14" t="n"/>
      <c r="K1247" s="12" t="n"/>
      <c r="L1247" s="13">
        <f>IF($K1247="","",IFERROR(INDEX(Dept_Names,MATCH($K1247,Dept_Codes,0)),"NOT FOUND"))</f>
        <v/>
      </c>
      <c r="M1247" s="12" t="n"/>
      <c r="N1247" s="13">
        <f>IF($M1247="","",IFERROR(INDEX(Desig_Names,MATCH($M1247,Desig_Codes,0)),"NOT FOUND"))</f>
        <v/>
      </c>
      <c r="O1247" s="13">
        <f>IF($M1247="","",IFERROR(INDEX(Desig_Levels,MATCH($M1247,Desig_Codes,0)),""))</f>
        <v/>
      </c>
      <c r="P1247" s="12" t="n"/>
      <c r="Q1247" s="12" t="n"/>
      <c r="R1247" s="12" t="n"/>
      <c r="S1247" s="13">
        <f>IF($R1247="","",IFERROR(INDEX(Emp_Names,MATCH($R1247,Emp_Codes,0)),"NOT FOUND"))</f>
        <v/>
      </c>
      <c r="T1247" s="12" t="n"/>
      <c r="U1247" s="12" t="n"/>
      <c r="V1247" s="12" t="n"/>
    </row>
    <row r="1248">
      <c r="A1248" s="12" t="n"/>
      <c r="B1248" s="12" t="n"/>
      <c r="C1248" s="12" t="n"/>
      <c r="D1248" s="13">
        <f>IF($A1248="","",TRIM($B1248&amp;" "&amp;$C1248))</f>
        <v/>
      </c>
      <c r="E1248" s="12" t="n"/>
      <c r="F1248" s="12" t="n"/>
      <c r="G1248" s="14" t="n"/>
      <c r="H1248" s="14" t="n"/>
      <c r="I1248" s="12" t="n"/>
      <c r="J1248" s="14" t="n"/>
      <c r="K1248" s="12" t="n"/>
      <c r="L1248" s="13">
        <f>IF($K1248="","",IFERROR(INDEX(Dept_Names,MATCH($K1248,Dept_Codes,0)),"NOT FOUND"))</f>
        <v/>
      </c>
      <c r="M1248" s="12" t="n"/>
      <c r="N1248" s="13">
        <f>IF($M1248="","",IFERROR(INDEX(Desig_Names,MATCH($M1248,Desig_Codes,0)),"NOT FOUND"))</f>
        <v/>
      </c>
      <c r="O1248" s="13">
        <f>IF($M1248="","",IFERROR(INDEX(Desig_Levels,MATCH($M1248,Desig_Codes,0)),""))</f>
        <v/>
      </c>
      <c r="P1248" s="12" t="n"/>
      <c r="Q1248" s="12" t="n"/>
      <c r="R1248" s="12" t="n"/>
      <c r="S1248" s="13">
        <f>IF($R1248="","",IFERROR(INDEX(Emp_Names,MATCH($R1248,Emp_Codes,0)),"NOT FOUND"))</f>
        <v/>
      </c>
      <c r="T1248" s="12" t="n"/>
      <c r="U1248" s="12" t="n"/>
      <c r="V1248" s="12" t="n"/>
    </row>
    <row r="1249">
      <c r="A1249" s="12" t="n"/>
      <c r="B1249" s="12" t="n"/>
      <c r="C1249" s="12" t="n"/>
      <c r="D1249" s="13">
        <f>IF($A1249="","",TRIM($B1249&amp;" "&amp;$C1249))</f>
        <v/>
      </c>
      <c r="E1249" s="12" t="n"/>
      <c r="F1249" s="12" t="n"/>
      <c r="G1249" s="14" t="n"/>
      <c r="H1249" s="14" t="n"/>
      <c r="I1249" s="12" t="n"/>
      <c r="J1249" s="14" t="n"/>
      <c r="K1249" s="12" t="n"/>
      <c r="L1249" s="13">
        <f>IF($K1249="","",IFERROR(INDEX(Dept_Names,MATCH($K1249,Dept_Codes,0)),"NOT FOUND"))</f>
        <v/>
      </c>
      <c r="M1249" s="12" t="n"/>
      <c r="N1249" s="13">
        <f>IF($M1249="","",IFERROR(INDEX(Desig_Names,MATCH($M1249,Desig_Codes,0)),"NOT FOUND"))</f>
        <v/>
      </c>
      <c r="O1249" s="13">
        <f>IF($M1249="","",IFERROR(INDEX(Desig_Levels,MATCH($M1249,Desig_Codes,0)),""))</f>
        <v/>
      </c>
      <c r="P1249" s="12" t="n"/>
      <c r="Q1249" s="12" t="n"/>
      <c r="R1249" s="12" t="n"/>
      <c r="S1249" s="13">
        <f>IF($R1249="","",IFERROR(INDEX(Emp_Names,MATCH($R1249,Emp_Codes,0)),"NOT FOUND"))</f>
        <v/>
      </c>
      <c r="T1249" s="12" t="n"/>
      <c r="U1249" s="12" t="n"/>
      <c r="V1249" s="12" t="n"/>
    </row>
    <row r="1250">
      <c r="A1250" s="12" t="n"/>
      <c r="B1250" s="12" t="n"/>
      <c r="C1250" s="12" t="n"/>
      <c r="D1250" s="13">
        <f>IF($A1250="","",TRIM($B1250&amp;" "&amp;$C1250))</f>
        <v/>
      </c>
      <c r="E1250" s="12" t="n"/>
      <c r="F1250" s="12" t="n"/>
      <c r="G1250" s="14" t="n"/>
      <c r="H1250" s="14" t="n"/>
      <c r="I1250" s="12" t="n"/>
      <c r="J1250" s="14" t="n"/>
      <c r="K1250" s="12" t="n"/>
      <c r="L1250" s="13">
        <f>IF($K1250="","",IFERROR(INDEX(Dept_Names,MATCH($K1250,Dept_Codes,0)),"NOT FOUND"))</f>
        <v/>
      </c>
      <c r="M1250" s="12" t="n"/>
      <c r="N1250" s="13">
        <f>IF($M1250="","",IFERROR(INDEX(Desig_Names,MATCH($M1250,Desig_Codes,0)),"NOT FOUND"))</f>
        <v/>
      </c>
      <c r="O1250" s="13">
        <f>IF($M1250="","",IFERROR(INDEX(Desig_Levels,MATCH($M1250,Desig_Codes,0)),""))</f>
        <v/>
      </c>
      <c r="P1250" s="12" t="n"/>
      <c r="Q1250" s="12" t="n"/>
      <c r="R1250" s="12" t="n"/>
      <c r="S1250" s="13">
        <f>IF($R1250="","",IFERROR(INDEX(Emp_Names,MATCH($R1250,Emp_Codes,0)),"NOT FOUND"))</f>
        <v/>
      </c>
      <c r="T1250" s="12" t="n"/>
      <c r="U1250" s="12" t="n"/>
      <c r="V1250" s="12" t="n"/>
    </row>
    <row r="1251">
      <c r="A1251" s="12" t="n"/>
      <c r="B1251" s="12" t="n"/>
      <c r="C1251" s="12" t="n"/>
      <c r="D1251" s="13">
        <f>IF($A1251="","",TRIM($B1251&amp;" "&amp;$C1251))</f>
        <v/>
      </c>
      <c r="E1251" s="12" t="n"/>
      <c r="F1251" s="12" t="n"/>
      <c r="G1251" s="14" t="n"/>
      <c r="H1251" s="14" t="n"/>
      <c r="I1251" s="12" t="n"/>
      <c r="J1251" s="14" t="n"/>
      <c r="K1251" s="12" t="n"/>
      <c r="L1251" s="13">
        <f>IF($K1251="","",IFERROR(INDEX(Dept_Names,MATCH($K1251,Dept_Codes,0)),"NOT FOUND"))</f>
        <v/>
      </c>
      <c r="M1251" s="12" t="n"/>
      <c r="N1251" s="13">
        <f>IF($M1251="","",IFERROR(INDEX(Desig_Names,MATCH($M1251,Desig_Codes,0)),"NOT FOUND"))</f>
        <v/>
      </c>
      <c r="O1251" s="13">
        <f>IF($M1251="","",IFERROR(INDEX(Desig_Levels,MATCH($M1251,Desig_Codes,0)),""))</f>
        <v/>
      </c>
      <c r="P1251" s="12" t="n"/>
      <c r="Q1251" s="12" t="n"/>
      <c r="R1251" s="12" t="n"/>
      <c r="S1251" s="13">
        <f>IF($R1251="","",IFERROR(INDEX(Emp_Names,MATCH($R1251,Emp_Codes,0)),"NOT FOUND"))</f>
        <v/>
      </c>
      <c r="T1251" s="12" t="n"/>
      <c r="U1251" s="12" t="n"/>
      <c r="V1251" s="12" t="n"/>
    </row>
    <row r="1252">
      <c r="A1252" s="12" t="n"/>
      <c r="B1252" s="12" t="n"/>
      <c r="C1252" s="12" t="n"/>
      <c r="D1252" s="13">
        <f>IF($A1252="","",TRIM($B1252&amp;" "&amp;$C1252))</f>
        <v/>
      </c>
      <c r="E1252" s="12" t="n"/>
      <c r="F1252" s="12" t="n"/>
      <c r="G1252" s="14" t="n"/>
      <c r="H1252" s="14" t="n"/>
      <c r="I1252" s="12" t="n"/>
      <c r="J1252" s="14" t="n"/>
      <c r="K1252" s="12" t="n"/>
      <c r="L1252" s="13">
        <f>IF($K1252="","",IFERROR(INDEX(Dept_Names,MATCH($K1252,Dept_Codes,0)),"NOT FOUND"))</f>
        <v/>
      </c>
      <c r="M1252" s="12" t="n"/>
      <c r="N1252" s="13">
        <f>IF($M1252="","",IFERROR(INDEX(Desig_Names,MATCH($M1252,Desig_Codes,0)),"NOT FOUND"))</f>
        <v/>
      </c>
      <c r="O1252" s="13">
        <f>IF($M1252="","",IFERROR(INDEX(Desig_Levels,MATCH($M1252,Desig_Codes,0)),""))</f>
        <v/>
      </c>
      <c r="P1252" s="12" t="n"/>
      <c r="Q1252" s="12" t="n"/>
      <c r="R1252" s="12" t="n"/>
      <c r="S1252" s="13">
        <f>IF($R1252="","",IFERROR(INDEX(Emp_Names,MATCH($R1252,Emp_Codes,0)),"NOT FOUND"))</f>
        <v/>
      </c>
      <c r="T1252" s="12" t="n"/>
      <c r="U1252" s="12" t="n"/>
      <c r="V1252" s="12" t="n"/>
    </row>
    <row r="1253">
      <c r="A1253" s="12" t="n"/>
      <c r="B1253" s="12" t="n"/>
      <c r="C1253" s="12" t="n"/>
      <c r="D1253" s="13">
        <f>IF($A1253="","",TRIM($B1253&amp;" "&amp;$C1253))</f>
        <v/>
      </c>
      <c r="E1253" s="12" t="n"/>
      <c r="F1253" s="12" t="n"/>
      <c r="G1253" s="14" t="n"/>
      <c r="H1253" s="14" t="n"/>
      <c r="I1253" s="12" t="n"/>
      <c r="J1253" s="14" t="n"/>
      <c r="K1253" s="12" t="n"/>
      <c r="L1253" s="13">
        <f>IF($K1253="","",IFERROR(INDEX(Dept_Names,MATCH($K1253,Dept_Codes,0)),"NOT FOUND"))</f>
        <v/>
      </c>
      <c r="M1253" s="12" t="n"/>
      <c r="N1253" s="13">
        <f>IF($M1253="","",IFERROR(INDEX(Desig_Names,MATCH($M1253,Desig_Codes,0)),"NOT FOUND"))</f>
        <v/>
      </c>
      <c r="O1253" s="13">
        <f>IF($M1253="","",IFERROR(INDEX(Desig_Levels,MATCH($M1253,Desig_Codes,0)),""))</f>
        <v/>
      </c>
      <c r="P1253" s="12" t="n"/>
      <c r="Q1253" s="12" t="n"/>
      <c r="R1253" s="12" t="n"/>
      <c r="S1253" s="13">
        <f>IF($R1253="","",IFERROR(INDEX(Emp_Names,MATCH($R1253,Emp_Codes,0)),"NOT FOUND"))</f>
        <v/>
      </c>
      <c r="T1253" s="12" t="n"/>
      <c r="U1253" s="12" t="n"/>
      <c r="V1253" s="12" t="n"/>
    </row>
    <row r="1254">
      <c r="A1254" s="12" t="n"/>
      <c r="B1254" s="12" t="n"/>
      <c r="C1254" s="12" t="n"/>
      <c r="D1254" s="13">
        <f>IF($A1254="","",TRIM($B1254&amp;" "&amp;$C1254))</f>
        <v/>
      </c>
      <c r="E1254" s="12" t="n"/>
      <c r="F1254" s="12" t="n"/>
      <c r="G1254" s="14" t="n"/>
      <c r="H1254" s="14" t="n"/>
      <c r="I1254" s="12" t="n"/>
      <c r="J1254" s="14" t="n"/>
      <c r="K1254" s="12" t="n"/>
      <c r="L1254" s="13">
        <f>IF($K1254="","",IFERROR(INDEX(Dept_Names,MATCH($K1254,Dept_Codes,0)),"NOT FOUND"))</f>
        <v/>
      </c>
      <c r="M1254" s="12" t="n"/>
      <c r="N1254" s="13">
        <f>IF($M1254="","",IFERROR(INDEX(Desig_Names,MATCH($M1254,Desig_Codes,0)),"NOT FOUND"))</f>
        <v/>
      </c>
      <c r="O1254" s="13">
        <f>IF($M1254="","",IFERROR(INDEX(Desig_Levels,MATCH($M1254,Desig_Codes,0)),""))</f>
        <v/>
      </c>
      <c r="P1254" s="12" t="n"/>
      <c r="Q1254" s="12" t="n"/>
      <c r="R1254" s="12" t="n"/>
      <c r="S1254" s="13">
        <f>IF($R1254="","",IFERROR(INDEX(Emp_Names,MATCH($R1254,Emp_Codes,0)),"NOT FOUND"))</f>
        <v/>
      </c>
      <c r="T1254" s="12" t="n"/>
      <c r="U1254" s="12" t="n"/>
      <c r="V1254" s="12" t="n"/>
    </row>
    <row r="1255">
      <c r="A1255" s="12" t="n"/>
      <c r="B1255" s="12" t="n"/>
      <c r="C1255" s="12" t="n"/>
      <c r="D1255" s="13">
        <f>IF($A1255="","",TRIM($B1255&amp;" "&amp;$C1255))</f>
        <v/>
      </c>
      <c r="E1255" s="12" t="n"/>
      <c r="F1255" s="12" t="n"/>
      <c r="G1255" s="14" t="n"/>
      <c r="H1255" s="14" t="n"/>
      <c r="I1255" s="12" t="n"/>
      <c r="J1255" s="14" t="n"/>
      <c r="K1255" s="12" t="n"/>
      <c r="L1255" s="13">
        <f>IF($K1255="","",IFERROR(INDEX(Dept_Names,MATCH($K1255,Dept_Codes,0)),"NOT FOUND"))</f>
        <v/>
      </c>
      <c r="M1255" s="12" t="n"/>
      <c r="N1255" s="13">
        <f>IF($M1255="","",IFERROR(INDEX(Desig_Names,MATCH($M1255,Desig_Codes,0)),"NOT FOUND"))</f>
        <v/>
      </c>
      <c r="O1255" s="13">
        <f>IF($M1255="","",IFERROR(INDEX(Desig_Levels,MATCH($M1255,Desig_Codes,0)),""))</f>
        <v/>
      </c>
      <c r="P1255" s="12" t="n"/>
      <c r="Q1255" s="12" t="n"/>
      <c r="R1255" s="12" t="n"/>
      <c r="S1255" s="13">
        <f>IF($R1255="","",IFERROR(INDEX(Emp_Names,MATCH($R1255,Emp_Codes,0)),"NOT FOUND"))</f>
        <v/>
      </c>
      <c r="T1255" s="12" t="n"/>
      <c r="U1255" s="12" t="n"/>
      <c r="V1255" s="12" t="n"/>
    </row>
    <row r="1256">
      <c r="A1256" s="12" t="n"/>
      <c r="B1256" s="12" t="n"/>
      <c r="C1256" s="12" t="n"/>
      <c r="D1256" s="13">
        <f>IF($A1256="","",TRIM($B1256&amp;" "&amp;$C1256))</f>
        <v/>
      </c>
      <c r="E1256" s="12" t="n"/>
      <c r="F1256" s="12" t="n"/>
      <c r="G1256" s="14" t="n"/>
      <c r="H1256" s="14" t="n"/>
      <c r="I1256" s="12" t="n"/>
      <c r="J1256" s="14" t="n"/>
      <c r="K1256" s="12" t="n"/>
      <c r="L1256" s="13">
        <f>IF($K1256="","",IFERROR(INDEX(Dept_Names,MATCH($K1256,Dept_Codes,0)),"NOT FOUND"))</f>
        <v/>
      </c>
      <c r="M1256" s="12" t="n"/>
      <c r="N1256" s="13">
        <f>IF($M1256="","",IFERROR(INDEX(Desig_Names,MATCH($M1256,Desig_Codes,0)),"NOT FOUND"))</f>
        <v/>
      </c>
      <c r="O1256" s="13">
        <f>IF($M1256="","",IFERROR(INDEX(Desig_Levels,MATCH($M1256,Desig_Codes,0)),""))</f>
        <v/>
      </c>
      <c r="P1256" s="12" t="n"/>
      <c r="Q1256" s="12" t="n"/>
      <c r="R1256" s="12" t="n"/>
      <c r="S1256" s="13">
        <f>IF($R1256="","",IFERROR(INDEX(Emp_Names,MATCH($R1256,Emp_Codes,0)),"NOT FOUND"))</f>
        <v/>
      </c>
      <c r="T1256" s="12" t="n"/>
      <c r="U1256" s="12" t="n"/>
      <c r="V1256" s="12" t="n"/>
    </row>
    <row r="1257">
      <c r="A1257" s="12" t="n"/>
      <c r="B1257" s="12" t="n"/>
      <c r="C1257" s="12" t="n"/>
      <c r="D1257" s="13">
        <f>IF($A1257="","",TRIM($B1257&amp;" "&amp;$C1257))</f>
        <v/>
      </c>
      <c r="E1257" s="12" t="n"/>
      <c r="F1257" s="12" t="n"/>
      <c r="G1257" s="14" t="n"/>
      <c r="H1257" s="14" t="n"/>
      <c r="I1257" s="12" t="n"/>
      <c r="J1257" s="14" t="n"/>
      <c r="K1257" s="12" t="n"/>
      <c r="L1257" s="13">
        <f>IF($K1257="","",IFERROR(INDEX(Dept_Names,MATCH($K1257,Dept_Codes,0)),"NOT FOUND"))</f>
        <v/>
      </c>
      <c r="M1257" s="12" t="n"/>
      <c r="N1257" s="13">
        <f>IF($M1257="","",IFERROR(INDEX(Desig_Names,MATCH($M1257,Desig_Codes,0)),"NOT FOUND"))</f>
        <v/>
      </c>
      <c r="O1257" s="13">
        <f>IF($M1257="","",IFERROR(INDEX(Desig_Levels,MATCH($M1257,Desig_Codes,0)),""))</f>
        <v/>
      </c>
      <c r="P1257" s="12" t="n"/>
      <c r="Q1257" s="12" t="n"/>
      <c r="R1257" s="12" t="n"/>
      <c r="S1257" s="13">
        <f>IF($R1257="","",IFERROR(INDEX(Emp_Names,MATCH($R1257,Emp_Codes,0)),"NOT FOUND"))</f>
        <v/>
      </c>
      <c r="T1257" s="12" t="n"/>
      <c r="U1257" s="12" t="n"/>
      <c r="V1257" s="12" t="n"/>
    </row>
    <row r="1258">
      <c r="A1258" s="12" t="n"/>
      <c r="B1258" s="12" t="n"/>
      <c r="C1258" s="12" t="n"/>
      <c r="D1258" s="13">
        <f>IF($A1258="","",TRIM($B1258&amp;" "&amp;$C1258))</f>
        <v/>
      </c>
      <c r="E1258" s="12" t="n"/>
      <c r="F1258" s="12" t="n"/>
      <c r="G1258" s="14" t="n"/>
      <c r="H1258" s="14" t="n"/>
      <c r="I1258" s="12" t="n"/>
      <c r="J1258" s="14" t="n"/>
      <c r="K1258" s="12" t="n"/>
      <c r="L1258" s="13">
        <f>IF($K1258="","",IFERROR(INDEX(Dept_Names,MATCH($K1258,Dept_Codes,0)),"NOT FOUND"))</f>
        <v/>
      </c>
      <c r="M1258" s="12" t="n"/>
      <c r="N1258" s="13">
        <f>IF($M1258="","",IFERROR(INDEX(Desig_Names,MATCH($M1258,Desig_Codes,0)),"NOT FOUND"))</f>
        <v/>
      </c>
      <c r="O1258" s="13">
        <f>IF($M1258="","",IFERROR(INDEX(Desig_Levels,MATCH($M1258,Desig_Codes,0)),""))</f>
        <v/>
      </c>
      <c r="P1258" s="12" t="n"/>
      <c r="Q1258" s="12" t="n"/>
      <c r="R1258" s="12" t="n"/>
      <c r="S1258" s="13">
        <f>IF($R1258="","",IFERROR(INDEX(Emp_Names,MATCH($R1258,Emp_Codes,0)),"NOT FOUND"))</f>
        <v/>
      </c>
      <c r="T1258" s="12" t="n"/>
      <c r="U1258" s="12" t="n"/>
      <c r="V1258" s="12" t="n"/>
    </row>
    <row r="1259">
      <c r="A1259" s="12" t="n"/>
      <c r="B1259" s="12" t="n"/>
      <c r="C1259" s="12" t="n"/>
      <c r="D1259" s="13">
        <f>IF($A1259="","",TRIM($B1259&amp;" "&amp;$C1259))</f>
        <v/>
      </c>
      <c r="E1259" s="12" t="n"/>
      <c r="F1259" s="12" t="n"/>
      <c r="G1259" s="14" t="n"/>
      <c r="H1259" s="14" t="n"/>
      <c r="I1259" s="12" t="n"/>
      <c r="J1259" s="14" t="n"/>
      <c r="K1259" s="12" t="n"/>
      <c r="L1259" s="13">
        <f>IF($K1259="","",IFERROR(INDEX(Dept_Names,MATCH($K1259,Dept_Codes,0)),"NOT FOUND"))</f>
        <v/>
      </c>
      <c r="M1259" s="12" t="n"/>
      <c r="N1259" s="13">
        <f>IF($M1259="","",IFERROR(INDEX(Desig_Names,MATCH($M1259,Desig_Codes,0)),"NOT FOUND"))</f>
        <v/>
      </c>
      <c r="O1259" s="13">
        <f>IF($M1259="","",IFERROR(INDEX(Desig_Levels,MATCH($M1259,Desig_Codes,0)),""))</f>
        <v/>
      </c>
      <c r="P1259" s="12" t="n"/>
      <c r="Q1259" s="12" t="n"/>
      <c r="R1259" s="12" t="n"/>
      <c r="S1259" s="13">
        <f>IF($R1259="","",IFERROR(INDEX(Emp_Names,MATCH($R1259,Emp_Codes,0)),"NOT FOUND"))</f>
        <v/>
      </c>
      <c r="T1259" s="12" t="n"/>
      <c r="U1259" s="12" t="n"/>
      <c r="V1259" s="12" t="n"/>
    </row>
    <row r="1260">
      <c r="A1260" s="12" t="n"/>
      <c r="B1260" s="12" t="n"/>
      <c r="C1260" s="12" t="n"/>
      <c r="D1260" s="13">
        <f>IF($A1260="","",TRIM($B1260&amp;" "&amp;$C1260))</f>
        <v/>
      </c>
      <c r="E1260" s="12" t="n"/>
      <c r="F1260" s="12" t="n"/>
      <c r="G1260" s="14" t="n"/>
      <c r="H1260" s="14" t="n"/>
      <c r="I1260" s="12" t="n"/>
      <c r="J1260" s="14" t="n"/>
      <c r="K1260" s="12" t="n"/>
      <c r="L1260" s="13">
        <f>IF($K1260="","",IFERROR(INDEX(Dept_Names,MATCH($K1260,Dept_Codes,0)),"NOT FOUND"))</f>
        <v/>
      </c>
      <c r="M1260" s="12" t="n"/>
      <c r="N1260" s="13">
        <f>IF($M1260="","",IFERROR(INDEX(Desig_Names,MATCH($M1260,Desig_Codes,0)),"NOT FOUND"))</f>
        <v/>
      </c>
      <c r="O1260" s="13">
        <f>IF($M1260="","",IFERROR(INDEX(Desig_Levels,MATCH($M1260,Desig_Codes,0)),""))</f>
        <v/>
      </c>
      <c r="P1260" s="12" t="n"/>
      <c r="Q1260" s="12" t="n"/>
      <c r="R1260" s="12" t="n"/>
      <c r="S1260" s="13">
        <f>IF($R1260="","",IFERROR(INDEX(Emp_Names,MATCH($R1260,Emp_Codes,0)),"NOT FOUND"))</f>
        <v/>
      </c>
      <c r="T1260" s="12" t="n"/>
      <c r="U1260" s="12" t="n"/>
      <c r="V1260" s="12" t="n"/>
    </row>
    <row r="1261">
      <c r="A1261" s="12" t="n"/>
      <c r="B1261" s="12" t="n"/>
      <c r="C1261" s="12" t="n"/>
      <c r="D1261" s="13">
        <f>IF($A1261="","",TRIM($B1261&amp;" "&amp;$C1261))</f>
        <v/>
      </c>
      <c r="E1261" s="12" t="n"/>
      <c r="F1261" s="12" t="n"/>
      <c r="G1261" s="14" t="n"/>
      <c r="H1261" s="14" t="n"/>
      <c r="I1261" s="12" t="n"/>
      <c r="J1261" s="14" t="n"/>
      <c r="K1261" s="12" t="n"/>
      <c r="L1261" s="13">
        <f>IF($K1261="","",IFERROR(INDEX(Dept_Names,MATCH($K1261,Dept_Codes,0)),"NOT FOUND"))</f>
        <v/>
      </c>
      <c r="M1261" s="12" t="n"/>
      <c r="N1261" s="13">
        <f>IF($M1261="","",IFERROR(INDEX(Desig_Names,MATCH($M1261,Desig_Codes,0)),"NOT FOUND"))</f>
        <v/>
      </c>
      <c r="O1261" s="13">
        <f>IF($M1261="","",IFERROR(INDEX(Desig_Levels,MATCH($M1261,Desig_Codes,0)),""))</f>
        <v/>
      </c>
      <c r="P1261" s="12" t="n"/>
      <c r="Q1261" s="12" t="n"/>
      <c r="R1261" s="12" t="n"/>
      <c r="S1261" s="13">
        <f>IF($R1261="","",IFERROR(INDEX(Emp_Names,MATCH($R1261,Emp_Codes,0)),"NOT FOUND"))</f>
        <v/>
      </c>
      <c r="T1261" s="12" t="n"/>
      <c r="U1261" s="12" t="n"/>
      <c r="V1261" s="12" t="n"/>
    </row>
    <row r="1262">
      <c r="A1262" s="12" t="n"/>
      <c r="B1262" s="12" t="n"/>
      <c r="C1262" s="12" t="n"/>
      <c r="D1262" s="13">
        <f>IF($A1262="","",TRIM($B1262&amp;" "&amp;$C1262))</f>
        <v/>
      </c>
      <c r="E1262" s="12" t="n"/>
      <c r="F1262" s="12" t="n"/>
      <c r="G1262" s="14" t="n"/>
      <c r="H1262" s="14" t="n"/>
      <c r="I1262" s="12" t="n"/>
      <c r="J1262" s="14" t="n"/>
      <c r="K1262" s="12" t="n"/>
      <c r="L1262" s="13">
        <f>IF($K1262="","",IFERROR(INDEX(Dept_Names,MATCH($K1262,Dept_Codes,0)),"NOT FOUND"))</f>
        <v/>
      </c>
      <c r="M1262" s="12" t="n"/>
      <c r="N1262" s="13">
        <f>IF($M1262="","",IFERROR(INDEX(Desig_Names,MATCH($M1262,Desig_Codes,0)),"NOT FOUND"))</f>
        <v/>
      </c>
      <c r="O1262" s="13">
        <f>IF($M1262="","",IFERROR(INDEX(Desig_Levels,MATCH($M1262,Desig_Codes,0)),""))</f>
        <v/>
      </c>
      <c r="P1262" s="12" t="n"/>
      <c r="Q1262" s="12" t="n"/>
      <c r="R1262" s="12" t="n"/>
      <c r="S1262" s="13">
        <f>IF($R1262="","",IFERROR(INDEX(Emp_Names,MATCH($R1262,Emp_Codes,0)),"NOT FOUND"))</f>
        <v/>
      </c>
      <c r="T1262" s="12" t="n"/>
      <c r="U1262" s="12" t="n"/>
      <c r="V1262" s="12" t="n"/>
    </row>
    <row r="1263">
      <c r="A1263" s="12" t="n"/>
      <c r="B1263" s="12" t="n"/>
      <c r="C1263" s="12" t="n"/>
      <c r="D1263" s="13">
        <f>IF($A1263="","",TRIM($B1263&amp;" "&amp;$C1263))</f>
        <v/>
      </c>
      <c r="E1263" s="12" t="n"/>
      <c r="F1263" s="12" t="n"/>
      <c r="G1263" s="14" t="n"/>
      <c r="H1263" s="14" t="n"/>
      <c r="I1263" s="12" t="n"/>
      <c r="J1263" s="14" t="n"/>
      <c r="K1263" s="12" t="n"/>
      <c r="L1263" s="13">
        <f>IF($K1263="","",IFERROR(INDEX(Dept_Names,MATCH($K1263,Dept_Codes,0)),"NOT FOUND"))</f>
        <v/>
      </c>
      <c r="M1263" s="12" t="n"/>
      <c r="N1263" s="13">
        <f>IF($M1263="","",IFERROR(INDEX(Desig_Names,MATCH($M1263,Desig_Codes,0)),"NOT FOUND"))</f>
        <v/>
      </c>
      <c r="O1263" s="13">
        <f>IF($M1263="","",IFERROR(INDEX(Desig_Levels,MATCH($M1263,Desig_Codes,0)),""))</f>
        <v/>
      </c>
      <c r="P1263" s="12" t="n"/>
      <c r="Q1263" s="12" t="n"/>
      <c r="R1263" s="12" t="n"/>
      <c r="S1263" s="13">
        <f>IF($R1263="","",IFERROR(INDEX(Emp_Names,MATCH($R1263,Emp_Codes,0)),"NOT FOUND"))</f>
        <v/>
      </c>
      <c r="T1263" s="12" t="n"/>
      <c r="U1263" s="12" t="n"/>
      <c r="V1263" s="12" t="n"/>
    </row>
    <row r="1264">
      <c r="A1264" s="12" t="n"/>
      <c r="B1264" s="12" t="n"/>
      <c r="C1264" s="12" t="n"/>
      <c r="D1264" s="13">
        <f>IF($A1264="","",TRIM($B1264&amp;" "&amp;$C1264))</f>
        <v/>
      </c>
      <c r="E1264" s="12" t="n"/>
      <c r="F1264" s="12" t="n"/>
      <c r="G1264" s="14" t="n"/>
      <c r="H1264" s="14" t="n"/>
      <c r="I1264" s="12" t="n"/>
      <c r="J1264" s="14" t="n"/>
      <c r="K1264" s="12" t="n"/>
      <c r="L1264" s="13">
        <f>IF($K1264="","",IFERROR(INDEX(Dept_Names,MATCH($K1264,Dept_Codes,0)),"NOT FOUND"))</f>
        <v/>
      </c>
      <c r="M1264" s="12" t="n"/>
      <c r="N1264" s="13">
        <f>IF($M1264="","",IFERROR(INDEX(Desig_Names,MATCH($M1264,Desig_Codes,0)),"NOT FOUND"))</f>
        <v/>
      </c>
      <c r="O1264" s="13">
        <f>IF($M1264="","",IFERROR(INDEX(Desig_Levels,MATCH($M1264,Desig_Codes,0)),""))</f>
        <v/>
      </c>
      <c r="P1264" s="12" t="n"/>
      <c r="Q1264" s="12" t="n"/>
      <c r="R1264" s="12" t="n"/>
      <c r="S1264" s="13">
        <f>IF($R1264="","",IFERROR(INDEX(Emp_Names,MATCH($R1264,Emp_Codes,0)),"NOT FOUND"))</f>
        <v/>
      </c>
      <c r="T1264" s="12" t="n"/>
      <c r="U1264" s="12" t="n"/>
      <c r="V1264" s="12" t="n"/>
    </row>
    <row r="1265">
      <c r="A1265" s="12" t="n"/>
      <c r="B1265" s="12" t="n"/>
      <c r="C1265" s="12" t="n"/>
      <c r="D1265" s="13">
        <f>IF($A1265="","",TRIM($B1265&amp;" "&amp;$C1265))</f>
        <v/>
      </c>
      <c r="E1265" s="12" t="n"/>
      <c r="F1265" s="12" t="n"/>
      <c r="G1265" s="14" t="n"/>
      <c r="H1265" s="14" t="n"/>
      <c r="I1265" s="12" t="n"/>
      <c r="J1265" s="14" t="n"/>
      <c r="K1265" s="12" t="n"/>
      <c r="L1265" s="13">
        <f>IF($K1265="","",IFERROR(INDEX(Dept_Names,MATCH($K1265,Dept_Codes,0)),"NOT FOUND"))</f>
        <v/>
      </c>
      <c r="M1265" s="12" t="n"/>
      <c r="N1265" s="13">
        <f>IF($M1265="","",IFERROR(INDEX(Desig_Names,MATCH($M1265,Desig_Codes,0)),"NOT FOUND"))</f>
        <v/>
      </c>
      <c r="O1265" s="13">
        <f>IF($M1265="","",IFERROR(INDEX(Desig_Levels,MATCH($M1265,Desig_Codes,0)),""))</f>
        <v/>
      </c>
      <c r="P1265" s="12" t="n"/>
      <c r="Q1265" s="12" t="n"/>
      <c r="R1265" s="12" t="n"/>
      <c r="S1265" s="13">
        <f>IF($R1265="","",IFERROR(INDEX(Emp_Names,MATCH($R1265,Emp_Codes,0)),"NOT FOUND"))</f>
        <v/>
      </c>
      <c r="T1265" s="12" t="n"/>
      <c r="U1265" s="12" t="n"/>
      <c r="V1265" s="12" t="n"/>
    </row>
    <row r="1266">
      <c r="A1266" s="12" t="n"/>
      <c r="B1266" s="12" t="n"/>
      <c r="C1266" s="12" t="n"/>
      <c r="D1266" s="13">
        <f>IF($A1266="","",TRIM($B1266&amp;" "&amp;$C1266))</f>
        <v/>
      </c>
      <c r="E1266" s="12" t="n"/>
      <c r="F1266" s="12" t="n"/>
      <c r="G1266" s="14" t="n"/>
      <c r="H1266" s="14" t="n"/>
      <c r="I1266" s="12" t="n"/>
      <c r="J1266" s="14" t="n"/>
      <c r="K1266" s="12" t="n"/>
      <c r="L1266" s="13">
        <f>IF($K1266="","",IFERROR(INDEX(Dept_Names,MATCH($K1266,Dept_Codes,0)),"NOT FOUND"))</f>
        <v/>
      </c>
      <c r="M1266" s="12" t="n"/>
      <c r="N1266" s="13">
        <f>IF($M1266="","",IFERROR(INDEX(Desig_Names,MATCH($M1266,Desig_Codes,0)),"NOT FOUND"))</f>
        <v/>
      </c>
      <c r="O1266" s="13">
        <f>IF($M1266="","",IFERROR(INDEX(Desig_Levels,MATCH($M1266,Desig_Codes,0)),""))</f>
        <v/>
      </c>
      <c r="P1266" s="12" t="n"/>
      <c r="Q1266" s="12" t="n"/>
      <c r="R1266" s="12" t="n"/>
      <c r="S1266" s="13">
        <f>IF($R1266="","",IFERROR(INDEX(Emp_Names,MATCH($R1266,Emp_Codes,0)),"NOT FOUND"))</f>
        <v/>
      </c>
      <c r="T1266" s="12" t="n"/>
      <c r="U1266" s="12" t="n"/>
      <c r="V1266" s="12" t="n"/>
    </row>
    <row r="1267">
      <c r="A1267" s="12" t="n"/>
      <c r="B1267" s="12" t="n"/>
      <c r="C1267" s="12" t="n"/>
      <c r="D1267" s="13">
        <f>IF($A1267="","",TRIM($B1267&amp;" "&amp;$C1267))</f>
        <v/>
      </c>
      <c r="E1267" s="12" t="n"/>
      <c r="F1267" s="12" t="n"/>
      <c r="G1267" s="14" t="n"/>
      <c r="H1267" s="14" t="n"/>
      <c r="I1267" s="12" t="n"/>
      <c r="J1267" s="14" t="n"/>
      <c r="K1267" s="12" t="n"/>
      <c r="L1267" s="13">
        <f>IF($K1267="","",IFERROR(INDEX(Dept_Names,MATCH($K1267,Dept_Codes,0)),"NOT FOUND"))</f>
        <v/>
      </c>
      <c r="M1267" s="12" t="n"/>
      <c r="N1267" s="13">
        <f>IF($M1267="","",IFERROR(INDEX(Desig_Names,MATCH($M1267,Desig_Codes,0)),"NOT FOUND"))</f>
        <v/>
      </c>
      <c r="O1267" s="13">
        <f>IF($M1267="","",IFERROR(INDEX(Desig_Levels,MATCH($M1267,Desig_Codes,0)),""))</f>
        <v/>
      </c>
      <c r="P1267" s="12" t="n"/>
      <c r="Q1267" s="12" t="n"/>
      <c r="R1267" s="12" t="n"/>
      <c r="S1267" s="13">
        <f>IF($R1267="","",IFERROR(INDEX(Emp_Names,MATCH($R1267,Emp_Codes,0)),"NOT FOUND"))</f>
        <v/>
      </c>
      <c r="T1267" s="12" t="n"/>
      <c r="U1267" s="12" t="n"/>
      <c r="V1267" s="12" t="n"/>
    </row>
    <row r="1268">
      <c r="A1268" s="12" t="n"/>
      <c r="B1268" s="12" t="n"/>
      <c r="C1268" s="12" t="n"/>
      <c r="D1268" s="13">
        <f>IF($A1268="","",TRIM($B1268&amp;" "&amp;$C1268))</f>
        <v/>
      </c>
      <c r="E1268" s="12" t="n"/>
      <c r="F1268" s="12" t="n"/>
      <c r="G1268" s="14" t="n"/>
      <c r="H1268" s="14" t="n"/>
      <c r="I1268" s="12" t="n"/>
      <c r="J1268" s="14" t="n"/>
      <c r="K1268" s="12" t="n"/>
      <c r="L1268" s="13">
        <f>IF($K1268="","",IFERROR(INDEX(Dept_Names,MATCH($K1268,Dept_Codes,0)),"NOT FOUND"))</f>
        <v/>
      </c>
      <c r="M1268" s="12" t="n"/>
      <c r="N1268" s="13">
        <f>IF($M1268="","",IFERROR(INDEX(Desig_Names,MATCH($M1268,Desig_Codes,0)),"NOT FOUND"))</f>
        <v/>
      </c>
      <c r="O1268" s="13">
        <f>IF($M1268="","",IFERROR(INDEX(Desig_Levels,MATCH($M1268,Desig_Codes,0)),""))</f>
        <v/>
      </c>
      <c r="P1268" s="12" t="n"/>
      <c r="Q1268" s="12" t="n"/>
      <c r="R1268" s="12" t="n"/>
      <c r="S1268" s="13">
        <f>IF($R1268="","",IFERROR(INDEX(Emp_Names,MATCH($R1268,Emp_Codes,0)),"NOT FOUND"))</f>
        <v/>
      </c>
      <c r="T1268" s="12" t="n"/>
      <c r="U1268" s="12" t="n"/>
      <c r="V1268" s="12" t="n"/>
    </row>
    <row r="1269">
      <c r="A1269" s="12" t="n"/>
      <c r="B1269" s="12" t="n"/>
      <c r="C1269" s="12" t="n"/>
      <c r="D1269" s="13">
        <f>IF($A1269="","",TRIM($B1269&amp;" "&amp;$C1269))</f>
        <v/>
      </c>
      <c r="E1269" s="12" t="n"/>
      <c r="F1269" s="12" t="n"/>
      <c r="G1269" s="14" t="n"/>
      <c r="H1269" s="14" t="n"/>
      <c r="I1269" s="12" t="n"/>
      <c r="J1269" s="14" t="n"/>
      <c r="K1269" s="12" t="n"/>
      <c r="L1269" s="13">
        <f>IF($K1269="","",IFERROR(INDEX(Dept_Names,MATCH($K1269,Dept_Codes,0)),"NOT FOUND"))</f>
        <v/>
      </c>
      <c r="M1269" s="12" t="n"/>
      <c r="N1269" s="13">
        <f>IF($M1269="","",IFERROR(INDEX(Desig_Names,MATCH($M1269,Desig_Codes,0)),"NOT FOUND"))</f>
        <v/>
      </c>
      <c r="O1269" s="13">
        <f>IF($M1269="","",IFERROR(INDEX(Desig_Levels,MATCH($M1269,Desig_Codes,0)),""))</f>
        <v/>
      </c>
      <c r="P1269" s="12" t="n"/>
      <c r="Q1269" s="12" t="n"/>
      <c r="R1269" s="12" t="n"/>
      <c r="S1269" s="13">
        <f>IF($R1269="","",IFERROR(INDEX(Emp_Names,MATCH($R1269,Emp_Codes,0)),"NOT FOUND"))</f>
        <v/>
      </c>
      <c r="T1269" s="12" t="n"/>
      <c r="U1269" s="12" t="n"/>
      <c r="V1269" s="12" t="n"/>
    </row>
    <row r="1270">
      <c r="A1270" s="12" t="n"/>
      <c r="B1270" s="12" t="n"/>
      <c r="C1270" s="12" t="n"/>
      <c r="D1270" s="13">
        <f>IF($A1270="","",TRIM($B1270&amp;" "&amp;$C1270))</f>
        <v/>
      </c>
      <c r="E1270" s="12" t="n"/>
      <c r="F1270" s="12" t="n"/>
      <c r="G1270" s="14" t="n"/>
      <c r="H1270" s="14" t="n"/>
      <c r="I1270" s="12" t="n"/>
      <c r="J1270" s="14" t="n"/>
      <c r="K1270" s="12" t="n"/>
      <c r="L1270" s="13">
        <f>IF($K1270="","",IFERROR(INDEX(Dept_Names,MATCH($K1270,Dept_Codes,0)),"NOT FOUND"))</f>
        <v/>
      </c>
      <c r="M1270" s="12" t="n"/>
      <c r="N1270" s="13">
        <f>IF($M1270="","",IFERROR(INDEX(Desig_Names,MATCH($M1270,Desig_Codes,0)),"NOT FOUND"))</f>
        <v/>
      </c>
      <c r="O1270" s="13">
        <f>IF($M1270="","",IFERROR(INDEX(Desig_Levels,MATCH($M1270,Desig_Codes,0)),""))</f>
        <v/>
      </c>
      <c r="P1270" s="12" t="n"/>
      <c r="Q1270" s="12" t="n"/>
      <c r="R1270" s="12" t="n"/>
      <c r="S1270" s="13">
        <f>IF($R1270="","",IFERROR(INDEX(Emp_Names,MATCH($R1270,Emp_Codes,0)),"NOT FOUND"))</f>
        <v/>
      </c>
      <c r="T1270" s="12" t="n"/>
      <c r="U1270" s="12" t="n"/>
      <c r="V1270" s="12" t="n"/>
    </row>
    <row r="1271">
      <c r="A1271" s="12" t="n"/>
      <c r="B1271" s="12" t="n"/>
      <c r="C1271" s="12" t="n"/>
      <c r="D1271" s="13">
        <f>IF($A1271="","",TRIM($B1271&amp;" "&amp;$C1271))</f>
        <v/>
      </c>
      <c r="E1271" s="12" t="n"/>
      <c r="F1271" s="12" t="n"/>
      <c r="G1271" s="14" t="n"/>
      <c r="H1271" s="14" t="n"/>
      <c r="I1271" s="12" t="n"/>
      <c r="J1271" s="14" t="n"/>
      <c r="K1271" s="12" t="n"/>
      <c r="L1271" s="13">
        <f>IF($K1271="","",IFERROR(INDEX(Dept_Names,MATCH($K1271,Dept_Codes,0)),"NOT FOUND"))</f>
        <v/>
      </c>
      <c r="M1271" s="12" t="n"/>
      <c r="N1271" s="13">
        <f>IF($M1271="","",IFERROR(INDEX(Desig_Names,MATCH($M1271,Desig_Codes,0)),"NOT FOUND"))</f>
        <v/>
      </c>
      <c r="O1271" s="13">
        <f>IF($M1271="","",IFERROR(INDEX(Desig_Levels,MATCH($M1271,Desig_Codes,0)),""))</f>
        <v/>
      </c>
      <c r="P1271" s="12" t="n"/>
      <c r="Q1271" s="12" t="n"/>
      <c r="R1271" s="12" t="n"/>
      <c r="S1271" s="13">
        <f>IF($R1271="","",IFERROR(INDEX(Emp_Names,MATCH($R1271,Emp_Codes,0)),"NOT FOUND"))</f>
        <v/>
      </c>
      <c r="T1271" s="12" t="n"/>
      <c r="U1271" s="12" t="n"/>
      <c r="V1271" s="12" t="n"/>
    </row>
    <row r="1272">
      <c r="A1272" s="12" t="n"/>
      <c r="B1272" s="12" t="n"/>
      <c r="C1272" s="12" t="n"/>
      <c r="D1272" s="13">
        <f>IF($A1272="","",TRIM($B1272&amp;" "&amp;$C1272))</f>
        <v/>
      </c>
      <c r="E1272" s="12" t="n"/>
      <c r="F1272" s="12" t="n"/>
      <c r="G1272" s="14" t="n"/>
      <c r="H1272" s="14" t="n"/>
      <c r="I1272" s="12" t="n"/>
      <c r="J1272" s="14" t="n"/>
      <c r="K1272" s="12" t="n"/>
      <c r="L1272" s="13">
        <f>IF($K1272="","",IFERROR(INDEX(Dept_Names,MATCH($K1272,Dept_Codes,0)),"NOT FOUND"))</f>
        <v/>
      </c>
      <c r="M1272" s="12" t="n"/>
      <c r="N1272" s="13">
        <f>IF($M1272="","",IFERROR(INDEX(Desig_Names,MATCH($M1272,Desig_Codes,0)),"NOT FOUND"))</f>
        <v/>
      </c>
      <c r="O1272" s="13">
        <f>IF($M1272="","",IFERROR(INDEX(Desig_Levels,MATCH($M1272,Desig_Codes,0)),""))</f>
        <v/>
      </c>
      <c r="P1272" s="12" t="n"/>
      <c r="Q1272" s="12" t="n"/>
      <c r="R1272" s="12" t="n"/>
      <c r="S1272" s="13">
        <f>IF($R1272="","",IFERROR(INDEX(Emp_Names,MATCH($R1272,Emp_Codes,0)),"NOT FOUND"))</f>
        <v/>
      </c>
      <c r="T1272" s="12" t="n"/>
      <c r="U1272" s="12" t="n"/>
      <c r="V1272" s="12" t="n"/>
    </row>
    <row r="1273">
      <c r="A1273" s="12" t="n"/>
      <c r="B1273" s="12" t="n"/>
      <c r="C1273" s="12" t="n"/>
      <c r="D1273" s="13">
        <f>IF($A1273="","",TRIM($B1273&amp;" "&amp;$C1273))</f>
        <v/>
      </c>
      <c r="E1273" s="12" t="n"/>
      <c r="F1273" s="12" t="n"/>
      <c r="G1273" s="14" t="n"/>
      <c r="H1273" s="14" t="n"/>
      <c r="I1273" s="12" t="n"/>
      <c r="J1273" s="14" t="n"/>
      <c r="K1273" s="12" t="n"/>
      <c r="L1273" s="13">
        <f>IF($K1273="","",IFERROR(INDEX(Dept_Names,MATCH($K1273,Dept_Codes,0)),"NOT FOUND"))</f>
        <v/>
      </c>
      <c r="M1273" s="12" t="n"/>
      <c r="N1273" s="13">
        <f>IF($M1273="","",IFERROR(INDEX(Desig_Names,MATCH($M1273,Desig_Codes,0)),"NOT FOUND"))</f>
        <v/>
      </c>
      <c r="O1273" s="13">
        <f>IF($M1273="","",IFERROR(INDEX(Desig_Levels,MATCH($M1273,Desig_Codes,0)),""))</f>
        <v/>
      </c>
      <c r="P1273" s="12" t="n"/>
      <c r="Q1273" s="12" t="n"/>
      <c r="R1273" s="12" t="n"/>
      <c r="S1273" s="13">
        <f>IF($R1273="","",IFERROR(INDEX(Emp_Names,MATCH($R1273,Emp_Codes,0)),"NOT FOUND"))</f>
        <v/>
      </c>
      <c r="T1273" s="12" t="n"/>
      <c r="U1273" s="12" t="n"/>
      <c r="V1273" s="12" t="n"/>
    </row>
    <row r="1274">
      <c r="A1274" s="12" t="n"/>
      <c r="B1274" s="12" t="n"/>
      <c r="C1274" s="12" t="n"/>
      <c r="D1274" s="13">
        <f>IF($A1274="","",TRIM($B1274&amp;" "&amp;$C1274))</f>
        <v/>
      </c>
      <c r="E1274" s="12" t="n"/>
      <c r="F1274" s="12" t="n"/>
      <c r="G1274" s="14" t="n"/>
      <c r="H1274" s="14" t="n"/>
      <c r="I1274" s="12" t="n"/>
      <c r="J1274" s="14" t="n"/>
      <c r="K1274" s="12" t="n"/>
      <c r="L1274" s="13">
        <f>IF($K1274="","",IFERROR(INDEX(Dept_Names,MATCH($K1274,Dept_Codes,0)),"NOT FOUND"))</f>
        <v/>
      </c>
      <c r="M1274" s="12" t="n"/>
      <c r="N1274" s="13">
        <f>IF($M1274="","",IFERROR(INDEX(Desig_Names,MATCH($M1274,Desig_Codes,0)),"NOT FOUND"))</f>
        <v/>
      </c>
      <c r="O1274" s="13">
        <f>IF($M1274="","",IFERROR(INDEX(Desig_Levels,MATCH($M1274,Desig_Codes,0)),""))</f>
        <v/>
      </c>
      <c r="P1274" s="12" t="n"/>
      <c r="Q1274" s="12" t="n"/>
      <c r="R1274" s="12" t="n"/>
      <c r="S1274" s="13">
        <f>IF($R1274="","",IFERROR(INDEX(Emp_Names,MATCH($R1274,Emp_Codes,0)),"NOT FOUND"))</f>
        <v/>
      </c>
      <c r="T1274" s="12" t="n"/>
      <c r="U1274" s="12" t="n"/>
      <c r="V1274" s="12" t="n"/>
    </row>
    <row r="1275">
      <c r="A1275" s="12" t="n"/>
      <c r="B1275" s="12" t="n"/>
      <c r="C1275" s="12" t="n"/>
      <c r="D1275" s="13">
        <f>IF($A1275="","",TRIM($B1275&amp;" "&amp;$C1275))</f>
        <v/>
      </c>
      <c r="E1275" s="12" t="n"/>
      <c r="F1275" s="12" t="n"/>
      <c r="G1275" s="14" t="n"/>
      <c r="H1275" s="14" t="n"/>
      <c r="I1275" s="12" t="n"/>
      <c r="J1275" s="14" t="n"/>
      <c r="K1275" s="12" t="n"/>
      <c r="L1275" s="13">
        <f>IF($K1275="","",IFERROR(INDEX(Dept_Names,MATCH($K1275,Dept_Codes,0)),"NOT FOUND"))</f>
        <v/>
      </c>
      <c r="M1275" s="12" t="n"/>
      <c r="N1275" s="13">
        <f>IF($M1275="","",IFERROR(INDEX(Desig_Names,MATCH($M1275,Desig_Codes,0)),"NOT FOUND"))</f>
        <v/>
      </c>
      <c r="O1275" s="13">
        <f>IF($M1275="","",IFERROR(INDEX(Desig_Levels,MATCH($M1275,Desig_Codes,0)),""))</f>
        <v/>
      </c>
      <c r="P1275" s="12" t="n"/>
      <c r="Q1275" s="12" t="n"/>
      <c r="R1275" s="12" t="n"/>
      <c r="S1275" s="13">
        <f>IF($R1275="","",IFERROR(INDEX(Emp_Names,MATCH($R1275,Emp_Codes,0)),"NOT FOUND"))</f>
        <v/>
      </c>
      <c r="T1275" s="12" t="n"/>
      <c r="U1275" s="12" t="n"/>
      <c r="V1275" s="12" t="n"/>
    </row>
    <row r="1276">
      <c r="A1276" s="12" t="n"/>
      <c r="B1276" s="12" t="n"/>
      <c r="C1276" s="12" t="n"/>
      <c r="D1276" s="13">
        <f>IF($A1276="","",TRIM($B1276&amp;" "&amp;$C1276))</f>
        <v/>
      </c>
      <c r="E1276" s="12" t="n"/>
      <c r="F1276" s="12" t="n"/>
      <c r="G1276" s="14" t="n"/>
      <c r="H1276" s="14" t="n"/>
      <c r="I1276" s="12" t="n"/>
      <c r="J1276" s="14" t="n"/>
      <c r="K1276" s="12" t="n"/>
      <c r="L1276" s="13">
        <f>IF($K1276="","",IFERROR(INDEX(Dept_Names,MATCH($K1276,Dept_Codes,0)),"NOT FOUND"))</f>
        <v/>
      </c>
      <c r="M1276" s="12" t="n"/>
      <c r="N1276" s="13">
        <f>IF($M1276="","",IFERROR(INDEX(Desig_Names,MATCH($M1276,Desig_Codes,0)),"NOT FOUND"))</f>
        <v/>
      </c>
      <c r="O1276" s="13">
        <f>IF($M1276="","",IFERROR(INDEX(Desig_Levels,MATCH($M1276,Desig_Codes,0)),""))</f>
        <v/>
      </c>
      <c r="P1276" s="12" t="n"/>
      <c r="Q1276" s="12" t="n"/>
      <c r="R1276" s="12" t="n"/>
      <c r="S1276" s="13">
        <f>IF($R1276="","",IFERROR(INDEX(Emp_Names,MATCH($R1276,Emp_Codes,0)),"NOT FOUND"))</f>
        <v/>
      </c>
      <c r="T1276" s="12" t="n"/>
      <c r="U1276" s="12" t="n"/>
      <c r="V1276" s="12" t="n"/>
    </row>
    <row r="1277">
      <c r="A1277" s="12" t="n"/>
      <c r="B1277" s="12" t="n"/>
      <c r="C1277" s="12" t="n"/>
      <c r="D1277" s="13">
        <f>IF($A1277="","",TRIM($B1277&amp;" "&amp;$C1277))</f>
        <v/>
      </c>
      <c r="E1277" s="12" t="n"/>
      <c r="F1277" s="12" t="n"/>
      <c r="G1277" s="14" t="n"/>
      <c r="H1277" s="14" t="n"/>
      <c r="I1277" s="12" t="n"/>
      <c r="J1277" s="14" t="n"/>
      <c r="K1277" s="12" t="n"/>
      <c r="L1277" s="13">
        <f>IF($K1277="","",IFERROR(INDEX(Dept_Names,MATCH($K1277,Dept_Codes,0)),"NOT FOUND"))</f>
        <v/>
      </c>
      <c r="M1277" s="12" t="n"/>
      <c r="N1277" s="13">
        <f>IF($M1277="","",IFERROR(INDEX(Desig_Names,MATCH($M1277,Desig_Codes,0)),"NOT FOUND"))</f>
        <v/>
      </c>
      <c r="O1277" s="13">
        <f>IF($M1277="","",IFERROR(INDEX(Desig_Levels,MATCH($M1277,Desig_Codes,0)),""))</f>
        <v/>
      </c>
      <c r="P1277" s="12" t="n"/>
      <c r="Q1277" s="12" t="n"/>
      <c r="R1277" s="12" t="n"/>
      <c r="S1277" s="13">
        <f>IF($R1277="","",IFERROR(INDEX(Emp_Names,MATCH($R1277,Emp_Codes,0)),"NOT FOUND"))</f>
        <v/>
      </c>
      <c r="T1277" s="12" t="n"/>
      <c r="U1277" s="12" t="n"/>
      <c r="V1277" s="12" t="n"/>
    </row>
    <row r="1278">
      <c r="A1278" s="12" t="n"/>
      <c r="B1278" s="12" t="n"/>
      <c r="C1278" s="12" t="n"/>
      <c r="D1278" s="13">
        <f>IF($A1278="","",TRIM($B1278&amp;" "&amp;$C1278))</f>
        <v/>
      </c>
      <c r="E1278" s="12" t="n"/>
      <c r="F1278" s="12" t="n"/>
      <c r="G1278" s="14" t="n"/>
      <c r="H1278" s="14" t="n"/>
      <c r="I1278" s="12" t="n"/>
      <c r="J1278" s="14" t="n"/>
      <c r="K1278" s="12" t="n"/>
      <c r="L1278" s="13">
        <f>IF($K1278="","",IFERROR(INDEX(Dept_Names,MATCH($K1278,Dept_Codes,0)),"NOT FOUND"))</f>
        <v/>
      </c>
      <c r="M1278" s="12" t="n"/>
      <c r="N1278" s="13">
        <f>IF($M1278="","",IFERROR(INDEX(Desig_Names,MATCH($M1278,Desig_Codes,0)),"NOT FOUND"))</f>
        <v/>
      </c>
      <c r="O1278" s="13">
        <f>IF($M1278="","",IFERROR(INDEX(Desig_Levels,MATCH($M1278,Desig_Codes,0)),""))</f>
        <v/>
      </c>
      <c r="P1278" s="12" t="n"/>
      <c r="Q1278" s="12" t="n"/>
      <c r="R1278" s="12" t="n"/>
      <c r="S1278" s="13">
        <f>IF($R1278="","",IFERROR(INDEX(Emp_Names,MATCH($R1278,Emp_Codes,0)),"NOT FOUND"))</f>
        <v/>
      </c>
      <c r="T1278" s="12" t="n"/>
      <c r="U1278" s="12" t="n"/>
      <c r="V1278" s="12" t="n"/>
    </row>
    <row r="1279">
      <c r="A1279" s="12" t="n"/>
      <c r="B1279" s="12" t="n"/>
      <c r="C1279" s="12" t="n"/>
      <c r="D1279" s="13">
        <f>IF($A1279="","",TRIM($B1279&amp;" "&amp;$C1279))</f>
        <v/>
      </c>
      <c r="E1279" s="12" t="n"/>
      <c r="F1279" s="12" t="n"/>
      <c r="G1279" s="14" t="n"/>
      <c r="H1279" s="14" t="n"/>
      <c r="I1279" s="12" t="n"/>
      <c r="J1279" s="14" t="n"/>
      <c r="K1279" s="12" t="n"/>
      <c r="L1279" s="13">
        <f>IF($K1279="","",IFERROR(INDEX(Dept_Names,MATCH($K1279,Dept_Codes,0)),"NOT FOUND"))</f>
        <v/>
      </c>
      <c r="M1279" s="12" t="n"/>
      <c r="N1279" s="13">
        <f>IF($M1279="","",IFERROR(INDEX(Desig_Names,MATCH($M1279,Desig_Codes,0)),"NOT FOUND"))</f>
        <v/>
      </c>
      <c r="O1279" s="13">
        <f>IF($M1279="","",IFERROR(INDEX(Desig_Levels,MATCH($M1279,Desig_Codes,0)),""))</f>
        <v/>
      </c>
      <c r="P1279" s="12" t="n"/>
      <c r="Q1279" s="12" t="n"/>
      <c r="R1279" s="12" t="n"/>
      <c r="S1279" s="13">
        <f>IF($R1279="","",IFERROR(INDEX(Emp_Names,MATCH($R1279,Emp_Codes,0)),"NOT FOUND"))</f>
        <v/>
      </c>
      <c r="T1279" s="12" t="n"/>
      <c r="U1279" s="12" t="n"/>
      <c r="V1279" s="12" t="n"/>
    </row>
    <row r="1280">
      <c r="A1280" s="12" t="n"/>
      <c r="B1280" s="12" t="n"/>
      <c r="C1280" s="12" t="n"/>
      <c r="D1280" s="13">
        <f>IF($A1280="","",TRIM($B1280&amp;" "&amp;$C1280))</f>
        <v/>
      </c>
      <c r="E1280" s="12" t="n"/>
      <c r="F1280" s="12" t="n"/>
      <c r="G1280" s="14" t="n"/>
      <c r="H1280" s="14" t="n"/>
      <c r="I1280" s="12" t="n"/>
      <c r="J1280" s="14" t="n"/>
      <c r="K1280" s="12" t="n"/>
      <c r="L1280" s="13">
        <f>IF($K1280="","",IFERROR(INDEX(Dept_Names,MATCH($K1280,Dept_Codes,0)),"NOT FOUND"))</f>
        <v/>
      </c>
      <c r="M1280" s="12" t="n"/>
      <c r="N1280" s="13">
        <f>IF($M1280="","",IFERROR(INDEX(Desig_Names,MATCH($M1280,Desig_Codes,0)),"NOT FOUND"))</f>
        <v/>
      </c>
      <c r="O1280" s="13">
        <f>IF($M1280="","",IFERROR(INDEX(Desig_Levels,MATCH($M1280,Desig_Codes,0)),""))</f>
        <v/>
      </c>
      <c r="P1280" s="12" t="n"/>
      <c r="Q1280" s="12" t="n"/>
      <c r="R1280" s="12" t="n"/>
      <c r="S1280" s="13">
        <f>IF($R1280="","",IFERROR(INDEX(Emp_Names,MATCH($R1280,Emp_Codes,0)),"NOT FOUND"))</f>
        <v/>
      </c>
      <c r="T1280" s="12" t="n"/>
      <c r="U1280" s="12" t="n"/>
      <c r="V1280" s="12" t="n"/>
    </row>
    <row r="1281">
      <c r="A1281" s="12" t="n"/>
      <c r="B1281" s="12" t="n"/>
      <c r="C1281" s="12" t="n"/>
      <c r="D1281" s="13">
        <f>IF($A1281="","",TRIM($B1281&amp;" "&amp;$C1281))</f>
        <v/>
      </c>
      <c r="E1281" s="12" t="n"/>
      <c r="F1281" s="12" t="n"/>
      <c r="G1281" s="14" t="n"/>
      <c r="H1281" s="14" t="n"/>
      <c r="I1281" s="12" t="n"/>
      <c r="J1281" s="14" t="n"/>
      <c r="K1281" s="12" t="n"/>
      <c r="L1281" s="13">
        <f>IF($K1281="","",IFERROR(INDEX(Dept_Names,MATCH($K1281,Dept_Codes,0)),"NOT FOUND"))</f>
        <v/>
      </c>
      <c r="M1281" s="12" t="n"/>
      <c r="N1281" s="13">
        <f>IF($M1281="","",IFERROR(INDEX(Desig_Names,MATCH($M1281,Desig_Codes,0)),"NOT FOUND"))</f>
        <v/>
      </c>
      <c r="O1281" s="13">
        <f>IF($M1281="","",IFERROR(INDEX(Desig_Levels,MATCH($M1281,Desig_Codes,0)),""))</f>
        <v/>
      </c>
      <c r="P1281" s="12" t="n"/>
      <c r="Q1281" s="12" t="n"/>
      <c r="R1281" s="12" t="n"/>
      <c r="S1281" s="13">
        <f>IF($R1281="","",IFERROR(INDEX(Emp_Names,MATCH($R1281,Emp_Codes,0)),"NOT FOUND"))</f>
        <v/>
      </c>
      <c r="T1281" s="12" t="n"/>
      <c r="U1281" s="12" t="n"/>
      <c r="V1281" s="12" t="n"/>
    </row>
    <row r="1282">
      <c r="A1282" s="12" t="n"/>
      <c r="B1282" s="12" t="n"/>
      <c r="C1282" s="12" t="n"/>
      <c r="D1282" s="13">
        <f>IF($A1282="","",TRIM($B1282&amp;" "&amp;$C1282))</f>
        <v/>
      </c>
      <c r="E1282" s="12" t="n"/>
      <c r="F1282" s="12" t="n"/>
      <c r="G1282" s="14" t="n"/>
      <c r="H1282" s="14" t="n"/>
      <c r="I1282" s="12" t="n"/>
      <c r="J1282" s="14" t="n"/>
      <c r="K1282" s="12" t="n"/>
      <c r="L1282" s="13">
        <f>IF($K1282="","",IFERROR(INDEX(Dept_Names,MATCH($K1282,Dept_Codes,0)),"NOT FOUND"))</f>
        <v/>
      </c>
      <c r="M1282" s="12" t="n"/>
      <c r="N1282" s="13">
        <f>IF($M1282="","",IFERROR(INDEX(Desig_Names,MATCH($M1282,Desig_Codes,0)),"NOT FOUND"))</f>
        <v/>
      </c>
      <c r="O1282" s="13">
        <f>IF($M1282="","",IFERROR(INDEX(Desig_Levels,MATCH($M1282,Desig_Codes,0)),""))</f>
        <v/>
      </c>
      <c r="P1282" s="12" t="n"/>
      <c r="Q1282" s="12" t="n"/>
      <c r="R1282" s="12" t="n"/>
      <c r="S1282" s="13">
        <f>IF($R1282="","",IFERROR(INDEX(Emp_Names,MATCH($R1282,Emp_Codes,0)),"NOT FOUND"))</f>
        <v/>
      </c>
      <c r="T1282" s="12" t="n"/>
      <c r="U1282" s="12" t="n"/>
      <c r="V1282" s="12" t="n"/>
    </row>
    <row r="1283">
      <c r="A1283" s="12" t="n"/>
      <c r="B1283" s="12" t="n"/>
      <c r="C1283" s="12" t="n"/>
      <c r="D1283" s="13">
        <f>IF($A1283="","",TRIM($B1283&amp;" "&amp;$C1283))</f>
        <v/>
      </c>
      <c r="E1283" s="12" t="n"/>
      <c r="F1283" s="12" t="n"/>
      <c r="G1283" s="14" t="n"/>
      <c r="H1283" s="14" t="n"/>
      <c r="I1283" s="12" t="n"/>
      <c r="J1283" s="14" t="n"/>
      <c r="K1283" s="12" t="n"/>
      <c r="L1283" s="13">
        <f>IF($K1283="","",IFERROR(INDEX(Dept_Names,MATCH($K1283,Dept_Codes,0)),"NOT FOUND"))</f>
        <v/>
      </c>
      <c r="M1283" s="12" t="n"/>
      <c r="N1283" s="13">
        <f>IF($M1283="","",IFERROR(INDEX(Desig_Names,MATCH($M1283,Desig_Codes,0)),"NOT FOUND"))</f>
        <v/>
      </c>
      <c r="O1283" s="13">
        <f>IF($M1283="","",IFERROR(INDEX(Desig_Levels,MATCH($M1283,Desig_Codes,0)),""))</f>
        <v/>
      </c>
      <c r="P1283" s="12" t="n"/>
      <c r="Q1283" s="12" t="n"/>
      <c r="R1283" s="12" t="n"/>
      <c r="S1283" s="13">
        <f>IF($R1283="","",IFERROR(INDEX(Emp_Names,MATCH($R1283,Emp_Codes,0)),"NOT FOUND"))</f>
        <v/>
      </c>
      <c r="T1283" s="12" t="n"/>
      <c r="U1283" s="12" t="n"/>
      <c r="V1283" s="12" t="n"/>
    </row>
    <row r="1284">
      <c r="A1284" s="12" t="n"/>
      <c r="B1284" s="12" t="n"/>
      <c r="C1284" s="12" t="n"/>
      <c r="D1284" s="13">
        <f>IF($A1284="","",TRIM($B1284&amp;" "&amp;$C1284))</f>
        <v/>
      </c>
      <c r="E1284" s="12" t="n"/>
      <c r="F1284" s="12" t="n"/>
      <c r="G1284" s="14" t="n"/>
      <c r="H1284" s="14" t="n"/>
      <c r="I1284" s="12" t="n"/>
      <c r="J1284" s="14" t="n"/>
      <c r="K1284" s="12" t="n"/>
      <c r="L1284" s="13">
        <f>IF($K1284="","",IFERROR(INDEX(Dept_Names,MATCH($K1284,Dept_Codes,0)),"NOT FOUND"))</f>
        <v/>
      </c>
      <c r="M1284" s="12" t="n"/>
      <c r="N1284" s="13">
        <f>IF($M1284="","",IFERROR(INDEX(Desig_Names,MATCH($M1284,Desig_Codes,0)),"NOT FOUND"))</f>
        <v/>
      </c>
      <c r="O1284" s="13">
        <f>IF($M1284="","",IFERROR(INDEX(Desig_Levels,MATCH($M1284,Desig_Codes,0)),""))</f>
        <v/>
      </c>
      <c r="P1284" s="12" t="n"/>
      <c r="Q1284" s="12" t="n"/>
      <c r="R1284" s="12" t="n"/>
      <c r="S1284" s="13">
        <f>IF($R1284="","",IFERROR(INDEX(Emp_Names,MATCH($R1284,Emp_Codes,0)),"NOT FOUND"))</f>
        <v/>
      </c>
      <c r="T1284" s="12" t="n"/>
      <c r="U1284" s="12" t="n"/>
      <c r="V1284" s="12" t="n"/>
    </row>
    <row r="1285">
      <c r="A1285" s="12" t="n"/>
      <c r="B1285" s="12" t="n"/>
      <c r="C1285" s="12" t="n"/>
      <c r="D1285" s="13">
        <f>IF($A1285="","",TRIM($B1285&amp;" "&amp;$C1285))</f>
        <v/>
      </c>
      <c r="E1285" s="12" t="n"/>
      <c r="F1285" s="12" t="n"/>
      <c r="G1285" s="14" t="n"/>
      <c r="H1285" s="14" t="n"/>
      <c r="I1285" s="12" t="n"/>
      <c r="J1285" s="14" t="n"/>
      <c r="K1285" s="12" t="n"/>
      <c r="L1285" s="13">
        <f>IF($K1285="","",IFERROR(INDEX(Dept_Names,MATCH($K1285,Dept_Codes,0)),"NOT FOUND"))</f>
        <v/>
      </c>
      <c r="M1285" s="12" t="n"/>
      <c r="N1285" s="13">
        <f>IF($M1285="","",IFERROR(INDEX(Desig_Names,MATCH($M1285,Desig_Codes,0)),"NOT FOUND"))</f>
        <v/>
      </c>
      <c r="O1285" s="13">
        <f>IF($M1285="","",IFERROR(INDEX(Desig_Levels,MATCH($M1285,Desig_Codes,0)),""))</f>
        <v/>
      </c>
      <c r="P1285" s="12" t="n"/>
      <c r="Q1285" s="12" t="n"/>
      <c r="R1285" s="12" t="n"/>
      <c r="S1285" s="13">
        <f>IF($R1285="","",IFERROR(INDEX(Emp_Names,MATCH($R1285,Emp_Codes,0)),"NOT FOUND"))</f>
        <v/>
      </c>
      <c r="T1285" s="12" t="n"/>
      <c r="U1285" s="12" t="n"/>
      <c r="V1285" s="12" t="n"/>
    </row>
    <row r="1286">
      <c r="A1286" s="12" t="n"/>
      <c r="B1286" s="12" t="n"/>
      <c r="C1286" s="12" t="n"/>
      <c r="D1286" s="13">
        <f>IF($A1286="","",TRIM($B1286&amp;" "&amp;$C1286))</f>
        <v/>
      </c>
      <c r="E1286" s="12" t="n"/>
      <c r="F1286" s="12" t="n"/>
      <c r="G1286" s="14" t="n"/>
      <c r="H1286" s="14" t="n"/>
      <c r="I1286" s="12" t="n"/>
      <c r="J1286" s="14" t="n"/>
      <c r="K1286" s="12" t="n"/>
      <c r="L1286" s="13">
        <f>IF($K1286="","",IFERROR(INDEX(Dept_Names,MATCH($K1286,Dept_Codes,0)),"NOT FOUND"))</f>
        <v/>
      </c>
      <c r="M1286" s="12" t="n"/>
      <c r="N1286" s="13">
        <f>IF($M1286="","",IFERROR(INDEX(Desig_Names,MATCH($M1286,Desig_Codes,0)),"NOT FOUND"))</f>
        <v/>
      </c>
      <c r="O1286" s="13">
        <f>IF($M1286="","",IFERROR(INDEX(Desig_Levels,MATCH($M1286,Desig_Codes,0)),""))</f>
        <v/>
      </c>
      <c r="P1286" s="12" t="n"/>
      <c r="Q1286" s="12" t="n"/>
      <c r="R1286" s="12" t="n"/>
      <c r="S1286" s="13">
        <f>IF($R1286="","",IFERROR(INDEX(Emp_Names,MATCH($R1286,Emp_Codes,0)),"NOT FOUND"))</f>
        <v/>
      </c>
      <c r="T1286" s="12" t="n"/>
      <c r="U1286" s="12" t="n"/>
      <c r="V1286" s="12" t="n"/>
    </row>
    <row r="1287">
      <c r="A1287" s="12" t="n"/>
      <c r="B1287" s="12" t="n"/>
      <c r="C1287" s="12" t="n"/>
      <c r="D1287" s="13">
        <f>IF($A1287="","",TRIM($B1287&amp;" "&amp;$C1287))</f>
        <v/>
      </c>
      <c r="E1287" s="12" t="n"/>
      <c r="F1287" s="12" t="n"/>
      <c r="G1287" s="14" t="n"/>
      <c r="H1287" s="14" t="n"/>
      <c r="I1287" s="12" t="n"/>
      <c r="J1287" s="14" t="n"/>
      <c r="K1287" s="12" t="n"/>
      <c r="L1287" s="13">
        <f>IF($K1287="","",IFERROR(INDEX(Dept_Names,MATCH($K1287,Dept_Codes,0)),"NOT FOUND"))</f>
        <v/>
      </c>
      <c r="M1287" s="12" t="n"/>
      <c r="N1287" s="13">
        <f>IF($M1287="","",IFERROR(INDEX(Desig_Names,MATCH($M1287,Desig_Codes,0)),"NOT FOUND"))</f>
        <v/>
      </c>
      <c r="O1287" s="13">
        <f>IF($M1287="","",IFERROR(INDEX(Desig_Levels,MATCH($M1287,Desig_Codes,0)),""))</f>
        <v/>
      </c>
      <c r="P1287" s="12" t="n"/>
      <c r="Q1287" s="12" t="n"/>
      <c r="R1287" s="12" t="n"/>
      <c r="S1287" s="13">
        <f>IF($R1287="","",IFERROR(INDEX(Emp_Names,MATCH($R1287,Emp_Codes,0)),"NOT FOUND"))</f>
        <v/>
      </c>
      <c r="T1287" s="12" t="n"/>
      <c r="U1287" s="12" t="n"/>
      <c r="V1287" s="12" t="n"/>
    </row>
    <row r="1288">
      <c r="A1288" s="12" t="n"/>
      <c r="B1288" s="12" t="n"/>
      <c r="C1288" s="12" t="n"/>
      <c r="D1288" s="13">
        <f>IF($A1288="","",TRIM($B1288&amp;" "&amp;$C1288))</f>
        <v/>
      </c>
      <c r="E1288" s="12" t="n"/>
      <c r="F1288" s="12" t="n"/>
      <c r="G1288" s="14" t="n"/>
      <c r="H1288" s="14" t="n"/>
      <c r="I1288" s="12" t="n"/>
      <c r="J1288" s="14" t="n"/>
      <c r="K1288" s="12" t="n"/>
      <c r="L1288" s="13">
        <f>IF($K1288="","",IFERROR(INDEX(Dept_Names,MATCH($K1288,Dept_Codes,0)),"NOT FOUND"))</f>
        <v/>
      </c>
      <c r="M1288" s="12" t="n"/>
      <c r="N1288" s="13">
        <f>IF($M1288="","",IFERROR(INDEX(Desig_Names,MATCH($M1288,Desig_Codes,0)),"NOT FOUND"))</f>
        <v/>
      </c>
      <c r="O1288" s="13">
        <f>IF($M1288="","",IFERROR(INDEX(Desig_Levels,MATCH($M1288,Desig_Codes,0)),""))</f>
        <v/>
      </c>
      <c r="P1288" s="12" t="n"/>
      <c r="Q1288" s="12" t="n"/>
      <c r="R1288" s="12" t="n"/>
      <c r="S1288" s="13">
        <f>IF($R1288="","",IFERROR(INDEX(Emp_Names,MATCH($R1288,Emp_Codes,0)),"NOT FOUND"))</f>
        <v/>
      </c>
      <c r="T1288" s="12" t="n"/>
      <c r="U1288" s="12" t="n"/>
      <c r="V1288" s="12" t="n"/>
    </row>
    <row r="1289">
      <c r="A1289" s="12" t="n"/>
      <c r="B1289" s="12" t="n"/>
      <c r="C1289" s="12" t="n"/>
      <c r="D1289" s="13">
        <f>IF($A1289="","",TRIM($B1289&amp;" "&amp;$C1289))</f>
        <v/>
      </c>
      <c r="E1289" s="12" t="n"/>
      <c r="F1289" s="12" t="n"/>
      <c r="G1289" s="14" t="n"/>
      <c r="H1289" s="14" t="n"/>
      <c r="I1289" s="12" t="n"/>
      <c r="J1289" s="14" t="n"/>
      <c r="K1289" s="12" t="n"/>
      <c r="L1289" s="13">
        <f>IF($K1289="","",IFERROR(INDEX(Dept_Names,MATCH($K1289,Dept_Codes,0)),"NOT FOUND"))</f>
        <v/>
      </c>
      <c r="M1289" s="12" t="n"/>
      <c r="N1289" s="13">
        <f>IF($M1289="","",IFERROR(INDEX(Desig_Names,MATCH($M1289,Desig_Codes,0)),"NOT FOUND"))</f>
        <v/>
      </c>
      <c r="O1289" s="13">
        <f>IF($M1289="","",IFERROR(INDEX(Desig_Levels,MATCH($M1289,Desig_Codes,0)),""))</f>
        <v/>
      </c>
      <c r="P1289" s="12" t="n"/>
      <c r="Q1289" s="12" t="n"/>
      <c r="R1289" s="12" t="n"/>
      <c r="S1289" s="13">
        <f>IF($R1289="","",IFERROR(INDEX(Emp_Names,MATCH($R1289,Emp_Codes,0)),"NOT FOUND"))</f>
        <v/>
      </c>
      <c r="T1289" s="12" t="n"/>
      <c r="U1289" s="12" t="n"/>
      <c r="V1289" s="12" t="n"/>
    </row>
    <row r="1290">
      <c r="A1290" s="12" t="n"/>
      <c r="B1290" s="12" t="n"/>
      <c r="C1290" s="12" t="n"/>
      <c r="D1290" s="13">
        <f>IF($A1290="","",TRIM($B1290&amp;" "&amp;$C1290))</f>
        <v/>
      </c>
      <c r="E1290" s="12" t="n"/>
      <c r="F1290" s="12" t="n"/>
      <c r="G1290" s="14" t="n"/>
      <c r="H1290" s="14" t="n"/>
      <c r="I1290" s="12" t="n"/>
      <c r="J1290" s="14" t="n"/>
      <c r="K1290" s="12" t="n"/>
      <c r="L1290" s="13">
        <f>IF($K1290="","",IFERROR(INDEX(Dept_Names,MATCH($K1290,Dept_Codes,0)),"NOT FOUND"))</f>
        <v/>
      </c>
      <c r="M1290" s="12" t="n"/>
      <c r="N1290" s="13">
        <f>IF($M1290="","",IFERROR(INDEX(Desig_Names,MATCH($M1290,Desig_Codes,0)),"NOT FOUND"))</f>
        <v/>
      </c>
      <c r="O1290" s="13">
        <f>IF($M1290="","",IFERROR(INDEX(Desig_Levels,MATCH($M1290,Desig_Codes,0)),""))</f>
        <v/>
      </c>
      <c r="P1290" s="12" t="n"/>
      <c r="Q1290" s="12" t="n"/>
      <c r="R1290" s="12" t="n"/>
      <c r="S1290" s="13">
        <f>IF($R1290="","",IFERROR(INDEX(Emp_Names,MATCH($R1290,Emp_Codes,0)),"NOT FOUND"))</f>
        <v/>
      </c>
      <c r="T1290" s="12" t="n"/>
      <c r="U1290" s="12" t="n"/>
      <c r="V1290" s="12" t="n"/>
    </row>
    <row r="1291">
      <c r="A1291" s="12" t="n"/>
      <c r="B1291" s="12" t="n"/>
      <c r="C1291" s="12" t="n"/>
      <c r="D1291" s="13">
        <f>IF($A1291="","",TRIM($B1291&amp;" "&amp;$C1291))</f>
        <v/>
      </c>
      <c r="E1291" s="12" t="n"/>
      <c r="F1291" s="12" t="n"/>
      <c r="G1291" s="14" t="n"/>
      <c r="H1291" s="14" t="n"/>
      <c r="I1291" s="12" t="n"/>
      <c r="J1291" s="14" t="n"/>
      <c r="K1291" s="12" t="n"/>
      <c r="L1291" s="13">
        <f>IF($K1291="","",IFERROR(INDEX(Dept_Names,MATCH($K1291,Dept_Codes,0)),"NOT FOUND"))</f>
        <v/>
      </c>
      <c r="M1291" s="12" t="n"/>
      <c r="N1291" s="13">
        <f>IF($M1291="","",IFERROR(INDEX(Desig_Names,MATCH($M1291,Desig_Codes,0)),"NOT FOUND"))</f>
        <v/>
      </c>
      <c r="O1291" s="13">
        <f>IF($M1291="","",IFERROR(INDEX(Desig_Levels,MATCH($M1291,Desig_Codes,0)),""))</f>
        <v/>
      </c>
      <c r="P1291" s="12" t="n"/>
      <c r="Q1291" s="12" t="n"/>
      <c r="R1291" s="12" t="n"/>
      <c r="S1291" s="13">
        <f>IF($R1291="","",IFERROR(INDEX(Emp_Names,MATCH($R1291,Emp_Codes,0)),"NOT FOUND"))</f>
        <v/>
      </c>
      <c r="T1291" s="12" t="n"/>
      <c r="U1291" s="12" t="n"/>
      <c r="V1291" s="12" t="n"/>
    </row>
    <row r="1292">
      <c r="A1292" s="12" t="n"/>
      <c r="B1292" s="12" t="n"/>
      <c r="C1292" s="12" t="n"/>
      <c r="D1292" s="13">
        <f>IF($A1292="","",TRIM($B1292&amp;" "&amp;$C1292))</f>
        <v/>
      </c>
      <c r="E1292" s="12" t="n"/>
      <c r="F1292" s="12" t="n"/>
      <c r="G1292" s="14" t="n"/>
      <c r="H1292" s="14" t="n"/>
      <c r="I1292" s="12" t="n"/>
      <c r="J1292" s="14" t="n"/>
      <c r="K1292" s="12" t="n"/>
      <c r="L1292" s="13">
        <f>IF($K1292="","",IFERROR(INDEX(Dept_Names,MATCH($K1292,Dept_Codes,0)),"NOT FOUND"))</f>
        <v/>
      </c>
      <c r="M1292" s="12" t="n"/>
      <c r="N1292" s="13">
        <f>IF($M1292="","",IFERROR(INDEX(Desig_Names,MATCH($M1292,Desig_Codes,0)),"NOT FOUND"))</f>
        <v/>
      </c>
      <c r="O1292" s="13">
        <f>IF($M1292="","",IFERROR(INDEX(Desig_Levels,MATCH($M1292,Desig_Codes,0)),""))</f>
        <v/>
      </c>
      <c r="P1292" s="12" t="n"/>
      <c r="Q1292" s="12" t="n"/>
      <c r="R1292" s="12" t="n"/>
      <c r="S1292" s="13">
        <f>IF($R1292="","",IFERROR(INDEX(Emp_Names,MATCH($R1292,Emp_Codes,0)),"NOT FOUND"))</f>
        <v/>
      </c>
      <c r="T1292" s="12" t="n"/>
      <c r="U1292" s="12" t="n"/>
      <c r="V1292" s="12" t="n"/>
    </row>
    <row r="1293">
      <c r="A1293" s="12" t="n"/>
      <c r="B1293" s="12" t="n"/>
      <c r="C1293" s="12" t="n"/>
      <c r="D1293" s="13">
        <f>IF($A1293="","",TRIM($B1293&amp;" "&amp;$C1293))</f>
        <v/>
      </c>
      <c r="E1293" s="12" t="n"/>
      <c r="F1293" s="12" t="n"/>
      <c r="G1293" s="14" t="n"/>
      <c r="H1293" s="14" t="n"/>
      <c r="I1293" s="12" t="n"/>
      <c r="J1293" s="14" t="n"/>
      <c r="K1293" s="12" t="n"/>
      <c r="L1293" s="13">
        <f>IF($K1293="","",IFERROR(INDEX(Dept_Names,MATCH($K1293,Dept_Codes,0)),"NOT FOUND"))</f>
        <v/>
      </c>
      <c r="M1293" s="12" t="n"/>
      <c r="N1293" s="13">
        <f>IF($M1293="","",IFERROR(INDEX(Desig_Names,MATCH($M1293,Desig_Codes,0)),"NOT FOUND"))</f>
        <v/>
      </c>
      <c r="O1293" s="13">
        <f>IF($M1293="","",IFERROR(INDEX(Desig_Levels,MATCH($M1293,Desig_Codes,0)),""))</f>
        <v/>
      </c>
      <c r="P1293" s="12" t="n"/>
      <c r="Q1293" s="12" t="n"/>
      <c r="R1293" s="12" t="n"/>
      <c r="S1293" s="13">
        <f>IF($R1293="","",IFERROR(INDEX(Emp_Names,MATCH($R1293,Emp_Codes,0)),"NOT FOUND"))</f>
        <v/>
      </c>
      <c r="T1293" s="12" t="n"/>
      <c r="U1293" s="12" t="n"/>
      <c r="V1293" s="12" t="n"/>
    </row>
    <row r="1294">
      <c r="A1294" s="12" t="n"/>
      <c r="B1294" s="12" t="n"/>
      <c r="C1294" s="12" t="n"/>
      <c r="D1294" s="13">
        <f>IF($A1294="","",TRIM($B1294&amp;" "&amp;$C1294))</f>
        <v/>
      </c>
      <c r="E1294" s="12" t="n"/>
      <c r="F1294" s="12" t="n"/>
      <c r="G1294" s="14" t="n"/>
      <c r="H1294" s="14" t="n"/>
      <c r="I1294" s="12" t="n"/>
      <c r="J1294" s="14" t="n"/>
      <c r="K1294" s="12" t="n"/>
      <c r="L1294" s="13">
        <f>IF($K1294="","",IFERROR(INDEX(Dept_Names,MATCH($K1294,Dept_Codes,0)),"NOT FOUND"))</f>
        <v/>
      </c>
      <c r="M1294" s="12" t="n"/>
      <c r="N1294" s="13">
        <f>IF($M1294="","",IFERROR(INDEX(Desig_Names,MATCH($M1294,Desig_Codes,0)),"NOT FOUND"))</f>
        <v/>
      </c>
      <c r="O1294" s="13">
        <f>IF($M1294="","",IFERROR(INDEX(Desig_Levels,MATCH($M1294,Desig_Codes,0)),""))</f>
        <v/>
      </c>
      <c r="P1294" s="12" t="n"/>
      <c r="Q1294" s="12" t="n"/>
      <c r="R1294" s="12" t="n"/>
      <c r="S1294" s="13">
        <f>IF($R1294="","",IFERROR(INDEX(Emp_Names,MATCH($R1294,Emp_Codes,0)),"NOT FOUND"))</f>
        <v/>
      </c>
      <c r="T1294" s="12" t="n"/>
      <c r="U1294" s="12" t="n"/>
      <c r="V1294" s="12" t="n"/>
    </row>
    <row r="1295">
      <c r="A1295" s="12" t="n"/>
      <c r="B1295" s="12" t="n"/>
      <c r="C1295" s="12" t="n"/>
      <c r="D1295" s="13">
        <f>IF($A1295="","",TRIM($B1295&amp;" "&amp;$C1295))</f>
        <v/>
      </c>
      <c r="E1295" s="12" t="n"/>
      <c r="F1295" s="12" t="n"/>
      <c r="G1295" s="14" t="n"/>
      <c r="H1295" s="14" t="n"/>
      <c r="I1295" s="12" t="n"/>
      <c r="J1295" s="14" t="n"/>
      <c r="K1295" s="12" t="n"/>
      <c r="L1295" s="13">
        <f>IF($K1295="","",IFERROR(INDEX(Dept_Names,MATCH($K1295,Dept_Codes,0)),"NOT FOUND"))</f>
        <v/>
      </c>
      <c r="M1295" s="12" t="n"/>
      <c r="N1295" s="13">
        <f>IF($M1295="","",IFERROR(INDEX(Desig_Names,MATCH($M1295,Desig_Codes,0)),"NOT FOUND"))</f>
        <v/>
      </c>
      <c r="O1295" s="13">
        <f>IF($M1295="","",IFERROR(INDEX(Desig_Levels,MATCH($M1295,Desig_Codes,0)),""))</f>
        <v/>
      </c>
      <c r="P1295" s="12" t="n"/>
      <c r="Q1295" s="12" t="n"/>
      <c r="R1295" s="12" t="n"/>
      <c r="S1295" s="13">
        <f>IF($R1295="","",IFERROR(INDEX(Emp_Names,MATCH($R1295,Emp_Codes,0)),"NOT FOUND"))</f>
        <v/>
      </c>
      <c r="T1295" s="12" t="n"/>
      <c r="U1295" s="12" t="n"/>
      <c r="V1295" s="12" t="n"/>
    </row>
    <row r="1296">
      <c r="A1296" s="12" t="n"/>
      <c r="B1296" s="12" t="n"/>
      <c r="C1296" s="12" t="n"/>
      <c r="D1296" s="13">
        <f>IF($A1296="","",TRIM($B1296&amp;" "&amp;$C1296))</f>
        <v/>
      </c>
      <c r="E1296" s="12" t="n"/>
      <c r="F1296" s="12" t="n"/>
      <c r="G1296" s="14" t="n"/>
      <c r="H1296" s="14" t="n"/>
      <c r="I1296" s="12" t="n"/>
      <c r="J1296" s="14" t="n"/>
      <c r="K1296" s="12" t="n"/>
      <c r="L1296" s="13">
        <f>IF($K1296="","",IFERROR(INDEX(Dept_Names,MATCH($K1296,Dept_Codes,0)),"NOT FOUND"))</f>
        <v/>
      </c>
      <c r="M1296" s="12" t="n"/>
      <c r="N1296" s="13">
        <f>IF($M1296="","",IFERROR(INDEX(Desig_Names,MATCH($M1296,Desig_Codes,0)),"NOT FOUND"))</f>
        <v/>
      </c>
      <c r="O1296" s="13">
        <f>IF($M1296="","",IFERROR(INDEX(Desig_Levels,MATCH($M1296,Desig_Codes,0)),""))</f>
        <v/>
      </c>
      <c r="P1296" s="12" t="n"/>
      <c r="Q1296" s="12" t="n"/>
      <c r="R1296" s="12" t="n"/>
      <c r="S1296" s="13">
        <f>IF($R1296="","",IFERROR(INDEX(Emp_Names,MATCH($R1296,Emp_Codes,0)),"NOT FOUND"))</f>
        <v/>
      </c>
      <c r="T1296" s="12" t="n"/>
      <c r="U1296" s="12" t="n"/>
      <c r="V1296" s="12" t="n"/>
    </row>
    <row r="1297">
      <c r="A1297" s="12" t="n"/>
      <c r="B1297" s="12" t="n"/>
      <c r="C1297" s="12" t="n"/>
      <c r="D1297" s="13">
        <f>IF($A1297="","",TRIM($B1297&amp;" "&amp;$C1297))</f>
        <v/>
      </c>
      <c r="E1297" s="12" t="n"/>
      <c r="F1297" s="12" t="n"/>
      <c r="G1297" s="14" t="n"/>
      <c r="H1297" s="14" t="n"/>
      <c r="I1297" s="12" t="n"/>
      <c r="J1297" s="14" t="n"/>
      <c r="K1297" s="12" t="n"/>
      <c r="L1297" s="13">
        <f>IF($K1297="","",IFERROR(INDEX(Dept_Names,MATCH($K1297,Dept_Codes,0)),"NOT FOUND"))</f>
        <v/>
      </c>
      <c r="M1297" s="12" t="n"/>
      <c r="N1297" s="13">
        <f>IF($M1297="","",IFERROR(INDEX(Desig_Names,MATCH($M1297,Desig_Codes,0)),"NOT FOUND"))</f>
        <v/>
      </c>
      <c r="O1297" s="13">
        <f>IF($M1297="","",IFERROR(INDEX(Desig_Levels,MATCH($M1297,Desig_Codes,0)),""))</f>
        <v/>
      </c>
      <c r="P1297" s="12" t="n"/>
      <c r="Q1297" s="12" t="n"/>
      <c r="R1297" s="12" t="n"/>
      <c r="S1297" s="13">
        <f>IF($R1297="","",IFERROR(INDEX(Emp_Names,MATCH($R1297,Emp_Codes,0)),"NOT FOUND"))</f>
        <v/>
      </c>
      <c r="T1297" s="12" t="n"/>
      <c r="U1297" s="12" t="n"/>
      <c r="V1297" s="12" t="n"/>
    </row>
    <row r="1298">
      <c r="A1298" s="12" t="n"/>
      <c r="B1298" s="12" t="n"/>
      <c r="C1298" s="12" t="n"/>
      <c r="D1298" s="13">
        <f>IF($A1298="","",TRIM($B1298&amp;" "&amp;$C1298))</f>
        <v/>
      </c>
      <c r="E1298" s="12" t="n"/>
      <c r="F1298" s="12" t="n"/>
      <c r="G1298" s="14" t="n"/>
      <c r="H1298" s="14" t="n"/>
      <c r="I1298" s="12" t="n"/>
      <c r="J1298" s="14" t="n"/>
      <c r="K1298" s="12" t="n"/>
      <c r="L1298" s="13">
        <f>IF($K1298="","",IFERROR(INDEX(Dept_Names,MATCH($K1298,Dept_Codes,0)),"NOT FOUND"))</f>
        <v/>
      </c>
      <c r="M1298" s="12" t="n"/>
      <c r="N1298" s="13">
        <f>IF($M1298="","",IFERROR(INDEX(Desig_Names,MATCH($M1298,Desig_Codes,0)),"NOT FOUND"))</f>
        <v/>
      </c>
      <c r="O1298" s="13">
        <f>IF($M1298="","",IFERROR(INDEX(Desig_Levels,MATCH($M1298,Desig_Codes,0)),""))</f>
        <v/>
      </c>
      <c r="P1298" s="12" t="n"/>
      <c r="Q1298" s="12" t="n"/>
      <c r="R1298" s="12" t="n"/>
      <c r="S1298" s="13">
        <f>IF($R1298="","",IFERROR(INDEX(Emp_Names,MATCH($R1298,Emp_Codes,0)),"NOT FOUND"))</f>
        <v/>
      </c>
      <c r="T1298" s="12" t="n"/>
      <c r="U1298" s="12" t="n"/>
      <c r="V1298" s="12" t="n"/>
    </row>
    <row r="1299">
      <c r="A1299" s="12" t="n"/>
      <c r="B1299" s="12" t="n"/>
      <c r="C1299" s="12" t="n"/>
      <c r="D1299" s="13">
        <f>IF($A1299="","",TRIM($B1299&amp;" "&amp;$C1299))</f>
        <v/>
      </c>
      <c r="E1299" s="12" t="n"/>
      <c r="F1299" s="12" t="n"/>
      <c r="G1299" s="14" t="n"/>
      <c r="H1299" s="14" t="n"/>
      <c r="I1299" s="12" t="n"/>
      <c r="J1299" s="14" t="n"/>
      <c r="K1299" s="12" t="n"/>
      <c r="L1299" s="13">
        <f>IF($K1299="","",IFERROR(INDEX(Dept_Names,MATCH($K1299,Dept_Codes,0)),"NOT FOUND"))</f>
        <v/>
      </c>
      <c r="M1299" s="12" t="n"/>
      <c r="N1299" s="13">
        <f>IF($M1299="","",IFERROR(INDEX(Desig_Names,MATCH($M1299,Desig_Codes,0)),"NOT FOUND"))</f>
        <v/>
      </c>
      <c r="O1299" s="13">
        <f>IF($M1299="","",IFERROR(INDEX(Desig_Levels,MATCH($M1299,Desig_Codes,0)),""))</f>
        <v/>
      </c>
      <c r="P1299" s="12" t="n"/>
      <c r="Q1299" s="12" t="n"/>
      <c r="R1299" s="12" t="n"/>
      <c r="S1299" s="13">
        <f>IF($R1299="","",IFERROR(INDEX(Emp_Names,MATCH($R1299,Emp_Codes,0)),"NOT FOUND"))</f>
        <v/>
      </c>
      <c r="T1299" s="12" t="n"/>
      <c r="U1299" s="12" t="n"/>
      <c r="V1299" s="12" t="n"/>
    </row>
    <row r="1300">
      <c r="A1300" s="12" t="n"/>
      <c r="B1300" s="12" t="n"/>
      <c r="C1300" s="12" t="n"/>
      <c r="D1300" s="13">
        <f>IF($A1300="","",TRIM($B1300&amp;" "&amp;$C1300))</f>
        <v/>
      </c>
      <c r="E1300" s="12" t="n"/>
      <c r="F1300" s="12" t="n"/>
      <c r="G1300" s="14" t="n"/>
      <c r="H1300" s="14" t="n"/>
      <c r="I1300" s="12" t="n"/>
      <c r="J1300" s="14" t="n"/>
      <c r="K1300" s="12" t="n"/>
      <c r="L1300" s="13">
        <f>IF($K1300="","",IFERROR(INDEX(Dept_Names,MATCH($K1300,Dept_Codes,0)),"NOT FOUND"))</f>
        <v/>
      </c>
      <c r="M1300" s="12" t="n"/>
      <c r="N1300" s="13">
        <f>IF($M1300="","",IFERROR(INDEX(Desig_Names,MATCH($M1300,Desig_Codes,0)),"NOT FOUND"))</f>
        <v/>
      </c>
      <c r="O1300" s="13">
        <f>IF($M1300="","",IFERROR(INDEX(Desig_Levels,MATCH($M1300,Desig_Codes,0)),""))</f>
        <v/>
      </c>
      <c r="P1300" s="12" t="n"/>
      <c r="Q1300" s="12" t="n"/>
      <c r="R1300" s="12" t="n"/>
      <c r="S1300" s="13">
        <f>IF($R1300="","",IFERROR(INDEX(Emp_Names,MATCH($R1300,Emp_Codes,0)),"NOT FOUND"))</f>
        <v/>
      </c>
      <c r="T1300" s="12" t="n"/>
      <c r="U1300" s="12" t="n"/>
      <c r="V1300" s="12" t="n"/>
    </row>
    <row r="1301">
      <c r="A1301" s="12" t="n"/>
      <c r="B1301" s="12" t="n"/>
      <c r="C1301" s="12" t="n"/>
      <c r="D1301" s="13">
        <f>IF($A1301="","",TRIM($B1301&amp;" "&amp;$C1301))</f>
        <v/>
      </c>
      <c r="E1301" s="12" t="n"/>
      <c r="F1301" s="12" t="n"/>
      <c r="G1301" s="14" t="n"/>
      <c r="H1301" s="14" t="n"/>
      <c r="I1301" s="12" t="n"/>
      <c r="J1301" s="14" t="n"/>
      <c r="K1301" s="12" t="n"/>
      <c r="L1301" s="13">
        <f>IF($K1301="","",IFERROR(INDEX(Dept_Names,MATCH($K1301,Dept_Codes,0)),"NOT FOUND"))</f>
        <v/>
      </c>
      <c r="M1301" s="12" t="n"/>
      <c r="N1301" s="13">
        <f>IF($M1301="","",IFERROR(INDEX(Desig_Names,MATCH($M1301,Desig_Codes,0)),"NOT FOUND"))</f>
        <v/>
      </c>
      <c r="O1301" s="13">
        <f>IF($M1301="","",IFERROR(INDEX(Desig_Levels,MATCH($M1301,Desig_Codes,0)),""))</f>
        <v/>
      </c>
      <c r="P1301" s="12" t="n"/>
      <c r="Q1301" s="12" t="n"/>
      <c r="R1301" s="12" t="n"/>
      <c r="S1301" s="13">
        <f>IF($R1301="","",IFERROR(INDEX(Emp_Names,MATCH($R1301,Emp_Codes,0)),"NOT FOUND"))</f>
        <v/>
      </c>
      <c r="T1301" s="12" t="n"/>
      <c r="U1301" s="12" t="n"/>
      <c r="V1301" s="12" t="n"/>
    </row>
    <row r="1302">
      <c r="A1302" s="12" t="n"/>
      <c r="B1302" s="12" t="n"/>
      <c r="C1302" s="12" t="n"/>
      <c r="D1302" s="13">
        <f>IF($A1302="","",TRIM($B1302&amp;" "&amp;$C1302))</f>
        <v/>
      </c>
      <c r="E1302" s="12" t="n"/>
      <c r="F1302" s="12" t="n"/>
      <c r="G1302" s="14" t="n"/>
      <c r="H1302" s="14" t="n"/>
      <c r="I1302" s="12" t="n"/>
      <c r="J1302" s="14" t="n"/>
      <c r="K1302" s="12" t="n"/>
      <c r="L1302" s="13">
        <f>IF($K1302="","",IFERROR(INDEX(Dept_Names,MATCH($K1302,Dept_Codes,0)),"NOT FOUND"))</f>
        <v/>
      </c>
      <c r="M1302" s="12" t="n"/>
      <c r="N1302" s="13">
        <f>IF($M1302="","",IFERROR(INDEX(Desig_Names,MATCH($M1302,Desig_Codes,0)),"NOT FOUND"))</f>
        <v/>
      </c>
      <c r="O1302" s="13">
        <f>IF($M1302="","",IFERROR(INDEX(Desig_Levels,MATCH($M1302,Desig_Codes,0)),""))</f>
        <v/>
      </c>
      <c r="P1302" s="12" t="n"/>
      <c r="Q1302" s="12" t="n"/>
      <c r="R1302" s="12" t="n"/>
      <c r="S1302" s="13">
        <f>IF($R1302="","",IFERROR(INDEX(Emp_Names,MATCH($R1302,Emp_Codes,0)),"NOT FOUND"))</f>
        <v/>
      </c>
      <c r="T1302" s="12" t="n"/>
      <c r="U1302" s="12" t="n"/>
      <c r="V1302" s="12" t="n"/>
    </row>
    <row r="1303">
      <c r="A1303" s="12" t="n"/>
      <c r="B1303" s="12" t="n"/>
      <c r="C1303" s="12" t="n"/>
      <c r="D1303" s="13">
        <f>IF($A1303="","",TRIM($B1303&amp;" "&amp;$C1303))</f>
        <v/>
      </c>
      <c r="E1303" s="12" t="n"/>
      <c r="F1303" s="12" t="n"/>
      <c r="G1303" s="14" t="n"/>
      <c r="H1303" s="14" t="n"/>
      <c r="I1303" s="12" t="n"/>
      <c r="J1303" s="14" t="n"/>
      <c r="K1303" s="12" t="n"/>
      <c r="L1303" s="13">
        <f>IF($K1303="","",IFERROR(INDEX(Dept_Names,MATCH($K1303,Dept_Codes,0)),"NOT FOUND"))</f>
        <v/>
      </c>
      <c r="M1303" s="12" t="n"/>
      <c r="N1303" s="13">
        <f>IF($M1303="","",IFERROR(INDEX(Desig_Names,MATCH($M1303,Desig_Codes,0)),"NOT FOUND"))</f>
        <v/>
      </c>
      <c r="O1303" s="13">
        <f>IF($M1303="","",IFERROR(INDEX(Desig_Levels,MATCH($M1303,Desig_Codes,0)),""))</f>
        <v/>
      </c>
      <c r="P1303" s="12" t="n"/>
      <c r="Q1303" s="12" t="n"/>
      <c r="R1303" s="12" t="n"/>
      <c r="S1303" s="13">
        <f>IF($R1303="","",IFERROR(INDEX(Emp_Names,MATCH($R1303,Emp_Codes,0)),"NOT FOUND"))</f>
        <v/>
      </c>
      <c r="T1303" s="12" t="n"/>
      <c r="U1303" s="12" t="n"/>
      <c r="V1303" s="12" t="n"/>
    </row>
    <row r="1304">
      <c r="A1304" s="12" t="n"/>
      <c r="B1304" s="12" t="n"/>
      <c r="C1304" s="12" t="n"/>
      <c r="D1304" s="13">
        <f>IF($A1304="","",TRIM($B1304&amp;" "&amp;$C1304))</f>
        <v/>
      </c>
      <c r="E1304" s="12" t="n"/>
      <c r="F1304" s="12" t="n"/>
      <c r="G1304" s="14" t="n"/>
      <c r="H1304" s="14" t="n"/>
      <c r="I1304" s="12" t="n"/>
      <c r="J1304" s="14" t="n"/>
      <c r="K1304" s="12" t="n"/>
      <c r="L1304" s="13">
        <f>IF($K1304="","",IFERROR(INDEX(Dept_Names,MATCH($K1304,Dept_Codes,0)),"NOT FOUND"))</f>
        <v/>
      </c>
      <c r="M1304" s="12" t="n"/>
      <c r="N1304" s="13">
        <f>IF($M1304="","",IFERROR(INDEX(Desig_Names,MATCH($M1304,Desig_Codes,0)),"NOT FOUND"))</f>
        <v/>
      </c>
      <c r="O1304" s="13">
        <f>IF($M1304="","",IFERROR(INDEX(Desig_Levels,MATCH($M1304,Desig_Codes,0)),""))</f>
        <v/>
      </c>
      <c r="P1304" s="12" t="n"/>
      <c r="Q1304" s="12" t="n"/>
      <c r="R1304" s="12" t="n"/>
      <c r="S1304" s="13">
        <f>IF($R1304="","",IFERROR(INDEX(Emp_Names,MATCH($R1304,Emp_Codes,0)),"NOT FOUND"))</f>
        <v/>
      </c>
      <c r="T1304" s="12" t="n"/>
      <c r="U1304" s="12" t="n"/>
      <c r="V1304" s="12" t="n"/>
    </row>
    <row r="1305">
      <c r="A1305" s="12" t="n"/>
      <c r="B1305" s="12" t="n"/>
      <c r="C1305" s="12" t="n"/>
      <c r="D1305" s="13">
        <f>IF($A1305="","",TRIM($B1305&amp;" "&amp;$C1305))</f>
        <v/>
      </c>
      <c r="E1305" s="12" t="n"/>
      <c r="F1305" s="12" t="n"/>
      <c r="G1305" s="14" t="n"/>
      <c r="H1305" s="14" t="n"/>
      <c r="I1305" s="12" t="n"/>
      <c r="J1305" s="14" t="n"/>
      <c r="K1305" s="12" t="n"/>
      <c r="L1305" s="13">
        <f>IF($K1305="","",IFERROR(INDEX(Dept_Names,MATCH($K1305,Dept_Codes,0)),"NOT FOUND"))</f>
        <v/>
      </c>
      <c r="M1305" s="12" t="n"/>
      <c r="N1305" s="13">
        <f>IF($M1305="","",IFERROR(INDEX(Desig_Names,MATCH($M1305,Desig_Codes,0)),"NOT FOUND"))</f>
        <v/>
      </c>
      <c r="O1305" s="13">
        <f>IF($M1305="","",IFERROR(INDEX(Desig_Levels,MATCH($M1305,Desig_Codes,0)),""))</f>
        <v/>
      </c>
      <c r="P1305" s="12" t="n"/>
      <c r="Q1305" s="12" t="n"/>
      <c r="R1305" s="12" t="n"/>
      <c r="S1305" s="13">
        <f>IF($R1305="","",IFERROR(INDEX(Emp_Names,MATCH($R1305,Emp_Codes,0)),"NOT FOUND"))</f>
        <v/>
      </c>
      <c r="T1305" s="12" t="n"/>
      <c r="U1305" s="12" t="n"/>
      <c r="V1305" s="12" t="n"/>
    </row>
    <row r="1306">
      <c r="A1306" s="12" t="n"/>
      <c r="B1306" s="12" t="n"/>
      <c r="C1306" s="12" t="n"/>
      <c r="D1306" s="13">
        <f>IF($A1306="","",TRIM($B1306&amp;" "&amp;$C1306))</f>
        <v/>
      </c>
      <c r="E1306" s="12" t="n"/>
      <c r="F1306" s="12" t="n"/>
      <c r="G1306" s="14" t="n"/>
      <c r="H1306" s="14" t="n"/>
      <c r="I1306" s="12" t="n"/>
      <c r="J1306" s="14" t="n"/>
      <c r="K1306" s="12" t="n"/>
      <c r="L1306" s="13">
        <f>IF($K1306="","",IFERROR(INDEX(Dept_Names,MATCH($K1306,Dept_Codes,0)),"NOT FOUND"))</f>
        <v/>
      </c>
      <c r="M1306" s="12" t="n"/>
      <c r="N1306" s="13">
        <f>IF($M1306="","",IFERROR(INDEX(Desig_Names,MATCH($M1306,Desig_Codes,0)),"NOT FOUND"))</f>
        <v/>
      </c>
      <c r="O1306" s="13">
        <f>IF($M1306="","",IFERROR(INDEX(Desig_Levels,MATCH($M1306,Desig_Codes,0)),""))</f>
        <v/>
      </c>
      <c r="P1306" s="12" t="n"/>
      <c r="Q1306" s="12" t="n"/>
      <c r="R1306" s="12" t="n"/>
      <c r="S1306" s="13">
        <f>IF($R1306="","",IFERROR(INDEX(Emp_Names,MATCH($R1306,Emp_Codes,0)),"NOT FOUND"))</f>
        <v/>
      </c>
      <c r="T1306" s="12" t="n"/>
      <c r="U1306" s="12" t="n"/>
      <c r="V1306" s="12" t="n"/>
    </row>
    <row r="1307">
      <c r="A1307" s="12" t="n"/>
      <c r="B1307" s="12" t="n"/>
      <c r="C1307" s="12" t="n"/>
      <c r="D1307" s="13">
        <f>IF($A1307="","",TRIM($B1307&amp;" "&amp;$C1307))</f>
        <v/>
      </c>
      <c r="E1307" s="12" t="n"/>
      <c r="F1307" s="12" t="n"/>
      <c r="G1307" s="14" t="n"/>
      <c r="H1307" s="14" t="n"/>
      <c r="I1307" s="12" t="n"/>
      <c r="J1307" s="14" t="n"/>
      <c r="K1307" s="12" t="n"/>
      <c r="L1307" s="13">
        <f>IF($K1307="","",IFERROR(INDEX(Dept_Names,MATCH($K1307,Dept_Codes,0)),"NOT FOUND"))</f>
        <v/>
      </c>
      <c r="M1307" s="12" t="n"/>
      <c r="N1307" s="13">
        <f>IF($M1307="","",IFERROR(INDEX(Desig_Names,MATCH($M1307,Desig_Codes,0)),"NOT FOUND"))</f>
        <v/>
      </c>
      <c r="O1307" s="13">
        <f>IF($M1307="","",IFERROR(INDEX(Desig_Levels,MATCH($M1307,Desig_Codes,0)),""))</f>
        <v/>
      </c>
      <c r="P1307" s="12" t="n"/>
      <c r="Q1307" s="12" t="n"/>
      <c r="R1307" s="12" t="n"/>
      <c r="S1307" s="13">
        <f>IF($R1307="","",IFERROR(INDEX(Emp_Names,MATCH($R1307,Emp_Codes,0)),"NOT FOUND"))</f>
        <v/>
      </c>
      <c r="T1307" s="12" t="n"/>
      <c r="U1307" s="12" t="n"/>
      <c r="V1307" s="12" t="n"/>
    </row>
    <row r="1308">
      <c r="A1308" s="12" t="n"/>
      <c r="B1308" s="12" t="n"/>
      <c r="C1308" s="12" t="n"/>
      <c r="D1308" s="13">
        <f>IF($A1308="","",TRIM($B1308&amp;" "&amp;$C1308))</f>
        <v/>
      </c>
      <c r="E1308" s="12" t="n"/>
      <c r="F1308" s="12" t="n"/>
      <c r="G1308" s="14" t="n"/>
      <c r="H1308" s="14" t="n"/>
      <c r="I1308" s="12" t="n"/>
      <c r="J1308" s="14" t="n"/>
      <c r="K1308" s="12" t="n"/>
      <c r="L1308" s="13">
        <f>IF($K1308="","",IFERROR(INDEX(Dept_Names,MATCH($K1308,Dept_Codes,0)),"NOT FOUND"))</f>
        <v/>
      </c>
      <c r="M1308" s="12" t="n"/>
      <c r="N1308" s="13">
        <f>IF($M1308="","",IFERROR(INDEX(Desig_Names,MATCH($M1308,Desig_Codes,0)),"NOT FOUND"))</f>
        <v/>
      </c>
      <c r="O1308" s="13">
        <f>IF($M1308="","",IFERROR(INDEX(Desig_Levels,MATCH($M1308,Desig_Codes,0)),""))</f>
        <v/>
      </c>
      <c r="P1308" s="12" t="n"/>
      <c r="Q1308" s="12" t="n"/>
      <c r="R1308" s="12" t="n"/>
      <c r="S1308" s="13">
        <f>IF($R1308="","",IFERROR(INDEX(Emp_Names,MATCH($R1308,Emp_Codes,0)),"NOT FOUND"))</f>
        <v/>
      </c>
      <c r="T1308" s="12" t="n"/>
      <c r="U1308" s="12" t="n"/>
      <c r="V1308" s="12" t="n"/>
    </row>
    <row r="1309">
      <c r="A1309" s="12" t="n"/>
      <c r="B1309" s="12" t="n"/>
      <c r="C1309" s="12" t="n"/>
      <c r="D1309" s="13">
        <f>IF($A1309="","",TRIM($B1309&amp;" "&amp;$C1309))</f>
        <v/>
      </c>
      <c r="E1309" s="12" t="n"/>
      <c r="F1309" s="12" t="n"/>
      <c r="G1309" s="14" t="n"/>
      <c r="H1309" s="14" t="n"/>
      <c r="I1309" s="12" t="n"/>
      <c r="J1309" s="14" t="n"/>
      <c r="K1309" s="12" t="n"/>
      <c r="L1309" s="13">
        <f>IF($K1309="","",IFERROR(INDEX(Dept_Names,MATCH($K1309,Dept_Codes,0)),"NOT FOUND"))</f>
        <v/>
      </c>
      <c r="M1309" s="12" t="n"/>
      <c r="N1309" s="13">
        <f>IF($M1309="","",IFERROR(INDEX(Desig_Names,MATCH($M1309,Desig_Codes,0)),"NOT FOUND"))</f>
        <v/>
      </c>
      <c r="O1309" s="13">
        <f>IF($M1309="","",IFERROR(INDEX(Desig_Levels,MATCH($M1309,Desig_Codes,0)),""))</f>
        <v/>
      </c>
      <c r="P1309" s="12" t="n"/>
      <c r="Q1309" s="12" t="n"/>
      <c r="R1309" s="12" t="n"/>
      <c r="S1309" s="13">
        <f>IF($R1309="","",IFERROR(INDEX(Emp_Names,MATCH($R1309,Emp_Codes,0)),"NOT FOUND"))</f>
        <v/>
      </c>
      <c r="T1309" s="12" t="n"/>
      <c r="U1309" s="12" t="n"/>
      <c r="V1309" s="12" t="n"/>
    </row>
    <row r="1310">
      <c r="A1310" s="12" t="n"/>
      <c r="B1310" s="12" t="n"/>
      <c r="C1310" s="12" t="n"/>
      <c r="D1310" s="13">
        <f>IF($A1310="","",TRIM($B1310&amp;" "&amp;$C1310))</f>
        <v/>
      </c>
      <c r="E1310" s="12" t="n"/>
      <c r="F1310" s="12" t="n"/>
      <c r="G1310" s="14" t="n"/>
      <c r="H1310" s="14" t="n"/>
      <c r="I1310" s="12" t="n"/>
      <c r="J1310" s="14" t="n"/>
      <c r="K1310" s="12" t="n"/>
      <c r="L1310" s="13">
        <f>IF($K1310="","",IFERROR(INDEX(Dept_Names,MATCH($K1310,Dept_Codes,0)),"NOT FOUND"))</f>
        <v/>
      </c>
      <c r="M1310" s="12" t="n"/>
      <c r="N1310" s="13">
        <f>IF($M1310="","",IFERROR(INDEX(Desig_Names,MATCH($M1310,Desig_Codes,0)),"NOT FOUND"))</f>
        <v/>
      </c>
      <c r="O1310" s="13">
        <f>IF($M1310="","",IFERROR(INDEX(Desig_Levels,MATCH($M1310,Desig_Codes,0)),""))</f>
        <v/>
      </c>
      <c r="P1310" s="12" t="n"/>
      <c r="Q1310" s="12" t="n"/>
      <c r="R1310" s="12" t="n"/>
      <c r="S1310" s="13">
        <f>IF($R1310="","",IFERROR(INDEX(Emp_Names,MATCH($R1310,Emp_Codes,0)),"NOT FOUND"))</f>
        <v/>
      </c>
      <c r="T1310" s="12" t="n"/>
      <c r="U1310" s="12" t="n"/>
      <c r="V1310" s="12" t="n"/>
    </row>
    <row r="1311">
      <c r="A1311" s="12" t="n"/>
      <c r="B1311" s="12" t="n"/>
      <c r="C1311" s="12" t="n"/>
      <c r="D1311" s="13">
        <f>IF($A1311="","",TRIM($B1311&amp;" "&amp;$C1311))</f>
        <v/>
      </c>
      <c r="E1311" s="12" t="n"/>
      <c r="F1311" s="12" t="n"/>
      <c r="G1311" s="14" t="n"/>
      <c r="H1311" s="14" t="n"/>
      <c r="I1311" s="12" t="n"/>
      <c r="J1311" s="14" t="n"/>
      <c r="K1311" s="12" t="n"/>
      <c r="L1311" s="13">
        <f>IF($K1311="","",IFERROR(INDEX(Dept_Names,MATCH($K1311,Dept_Codes,0)),"NOT FOUND"))</f>
        <v/>
      </c>
      <c r="M1311" s="12" t="n"/>
      <c r="N1311" s="13">
        <f>IF($M1311="","",IFERROR(INDEX(Desig_Names,MATCH($M1311,Desig_Codes,0)),"NOT FOUND"))</f>
        <v/>
      </c>
      <c r="O1311" s="13">
        <f>IF($M1311="","",IFERROR(INDEX(Desig_Levels,MATCH($M1311,Desig_Codes,0)),""))</f>
        <v/>
      </c>
      <c r="P1311" s="12" t="n"/>
      <c r="Q1311" s="12" t="n"/>
      <c r="R1311" s="12" t="n"/>
      <c r="S1311" s="13">
        <f>IF($R1311="","",IFERROR(INDEX(Emp_Names,MATCH($R1311,Emp_Codes,0)),"NOT FOUND"))</f>
        <v/>
      </c>
      <c r="T1311" s="12" t="n"/>
      <c r="U1311" s="12" t="n"/>
      <c r="V1311" s="12" t="n"/>
    </row>
    <row r="1312">
      <c r="A1312" s="12" t="n"/>
      <c r="B1312" s="12" t="n"/>
      <c r="C1312" s="12" t="n"/>
      <c r="D1312" s="13">
        <f>IF($A1312="","",TRIM($B1312&amp;" "&amp;$C1312))</f>
        <v/>
      </c>
      <c r="E1312" s="12" t="n"/>
      <c r="F1312" s="12" t="n"/>
      <c r="G1312" s="14" t="n"/>
      <c r="H1312" s="14" t="n"/>
      <c r="I1312" s="12" t="n"/>
      <c r="J1312" s="14" t="n"/>
      <c r="K1312" s="12" t="n"/>
      <c r="L1312" s="13">
        <f>IF($K1312="","",IFERROR(INDEX(Dept_Names,MATCH($K1312,Dept_Codes,0)),"NOT FOUND"))</f>
        <v/>
      </c>
      <c r="M1312" s="12" t="n"/>
      <c r="N1312" s="13">
        <f>IF($M1312="","",IFERROR(INDEX(Desig_Names,MATCH($M1312,Desig_Codes,0)),"NOT FOUND"))</f>
        <v/>
      </c>
      <c r="O1312" s="13">
        <f>IF($M1312="","",IFERROR(INDEX(Desig_Levels,MATCH($M1312,Desig_Codes,0)),""))</f>
        <v/>
      </c>
      <c r="P1312" s="12" t="n"/>
      <c r="Q1312" s="12" t="n"/>
      <c r="R1312" s="12" t="n"/>
      <c r="S1312" s="13">
        <f>IF($R1312="","",IFERROR(INDEX(Emp_Names,MATCH($R1312,Emp_Codes,0)),"NOT FOUND"))</f>
        <v/>
      </c>
      <c r="T1312" s="12" t="n"/>
      <c r="U1312" s="12" t="n"/>
      <c r="V1312" s="12" t="n"/>
    </row>
    <row r="1313">
      <c r="A1313" s="12" t="n"/>
      <c r="B1313" s="12" t="n"/>
      <c r="C1313" s="12" t="n"/>
      <c r="D1313" s="13">
        <f>IF($A1313="","",TRIM($B1313&amp;" "&amp;$C1313))</f>
        <v/>
      </c>
      <c r="E1313" s="12" t="n"/>
      <c r="F1313" s="12" t="n"/>
      <c r="G1313" s="14" t="n"/>
      <c r="H1313" s="14" t="n"/>
      <c r="I1313" s="12" t="n"/>
      <c r="J1313" s="14" t="n"/>
      <c r="K1313" s="12" t="n"/>
      <c r="L1313" s="13">
        <f>IF($K1313="","",IFERROR(INDEX(Dept_Names,MATCH($K1313,Dept_Codes,0)),"NOT FOUND"))</f>
        <v/>
      </c>
      <c r="M1313" s="12" t="n"/>
      <c r="N1313" s="13">
        <f>IF($M1313="","",IFERROR(INDEX(Desig_Names,MATCH($M1313,Desig_Codes,0)),"NOT FOUND"))</f>
        <v/>
      </c>
      <c r="O1313" s="13">
        <f>IF($M1313="","",IFERROR(INDEX(Desig_Levels,MATCH($M1313,Desig_Codes,0)),""))</f>
        <v/>
      </c>
      <c r="P1313" s="12" t="n"/>
      <c r="Q1313" s="12" t="n"/>
      <c r="R1313" s="12" t="n"/>
      <c r="S1313" s="13">
        <f>IF($R1313="","",IFERROR(INDEX(Emp_Names,MATCH($R1313,Emp_Codes,0)),"NOT FOUND"))</f>
        <v/>
      </c>
      <c r="T1313" s="12" t="n"/>
      <c r="U1313" s="12" t="n"/>
      <c r="V1313" s="12" t="n"/>
    </row>
    <row r="1314">
      <c r="A1314" s="12" t="n"/>
      <c r="B1314" s="12" t="n"/>
      <c r="C1314" s="12" t="n"/>
      <c r="D1314" s="13">
        <f>IF($A1314="","",TRIM($B1314&amp;" "&amp;$C1314))</f>
        <v/>
      </c>
      <c r="E1314" s="12" t="n"/>
      <c r="F1314" s="12" t="n"/>
      <c r="G1314" s="14" t="n"/>
      <c r="H1314" s="14" t="n"/>
      <c r="I1314" s="12" t="n"/>
      <c r="J1314" s="14" t="n"/>
      <c r="K1314" s="12" t="n"/>
      <c r="L1314" s="13">
        <f>IF($K1314="","",IFERROR(INDEX(Dept_Names,MATCH($K1314,Dept_Codes,0)),"NOT FOUND"))</f>
        <v/>
      </c>
      <c r="M1314" s="12" t="n"/>
      <c r="N1314" s="13">
        <f>IF($M1314="","",IFERROR(INDEX(Desig_Names,MATCH($M1314,Desig_Codes,0)),"NOT FOUND"))</f>
        <v/>
      </c>
      <c r="O1314" s="13">
        <f>IF($M1314="","",IFERROR(INDEX(Desig_Levels,MATCH($M1314,Desig_Codes,0)),""))</f>
        <v/>
      </c>
      <c r="P1314" s="12" t="n"/>
      <c r="Q1314" s="12" t="n"/>
      <c r="R1314" s="12" t="n"/>
      <c r="S1314" s="13">
        <f>IF($R1314="","",IFERROR(INDEX(Emp_Names,MATCH($R1314,Emp_Codes,0)),"NOT FOUND"))</f>
        <v/>
      </c>
      <c r="T1314" s="12" t="n"/>
      <c r="U1314" s="12" t="n"/>
      <c r="V1314" s="12" t="n"/>
    </row>
    <row r="1315">
      <c r="A1315" s="12" t="n"/>
      <c r="B1315" s="12" t="n"/>
      <c r="C1315" s="12" t="n"/>
      <c r="D1315" s="13">
        <f>IF($A1315="","",TRIM($B1315&amp;" "&amp;$C1315))</f>
        <v/>
      </c>
      <c r="E1315" s="12" t="n"/>
      <c r="F1315" s="12" t="n"/>
      <c r="G1315" s="14" t="n"/>
      <c r="H1315" s="14" t="n"/>
      <c r="I1315" s="12" t="n"/>
      <c r="J1315" s="14" t="n"/>
      <c r="K1315" s="12" t="n"/>
      <c r="L1315" s="13">
        <f>IF($K1315="","",IFERROR(INDEX(Dept_Names,MATCH($K1315,Dept_Codes,0)),"NOT FOUND"))</f>
        <v/>
      </c>
      <c r="M1315" s="12" t="n"/>
      <c r="N1315" s="13">
        <f>IF($M1315="","",IFERROR(INDEX(Desig_Names,MATCH($M1315,Desig_Codes,0)),"NOT FOUND"))</f>
        <v/>
      </c>
      <c r="O1315" s="13">
        <f>IF($M1315="","",IFERROR(INDEX(Desig_Levels,MATCH($M1315,Desig_Codes,0)),""))</f>
        <v/>
      </c>
      <c r="P1315" s="12" t="n"/>
      <c r="Q1315" s="12" t="n"/>
      <c r="R1315" s="12" t="n"/>
      <c r="S1315" s="13">
        <f>IF($R1315="","",IFERROR(INDEX(Emp_Names,MATCH($R1315,Emp_Codes,0)),"NOT FOUND"))</f>
        <v/>
      </c>
      <c r="T1315" s="12" t="n"/>
      <c r="U1315" s="12" t="n"/>
      <c r="V1315" s="12" t="n"/>
    </row>
    <row r="1316">
      <c r="A1316" s="12" t="n"/>
      <c r="B1316" s="12" t="n"/>
      <c r="C1316" s="12" t="n"/>
      <c r="D1316" s="13">
        <f>IF($A1316="","",TRIM($B1316&amp;" "&amp;$C1316))</f>
        <v/>
      </c>
      <c r="E1316" s="12" t="n"/>
      <c r="F1316" s="12" t="n"/>
      <c r="G1316" s="14" t="n"/>
      <c r="H1316" s="14" t="n"/>
      <c r="I1316" s="12" t="n"/>
      <c r="J1316" s="14" t="n"/>
      <c r="K1316" s="12" t="n"/>
      <c r="L1316" s="13">
        <f>IF($K1316="","",IFERROR(INDEX(Dept_Names,MATCH($K1316,Dept_Codes,0)),"NOT FOUND"))</f>
        <v/>
      </c>
      <c r="M1316" s="12" t="n"/>
      <c r="N1316" s="13">
        <f>IF($M1316="","",IFERROR(INDEX(Desig_Names,MATCH($M1316,Desig_Codes,0)),"NOT FOUND"))</f>
        <v/>
      </c>
      <c r="O1316" s="13">
        <f>IF($M1316="","",IFERROR(INDEX(Desig_Levels,MATCH($M1316,Desig_Codes,0)),""))</f>
        <v/>
      </c>
      <c r="P1316" s="12" t="n"/>
      <c r="Q1316" s="12" t="n"/>
      <c r="R1316" s="12" t="n"/>
      <c r="S1316" s="13">
        <f>IF($R1316="","",IFERROR(INDEX(Emp_Names,MATCH($R1316,Emp_Codes,0)),"NOT FOUND"))</f>
        <v/>
      </c>
      <c r="T1316" s="12" t="n"/>
      <c r="U1316" s="12" t="n"/>
      <c r="V1316" s="12" t="n"/>
    </row>
    <row r="1317">
      <c r="A1317" s="12" t="n"/>
      <c r="B1317" s="12" t="n"/>
      <c r="C1317" s="12" t="n"/>
      <c r="D1317" s="13">
        <f>IF($A1317="","",TRIM($B1317&amp;" "&amp;$C1317))</f>
        <v/>
      </c>
      <c r="E1317" s="12" t="n"/>
      <c r="F1317" s="12" t="n"/>
      <c r="G1317" s="14" t="n"/>
      <c r="H1317" s="14" t="n"/>
      <c r="I1317" s="12" t="n"/>
      <c r="J1317" s="14" t="n"/>
      <c r="K1317" s="12" t="n"/>
      <c r="L1317" s="13">
        <f>IF($K1317="","",IFERROR(INDEX(Dept_Names,MATCH($K1317,Dept_Codes,0)),"NOT FOUND"))</f>
        <v/>
      </c>
      <c r="M1317" s="12" t="n"/>
      <c r="N1317" s="13">
        <f>IF($M1317="","",IFERROR(INDEX(Desig_Names,MATCH($M1317,Desig_Codes,0)),"NOT FOUND"))</f>
        <v/>
      </c>
      <c r="O1317" s="13">
        <f>IF($M1317="","",IFERROR(INDEX(Desig_Levels,MATCH($M1317,Desig_Codes,0)),""))</f>
        <v/>
      </c>
      <c r="P1317" s="12" t="n"/>
      <c r="Q1317" s="12" t="n"/>
      <c r="R1317" s="12" t="n"/>
      <c r="S1317" s="13">
        <f>IF($R1317="","",IFERROR(INDEX(Emp_Names,MATCH($R1317,Emp_Codes,0)),"NOT FOUND"))</f>
        <v/>
      </c>
      <c r="T1317" s="12" t="n"/>
      <c r="U1317" s="12" t="n"/>
      <c r="V1317" s="12" t="n"/>
    </row>
    <row r="1318">
      <c r="A1318" s="12" t="n"/>
      <c r="B1318" s="12" t="n"/>
      <c r="C1318" s="12" t="n"/>
      <c r="D1318" s="13">
        <f>IF($A1318="","",TRIM($B1318&amp;" "&amp;$C1318))</f>
        <v/>
      </c>
      <c r="E1318" s="12" t="n"/>
      <c r="F1318" s="12" t="n"/>
      <c r="G1318" s="14" t="n"/>
      <c r="H1318" s="14" t="n"/>
      <c r="I1318" s="12" t="n"/>
      <c r="J1318" s="14" t="n"/>
      <c r="K1318" s="12" t="n"/>
      <c r="L1318" s="13">
        <f>IF($K1318="","",IFERROR(INDEX(Dept_Names,MATCH($K1318,Dept_Codes,0)),"NOT FOUND"))</f>
        <v/>
      </c>
      <c r="M1318" s="12" t="n"/>
      <c r="N1318" s="13">
        <f>IF($M1318="","",IFERROR(INDEX(Desig_Names,MATCH($M1318,Desig_Codes,0)),"NOT FOUND"))</f>
        <v/>
      </c>
      <c r="O1318" s="13">
        <f>IF($M1318="","",IFERROR(INDEX(Desig_Levels,MATCH($M1318,Desig_Codes,0)),""))</f>
        <v/>
      </c>
      <c r="P1318" s="12" t="n"/>
      <c r="Q1318" s="12" t="n"/>
      <c r="R1318" s="12" t="n"/>
      <c r="S1318" s="13">
        <f>IF($R1318="","",IFERROR(INDEX(Emp_Names,MATCH($R1318,Emp_Codes,0)),"NOT FOUND"))</f>
        <v/>
      </c>
      <c r="T1318" s="12" t="n"/>
      <c r="U1318" s="12" t="n"/>
      <c r="V1318" s="12" t="n"/>
    </row>
    <row r="1319">
      <c r="A1319" s="12" t="n"/>
      <c r="B1319" s="12" t="n"/>
      <c r="C1319" s="12" t="n"/>
      <c r="D1319" s="13">
        <f>IF($A1319="","",TRIM($B1319&amp;" "&amp;$C1319))</f>
        <v/>
      </c>
      <c r="E1319" s="12" t="n"/>
      <c r="F1319" s="12" t="n"/>
      <c r="G1319" s="14" t="n"/>
      <c r="H1319" s="14" t="n"/>
      <c r="I1319" s="12" t="n"/>
      <c r="J1319" s="14" t="n"/>
      <c r="K1319" s="12" t="n"/>
      <c r="L1319" s="13">
        <f>IF($K1319="","",IFERROR(INDEX(Dept_Names,MATCH($K1319,Dept_Codes,0)),"NOT FOUND"))</f>
        <v/>
      </c>
      <c r="M1319" s="12" t="n"/>
      <c r="N1319" s="13">
        <f>IF($M1319="","",IFERROR(INDEX(Desig_Names,MATCH($M1319,Desig_Codes,0)),"NOT FOUND"))</f>
        <v/>
      </c>
      <c r="O1319" s="13">
        <f>IF($M1319="","",IFERROR(INDEX(Desig_Levels,MATCH($M1319,Desig_Codes,0)),""))</f>
        <v/>
      </c>
      <c r="P1319" s="12" t="n"/>
      <c r="Q1319" s="12" t="n"/>
      <c r="R1319" s="12" t="n"/>
      <c r="S1319" s="13">
        <f>IF($R1319="","",IFERROR(INDEX(Emp_Names,MATCH($R1319,Emp_Codes,0)),"NOT FOUND"))</f>
        <v/>
      </c>
      <c r="T1319" s="12" t="n"/>
      <c r="U1319" s="12" t="n"/>
      <c r="V1319" s="12" t="n"/>
    </row>
    <row r="1320">
      <c r="A1320" s="12" t="n"/>
      <c r="B1320" s="12" t="n"/>
      <c r="C1320" s="12" t="n"/>
      <c r="D1320" s="13">
        <f>IF($A1320="","",TRIM($B1320&amp;" "&amp;$C1320))</f>
        <v/>
      </c>
      <c r="E1320" s="12" t="n"/>
      <c r="F1320" s="12" t="n"/>
      <c r="G1320" s="14" t="n"/>
      <c r="H1320" s="14" t="n"/>
      <c r="I1320" s="12" t="n"/>
      <c r="J1320" s="14" t="n"/>
      <c r="K1320" s="12" t="n"/>
      <c r="L1320" s="13">
        <f>IF($K1320="","",IFERROR(INDEX(Dept_Names,MATCH($K1320,Dept_Codes,0)),"NOT FOUND"))</f>
        <v/>
      </c>
      <c r="M1320" s="12" t="n"/>
      <c r="N1320" s="13">
        <f>IF($M1320="","",IFERROR(INDEX(Desig_Names,MATCH($M1320,Desig_Codes,0)),"NOT FOUND"))</f>
        <v/>
      </c>
      <c r="O1320" s="13">
        <f>IF($M1320="","",IFERROR(INDEX(Desig_Levels,MATCH($M1320,Desig_Codes,0)),""))</f>
        <v/>
      </c>
      <c r="P1320" s="12" t="n"/>
      <c r="Q1320" s="12" t="n"/>
      <c r="R1320" s="12" t="n"/>
      <c r="S1320" s="13">
        <f>IF($R1320="","",IFERROR(INDEX(Emp_Names,MATCH($R1320,Emp_Codes,0)),"NOT FOUND"))</f>
        <v/>
      </c>
      <c r="T1320" s="12" t="n"/>
      <c r="U1320" s="12" t="n"/>
      <c r="V1320" s="12" t="n"/>
    </row>
    <row r="1321">
      <c r="A1321" s="12" t="n"/>
      <c r="B1321" s="12" t="n"/>
      <c r="C1321" s="12" t="n"/>
      <c r="D1321" s="13">
        <f>IF($A1321="","",TRIM($B1321&amp;" "&amp;$C1321))</f>
        <v/>
      </c>
      <c r="E1321" s="12" t="n"/>
      <c r="F1321" s="12" t="n"/>
      <c r="G1321" s="14" t="n"/>
      <c r="H1321" s="14" t="n"/>
      <c r="I1321" s="12" t="n"/>
      <c r="J1321" s="14" t="n"/>
      <c r="K1321" s="12" t="n"/>
      <c r="L1321" s="13">
        <f>IF($K1321="","",IFERROR(INDEX(Dept_Names,MATCH($K1321,Dept_Codes,0)),"NOT FOUND"))</f>
        <v/>
      </c>
      <c r="M1321" s="12" t="n"/>
      <c r="N1321" s="13">
        <f>IF($M1321="","",IFERROR(INDEX(Desig_Names,MATCH($M1321,Desig_Codes,0)),"NOT FOUND"))</f>
        <v/>
      </c>
      <c r="O1321" s="13">
        <f>IF($M1321="","",IFERROR(INDEX(Desig_Levels,MATCH($M1321,Desig_Codes,0)),""))</f>
        <v/>
      </c>
      <c r="P1321" s="12" t="n"/>
      <c r="Q1321" s="12" t="n"/>
      <c r="R1321" s="12" t="n"/>
      <c r="S1321" s="13">
        <f>IF($R1321="","",IFERROR(INDEX(Emp_Names,MATCH($R1321,Emp_Codes,0)),"NOT FOUND"))</f>
        <v/>
      </c>
      <c r="T1321" s="12" t="n"/>
      <c r="U1321" s="12" t="n"/>
      <c r="V1321" s="12" t="n"/>
    </row>
    <row r="1322">
      <c r="A1322" s="12" t="n"/>
      <c r="B1322" s="12" t="n"/>
      <c r="C1322" s="12" t="n"/>
      <c r="D1322" s="13">
        <f>IF($A1322="","",TRIM($B1322&amp;" "&amp;$C1322))</f>
        <v/>
      </c>
      <c r="E1322" s="12" t="n"/>
      <c r="F1322" s="12" t="n"/>
      <c r="G1322" s="14" t="n"/>
      <c r="H1322" s="14" t="n"/>
      <c r="I1322" s="12" t="n"/>
      <c r="J1322" s="14" t="n"/>
      <c r="K1322" s="12" t="n"/>
      <c r="L1322" s="13">
        <f>IF($K1322="","",IFERROR(INDEX(Dept_Names,MATCH($K1322,Dept_Codes,0)),"NOT FOUND"))</f>
        <v/>
      </c>
      <c r="M1322" s="12" t="n"/>
      <c r="N1322" s="13">
        <f>IF($M1322="","",IFERROR(INDEX(Desig_Names,MATCH($M1322,Desig_Codes,0)),"NOT FOUND"))</f>
        <v/>
      </c>
      <c r="O1322" s="13">
        <f>IF($M1322="","",IFERROR(INDEX(Desig_Levels,MATCH($M1322,Desig_Codes,0)),""))</f>
        <v/>
      </c>
      <c r="P1322" s="12" t="n"/>
      <c r="Q1322" s="12" t="n"/>
      <c r="R1322" s="12" t="n"/>
      <c r="S1322" s="13">
        <f>IF($R1322="","",IFERROR(INDEX(Emp_Names,MATCH($R1322,Emp_Codes,0)),"NOT FOUND"))</f>
        <v/>
      </c>
      <c r="T1322" s="12" t="n"/>
      <c r="U1322" s="12" t="n"/>
      <c r="V1322" s="12" t="n"/>
    </row>
    <row r="1323">
      <c r="A1323" s="12" t="n"/>
      <c r="B1323" s="12" t="n"/>
      <c r="C1323" s="12" t="n"/>
      <c r="D1323" s="13">
        <f>IF($A1323="","",TRIM($B1323&amp;" "&amp;$C1323))</f>
        <v/>
      </c>
      <c r="E1323" s="12" t="n"/>
      <c r="F1323" s="12" t="n"/>
      <c r="G1323" s="14" t="n"/>
      <c r="H1323" s="14" t="n"/>
      <c r="I1323" s="12" t="n"/>
      <c r="J1323" s="14" t="n"/>
      <c r="K1323" s="12" t="n"/>
      <c r="L1323" s="13">
        <f>IF($K1323="","",IFERROR(INDEX(Dept_Names,MATCH($K1323,Dept_Codes,0)),"NOT FOUND"))</f>
        <v/>
      </c>
      <c r="M1323" s="12" t="n"/>
      <c r="N1323" s="13">
        <f>IF($M1323="","",IFERROR(INDEX(Desig_Names,MATCH($M1323,Desig_Codes,0)),"NOT FOUND"))</f>
        <v/>
      </c>
      <c r="O1323" s="13">
        <f>IF($M1323="","",IFERROR(INDEX(Desig_Levels,MATCH($M1323,Desig_Codes,0)),""))</f>
        <v/>
      </c>
      <c r="P1323" s="12" t="n"/>
      <c r="Q1323" s="12" t="n"/>
      <c r="R1323" s="12" t="n"/>
      <c r="S1323" s="13">
        <f>IF($R1323="","",IFERROR(INDEX(Emp_Names,MATCH($R1323,Emp_Codes,0)),"NOT FOUND"))</f>
        <v/>
      </c>
      <c r="T1323" s="12" t="n"/>
      <c r="U1323" s="12" t="n"/>
      <c r="V1323" s="12" t="n"/>
    </row>
    <row r="1324">
      <c r="A1324" s="12" t="n"/>
      <c r="B1324" s="12" t="n"/>
      <c r="C1324" s="12" t="n"/>
      <c r="D1324" s="13">
        <f>IF($A1324="","",TRIM($B1324&amp;" "&amp;$C1324))</f>
        <v/>
      </c>
      <c r="E1324" s="12" t="n"/>
      <c r="F1324" s="12" t="n"/>
      <c r="G1324" s="14" t="n"/>
      <c r="H1324" s="14" t="n"/>
      <c r="I1324" s="12" t="n"/>
      <c r="J1324" s="14" t="n"/>
      <c r="K1324" s="12" t="n"/>
      <c r="L1324" s="13">
        <f>IF($K1324="","",IFERROR(INDEX(Dept_Names,MATCH($K1324,Dept_Codes,0)),"NOT FOUND"))</f>
        <v/>
      </c>
      <c r="M1324" s="12" t="n"/>
      <c r="N1324" s="13">
        <f>IF($M1324="","",IFERROR(INDEX(Desig_Names,MATCH($M1324,Desig_Codes,0)),"NOT FOUND"))</f>
        <v/>
      </c>
      <c r="O1324" s="13">
        <f>IF($M1324="","",IFERROR(INDEX(Desig_Levels,MATCH($M1324,Desig_Codes,0)),""))</f>
        <v/>
      </c>
      <c r="P1324" s="12" t="n"/>
      <c r="Q1324" s="12" t="n"/>
      <c r="R1324" s="12" t="n"/>
      <c r="S1324" s="13">
        <f>IF($R1324="","",IFERROR(INDEX(Emp_Names,MATCH($R1324,Emp_Codes,0)),"NOT FOUND"))</f>
        <v/>
      </c>
      <c r="T1324" s="12" t="n"/>
      <c r="U1324" s="12" t="n"/>
      <c r="V1324" s="12" t="n"/>
    </row>
    <row r="1325">
      <c r="A1325" s="12" t="n"/>
      <c r="B1325" s="12" t="n"/>
      <c r="C1325" s="12" t="n"/>
      <c r="D1325" s="13">
        <f>IF($A1325="","",TRIM($B1325&amp;" "&amp;$C1325))</f>
        <v/>
      </c>
      <c r="E1325" s="12" t="n"/>
      <c r="F1325" s="12" t="n"/>
      <c r="G1325" s="14" t="n"/>
      <c r="H1325" s="14" t="n"/>
      <c r="I1325" s="12" t="n"/>
      <c r="J1325" s="14" t="n"/>
      <c r="K1325" s="12" t="n"/>
      <c r="L1325" s="13">
        <f>IF($K1325="","",IFERROR(INDEX(Dept_Names,MATCH($K1325,Dept_Codes,0)),"NOT FOUND"))</f>
        <v/>
      </c>
      <c r="M1325" s="12" t="n"/>
      <c r="N1325" s="13">
        <f>IF($M1325="","",IFERROR(INDEX(Desig_Names,MATCH($M1325,Desig_Codes,0)),"NOT FOUND"))</f>
        <v/>
      </c>
      <c r="O1325" s="13">
        <f>IF($M1325="","",IFERROR(INDEX(Desig_Levels,MATCH($M1325,Desig_Codes,0)),""))</f>
        <v/>
      </c>
      <c r="P1325" s="12" t="n"/>
      <c r="Q1325" s="12" t="n"/>
      <c r="R1325" s="12" t="n"/>
      <c r="S1325" s="13">
        <f>IF($R1325="","",IFERROR(INDEX(Emp_Names,MATCH($R1325,Emp_Codes,0)),"NOT FOUND"))</f>
        <v/>
      </c>
      <c r="T1325" s="12" t="n"/>
      <c r="U1325" s="12" t="n"/>
      <c r="V1325" s="12" t="n"/>
    </row>
    <row r="1326">
      <c r="A1326" s="12" t="n"/>
      <c r="B1326" s="12" t="n"/>
      <c r="C1326" s="12" t="n"/>
      <c r="D1326" s="13">
        <f>IF($A1326="","",TRIM($B1326&amp;" "&amp;$C1326))</f>
        <v/>
      </c>
      <c r="E1326" s="12" t="n"/>
      <c r="F1326" s="12" t="n"/>
      <c r="G1326" s="14" t="n"/>
      <c r="H1326" s="14" t="n"/>
      <c r="I1326" s="12" t="n"/>
      <c r="J1326" s="14" t="n"/>
      <c r="K1326" s="12" t="n"/>
      <c r="L1326" s="13">
        <f>IF($K1326="","",IFERROR(INDEX(Dept_Names,MATCH($K1326,Dept_Codes,0)),"NOT FOUND"))</f>
        <v/>
      </c>
      <c r="M1326" s="12" t="n"/>
      <c r="N1326" s="13">
        <f>IF($M1326="","",IFERROR(INDEX(Desig_Names,MATCH($M1326,Desig_Codes,0)),"NOT FOUND"))</f>
        <v/>
      </c>
      <c r="O1326" s="13">
        <f>IF($M1326="","",IFERROR(INDEX(Desig_Levels,MATCH($M1326,Desig_Codes,0)),""))</f>
        <v/>
      </c>
      <c r="P1326" s="12" t="n"/>
      <c r="Q1326" s="12" t="n"/>
      <c r="R1326" s="12" t="n"/>
      <c r="S1326" s="13">
        <f>IF($R1326="","",IFERROR(INDEX(Emp_Names,MATCH($R1326,Emp_Codes,0)),"NOT FOUND"))</f>
        <v/>
      </c>
      <c r="T1326" s="12" t="n"/>
      <c r="U1326" s="12" t="n"/>
      <c r="V1326" s="12" t="n"/>
    </row>
    <row r="1327">
      <c r="A1327" s="12" t="n"/>
      <c r="B1327" s="12" t="n"/>
      <c r="C1327" s="12" t="n"/>
      <c r="D1327" s="13">
        <f>IF($A1327="","",TRIM($B1327&amp;" "&amp;$C1327))</f>
        <v/>
      </c>
      <c r="E1327" s="12" t="n"/>
      <c r="F1327" s="12" t="n"/>
      <c r="G1327" s="14" t="n"/>
      <c r="H1327" s="14" t="n"/>
      <c r="I1327" s="12" t="n"/>
      <c r="J1327" s="14" t="n"/>
      <c r="K1327" s="12" t="n"/>
      <c r="L1327" s="13">
        <f>IF($K1327="","",IFERROR(INDEX(Dept_Names,MATCH($K1327,Dept_Codes,0)),"NOT FOUND"))</f>
        <v/>
      </c>
      <c r="M1327" s="12" t="n"/>
      <c r="N1327" s="13">
        <f>IF($M1327="","",IFERROR(INDEX(Desig_Names,MATCH($M1327,Desig_Codes,0)),"NOT FOUND"))</f>
        <v/>
      </c>
      <c r="O1327" s="13">
        <f>IF($M1327="","",IFERROR(INDEX(Desig_Levels,MATCH($M1327,Desig_Codes,0)),""))</f>
        <v/>
      </c>
      <c r="P1327" s="12" t="n"/>
      <c r="Q1327" s="12" t="n"/>
      <c r="R1327" s="12" t="n"/>
      <c r="S1327" s="13">
        <f>IF($R1327="","",IFERROR(INDEX(Emp_Names,MATCH($R1327,Emp_Codes,0)),"NOT FOUND"))</f>
        <v/>
      </c>
      <c r="T1327" s="12" t="n"/>
      <c r="U1327" s="12" t="n"/>
      <c r="V1327" s="12" t="n"/>
    </row>
    <row r="1328">
      <c r="A1328" s="12" t="n"/>
      <c r="B1328" s="12" t="n"/>
      <c r="C1328" s="12" t="n"/>
      <c r="D1328" s="13">
        <f>IF($A1328="","",TRIM($B1328&amp;" "&amp;$C1328))</f>
        <v/>
      </c>
      <c r="E1328" s="12" t="n"/>
      <c r="F1328" s="12" t="n"/>
      <c r="G1328" s="14" t="n"/>
      <c r="H1328" s="14" t="n"/>
      <c r="I1328" s="12" t="n"/>
      <c r="J1328" s="14" t="n"/>
      <c r="K1328" s="12" t="n"/>
      <c r="L1328" s="13">
        <f>IF($K1328="","",IFERROR(INDEX(Dept_Names,MATCH($K1328,Dept_Codes,0)),"NOT FOUND"))</f>
        <v/>
      </c>
      <c r="M1328" s="12" t="n"/>
      <c r="N1328" s="13">
        <f>IF($M1328="","",IFERROR(INDEX(Desig_Names,MATCH($M1328,Desig_Codes,0)),"NOT FOUND"))</f>
        <v/>
      </c>
      <c r="O1328" s="13">
        <f>IF($M1328="","",IFERROR(INDEX(Desig_Levels,MATCH($M1328,Desig_Codes,0)),""))</f>
        <v/>
      </c>
      <c r="P1328" s="12" t="n"/>
      <c r="Q1328" s="12" t="n"/>
      <c r="R1328" s="12" t="n"/>
      <c r="S1328" s="13">
        <f>IF($R1328="","",IFERROR(INDEX(Emp_Names,MATCH($R1328,Emp_Codes,0)),"NOT FOUND"))</f>
        <v/>
      </c>
      <c r="T1328" s="12" t="n"/>
      <c r="U1328" s="12" t="n"/>
      <c r="V1328" s="12" t="n"/>
    </row>
    <row r="1329">
      <c r="A1329" s="12" t="n"/>
      <c r="B1329" s="12" t="n"/>
      <c r="C1329" s="12" t="n"/>
      <c r="D1329" s="13">
        <f>IF($A1329="","",TRIM($B1329&amp;" "&amp;$C1329))</f>
        <v/>
      </c>
      <c r="E1329" s="12" t="n"/>
      <c r="F1329" s="12" t="n"/>
      <c r="G1329" s="14" t="n"/>
      <c r="H1329" s="14" t="n"/>
      <c r="I1329" s="12" t="n"/>
      <c r="J1329" s="14" t="n"/>
      <c r="K1329" s="12" t="n"/>
      <c r="L1329" s="13">
        <f>IF($K1329="","",IFERROR(INDEX(Dept_Names,MATCH($K1329,Dept_Codes,0)),"NOT FOUND"))</f>
        <v/>
      </c>
      <c r="M1329" s="12" t="n"/>
      <c r="N1329" s="13">
        <f>IF($M1329="","",IFERROR(INDEX(Desig_Names,MATCH($M1329,Desig_Codes,0)),"NOT FOUND"))</f>
        <v/>
      </c>
      <c r="O1329" s="13">
        <f>IF($M1329="","",IFERROR(INDEX(Desig_Levels,MATCH($M1329,Desig_Codes,0)),""))</f>
        <v/>
      </c>
      <c r="P1329" s="12" t="n"/>
      <c r="Q1329" s="12" t="n"/>
      <c r="R1329" s="12" t="n"/>
      <c r="S1329" s="13">
        <f>IF($R1329="","",IFERROR(INDEX(Emp_Names,MATCH($R1329,Emp_Codes,0)),"NOT FOUND"))</f>
        <v/>
      </c>
      <c r="T1329" s="12" t="n"/>
      <c r="U1329" s="12" t="n"/>
      <c r="V1329" s="12" t="n"/>
    </row>
    <row r="1330">
      <c r="A1330" s="12" t="n"/>
      <c r="B1330" s="12" t="n"/>
      <c r="C1330" s="12" t="n"/>
      <c r="D1330" s="13">
        <f>IF($A1330="","",TRIM($B1330&amp;" "&amp;$C1330))</f>
        <v/>
      </c>
      <c r="E1330" s="12" t="n"/>
      <c r="F1330" s="12" t="n"/>
      <c r="G1330" s="14" t="n"/>
      <c r="H1330" s="14" t="n"/>
      <c r="I1330" s="12" t="n"/>
      <c r="J1330" s="14" t="n"/>
      <c r="K1330" s="12" t="n"/>
      <c r="L1330" s="13">
        <f>IF($K1330="","",IFERROR(INDEX(Dept_Names,MATCH($K1330,Dept_Codes,0)),"NOT FOUND"))</f>
        <v/>
      </c>
      <c r="M1330" s="12" t="n"/>
      <c r="N1330" s="13">
        <f>IF($M1330="","",IFERROR(INDEX(Desig_Names,MATCH($M1330,Desig_Codes,0)),"NOT FOUND"))</f>
        <v/>
      </c>
      <c r="O1330" s="13">
        <f>IF($M1330="","",IFERROR(INDEX(Desig_Levels,MATCH($M1330,Desig_Codes,0)),""))</f>
        <v/>
      </c>
      <c r="P1330" s="12" t="n"/>
      <c r="Q1330" s="12" t="n"/>
      <c r="R1330" s="12" t="n"/>
      <c r="S1330" s="13">
        <f>IF($R1330="","",IFERROR(INDEX(Emp_Names,MATCH($R1330,Emp_Codes,0)),"NOT FOUND"))</f>
        <v/>
      </c>
      <c r="T1330" s="12" t="n"/>
      <c r="U1330" s="12" t="n"/>
      <c r="V1330" s="12" t="n"/>
    </row>
    <row r="1331">
      <c r="A1331" s="12" t="n"/>
      <c r="B1331" s="12" t="n"/>
      <c r="C1331" s="12" t="n"/>
      <c r="D1331" s="13">
        <f>IF($A1331="","",TRIM($B1331&amp;" "&amp;$C1331))</f>
        <v/>
      </c>
      <c r="E1331" s="12" t="n"/>
      <c r="F1331" s="12" t="n"/>
      <c r="G1331" s="14" t="n"/>
      <c r="H1331" s="14" t="n"/>
      <c r="I1331" s="12" t="n"/>
      <c r="J1331" s="14" t="n"/>
      <c r="K1331" s="12" t="n"/>
      <c r="L1331" s="13">
        <f>IF($K1331="","",IFERROR(INDEX(Dept_Names,MATCH($K1331,Dept_Codes,0)),"NOT FOUND"))</f>
        <v/>
      </c>
      <c r="M1331" s="12" t="n"/>
      <c r="N1331" s="13">
        <f>IF($M1331="","",IFERROR(INDEX(Desig_Names,MATCH($M1331,Desig_Codes,0)),"NOT FOUND"))</f>
        <v/>
      </c>
      <c r="O1331" s="13">
        <f>IF($M1331="","",IFERROR(INDEX(Desig_Levels,MATCH($M1331,Desig_Codes,0)),""))</f>
        <v/>
      </c>
      <c r="P1331" s="12" t="n"/>
      <c r="Q1331" s="12" t="n"/>
      <c r="R1331" s="12" t="n"/>
      <c r="S1331" s="13">
        <f>IF($R1331="","",IFERROR(INDEX(Emp_Names,MATCH($R1331,Emp_Codes,0)),"NOT FOUND"))</f>
        <v/>
      </c>
      <c r="T1331" s="12" t="n"/>
      <c r="U1331" s="12" t="n"/>
      <c r="V1331" s="12" t="n"/>
    </row>
    <row r="1332">
      <c r="A1332" s="12" t="n"/>
      <c r="B1332" s="12" t="n"/>
      <c r="C1332" s="12" t="n"/>
      <c r="D1332" s="13">
        <f>IF($A1332="","",TRIM($B1332&amp;" "&amp;$C1332))</f>
        <v/>
      </c>
      <c r="E1332" s="12" t="n"/>
      <c r="F1332" s="12" t="n"/>
      <c r="G1332" s="14" t="n"/>
      <c r="H1332" s="14" t="n"/>
      <c r="I1332" s="12" t="n"/>
      <c r="J1332" s="14" t="n"/>
      <c r="K1332" s="12" t="n"/>
      <c r="L1332" s="13">
        <f>IF($K1332="","",IFERROR(INDEX(Dept_Names,MATCH($K1332,Dept_Codes,0)),"NOT FOUND"))</f>
        <v/>
      </c>
      <c r="M1332" s="12" t="n"/>
      <c r="N1332" s="13">
        <f>IF($M1332="","",IFERROR(INDEX(Desig_Names,MATCH($M1332,Desig_Codes,0)),"NOT FOUND"))</f>
        <v/>
      </c>
      <c r="O1332" s="13">
        <f>IF($M1332="","",IFERROR(INDEX(Desig_Levels,MATCH($M1332,Desig_Codes,0)),""))</f>
        <v/>
      </c>
      <c r="P1332" s="12" t="n"/>
      <c r="Q1332" s="12" t="n"/>
      <c r="R1332" s="12" t="n"/>
      <c r="S1332" s="13">
        <f>IF($R1332="","",IFERROR(INDEX(Emp_Names,MATCH($R1332,Emp_Codes,0)),"NOT FOUND"))</f>
        <v/>
      </c>
      <c r="T1332" s="12" t="n"/>
      <c r="U1332" s="12" t="n"/>
      <c r="V1332" s="12" t="n"/>
    </row>
    <row r="1333">
      <c r="A1333" s="12" t="n"/>
      <c r="B1333" s="12" t="n"/>
      <c r="C1333" s="12" t="n"/>
      <c r="D1333" s="13">
        <f>IF($A1333="","",TRIM($B1333&amp;" "&amp;$C1333))</f>
        <v/>
      </c>
      <c r="E1333" s="12" t="n"/>
      <c r="F1333" s="12" t="n"/>
      <c r="G1333" s="14" t="n"/>
      <c r="H1333" s="14" t="n"/>
      <c r="I1333" s="12" t="n"/>
      <c r="J1333" s="14" t="n"/>
      <c r="K1333" s="12" t="n"/>
      <c r="L1333" s="13">
        <f>IF($K1333="","",IFERROR(INDEX(Dept_Names,MATCH($K1333,Dept_Codes,0)),"NOT FOUND"))</f>
        <v/>
      </c>
      <c r="M1333" s="12" t="n"/>
      <c r="N1333" s="13">
        <f>IF($M1333="","",IFERROR(INDEX(Desig_Names,MATCH($M1333,Desig_Codes,0)),"NOT FOUND"))</f>
        <v/>
      </c>
      <c r="O1333" s="13">
        <f>IF($M1333="","",IFERROR(INDEX(Desig_Levels,MATCH($M1333,Desig_Codes,0)),""))</f>
        <v/>
      </c>
      <c r="P1333" s="12" t="n"/>
      <c r="Q1333" s="12" t="n"/>
      <c r="R1333" s="12" t="n"/>
      <c r="S1333" s="13">
        <f>IF($R1333="","",IFERROR(INDEX(Emp_Names,MATCH($R1333,Emp_Codes,0)),"NOT FOUND"))</f>
        <v/>
      </c>
      <c r="T1333" s="12" t="n"/>
      <c r="U1333" s="12" t="n"/>
      <c r="V1333" s="12" t="n"/>
    </row>
    <row r="1334">
      <c r="A1334" s="12" t="n"/>
      <c r="B1334" s="12" t="n"/>
      <c r="C1334" s="12" t="n"/>
      <c r="D1334" s="13">
        <f>IF($A1334="","",TRIM($B1334&amp;" "&amp;$C1334))</f>
        <v/>
      </c>
      <c r="E1334" s="12" t="n"/>
      <c r="F1334" s="12" t="n"/>
      <c r="G1334" s="14" t="n"/>
      <c r="H1334" s="14" t="n"/>
      <c r="I1334" s="12" t="n"/>
      <c r="J1334" s="14" t="n"/>
      <c r="K1334" s="12" t="n"/>
      <c r="L1334" s="13">
        <f>IF($K1334="","",IFERROR(INDEX(Dept_Names,MATCH($K1334,Dept_Codes,0)),"NOT FOUND"))</f>
        <v/>
      </c>
      <c r="M1334" s="12" t="n"/>
      <c r="N1334" s="13">
        <f>IF($M1334="","",IFERROR(INDEX(Desig_Names,MATCH($M1334,Desig_Codes,0)),"NOT FOUND"))</f>
        <v/>
      </c>
      <c r="O1334" s="13">
        <f>IF($M1334="","",IFERROR(INDEX(Desig_Levels,MATCH($M1334,Desig_Codes,0)),""))</f>
        <v/>
      </c>
      <c r="P1334" s="12" t="n"/>
      <c r="Q1334" s="12" t="n"/>
      <c r="R1334" s="12" t="n"/>
      <c r="S1334" s="13">
        <f>IF($R1334="","",IFERROR(INDEX(Emp_Names,MATCH($R1334,Emp_Codes,0)),"NOT FOUND"))</f>
        <v/>
      </c>
      <c r="T1334" s="12" t="n"/>
      <c r="U1334" s="12" t="n"/>
      <c r="V1334" s="12" t="n"/>
    </row>
    <row r="1335">
      <c r="A1335" s="12" t="n"/>
      <c r="B1335" s="12" t="n"/>
      <c r="C1335" s="12" t="n"/>
      <c r="D1335" s="13">
        <f>IF($A1335="","",TRIM($B1335&amp;" "&amp;$C1335))</f>
        <v/>
      </c>
      <c r="E1335" s="12" t="n"/>
      <c r="F1335" s="12" t="n"/>
      <c r="G1335" s="14" t="n"/>
      <c r="H1335" s="14" t="n"/>
      <c r="I1335" s="12" t="n"/>
      <c r="J1335" s="14" t="n"/>
      <c r="K1335" s="12" t="n"/>
      <c r="L1335" s="13">
        <f>IF($K1335="","",IFERROR(INDEX(Dept_Names,MATCH($K1335,Dept_Codes,0)),"NOT FOUND"))</f>
        <v/>
      </c>
      <c r="M1335" s="12" t="n"/>
      <c r="N1335" s="13">
        <f>IF($M1335="","",IFERROR(INDEX(Desig_Names,MATCH($M1335,Desig_Codes,0)),"NOT FOUND"))</f>
        <v/>
      </c>
      <c r="O1335" s="13">
        <f>IF($M1335="","",IFERROR(INDEX(Desig_Levels,MATCH($M1335,Desig_Codes,0)),""))</f>
        <v/>
      </c>
      <c r="P1335" s="12" t="n"/>
      <c r="Q1335" s="12" t="n"/>
      <c r="R1335" s="12" t="n"/>
      <c r="S1335" s="13">
        <f>IF($R1335="","",IFERROR(INDEX(Emp_Names,MATCH($R1335,Emp_Codes,0)),"NOT FOUND"))</f>
        <v/>
      </c>
      <c r="T1335" s="12" t="n"/>
      <c r="U1335" s="12" t="n"/>
      <c r="V1335" s="12" t="n"/>
    </row>
    <row r="1336">
      <c r="A1336" s="12" t="n"/>
      <c r="B1336" s="12" t="n"/>
      <c r="C1336" s="12" t="n"/>
      <c r="D1336" s="13">
        <f>IF($A1336="","",TRIM($B1336&amp;" "&amp;$C1336))</f>
        <v/>
      </c>
      <c r="E1336" s="12" t="n"/>
      <c r="F1336" s="12" t="n"/>
      <c r="G1336" s="14" t="n"/>
      <c r="H1336" s="14" t="n"/>
      <c r="I1336" s="12" t="n"/>
      <c r="J1336" s="14" t="n"/>
      <c r="K1336" s="12" t="n"/>
      <c r="L1336" s="13">
        <f>IF($K1336="","",IFERROR(INDEX(Dept_Names,MATCH($K1336,Dept_Codes,0)),"NOT FOUND"))</f>
        <v/>
      </c>
      <c r="M1336" s="12" t="n"/>
      <c r="N1336" s="13">
        <f>IF($M1336="","",IFERROR(INDEX(Desig_Names,MATCH($M1336,Desig_Codes,0)),"NOT FOUND"))</f>
        <v/>
      </c>
      <c r="O1336" s="13">
        <f>IF($M1336="","",IFERROR(INDEX(Desig_Levels,MATCH($M1336,Desig_Codes,0)),""))</f>
        <v/>
      </c>
      <c r="P1336" s="12" t="n"/>
      <c r="Q1336" s="12" t="n"/>
      <c r="R1336" s="12" t="n"/>
      <c r="S1336" s="13">
        <f>IF($R1336="","",IFERROR(INDEX(Emp_Names,MATCH($R1336,Emp_Codes,0)),"NOT FOUND"))</f>
        <v/>
      </c>
      <c r="T1336" s="12" t="n"/>
      <c r="U1336" s="12" t="n"/>
      <c r="V1336" s="12" t="n"/>
    </row>
    <row r="1337">
      <c r="A1337" s="12" t="n"/>
      <c r="B1337" s="12" t="n"/>
      <c r="C1337" s="12" t="n"/>
      <c r="D1337" s="13">
        <f>IF($A1337="","",TRIM($B1337&amp;" "&amp;$C1337))</f>
        <v/>
      </c>
      <c r="E1337" s="12" t="n"/>
      <c r="F1337" s="12" t="n"/>
      <c r="G1337" s="14" t="n"/>
      <c r="H1337" s="14" t="n"/>
      <c r="I1337" s="12" t="n"/>
      <c r="J1337" s="14" t="n"/>
      <c r="K1337" s="12" t="n"/>
      <c r="L1337" s="13">
        <f>IF($K1337="","",IFERROR(INDEX(Dept_Names,MATCH($K1337,Dept_Codes,0)),"NOT FOUND"))</f>
        <v/>
      </c>
      <c r="M1337" s="12" t="n"/>
      <c r="N1337" s="13">
        <f>IF($M1337="","",IFERROR(INDEX(Desig_Names,MATCH($M1337,Desig_Codes,0)),"NOT FOUND"))</f>
        <v/>
      </c>
      <c r="O1337" s="13">
        <f>IF($M1337="","",IFERROR(INDEX(Desig_Levels,MATCH($M1337,Desig_Codes,0)),""))</f>
        <v/>
      </c>
      <c r="P1337" s="12" t="n"/>
      <c r="Q1337" s="12" t="n"/>
      <c r="R1337" s="12" t="n"/>
      <c r="S1337" s="13">
        <f>IF($R1337="","",IFERROR(INDEX(Emp_Names,MATCH($R1337,Emp_Codes,0)),"NOT FOUND"))</f>
        <v/>
      </c>
      <c r="T1337" s="12" t="n"/>
      <c r="U1337" s="12" t="n"/>
      <c r="V1337" s="12" t="n"/>
    </row>
    <row r="1338">
      <c r="A1338" s="12" t="n"/>
      <c r="B1338" s="12" t="n"/>
      <c r="C1338" s="12" t="n"/>
      <c r="D1338" s="13">
        <f>IF($A1338="","",TRIM($B1338&amp;" "&amp;$C1338))</f>
        <v/>
      </c>
      <c r="E1338" s="12" t="n"/>
      <c r="F1338" s="12" t="n"/>
      <c r="G1338" s="14" t="n"/>
      <c r="H1338" s="14" t="n"/>
      <c r="I1338" s="12" t="n"/>
      <c r="J1338" s="14" t="n"/>
      <c r="K1338" s="12" t="n"/>
      <c r="L1338" s="13">
        <f>IF($K1338="","",IFERROR(INDEX(Dept_Names,MATCH($K1338,Dept_Codes,0)),"NOT FOUND"))</f>
        <v/>
      </c>
      <c r="M1338" s="12" t="n"/>
      <c r="N1338" s="13">
        <f>IF($M1338="","",IFERROR(INDEX(Desig_Names,MATCH($M1338,Desig_Codes,0)),"NOT FOUND"))</f>
        <v/>
      </c>
      <c r="O1338" s="13">
        <f>IF($M1338="","",IFERROR(INDEX(Desig_Levels,MATCH($M1338,Desig_Codes,0)),""))</f>
        <v/>
      </c>
      <c r="P1338" s="12" t="n"/>
      <c r="Q1338" s="12" t="n"/>
      <c r="R1338" s="12" t="n"/>
      <c r="S1338" s="13">
        <f>IF($R1338="","",IFERROR(INDEX(Emp_Names,MATCH($R1338,Emp_Codes,0)),"NOT FOUND"))</f>
        <v/>
      </c>
      <c r="T1338" s="12" t="n"/>
      <c r="U1338" s="12" t="n"/>
      <c r="V1338" s="12" t="n"/>
    </row>
    <row r="1339">
      <c r="A1339" s="12" t="n"/>
      <c r="B1339" s="12" t="n"/>
      <c r="C1339" s="12" t="n"/>
      <c r="D1339" s="13">
        <f>IF($A1339="","",TRIM($B1339&amp;" "&amp;$C1339))</f>
        <v/>
      </c>
      <c r="E1339" s="12" t="n"/>
      <c r="F1339" s="12" t="n"/>
      <c r="G1339" s="14" t="n"/>
      <c r="H1339" s="14" t="n"/>
      <c r="I1339" s="12" t="n"/>
      <c r="J1339" s="14" t="n"/>
      <c r="K1339" s="12" t="n"/>
      <c r="L1339" s="13">
        <f>IF($K1339="","",IFERROR(INDEX(Dept_Names,MATCH($K1339,Dept_Codes,0)),"NOT FOUND"))</f>
        <v/>
      </c>
      <c r="M1339" s="12" t="n"/>
      <c r="N1339" s="13">
        <f>IF($M1339="","",IFERROR(INDEX(Desig_Names,MATCH($M1339,Desig_Codes,0)),"NOT FOUND"))</f>
        <v/>
      </c>
      <c r="O1339" s="13">
        <f>IF($M1339="","",IFERROR(INDEX(Desig_Levels,MATCH($M1339,Desig_Codes,0)),""))</f>
        <v/>
      </c>
      <c r="P1339" s="12" t="n"/>
      <c r="Q1339" s="12" t="n"/>
      <c r="R1339" s="12" t="n"/>
      <c r="S1339" s="13">
        <f>IF($R1339="","",IFERROR(INDEX(Emp_Names,MATCH($R1339,Emp_Codes,0)),"NOT FOUND"))</f>
        <v/>
      </c>
      <c r="T1339" s="12" t="n"/>
      <c r="U1339" s="12" t="n"/>
      <c r="V1339" s="12" t="n"/>
    </row>
    <row r="1340">
      <c r="A1340" s="12" t="n"/>
      <c r="B1340" s="12" t="n"/>
      <c r="C1340" s="12" t="n"/>
      <c r="D1340" s="13">
        <f>IF($A1340="","",TRIM($B1340&amp;" "&amp;$C1340))</f>
        <v/>
      </c>
      <c r="E1340" s="12" t="n"/>
      <c r="F1340" s="12" t="n"/>
      <c r="G1340" s="14" t="n"/>
      <c r="H1340" s="14" t="n"/>
      <c r="I1340" s="12" t="n"/>
      <c r="J1340" s="14" t="n"/>
      <c r="K1340" s="12" t="n"/>
      <c r="L1340" s="13">
        <f>IF($K1340="","",IFERROR(INDEX(Dept_Names,MATCH($K1340,Dept_Codes,0)),"NOT FOUND"))</f>
        <v/>
      </c>
      <c r="M1340" s="12" t="n"/>
      <c r="N1340" s="13">
        <f>IF($M1340="","",IFERROR(INDEX(Desig_Names,MATCH($M1340,Desig_Codes,0)),"NOT FOUND"))</f>
        <v/>
      </c>
      <c r="O1340" s="13">
        <f>IF($M1340="","",IFERROR(INDEX(Desig_Levels,MATCH($M1340,Desig_Codes,0)),""))</f>
        <v/>
      </c>
      <c r="P1340" s="12" t="n"/>
      <c r="Q1340" s="12" t="n"/>
      <c r="R1340" s="12" t="n"/>
      <c r="S1340" s="13">
        <f>IF($R1340="","",IFERROR(INDEX(Emp_Names,MATCH($R1340,Emp_Codes,0)),"NOT FOUND"))</f>
        <v/>
      </c>
      <c r="T1340" s="12" t="n"/>
      <c r="U1340" s="12" t="n"/>
      <c r="V1340" s="12" t="n"/>
    </row>
    <row r="1341">
      <c r="A1341" s="12" t="n"/>
      <c r="B1341" s="12" t="n"/>
      <c r="C1341" s="12" t="n"/>
      <c r="D1341" s="13">
        <f>IF($A1341="","",TRIM($B1341&amp;" "&amp;$C1341))</f>
        <v/>
      </c>
      <c r="E1341" s="12" t="n"/>
      <c r="F1341" s="12" t="n"/>
      <c r="G1341" s="14" t="n"/>
      <c r="H1341" s="14" t="n"/>
      <c r="I1341" s="12" t="n"/>
      <c r="J1341" s="14" t="n"/>
      <c r="K1341" s="12" t="n"/>
      <c r="L1341" s="13">
        <f>IF($K1341="","",IFERROR(INDEX(Dept_Names,MATCH($K1341,Dept_Codes,0)),"NOT FOUND"))</f>
        <v/>
      </c>
      <c r="M1341" s="12" t="n"/>
      <c r="N1341" s="13">
        <f>IF($M1341="","",IFERROR(INDEX(Desig_Names,MATCH($M1341,Desig_Codes,0)),"NOT FOUND"))</f>
        <v/>
      </c>
      <c r="O1341" s="13">
        <f>IF($M1341="","",IFERROR(INDEX(Desig_Levels,MATCH($M1341,Desig_Codes,0)),""))</f>
        <v/>
      </c>
      <c r="P1341" s="12" t="n"/>
      <c r="Q1341" s="12" t="n"/>
      <c r="R1341" s="12" t="n"/>
      <c r="S1341" s="13">
        <f>IF($R1341="","",IFERROR(INDEX(Emp_Names,MATCH($R1341,Emp_Codes,0)),"NOT FOUND"))</f>
        <v/>
      </c>
      <c r="T1341" s="12" t="n"/>
      <c r="U1341" s="12" t="n"/>
      <c r="V1341" s="12" t="n"/>
    </row>
    <row r="1342">
      <c r="A1342" s="12" t="n"/>
      <c r="B1342" s="12" t="n"/>
      <c r="C1342" s="12" t="n"/>
      <c r="D1342" s="13">
        <f>IF($A1342="","",TRIM($B1342&amp;" "&amp;$C1342))</f>
        <v/>
      </c>
      <c r="E1342" s="12" t="n"/>
      <c r="F1342" s="12" t="n"/>
      <c r="G1342" s="14" t="n"/>
      <c r="H1342" s="14" t="n"/>
      <c r="I1342" s="12" t="n"/>
      <c r="J1342" s="14" t="n"/>
      <c r="K1342" s="12" t="n"/>
      <c r="L1342" s="13">
        <f>IF($K1342="","",IFERROR(INDEX(Dept_Names,MATCH($K1342,Dept_Codes,0)),"NOT FOUND"))</f>
        <v/>
      </c>
      <c r="M1342" s="12" t="n"/>
      <c r="N1342" s="13">
        <f>IF($M1342="","",IFERROR(INDEX(Desig_Names,MATCH($M1342,Desig_Codes,0)),"NOT FOUND"))</f>
        <v/>
      </c>
      <c r="O1342" s="13">
        <f>IF($M1342="","",IFERROR(INDEX(Desig_Levels,MATCH($M1342,Desig_Codes,0)),""))</f>
        <v/>
      </c>
      <c r="P1342" s="12" t="n"/>
      <c r="Q1342" s="12" t="n"/>
      <c r="R1342" s="12" t="n"/>
      <c r="S1342" s="13">
        <f>IF($R1342="","",IFERROR(INDEX(Emp_Names,MATCH($R1342,Emp_Codes,0)),"NOT FOUND"))</f>
        <v/>
      </c>
      <c r="T1342" s="12" t="n"/>
      <c r="U1342" s="12" t="n"/>
      <c r="V1342" s="12" t="n"/>
    </row>
    <row r="1343">
      <c r="A1343" s="12" t="n"/>
      <c r="B1343" s="12" t="n"/>
      <c r="C1343" s="12" t="n"/>
      <c r="D1343" s="13">
        <f>IF($A1343="","",TRIM($B1343&amp;" "&amp;$C1343))</f>
        <v/>
      </c>
      <c r="E1343" s="12" t="n"/>
      <c r="F1343" s="12" t="n"/>
      <c r="G1343" s="14" t="n"/>
      <c r="H1343" s="14" t="n"/>
      <c r="I1343" s="12" t="n"/>
      <c r="J1343" s="14" t="n"/>
      <c r="K1343" s="12" t="n"/>
      <c r="L1343" s="13">
        <f>IF($K1343="","",IFERROR(INDEX(Dept_Names,MATCH($K1343,Dept_Codes,0)),"NOT FOUND"))</f>
        <v/>
      </c>
      <c r="M1343" s="12" t="n"/>
      <c r="N1343" s="13">
        <f>IF($M1343="","",IFERROR(INDEX(Desig_Names,MATCH($M1343,Desig_Codes,0)),"NOT FOUND"))</f>
        <v/>
      </c>
      <c r="O1343" s="13">
        <f>IF($M1343="","",IFERROR(INDEX(Desig_Levels,MATCH($M1343,Desig_Codes,0)),""))</f>
        <v/>
      </c>
      <c r="P1343" s="12" t="n"/>
      <c r="Q1343" s="12" t="n"/>
      <c r="R1343" s="12" t="n"/>
      <c r="S1343" s="13">
        <f>IF($R1343="","",IFERROR(INDEX(Emp_Names,MATCH($R1343,Emp_Codes,0)),"NOT FOUND"))</f>
        <v/>
      </c>
      <c r="T1343" s="12" t="n"/>
      <c r="U1343" s="12" t="n"/>
      <c r="V1343" s="12" t="n"/>
    </row>
    <row r="1344">
      <c r="A1344" s="12" t="n"/>
      <c r="B1344" s="12" t="n"/>
      <c r="C1344" s="12" t="n"/>
      <c r="D1344" s="13">
        <f>IF($A1344="","",TRIM($B1344&amp;" "&amp;$C1344))</f>
        <v/>
      </c>
      <c r="E1344" s="12" t="n"/>
      <c r="F1344" s="12" t="n"/>
      <c r="G1344" s="14" t="n"/>
      <c r="H1344" s="14" t="n"/>
      <c r="I1344" s="12" t="n"/>
      <c r="J1344" s="14" t="n"/>
      <c r="K1344" s="12" t="n"/>
      <c r="L1344" s="13">
        <f>IF($K1344="","",IFERROR(INDEX(Dept_Names,MATCH($K1344,Dept_Codes,0)),"NOT FOUND"))</f>
        <v/>
      </c>
      <c r="M1344" s="12" t="n"/>
      <c r="N1344" s="13">
        <f>IF($M1344="","",IFERROR(INDEX(Desig_Names,MATCH($M1344,Desig_Codes,0)),"NOT FOUND"))</f>
        <v/>
      </c>
      <c r="O1344" s="13">
        <f>IF($M1344="","",IFERROR(INDEX(Desig_Levels,MATCH($M1344,Desig_Codes,0)),""))</f>
        <v/>
      </c>
      <c r="P1344" s="12" t="n"/>
      <c r="Q1344" s="12" t="n"/>
      <c r="R1344" s="12" t="n"/>
      <c r="S1344" s="13">
        <f>IF($R1344="","",IFERROR(INDEX(Emp_Names,MATCH($R1344,Emp_Codes,0)),"NOT FOUND"))</f>
        <v/>
      </c>
      <c r="T1344" s="12" t="n"/>
      <c r="U1344" s="12" t="n"/>
      <c r="V1344" s="12" t="n"/>
    </row>
    <row r="1345">
      <c r="A1345" s="12" t="n"/>
      <c r="B1345" s="12" t="n"/>
      <c r="C1345" s="12" t="n"/>
      <c r="D1345" s="13">
        <f>IF($A1345="","",TRIM($B1345&amp;" "&amp;$C1345))</f>
        <v/>
      </c>
      <c r="E1345" s="12" t="n"/>
      <c r="F1345" s="12" t="n"/>
      <c r="G1345" s="14" t="n"/>
      <c r="H1345" s="14" t="n"/>
      <c r="I1345" s="12" t="n"/>
      <c r="J1345" s="14" t="n"/>
      <c r="K1345" s="12" t="n"/>
      <c r="L1345" s="13">
        <f>IF($K1345="","",IFERROR(INDEX(Dept_Names,MATCH($K1345,Dept_Codes,0)),"NOT FOUND"))</f>
        <v/>
      </c>
      <c r="M1345" s="12" t="n"/>
      <c r="N1345" s="13">
        <f>IF($M1345="","",IFERROR(INDEX(Desig_Names,MATCH($M1345,Desig_Codes,0)),"NOT FOUND"))</f>
        <v/>
      </c>
      <c r="O1345" s="13">
        <f>IF($M1345="","",IFERROR(INDEX(Desig_Levels,MATCH($M1345,Desig_Codes,0)),""))</f>
        <v/>
      </c>
      <c r="P1345" s="12" t="n"/>
      <c r="Q1345" s="12" t="n"/>
      <c r="R1345" s="12" t="n"/>
      <c r="S1345" s="13">
        <f>IF($R1345="","",IFERROR(INDEX(Emp_Names,MATCH($R1345,Emp_Codes,0)),"NOT FOUND"))</f>
        <v/>
      </c>
      <c r="T1345" s="12" t="n"/>
      <c r="U1345" s="12" t="n"/>
      <c r="V1345" s="12" t="n"/>
    </row>
    <row r="1346">
      <c r="A1346" s="12" t="n"/>
      <c r="B1346" s="12" t="n"/>
      <c r="C1346" s="12" t="n"/>
      <c r="D1346" s="13">
        <f>IF($A1346="","",TRIM($B1346&amp;" "&amp;$C1346))</f>
        <v/>
      </c>
      <c r="E1346" s="12" t="n"/>
      <c r="F1346" s="12" t="n"/>
      <c r="G1346" s="14" t="n"/>
      <c r="H1346" s="14" t="n"/>
      <c r="I1346" s="12" t="n"/>
      <c r="J1346" s="14" t="n"/>
      <c r="K1346" s="12" t="n"/>
      <c r="L1346" s="13">
        <f>IF($K1346="","",IFERROR(INDEX(Dept_Names,MATCH($K1346,Dept_Codes,0)),"NOT FOUND"))</f>
        <v/>
      </c>
      <c r="M1346" s="12" t="n"/>
      <c r="N1346" s="13">
        <f>IF($M1346="","",IFERROR(INDEX(Desig_Names,MATCH($M1346,Desig_Codes,0)),"NOT FOUND"))</f>
        <v/>
      </c>
      <c r="O1346" s="13">
        <f>IF($M1346="","",IFERROR(INDEX(Desig_Levels,MATCH($M1346,Desig_Codes,0)),""))</f>
        <v/>
      </c>
      <c r="P1346" s="12" t="n"/>
      <c r="Q1346" s="12" t="n"/>
      <c r="R1346" s="12" t="n"/>
      <c r="S1346" s="13">
        <f>IF($R1346="","",IFERROR(INDEX(Emp_Names,MATCH($R1346,Emp_Codes,0)),"NOT FOUND"))</f>
        <v/>
      </c>
      <c r="T1346" s="12" t="n"/>
      <c r="U1346" s="12" t="n"/>
      <c r="V1346" s="12" t="n"/>
    </row>
    <row r="1347">
      <c r="A1347" s="12" t="n"/>
      <c r="B1347" s="12" t="n"/>
      <c r="C1347" s="12" t="n"/>
      <c r="D1347" s="13">
        <f>IF($A1347="","",TRIM($B1347&amp;" "&amp;$C1347))</f>
        <v/>
      </c>
      <c r="E1347" s="12" t="n"/>
      <c r="F1347" s="12" t="n"/>
      <c r="G1347" s="14" t="n"/>
      <c r="H1347" s="14" t="n"/>
      <c r="I1347" s="12" t="n"/>
      <c r="J1347" s="14" t="n"/>
      <c r="K1347" s="12" t="n"/>
      <c r="L1347" s="13">
        <f>IF($K1347="","",IFERROR(INDEX(Dept_Names,MATCH($K1347,Dept_Codes,0)),"NOT FOUND"))</f>
        <v/>
      </c>
      <c r="M1347" s="12" t="n"/>
      <c r="N1347" s="13">
        <f>IF($M1347="","",IFERROR(INDEX(Desig_Names,MATCH($M1347,Desig_Codes,0)),"NOT FOUND"))</f>
        <v/>
      </c>
      <c r="O1347" s="13">
        <f>IF($M1347="","",IFERROR(INDEX(Desig_Levels,MATCH($M1347,Desig_Codes,0)),""))</f>
        <v/>
      </c>
      <c r="P1347" s="12" t="n"/>
      <c r="Q1347" s="12" t="n"/>
      <c r="R1347" s="12" t="n"/>
      <c r="S1347" s="13">
        <f>IF($R1347="","",IFERROR(INDEX(Emp_Names,MATCH($R1347,Emp_Codes,0)),"NOT FOUND"))</f>
        <v/>
      </c>
      <c r="T1347" s="12" t="n"/>
      <c r="U1347" s="12" t="n"/>
      <c r="V1347" s="12" t="n"/>
    </row>
    <row r="1348">
      <c r="A1348" s="12" t="n"/>
      <c r="B1348" s="12" t="n"/>
      <c r="C1348" s="12" t="n"/>
      <c r="D1348" s="13">
        <f>IF($A1348="","",TRIM($B1348&amp;" "&amp;$C1348))</f>
        <v/>
      </c>
      <c r="E1348" s="12" t="n"/>
      <c r="F1348" s="12" t="n"/>
      <c r="G1348" s="14" t="n"/>
      <c r="H1348" s="14" t="n"/>
      <c r="I1348" s="12" t="n"/>
      <c r="J1348" s="14" t="n"/>
      <c r="K1348" s="12" t="n"/>
      <c r="L1348" s="13">
        <f>IF($K1348="","",IFERROR(INDEX(Dept_Names,MATCH($K1348,Dept_Codes,0)),"NOT FOUND"))</f>
        <v/>
      </c>
      <c r="M1348" s="12" t="n"/>
      <c r="N1348" s="13">
        <f>IF($M1348="","",IFERROR(INDEX(Desig_Names,MATCH($M1348,Desig_Codes,0)),"NOT FOUND"))</f>
        <v/>
      </c>
      <c r="O1348" s="13">
        <f>IF($M1348="","",IFERROR(INDEX(Desig_Levels,MATCH($M1348,Desig_Codes,0)),""))</f>
        <v/>
      </c>
      <c r="P1348" s="12" t="n"/>
      <c r="Q1348" s="12" t="n"/>
      <c r="R1348" s="12" t="n"/>
      <c r="S1348" s="13">
        <f>IF($R1348="","",IFERROR(INDEX(Emp_Names,MATCH($R1348,Emp_Codes,0)),"NOT FOUND"))</f>
        <v/>
      </c>
      <c r="T1348" s="12" t="n"/>
      <c r="U1348" s="12" t="n"/>
      <c r="V1348" s="12" t="n"/>
    </row>
    <row r="1349">
      <c r="A1349" s="12" t="n"/>
      <c r="B1349" s="12" t="n"/>
      <c r="C1349" s="12" t="n"/>
      <c r="D1349" s="13">
        <f>IF($A1349="","",TRIM($B1349&amp;" "&amp;$C1349))</f>
        <v/>
      </c>
      <c r="E1349" s="12" t="n"/>
      <c r="F1349" s="12" t="n"/>
      <c r="G1349" s="14" t="n"/>
      <c r="H1349" s="14" t="n"/>
      <c r="I1349" s="12" t="n"/>
      <c r="J1349" s="14" t="n"/>
      <c r="K1349" s="12" t="n"/>
      <c r="L1349" s="13">
        <f>IF($K1349="","",IFERROR(INDEX(Dept_Names,MATCH($K1349,Dept_Codes,0)),"NOT FOUND"))</f>
        <v/>
      </c>
      <c r="M1349" s="12" t="n"/>
      <c r="N1349" s="13">
        <f>IF($M1349="","",IFERROR(INDEX(Desig_Names,MATCH($M1349,Desig_Codes,0)),"NOT FOUND"))</f>
        <v/>
      </c>
      <c r="O1349" s="13">
        <f>IF($M1349="","",IFERROR(INDEX(Desig_Levels,MATCH($M1349,Desig_Codes,0)),""))</f>
        <v/>
      </c>
      <c r="P1349" s="12" t="n"/>
      <c r="Q1349" s="12" t="n"/>
      <c r="R1349" s="12" t="n"/>
      <c r="S1349" s="13">
        <f>IF($R1349="","",IFERROR(INDEX(Emp_Names,MATCH($R1349,Emp_Codes,0)),"NOT FOUND"))</f>
        <v/>
      </c>
      <c r="T1349" s="12" t="n"/>
      <c r="U1349" s="12" t="n"/>
      <c r="V1349" s="12" t="n"/>
    </row>
    <row r="1350">
      <c r="A1350" s="12" t="n"/>
      <c r="B1350" s="12" t="n"/>
      <c r="C1350" s="12" t="n"/>
      <c r="D1350" s="13">
        <f>IF($A1350="","",TRIM($B1350&amp;" "&amp;$C1350))</f>
        <v/>
      </c>
      <c r="E1350" s="12" t="n"/>
      <c r="F1350" s="12" t="n"/>
      <c r="G1350" s="14" t="n"/>
      <c r="H1350" s="14" t="n"/>
      <c r="I1350" s="12" t="n"/>
      <c r="J1350" s="14" t="n"/>
      <c r="K1350" s="12" t="n"/>
      <c r="L1350" s="13">
        <f>IF($K1350="","",IFERROR(INDEX(Dept_Names,MATCH($K1350,Dept_Codes,0)),"NOT FOUND"))</f>
        <v/>
      </c>
      <c r="M1350" s="12" t="n"/>
      <c r="N1350" s="13">
        <f>IF($M1350="","",IFERROR(INDEX(Desig_Names,MATCH($M1350,Desig_Codes,0)),"NOT FOUND"))</f>
        <v/>
      </c>
      <c r="O1350" s="13">
        <f>IF($M1350="","",IFERROR(INDEX(Desig_Levels,MATCH($M1350,Desig_Codes,0)),""))</f>
        <v/>
      </c>
      <c r="P1350" s="12" t="n"/>
      <c r="Q1350" s="12" t="n"/>
      <c r="R1350" s="12" t="n"/>
      <c r="S1350" s="13">
        <f>IF($R1350="","",IFERROR(INDEX(Emp_Names,MATCH($R1350,Emp_Codes,0)),"NOT FOUND"))</f>
        <v/>
      </c>
      <c r="T1350" s="12" t="n"/>
      <c r="U1350" s="12" t="n"/>
      <c r="V1350" s="12" t="n"/>
    </row>
    <row r="1351">
      <c r="A1351" s="12" t="n"/>
      <c r="B1351" s="12" t="n"/>
      <c r="C1351" s="12" t="n"/>
      <c r="D1351" s="13">
        <f>IF($A1351="","",TRIM($B1351&amp;" "&amp;$C1351))</f>
        <v/>
      </c>
      <c r="E1351" s="12" t="n"/>
      <c r="F1351" s="12" t="n"/>
      <c r="G1351" s="14" t="n"/>
      <c r="H1351" s="14" t="n"/>
      <c r="I1351" s="12" t="n"/>
      <c r="J1351" s="14" t="n"/>
      <c r="K1351" s="12" t="n"/>
      <c r="L1351" s="13">
        <f>IF($K1351="","",IFERROR(INDEX(Dept_Names,MATCH($K1351,Dept_Codes,0)),"NOT FOUND"))</f>
        <v/>
      </c>
      <c r="M1351" s="12" t="n"/>
      <c r="N1351" s="13">
        <f>IF($M1351="","",IFERROR(INDEX(Desig_Names,MATCH($M1351,Desig_Codes,0)),"NOT FOUND"))</f>
        <v/>
      </c>
      <c r="O1351" s="13">
        <f>IF($M1351="","",IFERROR(INDEX(Desig_Levels,MATCH($M1351,Desig_Codes,0)),""))</f>
        <v/>
      </c>
      <c r="P1351" s="12" t="n"/>
      <c r="Q1351" s="12" t="n"/>
      <c r="R1351" s="12" t="n"/>
      <c r="S1351" s="13">
        <f>IF($R1351="","",IFERROR(INDEX(Emp_Names,MATCH($R1351,Emp_Codes,0)),"NOT FOUND"))</f>
        <v/>
      </c>
      <c r="T1351" s="12" t="n"/>
      <c r="U1351" s="12" t="n"/>
      <c r="V1351" s="12" t="n"/>
    </row>
    <row r="1352">
      <c r="A1352" s="12" t="n"/>
      <c r="B1352" s="12" t="n"/>
      <c r="C1352" s="12" t="n"/>
      <c r="D1352" s="13">
        <f>IF($A1352="","",TRIM($B1352&amp;" "&amp;$C1352))</f>
        <v/>
      </c>
      <c r="E1352" s="12" t="n"/>
      <c r="F1352" s="12" t="n"/>
      <c r="G1352" s="14" t="n"/>
      <c r="H1352" s="14" t="n"/>
      <c r="I1352" s="12" t="n"/>
      <c r="J1352" s="14" t="n"/>
      <c r="K1352" s="12" t="n"/>
      <c r="L1352" s="13">
        <f>IF($K1352="","",IFERROR(INDEX(Dept_Names,MATCH($K1352,Dept_Codes,0)),"NOT FOUND"))</f>
        <v/>
      </c>
      <c r="M1352" s="12" t="n"/>
      <c r="N1352" s="13">
        <f>IF($M1352="","",IFERROR(INDEX(Desig_Names,MATCH($M1352,Desig_Codes,0)),"NOT FOUND"))</f>
        <v/>
      </c>
      <c r="O1352" s="13">
        <f>IF($M1352="","",IFERROR(INDEX(Desig_Levels,MATCH($M1352,Desig_Codes,0)),""))</f>
        <v/>
      </c>
      <c r="P1352" s="12" t="n"/>
      <c r="Q1352" s="12" t="n"/>
      <c r="R1352" s="12" t="n"/>
      <c r="S1352" s="13">
        <f>IF($R1352="","",IFERROR(INDEX(Emp_Names,MATCH($R1352,Emp_Codes,0)),"NOT FOUND"))</f>
        <v/>
      </c>
      <c r="T1352" s="12" t="n"/>
      <c r="U1352" s="12" t="n"/>
      <c r="V1352" s="12" t="n"/>
    </row>
    <row r="1353">
      <c r="A1353" s="12" t="n"/>
      <c r="B1353" s="12" t="n"/>
      <c r="C1353" s="12" t="n"/>
      <c r="D1353" s="13">
        <f>IF($A1353="","",TRIM($B1353&amp;" "&amp;$C1353))</f>
        <v/>
      </c>
      <c r="E1353" s="12" t="n"/>
      <c r="F1353" s="12" t="n"/>
      <c r="G1353" s="14" t="n"/>
      <c r="H1353" s="14" t="n"/>
      <c r="I1353" s="12" t="n"/>
      <c r="J1353" s="14" t="n"/>
      <c r="K1353" s="12" t="n"/>
      <c r="L1353" s="13">
        <f>IF($K1353="","",IFERROR(INDEX(Dept_Names,MATCH($K1353,Dept_Codes,0)),"NOT FOUND"))</f>
        <v/>
      </c>
      <c r="M1353" s="12" t="n"/>
      <c r="N1353" s="13">
        <f>IF($M1353="","",IFERROR(INDEX(Desig_Names,MATCH($M1353,Desig_Codes,0)),"NOT FOUND"))</f>
        <v/>
      </c>
      <c r="O1353" s="13">
        <f>IF($M1353="","",IFERROR(INDEX(Desig_Levels,MATCH($M1353,Desig_Codes,0)),""))</f>
        <v/>
      </c>
      <c r="P1353" s="12" t="n"/>
      <c r="Q1353" s="12" t="n"/>
      <c r="R1353" s="12" t="n"/>
      <c r="S1353" s="13">
        <f>IF($R1353="","",IFERROR(INDEX(Emp_Names,MATCH($R1353,Emp_Codes,0)),"NOT FOUND"))</f>
        <v/>
      </c>
      <c r="T1353" s="12" t="n"/>
      <c r="U1353" s="12" t="n"/>
      <c r="V1353" s="12" t="n"/>
    </row>
    <row r="1354">
      <c r="A1354" s="12" t="n"/>
      <c r="B1354" s="12" t="n"/>
      <c r="C1354" s="12" t="n"/>
      <c r="D1354" s="13">
        <f>IF($A1354="","",TRIM($B1354&amp;" "&amp;$C1354))</f>
        <v/>
      </c>
      <c r="E1354" s="12" t="n"/>
      <c r="F1354" s="12" t="n"/>
      <c r="G1354" s="14" t="n"/>
      <c r="H1354" s="14" t="n"/>
      <c r="I1354" s="12" t="n"/>
      <c r="J1354" s="14" t="n"/>
      <c r="K1354" s="12" t="n"/>
      <c r="L1354" s="13">
        <f>IF($K1354="","",IFERROR(INDEX(Dept_Names,MATCH($K1354,Dept_Codes,0)),"NOT FOUND"))</f>
        <v/>
      </c>
      <c r="M1354" s="12" t="n"/>
      <c r="N1354" s="13">
        <f>IF($M1354="","",IFERROR(INDEX(Desig_Names,MATCH($M1354,Desig_Codes,0)),"NOT FOUND"))</f>
        <v/>
      </c>
      <c r="O1354" s="13">
        <f>IF($M1354="","",IFERROR(INDEX(Desig_Levels,MATCH($M1354,Desig_Codes,0)),""))</f>
        <v/>
      </c>
      <c r="P1354" s="12" t="n"/>
      <c r="Q1354" s="12" t="n"/>
      <c r="R1354" s="12" t="n"/>
      <c r="S1354" s="13">
        <f>IF($R1354="","",IFERROR(INDEX(Emp_Names,MATCH($R1354,Emp_Codes,0)),"NOT FOUND"))</f>
        <v/>
      </c>
      <c r="T1354" s="12" t="n"/>
      <c r="U1354" s="12" t="n"/>
      <c r="V1354" s="12" t="n"/>
    </row>
    <row r="1355">
      <c r="A1355" s="12" t="n"/>
      <c r="B1355" s="12" t="n"/>
      <c r="C1355" s="12" t="n"/>
      <c r="D1355" s="13">
        <f>IF($A1355="","",TRIM($B1355&amp;" "&amp;$C1355))</f>
        <v/>
      </c>
      <c r="E1355" s="12" t="n"/>
      <c r="F1355" s="12" t="n"/>
      <c r="G1355" s="14" t="n"/>
      <c r="H1355" s="14" t="n"/>
      <c r="I1355" s="12" t="n"/>
      <c r="J1355" s="14" t="n"/>
      <c r="K1355" s="12" t="n"/>
      <c r="L1355" s="13">
        <f>IF($K1355="","",IFERROR(INDEX(Dept_Names,MATCH($K1355,Dept_Codes,0)),"NOT FOUND"))</f>
        <v/>
      </c>
      <c r="M1355" s="12" t="n"/>
      <c r="N1355" s="13">
        <f>IF($M1355="","",IFERROR(INDEX(Desig_Names,MATCH($M1355,Desig_Codes,0)),"NOT FOUND"))</f>
        <v/>
      </c>
      <c r="O1355" s="13">
        <f>IF($M1355="","",IFERROR(INDEX(Desig_Levels,MATCH($M1355,Desig_Codes,0)),""))</f>
        <v/>
      </c>
      <c r="P1355" s="12" t="n"/>
      <c r="Q1355" s="12" t="n"/>
      <c r="R1355" s="12" t="n"/>
      <c r="S1355" s="13">
        <f>IF($R1355="","",IFERROR(INDEX(Emp_Names,MATCH($R1355,Emp_Codes,0)),"NOT FOUND"))</f>
        <v/>
      </c>
      <c r="T1355" s="12" t="n"/>
      <c r="U1355" s="12" t="n"/>
      <c r="V1355" s="12" t="n"/>
    </row>
    <row r="1356">
      <c r="A1356" s="12" t="n"/>
      <c r="B1356" s="12" t="n"/>
      <c r="C1356" s="12" t="n"/>
      <c r="D1356" s="13">
        <f>IF($A1356="","",TRIM($B1356&amp;" "&amp;$C1356))</f>
        <v/>
      </c>
      <c r="E1356" s="12" t="n"/>
      <c r="F1356" s="12" t="n"/>
      <c r="G1356" s="14" t="n"/>
      <c r="H1356" s="14" t="n"/>
      <c r="I1356" s="12" t="n"/>
      <c r="J1356" s="14" t="n"/>
      <c r="K1356" s="12" t="n"/>
      <c r="L1356" s="13">
        <f>IF($K1356="","",IFERROR(INDEX(Dept_Names,MATCH($K1356,Dept_Codes,0)),"NOT FOUND"))</f>
        <v/>
      </c>
      <c r="M1356" s="12" t="n"/>
      <c r="N1356" s="13">
        <f>IF($M1356="","",IFERROR(INDEX(Desig_Names,MATCH($M1356,Desig_Codes,0)),"NOT FOUND"))</f>
        <v/>
      </c>
      <c r="O1356" s="13">
        <f>IF($M1356="","",IFERROR(INDEX(Desig_Levels,MATCH($M1356,Desig_Codes,0)),""))</f>
        <v/>
      </c>
      <c r="P1356" s="12" t="n"/>
      <c r="Q1356" s="12" t="n"/>
      <c r="R1356" s="12" t="n"/>
      <c r="S1356" s="13">
        <f>IF($R1356="","",IFERROR(INDEX(Emp_Names,MATCH($R1356,Emp_Codes,0)),"NOT FOUND"))</f>
        <v/>
      </c>
      <c r="T1356" s="12" t="n"/>
      <c r="U1356" s="12" t="n"/>
      <c r="V1356" s="12" t="n"/>
    </row>
    <row r="1357">
      <c r="A1357" s="12" t="n"/>
      <c r="B1357" s="12" t="n"/>
      <c r="C1357" s="12" t="n"/>
      <c r="D1357" s="13">
        <f>IF($A1357="","",TRIM($B1357&amp;" "&amp;$C1357))</f>
        <v/>
      </c>
      <c r="E1357" s="12" t="n"/>
      <c r="F1357" s="12" t="n"/>
      <c r="G1357" s="14" t="n"/>
      <c r="H1357" s="14" t="n"/>
      <c r="I1357" s="12" t="n"/>
      <c r="J1357" s="14" t="n"/>
      <c r="K1357" s="12" t="n"/>
      <c r="L1357" s="13">
        <f>IF($K1357="","",IFERROR(INDEX(Dept_Names,MATCH($K1357,Dept_Codes,0)),"NOT FOUND"))</f>
        <v/>
      </c>
      <c r="M1357" s="12" t="n"/>
      <c r="N1357" s="13">
        <f>IF($M1357="","",IFERROR(INDEX(Desig_Names,MATCH($M1357,Desig_Codes,0)),"NOT FOUND"))</f>
        <v/>
      </c>
      <c r="O1357" s="13">
        <f>IF($M1357="","",IFERROR(INDEX(Desig_Levels,MATCH($M1357,Desig_Codes,0)),""))</f>
        <v/>
      </c>
      <c r="P1357" s="12" t="n"/>
      <c r="Q1357" s="12" t="n"/>
      <c r="R1357" s="12" t="n"/>
      <c r="S1357" s="13">
        <f>IF($R1357="","",IFERROR(INDEX(Emp_Names,MATCH($R1357,Emp_Codes,0)),"NOT FOUND"))</f>
        <v/>
      </c>
      <c r="T1357" s="12" t="n"/>
      <c r="U1357" s="12" t="n"/>
      <c r="V1357" s="12" t="n"/>
    </row>
    <row r="1358">
      <c r="A1358" s="12" t="n"/>
      <c r="B1358" s="12" t="n"/>
      <c r="C1358" s="12" t="n"/>
      <c r="D1358" s="13">
        <f>IF($A1358="","",TRIM($B1358&amp;" "&amp;$C1358))</f>
        <v/>
      </c>
      <c r="E1358" s="12" t="n"/>
      <c r="F1358" s="12" t="n"/>
      <c r="G1358" s="14" t="n"/>
      <c r="H1358" s="14" t="n"/>
      <c r="I1358" s="12" t="n"/>
      <c r="J1358" s="14" t="n"/>
      <c r="K1358" s="12" t="n"/>
      <c r="L1358" s="13">
        <f>IF($K1358="","",IFERROR(INDEX(Dept_Names,MATCH($K1358,Dept_Codes,0)),"NOT FOUND"))</f>
        <v/>
      </c>
      <c r="M1358" s="12" t="n"/>
      <c r="N1358" s="13">
        <f>IF($M1358="","",IFERROR(INDEX(Desig_Names,MATCH($M1358,Desig_Codes,0)),"NOT FOUND"))</f>
        <v/>
      </c>
      <c r="O1358" s="13">
        <f>IF($M1358="","",IFERROR(INDEX(Desig_Levels,MATCH($M1358,Desig_Codes,0)),""))</f>
        <v/>
      </c>
      <c r="P1358" s="12" t="n"/>
      <c r="Q1358" s="12" t="n"/>
      <c r="R1358" s="12" t="n"/>
      <c r="S1358" s="13">
        <f>IF($R1358="","",IFERROR(INDEX(Emp_Names,MATCH($R1358,Emp_Codes,0)),"NOT FOUND"))</f>
        <v/>
      </c>
      <c r="T1358" s="12" t="n"/>
      <c r="U1358" s="12" t="n"/>
      <c r="V1358" s="12" t="n"/>
    </row>
    <row r="1359">
      <c r="A1359" s="12" t="n"/>
      <c r="B1359" s="12" t="n"/>
      <c r="C1359" s="12" t="n"/>
      <c r="D1359" s="13">
        <f>IF($A1359="","",TRIM($B1359&amp;" "&amp;$C1359))</f>
        <v/>
      </c>
      <c r="E1359" s="12" t="n"/>
      <c r="F1359" s="12" t="n"/>
      <c r="G1359" s="14" t="n"/>
      <c r="H1359" s="14" t="n"/>
      <c r="I1359" s="12" t="n"/>
      <c r="J1359" s="14" t="n"/>
      <c r="K1359" s="12" t="n"/>
      <c r="L1359" s="13">
        <f>IF($K1359="","",IFERROR(INDEX(Dept_Names,MATCH($K1359,Dept_Codes,0)),"NOT FOUND"))</f>
        <v/>
      </c>
      <c r="M1359" s="12" t="n"/>
      <c r="N1359" s="13">
        <f>IF($M1359="","",IFERROR(INDEX(Desig_Names,MATCH($M1359,Desig_Codes,0)),"NOT FOUND"))</f>
        <v/>
      </c>
      <c r="O1359" s="13">
        <f>IF($M1359="","",IFERROR(INDEX(Desig_Levels,MATCH($M1359,Desig_Codes,0)),""))</f>
        <v/>
      </c>
      <c r="P1359" s="12" t="n"/>
      <c r="Q1359" s="12" t="n"/>
      <c r="R1359" s="12" t="n"/>
      <c r="S1359" s="13">
        <f>IF($R1359="","",IFERROR(INDEX(Emp_Names,MATCH($R1359,Emp_Codes,0)),"NOT FOUND"))</f>
        <v/>
      </c>
      <c r="T1359" s="12" t="n"/>
      <c r="U1359" s="12" t="n"/>
      <c r="V1359" s="12" t="n"/>
    </row>
    <row r="1360">
      <c r="A1360" s="12" t="n"/>
      <c r="B1360" s="12" t="n"/>
      <c r="C1360" s="12" t="n"/>
      <c r="D1360" s="13">
        <f>IF($A1360="","",TRIM($B1360&amp;" "&amp;$C1360))</f>
        <v/>
      </c>
      <c r="E1360" s="12" t="n"/>
      <c r="F1360" s="12" t="n"/>
      <c r="G1360" s="14" t="n"/>
      <c r="H1360" s="14" t="n"/>
      <c r="I1360" s="12" t="n"/>
      <c r="J1360" s="14" t="n"/>
      <c r="K1360" s="12" t="n"/>
      <c r="L1360" s="13">
        <f>IF($K1360="","",IFERROR(INDEX(Dept_Names,MATCH($K1360,Dept_Codes,0)),"NOT FOUND"))</f>
        <v/>
      </c>
      <c r="M1360" s="12" t="n"/>
      <c r="N1360" s="13">
        <f>IF($M1360="","",IFERROR(INDEX(Desig_Names,MATCH($M1360,Desig_Codes,0)),"NOT FOUND"))</f>
        <v/>
      </c>
      <c r="O1360" s="13">
        <f>IF($M1360="","",IFERROR(INDEX(Desig_Levels,MATCH($M1360,Desig_Codes,0)),""))</f>
        <v/>
      </c>
      <c r="P1360" s="12" t="n"/>
      <c r="Q1360" s="12" t="n"/>
      <c r="R1360" s="12" t="n"/>
      <c r="S1360" s="13">
        <f>IF($R1360="","",IFERROR(INDEX(Emp_Names,MATCH($R1360,Emp_Codes,0)),"NOT FOUND"))</f>
        <v/>
      </c>
      <c r="T1360" s="12" t="n"/>
      <c r="U1360" s="12" t="n"/>
      <c r="V1360" s="12" t="n"/>
    </row>
    <row r="1361">
      <c r="A1361" s="12" t="n"/>
      <c r="B1361" s="12" t="n"/>
      <c r="C1361" s="12" t="n"/>
      <c r="D1361" s="13">
        <f>IF($A1361="","",TRIM($B1361&amp;" "&amp;$C1361))</f>
        <v/>
      </c>
      <c r="E1361" s="12" t="n"/>
      <c r="F1361" s="12" t="n"/>
      <c r="G1361" s="14" t="n"/>
      <c r="H1361" s="14" t="n"/>
      <c r="I1361" s="12" t="n"/>
      <c r="J1361" s="14" t="n"/>
      <c r="K1361" s="12" t="n"/>
      <c r="L1361" s="13">
        <f>IF($K1361="","",IFERROR(INDEX(Dept_Names,MATCH($K1361,Dept_Codes,0)),"NOT FOUND"))</f>
        <v/>
      </c>
      <c r="M1361" s="12" t="n"/>
      <c r="N1361" s="13">
        <f>IF($M1361="","",IFERROR(INDEX(Desig_Names,MATCH($M1361,Desig_Codes,0)),"NOT FOUND"))</f>
        <v/>
      </c>
      <c r="O1361" s="13">
        <f>IF($M1361="","",IFERROR(INDEX(Desig_Levels,MATCH($M1361,Desig_Codes,0)),""))</f>
        <v/>
      </c>
      <c r="P1361" s="12" t="n"/>
      <c r="Q1361" s="12" t="n"/>
      <c r="R1361" s="12" t="n"/>
      <c r="S1361" s="13">
        <f>IF($R1361="","",IFERROR(INDEX(Emp_Names,MATCH($R1361,Emp_Codes,0)),"NOT FOUND"))</f>
        <v/>
      </c>
      <c r="T1361" s="12" t="n"/>
      <c r="U1361" s="12" t="n"/>
      <c r="V1361" s="12" t="n"/>
    </row>
    <row r="1362">
      <c r="A1362" s="12" t="n"/>
      <c r="B1362" s="12" t="n"/>
      <c r="C1362" s="12" t="n"/>
      <c r="D1362" s="13">
        <f>IF($A1362="","",TRIM($B1362&amp;" "&amp;$C1362))</f>
        <v/>
      </c>
      <c r="E1362" s="12" t="n"/>
      <c r="F1362" s="12" t="n"/>
      <c r="G1362" s="14" t="n"/>
      <c r="H1362" s="14" t="n"/>
      <c r="I1362" s="12" t="n"/>
      <c r="J1362" s="14" t="n"/>
      <c r="K1362" s="12" t="n"/>
      <c r="L1362" s="13">
        <f>IF($K1362="","",IFERROR(INDEX(Dept_Names,MATCH($K1362,Dept_Codes,0)),"NOT FOUND"))</f>
        <v/>
      </c>
      <c r="M1362" s="12" t="n"/>
      <c r="N1362" s="13">
        <f>IF($M1362="","",IFERROR(INDEX(Desig_Names,MATCH($M1362,Desig_Codes,0)),"NOT FOUND"))</f>
        <v/>
      </c>
      <c r="O1362" s="13">
        <f>IF($M1362="","",IFERROR(INDEX(Desig_Levels,MATCH($M1362,Desig_Codes,0)),""))</f>
        <v/>
      </c>
      <c r="P1362" s="12" t="n"/>
      <c r="Q1362" s="12" t="n"/>
      <c r="R1362" s="12" t="n"/>
      <c r="S1362" s="13">
        <f>IF($R1362="","",IFERROR(INDEX(Emp_Names,MATCH($R1362,Emp_Codes,0)),"NOT FOUND"))</f>
        <v/>
      </c>
      <c r="T1362" s="12" t="n"/>
      <c r="U1362" s="12" t="n"/>
      <c r="V1362" s="12" t="n"/>
    </row>
    <row r="1363">
      <c r="A1363" s="12" t="n"/>
      <c r="B1363" s="12" t="n"/>
      <c r="C1363" s="12" t="n"/>
      <c r="D1363" s="13">
        <f>IF($A1363="","",TRIM($B1363&amp;" "&amp;$C1363))</f>
        <v/>
      </c>
      <c r="E1363" s="12" t="n"/>
      <c r="F1363" s="12" t="n"/>
      <c r="G1363" s="14" t="n"/>
      <c r="H1363" s="14" t="n"/>
      <c r="I1363" s="12" t="n"/>
      <c r="J1363" s="14" t="n"/>
      <c r="K1363" s="12" t="n"/>
      <c r="L1363" s="13">
        <f>IF($K1363="","",IFERROR(INDEX(Dept_Names,MATCH($K1363,Dept_Codes,0)),"NOT FOUND"))</f>
        <v/>
      </c>
      <c r="M1363" s="12" t="n"/>
      <c r="N1363" s="13">
        <f>IF($M1363="","",IFERROR(INDEX(Desig_Names,MATCH($M1363,Desig_Codes,0)),"NOT FOUND"))</f>
        <v/>
      </c>
      <c r="O1363" s="13">
        <f>IF($M1363="","",IFERROR(INDEX(Desig_Levels,MATCH($M1363,Desig_Codes,0)),""))</f>
        <v/>
      </c>
      <c r="P1363" s="12" t="n"/>
      <c r="Q1363" s="12" t="n"/>
      <c r="R1363" s="12" t="n"/>
      <c r="S1363" s="13">
        <f>IF($R1363="","",IFERROR(INDEX(Emp_Names,MATCH($R1363,Emp_Codes,0)),"NOT FOUND"))</f>
        <v/>
      </c>
      <c r="T1363" s="12" t="n"/>
      <c r="U1363" s="12" t="n"/>
      <c r="V1363" s="12" t="n"/>
    </row>
    <row r="1364">
      <c r="A1364" s="12" t="n"/>
      <c r="B1364" s="12" t="n"/>
      <c r="C1364" s="12" t="n"/>
      <c r="D1364" s="13">
        <f>IF($A1364="","",TRIM($B1364&amp;" "&amp;$C1364))</f>
        <v/>
      </c>
      <c r="E1364" s="12" t="n"/>
      <c r="F1364" s="12" t="n"/>
      <c r="G1364" s="14" t="n"/>
      <c r="H1364" s="14" t="n"/>
      <c r="I1364" s="12" t="n"/>
      <c r="J1364" s="14" t="n"/>
      <c r="K1364" s="12" t="n"/>
      <c r="L1364" s="13">
        <f>IF($K1364="","",IFERROR(INDEX(Dept_Names,MATCH($K1364,Dept_Codes,0)),"NOT FOUND"))</f>
        <v/>
      </c>
      <c r="M1364" s="12" t="n"/>
      <c r="N1364" s="13">
        <f>IF($M1364="","",IFERROR(INDEX(Desig_Names,MATCH($M1364,Desig_Codes,0)),"NOT FOUND"))</f>
        <v/>
      </c>
      <c r="O1364" s="13">
        <f>IF($M1364="","",IFERROR(INDEX(Desig_Levels,MATCH($M1364,Desig_Codes,0)),""))</f>
        <v/>
      </c>
      <c r="P1364" s="12" t="n"/>
      <c r="Q1364" s="12" t="n"/>
      <c r="R1364" s="12" t="n"/>
      <c r="S1364" s="13">
        <f>IF($R1364="","",IFERROR(INDEX(Emp_Names,MATCH($R1364,Emp_Codes,0)),"NOT FOUND"))</f>
        <v/>
      </c>
      <c r="T1364" s="12" t="n"/>
      <c r="U1364" s="12" t="n"/>
      <c r="V1364" s="12" t="n"/>
    </row>
    <row r="1365">
      <c r="A1365" s="12" t="n"/>
      <c r="B1365" s="12" t="n"/>
      <c r="C1365" s="12" t="n"/>
      <c r="D1365" s="13">
        <f>IF($A1365="","",TRIM($B1365&amp;" "&amp;$C1365))</f>
        <v/>
      </c>
      <c r="E1365" s="12" t="n"/>
      <c r="F1365" s="12" t="n"/>
      <c r="G1365" s="14" t="n"/>
      <c r="H1365" s="14" t="n"/>
      <c r="I1365" s="12" t="n"/>
      <c r="J1365" s="14" t="n"/>
      <c r="K1365" s="12" t="n"/>
      <c r="L1365" s="13">
        <f>IF($K1365="","",IFERROR(INDEX(Dept_Names,MATCH($K1365,Dept_Codes,0)),"NOT FOUND"))</f>
        <v/>
      </c>
      <c r="M1365" s="12" t="n"/>
      <c r="N1365" s="13">
        <f>IF($M1365="","",IFERROR(INDEX(Desig_Names,MATCH($M1365,Desig_Codes,0)),"NOT FOUND"))</f>
        <v/>
      </c>
      <c r="O1365" s="13">
        <f>IF($M1365="","",IFERROR(INDEX(Desig_Levels,MATCH($M1365,Desig_Codes,0)),""))</f>
        <v/>
      </c>
      <c r="P1365" s="12" t="n"/>
      <c r="Q1365" s="12" t="n"/>
      <c r="R1365" s="12" t="n"/>
      <c r="S1365" s="13">
        <f>IF($R1365="","",IFERROR(INDEX(Emp_Names,MATCH($R1365,Emp_Codes,0)),"NOT FOUND"))</f>
        <v/>
      </c>
      <c r="T1365" s="12" t="n"/>
      <c r="U1365" s="12" t="n"/>
      <c r="V1365" s="12" t="n"/>
    </row>
    <row r="1366">
      <c r="A1366" s="12" t="n"/>
      <c r="B1366" s="12" t="n"/>
      <c r="C1366" s="12" t="n"/>
      <c r="D1366" s="13">
        <f>IF($A1366="","",TRIM($B1366&amp;" "&amp;$C1366))</f>
        <v/>
      </c>
      <c r="E1366" s="12" t="n"/>
      <c r="F1366" s="12" t="n"/>
      <c r="G1366" s="14" t="n"/>
      <c r="H1366" s="14" t="n"/>
      <c r="I1366" s="12" t="n"/>
      <c r="J1366" s="14" t="n"/>
      <c r="K1366" s="12" t="n"/>
      <c r="L1366" s="13">
        <f>IF($K1366="","",IFERROR(INDEX(Dept_Names,MATCH($K1366,Dept_Codes,0)),"NOT FOUND"))</f>
        <v/>
      </c>
      <c r="M1366" s="12" t="n"/>
      <c r="N1366" s="13">
        <f>IF($M1366="","",IFERROR(INDEX(Desig_Names,MATCH($M1366,Desig_Codes,0)),"NOT FOUND"))</f>
        <v/>
      </c>
      <c r="O1366" s="13">
        <f>IF($M1366="","",IFERROR(INDEX(Desig_Levels,MATCH($M1366,Desig_Codes,0)),""))</f>
        <v/>
      </c>
      <c r="P1366" s="12" t="n"/>
      <c r="Q1366" s="12" t="n"/>
      <c r="R1366" s="12" t="n"/>
      <c r="S1366" s="13">
        <f>IF($R1366="","",IFERROR(INDEX(Emp_Names,MATCH($R1366,Emp_Codes,0)),"NOT FOUND"))</f>
        <v/>
      </c>
      <c r="T1366" s="12" t="n"/>
      <c r="U1366" s="12" t="n"/>
      <c r="V1366" s="12" t="n"/>
    </row>
    <row r="1367">
      <c r="A1367" s="12" t="n"/>
      <c r="B1367" s="12" t="n"/>
      <c r="C1367" s="12" t="n"/>
      <c r="D1367" s="13">
        <f>IF($A1367="","",TRIM($B1367&amp;" "&amp;$C1367))</f>
        <v/>
      </c>
      <c r="E1367" s="12" t="n"/>
      <c r="F1367" s="12" t="n"/>
      <c r="G1367" s="14" t="n"/>
      <c r="H1367" s="14" t="n"/>
      <c r="I1367" s="12" t="n"/>
      <c r="J1367" s="14" t="n"/>
      <c r="K1367" s="12" t="n"/>
      <c r="L1367" s="13">
        <f>IF($K1367="","",IFERROR(INDEX(Dept_Names,MATCH($K1367,Dept_Codes,0)),"NOT FOUND"))</f>
        <v/>
      </c>
      <c r="M1367" s="12" t="n"/>
      <c r="N1367" s="13">
        <f>IF($M1367="","",IFERROR(INDEX(Desig_Names,MATCH($M1367,Desig_Codes,0)),"NOT FOUND"))</f>
        <v/>
      </c>
      <c r="O1367" s="13">
        <f>IF($M1367="","",IFERROR(INDEX(Desig_Levels,MATCH($M1367,Desig_Codes,0)),""))</f>
        <v/>
      </c>
      <c r="P1367" s="12" t="n"/>
      <c r="Q1367" s="12" t="n"/>
      <c r="R1367" s="12" t="n"/>
      <c r="S1367" s="13">
        <f>IF($R1367="","",IFERROR(INDEX(Emp_Names,MATCH($R1367,Emp_Codes,0)),"NOT FOUND"))</f>
        <v/>
      </c>
      <c r="T1367" s="12" t="n"/>
      <c r="U1367" s="12" t="n"/>
      <c r="V1367" s="12" t="n"/>
    </row>
    <row r="1368">
      <c r="A1368" s="12" t="n"/>
      <c r="B1368" s="12" t="n"/>
      <c r="C1368" s="12" t="n"/>
      <c r="D1368" s="13">
        <f>IF($A1368="","",TRIM($B1368&amp;" "&amp;$C1368))</f>
        <v/>
      </c>
      <c r="E1368" s="12" t="n"/>
      <c r="F1368" s="12" t="n"/>
      <c r="G1368" s="14" t="n"/>
      <c r="H1368" s="14" t="n"/>
      <c r="I1368" s="12" t="n"/>
      <c r="J1368" s="14" t="n"/>
      <c r="K1368" s="12" t="n"/>
      <c r="L1368" s="13">
        <f>IF($K1368="","",IFERROR(INDEX(Dept_Names,MATCH($K1368,Dept_Codes,0)),"NOT FOUND"))</f>
        <v/>
      </c>
      <c r="M1368" s="12" t="n"/>
      <c r="N1368" s="13">
        <f>IF($M1368="","",IFERROR(INDEX(Desig_Names,MATCH($M1368,Desig_Codes,0)),"NOT FOUND"))</f>
        <v/>
      </c>
      <c r="O1368" s="13">
        <f>IF($M1368="","",IFERROR(INDEX(Desig_Levels,MATCH($M1368,Desig_Codes,0)),""))</f>
        <v/>
      </c>
      <c r="P1368" s="12" t="n"/>
      <c r="Q1368" s="12" t="n"/>
      <c r="R1368" s="12" t="n"/>
      <c r="S1368" s="13">
        <f>IF($R1368="","",IFERROR(INDEX(Emp_Names,MATCH($R1368,Emp_Codes,0)),"NOT FOUND"))</f>
        <v/>
      </c>
      <c r="T1368" s="12" t="n"/>
      <c r="U1368" s="12" t="n"/>
      <c r="V1368" s="12" t="n"/>
    </row>
    <row r="1369">
      <c r="A1369" s="12" t="n"/>
      <c r="B1369" s="12" t="n"/>
      <c r="C1369" s="12" t="n"/>
      <c r="D1369" s="13">
        <f>IF($A1369="","",TRIM($B1369&amp;" "&amp;$C1369))</f>
        <v/>
      </c>
      <c r="E1369" s="12" t="n"/>
      <c r="F1369" s="12" t="n"/>
      <c r="G1369" s="14" t="n"/>
      <c r="H1369" s="14" t="n"/>
      <c r="I1369" s="12" t="n"/>
      <c r="J1369" s="14" t="n"/>
      <c r="K1369" s="12" t="n"/>
      <c r="L1369" s="13">
        <f>IF($K1369="","",IFERROR(INDEX(Dept_Names,MATCH($K1369,Dept_Codes,0)),"NOT FOUND"))</f>
        <v/>
      </c>
      <c r="M1369" s="12" t="n"/>
      <c r="N1369" s="13">
        <f>IF($M1369="","",IFERROR(INDEX(Desig_Names,MATCH($M1369,Desig_Codes,0)),"NOT FOUND"))</f>
        <v/>
      </c>
      <c r="O1369" s="13">
        <f>IF($M1369="","",IFERROR(INDEX(Desig_Levels,MATCH($M1369,Desig_Codes,0)),""))</f>
        <v/>
      </c>
      <c r="P1369" s="12" t="n"/>
      <c r="Q1369" s="12" t="n"/>
      <c r="R1369" s="12" t="n"/>
      <c r="S1369" s="13">
        <f>IF($R1369="","",IFERROR(INDEX(Emp_Names,MATCH($R1369,Emp_Codes,0)),"NOT FOUND"))</f>
        <v/>
      </c>
      <c r="T1369" s="12" t="n"/>
      <c r="U1369" s="12" t="n"/>
      <c r="V1369" s="12" t="n"/>
    </row>
    <row r="1370">
      <c r="A1370" s="12" t="n"/>
      <c r="B1370" s="12" t="n"/>
      <c r="C1370" s="12" t="n"/>
      <c r="D1370" s="13">
        <f>IF($A1370="","",TRIM($B1370&amp;" "&amp;$C1370))</f>
        <v/>
      </c>
      <c r="E1370" s="12" t="n"/>
      <c r="F1370" s="12" t="n"/>
      <c r="G1370" s="14" t="n"/>
      <c r="H1370" s="14" t="n"/>
      <c r="I1370" s="12" t="n"/>
      <c r="J1370" s="14" t="n"/>
      <c r="K1370" s="12" t="n"/>
      <c r="L1370" s="13">
        <f>IF($K1370="","",IFERROR(INDEX(Dept_Names,MATCH($K1370,Dept_Codes,0)),"NOT FOUND"))</f>
        <v/>
      </c>
      <c r="M1370" s="12" t="n"/>
      <c r="N1370" s="13">
        <f>IF($M1370="","",IFERROR(INDEX(Desig_Names,MATCH($M1370,Desig_Codes,0)),"NOT FOUND"))</f>
        <v/>
      </c>
      <c r="O1370" s="13">
        <f>IF($M1370="","",IFERROR(INDEX(Desig_Levels,MATCH($M1370,Desig_Codes,0)),""))</f>
        <v/>
      </c>
      <c r="P1370" s="12" t="n"/>
      <c r="Q1370" s="12" t="n"/>
      <c r="R1370" s="12" t="n"/>
      <c r="S1370" s="13">
        <f>IF($R1370="","",IFERROR(INDEX(Emp_Names,MATCH($R1370,Emp_Codes,0)),"NOT FOUND"))</f>
        <v/>
      </c>
      <c r="T1370" s="12" t="n"/>
      <c r="U1370" s="12" t="n"/>
      <c r="V1370" s="12" t="n"/>
    </row>
    <row r="1371">
      <c r="A1371" s="12" t="n"/>
      <c r="B1371" s="12" t="n"/>
      <c r="C1371" s="12" t="n"/>
      <c r="D1371" s="13">
        <f>IF($A1371="","",TRIM($B1371&amp;" "&amp;$C1371))</f>
        <v/>
      </c>
      <c r="E1371" s="12" t="n"/>
      <c r="F1371" s="12" t="n"/>
      <c r="G1371" s="14" t="n"/>
      <c r="H1371" s="14" t="n"/>
      <c r="I1371" s="12" t="n"/>
      <c r="J1371" s="14" t="n"/>
      <c r="K1371" s="12" t="n"/>
      <c r="L1371" s="13">
        <f>IF($K1371="","",IFERROR(INDEX(Dept_Names,MATCH($K1371,Dept_Codes,0)),"NOT FOUND"))</f>
        <v/>
      </c>
      <c r="M1371" s="12" t="n"/>
      <c r="N1371" s="13">
        <f>IF($M1371="","",IFERROR(INDEX(Desig_Names,MATCH($M1371,Desig_Codes,0)),"NOT FOUND"))</f>
        <v/>
      </c>
      <c r="O1371" s="13">
        <f>IF($M1371="","",IFERROR(INDEX(Desig_Levels,MATCH($M1371,Desig_Codes,0)),""))</f>
        <v/>
      </c>
      <c r="P1371" s="12" t="n"/>
      <c r="Q1371" s="12" t="n"/>
      <c r="R1371" s="12" t="n"/>
      <c r="S1371" s="13">
        <f>IF($R1371="","",IFERROR(INDEX(Emp_Names,MATCH($R1371,Emp_Codes,0)),"NOT FOUND"))</f>
        <v/>
      </c>
      <c r="T1371" s="12" t="n"/>
      <c r="U1371" s="12" t="n"/>
      <c r="V1371" s="12" t="n"/>
    </row>
    <row r="1372">
      <c r="A1372" s="12" t="n"/>
      <c r="B1372" s="12" t="n"/>
      <c r="C1372" s="12" t="n"/>
      <c r="D1372" s="13">
        <f>IF($A1372="","",TRIM($B1372&amp;" "&amp;$C1372))</f>
        <v/>
      </c>
      <c r="E1372" s="12" t="n"/>
      <c r="F1372" s="12" t="n"/>
      <c r="G1372" s="14" t="n"/>
      <c r="H1372" s="14" t="n"/>
      <c r="I1372" s="12" t="n"/>
      <c r="J1372" s="14" t="n"/>
      <c r="K1372" s="12" t="n"/>
      <c r="L1372" s="13">
        <f>IF($K1372="","",IFERROR(INDEX(Dept_Names,MATCH($K1372,Dept_Codes,0)),"NOT FOUND"))</f>
        <v/>
      </c>
      <c r="M1372" s="12" t="n"/>
      <c r="N1372" s="13">
        <f>IF($M1372="","",IFERROR(INDEX(Desig_Names,MATCH($M1372,Desig_Codes,0)),"NOT FOUND"))</f>
        <v/>
      </c>
      <c r="O1372" s="13">
        <f>IF($M1372="","",IFERROR(INDEX(Desig_Levels,MATCH($M1372,Desig_Codes,0)),""))</f>
        <v/>
      </c>
      <c r="P1372" s="12" t="n"/>
      <c r="Q1372" s="12" t="n"/>
      <c r="R1372" s="12" t="n"/>
      <c r="S1372" s="13">
        <f>IF($R1372="","",IFERROR(INDEX(Emp_Names,MATCH($R1372,Emp_Codes,0)),"NOT FOUND"))</f>
        <v/>
      </c>
      <c r="T1372" s="12" t="n"/>
      <c r="U1372" s="12" t="n"/>
      <c r="V1372" s="12" t="n"/>
    </row>
    <row r="1373">
      <c r="A1373" s="12" t="n"/>
      <c r="B1373" s="12" t="n"/>
      <c r="C1373" s="12" t="n"/>
      <c r="D1373" s="13">
        <f>IF($A1373="","",TRIM($B1373&amp;" "&amp;$C1373))</f>
        <v/>
      </c>
      <c r="E1373" s="12" t="n"/>
      <c r="F1373" s="12" t="n"/>
      <c r="G1373" s="14" t="n"/>
      <c r="H1373" s="14" t="n"/>
      <c r="I1373" s="12" t="n"/>
      <c r="J1373" s="14" t="n"/>
      <c r="K1373" s="12" t="n"/>
      <c r="L1373" s="13">
        <f>IF($K1373="","",IFERROR(INDEX(Dept_Names,MATCH($K1373,Dept_Codes,0)),"NOT FOUND"))</f>
        <v/>
      </c>
      <c r="M1373" s="12" t="n"/>
      <c r="N1373" s="13">
        <f>IF($M1373="","",IFERROR(INDEX(Desig_Names,MATCH($M1373,Desig_Codes,0)),"NOT FOUND"))</f>
        <v/>
      </c>
      <c r="O1373" s="13">
        <f>IF($M1373="","",IFERROR(INDEX(Desig_Levels,MATCH($M1373,Desig_Codes,0)),""))</f>
        <v/>
      </c>
      <c r="P1373" s="12" t="n"/>
      <c r="Q1373" s="12" t="n"/>
      <c r="R1373" s="12" t="n"/>
      <c r="S1373" s="13">
        <f>IF($R1373="","",IFERROR(INDEX(Emp_Names,MATCH($R1373,Emp_Codes,0)),"NOT FOUND"))</f>
        <v/>
      </c>
      <c r="T1373" s="12" t="n"/>
      <c r="U1373" s="12" t="n"/>
      <c r="V1373" s="12" t="n"/>
    </row>
    <row r="1374">
      <c r="A1374" s="12" t="n"/>
      <c r="B1374" s="12" t="n"/>
      <c r="C1374" s="12" t="n"/>
      <c r="D1374" s="13">
        <f>IF($A1374="","",TRIM($B1374&amp;" "&amp;$C1374))</f>
        <v/>
      </c>
      <c r="E1374" s="12" t="n"/>
      <c r="F1374" s="12" t="n"/>
      <c r="G1374" s="14" t="n"/>
      <c r="H1374" s="14" t="n"/>
      <c r="I1374" s="12" t="n"/>
      <c r="J1374" s="14" t="n"/>
      <c r="K1374" s="12" t="n"/>
      <c r="L1374" s="13">
        <f>IF($K1374="","",IFERROR(INDEX(Dept_Names,MATCH($K1374,Dept_Codes,0)),"NOT FOUND"))</f>
        <v/>
      </c>
      <c r="M1374" s="12" t="n"/>
      <c r="N1374" s="13">
        <f>IF($M1374="","",IFERROR(INDEX(Desig_Names,MATCH($M1374,Desig_Codes,0)),"NOT FOUND"))</f>
        <v/>
      </c>
      <c r="O1374" s="13">
        <f>IF($M1374="","",IFERROR(INDEX(Desig_Levels,MATCH($M1374,Desig_Codes,0)),""))</f>
        <v/>
      </c>
      <c r="P1374" s="12" t="n"/>
      <c r="Q1374" s="12" t="n"/>
      <c r="R1374" s="12" t="n"/>
      <c r="S1374" s="13">
        <f>IF($R1374="","",IFERROR(INDEX(Emp_Names,MATCH($R1374,Emp_Codes,0)),"NOT FOUND"))</f>
        <v/>
      </c>
      <c r="T1374" s="12" t="n"/>
      <c r="U1374" s="12" t="n"/>
      <c r="V1374" s="12" t="n"/>
    </row>
    <row r="1375">
      <c r="A1375" s="12" t="n"/>
      <c r="B1375" s="12" t="n"/>
      <c r="C1375" s="12" t="n"/>
      <c r="D1375" s="13">
        <f>IF($A1375="","",TRIM($B1375&amp;" "&amp;$C1375))</f>
        <v/>
      </c>
      <c r="E1375" s="12" t="n"/>
      <c r="F1375" s="12" t="n"/>
      <c r="G1375" s="14" t="n"/>
      <c r="H1375" s="14" t="n"/>
      <c r="I1375" s="12" t="n"/>
      <c r="J1375" s="14" t="n"/>
      <c r="K1375" s="12" t="n"/>
      <c r="L1375" s="13">
        <f>IF($K1375="","",IFERROR(INDEX(Dept_Names,MATCH($K1375,Dept_Codes,0)),"NOT FOUND"))</f>
        <v/>
      </c>
      <c r="M1375" s="12" t="n"/>
      <c r="N1375" s="13">
        <f>IF($M1375="","",IFERROR(INDEX(Desig_Names,MATCH($M1375,Desig_Codes,0)),"NOT FOUND"))</f>
        <v/>
      </c>
      <c r="O1375" s="13">
        <f>IF($M1375="","",IFERROR(INDEX(Desig_Levels,MATCH($M1375,Desig_Codes,0)),""))</f>
        <v/>
      </c>
      <c r="P1375" s="12" t="n"/>
      <c r="Q1375" s="12" t="n"/>
      <c r="R1375" s="12" t="n"/>
      <c r="S1375" s="13">
        <f>IF($R1375="","",IFERROR(INDEX(Emp_Names,MATCH($R1375,Emp_Codes,0)),"NOT FOUND"))</f>
        <v/>
      </c>
      <c r="T1375" s="12" t="n"/>
      <c r="U1375" s="12" t="n"/>
      <c r="V1375" s="12" t="n"/>
    </row>
    <row r="1376">
      <c r="A1376" s="12" t="n"/>
      <c r="B1376" s="12" t="n"/>
      <c r="C1376" s="12" t="n"/>
      <c r="D1376" s="13">
        <f>IF($A1376="","",TRIM($B1376&amp;" "&amp;$C1376))</f>
        <v/>
      </c>
      <c r="E1376" s="12" t="n"/>
      <c r="F1376" s="12" t="n"/>
      <c r="G1376" s="14" t="n"/>
      <c r="H1376" s="14" t="n"/>
      <c r="I1376" s="12" t="n"/>
      <c r="J1376" s="14" t="n"/>
      <c r="K1376" s="12" t="n"/>
      <c r="L1376" s="13">
        <f>IF($K1376="","",IFERROR(INDEX(Dept_Names,MATCH($K1376,Dept_Codes,0)),"NOT FOUND"))</f>
        <v/>
      </c>
      <c r="M1376" s="12" t="n"/>
      <c r="N1376" s="13">
        <f>IF($M1376="","",IFERROR(INDEX(Desig_Names,MATCH($M1376,Desig_Codes,0)),"NOT FOUND"))</f>
        <v/>
      </c>
      <c r="O1376" s="13">
        <f>IF($M1376="","",IFERROR(INDEX(Desig_Levels,MATCH($M1376,Desig_Codes,0)),""))</f>
        <v/>
      </c>
      <c r="P1376" s="12" t="n"/>
      <c r="Q1376" s="12" t="n"/>
      <c r="R1376" s="12" t="n"/>
      <c r="S1376" s="13">
        <f>IF($R1376="","",IFERROR(INDEX(Emp_Names,MATCH($R1376,Emp_Codes,0)),"NOT FOUND"))</f>
        <v/>
      </c>
      <c r="T1376" s="12" t="n"/>
      <c r="U1376" s="12" t="n"/>
      <c r="V1376" s="12" t="n"/>
    </row>
    <row r="1377">
      <c r="A1377" s="12" t="n"/>
      <c r="B1377" s="12" t="n"/>
      <c r="C1377" s="12" t="n"/>
      <c r="D1377" s="13">
        <f>IF($A1377="","",TRIM($B1377&amp;" "&amp;$C1377))</f>
        <v/>
      </c>
      <c r="E1377" s="12" t="n"/>
      <c r="F1377" s="12" t="n"/>
      <c r="G1377" s="14" t="n"/>
      <c r="H1377" s="14" t="n"/>
      <c r="I1377" s="12" t="n"/>
      <c r="J1377" s="14" t="n"/>
      <c r="K1377" s="12" t="n"/>
      <c r="L1377" s="13">
        <f>IF($K1377="","",IFERROR(INDEX(Dept_Names,MATCH($K1377,Dept_Codes,0)),"NOT FOUND"))</f>
        <v/>
      </c>
      <c r="M1377" s="12" t="n"/>
      <c r="N1377" s="13">
        <f>IF($M1377="","",IFERROR(INDEX(Desig_Names,MATCH($M1377,Desig_Codes,0)),"NOT FOUND"))</f>
        <v/>
      </c>
      <c r="O1377" s="13">
        <f>IF($M1377="","",IFERROR(INDEX(Desig_Levels,MATCH($M1377,Desig_Codes,0)),""))</f>
        <v/>
      </c>
      <c r="P1377" s="12" t="n"/>
      <c r="Q1377" s="12" t="n"/>
      <c r="R1377" s="12" t="n"/>
      <c r="S1377" s="13">
        <f>IF($R1377="","",IFERROR(INDEX(Emp_Names,MATCH($R1377,Emp_Codes,0)),"NOT FOUND"))</f>
        <v/>
      </c>
      <c r="T1377" s="12" t="n"/>
      <c r="U1377" s="12" t="n"/>
      <c r="V1377" s="12" t="n"/>
    </row>
    <row r="1378">
      <c r="A1378" s="12" t="n"/>
      <c r="B1378" s="12" t="n"/>
      <c r="C1378" s="12" t="n"/>
      <c r="D1378" s="13">
        <f>IF($A1378="","",TRIM($B1378&amp;" "&amp;$C1378))</f>
        <v/>
      </c>
      <c r="E1378" s="12" t="n"/>
      <c r="F1378" s="12" t="n"/>
      <c r="G1378" s="14" t="n"/>
      <c r="H1378" s="14" t="n"/>
      <c r="I1378" s="12" t="n"/>
      <c r="J1378" s="14" t="n"/>
      <c r="K1378" s="12" t="n"/>
      <c r="L1378" s="13">
        <f>IF($K1378="","",IFERROR(INDEX(Dept_Names,MATCH($K1378,Dept_Codes,0)),"NOT FOUND"))</f>
        <v/>
      </c>
      <c r="M1378" s="12" t="n"/>
      <c r="N1378" s="13">
        <f>IF($M1378="","",IFERROR(INDEX(Desig_Names,MATCH($M1378,Desig_Codes,0)),"NOT FOUND"))</f>
        <v/>
      </c>
      <c r="O1378" s="13">
        <f>IF($M1378="","",IFERROR(INDEX(Desig_Levels,MATCH($M1378,Desig_Codes,0)),""))</f>
        <v/>
      </c>
      <c r="P1378" s="12" t="n"/>
      <c r="Q1378" s="12" t="n"/>
      <c r="R1378" s="12" t="n"/>
      <c r="S1378" s="13">
        <f>IF($R1378="","",IFERROR(INDEX(Emp_Names,MATCH($R1378,Emp_Codes,0)),"NOT FOUND"))</f>
        <v/>
      </c>
      <c r="T1378" s="12" t="n"/>
      <c r="U1378" s="12" t="n"/>
      <c r="V1378" s="12" t="n"/>
    </row>
    <row r="1379">
      <c r="A1379" s="12" t="n"/>
      <c r="B1379" s="12" t="n"/>
      <c r="C1379" s="12" t="n"/>
      <c r="D1379" s="13">
        <f>IF($A1379="","",TRIM($B1379&amp;" "&amp;$C1379))</f>
        <v/>
      </c>
      <c r="E1379" s="12" t="n"/>
      <c r="F1379" s="12" t="n"/>
      <c r="G1379" s="14" t="n"/>
      <c r="H1379" s="14" t="n"/>
      <c r="I1379" s="12" t="n"/>
      <c r="J1379" s="14" t="n"/>
      <c r="K1379" s="12" t="n"/>
      <c r="L1379" s="13">
        <f>IF($K1379="","",IFERROR(INDEX(Dept_Names,MATCH($K1379,Dept_Codes,0)),"NOT FOUND"))</f>
        <v/>
      </c>
      <c r="M1379" s="12" t="n"/>
      <c r="N1379" s="13">
        <f>IF($M1379="","",IFERROR(INDEX(Desig_Names,MATCH($M1379,Desig_Codes,0)),"NOT FOUND"))</f>
        <v/>
      </c>
      <c r="O1379" s="13">
        <f>IF($M1379="","",IFERROR(INDEX(Desig_Levels,MATCH($M1379,Desig_Codes,0)),""))</f>
        <v/>
      </c>
      <c r="P1379" s="12" t="n"/>
      <c r="Q1379" s="12" t="n"/>
      <c r="R1379" s="12" t="n"/>
      <c r="S1379" s="13">
        <f>IF($R1379="","",IFERROR(INDEX(Emp_Names,MATCH($R1379,Emp_Codes,0)),"NOT FOUND"))</f>
        <v/>
      </c>
      <c r="T1379" s="12" t="n"/>
      <c r="U1379" s="12" t="n"/>
      <c r="V1379" s="12" t="n"/>
    </row>
    <row r="1380">
      <c r="A1380" s="12" t="n"/>
      <c r="B1380" s="12" t="n"/>
      <c r="C1380" s="12" t="n"/>
      <c r="D1380" s="13">
        <f>IF($A1380="","",TRIM($B1380&amp;" "&amp;$C1380))</f>
        <v/>
      </c>
      <c r="E1380" s="12" t="n"/>
      <c r="F1380" s="12" t="n"/>
      <c r="G1380" s="14" t="n"/>
      <c r="H1380" s="14" t="n"/>
      <c r="I1380" s="12" t="n"/>
      <c r="J1380" s="14" t="n"/>
      <c r="K1380" s="12" t="n"/>
      <c r="L1380" s="13">
        <f>IF($K1380="","",IFERROR(INDEX(Dept_Names,MATCH($K1380,Dept_Codes,0)),"NOT FOUND"))</f>
        <v/>
      </c>
      <c r="M1380" s="12" t="n"/>
      <c r="N1380" s="13">
        <f>IF($M1380="","",IFERROR(INDEX(Desig_Names,MATCH($M1380,Desig_Codes,0)),"NOT FOUND"))</f>
        <v/>
      </c>
      <c r="O1380" s="13">
        <f>IF($M1380="","",IFERROR(INDEX(Desig_Levels,MATCH($M1380,Desig_Codes,0)),""))</f>
        <v/>
      </c>
      <c r="P1380" s="12" t="n"/>
      <c r="Q1380" s="12" t="n"/>
      <c r="R1380" s="12" t="n"/>
      <c r="S1380" s="13">
        <f>IF($R1380="","",IFERROR(INDEX(Emp_Names,MATCH($R1380,Emp_Codes,0)),"NOT FOUND"))</f>
        <v/>
      </c>
      <c r="T1380" s="12" t="n"/>
      <c r="U1380" s="12" t="n"/>
      <c r="V1380" s="12" t="n"/>
    </row>
    <row r="1381">
      <c r="A1381" s="12" t="n"/>
      <c r="B1381" s="12" t="n"/>
      <c r="C1381" s="12" t="n"/>
      <c r="D1381" s="13">
        <f>IF($A1381="","",TRIM($B1381&amp;" "&amp;$C1381))</f>
        <v/>
      </c>
      <c r="E1381" s="12" t="n"/>
      <c r="F1381" s="12" t="n"/>
      <c r="G1381" s="14" t="n"/>
      <c r="H1381" s="14" t="n"/>
      <c r="I1381" s="12" t="n"/>
      <c r="J1381" s="14" t="n"/>
      <c r="K1381" s="12" t="n"/>
      <c r="L1381" s="13">
        <f>IF($K1381="","",IFERROR(INDEX(Dept_Names,MATCH($K1381,Dept_Codes,0)),"NOT FOUND"))</f>
        <v/>
      </c>
      <c r="M1381" s="12" t="n"/>
      <c r="N1381" s="13">
        <f>IF($M1381="","",IFERROR(INDEX(Desig_Names,MATCH($M1381,Desig_Codes,0)),"NOT FOUND"))</f>
        <v/>
      </c>
      <c r="O1381" s="13">
        <f>IF($M1381="","",IFERROR(INDEX(Desig_Levels,MATCH($M1381,Desig_Codes,0)),""))</f>
        <v/>
      </c>
      <c r="P1381" s="12" t="n"/>
      <c r="Q1381" s="12" t="n"/>
      <c r="R1381" s="12" t="n"/>
      <c r="S1381" s="13">
        <f>IF($R1381="","",IFERROR(INDEX(Emp_Names,MATCH($R1381,Emp_Codes,0)),"NOT FOUND"))</f>
        <v/>
      </c>
      <c r="T1381" s="12" t="n"/>
      <c r="U1381" s="12" t="n"/>
      <c r="V1381" s="12" t="n"/>
    </row>
    <row r="1382">
      <c r="A1382" s="12" t="n"/>
      <c r="B1382" s="12" t="n"/>
      <c r="C1382" s="12" t="n"/>
      <c r="D1382" s="13">
        <f>IF($A1382="","",TRIM($B1382&amp;" "&amp;$C1382))</f>
        <v/>
      </c>
      <c r="E1382" s="12" t="n"/>
      <c r="F1382" s="12" t="n"/>
      <c r="G1382" s="14" t="n"/>
      <c r="H1382" s="14" t="n"/>
      <c r="I1382" s="12" t="n"/>
      <c r="J1382" s="14" t="n"/>
      <c r="K1382" s="12" t="n"/>
      <c r="L1382" s="13">
        <f>IF($K1382="","",IFERROR(INDEX(Dept_Names,MATCH($K1382,Dept_Codes,0)),"NOT FOUND"))</f>
        <v/>
      </c>
      <c r="M1382" s="12" t="n"/>
      <c r="N1382" s="13">
        <f>IF($M1382="","",IFERROR(INDEX(Desig_Names,MATCH($M1382,Desig_Codes,0)),"NOT FOUND"))</f>
        <v/>
      </c>
      <c r="O1382" s="13">
        <f>IF($M1382="","",IFERROR(INDEX(Desig_Levels,MATCH($M1382,Desig_Codes,0)),""))</f>
        <v/>
      </c>
      <c r="P1382" s="12" t="n"/>
      <c r="Q1382" s="12" t="n"/>
      <c r="R1382" s="12" t="n"/>
      <c r="S1382" s="13">
        <f>IF($R1382="","",IFERROR(INDEX(Emp_Names,MATCH($R1382,Emp_Codes,0)),"NOT FOUND"))</f>
        <v/>
      </c>
      <c r="T1382" s="12" t="n"/>
      <c r="U1382" s="12" t="n"/>
      <c r="V1382" s="12" t="n"/>
    </row>
    <row r="1383">
      <c r="A1383" s="12" t="n"/>
      <c r="B1383" s="12" t="n"/>
      <c r="C1383" s="12" t="n"/>
      <c r="D1383" s="13">
        <f>IF($A1383="","",TRIM($B1383&amp;" "&amp;$C1383))</f>
        <v/>
      </c>
      <c r="E1383" s="12" t="n"/>
      <c r="F1383" s="12" t="n"/>
      <c r="G1383" s="14" t="n"/>
      <c r="H1383" s="14" t="n"/>
      <c r="I1383" s="12" t="n"/>
      <c r="J1383" s="14" t="n"/>
      <c r="K1383" s="12" t="n"/>
      <c r="L1383" s="13">
        <f>IF($K1383="","",IFERROR(INDEX(Dept_Names,MATCH($K1383,Dept_Codes,0)),"NOT FOUND"))</f>
        <v/>
      </c>
      <c r="M1383" s="12" t="n"/>
      <c r="N1383" s="13">
        <f>IF($M1383="","",IFERROR(INDEX(Desig_Names,MATCH($M1383,Desig_Codes,0)),"NOT FOUND"))</f>
        <v/>
      </c>
      <c r="O1383" s="13">
        <f>IF($M1383="","",IFERROR(INDEX(Desig_Levels,MATCH($M1383,Desig_Codes,0)),""))</f>
        <v/>
      </c>
      <c r="P1383" s="12" t="n"/>
      <c r="Q1383" s="12" t="n"/>
      <c r="R1383" s="12" t="n"/>
      <c r="S1383" s="13">
        <f>IF($R1383="","",IFERROR(INDEX(Emp_Names,MATCH($R1383,Emp_Codes,0)),"NOT FOUND"))</f>
        <v/>
      </c>
      <c r="T1383" s="12" t="n"/>
      <c r="U1383" s="12" t="n"/>
      <c r="V1383" s="12" t="n"/>
    </row>
    <row r="1384">
      <c r="A1384" s="12" t="n"/>
      <c r="B1384" s="12" t="n"/>
      <c r="C1384" s="12" t="n"/>
      <c r="D1384" s="13">
        <f>IF($A1384="","",TRIM($B1384&amp;" "&amp;$C1384))</f>
        <v/>
      </c>
      <c r="E1384" s="12" t="n"/>
      <c r="F1384" s="12" t="n"/>
      <c r="G1384" s="14" t="n"/>
      <c r="H1384" s="14" t="n"/>
      <c r="I1384" s="12" t="n"/>
      <c r="J1384" s="14" t="n"/>
      <c r="K1384" s="12" t="n"/>
      <c r="L1384" s="13">
        <f>IF($K1384="","",IFERROR(INDEX(Dept_Names,MATCH($K1384,Dept_Codes,0)),"NOT FOUND"))</f>
        <v/>
      </c>
      <c r="M1384" s="12" t="n"/>
      <c r="N1384" s="13">
        <f>IF($M1384="","",IFERROR(INDEX(Desig_Names,MATCH($M1384,Desig_Codes,0)),"NOT FOUND"))</f>
        <v/>
      </c>
      <c r="O1384" s="13">
        <f>IF($M1384="","",IFERROR(INDEX(Desig_Levels,MATCH($M1384,Desig_Codes,0)),""))</f>
        <v/>
      </c>
      <c r="P1384" s="12" t="n"/>
      <c r="Q1384" s="12" t="n"/>
      <c r="R1384" s="12" t="n"/>
      <c r="S1384" s="13">
        <f>IF($R1384="","",IFERROR(INDEX(Emp_Names,MATCH($R1384,Emp_Codes,0)),"NOT FOUND"))</f>
        <v/>
      </c>
      <c r="T1384" s="12" t="n"/>
      <c r="U1384" s="12" t="n"/>
      <c r="V1384" s="12" t="n"/>
    </row>
    <row r="1385">
      <c r="A1385" s="12" t="n"/>
      <c r="B1385" s="12" t="n"/>
      <c r="C1385" s="12" t="n"/>
      <c r="D1385" s="13">
        <f>IF($A1385="","",TRIM($B1385&amp;" "&amp;$C1385))</f>
        <v/>
      </c>
      <c r="E1385" s="12" t="n"/>
      <c r="F1385" s="12" t="n"/>
      <c r="G1385" s="14" t="n"/>
      <c r="H1385" s="14" t="n"/>
      <c r="I1385" s="12" t="n"/>
      <c r="J1385" s="14" t="n"/>
      <c r="K1385" s="12" t="n"/>
      <c r="L1385" s="13">
        <f>IF($K1385="","",IFERROR(INDEX(Dept_Names,MATCH($K1385,Dept_Codes,0)),"NOT FOUND"))</f>
        <v/>
      </c>
      <c r="M1385" s="12" t="n"/>
      <c r="N1385" s="13">
        <f>IF($M1385="","",IFERROR(INDEX(Desig_Names,MATCH($M1385,Desig_Codes,0)),"NOT FOUND"))</f>
        <v/>
      </c>
      <c r="O1385" s="13">
        <f>IF($M1385="","",IFERROR(INDEX(Desig_Levels,MATCH($M1385,Desig_Codes,0)),""))</f>
        <v/>
      </c>
      <c r="P1385" s="12" t="n"/>
      <c r="Q1385" s="12" t="n"/>
      <c r="R1385" s="12" t="n"/>
      <c r="S1385" s="13">
        <f>IF($R1385="","",IFERROR(INDEX(Emp_Names,MATCH($R1385,Emp_Codes,0)),"NOT FOUND"))</f>
        <v/>
      </c>
      <c r="T1385" s="12" t="n"/>
      <c r="U1385" s="12" t="n"/>
      <c r="V1385" s="12" t="n"/>
    </row>
    <row r="1386">
      <c r="A1386" s="12" t="n"/>
      <c r="B1386" s="12" t="n"/>
      <c r="C1386" s="12" t="n"/>
      <c r="D1386" s="13">
        <f>IF($A1386="","",TRIM($B1386&amp;" "&amp;$C1386))</f>
        <v/>
      </c>
      <c r="E1386" s="12" t="n"/>
      <c r="F1386" s="12" t="n"/>
      <c r="G1386" s="14" t="n"/>
      <c r="H1386" s="14" t="n"/>
      <c r="I1386" s="12" t="n"/>
      <c r="J1386" s="14" t="n"/>
      <c r="K1386" s="12" t="n"/>
      <c r="L1386" s="13">
        <f>IF($K1386="","",IFERROR(INDEX(Dept_Names,MATCH($K1386,Dept_Codes,0)),"NOT FOUND"))</f>
        <v/>
      </c>
      <c r="M1386" s="12" t="n"/>
      <c r="N1386" s="13">
        <f>IF($M1386="","",IFERROR(INDEX(Desig_Names,MATCH($M1386,Desig_Codes,0)),"NOT FOUND"))</f>
        <v/>
      </c>
      <c r="O1386" s="13">
        <f>IF($M1386="","",IFERROR(INDEX(Desig_Levels,MATCH($M1386,Desig_Codes,0)),""))</f>
        <v/>
      </c>
      <c r="P1386" s="12" t="n"/>
      <c r="Q1386" s="12" t="n"/>
      <c r="R1386" s="12" t="n"/>
      <c r="S1386" s="13">
        <f>IF($R1386="","",IFERROR(INDEX(Emp_Names,MATCH($R1386,Emp_Codes,0)),"NOT FOUND"))</f>
        <v/>
      </c>
      <c r="T1386" s="12" t="n"/>
      <c r="U1386" s="12" t="n"/>
      <c r="V1386" s="12" t="n"/>
    </row>
    <row r="1387">
      <c r="A1387" s="12" t="n"/>
      <c r="B1387" s="12" t="n"/>
      <c r="C1387" s="12" t="n"/>
      <c r="D1387" s="13">
        <f>IF($A1387="","",TRIM($B1387&amp;" "&amp;$C1387))</f>
        <v/>
      </c>
      <c r="E1387" s="12" t="n"/>
      <c r="F1387" s="12" t="n"/>
      <c r="G1387" s="14" t="n"/>
      <c r="H1387" s="14" t="n"/>
      <c r="I1387" s="12" t="n"/>
      <c r="J1387" s="14" t="n"/>
      <c r="K1387" s="12" t="n"/>
      <c r="L1387" s="13">
        <f>IF($K1387="","",IFERROR(INDEX(Dept_Names,MATCH($K1387,Dept_Codes,0)),"NOT FOUND"))</f>
        <v/>
      </c>
      <c r="M1387" s="12" t="n"/>
      <c r="N1387" s="13">
        <f>IF($M1387="","",IFERROR(INDEX(Desig_Names,MATCH($M1387,Desig_Codes,0)),"NOT FOUND"))</f>
        <v/>
      </c>
      <c r="O1387" s="13">
        <f>IF($M1387="","",IFERROR(INDEX(Desig_Levels,MATCH($M1387,Desig_Codes,0)),""))</f>
        <v/>
      </c>
      <c r="P1387" s="12" t="n"/>
      <c r="Q1387" s="12" t="n"/>
      <c r="R1387" s="12" t="n"/>
      <c r="S1387" s="13">
        <f>IF($R1387="","",IFERROR(INDEX(Emp_Names,MATCH($R1387,Emp_Codes,0)),"NOT FOUND"))</f>
        <v/>
      </c>
      <c r="T1387" s="12" t="n"/>
      <c r="U1387" s="12" t="n"/>
      <c r="V1387" s="12" t="n"/>
    </row>
    <row r="1388">
      <c r="A1388" s="12" t="n"/>
      <c r="B1388" s="12" t="n"/>
      <c r="C1388" s="12" t="n"/>
      <c r="D1388" s="13">
        <f>IF($A1388="","",TRIM($B1388&amp;" "&amp;$C1388))</f>
        <v/>
      </c>
      <c r="E1388" s="12" t="n"/>
      <c r="F1388" s="12" t="n"/>
      <c r="G1388" s="14" t="n"/>
      <c r="H1388" s="14" t="n"/>
      <c r="I1388" s="12" t="n"/>
      <c r="J1388" s="14" t="n"/>
      <c r="K1388" s="12" t="n"/>
      <c r="L1388" s="13">
        <f>IF($K1388="","",IFERROR(INDEX(Dept_Names,MATCH($K1388,Dept_Codes,0)),"NOT FOUND"))</f>
        <v/>
      </c>
      <c r="M1388" s="12" t="n"/>
      <c r="N1388" s="13">
        <f>IF($M1388="","",IFERROR(INDEX(Desig_Names,MATCH($M1388,Desig_Codes,0)),"NOT FOUND"))</f>
        <v/>
      </c>
      <c r="O1388" s="13">
        <f>IF($M1388="","",IFERROR(INDEX(Desig_Levels,MATCH($M1388,Desig_Codes,0)),""))</f>
        <v/>
      </c>
      <c r="P1388" s="12" t="n"/>
      <c r="Q1388" s="12" t="n"/>
      <c r="R1388" s="12" t="n"/>
      <c r="S1388" s="13">
        <f>IF($R1388="","",IFERROR(INDEX(Emp_Names,MATCH($R1388,Emp_Codes,0)),"NOT FOUND"))</f>
        <v/>
      </c>
      <c r="T1388" s="12" t="n"/>
      <c r="U1388" s="12" t="n"/>
      <c r="V1388" s="12" t="n"/>
    </row>
    <row r="1389">
      <c r="A1389" s="12" t="n"/>
      <c r="B1389" s="12" t="n"/>
      <c r="C1389" s="12" t="n"/>
      <c r="D1389" s="13">
        <f>IF($A1389="","",TRIM($B1389&amp;" "&amp;$C1389))</f>
        <v/>
      </c>
      <c r="E1389" s="12" t="n"/>
      <c r="F1389" s="12" t="n"/>
      <c r="G1389" s="14" t="n"/>
      <c r="H1389" s="14" t="n"/>
      <c r="I1389" s="12" t="n"/>
      <c r="J1389" s="14" t="n"/>
      <c r="K1389" s="12" t="n"/>
      <c r="L1389" s="13">
        <f>IF($K1389="","",IFERROR(INDEX(Dept_Names,MATCH($K1389,Dept_Codes,0)),"NOT FOUND"))</f>
        <v/>
      </c>
      <c r="M1389" s="12" t="n"/>
      <c r="N1389" s="13">
        <f>IF($M1389="","",IFERROR(INDEX(Desig_Names,MATCH($M1389,Desig_Codes,0)),"NOT FOUND"))</f>
        <v/>
      </c>
      <c r="O1389" s="13">
        <f>IF($M1389="","",IFERROR(INDEX(Desig_Levels,MATCH($M1389,Desig_Codes,0)),""))</f>
        <v/>
      </c>
      <c r="P1389" s="12" t="n"/>
      <c r="Q1389" s="12" t="n"/>
      <c r="R1389" s="12" t="n"/>
      <c r="S1389" s="13">
        <f>IF($R1389="","",IFERROR(INDEX(Emp_Names,MATCH($R1389,Emp_Codes,0)),"NOT FOUND"))</f>
        <v/>
      </c>
      <c r="T1389" s="12" t="n"/>
      <c r="U1389" s="12" t="n"/>
      <c r="V1389" s="12" t="n"/>
    </row>
    <row r="1390">
      <c r="A1390" s="12" t="n"/>
      <c r="B1390" s="12" t="n"/>
      <c r="C1390" s="12" t="n"/>
      <c r="D1390" s="13">
        <f>IF($A1390="","",TRIM($B1390&amp;" "&amp;$C1390))</f>
        <v/>
      </c>
      <c r="E1390" s="12" t="n"/>
      <c r="F1390" s="12" t="n"/>
      <c r="G1390" s="14" t="n"/>
      <c r="H1390" s="14" t="n"/>
      <c r="I1390" s="12" t="n"/>
      <c r="J1390" s="14" t="n"/>
      <c r="K1390" s="12" t="n"/>
      <c r="L1390" s="13">
        <f>IF($K1390="","",IFERROR(INDEX(Dept_Names,MATCH($K1390,Dept_Codes,0)),"NOT FOUND"))</f>
        <v/>
      </c>
      <c r="M1390" s="12" t="n"/>
      <c r="N1390" s="13">
        <f>IF($M1390="","",IFERROR(INDEX(Desig_Names,MATCH($M1390,Desig_Codes,0)),"NOT FOUND"))</f>
        <v/>
      </c>
      <c r="O1390" s="13">
        <f>IF($M1390="","",IFERROR(INDEX(Desig_Levels,MATCH($M1390,Desig_Codes,0)),""))</f>
        <v/>
      </c>
      <c r="P1390" s="12" t="n"/>
      <c r="Q1390" s="12" t="n"/>
      <c r="R1390" s="12" t="n"/>
      <c r="S1390" s="13">
        <f>IF($R1390="","",IFERROR(INDEX(Emp_Names,MATCH($R1390,Emp_Codes,0)),"NOT FOUND"))</f>
        <v/>
      </c>
      <c r="T1390" s="12" t="n"/>
      <c r="U1390" s="12" t="n"/>
      <c r="V1390" s="12" t="n"/>
    </row>
    <row r="1391">
      <c r="A1391" s="12" t="n"/>
      <c r="B1391" s="12" t="n"/>
      <c r="C1391" s="12" t="n"/>
      <c r="D1391" s="13">
        <f>IF($A1391="","",TRIM($B1391&amp;" "&amp;$C1391))</f>
        <v/>
      </c>
      <c r="E1391" s="12" t="n"/>
      <c r="F1391" s="12" t="n"/>
      <c r="G1391" s="14" t="n"/>
      <c r="H1391" s="14" t="n"/>
      <c r="I1391" s="12" t="n"/>
      <c r="J1391" s="14" t="n"/>
      <c r="K1391" s="12" t="n"/>
      <c r="L1391" s="13">
        <f>IF($K1391="","",IFERROR(INDEX(Dept_Names,MATCH($K1391,Dept_Codes,0)),"NOT FOUND"))</f>
        <v/>
      </c>
      <c r="M1391" s="12" t="n"/>
      <c r="N1391" s="13">
        <f>IF($M1391="","",IFERROR(INDEX(Desig_Names,MATCH($M1391,Desig_Codes,0)),"NOT FOUND"))</f>
        <v/>
      </c>
      <c r="O1391" s="13">
        <f>IF($M1391="","",IFERROR(INDEX(Desig_Levels,MATCH($M1391,Desig_Codes,0)),""))</f>
        <v/>
      </c>
      <c r="P1391" s="12" t="n"/>
      <c r="Q1391" s="12" t="n"/>
      <c r="R1391" s="12" t="n"/>
      <c r="S1391" s="13">
        <f>IF($R1391="","",IFERROR(INDEX(Emp_Names,MATCH($R1391,Emp_Codes,0)),"NOT FOUND"))</f>
        <v/>
      </c>
      <c r="T1391" s="12" t="n"/>
      <c r="U1391" s="12" t="n"/>
      <c r="V1391" s="12" t="n"/>
    </row>
    <row r="1392">
      <c r="A1392" s="12" t="n"/>
      <c r="B1392" s="12" t="n"/>
      <c r="C1392" s="12" t="n"/>
      <c r="D1392" s="13">
        <f>IF($A1392="","",TRIM($B1392&amp;" "&amp;$C1392))</f>
        <v/>
      </c>
      <c r="E1392" s="12" t="n"/>
      <c r="F1392" s="12" t="n"/>
      <c r="G1392" s="14" t="n"/>
      <c r="H1392" s="14" t="n"/>
      <c r="I1392" s="12" t="n"/>
      <c r="J1392" s="14" t="n"/>
      <c r="K1392" s="12" t="n"/>
      <c r="L1392" s="13">
        <f>IF($K1392="","",IFERROR(INDEX(Dept_Names,MATCH($K1392,Dept_Codes,0)),"NOT FOUND"))</f>
        <v/>
      </c>
      <c r="M1392" s="12" t="n"/>
      <c r="N1392" s="13">
        <f>IF($M1392="","",IFERROR(INDEX(Desig_Names,MATCH($M1392,Desig_Codes,0)),"NOT FOUND"))</f>
        <v/>
      </c>
      <c r="O1392" s="13">
        <f>IF($M1392="","",IFERROR(INDEX(Desig_Levels,MATCH($M1392,Desig_Codes,0)),""))</f>
        <v/>
      </c>
      <c r="P1392" s="12" t="n"/>
      <c r="Q1392" s="12" t="n"/>
      <c r="R1392" s="12" t="n"/>
      <c r="S1392" s="13">
        <f>IF($R1392="","",IFERROR(INDEX(Emp_Names,MATCH($R1392,Emp_Codes,0)),"NOT FOUND"))</f>
        <v/>
      </c>
      <c r="T1392" s="12" t="n"/>
      <c r="U1392" s="12" t="n"/>
      <c r="V1392" s="12" t="n"/>
    </row>
    <row r="1393">
      <c r="A1393" s="12" t="n"/>
      <c r="B1393" s="12" t="n"/>
      <c r="C1393" s="12" t="n"/>
      <c r="D1393" s="13">
        <f>IF($A1393="","",TRIM($B1393&amp;" "&amp;$C1393))</f>
        <v/>
      </c>
      <c r="E1393" s="12" t="n"/>
      <c r="F1393" s="12" t="n"/>
      <c r="G1393" s="14" t="n"/>
      <c r="H1393" s="14" t="n"/>
      <c r="I1393" s="12" t="n"/>
      <c r="J1393" s="14" t="n"/>
      <c r="K1393" s="12" t="n"/>
      <c r="L1393" s="13">
        <f>IF($K1393="","",IFERROR(INDEX(Dept_Names,MATCH($K1393,Dept_Codes,0)),"NOT FOUND"))</f>
        <v/>
      </c>
      <c r="M1393" s="12" t="n"/>
      <c r="N1393" s="13">
        <f>IF($M1393="","",IFERROR(INDEX(Desig_Names,MATCH($M1393,Desig_Codes,0)),"NOT FOUND"))</f>
        <v/>
      </c>
      <c r="O1393" s="13">
        <f>IF($M1393="","",IFERROR(INDEX(Desig_Levels,MATCH($M1393,Desig_Codes,0)),""))</f>
        <v/>
      </c>
      <c r="P1393" s="12" t="n"/>
      <c r="Q1393" s="12" t="n"/>
      <c r="R1393" s="12" t="n"/>
      <c r="S1393" s="13">
        <f>IF($R1393="","",IFERROR(INDEX(Emp_Names,MATCH($R1393,Emp_Codes,0)),"NOT FOUND"))</f>
        <v/>
      </c>
      <c r="T1393" s="12" t="n"/>
      <c r="U1393" s="12" t="n"/>
      <c r="V1393" s="12" t="n"/>
    </row>
    <row r="1394">
      <c r="A1394" s="12" t="n"/>
      <c r="B1394" s="12" t="n"/>
      <c r="C1394" s="12" t="n"/>
      <c r="D1394" s="13">
        <f>IF($A1394="","",TRIM($B1394&amp;" "&amp;$C1394))</f>
        <v/>
      </c>
      <c r="E1394" s="12" t="n"/>
      <c r="F1394" s="12" t="n"/>
      <c r="G1394" s="14" t="n"/>
      <c r="H1394" s="14" t="n"/>
      <c r="I1394" s="12" t="n"/>
      <c r="J1394" s="14" t="n"/>
      <c r="K1394" s="12" t="n"/>
      <c r="L1394" s="13">
        <f>IF($K1394="","",IFERROR(INDEX(Dept_Names,MATCH($K1394,Dept_Codes,0)),"NOT FOUND"))</f>
        <v/>
      </c>
      <c r="M1394" s="12" t="n"/>
      <c r="N1394" s="13">
        <f>IF($M1394="","",IFERROR(INDEX(Desig_Names,MATCH($M1394,Desig_Codes,0)),"NOT FOUND"))</f>
        <v/>
      </c>
      <c r="O1394" s="13">
        <f>IF($M1394="","",IFERROR(INDEX(Desig_Levels,MATCH($M1394,Desig_Codes,0)),""))</f>
        <v/>
      </c>
      <c r="P1394" s="12" t="n"/>
      <c r="Q1394" s="12" t="n"/>
      <c r="R1394" s="12" t="n"/>
      <c r="S1394" s="13">
        <f>IF($R1394="","",IFERROR(INDEX(Emp_Names,MATCH($R1394,Emp_Codes,0)),"NOT FOUND"))</f>
        <v/>
      </c>
      <c r="T1394" s="12" t="n"/>
      <c r="U1394" s="12" t="n"/>
      <c r="V1394" s="12" t="n"/>
    </row>
    <row r="1395">
      <c r="A1395" s="12" t="n"/>
      <c r="B1395" s="12" t="n"/>
      <c r="C1395" s="12" t="n"/>
      <c r="D1395" s="13">
        <f>IF($A1395="","",TRIM($B1395&amp;" "&amp;$C1395))</f>
        <v/>
      </c>
      <c r="E1395" s="12" t="n"/>
      <c r="F1395" s="12" t="n"/>
      <c r="G1395" s="14" t="n"/>
      <c r="H1395" s="14" t="n"/>
      <c r="I1395" s="12" t="n"/>
      <c r="J1395" s="14" t="n"/>
      <c r="K1395" s="12" t="n"/>
      <c r="L1395" s="13">
        <f>IF($K1395="","",IFERROR(INDEX(Dept_Names,MATCH($K1395,Dept_Codes,0)),"NOT FOUND"))</f>
        <v/>
      </c>
      <c r="M1395" s="12" t="n"/>
      <c r="N1395" s="13">
        <f>IF($M1395="","",IFERROR(INDEX(Desig_Names,MATCH($M1395,Desig_Codes,0)),"NOT FOUND"))</f>
        <v/>
      </c>
      <c r="O1395" s="13">
        <f>IF($M1395="","",IFERROR(INDEX(Desig_Levels,MATCH($M1395,Desig_Codes,0)),""))</f>
        <v/>
      </c>
      <c r="P1395" s="12" t="n"/>
      <c r="Q1395" s="12" t="n"/>
      <c r="R1395" s="12" t="n"/>
      <c r="S1395" s="13">
        <f>IF($R1395="","",IFERROR(INDEX(Emp_Names,MATCH($R1395,Emp_Codes,0)),"NOT FOUND"))</f>
        <v/>
      </c>
      <c r="T1395" s="12" t="n"/>
      <c r="U1395" s="12" t="n"/>
      <c r="V1395" s="12" t="n"/>
    </row>
    <row r="1396">
      <c r="A1396" s="12" t="n"/>
      <c r="B1396" s="12" t="n"/>
      <c r="C1396" s="12" t="n"/>
      <c r="D1396" s="13">
        <f>IF($A1396="","",TRIM($B1396&amp;" "&amp;$C1396))</f>
        <v/>
      </c>
      <c r="E1396" s="12" t="n"/>
      <c r="F1396" s="12" t="n"/>
      <c r="G1396" s="14" t="n"/>
      <c r="H1396" s="14" t="n"/>
      <c r="I1396" s="12" t="n"/>
      <c r="J1396" s="14" t="n"/>
      <c r="K1396" s="12" t="n"/>
      <c r="L1396" s="13">
        <f>IF($K1396="","",IFERROR(INDEX(Dept_Names,MATCH($K1396,Dept_Codes,0)),"NOT FOUND"))</f>
        <v/>
      </c>
      <c r="M1396" s="12" t="n"/>
      <c r="N1396" s="13">
        <f>IF($M1396="","",IFERROR(INDEX(Desig_Names,MATCH($M1396,Desig_Codes,0)),"NOT FOUND"))</f>
        <v/>
      </c>
      <c r="O1396" s="13">
        <f>IF($M1396="","",IFERROR(INDEX(Desig_Levels,MATCH($M1396,Desig_Codes,0)),""))</f>
        <v/>
      </c>
      <c r="P1396" s="12" t="n"/>
      <c r="Q1396" s="12" t="n"/>
      <c r="R1396" s="12" t="n"/>
      <c r="S1396" s="13">
        <f>IF($R1396="","",IFERROR(INDEX(Emp_Names,MATCH($R1396,Emp_Codes,0)),"NOT FOUND"))</f>
        <v/>
      </c>
      <c r="T1396" s="12" t="n"/>
      <c r="U1396" s="12" t="n"/>
      <c r="V1396" s="12" t="n"/>
    </row>
    <row r="1397">
      <c r="A1397" s="12" t="n"/>
      <c r="B1397" s="12" t="n"/>
      <c r="C1397" s="12" t="n"/>
      <c r="D1397" s="13">
        <f>IF($A1397="","",TRIM($B1397&amp;" "&amp;$C1397))</f>
        <v/>
      </c>
      <c r="E1397" s="12" t="n"/>
      <c r="F1397" s="12" t="n"/>
      <c r="G1397" s="14" t="n"/>
      <c r="H1397" s="14" t="n"/>
      <c r="I1397" s="12" t="n"/>
      <c r="J1397" s="14" t="n"/>
      <c r="K1397" s="12" t="n"/>
      <c r="L1397" s="13">
        <f>IF($K1397="","",IFERROR(INDEX(Dept_Names,MATCH($K1397,Dept_Codes,0)),"NOT FOUND"))</f>
        <v/>
      </c>
      <c r="M1397" s="12" t="n"/>
      <c r="N1397" s="13">
        <f>IF($M1397="","",IFERROR(INDEX(Desig_Names,MATCH($M1397,Desig_Codes,0)),"NOT FOUND"))</f>
        <v/>
      </c>
      <c r="O1397" s="13">
        <f>IF($M1397="","",IFERROR(INDEX(Desig_Levels,MATCH($M1397,Desig_Codes,0)),""))</f>
        <v/>
      </c>
      <c r="P1397" s="12" t="n"/>
      <c r="Q1397" s="12" t="n"/>
      <c r="R1397" s="12" t="n"/>
      <c r="S1397" s="13">
        <f>IF($R1397="","",IFERROR(INDEX(Emp_Names,MATCH($R1397,Emp_Codes,0)),"NOT FOUND"))</f>
        <v/>
      </c>
      <c r="T1397" s="12" t="n"/>
      <c r="U1397" s="12" t="n"/>
      <c r="V1397" s="12" t="n"/>
    </row>
    <row r="1398">
      <c r="A1398" s="12" t="n"/>
      <c r="B1398" s="12" t="n"/>
      <c r="C1398" s="12" t="n"/>
      <c r="D1398" s="13">
        <f>IF($A1398="","",TRIM($B1398&amp;" "&amp;$C1398))</f>
        <v/>
      </c>
      <c r="E1398" s="12" t="n"/>
      <c r="F1398" s="12" t="n"/>
      <c r="G1398" s="14" t="n"/>
      <c r="H1398" s="14" t="n"/>
      <c r="I1398" s="12" t="n"/>
      <c r="J1398" s="14" t="n"/>
      <c r="K1398" s="12" t="n"/>
      <c r="L1398" s="13">
        <f>IF($K1398="","",IFERROR(INDEX(Dept_Names,MATCH($K1398,Dept_Codes,0)),"NOT FOUND"))</f>
        <v/>
      </c>
      <c r="M1398" s="12" t="n"/>
      <c r="N1398" s="13">
        <f>IF($M1398="","",IFERROR(INDEX(Desig_Names,MATCH($M1398,Desig_Codes,0)),"NOT FOUND"))</f>
        <v/>
      </c>
      <c r="O1398" s="13">
        <f>IF($M1398="","",IFERROR(INDEX(Desig_Levels,MATCH($M1398,Desig_Codes,0)),""))</f>
        <v/>
      </c>
      <c r="P1398" s="12" t="n"/>
      <c r="Q1398" s="12" t="n"/>
      <c r="R1398" s="12" t="n"/>
      <c r="S1398" s="13">
        <f>IF($R1398="","",IFERROR(INDEX(Emp_Names,MATCH($R1398,Emp_Codes,0)),"NOT FOUND"))</f>
        <v/>
      </c>
      <c r="T1398" s="12" t="n"/>
      <c r="U1398" s="12" t="n"/>
      <c r="V1398" s="12" t="n"/>
    </row>
    <row r="1399">
      <c r="A1399" s="12" t="n"/>
      <c r="B1399" s="12" t="n"/>
      <c r="C1399" s="12" t="n"/>
      <c r="D1399" s="13">
        <f>IF($A1399="","",TRIM($B1399&amp;" "&amp;$C1399))</f>
        <v/>
      </c>
      <c r="E1399" s="12" t="n"/>
      <c r="F1399" s="12" t="n"/>
      <c r="G1399" s="14" t="n"/>
      <c r="H1399" s="14" t="n"/>
      <c r="I1399" s="12" t="n"/>
      <c r="J1399" s="14" t="n"/>
      <c r="K1399" s="12" t="n"/>
      <c r="L1399" s="13">
        <f>IF($K1399="","",IFERROR(INDEX(Dept_Names,MATCH($K1399,Dept_Codes,0)),"NOT FOUND"))</f>
        <v/>
      </c>
      <c r="M1399" s="12" t="n"/>
      <c r="N1399" s="13">
        <f>IF($M1399="","",IFERROR(INDEX(Desig_Names,MATCH($M1399,Desig_Codes,0)),"NOT FOUND"))</f>
        <v/>
      </c>
      <c r="O1399" s="13">
        <f>IF($M1399="","",IFERROR(INDEX(Desig_Levels,MATCH($M1399,Desig_Codes,0)),""))</f>
        <v/>
      </c>
      <c r="P1399" s="12" t="n"/>
      <c r="Q1399" s="12" t="n"/>
      <c r="R1399" s="12" t="n"/>
      <c r="S1399" s="13">
        <f>IF($R1399="","",IFERROR(INDEX(Emp_Names,MATCH($R1399,Emp_Codes,0)),"NOT FOUND"))</f>
        <v/>
      </c>
      <c r="T1399" s="12" t="n"/>
      <c r="U1399" s="12" t="n"/>
      <c r="V1399" s="12" t="n"/>
    </row>
    <row r="1400">
      <c r="A1400" s="12" t="n"/>
      <c r="B1400" s="12" t="n"/>
      <c r="C1400" s="12" t="n"/>
      <c r="D1400" s="13">
        <f>IF($A1400="","",TRIM($B1400&amp;" "&amp;$C1400))</f>
        <v/>
      </c>
      <c r="E1400" s="12" t="n"/>
      <c r="F1400" s="12" t="n"/>
      <c r="G1400" s="14" t="n"/>
      <c r="H1400" s="14" t="n"/>
      <c r="I1400" s="12" t="n"/>
      <c r="J1400" s="14" t="n"/>
      <c r="K1400" s="12" t="n"/>
      <c r="L1400" s="13">
        <f>IF($K1400="","",IFERROR(INDEX(Dept_Names,MATCH($K1400,Dept_Codes,0)),"NOT FOUND"))</f>
        <v/>
      </c>
      <c r="M1400" s="12" t="n"/>
      <c r="N1400" s="13">
        <f>IF($M1400="","",IFERROR(INDEX(Desig_Names,MATCH($M1400,Desig_Codes,0)),"NOT FOUND"))</f>
        <v/>
      </c>
      <c r="O1400" s="13">
        <f>IF($M1400="","",IFERROR(INDEX(Desig_Levels,MATCH($M1400,Desig_Codes,0)),""))</f>
        <v/>
      </c>
      <c r="P1400" s="12" t="n"/>
      <c r="Q1400" s="12" t="n"/>
      <c r="R1400" s="12" t="n"/>
      <c r="S1400" s="13">
        <f>IF($R1400="","",IFERROR(INDEX(Emp_Names,MATCH($R1400,Emp_Codes,0)),"NOT FOUND"))</f>
        <v/>
      </c>
      <c r="T1400" s="12" t="n"/>
      <c r="U1400" s="12" t="n"/>
      <c r="V1400" s="12" t="n"/>
    </row>
    <row r="1401">
      <c r="A1401" s="12" t="n"/>
      <c r="B1401" s="12" t="n"/>
      <c r="C1401" s="12" t="n"/>
      <c r="D1401" s="13">
        <f>IF($A1401="","",TRIM($B1401&amp;" "&amp;$C1401))</f>
        <v/>
      </c>
      <c r="E1401" s="12" t="n"/>
      <c r="F1401" s="12" t="n"/>
      <c r="G1401" s="14" t="n"/>
      <c r="H1401" s="14" t="n"/>
      <c r="I1401" s="12" t="n"/>
      <c r="J1401" s="14" t="n"/>
      <c r="K1401" s="12" t="n"/>
      <c r="L1401" s="13">
        <f>IF($K1401="","",IFERROR(INDEX(Dept_Names,MATCH($K1401,Dept_Codes,0)),"NOT FOUND"))</f>
        <v/>
      </c>
      <c r="M1401" s="12" t="n"/>
      <c r="N1401" s="13">
        <f>IF($M1401="","",IFERROR(INDEX(Desig_Names,MATCH($M1401,Desig_Codes,0)),"NOT FOUND"))</f>
        <v/>
      </c>
      <c r="O1401" s="13">
        <f>IF($M1401="","",IFERROR(INDEX(Desig_Levels,MATCH($M1401,Desig_Codes,0)),""))</f>
        <v/>
      </c>
      <c r="P1401" s="12" t="n"/>
      <c r="Q1401" s="12" t="n"/>
      <c r="R1401" s="12" t="n"/>
      <c r="S1401" s="13">
        <f>IF($R1401="","",IFERROR(INDEX(Emp_Names,MATCH($R1401,Emp_Codes,0)),"NOT FOUND"))</f>
        <v/>
      </c>
      <c r="T1401" s="12" t="n"/>
      <c r="U1401" s="12" t="n"/>
      <c r="V1401" s="12" t="n"/>
    </row>
    <row r="1402">
      <c r="A1402" s="12" t="n"/>
      <c r="B1402" s="12" t="n"/>
      <c r="C1402" s="12" t="n"/>
      <c r="D1402" s="13">
        <f>IF($A1402="","",TRIM($B1402&amp;" "&amp;$C1402))</f>
        <v/>
      </c>
      <c r="E1402" s="12" t="n"/>
      <c r="F1402" s="12" t="n"/>
      <c r="G1402" s="14" t="n"/>
      <c r="H1402" s="14" t="n"/>
      <c r="I1402" s="12" t="n"/>
      <c r="J1402" s="14" t="n"/>
      <c r="K1402" s="12" t="n"/>
      <c r="L1402" s="13">
        <f>IF($K1402="","",IFERROR(INDEX(Dept_Names,MATCH($K1402,Dept_Codes,0)),"NOT FOUND"))</f>
        <v/>
      </c>
      <c r="M1402" s="12" t="n"/>
      <c r="N1402" s="13">
        <f>IF($M1402="","",IFERROR(INDEX(Desig_Names,MATCH($M1402,Desig_Codes,0)),"NOT FOUND"))</f>
        <v/>
      </c>
      <c r="O1402" s="13">
        <f>IF($M1402="","",IFERROR(INDEX(Desig_Levels,MATCH($M1402,Desig_Codes,0)),""))</f>
        <v/>
      </c>
      <c r="P1402" s="12" t="n"/>
      <c r="Q1402" s="12" t="n"/>
      <c r="R1402" s="12" t="n"/>
      <c r="S1402" s="13">
        <f>IF($R1402="","",IFERROR(INDEX(Emp_Names,MATCH($R1402,Emp_Codes,0)),"NOT FOUND"))</f>
        <v/>
      </c>
      <c r="T1402" s="12" t="n"/>
      <c r="U1402" s="12" t="n"/>
      <c r="V1402" s="12" t="n"/>
    </row>
    <row r="1403">
      <c r="A1403" s="12" t="n"/>
      <c r="B1403" s="12" t="n"/>
      <c r="C1403" s="12" t="n"/>
      <c r="D1403" s="13">
        <f>IF($A1403="","",TRIM($B1403&amp;" "&amp;$C1403))</f>
        <v/>
      </c>
      <c r="E1403" s="12" t="n"/>
      <c r="F1403" s="12" t="n"/>
      <c r="G1403" s="14" t="n"/>
      <c r="H1403" s="14" t="n"/>
      <c r="I1403" s="12" t="n"/>
      <c r="J1403" s="14" t="n"/>
      <c r="K1403" s="12" t="n"/>
      <c r="L1403" s="13">
        <f>IF($K1403="","",IFERROR(INDEX(Dept_Names,MATCH($K1403,Dept_Codes,0)),"NOT FOUND"))</f>
        <v/>
      </c>
      <c r="M1403" s="12" t="n"/>
      <c r="N1403" s="13">
        <f>IF($M1403="","",IFERROR(INDEX(Desig_Names,MATCH($M1403,Desig_Codes,0)),"NOT FOUND"))</f>
        <v/>
      </c>
      <c r="O1403" s="13">
        <f>IF($M1403="","",IFERROR(INDEX(Desig_Levels,MATCH($M1403,Desig_Codes,0)),""))</f>
        <v/>
      </c>
      <c r="P1403" s="12" t="n"/>
      <c r="Q1403" s="12" t="n"/>
      <c r="R1403" s="12" t="n"/>
      <c r="S1403" s="13">
        <f>IF($R1403="","",IFERROR(INDEX(Emp_Names,MATCH($R1403,Emp_Codes,0)),"NOT FOUND"))</f>
        <v/>
      </c>
      <c r="T1403" s="12" t="n"/>
      <c r="U1403" s="12" t="n"/>
      <c r="V1403" s="12" t="n"/>
    </row>
    <row r="1404">
      <c r="A1404" s="12" t="n"/>
      <c r="B1404" s="12" t="n"/>
      <c r="C1404" s="12" t="n"/>
      <c r="D1404" s="13">
        <f>IF($A1404="","",TRIM($B1404&amp;" "&amp;$C1404))</f>
        <v/>
      </c>
      <c r="E1404" s="12" t="n"/>
      <c r="F1404" s="12" t="n"/>
      <c r="G1404" s="14" t="n"/>
      <c r="H1404" s="14" t="n"/>
      <c r="I1404" s="12" t="n"/>
      <c r="J1404" s="14" t="n"/>
      <c r="K1404" s="12" t="n"/>
      <c r="L1404" s="13">
        <f>IF($K1404="","",IFERROR(INDEX(Dept_Names,MATCH($K1404,Dept_Codes,0)),"NOT FOUND"))</f>
        <v/>
      </c>
      <c r="M1404" s="12" t="n"/>
      <c r="N1404" s="13">
        <f>IF($M1404="","",IFERROR(INDEX(Desig_Names,MATCH($M1404,Desig_Codes,0)),"NOT FOUND"))</f>
        <v/>
      </c>
      <c r="O1404" s="13">
        <f>IF($M1404="","",IFERROR(INDEX(Desig_Levels,MATCH($M1404,Desig_Codes,0)),""))</f>
        <v/>
      </c>
      <c r="P1404" s="12" t="n"/>
      <c r="Q1404" s="12" t="n"/>
      <c r="R1404" s="12" t="n"/>
      <c r="S1404" s="13">
        <f>IF($R1404="","",IFERROR(INDEX(Emp_Names,MATCH($R1404,Emp_Codes,0)),"NOT FOUND"))</f>
        <v/>
      </c>
      <c r="T1404" s="12" t="n"/>
      <c r="U1404" s="12" t="n"/>
      <c r="V1404" s="12" t="n"/>
    </row>
    <row r="1405">
      <c r="A1405" s="12" t="n"/>
      <c r="B1405" s="12" t="n"/>
      <c r="C1405" s="12" t="n"/>
      <c r="D1405" s="13">
        <f>IF($A1405="","",TRIM($B1405&amp;" "&amp;$C1405))</f>
        <v/>
      </c>
      <c r="E1405" s="12" t="n"/>
      <c r="F1405" s="12" t="n"/>
      <c r="G1405" s="14" t="n"/>
      <c r="H1405" s="14" t="n"/>
      <c r="I1405" s="12" t="n"/>
      <c r="J1405" s="14" t="n"/>
      <c r="K1405" s="12" t="n"/>
      <c r="L1405" s="13">
        <f>IF($K1405="","",IFERROR(INDEX(Dept_Names,MATCH($K1405,Dept_Codes,0)),"NOT FOUND"))</f>
        <v/>
      </c>
      <c r="M1405" s="12" t="n"/>
      <c r="N1405" s="13">
        <f>IF($M1405="","",IFERROR(INDEX(Desig_Names,MATCH($M1405,Desig_Codes,0)),"NOT FOUND"))</f>
        <v/>
      </c>
      <c r="O1405" s="13">
        <f>IF($M1405="","",IFERROR(INDEX(Desig_Levels,MATCH($M1405,Desig_Codes,0)),""))</f>
        <v/>
      </c>
      <c r="P1405" s="12" t="n"/>
      <c r="Q1405" s="12" t="n"/>
      <c r="R1405" s="12" t="n"/>
      <c r="S1405" s="13">
        <f>IF($R1405="","",IFERROR(INDEX(Emp_Names,MATCH($R1405,Emp_Codes,0)),"NOT FOUND"))</f>
        <v/>
      </c>
      <c r="T1405" s="12" t="n"/>
      <c r="U1405" s="12" t="n"/>
      <c r="V1405" s="12" t="n"/>
    </row>
    <row r="1406">
      <c r="A1406" s="12" t="n"/>
      <c r="B1406" s="12" t="n"/>
      <c r="C1406" s="12" t="n"/>
      <c r="D1406" s="13">
        <f>IF($A1406="","",TRIM($B1406&amp;" "&amp;$C1406))</f>
        <v/>
      </c>
      <c r="E1406" s="12" t="n"/>
      <c r="F1406" s="12" t="n"/>
      <c r="G1406" s="14" t="n"/>
      <c r="H1406" s="14" t="n"/>
      <c r="I1406" s="12" t="n"/>
      <c r="J1406" s="14" t="n"/>
      <c r="K1406" s="12" t="n"/>
      <c r="L1406" s="13">
        <f>IF($K1406="","",IFERROR(INDEX(Dept_Names,MATCH($K1406,Dept_Codes,0)),"NOT FOUND"))</f>
        <v/>
      </c>
      <c r="M1406" s="12" t="n"/>
      <c r="N1406" s="13">
        <f>IF($M1406="","",IFERROR(INDEX(Desig_Names,MATCH($M1406,Desig_Codes,0)),"NOT FOUND"))</f>
        <v/>
      </c>
      <c r="O1406" s="13">
        <f>IF($M1406="","",IFERROR(INDEX(Desig_Levels,MATCH($M1406,Desig_Codes,0)),""))</f>
        <v/>
      </c>
      <c r="P1406" s="12" t="n"/>
      <c r="Q1406" s="12" t="n"/>
      <c r="R1406" s="12" t="n"/>
      <c r="S1406" s="13">
        <f>IF($R1406="","",IFERROR(INDEX(Emp_Names,MATCH($R1406,Emp_Codes,0)),"NOT FOUND"))</f>
        <v/>
      </c>
      <c r="T1406" s="12" t="n"/>
      <c r="U1406" s="12" t="n"/>
      <c r="V1406" s="12" t="n"/>
    </row>
    <row r="1407">
      <c r="A1407" s="12" t="n"/>
      <c r="B1407" s="12" t="n"/>
      <c r="C1407" s="12" t="n"/>
      <c r="D1407" s="13">
        <f>IF($A1407="","",TRIM($B1407&amp;" "&amp;$C1407))</f>
        <v/>
      </c>
      <c r="E1407" s="12" t="n"/>
      <c r="F1407" s="12" t="n"/>
      <c r="G1407" s="14" t="n"/>
      <c r="H1407" s="14" t="n"/>
      <c r="I1407" s="12" t="n"/>
      <c r="J1407" s="14" t="n"/>
      <c r="K1407" s="12" t="n"/>
      <c r="L1407" s="13">
        <f>IF($K1407="","",IFERROR(INDEX(Dept_Names,MATCH($K1407,Dept_Codes,0)),"NOT FOUND"))</f>
        <v/>
      </c>
      <c r="M1407" s="12" t="n"/>
      <c r="N1407" s="13">
        <f>IF($M1407="","",IFERROR(INDEX(Desig_Names,MATCH($M1407,Desig_Codes,0)),"NOT FOUND"))</f>
        <v/>
      </c>
      <c r="O1407" s="13">
        <f>IF($M1407="","",IFERROR(INDEX(Desig_Levels,MATCH($M1407,Desig_Codes,0)),""))</f>
        <v/>
      </c>
      <c r="P1407" s="12" t="n"/>
      <c r="Q1407" s="12" t="n"/>
      <c r="R1407" s="12" t="n"/>
      <c r="S1407" s="13">
        <f>IF($R1407="","",IFERROR(INDEX(Emp_Names,MATCH($R1407,Emp_Codes,0)),"NOT FOUND"))</f>
        <v/>
      </c>
      <c r="T1407" s="12" t="n"/>
      <c r="U1407" s="12" t="n"/>
      <c r="V1407" s="12" t="n"/>
    </row>
    <row r="1408">
      <c r="A1408" s="12" t="n"/>
      <c r="B1408" s="12" t="n"/>
      <c r="C1408" s="12" t="n"/>
      <c r="D1408" s="13">
        <f>IF($A1408="","",TRIM($B1408&amp;" "&amp;$C1408))</f>
        <v/>
      </c>
      <c r="E1408" s="12" t="n"/>
      <c r="F1408" s="12" t="n"/>
      <c r="G1408" s="14" t="n"/>
      <c r="H1408" s="14" t="n"/>
      <c r="I1408" s="12" t="n"/>
      <c r="J1408" s="14" t="n"/>
      <c r="K1408" s="12" t="n"/>
      <c r="L1408" s="13">
        <f>IF($K1408="","",IFERROR(INDEX(Dept_Names,MATCH($K1408,Dept_Codes,0)),"NOT FOUND"))</f>
        <v/>
      </c>
      <c r="M1408" s="12" t="n"/>
      <c r="N1408" s="13">
        <f>IF($M1408="","",IFERROR(INDEX(Desig_Names,MATCH($M1408,Desig_Codes,0)),"NOT FOUND"))</f>
        <v/>
      </c>
      <c r="O1408" s="13">
        <f>IF($M1408="","",IFERROR(INDEX(Desig_Levels,MATCH($M1408,Desig_Codes,0)),""))</f>
        <v/>
      </c>
      <c r="P1408" s="12" t="n"/>
      <c r="Q1408" s="12" t="n"/>
      <c r="R1408" s="12" t="n"/>
      <c r="S1408" s="13">
        <f>IF($R1408="","",IFERROR(INDEX(Emp_Names,MATCH($R1408,Emp_Codes,0)),"NOT FOUND"))</f>
        <v/>
      </c>
      <c r="T1408" s="12" t="n"/>
      <c r="U1408" s="12" t="n"/>
      <c r="V1408" s="12" t="n"/>
    </row>
    <row r="1409">
      <c r="A1409" s="12" t="n"/>
      <c r="B1409" s="12" t="n"/>
      <c r="C1409" s="12" t="n"/>
      <c r="D1409" s="13">
        <f>IF($A1409="","",TRIM($B1409&amp;" "&amp;$C1409))</f>
        <v/>
      </c>
      <c r="E1409" s="12" t="n"/>
      <c r="F1409" s="12" t="n"/>
      <c r="G1409" s="14" t="n"/>
      <c r="H1409" s="14" t="n"/>
      <c r="I1409" s="12" t="n"/>
      <c r="J1409" s="14" t="n"/>
      <c r="K1409" s="12" t="n"/>
      <c r="L1409" s="13">
        <f>IF($K1409="","",IFERROR(INDEX(Dept_Names,MATCH($K1409,Dept_Codes,0)),"NOT FOUND"))</f>
        <v/>
      </c>
      <c r="M1409" s="12" t="n"/>
      <c r="N1409" s="13">
        <f>IF($M1409="","",IFERROR(INDEX(Desig_Names,MATCH($M1409,Desig_Codes,0)),"NOT FOUND"))</f>
        <v/>
      </c>
      <c r="O1409" s="13">
        <f>IF($M1409="","",IFERROR(INDEX(Desig_Levels,MATCH($M1409,Desig_Codes,0)),""))</f>
        <v/>
      </c>
      <c r="P1409" s="12" t="n"/>
      <c r="Q1409" s="12" t="n"/>
      <c r="R1409" s="12" t="n"/>
      <c r="S1409" s="13">
        <f>IF($R1409="","",IFERROR(INDEX(Emp_Names,MATCH($R1409,Emp_Codes,0)),"NOT FOUND"))</f>
        <v/>
      </c>
      <c r="T1409" s="12" t="n"/>
      <c r="U1409" s="12" t="n"/>
      <c r="V1409" s="12" t="n"/>
    </row>
    <row r="1410">
      <c r="A1410" s="12" t="n"/>
      <c r="B1410" s="12" t="n"/>
      <c r="C1410" s="12" t="n"/>
      <c r="D1410" s="13">
        <f>IF($A1410="","",TRIM($B1410&amp;" "&amp;$C1410))</f>
        <v/>
      </c>
      <c r="E1410" s="12" t="n"/>
      <c r="F1410" s="12" t="n"/>
      <c r="G1410" s="14" t="n"/>
      <c r="H1410" s="14" t="n"/>
      <c r="I1410" s="12" t="n"/>
      <c r="J1410" s="14" t="n"/>
      <c r="K1410" s="12" t="n"/>
      <c r="L1410" s="13">
        <f>IF($K1410="","",IFERROR(INDEX(Dept_Names,MATCH($K1410,Dept_Codes,0)),"NOT FOUND"))</f>
        <v/>
      </c>
      <c r="M1410" s="12" t="n"/>
      <c r="N1410" s="13">
        <f>IF($M1410="","",IFERROR(INDEX(Desig_Names,MATCH($M1410,Desig_Codes,0)),"NOT FOUND"))</f>
        <v/>
      </c>
      <c r="O1410" s="13">
        <f>IF($M1410="","",IFERROR(INDEX(Desig_Levels,MATCH($M1410,Desig_Codes,0)),""))</f>
        <v/>
      </c>
      <c r="P1410" s="12" t="n"/>
      <c r="Q1410" s="12" t="n"/>
      <c r="R1410" s="12" t="n"/>
      <c r="S1410" s="13">
        <f>IF($R1410="","",IFERROR(INDEX(Emp_Names,MATCH($R1410,Emp_Codes,0)),"NOT FOUND"))</f>
        <v/>
      </c>
      <c r="T1410" s="12" t="n"/>
      <c r="U1410" s="12" t="n"/>
      <c r="V1410" s="12" t="n"/>
    </row>
    <row r="1411">
      <c r="A1411" s="12" t="n"/>
      <c r="B1411" s="12" t="n"/>
      <c r="C1411" s="12" t="n"/>
      <c r="D1411" s="13">
        <f>IF($A1411="","",TRIM($B1411&amp;" "&amp;$C1411))</f>
        <v/>
      </c>
      <c r="E1411" s="12" t="n"/>
      <c r="F1411" s="12" t="n"/>
      <c r="G1411" s="14" t="n"/>
      <c r="H1411" s="14" t="n"/>
      <c r="I1411" s="12" t="n"/>
      <c r="J1411" s="14" t="n"/>
      <c r="K1411" s="12" t="n"/>
      <c r="L1411" s="13">
        <f>IF($K1411="","",IFERROR(INDEX(Dept_Names,MATCH($K1411,Dept_Codes,0)),"NOT FOUND"))</f>
        <v/>
      </c>
      <c r="M1411" s="12" t="n"/>
      <c r="N1411" s="13">
        <f>IF($M1411="","",IFERROR(INDEX(Desig_Names,MATCH($M1411,Desig_Codes,0)),"NOT FOUND"))</f>
        <v/>
      </c>
      <c r="O1411" s="13">
        <f>IF($M1411="","",IFERROR(INDEX(Desig_Levels,MATCH($M1411,Desig_Codes,0)),""))</f>
        <v/>
      </c>
      <c r="P1411" s="12" t="n"/>
      <c r="Q1411" s="12" t="n"/>
      <c r="R1411" s="12" t="n"/>
      <c r="S1411" s="13">
        <f>IF($R1411="","",IFERROR(INDEX(Emp_Names,MATCH($R1411,Emp_Codes,0)),"NOT FOUND"))</f>
        <v/>
      </c>
      <c r="T1411" s="12" t="n"/>
      <c r="U1411" s="12" t="n"/>
      <c r="V1411" s="12" t="n"/>
    </row>
    <row r="1412">
      <c r="A1412" s="12" t="n"/>
      <c r="B1412" s="12" t="n"/>
      <c r="C1412" s="12" t="n"/>
      <c r="D1412" s="13">
        <f>IF($A1412="","",TRIM($B1412&amp;" "&amp;$C1412))</f>
        <v/>
      </c>
      <c r="E1412" s="12" t="n"/>
      <c r="F1412" s="12" t="n"/>
      <c r="G1412" s="14" t="n"/>
      <c r="H1412" s="14" t="n"/>
      <c r="I1412" s="12" t="n"/>
      <c r="J1412" s="14" t="n"/>
      <c r="K1412" s="12" t="n"/>
      <c r="L1412" s="13">
        <f>IF($K1412="","",IFERROR(INDEX(Dept_Names,MATCH($K1412,Dept_Codes,0)),"NOT FOUND"))</f>
        <v/>
      </c>
      <c r="M1412" s="12" t="n"/>
      <c r="N1412" s="13">
        <f>IF($M1412="","",IFERROR(INDEX(Desig_Names,MATCH($M1412,Desig_Codes,0)),"NOT FOUND"))</f>
        <v/>
      </c>
      <c r="O1412" s="13">
        <f>IF($M1412="","",IFERROR(INDEX(Desig_Levels,MATCH($M1412,Desig_Codes,0)),""))</f>
        <v/>
      </c>
      <c r="P1412" s="12" t="n"/>
      <c r="Q1412" s="12" t="n"/>
      <c r="R1412" s="12" t="n"/>
      <c r="S1412" s="13">
        <f>IF($R1412="","",IFERROR(INDEX(Emp_Names,MATCH($R1412,Emp_Codes,0)),"NOT FOUND"))</f>
        <v/>
      </c>
      <c r="T1412" s="12" t="n"/>
      <c r="U1412" s="12" t="n"/>
      <c r="V1412" s="12" t="n"/>
    </row>
    <row r="1413">
      <c r="A1413" s="12" t="n"/>
      <c r="B1413" s="12" t="n"/>
      <c r="C1413" s="12" t="n"/>
      <c r="D1413" s="13">
        <f>IF($A1413="","",TRIM($B1413&amp;" "&amp;$C1413))</f>
        <v/>
      </c>
      <c r="E1413" s="12" t="n"/>
      <c r="F1413" s="12" t="n"/>
      <c r="G1413" s="14" t="n"/>
      <c r="H1413" s="14" t="n"/>
      <c r="I1413" s="12" t="n"/>
      <c r="J1413" s="14" t="n"/>
      <c r="K1413" s="12" t="n"/>
      <c r="L1413" s="13">
        <f>IF($K1413="","",IFERROR(INDEX(Dept_Names,MATCH($K1413,Dept_Codes,0)),"NOT FOUND"))</f>
        <v/>
      </c>
      <c r="M1413" s="12" t="n"/>
      <c r="N1413" s="13">
        <f>IF($M1413="","",IFERROR(INDEX(Desig_Names,MATCH($M1413,Desig_Codes,0)),"NOT FOUND"))</f>
        <v/>
      </c>
      <c r="O1413" s="13">
        <f>IF($M1413="","",IFERROR(INDEX(Desig_Levels,MATCH($M1413,Desig_Codes,0)),""))</f>
        <v/>
      </c>
      <c r="P1413" s="12" t="n"/>
      <c r="Q1413" s="12" t="n"/>
      <c r="R1413" s="12" t="n"/>
      <c r="S1413" s="13">
        <f>IF($R1413="","",IFERROR(INDEX(Emp_Names,MATCH($R1413,Emp_Codes,0)),"NOT FOUND"))</f>
        <v/>
      </c>
      <c r="T1413" s="12" t="n"/>
      <c r="U1413" s="12" t="n"/>
      <c r="V1413" s="12" t="n"/>
    </row>
    <row r="1414">
      <c r="A1414" s="12" t="n"/>
      <c r="B1414" s="12" t="n"/>
      <c r="C1414" s="12" t="n"/>
      <c r="D1414" s="13">
        <f>IF($A1414="","",TRIM($B1414&amp;" "&amp;$C1414))</f>
        <v/>
      </c>
      <c r="E1414" s="12" t="n"/>
      <c r="F1414" s="12" t="n"/>
      <c r="G1414" s="14" t="n"/>
      <c r="H1414" s="14" t="n"/>
      <c r="I1414" s="12" t="n"/>
      <c r="J1414" s="14" t="n"/>
      <c r="K1414" s="12" t="n"/>
      <c r="L1414" s="13">
        <f>IF($K1414="","",IFERROR(INDEX(Dept_Names,MATCH($K1414,Dept_Codes,0)),"NOT FOUND"))</f>
        <v/>
      </c>
      <c r="M1414" s="12" t="n"/>
      <c r="N1414" s="13">
        <f>IF($M1414="","",IFERROR(INDEX(Desig_Names,MATCH($M1414,Desig_Codes,0)),"NOT FOUND"))</f>
        <v/>
      </c>
      <c r="O1414" s="13">
        <f>IF($M1414="","",IFERROR(INDEX(Desig_Levels,MATCH($M1414,Desig_Codes,0)),""))</f>
        <v/>
      </c>
      <c r="P1414" s="12" t="n"/>
      <c r="Q1414" s="12" t="n"/>
      <c r="R1414" s="12" t="n"/>
      <c r="S1414" s="13">
        <f>IF($R1414="","",IFERROR(INDEX(Emp_Names,MATCH($R1414,Emp_Codes,0)),"NOT FOUND"))</f>
        <v/>
      </c>
      <c r="T1414" s="12" t="n"/>
      <c r="U1414" s="12" t="n"/>
      <c r="V1414" s="12" t="n"/>
    </row>
    <row r="1415">
      <c r="A1415" s="12" t="n"/>
      <c r="B1415" s="12" t="n"/>
      <c r="C1415" s="12" t="n"/>
      <c r="D1415" s="13">
        <f>IF($A1415="","",TRIM($B1415&amp;" "&amp;$C1415))</f>
        <v/>
      </c>
      <c r="E1415" s="12" t="n"/>
      <c r="F1415" s="12" t="n"/>
      <c r="G1415" s="14" t="n"/>
      <c r="H1415" s="14" t="n"/>
      <c r="I1415" s="12" t="n"/>
      <c r="J1415" s="14" t="n"/>
      <c r="K1415" s="12" t="n"/>
      <c r="L1415" s="13">
        <f>IF($K1415="","",IFERROR(INDEX(Dept_Names,MATCH($K1415,Dept_Codes,0)),"NOT FOUND"))</f>
        <v/>
      </c>
      <c r="M1415" s="12" t="n"/>
      <c r="N1415" s="13">
        <f>IF($M1415="","",IFERROR(INDEX(Desig_Names,MATCH($M1415,Desig_Codes,0)),"NOT FOUND"))</f>
        <v/>
      </c>
      <c r="O1415" s="13">
        <f>IF($M1415="","",IFERROR(INDEX(Desig_Levels,MATCH($M1415,Desig_Codes,0)),""))</f>
        <v/>
      </c>
      <c r="P1415" s="12" t="n"/>
      <c r="Q1415" s="12" t="n"/>
      <c r="R1415" s="12" t="n"/>
      <c r="S1415" s="13">
        <f>IF($R1415="","",IFERROR(INDEX(Emp_Names,MATCH($R1415,Emp_Codes,0)),"NOT FOUND"))</f>
        <v/>
      </c>
      <c r="T1415" s="12" t="n"/>
      <c r="U1415" s="12" t="n"/>
      <c r="V1415" s="12" t="n"/>
    </row>
    <row r="1416">
      <c r="A1416" s="12" t="n"/>
      <c r="B1416" s="12" t="n"/>
      <c r="C1416" s="12" t="n"/>
      <c r="D1416" s="13">
        <f>IF($A1416="","",TRIM($B1416&amp;" "&amp;$C1416))</f>
        <v/>
      </c>
      <c r="E1416" s="12" t="n"/>
      <c r="F1416" s="12" t="n"/>
      <c r="G1416" s="14" t="n"/>
      <c r="H1416" s="14" t="n"/>
      <c r="I1416" s="12" t="n"/>
      <c r="J1416" s="14" t="n"/>
      <c r="K1416" s="12" t="n"/>
      <c r="L1416" s="13">
        <f>IF($K1416="","",IFERROR(INDEX(Dept_Names,MATCH($K1416,Dept_Codes,0)),"NOT FOUND"))</f>
        <v/>
      </c>
      <c r="M1416" s="12" t="n"/>
      <c r="N1416" s="13">
        <f>IF($M1416="","",IFERROR(INDEX(Desig_Names,MATCH($M1416,Desig_Codes,0)),"NOT FOUND"))</f>
        <v/>
      </c>
      <c r="O1416" s="13">
        <f>IF($M1416="","",IFERROR(INDEX(Desig_Levels,MATCH($M1416,Desig_Codes,0)),""))</f>
        <v/>
      </c>
      <c r="P1416" s="12" t="n"/>
      <c r="Q1416" s="12" t="n"/>
      <c r="R1416" s="12" t="n"/>
      <c r="S1416" s="13">
        <f>IF($R1416="","",IFERROR(INDEX(Emp_Names,MATCH($R1416,Emp_Codes,0)),"NOT FOUND"))</f>
        <v/>
      </c>
      <c r="T1416" s="12" t="n"/>
      <c r="U1416" s="12" t="n"/>
      <c r="V1416" s="12" t="n"/>
    </row>
    <row r="1417">
      <c r="A1417" s="12" t="n"/>
      <c r="B1417" s="12" t="n"/>
      <c r="C1417" s="12" t="n"/>
      <c r="D1417" s="13">
        <f>IF($A1417="","",TRIM($B1417&amp;" "&amp;$C1417))</f>
        <v/>
      </c>
      <c r="E1417" s="12" t="n"/>
      <c r="F1417" s="12" t="n"/>
      <c r="G1417" s="14" t="n"/>
      <c r="H1417" s="14" t="n"/>
      <c r="I1417" s="12" t="n"/>
      <c r="J1417" s="14" t="n"/>
      <c r="K1417" s="12" t="n"/>
      <c r="L1417" s="13">
        <f>IF($K1417="","",IFERROR(INDEX(Dept_Names,MATCH($K1417,Dept_Codes,0)),"NOT FOUND"))</f>
        <v/>
      </c>
      <c r="M1417" s="12" t="n"/>
      <c r="N1417" s="13">
        <f>IF($M1417="","",IFERROR(INDEX(Desig_Names,MATCH($M1417,Desig_Codes,0)),"NOT FOUND"))</f>
        <v/>
      </c>
      <c r="O1417" s="13">
        <f>IF($M1417="","",IFERROR(INDEX(Desig_Levels,MATCH($M1417,Desig_Codes,0)),""))</f>
        <v/>
      </c>
      <c r="P1417" s="12" t="n"/>
      <c r="Q1417" s="12" t="n"/>
      <c r="R1417" s="12" t="n"/>
      <c r="S1417" s="13">
        <f>IF($R1417="","",IFERROR(INDEX(Emp_Names,MATCH($R1417,Emp_Codes,0)),"NOT FOUND"))</f>
        <v/>
      </c>
      <c r="T1417" s="12" t="n"/>
      <c r="U1417" s="12" t="n"/>
      <c r="V1417" s="12" t="n"/>
    </row>
    <row r="1418">
      <c r="A1418" s="12" t="n"/>
      <c r="B1418" s="12" t="n"/>
      <c r="C1418" s="12" t="n"/>
      <c r="D1418" s="13">
        <f>IF($A1418="","",TRIM($B1418&amp;" "&amp;$C1418))</f>
        <v/>
      </c>
      <c r="E1418" s="12" t="n"/>
      <c r="F1418" s="12" t="n"/>
      <c r="G1418" s="14" t="n"/>
      <c r="H1418" s="14" t="n"/>
      <c r="I1418" s="12" t="n"/>
      <c r="J1418" s="14" t="n"/>
      <c r="K1418" s="12" t="n"/>
      <c r="L1418" s="13">
        <f>IF($K1418="","",IFERROR(INDEX(Dept_Names,MATCH($K1418,Dept_Codes,0)),"NOT FOUND"))</f>
        <v/>
      </c>
      <c r="M1418" s="12" t="n"/>
      <c r="N1418" s="13">
        <f>IF($M1418="","",IFERROR(INDEX(Desig_Names,MATCH($M1418,Desig_Codes,0)),"NOT FOUND"))</f>
        <v/>
      </c>
      <c r="O1418" s="13">
        <f>IF($M1418="","",IFERROR(INDEX(Desig_Levels,MATCH($M1418,Desig_Codes,0)),""))</f>
        <v/>
      </c>
      <c r="P1418" s="12" t="n"/>
      <c r="Q1418" s="12" t="n"/>
      <c r="R1418" s="12" t="n"/>
      <c r="S1418" s="13">
        <f>IF($R1418="","",IFERROR(INDEX(Emp_Names,MATCH($R1418,Emp_Codes,0)),"NOT FOUND"))</f>
        <v/>
      </c>
      <c r="T1418" s="12" t="n"/>
      <c r="U1418" s="12" t="n"/>
      <c r="V1418" s="12" t="n"/>
    </row>
    <row r="1419">
      <c r="A1419" s="12" t="n"/>
      <c r="B1419" s="12" t="n"/>
      <c r="C1419" s="12" t="n"/>
      <c r="D1419" s="13">
        <f>IF($A1419="","",TRIM($B1419&amp;" "&amp;$C1419))</f>
        <v/>
      </c>
      <c r="E1419" s="12" t="n"/>
      <c r="F1419" s="12" t="n"/>
      <c r="G1419" s="14" t="n"/>
      <c r="H1419" s="14" t="n"/>
      <c r="I1419" s="12" t="n"/>
      <c r="J1419" s="14" t="n"/>
      <c r="K1419" s="12" t="n"/>
      <c r="L1419" s="13">
        <f>IF($K1419="","",IFERROR(INDEX(Dept_Names,MATCH($K1419,Dept_Codes,0)),"NOT FOUND"))</f>
        <v/>
      </c>
      <c r="M1419" s="12" t="n"/>
      <c r="N1419" s="13">
        <f>IF($M1419="","",IFERROR(INDEX(Desig_Names,MATCH($M1419,Desig_Codes,0)),"NOT FOUND"))</f>
        <v/>
      </c>
      <c r="O1419" s="13">
        <f>IF($M1419="","",IFERROR(INDEX(Desig_Levels,MATCH($M1419,Desig_Codes,0)),""))</f>
        <v/>
      </c>
      <c r="P1419" s="12" t="n"/>
      <c r="Q1419" s="12" t="n"/>
      <c r="R1419" s="12" t="n"/>
      <c r="S1419" s="13">
        <f>IF($R1419="","",IFERROR(INDEX(Emp_Names,MATCH($R1419,Emp_Codes,0)),"NOT FOUND"))</f>
        <v/>
      </c>
      <c r="T1419" s="12" t="n"/>
      <c r="U1419" s="12" t="n"/>
      <c r="V1419" s="12" t="n"/>
    </row>
    <row r="1420">
      <c r="A1420" s="12" t="n"/>
      <c r="B1420" s="12" t="n"/>
      <c r="C1420" s="12" t="n"/>
      <c r="D1420" s="13">
        <f>IF($A1420="","",TRIM($B1420&amp;" "&amp;$C1420))</f>
        <v/>
      </c>
      <c r="E1420" s="12" t="n"/>
      <c r="F1420" s="12" t="n"/>
      <c r="G1420" s="14" t="n"/>
      <c r="H1420" s="14" t="n"/>
      <c r="I1420" s="12" t="n"/>
      <c r="J1420" s="14" t="n"/>
      <c r="K1420" s="12" t="n"/>
      <c r="L1420" s="13">
        <f>IF($K1420="","",IFERROR(INDEX(Dept_Names,MATCH($K1420,Dept_Codes,0)),"NOT FOUND"))</f>
        <v/>
      </c>
      <c r="M1420" s="12" t="n"/>
      <c r="N1420" s="13">
        <f>IF($M1420="","",IFERROR(INDEX(Desig_Names,MATCH($M1420,Desig_Codes,0)),"NOT FOUND"))</f>
        <v/>
      </c>
      <c r="O1420" s="13">
        <f>IF($M1420="","",IFERROR(INDEX(Desig_Levels,MATCH($M1420,Desig_Codes,0)),""))</f>
        <v/>
      </c>
      <c r="P1420" s="12" t="n"/>
      <c r="Q1420" s="12" t="n"/>
      <c r="R1420" s="12" t="n"/>
      <c r="S1420" s="13">
        <f>IF($R1420="","",IFERROR(INDEX(Emp_Names,MATCH($R1420,Emp_Codes,0)),"NOT FOUND"))</f>
        <v/>
      </c>
      <c r="T1420" s="12" t="n"/>
      <c r="U1420" s="12" t="n"/>
      <c r="V1420" s="12" t="n"/>
    </row>
    <row r="1421">
      <c r="A1421" s="12" t="n"/>
      <c r="B1421" s="12" t="n"/>
      <c r="C1421" s="12" t="n"/>
      <c r="D1421" s="13">
        <f>IF($A1421="","",TRIM($B1421&amp;" "&amp;$C1421))</f>
        <v/>
      </c>
      <c r="E1421" s="12" t="n"/>
      <c r="F1421" s="12" t="n"/>
      <c r="G1421" s="14" t="n"/>
      <c r="H1421" s="14" t="n"/>
      <c r="I1421" s="12" t="n"/>
      <c r="J1421" s="14" t="n"/>
      <c r="K1421" s="12" t="n"/>
      <c r="L1421" s="13">
        <f>IF($K1421="","",IFERROR(INDEX(Dept_Names,MATCH($K1421,Dept_Codes,0)),"NOT FOUND"))</f>
        <v/>
      </c>
      <c r="M1421" s="12" t="n"/>
      <c r="N1421" s="13">
        <f>IF($M1421="","",IFERROR(INDEX(Desig_Names,MATCH($M1421,Desig_Codes,0)),"NOT FOUND"))</f>
        <v/>
      </c>
      <c r="O1421" s="13">
        <f>IF($M1421="","",IFERROR(INDEX(Desig_Levels,MATCH($M1421,Desig_Codes,0)),""))</f>
        <v/>
      </c>
      <c r="P1421" s="12" t="n"/>
      <c r="Q1421" s="12" t="n"/>
      <c r="R1421" s="12" t="n"/>
      <c r="S1421" s="13">
        <f>IF($R1421="","",IFERROR(INDEX(Emp_Names,MATCH($R1421,Emp_Codes,0)),"NOT FOUND"))</f>
        <v/>
      </c>
      <c r="T1421" s="12" t="n"/>
      <c r="U1421" s="12" t="n"/>
      <c r="V1421" s="12" t="n"/>
    </row>
    <row r="1422">
      <c r="A1422" s="12" t="n"/>
      <c r="B1422" s="12" t="n"/>
      <c r="C1422" s="12" t="n"/>
      <c r="D1422" s="13">
        <f>IF($A1422="","",TRIM($B1422&amp;" "&amp;$C1422))</f>
        <v/>
      </c>
      <c r="E1422" s="12" t="n"/>
      <c r="F1422" s="12" t="n"/>
      <c r="G1422" s="14" t="n"/>
      <c r="H1422" s="14" t="n"/>
      <c r="I1422" s="12" t="n"/>
      <c r="J1422" s="14" t="n"/>
      <c r="K1422" s="12" t="n"/>
      <c r="L1422" s="13">
        <f>IF($K1422="","",IFERROR(INDEX(Dept_Names,MATCH($K1422,Dept_Codes,0)),"NOT FOUND"))</f>
        <v/>
      </c>
      <c r="M1422" s="12" t="n"/>
      <c r="N1422" s="13">
        <f>IF($M1422="","",IFERROR(INDEX(Desig_Names,MATCH($M1422,Desig_Codes,0)),"NOT FOUND"))</f>
        <v/>
      </c>
      <c r="O1422" s="13">
        <f>IF($M1422="","",IFERROR(INDEX(Desig_Levels,MATCH($M1422,Desig_Codes,0)),""))</f>
        <v/>
      </c>
      <c r="P1422" s="12" t="n"/>
      <c r="Q1422" s="12" t="n"/>
      <c r="R1422" s="12" t="n"/>
      <c r="S1422" s="13">
        <f>IF($R1422="","",IFERROR(INDEX(Emp_Names,MATCH($R1422,Emp_Codes,0)),"NOT FOUND"))</f>
        <v/>
      </c>
      <c r="T1422" s="12" t="n"/>
      <c r="U1422" s="12" t="n"/>
      <c r="V1422" s="12" t="n"/>
    </row>
    <row r="1423">
      <c r="A1423" s="12" t="n"/>
      <c r="B1423" s="12" t="n"/>
      <c r="C1423" s="12" t="n"/>
      <c r="D1423" s="13">
        <f>IF($A1423="","",TRIM($B1423&amp;" "&amp;$C1423))</f>
        <v/>
      </c>
      <c r="E1423" s="12" t="n"/>
      <c r="F1423" s="12" t="n"/>
      <c r="G1423" s="14" t="n"/>
      <c r="H1423" s="14" t="n"/>
      <c r="I1423" s="12" t="n"/>
      <c r="J1423" s="14" t="n"/>
      <c r="K1423" s="12" t="n"/>
      <c r="L1423" s="13">
        <f>IF($K1423="","",IFERROR(INDEX(Dept_Names,MATCH($K1423,Dept_Codes,0)),"NOT FOUND"))</f>
        <v/>
      </c>
      <c r="M1423" s="12" t="n"/>
      <c r="N1423" s="13">
        <f>IF($M1423="","",IFERROR(INDEX(Desig_Names,MATCH($M1423,Desig_Codes,0)),"NOT FOUND"))</f>
        <v/>
      </c>
      <c r="O1423" s="13">
        <f>IF($M1423="","",IFERROR(INDEX(Desig_Levels,MATCH($M1423,Desig_Codes,0)),""))</f>
        <v/>
      </c>
      <c r="P1423" s="12" t="n"/>
      <c r="Q1423" s="12" t="n"/>
      <c r="R1423" s="12" t="n"/>
      <c r="S1423" s="13">
        <f>IF($R1423="","",IFERROR(INDEX(Emp_Names,MATCH($R1423,Emp_Codes,0)),"NOT FOUND"))</f>
        <v/>
      </c>
      <c r="T1423" s="12" t="n"/>
      <c r="U1423" s="12" t="n"/>
      <c r="V1423" s="12" t="n"/>
    </row>
    <row r="1424">
      <c r="A1424" s="12" t="n"/>
      <c r="B1424" s="12" t="n"/>
      <c r="C1424" s="12" t="n"/>
      <c r="D1424" s="13">
        <f>IF($A1424="","",TRIM($B1424&amp;" "&amp;$C1424))</f>
        <v/>
      </c>
      <c r="E1424" s="12" t="n"/>
      <c r="F1424" s="12" t="n"/>
      <c r="G1424" s="14" t="n"/>
      <c r="H1424" s="14" t="n"/>
      <c r="I1424" s="12" t="n"/>
      <c r="J1424" s="14" t="n"/>
      <c r="K1424" s="12" t="n"/>
      <c r="L1424" s="13">
        <f>IF($K1424="","",IFERROR(INDEX(Dept_Names,MATCH($K1424,Dept_Codes,0)),"NOT FOUND"))</f>
        <v/>
      </c>
      <c r="M1424" s="12" t="n"/>
      <c r="N1424" s="13">
        <f>IF($M1424="","",IFERROR(INDEX(Desig_Names,MATCH($M1424,Desig_Codes,0)),"NOT FOUND"))</f>
        <v/>
      </c>
      <c r="O1424" s="13">
        <f>IF($M1424="","",IFERROR(INDEX(Desig_Levels,MATCH($M1424,Desig_Codes,0)),""))</f>
        <v/>
      </c>
      <c r="P1424" s="12" t="n"/>
      <c r="Q1424" s="12" t="n"/>
      <c r="R1424" s="12" t="n"/>
      <c r="S1424" s="13">
        <f>IF($R1424="","",IFERROR(INDEX(Emp_Names,MATCH($R1424,Emp_Codes,0)),"NOT FOUND"))</f>
        <v/>
      </c>
      <c r="T1424" s="12" t="n"/>
      <c r="U1424" s="12" t="n"/>
      <c r="V1424" s="12" t="n"/>
    </row>
    <row r="1425">
      <c r="A1425" s="12" t="n"/>
      <c r="B1425" s="12" t="n"/>
      <c r="C1425" s="12" t="n"/>
      <c r="D1425" s="13">
        <f>IF($A1425="","",TRIM($B1425&amp;" "&amp;$C1425))</f>
        <v/>
      </c>
      <c r="E1425" s="12" t="n"/>
      <c r="F1425" s="12" t="n"/>
      <c r="G1425" s="14" t="n"/>
      <c r="H1425" s="14" t="n"/>
      <c r="I1425" s="12" t="n"/>
      <c r="J1425" s="14" t="n"/>
      <c r="K1425" s="12" t="n"/>
      <c r="L1425" s="13">
        <f>IF($K1425="","",IFERROR(INDEX(Dept_Names,MATCH($K1425,Dept_Codes,0)),"NOT FOUND"))</f>
        <v/>
      </c>
      <c r="M1425" s="12" t="n"/>
      <c r="N1425" s="13">
        <f>IF($M1425="","",IFERROR(INDEX(Desig_Names,MATCH($M1425,Desig_Codes,0)),"NOT FOUND"))</f>
        <v/>
      </c>
      <c r="O1425" s="13">
        <f>IF($M1425="","",IFERROR(INDEX(Desig_Levels,MATCH($M1425,Desig_Codes,0)),""))</f>
        <v/>
      </c>
      <c r="P1425" s="12" t="n"/>
      <c r="Q1425" s="12" t="n"/>
      <c r="R1425" s="12" t="n"/>
      <c r="S1425" s="13">
        <f>IF($R1425="","",IFERROR(INDEX(Emp_Names,MATCH($R1425,Emp_Codes,0)),"NOT FOUND"))</f>
        <v/>
      </c>
      <c r="T1425" s="12" t="n"/>
      <c r="U1425" s="12" t="n"/>
      <c r="V1425" s="12" t="n"/>
    </row>
    <row r="1426">
      <c r="A1426" s="12" t="n"/>
      <c r="B1426" s="12" t="n"/>
      <c r="C1426" s="12" t="n"/>
      <c r="D1426" s="13">
        <f>IF($A1426="","",TRIM($B1426&amp;" "&amp;$C1426))</f>
        <v/>
      </c>
      <c r="E1426" s="12" t="n"/>
      <c r="F1426" s="12" t="n"/>
      <c r="G1426" s="14" t="n"/>
      <c r="H1426" s="14" t="n"/>
      <c r="I1426" s="12" t="n"/>
      <c r="J1426" s="14" t="n"/>
      <c r="K1426" s="12" t="n"/>
      <c r="L1426" s="13">
        <f>IF($K1426="","",IFERROR(INDEX(Dept_Names,MATCH($K1426,Dept_Codes,0)),"NOT FOUND"))</f>
        <v/>
      </c>
      <c r="M1426" s="12" t="n"/>
      <c r="N1426" s="13">
        <f>IF($M1426="","",IFERROR(INDEX(Desig_Names,MATCH($M1426,Desig_Codes,0)),"NOT FOUND"))</f>
        <v/>
      </c>
      <c r="O1426" s="13">
        <f>IF($M1426="","",IFERROR(INDEX(Desig_Levels,MATCH($M1426,Desig_Codes,0)),""))</f>
        <v/>
      </c>
      <c r="P1426" s="12" t="n"/>
      <c r="Q1426" s="12" t="n"/>
      <c r="R1426" s="12" t="n"/>
      <c r="S1426" s="13">
        <f>IF($R1426="","",IFERROR(INDEX(Emp_Names,MATCH($R1426,Emp_Codes,0)),"NOT FOUND"))</f>
        <v/>
      </c>
      <c r="T1426" s="12" t="n"/>
      <c r="U1426" s="12" t="n"/>
      <c r="V1426" s="12" t="n"/>
    </row>
    <row r="1427">
      <c r="A1427" s="12" t="n"/>
      <c r="B1427" s="12" t="n"/>
      <c r="C1427" s="12" t="n"/>
      <c r="D1427" s="13">
        <f>IF($A1427="","",TRIM($B1427&amp;" "&amp;$C1427))</f>
        <v/>
      </c>
      <c r="E1427" s="12" t="n"/>
      <c r="F1427" s="12" t="n"/>
      <c r="G1427" s="14" t="n"/>
      <c r="H1427" s="14" t="n"/>
      <c r="I1427" s="12" t="n"/>
      <c r="J1427" s="14" t="n"/>
      <c r="K1427" s="12" t="n"/>
      <c r="L1427" s="13">
        <f>IF($K1427="","",IFERROR(INDEX(Dept_Names,MATCH($K1427,Dept_Codes,0)),"NOT FOUND"))</f>
        <v/>
      </c>
      <c r="M1427" s="12" t="n"/>
      <c r="N1427" s="13">
        <f>IF($M1427="","",IFERROR(INDEX(Desig_Names,MATCH($M1427,Desig_Codes,0)),"NOT FOUND"))</f>
        <v/>
      </c>
      <c r="O1427" s="13">
        <f>IF($M1427="","",IFERROR(INDEX(Desig_Levels,MATCH($M1427,Desig_Codes,0)),""))</f>
        <v/>
      </c>
      <c r="P1427" s="12" t="n"/>
      <c r="Q1427" s="12" t="n"/>
      <c r="R1427" s="12" t="n"/>
      <c r="S1427" s="13">
        <f>IF($R1427="","",IFERROR(INDEX(Emp_Names,MATCH($R1427,Emp_Codes,0)),"NOT FOUND"))</f>
        <v/>
      </c>
      <c r="T1427" s="12" t="n"/>
      <c r="U1427" s="12" t="n"/>
      <c r="V1427" s="12" t="n"/>
    </row>
    <row r="1428">
      <c r="A1428" s="12" t="n"/>
      <c r="B1428" s="12" t="n"/>
      <c r="C1428" s="12" t="n"/>
      <c r="D1428" s="13">
        <f>IF($A1428="","",TRIM($B1428&amp;" "&amp;$C1428))</f>
        <v/>
      </c>
      <c r="E1428" s="12" t="n"/>
      <c r="F1428" s="12" t="n"/>
      <c r="G1428" s="14" t="n"/>
      <c r="H1428" s="14" t="n"/>
      <c r="I1428" s="12" t="n"/>
      <c r="J1428" s="14" t="n"/>
      <c r="K1428" s="12" t="n"/>
      <c r="L1428" s="13">
        <f>IF($K1428="","",IFERROR(INDEX(Dept_Names,MATCH($K1428,Dept_Codes,0)),"NOT FOUND"))</f>
        <v/>
      </c>
      <c r="M1428" s="12" t="n"/>
      <c r="N1428" s="13">
        <f>IF($M1428="","",IFERROR(INDEX(Desig_Names,MATCH($M1428,Desig_Codes,0)),"NOT FOUND"))</f>
        <v/>
      </c>
      <c r="O1428" s="13">
        <f>IF($M1428="","",IFERROR(INDEX(Desig_Levels,MATCH($M1428,Desig_Codes,0)),""))</f>
        <v/>
      </c>
      <c r="P1428" s="12" t="n"/>
      <c r="Q1428" s="12" t="n"/>
      <c r="R1428" s="12" t="n"/>
      <c r="S1428" s="13">
        <f>IF($R1428="","",IFERROR(INDEX(Emp_Names,MATCH($R1428,Emp_Codes,0)),"NOT FOUND"))</f>
        <v/>
      </c>
      <c r="T1428" s="12" t="n"/>
      <c r="U1428" s="12" t="n"/>
      <c r="V1428" s="12" t="n"/>
    </row>
    <row r="1429">
      <c r="A1429" s="12" t="n"/>
      <c r="B1429" s="12" t="n"/>
      <c r="C1429" s="12" t="n"/>
      <c r="D1429" s="13">
        <f>IF($A1429="","",TRIM($B1429&amp;" "&amp;$C1429))</f>
        <v/>
      </c>
      <c r="E1429" s="12" t="n"/>
      <c r="F1429" s="12" t="n"/>
      <c r="G1429" s="14" t="n"/>
      <c r="H1429" s="14" t="n"/>
      <c r="I1429" s="12" t="n"/>
      <c r="J1429" s="14" t="n"/>
      <c r="K1429" s="12" t="n"/>
      <c r="L1429" s="13">
        <f>IF($K1429="","",IFERROR(INDEX(Dept_Names,MATCH($K1429,Dept_Codes,0)),"NOT FOUND"))</f>
        <v/>
      </c>
      <c r="M1429" s="12" t="n"/>
      <c r="N1429" s="13">
        <f>IF($M1429="","",IFERROR(INDEX(Desig_Names,MATCH($M1429,Desig_Codes,0)),"NOT FOUND"))</f>
        <v/>
      </c>
      <c r="O1429" s="13">
        <f>IF($M1429="","",IFERROR(INDEX(Desig_Levels,MATCH($M1429,Desig_Codes,0)),""))</f>
        <v/>
      </c>
      <c r="P1429" s="12" t="n"/>
      <c r="Q1429" s="12" t="n"/>
      <c r="R1429" s="12" t="n"/>
      <c r="S1429" s="13">
        <f>IF($R1429="","",IFERROR(INDEX(Emp_Names,MATCH($R1429,Emp_Codes,0)),"NOT FOUND"))</f>
        <v/>
      </c>
      <c r="T1429" s="12" t="n"/>
      <c r="U1429" s="12" t="n"/>
      <c r="V1429" s="12" t="n"/>
    </row>
    <row r="1430">
      <c r="A1430" s="12" t="n"/>
      <c r="B1430" s="12" t="n"/>
      <c r="C1430" s="12" t="n"/>
      <c r="D1430" s="13">
        <f>IF($A1430="","",TRIM($B1430&amp;" "&amp;$C1430))</f>
        <v/>
      </c>
      <c r="E1430" s="12" t="n"/>
      <c r="F1430" s="12" t="n"/>
      <c r="G1430" s="14" t="n"/>
      <c r="H1430" s="14" t="n"/>
      <c r="I1430" s="12" t="n"/>
      <c r="J1430" s="14" t="n"/>
      <c r="K1430" s="12" t="n"/>
      <c r="L1430" s="13">
        <f>IF($K1430="","",IFERROR(INDEX(Dept_Names,MATCH($K1430,Dept_Codes,0)),"NOT FOUND"))</f>
        <v/>
      </c>
      <c r="M1430" s="12" t="n"/>
      <c r="N1430" s="13">
        <f>IF($M1430="","",IFERROR(INDEX(Desig_Names,MATCH($M1430,Desig_Codes,0)),"NOT FOUND"))</f>
        <v/>
      </c>
      <c r="O1430" s="13">
        <f>IF($M1430="","",IFERROR(INDEX(Desig_Levels,MATCH($M1430,Desig_Codes,0)),""))</f>
        <v/>
      </c>
      <c r="P1430" s="12" t="n"/>
      <c r="Q1430" s="12" t="n"/>
      <c r="R1430" s="12" t="n"/>
      <c r="S1430" s="13">
        <f>IF($R1430="","",IFERROR(INDEX(Emp_Names,MATCH($R1430,Emp_Codes,0)),"NOT FOUND"))</f>
        <v/>
      </c>
      <c r="T1430" s="12" t="n"/>
      <c r="U1430" s="12" t="n"/>
      <c r="V1430" s="12" t="n"/>
    </row>
    <row r="1431">
      <c r="A1431" s="12" t="n"/>
      <c r="B1431" s="12" t="n"/>
      <c r="C1431" s="12" t="n"/>
      <c r="D1431" s="13">
        <f>IF($A1431="","",TRIM($B1431&amp;" "&amp;$C1431))</f>
        <v/>
      </c>
      <c r="E1431" s="12" t="n"/>
      <c r="F1431" s="12" t="n"/>
      <c r="G1431" s="14" t="n"/>
      <c r="H1431" s="14" t="n"/>
      <c r="I1431" s="12" t="n"/>
      <c r="J1431" s="14" t="n"/>
      <c r="K1431" s="12" t="n"/>
      <c r="L1431" s="13">
        <f>IF($K1431="","",IFERROR(INDEX(Dept_Names,MATCH($K1431,Dept_Codes,0)),"NOT FOUND"))</f>
        <v/>
      </c>
      <c r="M1431" s="12" t="n"/>
      <c r="N1431" s="13">
        <f>IF($M1431="","",IFERROR(INDEX(Desig_Names,MATCH($M1431,Desig_Codes,0)),"NOT FOUND"))</f>
        <v/>
      </c>
      <c r="O1431" s="13">
        <f>IF($M1431="","",IFERROR(INDEX(Desig_Levels,MATCH($M1431,Desig_Codes,0)),""))</f>
        <v/>
      </c>
      <c r="P1431" s="12" t="n"/>
      <c r="Q1431" s="12" t="n"/>
      <c r="R1431" s="12" t="n"/>
      <c r="S1431" s="13">
        <f>IF($R1431="","",IFERROR(INDEX(Emp_Names,MATCH($R1431,Emp_Codes,0)),"NOT FOUND"))</f>
        <v/>
      </c>
      <c r="T1431" s="12" t="n"/>
      <c r="U1431" s="12" t="n"/>
      <c r="V1431" s="12" t="n"/>
    </row>
    <row r="1432">
      <c r="A1432" s="12" t="n"/>
      <c r="B1432" s="12" t="n"/>
      <c r="C1432" s="12" t="n"/>
      <c r="D1432" s="13">
        <f>IF($A1432="","",TRIM($B1432&amp;" "&amp;$C1432))</f>
        <v/>
      </c>
      <c r="E1432" s="12" t="n"/>
      <c r="F1432" s="12" t="n"/>
      <c r="G1432" s="14" t="n"/>
      <c r="H1432" s="14" t="n"/>
      <c r="I1432" s="12" t="n"/>
      <c r="J1432" s="14" t="n"/>
      <c r="K1432" s="12" t="n"/>
      <c r="L1432" s="13">
        <f>IF($K1432="","",IFERROR(INDEX(Dept_Names,MATCH($K1432,Dept_Codes,0)),"NOT FOUND"))</f>
        <v/>
      </c>
      <c r="M1432" s="12" t="n"/>
      <c r="N1432" s="13">
        <f>IF($M1432="","",IFERROR(INDEX(Desig_Names,MATCH($M1432,Desig_Codes,0)),"NOT FOUND"))</f>
        <v/>
      </c>
      <c r="O1432" s="13">
        <f>IF($M1432="","",IFERROR(INDEX(Desig_Levels,MATCH($M1432,Desig_Codes,0)),""))</f>
        <v/>
      </c>
      <c r="P1432" s="12" t="n"/>
      <c r="Q1432" s="12" t="n"/>
      <c r="R1432" s="12" t="n"/>
      <c r="S1432" s="13">
        <f>IF($R1432="","",IFERROR(INDEX(Emp_Names,MATCH($R1432,Emp_Codes,0)),"NOT FOUND"))</f>
        <v/>
      </c>
      <c r="T1432" s="12" t="n"/>
      <c r="U1432" s="12" t="n"/>
      <c r="V1432" s="12" t="n"/>
    </row>
    <row r="1433">
      <c r="A1433" s="12" t="n"/>
      <c r="B1433" s="12" t="n"/>
      <c r="C1433" s="12" t="n"/>
      <c r="D1433" s="13">
        <f>IF($A1433="","",TRIM($B1433&amp;" "&amp;$C1433))</f>
        <v/>
      </c>
      <c r="E1433" s="12" t="n"/>
      <c r="F1433" s="12" t="n"/>
      <c r="G1433" s="14" t="n"/>
      <c r="H1433" s="14" t="n"/>
      <c r="I1433" s="12" t="n"/>
      <c r="J1433" s="14" t="n"/>
      <c r="K1433" s="12" t="n"/>
      <c r="L1433" s="13">
        <f>IF($K1433="","",IFERROR(INDEX(Dept_Names,MATCH($K1433,Dept_Codes,0)),"NOT FOUND"))</f>
        <v/>
      </c>
      <c r="M1433" s="12" t="n"/>
      <c r="N1433" s="13">
        <f>IF($M1433="","",IFERROR(INDEX(Desig_Names,MATCH($M1433,Desig_Codes,0)),"NOT FOUND"))</f>
        <v/>
      </c>
      <c r="O1433" s="13">
        <f>IF($M1433="","",IFERROR(INDEX(Desig_Levels,MATCH($M1433,Desig_Codes,0)),""))</f>
        <v/>
      </c>
      <c r="P1433" s="12" t="n"/>
      <c r="Q1433" s="12" t="n"/>
      <c r="R1433" s="12" t="n"/>
      <c r="S1433" s="13">
        <f>IF($R1433="","",IFERROR(INDEX(Emp_Names,MATCH($R1433,Emp_Codes,0)),"NOT FOUND"))</f>
        <v/>
      </c>
      <c r="T1433" s="12" t="n"/>
      <c r="U1433" s="12" t="n"/>
      <c r="V1433" s="12" t="n"/>
    </row>
    <row r="1434">
      <c r="A1434" s="12" t="n"/>
      <c r="B1434" s="12" t="n"/>
      <c r="C1434" s="12" t="n"/>
      <c r="D1434" s="13">
        <f>IF($A1434="","",TRIM($B1434&amp;" "&amp;$C1434))</f>
        <v/>
      </c>
      <c r="E1434" s="12" t="n"/>
      <c r="F1434" s="12" t="n"/>
      <c r="G1434" s="14" t="n"/>
      <c r="H1434" s="14" t="n"/>
      <c r="I1434" s="12" t="n"/>
      <c r="J1434" s="14" t="n"/>
      <c r="K1434" s="12" t="n"/>
      <c r="L1434" s="13">
        <f>IF($K1434="","",IFERROR(INDEX(Dept_Names,MATCH($K1434,Dept_Codes,0)),"NOT FOUND"))</f>
        <v/>
      </c>
      <c r="M1434" s="12" t="n"/>
      <c r="N1434" s="13">
        <f>IF($M1434="","",IFERROR(INDEX(Desig_Names,MATCH($M1434,Desig_Codes,0)),"NOT FOUND"))</f>
        <v/>
      </c>
      <c r="O1434" s="13">
        <f>IF($M1434="","",IFERROR(INDEX(Desig_Levels,MATCH($M1434,Desig_Codes,0)),""))</f>
        <v/>
      </c>
      <c r="P1434" s="12" t="n"/>
      <c r="Q1434" s="12" t="n"/>
      <c r="R1434" s="12" t="n"/>
      <c r="S1434" s="13">
        <f>IF($R1434="","",IFERROR(INDEX(Emp_Names,MATCH($R1434,Emp_Codes,0)),"NOT FOUND"))</f>
        <v/>
      </c>
      <c r="T1434" s="12" t="n"/>
      <c r="U1434" s="12" t="n"/>
      <c r="V1434" s="12" t="n"/>
    </row>
    <row r="1435">
      <c r="A1435" s="12" t="n"/>
      <c r="B1435" s="12" t="n"/>
      <c r="C1435" s="12" t="n"/>
      <c r="D1435" s="13">
        <f>IF($A1435="","",TRIM($B1435&amp;" "&amp;$C1435))</f>
        <v/>
      </c>
      <c r="E1435" s="12" t="n"/>
      <c r="F1435" s="12" t="n"/>
      <c r="G1435" s="14" t="n"/>
      <c r="H1435" s="14" t="n"/>
      <c r="I1435" s="12" t="n"/>
      <c r="J1435" s="14" t="n"/>
      <c r="K1435" s="12" t="n"/>
      <c r="L1435" s="13">
        <f>IF($K1435="","",IFERROR(INDEX(Dept_Names,MATCH($K1435,Dept_Codes,0)),"NOT FOUND"))</f>
        <v/>
      </c>
      <c r="M1435" s="12" t="n"/>
      <c r="N1435" s="13">
        <f>IF($M1435="","",IFERROR(INDEX(Desig_Names,MATCH($M1435,Desig_Codes,0)),"NOT FOUND"))</f>
        <v/>
      </c>
      <c r="O1435" s="13">
        <f>IF($M1435="","",IFERROR(INDEX(Desig_Levels,MATCH($M1435,Desig_Codes,0)),""))</f>
        <v/>
      </c>
      <c r="P1435" s="12" t="n"/>
      <c r="Q1435" s="12" t="n"/>
      <c r="R1435" s="12" t="n"/>
      <c r="S1435" s="13">
        <f>IF($R1435="","",IFERROR(INDEX(Emp_Names,MATCH($R1435,Emp_Codes,0)),"NOT FOUND"))</f>
        <v/>
      </c>
      <c r="T1435" s="12" t="n"/>
      <c r="U1435" s="12" t="n"/>
      <c r="V1435" s="12" t="n"/>
    </row>
    <row r="1436">
      <c r="A1436" s="12" t="n"/>
      <c r="B1436" s="12" t="n"/>
      <c r="C1436" s="12" t="n"/>
      <c r="D1436" s="13">
        <f>IF($A1436="","",TRIM($B1436&amp;" "&amp;$C1436))</f>
        <v/>
      </c>
      <c r="E1436" s="12" t="n"/>
      <c r="F1436" s="12" t="n"/>
      <c r="G1436" s="14" t="n"/>
      <c r="H1436" s="14" t="n"/>
      <c r="I1436" s="12" t="n"/>
      <c r="J1436" s="14" t="n"/>
      <c r="K1436" s="12" t="n"/>
      <c r="L1436" s="13">
        <f>IF($K1436="","",IFERROR(INDEX(Dept_Names,MATCH($K1436,Dept_Codes,0)),"NOT FOUND"))</f>
        <v/>
      </c>
      <c r="M1436" s="12" t="n"/>
      <c r="N1436" s="13">
        <f>IF($M1436="","",IFERROR(INDEX(Desig_Names,MATCH($M1436,Desig_Codes,0)),"NOT FOUND"))</f>
        <v/>
      </c>
      <c r="O1436" s="13">
        <f>IF($M1436="","",IFERROR(INDEX(Desig_Levels,MATCH($M1436,Desig_Codes,0)),""))</f>
        <v/>
      </c>
      <c r="P1436" s="12" t="n"/>
      <c r="Q1436" s="12" t="n"/>
      <c r="R1436" s="12" t="n"/>
      <c r="S1436" s="13">
        <f>IF($R1436="","",IFERROR(INDEX(Emp_Names,MATCH($R1436,Emp_Codes,0)),"NOT FOUND"))</f>
        <v/>
      </c>
      <c r="T1436" s="12" t="n"/>
      <c r="U1436" s="12" t="n"/>
      <c r="V1436" s="12" t="n"/>
    </row>
    <row r="1437">
      <c r="A1437" s="12" t="n"/>
      <c r="B1437" s="12" t="n"/>
      <c r="C1437" s="12" t="n"/>
      <c r="D1437" s="13">
        <f>IF($A1437="","",TRIM($B1437&amp;" "&amp;$C1437))</f>
        <v/>
      </c>
      <c r="E1437" s="12" t="n"/>
      <c r="F1437" s="12" t="n"/>
      <c r="G1437" s="14" t="n"/>
      <c r="H1437" s="14" t="n"/>
      <c r="I1437" s="12" t="n"/>
      <c r="J1437" s="14" t="n"/>
      <c r="K1437" s="12" t="n"/>
      <c r="L1437" s="13">
        <f>IF($K1437="","",IFERROR(INDEX(Dept_Names,MATCH($K1437,Dept_Codes,0)),"NOT FOUND"))</f>
        <v/>
      </c>
      <c r="M1437" s="12" t="n"/>
      <c r="N1437" s="13">
        <f>IF($M1437="","",IFERROR(INDEX(Desig_Names,MATCH($M1437,Desig_Codes,0)),"NOT FOUND"))</f>
        <v/>
      </c>
      <c r="O1437" s="13">
        <f>IF($M1437="","",IFERROR(INDEX(Desig_Levels,MATCH($M1437,Desig_Codes,0)),""))</f>
        <v/>
      </c>
      <c r="P1437" s="12" t="n"/>
      <c r="Q1437" s="12" t="n"/>
      <c r="R1437" s="12" t="n"/>
      <c r="S1437" s="13">
        <f>IF($R1437="","",IFERROR(INDEX(Emp_Names,MATCH($R1437,Emp_Codes,0)),"NOT FOUND"))</f>
        <v/>
      </c>
      <c r="T1437" s="12" t="n"/>
      <c r="U1437" s="12" t="n"/>
      <c r="V1437" s="12" t="n"/>
    </row>
    <row r="1438">
      <c r="A1438" s="12" t="n"/>
      <c r="B1438" s="12" t="n"/>
      <c r="C1438" s="12" t="n"/>
      <c r="D1438" s="13">
        <f>IF($A1438="","",TRIM($B1438&amp;" "&amp;$C1438))</f>
        <v/>
      </c>
      <c r="E1438" s="12" t="n"/>
      <c r="F1438" s="12" t="n"/>
      <c r="G1438" s="14" t="n"/>
      <c r="H1438" s="14" t="n"/>
      <c r="I1438" s="12" t="n"/>
      <c r="J1438" s="14" t="n"/>
      <c r="K1438" s="12" t="n"/>
      <c r="L1438" s="13">
        <f>IF($K1438="","",IFERROR(INDEX(Dept_Names,MATCH($K1438,Dept_Codes,0)),"NOT FOUND"))</f>
        <v/>
      </c>
      <c r="M1438" s="12" t="n"/>
      <c r="N1438" s="13">
        <f>IF($M1438="","",IFERROR(INDEX(Desig_Names,MATCH($M1438,Desig_Codes,0)),"NOT FOUND"))</f>
        <v/>
      </c>
      <c r="O1438" s="13">
        <f>IF($M1438="","",IFERROR(INDEX(Desig_Levels,MATCH($M1438,Desig_Codes,0)),""))</f>
        <v/>
      </c>
      <c r="P1438" s="12" t="n"/>
      <c r="Q1438" s="12" t="n"/>
      <c r="R1438" s="12" t="n"/>
      <c r="S1438" s="13">
        <f>IF($R1438="","",IFERROR(INDEX(Emp_Names,MATCH($R1438,Emp_Codes,0)),"NOT FOUND"))</f>
        <v/>
      </c>
      <c r="T1438" s="12" t="n"/>
      <c r="U1438" s="12" t="n"/>
      <c r="V1438" s="12" t="n"/>
    </row>
    <row r="1439">
      <c r="A1439" s="12" t="n"/>
      <c r="B1439" s="12" t="n"/>
      <c r="C1439" s="12" t="n"/>
      <c r="D1439" s="13">
        <f>IF($A1439="","",TRIM($B1439&amp;" "&amp;$C1439))</f>
        <v/>
      </c>
      <c r="E1439" s="12" t="n"/>
      <c r="F1439" s="12" t="n"/>
      <c r="G1439" s="14" t="n"/>
      <c r="H1439" s="14" t="n"/>
      <c r="I1439" s="12" t="n"/>
      <c r="J1439" s="14" t="n"/>
      <c r="K1439" s="12" t="n"/>
      <c r="L1439" s="13">
        <f>IF($K1439="","",IFERROR(INDEX(Dept_Names,MATCH($K1439,Dept_Codes,0)),"NOT FOUND"))</f>
        <v/>
      </c>
      <c r="M1439" s="12" t="n"/>
      <c r="N1439" s="13">
        <f>IF($M1439="","",IFERROR(INDEX(Desig_Names,MATCH($M1439,Desig_Codes,0)),"NOT FOUND"))</f>
        <v/>
      </c>
      <c r="O1439" s="13">
        <f>IF($M1439="","",IFERROR(INDEX(Desig_Levels,MATCH($M1439,Desig_Codes,0)),""))</f>
        <v/>
      </c>
      <c r="P1439" s="12" t="n"/>
      <c r="Q1439" s="12" t="n"/>
      <c r="R1439" s="12" t="n"/>
      <c r="S1439" s="13">
        <f>IF($R1439="","",IFERROR(INDEX(Emp_Names,MATCH($R1439,Emp_Codes,0)),"NOT FOUND"))</f>
        <v/>
      </c>
      <c r="T1439" s="12" t="n"/>
      <c r="U1439" s="12" t="n"/>
      <c r="V1439" s="12" t="n"/>
    </row>
    <row r="1440">
      <c r="A1440" s="12" t="n"/>
      <c r="B1440" s="12" t="n"/>
      <c r="C1440" s="12" t="n"/>
      <c r="D1440" s="13">
        <f>IF($A1440="","",TRIM($B1440&amp;" "&amp;$C1440))</f>
        <v/>
      </c>
      <c r="E1440" s="12" t="n"/>
      <c r="F1440" s="12" t="n"/>
      <c r="G1440" s="14" t="n"/>
      <c r="H1440" s="14" t="n"/>
      <c r="I1440" s="12" t="n"/>
      <c r="J1440" s="14" t="n"/>
      <c r="K1440" s="12" t="n"/>
      <c r="L1440" s="13">
        <f>IF($K1440="","",IFERROR(INDEX(Dept_Names,MATCH($K1440,Dept_Codes,0)),"NOT FOUND"))</f>
        <v/>
      </c>
      <c r="M1440" s="12" t="n"/>
      <c r="N1440" s="13">
        <f>IF($M1440="","",IFERROR(INDEX(Desig_Names,MATCH($M1440,Desig_Codes,0)),"NOT FOUND"))</f>
        <v/>
      </c>
      <c r="O1440" s="13">
        <f>IF($M1440="","",IFERROR(INDEX(Desig_Levels,MATCH($M1440,Desig_Codes,0)),""))</f>
        <v/>
      </c>
      <c r="P1440" s="12" t="n"/>
      <c r="Q1440" s="12" t="n"/>
      <c r="R1440" s="12" t="n"/>
      <c r="S1440" s="13">
        <f>IF($R1440="","",IFERROR(INDEX(Emp_Names,MATCH($R1440,Emp_Codes,0)),"NOT FOUND"))</f>
        <v/>
      </c>
      <c r="T1440" s="12" t="n"/>
      <c r="U1440" s="12" t="n"/>
      <c r="V1440" s="12" t="n"/>
    </row>
    <row r="1441">
      <c r="A1441" s="12" t="n"/>
      <c r="B1441" s="12" t="n"/>
      <c r="C1441" s="12" t="n"/>
      <c r="D1441" s="13">
        <f>IF($A1441="","",TRIM($B1441&amp;" "&amp;$C1441))</f>
        <v/>
      </c>
      <c r="E1441" s="12" t="n"/>
      <c r="F1441" s="12" t="n"/>
      <c r="G1441" s="14" t="n"/>
      <c r="H1441" s="14" t="n"/>
      <c r="I1441" s="12" t="n"/>
      <c r="J1441" s="14" t="n"/>
      <c r="K1441" s="12" t="n"/>
      <c r="L1441" s="13">
        <f>IF($K1441="","",IFERROR(INDEX(Dept_Names,MATCH($K1441,Dept_Codes,0)),"NOT FOUND"))</f>
        <v/>
      </c>
      <c r="M1441" s="12" t="n"/>
      <c r="N1441" s="13">
        <f>IF($M1441="","",IFERROR(INDEX(Desig_Names,MATCH($M1441,Desig_Codes,0)),"NOT FOUND"))</f>
        <v/>
      </c>
      <c r="O1441" s="13">
        <f>IF($M1441="","",IFERROR(INDEX(Desig_Levels,MATCH($M1441,Desig_Codes,0)),""))</f>
        <v/>
      </c>
      <c r="P1441" s="12" t="n"/>
      <c r="Q1441" s="12" t="n"/>
      <c r="R1441" s="12" t="n"/>
      <c r="S1441" s="13">
        <f>IF($R1441="","",IFERROR(INDEX(Emp_Names,MATCH($R1441,Emp_Codes,0)),"NOT FOUND"))</f>
        <v/>
      </c>
      <c r="T1441" s="12" t="n"/>
      <c r="U1441" s="12" t="n"/>
      <c r="V1441" s="12" t="n"/>
    </row>
    <row r="1442">
      <c r="A1442" s="12" t="n"/>
      <c r="B1442" s="12" t="n"/>
      <c r="C1442" s="12" t="n"/>
      <c r="D1442" s="13">
        <f>IF($A1442="","",TRIM($B1442&amp;" "&amp;$C1442))</f>
        <v/>
      </c>
      <c r="E1442" s="12" t="n"/>
      <c r="F1442" s="12" t="n"/>
      <c r="G1442" s="14" t="n"/>
      <c r="H1442" s="14" t="n"/>
      <c r="I1442" s="12" t="n"/>
      <c r="J1442" s="14" t="n"/>
      <c r="K1442" s="12" t="n"/>
      <c r="L1442" s="13">
        <f>IF($K1442="","",IFERROR(INDEX(Dept_Names,MATCH($K1442,Dept_Codes,0)),"NOT FOUND"))</f>
        <v/>
      </c>
      <c r="M1442" s="12" t="n"/>
      <c r="N1442" s="13">
        <f>IF($M1442="","",IFERROR(INDEX(Desig_Names,MATCH($M1442,Desig_Codes,0)),"NOT FOUND"))</f>
        <v/>
      </c>
      <c r="O1442" s="13">
        <f>IF($M1442="","",IFERROR(INDEX(Desig_Levels,MATCH($M1442,Desig_Codes,0)),""))</f>
        <v/>
      </c>
      <c r="P1442" s="12" t="n"/>
      <c r="Q1442" s="12" t="n"/>
      <c r="R1442" s="12" t="n"/>
      <c r="S1442" s="13">
        <f>IF($R1442="","",IFERROR(INDEX(Emp_Names,MATCH($R1442,Emp_Codes,0)),"NOT FOUND"))</f>
        <v/>
      </c>
      <c r="T1442" s="12" t="n"/>
      <c r="U1442" s="12" t="n"/>
      <c r="V1442" s="12" t="n"/>
    </row>
    <row r="1443">
      <c r="A1443" s="12" t="n"/>
      <c r="B1443" s="12" t="n"/>
      <c r="C1443" s="12" t="n"/>
      <c r="D1443" s="13">
        <f>IF($A1443="","",TRIM($B1443&amp;" "&amp;$C1443))</f>
        <v/>
      </c>
      <c r="E1443" s="12" t="n"/>
      <c r="F1443" s="12" t="n"/>
      <c r="G1443" s="14" t="n"/>
      <c r="H1443" s="14" t="n"/>
      <c r="I1443" s="12" t="n"/>
      <c r="J1443" s="14" t="n"/>
      <c r="K1443" s="12" t="n"/>
      <c r="L1443" s="13">
        <f>IF($K1443="","",IFERROR(INDEX(Dept_Names,MATCH($K1443,Dept_Codes,0)),"NOT FOUND"))</f>
        <v/>
      </c>
      <c r="M1443" s="12" t="n"/>
      <c r="N1443" s="13">
        <f>IF($M1443="","",IFERROR(INDEX(Desig_Names,MATCH($M1443,Desig_Codes,0)),"NOT FOUND"))</f>
        <v/>
      </c>
      <c r="O1443" s="13">
        <f>IF($M1443="","",IFERROR(INDEX(Desig_Levels,MATCH($M1443,Desig_Codes,0)),""))</f>
        <v/>
      </c>
      <c r="P1443" s="12" t="n"/>
      <c r="Q1443" s="12" t="n"/>
      <c r="R1443" s="12" t="n"/>
      <c r="S1443" s="13">
        <f>IF($R1443="","",IFERROR(INDEX(Emp_Names,MATCH($R1443,Emp_Codes,0)),"NOT FOUND"))</f>
        <v/>
      </c>
      <c r="T1443" s="12" t="n"/>
      <c r="U1443" s="12" t="n"/>
      <c r="V1443" s="12" t="n"/>
    </row>
    <row r="1444">
      <c r="A1444" s="12" t="n"/>
      <c r="B1444" s="12" t="n"/>
      <c r="C1444" s="12" t="n"/>
      <c r="D1444" s="13">
        <f>IF($A1444="","",TRIM($B1444&amp;" "&amp;$C1444))</f>
        <v/>
      </c>
      <c r="E1444" s="12" t="n"/>
      <c r="F1444" s="12" t="n"/>
      <c r="G1444" s="14" t="n"/>
      <c r="H1444" s="14" t="n"/>
      <c r="I1444" s="12" t="n"/>
      <c r="J1444" s="14" t="n"/>
      <c r="K1444" s="12" t="n"/>
      <c r="L1444" s="13">
        <f>IF($K1444="","",IFERROR(INDEX(Dept_Names,MATCH($K1444,Dept_Codes,0)),"NOT FOUND"))</f>
        <v/>
      </c>
      <c r="M1444" s="12" t="n"/>
      <c r="N1444" s="13">
        <f>IF($M1444="","",IFERROR(INDEX(Desig_Names,MATCH($M1444,Desig_Codes,0)),"NOT FOUND"))</f>
        <v/>
      </c>
      <c r="O1444" s="13">
        <f>IF($M1444="","",IFERROR(INDEX(Desig_Levels,MATCH($M1444,Desig_Codes,0)),""))</f>
        <v/>
      </c>
      <c r="P1444" s="12" t="n"/>
      <c r="Q1444" s="12" t="n"/>
      <c r="R1444" s="12" t="n"/>
      <c r="S1444" s="13">
        <f>IF($R1444="","",IFERROR(INDEX(Emp_Names,MATCH($R1444,Emp_Codes,0)),"NOT FOUND"))</f>
        <v/>
      </c>
      <c r="T1444" s="12" t="n"/>
      <c r="U1444" s="12" t="n"/>
      <c r="V1444" s="12" t="n"/>
    </row>
    <row r="1445">
      <c r="A1445" s="12" t="n"/>
      <c r="B1445" s="12" t="n"/>
      <c r="C1445" s="12" t="n"/>
      <c r="D1445" s="13">
        <f>IF($A1445="","",TRIM($B1445&amp;" "&amp;$C1445))</f>
        <v/>
      </c>
      <c r="E1445" s="12" t="n"/>
      <c r="F1445" s="12" t="n"/>
      <c r="G1445" s="14" t="n"/>
      <c r="H1445" s="14" t="n"/>
      <c r="I1445" s="12" t="n"/>
      <c r="J1445" s="14" t="n"/>
      <c r="K1445" s="12" t="n"/>
      <c r="L1445" s="13">
        <f>IF($K1445="","",IFERROR(INDEX(Dept_Names,MATCH($K1445,Dept_Codes,0)),"NOT FOUND"))</f>
        <v/>
      </c>
      <c r="M1445" s="12" t="n"/>
      <c r="N1445" s="13">
        <f>IF($M1445="","",IFERROR(INDEX(Desig_Names,MATCH($M1445,Desig_Codes,0)),"NOT FOUND"))</f>
        <v/>
      </c>
      <c r="O1445" s="13">
        <f>IF($M1445="","",IFERROR(INDEX(Desig_Levels,MATCH($M1445,Desig_Codes,0)),""))</f>
        <v/>
      </c>
      <c r="P1445" s="12" t="n"/>
      <c r="Q1445" s="12" t="n"/>
      <c r="R1445" s="12" t="n"/>
      <c r="S1445" s="13">
        <f>IF($R1445="","",IFERROR(INDEX(Emp_Names,MATCH($R1445,Emp_Codes,0)),"NOT FOUND"))</f>
        <v/>
      </c>
      <c r="T1445" s="12" t="n"/>
      <c r="U1445" s="12" t="n"/>
      <c r="V1445" s="12" t="n"/>
    </row>
    <row r="1446">
      <c r="A1446" s="12" t="n"/>
      <c r="B1446" s="12" t="n"/>
      <c r="C1446" s="12" t="n"/>
      <c r="D1446" s="13">
        <f>IF($A1446="","",TRIM($B1446&amp;" "&amp;$C1446))</f>
        <v/>
      </c>
      <c r="E1446" s="12" t="n"/>
      <c r="F1446" s="12" t="n"/>
      <c r="G1446" s="14" t="n"/>
      <c r="H1446" s="14" t="n"/>
      <c r="I1446" s="12" t="n"/>
      <c r="J1446" s="14" t="n"/>
      <c r="K1446" s="12" t="n"/>
      <c r="L1446" s="13">
        <f>IF($K1446="","",IFERROR(INDEX(Dept_Names,MATCH($K1446,Dept_Codes,0)),"NOT FOUND"))</f>
        <v/>
      </c>
      <c r="M1446" s="12" t="n"/>
      <c r="N1446" s="13">
        <f>IF($M1446="","",IFERROR(INDEX(Desig_Names,MATCH($M1446,Desig_Codes,0)),"NOT FOUND"))</f>
        <v/>
      </c>
      <c r="O1446" s="13">
        <f>IF($M1446="","",IFERROR(INDEX(Desig_Levels,MATCH($M1446,Desig_Codes,0)),""))</f>
        <v/>
      </c>
      <c r="P1446" s="12" t="n"/>
      <c r="Q1446" s="12" t="n"/>
      <c r="R1446" s="12" t="n"/>
      <c r="S1446" s="13">
        <f>IF($R1446="","",IFERROR(INDEX(Emp_Names,MATCH($R1446,Emp_Codes,0)),"NOT FOUND"))</f>
        <v/>
      </c>
      <c r="T1446" s="12" t="n"/>
      <c r="U1446" s="12" t="n"/>
      <c r="V1446" s="12" t="n"/>
    </row>
    <row r="1447">
      <c r="A1447" s="12" t="n"/>
      <c r="B1447" s="12" t="n"/>
      <c r="C1447" s="12" t="n"/>
      <c r="D1447" s="13">
        <f>IF($A1447="","",TRIM($B1447&amp;" "&amp;$C1447))</f>
        <v/>
      </c>
      <c r="E1447" s="12" t="n"/>
      <c r="F1447" s="12" t="n"/>
      <c r="G1447" s="14" t="n"/>
      <c r="H1447" s="14" t="n"/>
      <c r="I1447" s="12" t="n"/>
      <c r="J1447" s="14" t="n"/>
      <c r="K1447" s="12" t="n"/>
      <c r="L1447" s="13">
        <f>IF($K1447="","",IFERROR(INDEX(Dept_Names,MATCH($K1447,Dept_Codes,0)),"NOT FOUND"))</f>
        <v/>
      </c>
      <c r="M1447" s="12" t="n"/>
      <c r="N1447" s="13">
        <f>IF($M1447="","",IFERROR(INDEX(Desig_Names,MATCH($M1447,Desig_Codes,0)),"NOT FOUND"))</f>
        <v/>
      </c>
      <c r="O1447" s="13">
        <f>IF($M1447="","",IFERROR(INDEX(Desig_Levels,MATCH($M1447,Desig_Codes,0)),""))</f>
        <v/>
      </c>
      <c r="P1447" s="12" t="n"/>
      <c r="Q1447" s="12" t="n"/>
      <c r="R1447" s="12" t="n"/>
      <c r="S1447" s="13">
        <f>IF($R1447="","",IFERROR(INDEX(Emp_Names,MATCH($R1447,Emp_Codes,0)),"NOT FOUND"))</f>
        <v/>
      </c>
      <c r="T1447" s="12" t="n"/>
      <c r="U1447" s="12" t="n"/>
      <c r="V1447" s="12" t="n"/>
    </row>
    <row r="1448">
      <c r="A1448" s="12" t="n"/>
      <c r="B1448" s="12" t="n"/>
      <c r="C1448" s="12" t="n"/>
      <c r="D1448" s="13">
        <f>IF($A1448="","",TRIM($B1448&amp;" "&amp;$C1448))</f>
        <v/>
      </c>
      <c r="E1448" s="12" t="n"/>
      <c r="F1448" s="12" t="n"/>
      <c r="G1448" s="14" t="n"/>
      <c r="H1448" s="14" t="n"/>
      <c r="I1448" s="12" t="n"/>
      <c r="J1448" s="14" t="n"/>
      <c r="K1448" s="12" t="n"/>
      <c r="L1448" s="13">
        <f>IF($K1448="","",IFERROR(INDEX(Dept_Names,MATCH($K1448,Dept_Codes,0)),"NOT FOUND"))</f>
        <v/>
      </c>
      <c r="M1448" s="12" t="n"/>
      <c r="N1448" s="13">
        <f>IF($M1448="","",IFERROR(INDEX(Desig_Names,MATCH($M1448,Desig_Codes,0)),"NOT FOUND"))</f>
        <v/>
      </c>
      <c r="O1448" s="13">
        <f>IF($M1448="","",IFERROR(INDEX(Desig_Levels,MATCH($M1448,Desig_Codes,0)),""))</f>
        <v/>
      </c>
      <c r="P1448" s="12" t="n"/>
      <c r="Q1448" s="12" t="n"/>
      <c r="R1448" s="12" t="n"/>
      <c r="S1448" s="13">
        <f>IF($R1448="","",IFERROR(INDEX(Emp_Names,MATCH($R1448,Emp_Codes,0)),"NOT FOUND"))</f>
        <v/>
      </c>
      <c r="T1448" s="12" t="n"/>
      <c r="U1448" s="12" t="n"/>
      <c r="V1448" s="12" t="n"/>
    </row>
    <row r="1449">
      <c r="A1449" s="12" t="n"/>
      <c r="B1449" s="12" t="n"/>
      <c r="C1449" s="12" t="n"/>
      <c r="D1449" s="13">
        <f>IF($A1449="","",TRIM($B1449&amp;" "&amp;$C1449))</f>
        <v/>
      </c>
      <c r="E1449" s="12" t="n"/>
      <c r="F1449" s="12" t="n"/>
      <c r="G1449" s="14" t="n"/>
      <c r="H1449" s="14" t="n"/>
      <c r="I1449" s="12" t="n"/>
      <c r="J1449" s="14" t="n"/>
      <c r="K1449" s="12" t="n"/>
      <c r="L1449" s="13">
        <f>IF($K1449="","",IFERROR(INDEX(Dept_Names,MATCH($K1449,Dept_Codes,0)),"NOT FOUND"))</f>
        <v/>
      </c>
      <c r="M1449" s="12" t="n"/>
      <c r="N1449" s="13">
        <f>IF($M1449="","",IFERROR(INDEX(Desig_Names,MATCH($M1449,Desig_Codes,0)),"NOT FOUND"))</f>
        <v/>
      </c>
      <c r="O1449" s="13">
        <f>IF($M1449="","",IFERROR(INDEX(Desig_Levels,MATCH($M1449,Desig_Codes,0)),""))</f>
        <v/>
      </c>
      <c r="P1449" s="12" t="n"/>
      <c r="Q1449" s="12" t="n"/>
      <c r="R1449" s="12" t="n"/>
      <c r="S1449" s="13">
        <f>IF($R1449="","",IFERROR(INDEX(Emp_Names,MATCH($R1449,Emp_Codes,0)),"NOT FOUND"))</f>
        <v/>
      </c>
      <c r="T1449" s="12" t="n"/>
      <c r="U1449" s="12" t="n"/>
      <c r="V1449" s="12" t="n"/>
    </row>
    <row r="1450">
      <c r="A1450" s="12" t="n"/>
      <c r="B1450" s="12" t="n"/>
      <c r="C1450" s="12" t="n"/>
      <c r="D1450" s="13">
        <f>IF($A1450="","",TRIM($B1450&amp;" "&amp;$C1450))</f>
        <v/>
      </c>
      <c r="E1450" s="12" t="n"/>
      <c r="F1450" s="12" t="n"/>
      <c r="G1450" s="14" t="n"/>
      <c r="H1450" s="14" t="n"/>
      <c r="I1450" s="12" t="n"/>
      <c r="J1450" s="14" t="n"/>
      <c r="K1450" s="12" t="n"/>
      <c r="L1450" s="13">
        <f>IF($K1450="","",IFERROR(INDEX(Dept_Names,MATCH($K1450,Dept_Codes,0)),"NOT FOUND"))</f>
        <v/>
      </c>
      <c r="M1450" s="12" t="n"/>
      <c r="N1450" s="13">
        <f>IF($M1450="","",IFERROR(INDEX(Desig_Names,MATCH($M1450,Desig_Codes,0)),"NOT FOUND"))</f>
        <v/>
      </c>
      <c r="O1450" s="13">
        <f>IF($M1450="","",IFERROR(INDEX(Desig_Levels,MATCH($M1450,Desig_Codes,0)),""))</f>
        <v/>
      </c>
      <c r="P1450" s="12" t="n"/>
      <c r="Q1450" s="12" t="n"/>
      <c r="R1450" s="12" t="n"/>
      <c r="S1450" s="13">
        <f>IF($R1450="","",IFERROR(INDEX(Emp_Names,MATCH($R1450,Emp_Codes,0)),"NOT FOUND"))</f>
        <v/>
      </c>
      <c r="T1450" s="12" t="n"/>
      <c r="U1450" s="12" t="n"/>
      <c r="V1450" s="12" t="n"/>
    </row>
    <row r="1451">
      <c r="A1451" s="12" t="n"/>
      <c r="B1451" s="12" t="n"/>
      <c r="C1451" s="12" t="n"/>
      <c r="D1451" s="13">
        <f>IF($A1451="","",TRIM($B1451&amp;" "&amp;$C1451))</f>
        <v/>
      </c>
      <c r="E1451" s="12" t="n"/>
      <c r="F1451" s="12" t="n"/>
      <c r="G1451" s="14" t="n"/>
      <c r="H1451" s="14" t="n"/>
      <c r="I1451" s="12" t="n"/>
      <c r="J1451" s="14" t="n"/>
      <c r="K1451" s="12" t="n"/>
      <c r="L1451" s="13">
        <f>IF($K1451="","",IFERROR(INDEX(Dept_Names,MATCH($K1451,Dept_Codes,0)),"NOT FOUND"))</f>
        <v/>
      </c>
      <c r="M1451" s="12" t="n"/>
      <c r="N1451" s="13">
        <f>IF($M1451="","",IFERROR(INDEX(Desig_Names,MATCH($M1451,Desig_Codes,0)),"NOT FOUND"))</f>
        <v/>
      </c>
      <c r="O1451" s="13">
        <f>IF($M1451="","",IFERROR(INDEX(Desig_Levels,MATCH($M1451,Desig_Codes,0)),""))</f>
        <v/>
      </c>
      <c r="P1451" s="12" t="n"/>
      <c r="Q1451" s="12" t="n"/>
      <c r="R1451" s="12" t="n"/>
      <c r="S1451" s="13">
        <f>IF($R1451="","",IFERROR(INDEX(Emp_Names,MATCH($R1451,Emp_Codes,0)),"NOT FOUND"))</f>
        <v/>
      </c>
      <c r="T1451" s="12" t="n"/>
      <c r="U1451" s="12" t="n"/>
      <c r="V1451" s="12" t="n"/>
    </row>
    <row r="1452">
      <c r="A1452" s="12" t="n"/>
      <c r="B1452" s="12" t="n"/>
      <c r="C1452" s="12" t="n"/>
      <c r="D1452" s="13">
        <f>IF($A1452="","",TRIM($B1452&amp;" "&amp;$C1452))</f>
        <v/>
      </c>
      <c r="E1452" s="12" t="n"/>
      <c r="F1452" s="12" t="n"/>
      <c r="G1452" s="14" t="n"/>
      <c r="H1452" s="14" t="n"/>
      <c r="I1452" s="12" t="n"/>
      <c r="J1452" s="14" t="n"/>
      <c r="K1452" s="12" t="n"/>
      <c r="L1452" s="13">
        <f>IF($K1452="","",IFERROR(INDEX(Dept_Names,MATCH($K1452,Dept_Codes,0)),"NOT FOUND"))</f>
        <v/>
      </c>
      <c r="M1452" s="12" t="n"/>
      <c r="N1452" s="13">
        <f>IF($M1452="","",IFERROR(INDEX(Desig_Names,MATCH($M1452,Desig_Codes,0)),"NOT FOUND"))</f>
        <v/>
      </c>
      <c r="O1452" s="13">
        <f>IF($M1452="","",IFERROR(INDEX(Desig_Levels,MATCH($M1452,Desig_Codes,0)),""))</f>
        <v/>
      </c>
      <c r="P1452" s="12" t="n"/>
      <c r="Q1452" s="12" t="n"/>
      <c r="R1452" s="12" t="n"/>
      <c r="S1452" s="13">
        <f>IF($R1452="","",IFERROR(INDEX(Emp_Names,MATCH($R1452,Emp_Codes,0)),"NOT FOUND"))</f>
        <v/>
      </c>
      <c r="T1452" s="12" t="n"/>
      <c r="U1452" s="12" t="n"/>
      <c r="V1452" s="12" t="n"/>
    </row>
    <row r="1453">
      <c r="A1453" s="12" t="n"/>
      <c r="B1453" s="12" t="n"/>
      <c r="C1453" s="12" t="n"/>
      <c r="D1453" s="13">
        <f>IF($A1453="","",TRIM($B1453&amp;" "&amp;$C1453))</f>
        <v/>
      </c>
      <c r="E1453" s="12" t="n"/>
      <c r="F1453" s="12" t="n"/>
      <c r="G1453" s="14" t="n"/>
      <c r="H1453" s="14" t="n"/>
      <c r="I1453" s="12" t="n"/>
      <c r="J1453" s="14" t="n"/>
      <c r="K1453" s="12" t="n"/>
      <c r="L1453" s="13">
        <f>IF($K1453="","",IFERROR(INDEX(Dept_Names,MATCH($K1453,Dept_Codes,0)),"NOT FOUND"))</f>
        <v/>
      </c>
      <c r="M1453" s="12" t="n"/>
      <c r="N1453" s="13">
        <f>IF($M1453="","",IFERROR(INDEX(Desig_Names,MATCH($M1453,Desig_Codes,0)),"NOT FOUND"))</f>
        <v/>
      </c>
      <c r="O1453" s="13">
        <f>IF($M1453="","",IFERROR(INDEX(Desig_Levels,MATCH($M1453,Desig_Codes,0)),""))</f>
        <v/>
      </c>
      <c r="P1453" s="12" t="n"/>
      <c r="Q1453" s="12" t="n"/>
      <c r="R1453" s="12" t="n"/>
      <c r="S1453" s="13">
        <f>IF($R1453="","",IFERROR(INDEX(Emp_Names,MATCH($R1453,Emp_Codes,0)),"NOT FOUND"))</f>
        <v/>
      </c>
      <c r="T1453" s="12" t="n"/>
      <c r="U1453" s="12" t="n"/>
      <c r="V1453" s="12" t="n"/>
    </row>
    <row r="1454">
      <c r="A1454" s="12" t="n"/>
      <c r="B1454" s="12" t="n"/>
      <c r="C1454" s="12" t="n"/>
      <c r="D1454" s="13">
        <f>IF($A1454="","",TRIM($B1454&amp;" "&amp;$C1454))</f>
        <v/>
      </c>
      <c r="E1454" s="12" t="n"/>
      <c r="F1454" s="12" t="n"/>
      <c r="G1454" s="14" t="n"/>
      <c r="H1454" s="14" t="n"/>
      <c r="I1454" s="12" t="n"/>
      <c r="J1454" s="14" t="n"/>
      <c r="K1454" s="12" t="n"/>
      <c r="L1454" s="13">
        <f>IF($K1454="","",IFERROR(INDEX(Dept_Names,MATCH($K1454,Dept_Codes,0)),"NOT FOUND"))</f>
        <v/>
      </c>
      <c r="M1454" s="12" t="n"/>
      <c r="N1454" s="13">
        <f>IF($M1454="","",IFERROR(INDEX(Desig_Names,MATCH($M1454,Desig_Codes,0)),"NOT FOUND"))</f>
        <v/>
      </c>
      <c r="O1454" s="13">
        <f>IF($M1454="","",IFERROR(INDEX(Desig_Levels,MATCH($M1454,Desig_Codes,0)),""))</f>
        <v/>
      </c>
      <c r="P1454" s="12" t="n"/>
      <c r="Q1454" s="12" t="n"/>
      <c r="R1454" s="12" t="n"/>
      <c r="S1454" s="13">
        <f>IF($R1454="","",IFERROR(INDEX(Emp_Names,MATCH($R1454,Emp_Codes,0)),"NOT FOUND"))</f>
        <v/>
      </c>
      <c r="T1454" s="12" t="n"/>
      <c r="U1454" s="12" t="n"/>
      <c r="V1454" s="12" t="n"/>
    </row>
    <row r="1455">
      <c r="A1455" s="12" t="n"/>
      <c r="B1455" s="12" t="n"/>
      <c r="C1455" s="12" t="n"/>
      <c r="D1455" s="13">
        <f>IF($A1455="","",TRIM($B1455&amp;" "&amp;$C1455))</f>
        <v/>
      </c>
      <c r="E1455" s="12" t="n"/>
      <c r="F1455" s="12" t="n"/>
      <c r="G1455" s="14" t="n"/>
      <c r="H1455" s="14" t="n"/>
      <c r="I1455" s="12" t="n"/>
      <c r="J1455" s="14" t="n"/>
      <c r="K1455" s="12" t="n"/>
      <c r="L1455" s="13">
        <f>IF($K1455="","",IFERROR(INDEX(Dept_Names,MATCH($K1455,Dept_Codes,0)),"NOT FOUND"))</f>
        <v/>
      </c>
      <c r="M1455" s="12" t="n"/>
      <c r="N1455" s="13">
        <f>IF($M1455="","",IFERROR(INDEX(Desig_Names,MATCH($M1455,Desig_Codes,0)),"NOT FOUND"))</f>
        <v/>
      </c>
      <c r="O1455" s="13">
        <f>IF($M1455="","",IFERROR(INDEX(Desig_Levels,MATCH($M1455,Desig_Codes,0)),""))</f>
        <v/>
      </c>
      <c r="P1455" s="12" t="n"/>
      <c r="Q1455" s="12" t="n"/>
      <c r="R1455" s="12" t="n"/>
      <c r="S1455" s="13">
        <f>IF($R1455="","",IFERROR(INDEX(Emp_Names,MATCH($R1455,Emp_Codes,0)),"NOT FOUND"))</f>
        <v/>
      </c>
      <c r="T1455" s="12" t="n"/>
      <c r="U1455" s="12" t="n"/>
      <c r="V1455" s="12" t="n"/>
    </row>
    <row r="1456">
      <c r="A1456" s="12" t="n"/>
      <c r="B1456" s="12" t="n"/>
      <c r="C1456" s="12" t="n"/>
      <c r="D1456" s="13">
        <f>IF($A1456="","",TRIM($B1456&amp;" "&amp;$C1456))</f>
        <v/>
      </c>
      <c r="E1456" s="12" t="n"/>
      <c r="F1456" s="12" t="n"/>
      <c r="G1456" s="14" t="n"/>
      <c r="H1456" s="14" t="n"/>
      <c r="I1456" s="12" t="n"/>
      <c r="J1456" s="14" t="n"/>
      <c r="K1456" s="12" t="n"/>
      <c r="L1456" s="13">
        <f>IF($K1456="","",IFERROR(INDEX(Dept_Names,MATCH($K1456,Dept_Codes,0)),"NOT FOUND"))</f>
        <v/>
      </c>
      <c r="M1456" s="12" t="n"/>
      <c r="N1456" s="13">
        <f>IF($M1456="","",IFERROR(INDEX(Desig_Names,MATCH($M1456,Desig_Codes,0)),"NOT FOUND"))</f>
        <v/>
      </c>
      <c r="O1456" s="13">
        <f>IF($M1456="","",IFERROR(INDEX(Desig_Levels,MATCH($M1456,Desig_Codes,0)),""))</f>
        <v/>
      </c>
      <c r="P1456" s="12" t="n"/>
      <c r="Q1456" s="12" t="n"/>
      <c r="R1456" s="12" t="n"/>
      <c r="S1456" s="13">
        <f>IF($R1456="","",IFERROR(INDEX(Emp_Names,MATCH($R1456,Emp_Codes,0)),"NOT FOUND"))</f>
        <v/>
      </c>
      <c r="T1456" s="12" t="n"/>
      <c r="U1456" s="12" t="n"/>
      <c r="V1456" s="12" t="n"/>
    </row>
    <row r="1457">
      <c r="A1457" s="12" t="n"/>
      <c r="B1457" s="12" t="n"/>
      <c r="C1457" s="12" t="n"/>
      <c r="D1457" s="13">
        <f>IF($A1457="","",TRIM($B1457&amp;" "&amp;$C1457))</f>
        <v/>
      </c>
      <c r="E1457" s="12" t="n"/>
      <c r="F1457" s="12" t="n"/>
      <c r="G1457" s="14" t="n"/>
      <c r="H1457" s="14" t="n"/>
      <c r="I1457" s="12" t="n"/>
      <c r="J1457" s="14" t="n"/>
      <c r="K1457" s="12" t="n"/>
      <c r="L1457" s="13">
        <f>IF($K1457="","",IFERROR(INDEX(Dept_Names,MATCH($K1457,Dept_Codes,0)),"NOT FOUND"))</f>
        <v/>
      </c>
      <c r="M1457" s="12" t="n"/>
      <c r="N1457" s="13">
        <f>IF($M1457="","",IFERROR(INDEX(Desig_Names,MATCH($M1457,Desig_Codes,0)),"NOT FOUND"))</f>
        <v/>
      </c>
      <c r="O1457" s="13">
        <f>IF($M1457="","",IFERROR(INDEX(Desig_Levels,MATCH($M1457,Desig_Codes,0)),""))</f>
        <v/>
      </c>
      <c r="P1457" s="12" t="n"/>
      <c r="Q1457" s="12" t="n"/>
      <c r="R1457" s="12" t="n"/>
      <c r="S1457" s="13">
        <f>IF($R1457="","",IFERROR(INDEX(Emp_Names,MATCH($R1457,Emp_Codes,0)),"NOT FOUND"))</f>
        <v/>
      </c>
      <c r="T1457" s="12" t="n"/>
      <c r="U1457" s="12" t="n"/>
      <c r="V1457" s="12" t="n"/>
    </row>
    <row r="1458">
      <c r="A1458" s="12" t="n"/>
      <c r="B1458" s="12" t="n"/>
      <c r="C1458" s="12" t="n"/>
      <c r="D1458" s="13">
        <f>IF($A1458="","",TRIM($B1458&amp;" "&amp;$C1458))</f>
        <v/>
      </c>
      <c r="E1458" s="12" t="n"/>
      <c r="F1458" s="12" t="n"/>
      <c r="G1458" s="14" t="n"/>
      <c r="H1458" s="14" t="n"/>
      <c r="I1458" s="12" t="n"/>
      <c r="J1458" s="14" t="n"/>
      <c r="K1458" s="12" t="n"/>
      <c r="L1458" s="13">
        <f>IF($K1458="","",IFERROR(INDEX(Dept_Names,MATCH($K1458,Dept_Codes,0)),"NOT FOUND"))</f>
        <v/>
      </c>
      <c r="M1458" s="12" t="n"/>
      <c r="N1458" s="13">
        <f>IF($M1458="","",IFERROR(INDEX(Desig_Names,MATCH($M1458,Desig_Codes,0)),"NOT FOUND"))</f>
        <v/>
      </c>
      <c r="O1458" s="13">
        <f>IF($M1458="","",IFERROR(INDEX(Desig_Levels,MATCH($M1458,Desig_Codes,0)),""))</f>
        <v/>
      </c>
      <c r="P1458" s="12" t="n"/>
      <c r="Q1458" s="12" t="n"/>
      <c r="R1458" s="12" t="n"/>
      <c r="S1458" s="13">
        <f>IF($R1458="","",IFERROR(INDEX(Emp_Names,MATCH($R1458,Emp_Codes,0)),"NOT FOUND"))</f>
        <v/>
      </c>
      <c r="T1458" s="12" t="n"/>
      <c r="U1458" s="12" t="n"/>
      <c r="V1458" s="12" t="n"/>
    </row>
    <row r="1459">
      <c r="A1459" s="12" t="n"/>
      <c r="B1459" s="12" t="n"/>
      <c r="C1459" s="12" t="n"/>
      <c r="D1459" s="13">
        <f>IF($A1459="","",TRIM($B1459&amp;" "&amp;$C1459))</f>
        <v/>
      </c>
      <c r="E1459" s="12" t="n"/>
      <c r="F1459" s="12" t="n"/>
      <c r="G1459" s="14" t="n"/>
      <c r="H1459" s="14" t="n"/>
      <c r="I1459" s="12" t="n"/>
      <c r="J1459" s="14" t="n"/>
      <c r="K1459" s="12" t="n"/>
      <c r="L1459" s="13">
        <f>IF($K1459="","",IFERROR(INDEX(Dept_Names,MATCH($K1459,Dept_Codes,0)),"NOT FOUND"))</f>
        <v/>
      </c>
      <c r="M1459" s="12" t="n"/>
      <c r="N1459" s="13">
        <f>IF($M1459="","",IFERROR(INDEX(Desig_Names,MATCH($M1459,Desig_Codes,0)),"NOT FOUND"))</f>
        <v/>
      </c>
      <c r="O1459" s="13">
        <f>IF($M1459="","",IFERROR(INDEX(Desig_Levels,MATCH($M1459,Desig_Codes,0)),""))</f>
        <v/>
      </c>
      <c r="P1459" s="12" t="n"/>
      <c r="Q1459" s="12" t="n"/>
      <c r="R1459" s="12" t="n"/>
      <c r="S1459" s="13">
        <f>IF($R1459="","",IFERROR(INDEX(Emp_Names,MATCH($R1459,Emp_Codes,0)),"NOT FOUND"))</f>
        <v/>
      </c>
      <c r="T1459" s="12" t="n"/>
      <c r="U1459" s="12" t="n"/>
      <c r="V1459" s="12" t="n"/>
    </row>
    <row r="1460">
      <c r="A1460" s="12" t="n"/>
      <c r="B1460" s="12" t="n"/>
      <c r="C1460" s="12" t="n"/>
      <c r="D1460" s="13">
        <f>IF($A1460="","",TRIM($B1460&amp;" "&amp;$C1460))</f>
        <v/>
      </c>
      <c r="E1460" s="12" t="n"/>
      <c r="F1460" s="12" t="n"/>
      <c r="G1460" s="14" t="n"/>
      <c r="H1460" s="14" t="n"/>
      <c r="I1460" s="12" t="n"/>
      <c r="J1460" s="14" t="n"/>
      <c r="K1460" s="12" t="n"/>
      <c r="L1460" s="13">
        <f>IF($K1460="","",IFERROR(INDEX(Dept_Names,MATCH($K1460,Dept_Codes,0)),"NOT FOUND"))</f>
        <v/>
      </c>
      <c r="M1460" s="12" t="n"/>
      <c r="N1460" s="13">
        <f>IF($M1460="","",IFERROR(INDEX(Desig_Names,MATCH($M1460,Desig_Codes,0)),"NOT FOUND"))</f>
        <v/>
      </c>
      <c r="O1460" s="13">
        <f>IF($M1460="","",IFERROR(INDEX(Desig_Levels,MATCH($M1460,Desig_Codes,0)),""))</f>
        <v/>
      </c>
      <c r="P1460" s="12" t="n"/>
      <c r="Q1460" s="12" t="n"/>
      <c r="R1460" s="12" t="n"/>
      <c r="S1460" s="13">
        <f>IF($R1460="","",IFERROR(INDEX(Emp_Names,MATCH($R1460,Emp_Codes,0)),"NOT FOUND"))</f>
        <v/>
      </c>
      <c r="T1460" s="12" t="n"/>
      <c r="U1460" s="12" t="n"/>
      <c r="V1460" s="12" t="n"/>
    </row>
    <row r="1461">
      <c r="A1461" s="12" t="n"/>
      <c r="B1461" s="12" t="n"/>
      <c r="C1461" s="12" t="n"/>
      <c r="D1461" s="13">
        <f>IF($A1461="","",TRIM($B1461&amp;" "&amp;$C1461))</f>
        <v/>
      </c>
      <c r="E1461" s="12" t="n"/>
      <c r="F1461" s="12" t="n"/>
      <c r="G1461" s="14" t="n"/>
      <c r="H1461" s="14" t="n"/>
      <c r="I1461" s="12" t="n"/>
      <c r="J1461" s="14" t="n"/>
      <c r="K1461" s="12" t="n"/>
      <c r="L1461" s="13">
        <f>IF($K1461="","",IFERROR(INDEX(Dept_Names,MATCH($K1461,Dept_Codes,0)),"NOT FOUND"))</f>
        <v/>
      </c>
      <c r="M1461" s="12" t="n"/>
      <c r="N1461" s="13">
        <f>IF($M1461="","",IFERROR(INDEX(Desig_Names,MATCH($M1461,Desig_Codes,0)),"NOT FOUND"))</f>
        <v/>
      </c>
      <c r="O1461" s="13">
        <f>IF($M1461="","",IFERROR(INDEX(Desig_Levels,MATCH($M1461,Desig_Codes,0)),""))</f>
        <v/>
      </c>
      <c r="P1461" s="12" t="n"/>
      <c r="Q1461" s="12" t="n"/>
      <c r="R1461" s="12" t="n"/>
      <c r="S1461" s="13">
        <f>IF($R1461="","",IFERROR(INDEX(Emp_Names,MATCH($R1461,Emp_Codes,0)),"NOT FOUND"))</f>
        <v/>
      </c>
      <c r="T1461" s="12" t="n"/>
      <c r="U1461" s="12" t="n"/>
      <c r="V1461" s="12" t="n"/>
    </row>
    <row r="1462">
      <c r="A1462" s="12" t="n"/>
      <c r="B1462" s="12" t="n"/>
      <c r="C1462" s="12" t="n"/>
      <c r="D1462" s="13">
        <f>IF($A1462="","",TRIM($B1462&amp;" "&amp;$C1462))</f>
        <v/>
      </c>
      <c r="E1462" s="12" t="n"/>
      <c r="F1462" s="12" t="n"/>
      <c r="G1462" s="14" t="n"/>
      <c r="H1462" s="14" t="n"/>
      <c r="I1462" s="12" t="n"/>
      <c r="J1462" s="14" t="n"/>
      <c r="K1462" s="12" t="n"/>
      <c r="L1462" s="13">
        <f>IF($K1462="","",IFERROR(INDEX(Dept_Names,MATCH($K1462,Dept_Codes,0)),"NOT FOUND"))</f>
        <v/>
      </c>
      <c r="M1462" s="12" t="n"/>
      <c r="N1462" s="13">
        <f>IF($M1462="","",IFERROR(INDEX(Desig_Names,MATCH($M1462,Desig_Codes,0)),"NOT FOUND"))</f>
        <v/>
      </c>
      <c r="O1462" s="13">
        <f>IF($M1462="","",IFERROR(INDEX(Desig_Levels,MATCH($M1462,Desig_Codes,0)),""))</f>
        <v/>
      </c>
      <c r="P1462" s="12" t="n"/>
      <c r="Q1462" s="12" t="n"/>
      <c r="R1462" s="12" t="n"/>
      <c r="S1462" s="13">
        <f>IF($R1462="","",IFERROR(INDEX(Emp_Names,MATCH($R1462,Emp_Codes,0)),"NOT FOUND"))</f>
        <v/>
      </c>
      <c r="T1462" s="12" t="n"/>
      <c r="U1462" s="12" t="n"/>
      <c r="V1462" s="12" t="n"/>
    </row>
    <row r="1463">
      <c r="A1463" s="12" t="n"/>
      <c r="B1463" s="12" t="n"/>
      <c r="C1463" s="12" t="n"/>
      <c r="D1463" s="13">
        <f>IF($A1463="","",TRIM($B1463&amp;" "&amp;$C1463))</f>
        <v/>
      </c>
      <c r="E1463" s="12" t="n"/>
      <c r="F1463" s="12" t="n"/>
      <c r="G1463" s="14" t="n"/>
      <c r="H1463" s="14" t="n"/>
      <c r="I1463" s="12" t="n"/>
      <c r="J1463" s="14" t="n"/>
      <c r="K1463" s="12" t="n"/>
      <c r="L1463" s="13">
        <f>IF($K1463="","",IFERROR(INDEX(Dept_Names,MATCH($K1463,Dept_Codes,0)),"NOT FOUND"))</f>
        <v/>
      </c>
      <c r="M1463" s="12" t="n"/>
      <c r="N1463" s="13">
        <f>IF($M1463="","",IFERROR(INDEX(Desig_Names,MATCH($M1463,Desig_Codes,0)),"NOT FOUND"))</f>
        <v/>
      </c>
      <c r="O1463" s="13">
        <f>IF($M1463="","",IFERROR(INDEX(Desig_Levels,MATCH($M1463,Desig_Codes,0)),""))</f>
        <v/>
      </c>
      <c r="P1463" s="12" t="n"/>
      <c r="Q1463" s="12" t="n"/>
      <c r="R1463" s="12" t="n"/>
      <c r="S1463" s="13">
        <f>IF($R1463="","",IFERROR(INDEX(Emp_Names,MATCH($R1463,Emp_Codes,0)),"NOT FOUND"))</f>
        <v/>
      </c>
      <c r="T1463" s="12" t="n"/>
      <c r="U1463" s="12" t="n"/>
      <c r="V1463" s="12" t="n"/>
    </row>
    <row r="1464">
      <c r="A1464" s="12" t="n"/>
      <c r="B1464" s="12" t="n"/>
      <c r="C1464" s="12" t="n"/>
      <c r="D1464" s="13">
        <f>IF($A1464="","",TRIM($B1464&amp;" "&amp;$C1464))</f>
        <v/>
      </c>
      <c r="E1464" s="12" t="n"/>
      <c r="F1464" s="12" t="n"/>
      <c r="G1464" s="14" t="n"/>
      <c r="H1464" s="14" t="n"/>
      <c r="I1464" s="12" t="n"/>
      <c r="J1464" s="14" t="n"/>
      <c r="K1464" s="12" t="n"/>
      <c r="L1464" s="13">
        <f>IF($K1464="","",IFERROR(INDEX(Dept_Names,MATCH($K1464,Dept_Codes,0)),"NOT FOUND"))</f>
        <v/>
      </c>
      <c r="M1464" s="12" t="n"/>
      <c r="N1464" s="13">
        <f>IF($M1464="","",IFERROR(INDEX(Desig_Names,MATCH($M1464,Desig_Codes,0)),"NOT FOUND"))</f>
        <v/>
      </c>
      <c r="O1464" s="13">
        <f>IF($M1464="","",IFERROR(INDEX(Desig_Levels,MATCH($M1464,Desig_Codes,0)),""))</f>
        <v/>
      </c>
      <c r="P1464" s="12" t="n"/>
      <c r="Q1464" s="12" t="n"/>
      <c r="R1464" s="12" t="n"/>
      <c r="S1464" s="13">
        <f>IF($R1464="","",IFERROR(INDEX(Emp_Names,MATCH($R1464,Emp_Codes,0)),"NOT FOUND"))</f>
        <v/>
      </c>
      <c r="T1464" s="12" t="n"/>
      <c r="U1464" s="12" t="n"/>
      <c r="V1464" s="12" t="n"/>
    </row>
    <row r="1465">
      <c r="A1465" s="12" t="n"/>
      <c r="B1465" s="12" t="n"/>
      <c r="C1465" s="12" t="n"/>
      <c r="D1465" s="13">
        <f>IF($A1465="","",TRIM($B1465&amp;" "&amp;$C1465))</f>
        <v/>
      </c>
      <c r="E1465" s="12" t="n"/>
      <c r="F1465" s="12" t="n"/>
      <c r="G1465" s="14" t="n"/>
      <c r="H1465" s="14" t="n"/>
      <c r="I1465" s="12" t="n"/>
      <c r="J1465" s="14" t="n"/>
      <c r="K1465" s="12" t="n"/>
      <c r="L1465" s="13">
        <f>IF($K1465="","",IFERROR(INDEX(Dept_Names,MATCH($K1465,Dept_Codes,0)),"NOT FOUND"))</f>
        <v/>
      </c>
      <c r="M1465" s="12" t="n"/>
      <c r="N1465" s="13">
        <f>IF($M1465="","",IFERROR(INDEX(Desig_Names,MATCH($M1465,Desig_Codes,0)),"NOT FOUND"))</f>
        <v/>
      </c>
      <c r="O1465" s="13">
        <f>IF($M1465="","",IFERROR(INDEX(Desig_Levels,MATCH($M1465,Desig_Codes,0)),""))</f>
        <v/>
      </c>
      <c r="P1465" s="12" t="n"/>
      <c r="Q1465" s="12" t="n"/>
      <c r="R1465" s="12" t="n"/>
      <c r="S1465" s="13">
        <f>IF($R1465="","",IFERROR(INDEX(Emp_Names,MATCH($R1465,Emp_Codes,0)),"NOT FOUND"))</f>
        <v/>
      </c>
      <c r="T1465" s="12" t="n"/>
      <c r="U1465" s="12" t="n"/>
      <c r="V1465" s="12" t="n"/>
    </row>
    <row r="1466">
      <c r="A1466" s="12" t="n"/>
      <c r="B1466" s="12" t="n"/>
      <c r="C1466" s="12" t="n"/>
      <c r="D1466" s="13">
        <f>IF($A1466="","",TRIM($B1466&amp;" "&amp;$C1466))</f>
        <v/>
      </c>
      <c r="E1466" s="12" t="n"/>
      <c r="F1466" s="12" t="n"/>
      <c r="G1466" s="14" t="n"/>
      <c r="H1466" s="14" t="n"/>
      <c r="I1466" s="12" t="n"/>
      <c r="J1466" s="14" t="n"/>
      <c r="K1466" s="12" t="n"/>
      <c r="L1466" s="13">
        <f>IF($K1466="","",IFERROR(INDEX(Dept_Names,MATCH($K1466,Dept_Codes,0)),"NOT FOUND"))</f>
        <v/>
      </c>
      <c r="M1466" s="12" t="n"/>
      <c r="N1466" s="13">
        <f>IF($M1466="","",IFERROR(INDEX(Desig_Names,MATCH($M1466,Desig_Codes,0)),"NOT FOUND"))</f>
        <v/>
      </c>
      <c r="O1466" s="13">
        <f>IF($M1466="","",IFERROR(INDEX(Desig_Levels,MATCH($M1466,Desig_Codes,0)),""))</f>
        <v/>
      </c>
      <c r="P1466" s="12" t="n"/>
      <c r="Q1466" s="12" t="n"/>
      <c r="R1466" s="12" t="n"/>
      <c r="S1466" s="13">
        <f>IF($R1466="","",IFERROR(INDEX(Emp_Names,MATCH($R1466,Emp_Codes,0)),"NOT FOUND"))</f>
        <v/>
      </c>
      <c r="T1466" s="12" t="n"/>
      <c r="U1466" s="12" t="n"/>
      <c r="V1466" s="12" t="n"/>
    </row>
    <row r="1467">
      <c r="A1467" s="12" t="n"/>
      <c r="B1467" s="12" t="n"/>
      <c r="C1467" s="12" t="n"/>
      <c r="D1467" s="13">
        <f>IF($A1467="","",TRIM($B1467&amp;" "&amp;$C1467))</f>
        <v/>
      </c>
      <c r="E1467" s="12" t="n"/>
      <c r="F1467" s="12" t="n"/>
      <c r="G1467" s="14" t="n"/>
      <c r="H1467" s="14" t="n"/>
      <c r="I1467" s="12" t="n"/>
      <c r="J1467" s="14" t="n"/>
      <c r="K1467" s="12" t="n"/>
      <c r="L1467" s="13">
        <f>IF($K1467="","",IFERROR(INDEX(Dept_Names,MATCH($K1467,Dept_Codes,0)),"NOT FOUND"))</f>
        <v/>
      </c>
      <c r="M1467" s="12" t="n"/>
      <c r="N1467" s="13">
        <f>IF($M1467="","",IFERROR(INDEX(Desig_Names,MATCH($M1467,Desig_Codes,0)),"NOT FOUND"))</f>
        <v/>
      </c>
      <c r="O1467" s="13">
        <f>IF($M1467="","",IFERROR(INDEX(Desig_Levels,MATCH($M1467,Desig_Codes,0)),""))</f>
        <v/>
      </c>
      <c r="P1467" s="12" t="n"/>
      <c r="Q1467" s="12" t="n"/>
      <c r="R1467" s="12" t="n"/>
      <c r="S1467" s="13">
        <f>IF($R1467="","",IFERROR(INDEX(Emp_Names,MATCH($R1467,Emp_Codes,0)),"NOT FOUND"))</f>
        <v/>
      </c>
      <c r="T1467" s="12" t="n"/>
      <c r="U1467" s="12" t="n"/>
      <c r="V1467" s="12" t="n"/>
    </row>
    <row r="1468">
      <c r="A1468" s="12" t="n"/>
      <c r="B1468" s="12" t="n"/>
      <c r="C1468" s="12" t="n"/>
      <c r="D1468" s="13">
        <f>IF($A1468="","",TRIM($B1468&amp;" "&amp;$C1468))</f>
        <v/>
      </c>
      <c r="E1468" s="12" t="n"/>
      <c r="F1468" s="12" t="n"/>
      <c r="G1468" s="14" t="n"/>
      <c r="H1468" s="14" t="n"/>
      <c r="I1468" s="12" t="n"/>
      <c r="J1468" s="14" t="n"/>
      <c r="K1468" s="12" t="n"/>
      <c r="L1468" s="13">
        <f>IF($K1468="","",IFERROR(INDEX(Dept_Names,MATCH($K1468,Dept_Codes,0)),"NOT FOUND"))</f>
        <v/>
      </c>
      <c r="M1468" s="12" t="n"/>
      <c r="N1468" s="13">
        <f>IF($M1468="","",IFERROR(INDEX(Desig_Names,MATCH($M1468,Desig_Codes,0)),"NOT FOUND"))</f>
        <v/>
      </c>
      <c r="O1468" s="13">
        <f>IF($M1468="","",IFERROR(INDEX(Desig_Levels,MATCH($M1468,Desig_Codes,0)),""))</f>
        <v/>
      </c>
      <c r="P1468" s="12" t="n"/>
      <c r="Q1468" s="12" t="n"/>
      <c r="R1468" s="12" t="n"/>
      <c r="S1468" s="13">
        <f>IF($R1468="","",IFERROR(INDEX(Emp_Names,MATCH($R1468,Emp_Codes,0)),"NOT FOUND"))</f>
        <v/>
      </c>
      <c r="T1468" s="12" t="n"/>
      <c r="U1468" s="12" t="n"/>
      <c r="V1468" s="12" t="n"/>
    </row>
    <row r="1469">
      <c r="A1469" s="12" t="n"/>
      <c r="B1469" s="12" t="n"/>
      <c r="C1469" s="12" t="n"/>
      <c r="D1469" s="13">
        <f>IF($A1469="","",TRIM($B1469&amp;" "&amp;$C1469))</f>
        <v/>
      </c>
      <c r="E1469" s="12" t="n"/>
      <c r="F1469" s="12" t="n"/>
      <c r="G1469" s="14" t="n"/>
      <c r="H1469" s="14" t="n"/>
      <c r="I1469" s="12" t="n"/>
      <c r="J1469" s="14" t="n"/>
      <c r="K1469" s="12" t="n"/>
      <c r="L1469" s="13">
        <f>IF($K1469="","",IFERROR(INDEX(Dept_Names,MATCH($K1469,Dept_Codes,0)),"NOT FOUND"))</f>
        <v/>
      </c>
      <c r="M1469" s="12" t="n"/>
      <c r="N1469" s="13">
        <f>IF($M1469="","",IFERROR(INDEX(Desig_Names,MATCH($M1469,Desig_Codes,0)),"NOT FOUND"))</f>
        <v/>
      </c>
      <c r="O1469" s="13">
        <f>IF($M1469="","",IFERROR(INDEX(Desig_Levels,MATCH($M1469,Desig_Codes,0)),""))</f>
        <v/>
      </c>
      <c r="P1469" s="12" t="n"/>
      <c r="Q1469" s="12" t="n"/>
      <c r="R1469" s="12" t="n"/>
      <c r="S1469" s="13">
        <f>IF($R1469="","",IFERROR(INDEX(Emp_Names,MATCH($R1469,Emp_Codes,0)),"NOT FOUND"))</f>
        <v/>
      </c>
      <c r="T1469" s="12" t="n"/>
      <c r="U1469" s="12" t="n"/>
      <c r="V1469" s="12" t="n"/>
    </row>
    <row r="1470">
      <c r="A1470" s="12" t="n"/>
      <c r="B1470" s="12" t="n"/>
      <c r="C1470" s="12" t="n"/>
      <c r="D1470" s="13">
        <f>IF($A1470="","",TRIM($B1470&amp;" "&amp;$C1470))</f>
        <v/>
      </c>
      <c r="E1470" s="12" t="n"/>
      <c r="F1470" s="12" t="n"/>
      <c r="G1470" s="14" t="n"/>
      <c r="H1470" s="14" t="n"/>
      <c r="I1470" s="12" t="n"/>
      <c r="J1470" s="14" t="n"/>
      <c r="K1470" s="12" t="n"/>
      <c r="L1470" s="13">
        <f>IF($K1470="","",IFERROR(INDEX(Dept_Names,MATCH($K1470,Dept_Codes,0)),"NOT FOUND"))</f>
        <v/>
      </c>
      <c r="M1470" s="12" t="n"/>
      <c r="N1470" s="13">
        <f>IF($M1470="","",IFERROR(INDEX(Desig_Names,MATCH($M1470,Desig_Codes,0)),"NOT FOUND"))</f>
        <v/>
      </c>
      <c r="O1470" s="13">
        <f>IF($M1470="","",IFERROR(INDEX(Desig_Levels,MATCH($M1470,Desig_Codes,0)),""))</f>
        <v/>
      </c>
      <c r="P1470" s="12" t="n"/>
      <c r="Q1470" s="12" t="n"/>
      <c r="R1470" s="12" t="n"/>
      <c r="S1470" s="13">
        <f>IF($R1470="","",IFERROR(INDEX(Emp_Names,MATCH($R1470,Emp_Codes,0)),"NOT FOUND"))</f>
        <v/>
      </c>
      <c r="T1470" s="12" t="n"/>
      <c r="U1470" s="12" t="n"/>
      <c r="V1470" s="12" t="n"/>
    </row>
    <row r="1471">
      <c r="A1471" s="12" t="n"/>
      <c r="B1471" s="12" t="n"/>
      <c r="C1471" s="12" t="n"/>
      <c r="D1471" s="13">
        <f>IF($A1471="","",TRIM($B1471&amp;" "&amp;$C1471))</f>
        <v/>
      </c>
      <c r="E1471" s="12" t="n"/>
      <c r="F1471" s="12" t="n"/>
      <c r="G1471" s="14" t="n"/>
      <c r="H1471" s="14" t="n"/>
      <c r="I1471" s="12" t="n"/>
      <c r="J1471" s="14" t="n"/>
      <c r="K1471" s="12" t="n"/>
      <c r="L1471" s="13">
        <f>IF($K1471="","",IFERROR(INDEX(Dept_Names,MATCH($K1471,Dept_Codes,0)),"NOT FOUND"))</f>
        <v/>
      </c>
      <c r="M1471" s="12" t="n"/>
      <c r="N1471" s="13">
        <f>IF($M1471="","",IFERROR(INDEX(Desig_Names,MATCH($M1471,Desig_Codes,0)),"NOT FOUND"))</f>
        <v/>
      </c>
      <c r="O1471" s="13">
        <f>IF($M1471="","",IFERROR(INDEX(Desig_Levels,MATCH($M1471,Desig_Codes,0)),""))</f>
        <v/>
      </c>
      <c r="P1471" s="12" t="n"/>
      <c r="Q1471" s="12" t="n"/>
      <c r="R1471" s="12" t="n"/>
      <c r="S1471" s="13">
        <f>IF($R1471="","",IFERROR(INDEX(Emp_Names,MATCH($R1471,Emp_Codes,0)),"NOT FOUND"))</f>
        <v/>
      </c>
      <c r="T1471" s="12" t="n"/>
      <c r="U1471" s="12" t="n"/>
      <c r="V1471" s="12" t="n"/>
    </row>
    <row r="1472">
      <c r="A1472" s="12" t="n"/>
      <c r="B1472" s="12" t="n"/>
      <c r="C1472" s="12" t="n"/>
      <c r="D1472" s="13">
        <f>IF($A1472="","",TRIM($B1472&amp;" "&amp;$C1472))</f>
        <v/>
      </c>
      <c r="E1472" s="12" t="n"/>
      <c r="F1472" s="12" t="n"/>
      <c r="G1472" s="14" t="n"/>
      <c r="H1472" s="14" t="n"/>
      <c r="I1472" s="12" t="n"/>
      <c r="J1472" s="14" t="n"/>
      <c r="K1472" s="12" t="n"/>
      <c r="L1472" s="13">
        <f>IF($K1472="","",IFERROR(INDEX(Dept_Names,MATCH($K1472,Dept_Codes,0)),"NOT FOUND"))</f>
        <v/>
      </c>
      <c r="M1472" s="12" t="n"/>
      <c r="N1472" s="13">
        <f>IF($M1472="","",IFERROR(INDEX(Desig_Names,MATCH($M1472,Desig_Codes,0)),"NOT FOUND"))</f>
        <v/>
      </c>
      <c r="O1472" s="13">
        <f>IF($M1472="","",IFERROR(INDEX(Desig_Levels,MATCH($M1472,Desig_Codes,0)),""))</f>
        <v/>
      </c>
      <c r="P1472" s="12" t="n"/>
      <c r="Q1472" s="12" t="n"/>
      <c r="R1472" s="12" t="n"/>
      <c r="S1472" s="13">
        <f>IF($R1472="","",IFERROR(INDEX(Emp_Names,MATCH($R1472,Emp_Codes,0)),"NOT FOUND"))</f>
        <v/>
      </c>
      <c r="T1472" s="12" t="n"/>
      <c r="U1472" s="12" t="n"/>
      <c r="V1472" s="12" t="n"/>
    </row>
    <row r="1473">
      <c r="A1473" s="12" t="n"/>
      <c r="B1473" s="12" t="n"/>
      <c r="C1473" s="12" t="n"/>
      <c r="D1473" s="13">
        <f>IF($A1473="","",TRIM($B1473&amp;" "&amp;$C1473))</f>
        <v/>
      </c>
      <c r="E1473" s="12" t="n"/>
      <c r="F1473" s="12" t="n"/>
      <c r="G1473" s="14" t="n"/>
      <c r="H1473" s="14" t="n"/>
      <c r="I1473" s="12" t="n"/>
      <c r="J1473" s="14" t="n"/>
      <c r="K1473" s="12" t="n"/>
      <c r="L1473" s="13">
        <f>IF($K1473="","",IFERROR(INDEX(Dept_Names,MATCH($K1473,Dept_Codes,0)),"NOT FOUND"))</f>
        <v/>
      </c>
      <c r="M1473" s="12" t="n"/>
      <c r="N1473" s="13">
        <f>IF($M1473="","",IFERROR(INDEX(Desig_Names,MATCH($M1473,Desig_Codes,0)),"NOT FOUND"))</f>
        <v/>
      </c>
      <c r="O1473" s="13">
        <f>IF($M1473="","",IFERROR(INDEX(Desig_Levels,MATCH($M1473,Desig_Codes,0)),""))</f>
        <v/>
      </c>
      <c r="P1473" s="12" t="n"/>
      <c r="Q1473" s="12" t="n"/>
      <c r="R1473" s="12" t="n"/>
      <c r="S1473" s="13">
        <f>IF($R1473="","",IFERROR(INDEX(Emp_Names,MATCH($R1473,Emp_Codes,0)),"NOT FOUND"))</f>
        <v/>
      </c>
      <c r="T1473" s="12" t="n"/>
      <c r="U1473" s="12" t="n"/>
      <c r="V1473" s="12" t="n"/>
    </row>
    <row r="1474">
      <c r="A1474" s="12" t="n"/>
      <c r="B1474" s="12" t="n"/>
      <c r="C1474" s="12" t="n"/>
      <c r="D1474" s="13">
        <f>IF($A1474="","",TRIM($B1474&amp;" "&amp;$C1474))</f>
        <v/>
      </c>
      <c r="E1474" s="12" t="n"/>
      <c r="F1474" s="12" t="n"/>
      <c r="G1474" s="14" t="n"/>
      <c r="H1474" s="14" t="n"/>
      <c r="I1474" s="12" t="n"/>
      <c r="J1474" s="14" t="n"/>
      <c r="K1474" s="12" t="n"/>
      <c r="L1474" s="13">
        <f>IF($K1474="","",IFERROR(INDEX(Dept_Names,MATCH($K1474,Dept_Codes,0)),"NOT FOUND"))</f>
        <v/>
      </c>
      <c r="M1474" s="12" t="n"/>
      <c r="N1474" s="13">
        <f>IF($M1474="","",IFERROR(INDEX(Desig_Names,MATCH($M1474,Desig_Codes,0)),"NOT FOUND"))</f>
        <v/>
      </c>
      <c r="O1474" s="13">
        <f>IF($M1474="","",IFERROR(INDEX(Desig_Levels,MATCH($M1474,Desig_Codes,0)),""))</f>
        <v/>
      </c>
      <c r="P1474" s="12" t="n"/>
      <c r="Q1474" s="12" t="n"/>
      <c r="R1474" s="12" t="n"/>
      <c r="S1474" s="13">
        <f>IF($R1474="","",IFERROR(INDEX(Emp_Names,MATCH($R1474,Emp_Codes,0)),"NOT FOUND"))</f>
        <v/>
      </c>
      <c r="T1474" s="12" t="n"/>
      <c r="U1474" s="12" t="n"/>
      <c r="V1474" s="12" t="n"/>
    </row>
    <row r="1475">
      <c r="A1475" s="12" t="n"/>
      <c r="B1475" s="12" t="n"/>
      <c r="C1475" s="12" t="n"/>
      <c r="D1475" s="13">
        <f>IF($A1475="","",TRIM($B1475&amp;" "&amp;$C1475))</f>
        <v/>
      </c>
      <c r="E1475" s="12" t="n"/>
      <c r="F1475" s="12" t="n"/>
      <c r="G1475" s="14" t="n"/>
      <c r="H1475" s="14" t="n"/>
      <c r="I1475" s="12" t="n"/>
      <c r="J1475" s="14" t="n"/>
      <c r="K1475" s="12" t="n"/>
      <c r="L1475" s="13">
        <f>IF($K1475="","",IFERROR(INDEX(Dept_Names,MATCH($K1475,Dept_Codes,0)),"NOT FOUND"))</f>
        <v/>
      </c>
      <c r="M1475" s="12" t="n"/>
      <c r="N1475" s="13">
        <f>IF($M1475="","",IFERROR(INDEX(Desig_Names,MATCH($M1475,Desig_Codes,0)),"NOT FOUND"))</f>
        <v/>
      </c>
      <c r="O1475" s="13">
        <f>IF($M1475="","",IFERROR(INDEX(Desig_Levels,MATCH($M1475,Desig_Codes,0)),""))</f>
        <v/>
      </c>
      <c r="P1475" s="12" t="n"/>
      <c r="Q1475" s="12" t="n"/>
      <c r="R1475" s="12" t="n"/>
      <c r="S1475" s="13">
        <f>IF($R1475="","",IFERROR(INDEX(Emp_Names,MATCH($R1475,Emp_Codes,0)),"NOT FOUND"))</f>
        <v/>
      </c>
      <c r="T1475" s="12" t="n"/>
      <c r="U1475" s="12" t="n"/>
      <c r="V1475" s="12" t="n"/>
    </row>
    <row r="1476">
      <c r="A1476" s="12" t="n"/>
      <c r="B1476" s="12" t="n"/>
      <c r="C1476" s="12" t="n"/>
      <c r="D1476" s="13">
        <f>IF($A1476="","",TRIM($B1476&amp;" "&amp;$C1476))</f>
        <v/>
      </c>
      <c r="E1476" s="12" t="n"/>
      <c r="F1476" s="12" t="n"/>
      <c r="G1476" s="14" t="n"/>
      <c r="H1476" s="14" t="n"/>
      <c r="I1476" s="12" t="n"/>
      <c r="J1476" s="14" t="n"/>
      <c r="K1476" s="12" t="n"/>
      <c r="L1476" s="13">
        <f>IF($K1476="","",IFERROR(INDEX(Dept_Names,MATCH($K1476,Dept_Codes,0)),"NOT FOUND"))</f>
        <v/>
      </c>
      <c r="M1476" s="12" t="n"/>
      <c r="N1476" s="13">
        <f>IF($M1476="","",IFERROR(INDEX(Desig_Names,MATCH($M1476,Desig_Codes,0)),"NOT FOUND"))</f>
        <v/>
      </c>
      <c r="O1476" s="13">
        <f>IF($M1476="","",IFERROR(INDEX(Desig_Levels,MATCH($M1476,Desig_Codes,0)),""))</f>
        <v/>
      </c>
      <c r="P1476" s="12" t="n"/>
      <c r="Q1476" s="12" t="n"/>
      <c r="R1476" s="12" t="n"/>
      <c r="S1476" s="13">
        <f>IF($R1476="","",IFERROR(INDEX(Emp_Names,MATCH($R1476,Emp_Codes,0)),"NOT FOUND"))</f>
        <v/>
      </c>
      <c r="T1476" s="12" t="n"/>
      <c r="U1476" s="12" t="n"/>
      <c r="V1476" s="12" t="n"/>
    </row>
    <row r="1477">
      <c r="A1477" s="12" t="n"/>
      <c r="B1477" s="12" t="n"/>
      <c r="C1477" s="12" t="n"/>
      <c r="D1477" s="13">
        <f>IF($A1477="","",TRIM($B1477&amp;" "&amp;$C1477))</f>
        <v/>
      </c>
      <c r="E1477" s="12" t="n"/>
      <c r="F1477" s="12" t="n"/>
      <c r="G1477" s="14" t="n"/>
      <c r="H1477" s="14" t="n"/>
      <c r="I1477" s="12" t="n"/>
      <c r="J1477" s="14" t="n"/>
      <c r="K1477" s="12" t="n"/>
      <c r="L1477" s="13">
        <f>IF($K1477="","",IFERROR(INDEX(Dept_Names,MATCH($K1477,Dept_Codes,0)),"NOT FOUND"))</f>
        <v/>
      </c>
      <c r="M1477" s="12" t="n"/>
      <c r="N1477" s="13">
        <f>IF($M1477="","",IFERROR(INDEX(Desig_Names,MATCH($M1477,Desig_Codes,0)),"NOT FOUND"))</f>
        <v/>
      </c>
      <c r="O1477" s="13">
        <f>IF($M1477="","",IFERROR(INDEX(Desig_Levels,MATCH($M1477,Desig_Codes,0)),""))</f>
        <v/>
      </c>
      <c r="P1477" s="12" t="n"/>
      <c r="Q1477" s="12" t="n"/>
      <c r="R1477" s="12" t="n"/>
      <c r="S1477" s="13">
        <f>IF($R1477="","",IFERROR(INDEX(Emp_Names,MATCH($R1477,Emp_Codes,0)),"NOT FOUND"))</f>
        <v/>
      </c>
      <c r="T1477" s="12" t="n"/>
      <c r="U1477" s="12" t="n"/>
      <c r="V1477" s="12" t="n"/>
    </row>
    <row r="1478">
      <c r="A1478" s="12" t="n"/>
      <c r="B1478" s="12" t="n"/>
      <c r="C1478" s="12" t="n"/>
      <c r="D1478" s="13">
        <f>IF($A1478="","",TRIM($B1478&amp;" "&amp;$C1478))</f>
        <v/>
      </c>
      <c r="E1478" s="12" t="n"/>
      <c r="F1478" s="12" t="n"/>
      <c r="G1478" s="14" t="n"/>
      <c r="H1478" s="14" t="n"/>
      <c r="I1478" s="12" t="n"/>
      <c r="J1478" s="14" t="n"/>
      <c r="K1478" s="12" t="n"/>
      <c r="L1478" s="13">
        <f>IF($K1478="","",IFERROR(INDEX(Dept_Names,MATCH($K1478,Dept_Codes,0)),"NOT FOUND"))</f>
        <v/>
      </c>
      <c r="M1478" s="12" t="n"/>
      <c r="N1478" s="13">
        <f>IF($M1478="","",IFERROR(INDEX(Desig_Names,MATCH($M1478,Desig_Codes,0)),"NOT FOUND"))</f>
        <v/>
      </c>
      <c r="O1478" s="13">
        <f>IF($M1478="","",IFERROR(INDEX(Desig_Levels,MATCH($M1478,Desig_Codes,0)),""))</f>
        <v/>
      </c>
      <c r="P1478" s="12" t="n"/>
      <c r="Q1478" s="12" t="n"/>
      <c r="R1478" s="12" t="n"/>
      <c r="S1478" s="13">
        <f>IF($R1478="","",IFERROR(INDEX(Emp_Names,MATCH($R1478,Emp_Codes,0)),"NOT FOUND"))</f>
        <v/>
      </c>
      <c r="T1478" s="12" t="n"/>
      <c r="U1478" s="12" t="n"/>
      <c r="V1478" s="12" t="n"/>
    </row>
    <row r="1479">
      <c r="A1479" s="12" t="n"/>
      <c r="B1479" s="12" t="n"/>
      <c r="C1479" s="12" t="n"/>
      <c r="D1479" s="13">
        <f>IF($A1479="","",TRIM($B1479&amp;" "&amp;$C1479))</f>
        <v/>
      </c>
      <c r="E1479" s="12" t="n"/>
      <c r="F1479" s="12" t="n"/>
      <c r="G1479" s="14" t="n"/>
      <c r="H1479" s="14" t="n"/>
      <c r="I1479" s="12" t="n"/>
      <c r="J1479" s="14" t="n"/>
      <c r="K1479" s="12" t="n"/>
      <c r="L1479" s="13">
        <f>IF($K1479="","",IFERROR(INDEX(Dept_Names,MATCH($K1479,Dept_Codes,0)),"NOT FOUND"))</f>
        <v/>
      </c>
      <c r="M1479" s="12" t="n"/>
      <c r="N1479" s="13">
        <f>IF($M1479="","",IFERROR(INDEX(Desig_Names,MATCH($M1479,Desig_Codes,0)),"NOT FOUND"))</f>
        <v/>
      </c>
      <c r="O1479" s="13">
        <f>IF($M1479="","",IFERROR(INDEX(Desig_Levels,MATCH($M1479,Desig_Codes,0)),""))</f>
        <v/>
      </c>
      <c r="P1479" s="12" t="n"/>
      <c r="Q1479" s="12" t="n"/>
      <c r="R1479" s="12" t="n"/>
      <c r="S1479" s="13">
        <f>IF($R1479="","",IFERROR(INDEX(Emp_Names,MATCH($R1479,Emp_Codes,0)),"NOT FOUND"))</f>
        <v/>
      </c>
      <c r="T1479" s="12" t="n"/>
      <c r="U1479" s="12" t="n"/>
      <c r="V1479" s="12" t="n"/>
    </row>
    <row r="1480">
      <c r="A1480" s="12" t="n"/>
      <c r="B1480" s="12" t="n"/>
      <c r="C1480" s="12" t="n"/>
      <c r="D1480" s="13">
        <f>IF($A1480="","",TRIM($B1480&amp;" "&amp;$C1480))</f>
        <v/>
      </c>
      <c r="E1480" s="12" t="n"/>
      <c r="F1480" s="12" t="n"/>
      <c r="G1480" s="14" t="n"/>
      <c r="H1480" s="14" t="n"/>
      <c r="I1480" s="12" t="n"/>
      <c r="J1480" s="14" t="n"/>
      <c r="K1480" s="12" t="n"/>
      <c r="L1480" s="13">
        <f>IF($K1480="","",IFERROR(INDEX(Dept_Names,MATCH($K1480,Dept_Codes,0)),"NOT FOUND"))</f>
        <v/>
      </c>
      <c r="M1480" s="12" t="n"/>
      <c r="N1480" s="13">
        <f>IF($M1480="","",IFERROR(INDEX(Desig_Names,MATCH($M1480,Desig_Codes,0)),"NOT FOUND"))</f>
        <v/>
      </c>
      <c r="O1480" s="13">
        <f>IF($M1480="","",IFERROR(INDEX(Desig_Levels,MATCH($M1480,Desig_Codes,0)),""))</f>
        <v/>
      </c>
      <c r="P1480" s="12" t="n"/>
      <c r="Q1480" s="12" t="n"/>
      <c r="R1480" s="12" t="n"/>
      <c r="S1480" s="13">
        <f>IF($R1480="","",IFERROR(INDEX(Emp_Names,MATCH($R1480,Emp_Codes,0)),"NOT FOUND"))</f>
        <v/>
      </c>
      <c r="T1480" s="12" t="n"/>
      <c r="U1480" s="12" t="n"/>
      <c r="V1480" s="12" t="n"/>
    </row>
    <row r="1481">
      <c r="A1481" s="12" t="n"/>
      <c r="B1481" s="12" t="n"/>
      <c r="C1481" s="12" t="n"/>
      <c r="D1481" s="13">
        <f>IF($A1481="","",TRIM($B1481&amp;" "&amp;$C1481))</f>
        <v/>
      </c>
      <c r="E1481" s="12" t="n"/>
      <c r="F1481" s="12" t="n"/>
      <c r="G1481" s="14" t="n"/>
      <c r="H1481" s="14" t="n"/>
      <c r="I1481" s="12" t="n"/>
      <c r="J1481" s="14" t="n"/>
      <c r="K1481" s="12" t="n"/>
      <c r="L1481" s="13">
        <f>IF($K1481="","",IFERROR(INDEX(Dept_Names,MATCH($K1481,Dept_Codes,0)),"NOT FOUND"))</f>
        <v/>
      </c>
      <c r="M1481" s="12" t="n"/>
      <c r="N1481" s="13">
        <f>IF($M1481="","",IFERROR(INDEX(Desig_Names,MATCH($M1481,Desig_Codes,0)),"NOT FOUND"))</f>
        <v/>
      </c>
      <c r="O1481" s="13">
        <f>IF($M1481="","",IFERROR(INDEX(Desig_Levels,MATCH($M1481,Desig_Codes,0)),""))</f>
        <v/>
      </c>
      <c r="P1481" s="12" t="n"/>
      <c r="Q1481" s="12" t="n"/>
      <c r="R1481" s="12" t="n"/>
      <c r="S1481" s="13">
        <f>IF($R1481="","",IFERROR(INDEX(Emp_Names,MATCH($R1481,Emp_Codes,0)),"NOT FOUND"))</f>
        <v/>
      </c>
      <c r="T1481" s="12" t="n"/>
      <c r="U1481" s="12" t="n"/>
      <c r="V1481" s="12" t="n"/>
    </row>
    <row r="1482">
      <c r="A1482" s="12" t="n"/>
      <c r="B1482" s="12" t="n"/>
      <c r="C1482" s="12" t="n"/>
      <c r="D1482" s="13">
        <f>IF($A1482="","",TRIM($B1482&amp;" "&amp;$C1482))</f>
        <v/>
      </c>
      <c r="E1482" s="12" t="n"/>
      <c r="F1482" s="12" t="n"/>
      <c r="G1482" s="14" t="n"/>
      <c r="H1482" s="14" t="n"/>
      <c r="I1482" s="12" t="n"/>
      <c r="J1482" s="14" t="n"/>
      <c r="K1482" s="12" t="n"/>
      <c r="L1482" s="13">
        <f>IF($K1482="","",IFERROR(INDEX(Dept_Names,MATCH($K1482,Dept_Codes,0)),"NOT FOUND"))</f>
        <v/>
      </c>
      <c r="M1482" s="12" t="n"/>
      <c r="N1482" s="13">
        <f>IF($M1482="","",IFERROR(INDEX(Desig_Names,MATCH($M1482,Desig_Codes,0)),"NOT FOUND"))</f>
        <v/>
      </c>
      <c r="O1482" s="13">
        <f>IF($M1482="","",IFERROR(INDEX(Desig_Levels,MATCH($M1482,Desig_Codes,0)),""))</f>
        <v/>
      </c>
      <c r="P1482" s="12" t="n"/>
      <c r="Q1482" s="12" t="n"/>
      <c r="R1482" s="12" t="n"/>
      <c r="S1482" s="13">
        <f>IF($R1482="","",IFERROR(INDEX(Emp_Names,MATCH($R1482,Emp_Codes,0)),"NOT FOUND"))</f>
        <v/>
      </c>
      <c r="T1482" s="12" t="n"/>
      <c r="U1482" s="12" t="n"/>
      <c r="V1482" s="12" t="n"/>
    </row>
    <row r="1483">
      <c r="A1483" s="12" t="n"/>
      <c r="B1483" s="12" t="n"/>
      <c r="C1483" s="12" t="n"/>
      <c r="D1483" s="13">
        <f>IF($A1483="","",TRIM($B1483&amp;" "&amp;$C1483))</f>
        <v/>
      </c>
      <c r="E1483" s="12" t="n"/>
      <c r="F1483" s="12" t="n"/>
      <c r="G1483" s="14" t="n"/>
      <c r="H1483" s="14" t="n"/>
      <c r="I1483" s="12" t="n"/>
      <c r="J1483" s="14" t="n"/>
      <c r="K1483" s="12" t="n"/>
      <c r="L1483" s="13">
        <f>IF($K1483="","",IFERROR(INDEX(Dept_Names,MATCH($K1483,Dept_Codes,0)),"NOT FOUND"))</f>
        <v/>
      </c>
      <c r="M1483" s="12" t="n"/>
      <c r="N1483" s="13">
        <f>IF($M1483="","",IFERROR(INDEX(Desig_Names,MATCH($M1483,Desig_Codes,0)),"NOT FOUND"))</f>
        <v/>
      </c>
      <c r="O1483" s="13">
        <f>IF($M1483="","",IFERROR(INDEX(Desig_Levels,MATCH($M1483,Desig_Codes,0)),""))</f>
        <v/>
      </c>
      <c r="P1483" s="12" t="n"/>
      <c r="Q1483" s="12" t="n"/>
      <c r="R1483" s="12" t="n"/>
      <c r="S1483" s="13">
        <f>IF($R1483="","",IFERROR(INDEX(Emp_Names,MATCH($R1483,Emp_Codes,0)),"NOT FOUND"))</f>
        <v/>
      </c>
      <c r="T1483" s="12" t="n"/>
      <c r="U1483" s="12" t="n"/>
      <c r="V1483" s="12" t="n"/>
    </row>
    <row r="1484">
      <c r="A1484" s="12" t="n"/>
      <c r="B1484" s="12" t="n"/>
      <c r="C1484" s="12" t="n"/>
      <c r="D1484" s="13">
        <f>IF($A1484="","",TRIM($B1484&amp;" "&amp;$C1484))</f>
        <v/>
      </c>
      <c r="E1484" s="12" t="n"/>
      <c r="F1484" s="12" t="n"/>
      <c r="G1484" s="14" t="n"/>
      <c r="H1484" s="14" t="n"/>
      <c r="I1484" s="12" t="n"/>
      <c r="J1484" s="14" t="n"/>
      <c r="K1484" s="12" t="n"/>
      <c r="L1484" s="13">
        <f>IF($K1484="","",IFERROR(INDEX(Dept_Names,MATCH($K1484,Dept_Codes,0)),"NOT FOUND"))</f>
        <v/>
      </c>
      <c r="M1484" s="12" t="n"/>
      <c r="N1484" s="13">
        <f>IF($M1484="","",IFERROR(INDEX(Desig_Names,MATCH($M1484,Desig_Codes,0)),"NOT FOUND"))</f>
        <v/>
      </c>
      <c r="O1484" s="13">
        <f>IF($M1484="","",IFERROR(INDEX(Desig_Levels,MATCH($M1484,Desig_Codes,0)),""))</f>
        <v/>
      </c>
      <c r="P1484" s="12" t="n"/>
      <c r="Q1484" s="12" t="n"/>
      <c r="R1484" s="12" t="n"/>
      <c r="S1484" s="13">
        <f>IF($R1484="","",IFERROR(INDEX(Emp_Names,MATCH($R1484,Emp_Codes,0)),"NOT FOUND"))</f>
        <v/>
      </c>
      <c r="T1484" s="12" t="n"/>
      <c r="U1484" s="12" t="n"/>
      <c r="V1484" s="12" t="n"/>
    </row>
    <row r="1485">
      <c r="A1485" s="12" t="n"/>
      <c r="B1485" s="12" t="n"/>
      <c r="C1485" s="12" t="n"/>
      <c r="D1485" s="13">
        <f>IF($A1485="","",TRIM($B1485&amp;" "&amp;$C1485))</f>
        <v/>
      </c>
      <c r="E1485" s="12" t="n"/>
      <c r="F1485" s="12" t="n"/>
      <c r="G1485" s="14" t="n"/>
      <c r="H1485" s="14" t="n"/>
      <c r="I1485" s="12" t="n"/>
      <c r="J1485" s="14" t="n"/>
      <c r="K1485" s="12" t="n"/>
      <c r="L1485" s="13">
        <f>IF($K1485="","",IFERROR(INDEX(Dept_Names,MATCH($K1485,Dept_Codes,0)),"NOT FOUND"))</f>
        <v/>
      </c>
      <c r="M1485" s="12" t="n"/>
      <c r="N1485" s="13">
        <f>IF($M1485="","",IFERROR(INDEX(Desig_Names,MATCH($M1485,Desig_Codes,0)),"NOT FOUND"))</f>
        <v/>
      </c>
      <c r="O1485" s="13">
        <f>IF($M1485="","",IFERROR(INDEX(Desig_Levels,MATCH($M1485,Desig_Codes,0)),""))</f>
        <v/>
      </c>
      <c r="P1485" s="12" t="n"/>
      <c r="Q1485" s="12" t="n"/>
      <c r="R1485" s="12" t="n"/>
      <c r="S1485" s="13">
        <f>IF($R1485="","",IFERROR(INDEX(Emp_Names,MATCH($R1485,Emp_Codes,0)),"NOT FOUND"))</f>
        <v/>
      </c>
      <c r="T1485" s="12" t="n"/>
      <c r="U1485" s="12" t="n"/>
      <c r="V1485" s="12" t="n"/>
    </row>
    <row r="1486">
      <c r="A1486" s="12" t="n"/>
      <c r="B1486" s="12" t="n"/>
      <c r="C1486" s="12" t="n"/>
      <c r="D1486" s="13">
        <f>IF($A1486="","",TRIM($B1486&amp;" "&amp;$C1486))</f>
        <v/>
      </c>
      <c r="E1486" s="12" t="n"/>
      <c r="F1486" s="12" t="n"/>
      <c r="G1486" s="14" t="n"/>
      <c r="H1486" s="14" t="n"/>
      <c r="I1486" s="12" t="n"/>
      <c r="J1486" s="14" t="n"/>
      <c r="K1486" s="12" t="n"/>
      <c r="L1486" s="13">
        <f>IF($K1486="","",IFERROR(INDEX(Dept_Names,MATCH($K1486,Dept_Codes,0)),"NOT FOUND"))</f>
        <v/>
      </c>
      <c r="M1486" s="12" t="n"/>
      <c r="N1486" s="13">
        <f>IF($M1486="","",IFERROR(INDEX(Desig_Names,MATCH($M1486,Desig_Codes,0)),"NOT FOUND"))</f>
        <v/>
      </c>
      <c r="O1486" s="13">
        <f>IF($M1486="","",IFERROR(INDEX(Desig_Levels,MATCH($M1486,Desig_Codes,0)),""))</f>
        <v/>
      </c>
      <c r="P1486" s="12" t="n"/>
      <c r="Q1486" s="12" t="n"/>
      <c r="R1486" s="12" t="n"/>
      <c r="S1486" s="13">
        <f>IF($R1486="","",IFERROR(INDEX(Emp_Names,MATCH($R1486,Emp_Codes,0)),"NOT FOUND"))</f>
        <v/>
      </c>
      <c r="T1486" s="12" t="n"/>
      <c r="U1486" s="12" t="n"/>
      <c r="V1486" s="12" t="n"/>
    </row>
    <row r="1487">
      <c r="A1487" s="12" t="n"/>
      <c r="B1487" s="12" t="n"/>
      <c r="C1487" s="12" t="n"/>
      <c r="D1487" s="13">
        <f>IF($A1487="","",TRIM($B1487&amp;" "&amp;$C1487))</f>
        <v/>
      </c>
      <c r="E1487" s="12" t="n"/>
      <c r="F1487" s="12" t="n"/>
      <c r="G1487" s="14" t="n"/>
      <c r="H1487" s="14" t="n"/>
      <c r="I1487" s="12" t="n"/>
      <c r="J1487" s="14" t="n"/>
      <c r="K1487" s="12" t="n"/>
      <c r="L1487" s="13">
        <f>IF($K1487="","",IFERROR(INDEX(Dept_Names,MATCH($K1487,Dept_Codes,0)),"NOT FOUND"))</f>
        <v/>
      </c>
      <c r="M1487" s="12" t="n"/>
      <c r="N1487" s="13">
        <f>IF($M1487="","",IFERROR(INDEX(Desig_Names,MATCH($M1487,Desig_Codes,0)),"NOT FOUND"))</f>
        <v/>
      </c>
      <c r="O1487" s="13">
        <f>IF($M1487="","",IFERROR(INDEX(Desig_Levels,MATCH($M1487,Desig_Codes,0)),""))</f>
        <v/>
      </c>
      <c r="P1487" s="12" t="n"/>
      <c r="Q1487" s="12" t="n"/>
      <c r="R1487" s="12" t="n"/>
      <c r="S1487" s="13">
        <f>IF($R1487="","",IFERROR(INDEX(Emp_Names,MATCH($R1487,Emp_Codes,0)),"NOT FOUND"))</f>
        <v/>
      </c>
      <c r="T1487" s="12" t="n"/>
      <c r="U1487" s="12" t="n"/>
      <c r="V1487" s="12" t="n"/>
    </row>
    <row r="1488">
      <c r="A1488" s="12" t="n"/>
      <c r="B1488" s="12" t="n"/>
      <c r="C1488" s="12" t="n"/>
      <c r="D1488" s="13">
        <f>IF($A1488="","",TRIM($B1488&amp;" "&amp;$C1488))</f>
        <v/>
      </c>
      <c r="E1488" s="12" t="n"/>
      <c r="F1488" s="12" t="n"/>
      <c r="G1488" s="14" t="n"/>
      <c r="H1488" s="14" t="n"/>
      <c r="I1488" s="12" t="n"/>
      <c r="J1488" s="14" t="n"/>
      <c r="K1488" s="12" t="n"/>
      <c r="L1488" s="13">
        <f>IF($K1488="","",IFERROR(INDEX(Dept_Names,MATCH($K1488,Dept_Codes,0)),"NOT FOUND"))</f>
        <v/>
      </c>
      <c r="M1488" s="12" t="n"/>
      <c r="N1488" s="13">
        <f>IF($M1488="","",IFERROR(INDEX(Desig_Names,MATCH($M1488,Desig_Codes,0)),"NOT FOUND"))</f>
        <v/>
      </c>
      <c r="O1488" s="13">
        <f>IF($M1488="","",IFERROR(INDEX(Desig_Levels,MATCH($M1488,Desig_Codes,0)),""))</f>
        <v/>
      </c>
      <c r="P1488" s="12" t="n"/>
      <c r="Q1488" s="12" t="n"/>
      <c r="R1488" s="12" t="n"/>
      <c r="S1488" s="13">
        <f>IF($R1488="","",IFERROR(INDEX(Emp_Names,MATCH($R1488,Emp_Codes,0)),"NOT FOUND"))</f>
        <v/>
      </c>
      <c r="T1488" s="12" t="n"/>
      <c r="U1488" s="12" t="n"/>
      <c r="V1488" s="12" t="n"/>
    </row>
    <row r="1489">
      <c r="A1489" s="12" t="n"/>
      <c r="B1489" s="12" t="n"/>
      <c r="C1489" s="12" t="n"/>
      <c r="D1489" s="13">
        <f>IF($A1489="","",TRIM($B1489&amp;" "&amp;$C1489))</f>
        <v/>
      </c>
      <c r="E1489" s="12" t="n"/>
      <c r="F1489" s="12" t="n"/>
      <c r="G1489" s="14" t="n"/>
      <c r="H1489" s="14" t="n"/>
      <c r="I1489" s="12" t="n"/>
      <c r="J1489" s="14" t="n"/>
      <c r="K1489" s="12" t="n"/>
      <c r="L1489" s="13">
        <f>IF($K1489="","",IFERROR(INDEX(Dept_Names,MATCH($K1489,Dept_Codes,0)),"NOT FOUND"))</f>
        <v/>
      </c>
      <c r="M1489" s="12" t="n"/>
      <c r="N1489" s="13">
        <f>IF($M1489="","",IFERROR(INDEX(Desig_Names,MATCH($M1489,Desig_Codes,0)),"NOT FOUND"))</f>
        <v/>
      </c>
      <c r="O1489" s="13">
        <f>IF($M1489="","",IFERROR(INDEX(Desig_Levels,MATCH($M1489,Desig_Codes,0)),""))</f>
        <v/>
      </c>
      <c r="P1489" s="12" t="n"/>
      <c r="Q1489" s="12" t="n"/>
      <c r="R1489" s="12" t="n"/>
      <c r="S1489" s="13">
        <f>IF($R1489="","",IFERROR(INDEX(Emp_Names,MATCH($R1489,Emp_Codes,0)),"NOT FOUND"))</f>
        <v/>
      </c>
      <c r="T1489" s="12" t="n"/>
      <c r="U1489" s="12" t="n"/>
      <c r="V1489" s="12" t="n"/>
    </row>
    <row r="1490">
      <c r="A1490" s="12" t="n"/>
      <c r="B1490" s="12" t="n"/>
      <c r="C1490" s="12" t="n"/>
      <c r="D1490" s="13">
        <f>IF($A1490="","",TRIM($B1490&amp;" "&amp;$C1490))</f>
        <v/>
      </c>
      <c r="E1490" s="12" t="n"/>
      <c r="F1490" s="12" t="n"/>
      <c r="G1490" s="14" t="n"/>
      <c r="H1490" s="14" t="n"/>
      <c r="I1490" s="12" t="n"/>
      <c r="J1490" s="14" t="n"/>
      <c r="K1490" s="12" t="n"/>
      <c r="L1490" s="13">
        <f>IF($K1490="","",IFERROR(INDEX(Dept_Names,MATCH($K1490,Dept_Codes,0)),"NOT FOUND"))</f>
        <v/>
      </c>
      <c r="M1490" s="12" t="n"/>
      <c r="N1490" s="13">
        <f>IF($M1490="","",IFERROR(INDEX(Desig_Names,MATCH($M1490,Desig_Codes,0)),"NOT FOUND"))</f>
        <v/>
      </c>
      <c r="O1490" s="13">
        <f>IF($M1490="","",IFERROR(INDEX(Desig_Levels,MATCH($M1490,Desig_Codes,0)),""))</f>
        <v/>
      </c>
      <c r="P1490" s="12" t="n"/>
      <c r="Q1490" s="12" t="n"/>
      <c r="R1490" s="12" t="n"/>
      <c r="S1490" s="13">
        <f>IF($R1490="","",IFERROR(INDEX(Emp_Names,MATCH($R1490,Emp_Codes,0)),"NOT FOUND"))</f>
        <v/>
      </c>
      <c r="T1490" s="12" t="n"/>
      <c r="U1490" s="12" t="n"/>
      <c r="V1490" s="12" t="n"/>
    </row>
    <row r="1491">
      <c r="A1491" s="12" t="n"/>
      <c r="B1491" s="12" t="n"/>
      <c r="C1491" s="12" t="n"/>
      <c r="D1491" s="13">
        <f>IF($A1491="","",TRIM($B1491&amp;" "&amp;$C1491))</f>
        <v/>
      </c>
      <c r="E1491" s="12" t="n"/>
      <c r="F1491" s="12" t="n"/>
      <c r="G1491" s="14" t="n"/>
      <c r="H1491" s="14" t="n"/>
      <c r="I1491" s="12" t="n"/>
      <c r="J1491" s="14" t="n"/>
      <c r="K1491" s="12" t="n"/>
      <c r="L1491" s="13">
        <f>IF($K1491="","",IFERROR(INDEX(Dept_Names,MATCH($K1491,Dept_Codes,0)),"NOT FOUND"))</f>
        <v/>
      </c>
      <c r="M1491" s="12" t="n"/>
      <c r="N1491" s="13">
        <f>IF($M1491="","",IFERROR(INDEX(Desig_Names,MATCH($M1491,Desig_Codes,0)),"NOT FOUND"))</f>
        <v/>
      </c>
      <c r="O1491" s="13">
        <f>IF($M1491="","",IFERROR(INDEX(Desig_Levels,MATCH($M1491,Desig_Codes,0)),""))</f>
        <v/>
      </c>
      <c r="P1491" s="12" t="n"/>
      <c r="Q1491" s="12" t="n"/>
      <c r="R1491" s="12" t="n"/>
      <c r="S1491" s="13">
        <f>IF($R1491="","",IFERROR(INDEX(Emp_Names,MATCH($R1491,Emp_Codes,0)),"NOT FOUND"))</f>
        <v/>
      </c>
      <c r="T1491" s="12" t="n"/>
      <c r="U1491" s="12" t="n"/>
      <c r="V1491" s="12" t="n"/>
    </row>
    <row r="1492">
      <c r="A1492" s="12" t="n"/>
      <c r="B1492" s="12" t="n"/>
      <c r="C1492" s="12" t="n"/>
      <c r="D1492" s="13">
        <f>IF($A1492="","",TRIM($B1492&amp;" "&amp;$C1492))</f>
        <v/>
      </c>
      <c r="E1492" s="12" t="n"/>
      <c r="F1492" s="12" t="n"/>
      <c r="G1492" s="14" t="n"/>
      <c r="H1492" s="14" t="n"/>
      <c r="I1492" s="12" t="n"/>
      <c r="J1492" s="14" t="n"/>
      <c r="K1492" s="12" t="n"/>
      <c r="L1492" s="13">
        <f>IF($K1492="","",IFERROR(INDEX(Dept_Names,MATCH($K1492,Dept_Codes,0)),"NOT FOUND"))</f>
        <v/>
      </c>
      <c r="M1492" s="12" t="n"/>
      <c r="N1492" s="13">
        <f>IF($M1492="","",IFERROR(INDEX(Desig_Names,MATCH($M1492,Desig_Codes,0)),"NOT FOUND"))</f>
        <v/>
      </c>
      <c r="O1492" s="13">
        <f>IF($M1492="","",IFERROR(INDEX(Desig_Levels,MATCH($M1492,Desig_Codes,0)),""))</f>
        <v/>
      </c>
      <c r="P1492" s="12" t="n"/>
      <c r="Q1492" s="12" t="n"/>
      <c r="R1492" s="12" t="n"/>
      <c r="S1492" s="13">
        <f>IF($R1492="","",IFERROR(INDEX(Emp_Names,MATCH($R1492,Emp_Codes,0)),"NOT FOUND"))</f>
        <v/>
      </c>
      <c r="T1492" s="12" t="n"/>
      <c r="U1492" s="12" t="n"/>
      <c r="V1492" s="12" t="n"/>
    </row>
    <row r="1493">
      <c r="A1493" s="12" t="n"/>
      <c r="B1493" s="12" t="n"/>
      <c r="C1493" s="12" t="n"/>
      <c r="D1493" s="13">
        <f>IF($A1493="","",TRIM($B1493&amp;" "&amp;$C1493))</f>
        <v/>
      </c>
      <c r="E1493" s="12" t="n"/>
      <c r="F1493" s="12" t="n"/>
      <c r="G1493" s="14" t="n"/>
      <c r="H1493" s="14" t="n"/>
      <c r="I1493" s="12" t="n"/>
      <c r="J1493" s="14" t="n"/>
      <c r="K1493" s="12" t="n"/>
      <c r="L1493" s="13">
        <f>IF($K1493="","",IFERROR(INDEX(Dept_Names,MATCH($K1493,Dept_Codes,0)),"NOT FOUND"))</f>
        <v/>
      </c>
      <c r="M1493" s="12" t="n"/>
      <c r="N1493" s="13">
        <f>IF($M1493="","",IFERROR(INDEX(Desig_Names,MATCH($M1493,Desig_Codes,0)),"NOT FOUND"))</f>
        <v/>
      </c>
      <c r="O1493" s="13">
        <f>IF($M1493="","",IFERROR(INDEX(Desig_Levels,MATCH($M1493,Desig_Codes,0)),""))</f>
        <v/>
      </c>
      <c r="P1493" s="12" t="n"/>
      <c r="Q1493" s="12" t="n"/>
      <c r="R1493" s="12" t="n"/>
      <c r="S1493" s="13">
        <f>IF($R1493="","",IFERROR(INDEX(Emp_Names,MATCH($R1493,Emp_Codes,0)),"NOT FOUND"))</f>
        <v/>
      </c>
      <c r="T1493" s="12" t="n"/>
      <c r="U1493" s="12" t="n"/>
      <c r="V1493" s="12" t="n"/>
    </row>
    <row r="1494">
      <c r="A1494" s="12" t="n"/>
      <c r="B1494" s="12" t="n"/>
      <c r="C1494" s="12" t="n"/>
      <c r="D1494" s="13">
        <f>IF($A1494="","",TRIM($B1494&amp;" "&amp;$C1494))</f>
        <v/>
      </c>
      <c r="E1494" s="12" t="n"/>
      <c r="F1494" s="12" t="n"/>
      <c r="G1494" s="14" t="n"/>
      <c r="H1494" s="14" t="n"/>
      <c r="I1494" s="12" t="n"/>
      <c r="J1494" s="14" t="n"/>
      <c r="K1494" s="12" t="n"/>
      <c r="L1494" s="13">
        <f>IF($K1494="","",IFERROR(INDEX(Dept_Names,MATCH($K1494,Dept_Codes,0)),"NOT FOUND"))</f>
        <v/>
      </c>
      <c r="M1494" s="12" t="n"/>
      <c r="N1494" s="13">
        <f>IF($M1494="","",IFERROR(INDEX(Desig_Names,MATCH($M1494,Desig_Codes,0)),"NOT FOUND"))</f>
        <v/>
      </c>
      <c r="O1494" s="13">
        <f>IF($M1494="","",IFERROR(INDEX(Desig_Levels,MATCH($M1494,Desig_Codes,0)),""))</f>
        <v/>
      </c>
      <c r="P1494" s="12" t="n"/>
      <c r="Q1494" s="12" t="n"/>
      <c r="R1494" s="12" t="n"/>
      <c r="S1494" s="13">
        <f>IF($R1494="","",IFERROR(INDEX(Emp_Names,MATCH($R1494,Emp_Codes,0)),"NOT FOUND"))</f>
        <v/>
      </c>
      <c r="T1494" s="12" t="n"/>
      <c r="U1494" s="12" t="n"/>
      <c r="V1494" s="12" t="n"/>
    </row>
    <row r="1495">
      <c r="A1495" s="12" t="n"/>
      <c r="B1495" s="12" t="n"/>
      <c r="C1495" s="12" t="n"/>
      <c r="D1495" s="13">
        <f>IF($A1495="","",TRIM($B1495&amp;" "&amp;$C1495))</f>
        <v/>
      </c>
      <c r="E1495" s="12" t="n"/>
      <c r="F1495" s="12" t="n"/>
      <c r="G1495" s="14" t="n"/>
      <c r="H1495" s="14" t="n"/>
      <c r="I1495" s="12" t="n"/>
      <c r="J1495" s="14" t="n"/>
      <c r="K1495" s="12" t="n"/>
      <c r="L1495" s="13">
        <f>IF($K1495="","",IFERROR(INDEX(Dept_Names,MATCH($K1495,Dept_Codes,0)),"NOT FOUND"))</f>
        <v/>
      </c>
      <c r="M1495" s="12" t="n"/>
      <c r="N1495" s="13">
        <f>IF($M1495="","",IFERROR(INDEX(Desig_Names,MATCH($M1495,Desig_Codes,0)),"NOT FOUND"))</f>
        <v/>
      </c>
      <c r="O1495" s="13">
        <f>IF($M1495="","",IFERROR(INDEX(Desig_Levels,MATCH($M1495,Desig_Codes,0)),""))</f>
        <v/>
      </c>
      <c r="P1495" s="12" t="n"/>
      <c r="Q1495" s="12" t="n"/>
      <c r="R1495" s="12" t="n"/>
      <c r="S1495" s="13">
        <f>IF($R1495="","",IFERROR(INDEX(Emp_Names,MATCH($R1495,Emp_Codes,0)),"NOT FOUND"))</f>
        <v/>
      </c>
      <c r="T1495" s="12" t="n"/>
      <c r="U1495" s="12" t="n"/>
      <c r="V1495" s="12" t="n"/>
    </row>
    <row r="1496">
      <c r="A1496" s="12" t="n"/>
      <c r="B1496" s="12" t="n"/>
      <c r="C1496" s="12" t="n"/>
      <c r="D1496" s="13">
        <f>IF($A1496="","",TRIM($B1496&amp;" "&amp;$C1496))</f>
        <v/>
      </c>
      <c r="E1496" s="12" t="n"/>
      <c r="F1496" s="12" t="n"/>
      <c r="G1496" s="14" t="n"/>
      <c r="H1496" s="14" t="n"/>
      <c r="I1496" s="12" t="n"/>
      <c r="J1496" s="14" t="n"/>
      <c r="K1496" s="12" t="n"/>
      <c r="L1496" s="13">
        <f>IF($K1496="","",IFERROR(INDEX(Dept_Names,MATCH($K1496,Dept_Codes,0)),"NOT FOUND"))</f>
        <v/>
      </c>
      <c r="M1496" s="12" t="n"/>
      <c r="N1496" s="13">
        <f>IF($M1496="","",IFERROR(INDEX(Desig_Names,MATCH($M1496,Desig_Codes,0)),"NOT FOUND"))</f>
        <v/>
      </c>
      <c r="O1496" s="13">
        <f>IF($M1496="","",IFERROR(INDEX(Desig_Levels,MATCH($M1496,Desig_Codes,0)),""))</f>
        <v/>
      </c>
      <c r="P1496" s="12" t="n"/>
      <c r="Q1496" s="12" t="n"/>
      <c r="R1496" s="12" t="n"/>
      <c r="S1496" s="13">
        <f>IF($R1496="","",IFERROR(INDEX(Emp_Names,MATCH($R1496,Emp_Codes,0)),"NOT FOUND"))</f>
        <v/>
      </c>
      <c r="T1496" s="12" t="n"/>
      <c r="U1496" s="12" t="n"/>
      <c r="V1496" s="12" t="n"/>
    </row>
    <row r="1497">
      <c r="A1497" s="12" t="n"/>
      <c r="B1497" s="12" t="n"/>
      <c r="C1497" s="12" t="n"/>
      <c r="D1497" s="13">
        <f>IF($A1497="","",TRIM($B1497&amp;" "&amp;$C1497))</f>
        <v/>
      </c>
      <c r="E1497" s="12" t="n"/>
      <c r="F1497" s="12" t="n"/>
      <c r="G1497" s="14" t="n"/>
      <c r="H1497" s="14" t="n"/>
      <c r="I1497" s="12" t="n"/>
      <c r="J1497" s="14" t="n"/>
      <c r="K1497" s="12" t="n"/>
      <c r="L1497" s="13">
        <f>IF($K1497="","",IFERROR(INDEX(Dept_Names,MATCH($K1497,Dept_Codes,0)),"NOT FOUND"))</f>
        <v/>
      </c>
      <c r="M1497" s="12" t="n"/>
      <c r="N1497" s="13">
        <f>IF($M1497="","",IFERROR(INDEX(Desig_Names,MATCH($M1497,Desig_Codes,0)),"NOT FOUND"))</f>
        <v/>
      </c>
      <c r="O1497" s="13">
        <f>IF($M1497="","",IFERROR(INDEX(Desig_Levels,MATCH($M1497,Desig_Codes,0)),""))</f>
        <v/>
      </c>
      <c r="P1497" s="12" t="n"/>
      <c r="Q1497" s="12" t="n"/>
      <c r="R1497" s="12" t="n"/>
      <c r="S1497" s="13">
        <f>IF($R1497="","",IFERROR(INDEX(Emp_Names,MATCH($R1497,Emp_Codes,0)),"NOT FOUND"))</f>
        <v/>
      </c>
      <c r="T1497" s="12" t="n"/>
      <c r="U1497" s="12" t="n"/>
      <c r="V1497" s="12" t="n"/>
    </row>
    <row r="1498">
      <c r="A1498" s="12" t="n"/>
      <c r="B1498" s="12" t="n"/>
      <c r="C1498" s="12" t="n"/>
      <c r="D1498" s="13">
        <f>IF($A1498="","",TRIM($B1498&amp;" "&amp;$C1498))</f>
        <v/>
      </c>
      <c r="E1498" s="12" t="n"/>
      <c r="F1498" s="12" t="n"/>
      <c r="G1498" s="14" t="n"/>
      <c r="H1498" s="14" t="n"/>
      <c r="I1498" s="12" t="n"/>
      <c r="J1498" s="14" t="n"/>
      <c r="K1498" s="12" t="n"/>
      <c r="L1498" s="13">
        <f>IF($K1498="","",IFERROR(INDEX(Dept_Names,MATCH($K1498,Dept_Codes,0)),"NOT FOUND"))</f>
        <v/>
      </c>
      <c r="M1498" s="12" t="n"/>
      <c r="N1498" s="13">
        <f>IF($M1498="","",IFERROR(INDEX(Desig_Names,MATCH($M1498,Desig_Codes,0)),"NOT FOUND"))</f>
        <v/>
      </c>
      <c r="O1498" s="13">
        <f>IF($M1498="","",IFERROR(INDEX(Desig_Levels,MATCH($M1498,Desig_Codes,0)),""))</f>
        <v/>
      </c>
      <c r="P1498" s="12" t="n"/>
      <c r="Q1498" s="12" t="n"/>
      <c r="R1498" s="12" t="n"/>
      <c r="S1498" s="13">
        <f>IF($R1498="","",IFERROR(INDEX(Emp_Names,MATCH($R1498,Emp_Codes,0)),"NOT FOUND"))</f>
        <v/>
      </c>
      <c r="T1498" s="12" t="n"/>
      <c r="U1498" s="12" t="n"/>
      <c r="V1498" s="12" t="n"/>
    </row>
    <row r="1499">
      <c r="A1499" s="12" t="n"/>
      <c r="B1499" s="12" t="n"/>
      <c r="C1499" s="12" t="n"/>
      <c r="D1499" s="13">
        <f>IF($A1499="","",TRIM($B1499&amp;" "&amp;$C1499))</f>
        <v/>
      </c>
      <c r="E1499" s="12" t="n"/>
      <c r="F1499" s="12" t="n"/>
      <c r="G1499" s="14" t="n"/>
      <c r="H1499" s="14" t="n"/>
      <c r="I1499" s="12" t="n"/>
      <c r="J1499" s="14" t="n"/>
      <c r="K1499" s="12" t="n"/>
      <c r="L1499" s="13">
        <f>IF($K1499="","",IFERROR(INDEX(Dept_Names,MATCH($K1499,Dept_Codes,0)),"NOT FOUND"))</f>
        <v/>
      </c>
      <c r="M1499" s="12" t="n"/>
      <c r="N1499" s="13">
        <f>IF($M1499="","",IFERROR(INDEX(Desig_Names,MATCH($M1499,Desig_Codes,0)),"NOT FOUND"))</f>
        <v/>
      </c>
      <c r="O1499" s="13">
        <f>IF($M1499="","",IFERROR(INDEX(Desig_Levels,MATCH($M1499,Desig_Codes,0)),""))</f>
        <v/>
      </c>
      <c r="P1499" s="12" t="n"/>
      <c r="Q1499" s="12" t="n"/>
      <c r="R1499" s="12" t="n"/>
      <c r="S1499" s="13">
        <f>IF($R1499="","",IFERROR(INDEX(Emp_Names,MATCH($R1499,Emp_Codes,0)),"NOT FOUND"))</f>
        <v/>
      </c>
      <c r="T1499" s="12" t="n"/>
      <c r="U1499" s="12" t="n"/>
      <c r="V1499" s="12" t="n"/>
    </row>
    <row r="1500">
      <c r="A1500" s="12" t="n"/>
      <c r="B1500" s="12" t="n"/>
      <c r="C1500" s="12" t="n"/>
      <c r="D1500" s="13">
        <f>IF($A1500="","",TRIM($B1500&amp;" "&amp;$C1500))</f>
        <v/>
      </c>
      <c r="E1500" s="12" t="n"/>
      <c r="F1500" s="12" t="n"/>
      <c r="G1500" s="14" t="n"/>
      <c r="H1500" s="14" t="n"/>
      <c r="I1500" s="12" t="n"/>
      <c r="J1500" s="14" t="n"/>
      <c r="K1500" s="12" t="n"/>
      <c r="L1500" s="13">
        <f>IF($K1500="","",IFERROR(INDEX(Dept_Names,MATCH($K1500,Dept_Codes,0)),"NOT FOUND"))</f>
        <v/>
      </c>
      <c r="M1500" s="12" t="n"/>
      <c r="N1500" s="13">
        <f>IF($M1500="","",IFERROR(INDEX(Desig_Names,MATCH($M1500,Desig_Codes,0)),"NOT FOUND"))</f>
        <v/>
      </c>
      <c r="O1500" s="13">
        <f>IF($M1500="","",IFERROR(INDEX(Desig_Levels,MATCH($M1500,Desig_Codes,0)),""))</f>
        <v/>
      </c>
      <c r="P1500" s="12" t="n"/>
      <c r="Q1500" s="12" t="n"/>
      <c r="R1500" s="12" t="n"/>
      <c r="S1500" s="13">
        <f>IF($R1500="","",IFERROR(INDEX(Emp_Names,MATCH($R1500,Emp_Codes,0)),"NOT FOUND"))</f>
        <v/>
      </c>
      <c r="T1500" s="12" t="n"/>
      <c r="U1500" s="12" t="n"/>
      <c r="V1500" s="12" t="n"/>
    </row>
    <row r="1501">
      <c r="A1501" s="12" t="n"/>
      <c r="B1501" s="12" t="n"/>
      <c r="C1501" s="12" t="n"/>
      <c r="D1501" s="13">
        <f>IF($A1501="","",TRIM($B1501&amp;" "&amp;$C1501))</f>
        <v/>
      </c>
      <c r="E1501" s="12" t="n"/>
      <c r="F1501" s="12" t="n"/>
      <c r="G1501" s="14" t="n"/>
      <c r="H1501" s="14" t="n"/>
      <c r="I1501" s="12" t="n"/>
      <c r="J1501" s="14" t="n"/>
      <c r="K1501" s="12" t="n"/>
      <c r="L1501" s="13">
        <f>IF($K1501="","",IFERROR(INDEX(Dept_Names,MATCH($K1501,Dept_Codes,0)),"NOT FOUND"))</f>
        <v/>
      </c>
      <c r="M1501" s="12" t="n"/>
      <c r="N1501" s="13">
        <f>IF($M1501="","",IFERROR(INDEX(Desig_Names,MATCH($M1501,Desig_Codes,0)),"NOT FOUND"))</f>
        <v/>
      </c>
      <c r="O1501" s="13">
        <f>IF($M1501="","",IFERROR(INDEX(Desig_Levels,MATCH($M1501,Desig_Codes,0)),""))</f>
        <v/>
      </c>
      <c r="P1501" s="12" t="n"/>
      <c r="Q1501" s="12" t="n"/>
      <c r="R1501" s="12" t="n"/>
      <c r="S1501" s="13">
        <f>IF($R1501="","",IFERROR(INDEX(Emp_Names,MATCH($R1501,Emp_Codes,0)),"NOT FOUND"))</f>
        <v/>
      </c>
      <c r="T1501" s="12" t="n"/>
      <c r="U1501" s="12" t="n"/>
      <c r="V1501" s="12" t="n"/>
    </row>
    <row r="1502">
      <c r="A1502" s="12" t="n"/>
      <c r="B1502" s="12" t="n"/>
      <c r="C1502" s="12" t="n"/>
      <c r="D1502" s="13">
        <f>IF($A1502="","",TRIM($B1502&amp;" "&amp;$C1502))</f>
        <v/>
      </c>
      <c r="E1502" s="12" t="n"/>
      <c r="F1502" s="12" t="n"/>
      <c r="G1502" s="14" t="n"/>
      <c r="H1502" s="14" t="n"/>
      <c r="I1502" s="12" t="n"/>
      <c r="J1502" s="14" t="n"/>
      <c r="K1502" s="12" t="n"/>
      <c r="L1502" s="13">
        <f>IF($K1502="","",IFERROR(INDEX(Dept_Names,MATCH($K1502,Dept_Codes,0)),"NOT FOUND"))</f>
        <v/>
      </c>
      <c r="M1502" s="12" t="n"/>
      <c r="N1502" s="13">
        <f>IF($M1502="","",IFERROR(INDEX(Desig_Names,MATCH($M1502,Desig_Codes,0)),"NOT FOUND"))</f>
        <v/>
      </c>
      <c r="O1502" s="13">
        <f>IF($M1502="","",IFERROR(INDEX(Desig_Levels,MATCH($M1502,Desig_Codes,0)),""))</f>
        <v/>
      </c>
      <c r="P1502" s="12" t="n"/>
      <c r="Q1502" s="12" t="n"/>
      <c r="R1502" s="12" t="n"/>
      <c r="S1502" s="13">
        <f>IF($R1502="","",IFERROR(INDEX(Emp_Names,MATCH($R1502,Emp_Codes,0)),"NOT FOUND"))</f>
        <v/>
      </c>
      <c r="T1502" s="12" t="n"/>
      <c r="U1502" s="12" t="n"/>
      <c r="V1502" s="12" t="n"/>
    </row>
    <row r="1503">
      <c r="A1503" s="12" t="n"/>
      <c r="B1503" s="12" t="n"/>
      <c r="C1503" s="12" t="n"/>
      <c r="D1503" s="13">
        <f>IF($A1503="","",TRIM($B1503&amp;" "&amp;$C1503))</f>
        <v/>
      </c>
      <c r="E1503" s="12" t="n"/>
      <c r="F1503" s="12" t="n"/>
      <c r="G1503" s="14" t="n"/>
      <c r="H1503" s="14" t="n"/>
      <c r="I1503" s="12" t="n"/>
      <c r="J1503" s="14" t="n"/>
      <c r="K1503" s="12" t="n"/>
      <c r="L1503" s="13">
        <f>IF($K1503="","",IFERROR(INDEX(Dept_Names,MATCH($K1503,Dept_Codes,0)),"NOT FOUND"))</f>
        <v/>
      </c>
      <c r="M1503" s="12" t="n"/>
      <c r="N1503" s="13">
        <f>IF($M1503="","",IFERROR(INDEX(Desig_Names,MATCH($M1503,Desig_Codes,0)),"NOT FOUND"))</f>
        <v/>
      </c>
      <c r="O1503" s="13">
        <f>IF($M1503="","",IFERROR(INDEX(Desig_Levels,MATCH($M1503,Desig_Codes,0)),""))</f>
        <v/>
      </c>
      <c r="P1503" s="12" t="n"/>
      <c r="Q1503" s="12" t="n"/>
      <c r="R1503" s="12" t="n"/>
      <c r="S1503" s="13">
        <f>IF($R1503="","",IFERROR(INDEX(Emp_Names,MATCH($R1503,Emp_Codes,0)),"NOT FOUND"))</f>
        <v/>
      </c>
      <c r="T1503" s="12" t="n"/>
      <c r="U1503" s="12" t="n"/>
      <c r="V1503" s="12" t="n"/>
    </row>
    <row r="1504">
      <c r="A1504" s="12" t="n"/>
      <c r="B1504" s="12" t="n"/>
      <c r="C1504" s="12" t="n"/>
      <c r="D1504" s="13">
        <f>IF($A1504="","",TRIM($B1504&amp;" "&amp;$C1504))</f>
        <v/>
      </c>
      <c r="E1504" s="12" t="n"/>
      <c r="F1504" s="12" t="n"/>
      <c r="G1504" s="14" t="n"/>
      <c r="H1504" s="14" t="n"/>
      <c r="I1504" s="12" t="n"/>
      <c r="J1504" s="14" t="n"/>
      <c r="K1504" s="12" t="n"/>
      <c r="L1504" s="13">
        <f>IF($K1504="","",IFERROR(INDEX(Dept_Names,MATCH($K1504,Dept_Codes,0)),"NOT FOUND"))</f>
        <v/>
      </c>
      <c r="M1504" s="12" t="n"/>
      <c r="N1504" s="13">
        <f>IF($M1504="","",IFERROR(INDEX(Desig_Names,MATCH($M1504,Desig_Codes,0)),"NOT FOUND"))</f>
        <v/>
      </c>
      <c r="O1504" s="13">
        <f>IF($M1504="","",IFERROR(INDEX(Desig_Levels,MATCH($M1504,Desig_Codes,0)),""))</f>
        <v/>
      </c>
      <c r="P1504" s="12" t="n"/>
      <c r="Q1504" s="12" t="n"/>
      <c r="R1504" s="12" t="n"/>
      <c r="S1504" s="13">
        <f>IF($R1504="","",IFERROR(INDEX(Emp_Names,MATCH($R1504,Emp_Codes,0)),"NOT FOUND"))</f>
        <v/>
      </c>
      <c r="T1504" s="12" t="n"/>
      <c r="U1504" s="12" t="n"/>
      <c r="V1504" s="12" t="n"/>
    </row>
    <row r="1505">
      <c r="A1505" s="12" t="n"/>
      <c r="B1505" s="12" t="n"/>
      <c r="C1505" s="12" t="n"/>
      <c r="D1505" s="13">
        <f>IF($A1505="","",TRIM($B1505&amp;" "&amp;$C1505))</f>
        <v/>
      </c>
      <c r="E1505" s="12" t="n"/>
      <c r="F1505" s="12" t="n"/>
      <c r="G1505" s="14" t="n"/>
      <c r="H1505" s="14" t="n"/>
      <c r="I1505" s="12" t="n"/>
      <c r="J1505" s="14" t="n"/>
      <c r="K1505" s="12" t="n"/>
      <c r="L1505" s="13">
        <f>IF($K1505="","",IFERROR(INDEX(Dept_Names,MATCH($K1505,Dept_Codes,0)),"NOT FOUND"))</f>
        <v/>
      </c>
      <c r="M1505" s="12" t="n"/>
      <c r="N1505" s="13">
        <f>IF($M1505="","",IFERROR(INDEX(Desig_Names,MATCH($M1505,Desig_Codes,0)),"NOT FOUND"))</f>
        <v/>
      </c>
      <c r="O1505" s="13">
        <f>IF($M1505="","",IFERROR(INDEX(Desig_Levels,MATCH($M1505,Desig_Codes,0)),""))</f>
        <v/>
      </c>
      <c r="P1505" s="12" t="n"/>
      <c r="Q1505" s="12" t="n"/>
      <c r="R1505" s="12" t="n"/>
      <c r="S1505" s="13">
        <f>IF($R1505="","",IFERROR(INDEX(Emp_Names,MATCH($R1505,Emp_Codes,0)),"NOT FOUND"))</f>
        <v/>
      </c>
      <c r="T1505" s="12" t="n"/>
      <c r="U1505" s="12" t="n"/>
      <c r="V1505" s="12" t="n"/>
    </row>
    <row r="1506">
      <c r="A1506" s="12" t="n"/>
      <c r="B1506" s="12" t="n"/>
      <c r="C1506" s="12" t="n"/>
      <c r="D1506" s="13">
        <f>IF($A1506="","",TRIM($B1506&amp;" "&amp;$C1506))</f>
        <v/>
      </c>
      <c r="E1506" s="12" t="n"/>
      <c r="F1506" s="12" t="n"/>
      <c r="G1506" s="14" t="n"/>
      <c r="H1506" s="14" t="n"/>
      <c r="I1506" s="12" t="n"/>
      <c r="J1506" s="14" t="n"/>
      <c r="K1506" s="12" t="n"/>
      <c r="L1506" s="13">
        <f>IF($K1506="","",IFERROR(INDEX(Dept_Names,MATCH($K1506,Dept_Codes,0)),"NOT FOUND"))</f>
        <v/>
      </c>
      <c r="M1506" s="12" t="n"/>
      <c r="N1506" s="13">
        <f>IF($M1506="","",IFERROR(INDEX(Desig_Names,MATCH($M1506,Desig_Codes,0)),"NOT FOUND"))</f>
        <v/>
      </c>
      <c r="O1506" s="13">
        <f>IF($M1506="","",IFERROR(INDEX(Desig_Levels,MATCH($M1506,Desig_Codes,0)),""))</f>
        <v/>
      </c>
      <c r="P1506" s="12" t="n"/>
      <c r="Q1506" s="12" t="n"/>
      <c r="R1506" s="12" t="n"/>
      <c r="S1506" s="13">
        <f>IF($R1506="","",IFERROR(INDEX(Emp_Names,MATCH($R1506,Emp_Codes,0)),"NOT FOUND"))</f>
        <v/>
      </c>
      <c r="T1506" s="12" t="n"/>
      <c r="U1506" s="12" t="n"/>
      <c r="V1506" s="12" t="n"/>
    </row>
    <row r="1507">
      <c r="A1507" s="12" t="n"/>
      <c r="B1507" s="12" t="n"/>
      <c r="C1507" s="12" t="n"/>
      <c r="D1507" s="13">
        <f>IF($A1507="","",TRIM($B1507&amp;" "&amp;$C1507))</f>
        <v/>
      </c>
      <c r="E1507" s="12" t="n"/>
      <c r="F1507" s="12" t="n"/>
      <c r="G1507" s="14" t="n"/>
      <c r="H1507" s="14" t="n"/>
      <c r="I1507" s="12" t="n"/>
      <c r="J1507" s="14" t="n"/>
      <c r="K1507" s="12" t="n"/>
      <c r="L1507" s="13">
        <f>IF($K1507="","",IFERROR(INDEX(Dept_Names,MATCH($K1507,Dept_Codes,0)),"NOT FOUND"))</f>
        <v/>
      </c>
      <c r="M1507" s="12" t="n"/>
      <c r="N1507" s="13">
        <f>IF($M1507="","",IFERROR(INDEX(Desig_Names,MATCH($M1507,Desig_Codes,0)),"NOT FOUND"))</f>
        <v/>
      </c>
      <c r="O1507" s="13">
        <f>IF($M1507="","",IFERROR(INDEX(Desig_Levels,MATCH($M1507,Desig_Codes,0)),""))</f>
        <v/>
      </c>
      <c r="P1507" s="12" t="n"/>
      <c r="Q1507" s="12" t="n"/>
      <c r="R1507" s="12" t="n"/>
      <c r="S1507" s="13">
        <f>IF($R1507="","",IFERROR(INDEX(Emp_Names,MATCH($R1507,Emp_Codes,0)),"NOT FOUND"))</f>
        <v/>
      </c>
      <c r="T1507" s="12" t="n"/>
      <c r="U1507" s="12" t="n"/>
      <c r="V1507" s="12" t="n"/>
    </row>
    <row r="1508">
      <c r="A1508" s="12" t="n"/>
      <c r="B1508" s="12" t="n"/>
      <c r="C1508" s="12" t="n"/>
      <c r="D1508" s="13">
        <f>IF($A1508="","",TRIM($B1508&amp;" "&amp;$C1508))</f>
        <v/>
      </c>
      <c r="E1508" s="12" t="n"/>
      <c r="F1508" s="12" t="n"/>
      <c r="G1508" s="14" t="n"/>
      <c r="H1508" s="14" t="n"/>
      <c r="I1508" s="12" t="n"/>
      <c r="J1508" s="14" t="n"/>
      <c r="K1508" s="12" t="n"/>
      <c r="L1508" s="13">
        <f>IF($K1508="","",IFERROR(INDEX(Dept_Names,MATCH($K1508,Dept_Codes,0)),"NOT FOUND"))</f>
        <v/>
      </c>
      <c r="M1508" s="12" t="n"/>
      <c r="N1508" s="13">
        <f>IF($M1508="","",IFERROR(INDEX(Desig_Names,MATCH($M1508,Desig_Codes,0)),"NOT FOUND"))</f>
        <v/>
      </c>
      <c r="O1508" s="13">
        <f>IF($M1508="","",IFERROR(INDEX(Desig_Levels,MATCH($M1508,Desig_Codes,0)),""))</f>
        <v/>
      </c>
      <c r="P1508" s="12" t="n"/>
      <c r="Q1508" s="12" t="n"/>
      <c r="R1508" s="12" t="n"/>
      <c r="S1508" s="13">
        <f>IF($R1508="","",IFERROR(INDEX(Emp_Names,MATCH($R1508,Emp_Codes,0)),"NOT FOUND"))</f>
        <v/>
      </c>
      <c r="T1508" s="12" t="n"/>
      <c r="U1508" s="12" t="n"/>
      <c r="V1508" s="12" t="n"/>
    </row>
    <row r="1509">
      <c r="A1509" s="12" t="n"/>
      <c r="B1509" s="12" t="n"/>
      <c r="C1509" s="12" t="n"/>
      <c r="D1509" s="13">
        <f>IF($A1509="","",TRIM($B1509&amp;" "&amp;$C1509))</f>
        <v/>
      </c>
      <c r="E1509" s="12" t="n"/>
      <c r="F1509" s="12" t="n"/>
      <c r="G1509" s="14" t="n"/>
      <c r="H1509" s="14" t="n"/>
      <c r="I1509" s="12" t="n"/>
      <c r="J1509" s="14" t="n"/>
      <c r="K1509" s="12" t="n"/>
      <c r="L1509" s="13">
        <f>IF($K1509="","",IFERROR(INDEX(Dept_Names,MATCH($K1509,Dept_Codes,0)),"NOT FOUND"))</f>
        <v/>
      </c>
      <c r="M1509" s="12" t="n"/>
      <c r="N1509" s="13">
        <f>IF($M1509="","",IFERROR(INDEX(Desig_Names,MATCH($M1509,Desig_Codes,0)),"NOT FOUND"))</f>
        <v/>
      </c>
      <c r="O1509" s="13">
        <f>IF($M1509="","",IFERROR(INDEX(Desig_Levels,MATCH($M1509,Desig_Codes,0)),""))</f>
        <v/>
      </c>
      <c r="P1509" s="12" t="n"/>
      <c r="Q1509" s="12" t="n"/>
      <c r="R1509" s="12" t="n"/>
      <c r="S1509" s="13">
        <f>IF($R1509="","",IFERROR(INDEX(Emp_Names,MATCH($R1509,Emp_Codes,0)),"NOT FOUND"))</f>
        <v/>
      </c>
      <c r="T1509" s="12" t="n"/>
      <c r="U1509" s="12" t="n"/>
      <c r="V1509" s="12" t="n"/>
    </row>
    <row r="1510">
      <c r="A1510" s="12" t="n"/>
      <c r="B1510" s="12" t="n"/>
      <c r="C1510" s="12" t="n"/>
      <c r="D1510" s="13">
        <f>IF($A1510="","",TRIM($B1510&amp;" "&amp;$C1510))</f>
        <v/>
      </c>
      <c r="E1510" s="12" t="n"/>
      <c r="F1510" s="12" t="n"/>
      <c r="G1510" s="14" t="n"/>
      <c r="H1510" s="14" t="n"/>
      <c r="I1510" s="12" t="n"/>
      <c r="J1510" s="14" t="n"/>
      <c r="K1510" s="12" t="n"/>
      <c r="L1510" s="13">
        <f>IF($K1510="","",IFERROR(INDEX(Dept_Names,MATCH($K1510,Dept_Codes,0)),"NOT FOUND"))</f>
        <v/>
      </c>
      <c r="M1510" s="12" t="n"/>
      <c r="N1510" s="13">
        <f>IF($M1510="","",IFERROR(INDEX(Desig_Names,MATCH($M1510,Desig_Codes,0)),"NOT FOUND"))</f>
        <v/>
      </c>
      <c r="O1510" s="13">
        <f>IF($M1510="","",IFERROR(INDEX(Desig_Levels,MATCH($M1510,Desig_Codes,0)),""))</f>
        <v/>
      </c>
      <c r="P1510" s="12" t="n"/>
      <c r="Q1510" s="12" t="n"/>
      <c r="R1510" s="12" t="n"/>
      <c r="S1510" s="13">
        <f>IF($R1510="","",IFERROR(INDEX(Emp_Names,MATCH($R1510,Emp_Codes,0)),"NOT FOUND"))</f>
        <v/>
      </c>
      <c r="T1510" s="12" t="n"/>
      <c r="U1510" s="12" t="n"/>
      <c r="V1510" s="12" t="n"/>
    </row>
    <row r="1511">
      <c r="A1511" s="12" t="n"/>
      <c r="B1511" s="12" t="n"/>
      <c r="C1511" s="12" t="n"/>
      <c r="D1511" s="13">
        <f>IF($A1511="","",TRIM($B1511&amp;" "&amp;$C1511))</f>
        <v/>
      </c>
      <c r="E1511" s="12" t="n"/>
      <c r="F1511" s="12" t="n"/>
      <c r="G1511" s="14" t="n"/>
      <c r="H1511" s="14" t="n"/>
      <c r="I1511" s="12" t="n"/>
      <c r="J1511" s="14" t="n"/>
      <c r="K1511" s="12" t="n"/>
      <c r="L1511" s="13">
        <f>IF($K1511="","",IFERROR(INDEX(Dept_Names,MATCH($K1511,Dept_Codes,0)),"NOT FOUND"))</f>
        <v/>
      </c>
      <c r="M1511" s="12" t="n"/>
      <c r="N1511" s="13">
        <f>IF($M1511="","",IFERROR(INDEX(Desig_Names,MATCH($M1511,Desig_Codes,0)),"NOT FOUND"))</f>
        <v/>
      </c>
      <c r="O1511" s="13">
        <f>IF($M1511="","",IFERROR(INDEX(Desig_Levels,MATCH($M1511,Desig_Codes,0)),""))</f>
        <v/>
      </c>
      <c r="P1511" s="12" t="n"/>
      <c r="Q1511" s="12" t="n"/>
      <c r="R1511" s="12" t="n"/>
      <c r="S1511" s="13">
        <f>IF($R1511="","",IFERROR(INDEX(Emp_Names,MATCH($R1511,Emp_Codes,0)),"NOT FOUND"))</f>
        <v/>
      </c>
      <c r="T1511" s="12" t="n"/>
      <c r="U1511" s="12" t="n"/>
      <c r="V1511" s="12" t="n"/>
    </row>
    <row r="1512">
      <c r="A1512" s="12" t="n"/>
      <c r="B1512" s="12" t="n"/>
      <c r="C1512" s="12" t="n"/>
      <c r="D1512" s="13">
        <f>IF($A1512="","",TRIM($B1512&amp;" "&amp;$C1512))</f>
        <v/>
      </c>
      <c r="E1512" s="12" t="n"/>
      <c r="F1512" s="12" t="n"/>
      <c r="G1512" s="14" t="n"/>
      <c r="H1512" s="14" t="n"/>
      <c r="I1512" s="12" t="n"/>
      <c r="J1512" s="14" t="n"/>
      <c r="K1512" s="12" t="n"/>
      <c r="L1512" s="13">
        <f>IF($K1512="","",IFERROR(INDEX(Dept_Names,MATCH($K1512,Dept_Codes,0)),"NOT FOUND"))</f>
        <v/>
      </c>
      <c r="M1512" s="12" t="n"/>
      <c r="N1512" s="13">
        <f>IF($M1512="","",IFERROR(INDEX(Desig_Names,MATCH($M1512,Desig_Codes,0)),"NOT FOUND"))</f>
        <v/>
      </c>
      <c r="O1512" s="13">
        <f>IF($M1512="","",IFERROR(INDEX(Desig_Levels,MATCH($M1512,Desig_Codes,0)),""))</f>
        <v/>
      </c>
      <c r="P1512" s="12" t="n"/>
      <c r="Q1512" s="12" t="n"/>
      <c r="R1512" s="12" t="n"/>
      <c r="S1512" s="13">
        <f>IF($R1512="","",IFERROR(INDEX(Emp_Names,MATCH($R1512,Emp_Codes,0)),"NOT FOUND"))</f>
        <v/>
      </c>
      <c r="T1512" s="12" t="n"/>
      <c r="U1512" s="12" t="n"/>
      <c r="V1512" s="12" t="n"/>
    </row>
    <row r="1513">
      <c r="A1513" s="12" t="n"/>
      <c r="B1513" s="12" t="n"/>
      <c r="C1513" s="12" t="n"/>
      <c r="D1513" s="13">
        <f>IF($A1513="","",TRIM($B1513&amp;" "&amp;$C1513))</f>
        <v/>
      </c>
      <c r="E1513" s="12" t="n"/>
      <c r="F1513" s="12" t="n"/>
      <c r="G1513" s="14" t="n"/>
      <c r="H1513" s="14" t="n"/>
      <c r="I1513" s="12" t="n"/>
      <c r="J1513" s="14" t="n"/>
      <c r="K1513" s="12" t="n"/>
      <c r="L1513" s="13">
        <f>IF($K1513="","",IFERROR(INDEX(Dept_Names,MATCH($K1513,Dept_Codes,0)),"NOT FOUND"))</f>
        <v/>
      </c>
      <c r="M1513" s="12" t="n"/>
      <c r="N1513" s="13">
        <f>IF($M1513="","",IFERROR(INDEX(Desig_Names,MATCH($M1513,Desig_Codes,0)),"NOT FOUND"))</f>
        <v/>
      </c>
      <c r="O1513" s="13">
        <f>IF($M1513="","",IFERROR(INDEX(Desig_Levels,MATCH($M1513,Desig_Codes,0)),""))</f>
        <v/>
      </c>
      <c r="P1513" s="12" t="n"/>
      <c r="Q1513" s="12" t="n"/>
      <c r="R1513" s="12" t="n"/>
      <c r="S1513" s="13">
        <f>IF($R1513="","",IFERROR(INDEX(Emp_Names,MATCH($R1513,Emp_Codes,0)),"NOT FOUND"))</f>
        <v/>
      </c>
      <c r="T1513" s="12" t="n"/>
      <c r="U1513" s="12" t="n"/>
      <c r="V1513" s="12" t="n"/>
    </row>
    <row r="1514">
      <c r="A1514" s="12" t="n"/>
      <c r="B1514" s="12" t="n"/>
      <c r="C1514" s="12" t="n"/>
      <c r="D1514" s="13">
        <f>IF($A1514="","",TRIM($B1514&amp;" "&amp;$C1514))</f>
        <v/>
      </c>
      <c r="E1514" s="12" t="n"/>
      <c r="F1514" s="12" t="n"/>
      <c r="G1514" s="14" t="n"/>
      <c r="H1514" s="14" t="n"/>
      <c r="I1514" s="12" t="n"/>
      <c r="J1514" s="14" t="n"/>
      <c r="K1514" s="12" t="n"/>
      <c r="L1514" s="13">
        <f>IF($K1514="","",IFERROR(INDEX(Dept_Names,MATCH($K1514,Dept_Codes,0)),"NOT FOUND"))</f>
        <v/>
      </c>
      <c r="M1514" s="12" t="n"/>
      <c r="N1514" s="13">
        <f>IF($M1514="","",IFERROR(INDEX(Desig_Names,MATCH($M1514,Desig_Codes,0)),"NOT FOUND"))</f>
        <v/>
      </c>
      <c r="O1514" s="13">
        <f>IF($M1514="","",IFERROR(INDEX(Desig_Levels,MATCH($M1514,Desig_Codes,0)),""))</f>
        <v/>
      </c>
      <c r="P1514" s="12" t="n"/>
      <c r="Q1514" s="12" t="n"/>
      <c r="R1514" s="12" t="n"/>
      <c r="S1514" s="13">
        <f>IF($R1514="","",IFERROR(INDEX(Emp_Names,MATCH($R1514,Emp_Codes,0)),"NOT FOUND"))</f>
        <v/>
      </c>
      <c r="T1514" s="12" t="n"/>
      <c r="U1514" s="12" t="n"/>
      <c r="V1514" s="12" t="n"/>
    </row>
    <row r="1515">
      <c r="A1515" s="12" t="n"/>
      <c r="B1515" s="12" t="n"/>
      <c r="C1515" s="12" t="n"/>
      <c r="D1515" s="13">
        <f>IF($A1515="","",TRIM($B1515&amp;" "&amp;$C1515))</f>
        <v/>
      </c>
      <c r="E1515" s="12" t="n"/>
      <c r="F1515" s="12" t="n"/>
      <c r="G1515" s="14" t="n"/>
      <c r="H1515" s="14" t="n"/>
      <c r="I1515" s="12" t="n"/>
      <c r="J1515" s="14" t="n"/>
      <c r="K1515" s="12" t="n"/>
      <c r="L1515" s="13">
        <f>IF($K1515="","",IFERROR(INDEX(Dept_Names,MATCH($K1515,Dept_Codes,0)),"NOT FOUND"))</f>
        <v/>
      </c>
      <c r="M1515" s="12" t="n"/>
      <c r="N1515" s="13">
        <f>IF($M1515="","",IFERROR(INDEX(Desig_Names,MATCH($M1515,Desig_Codes,0)),"NOT FOUND"))</f>
        <v/>
      </c>
      <c r="O1515" s="13">
        <f>IF($M1515="","",IFERROR(INDEX(Desig_Levels,MATCH($M1515,Desig_Codes,0)),""))</f>
        <v/>
      </c>
      <c r="P1515" s="12" t="n"/>
      <c r="Q1515" s="12" t="n"/>
      <c r="R1515" s="12" t="n"/>
      <c r="S1515" s="13">
        <f>IF($R1515="","",IFERROR(INDEX(Emp_Names,MATCH($R1515,Emp_Codes,0)),"NOT FOUND"))</f>
        <v/>
      </c>
      <c r="T1515" s="12" t="n"/>
      <c r="U1515" s="12" t="n"/>
      <c r="V1515" s="12" t="n"/>
    </row>
    <row r="1516">
      <c r="A1516" s="12" t="n"/>
      <c r="B1516" s="12" t="n"/>
      <c r="C1516" s="12" t="n"/>
      <c r="D1516" s="13">
        <f>IF($A1516="","",TRIM($B1516&amp;" "&amp;$C1516))</f>
        <v/>
      </c>
      <c r="E1516" s="12" t="n"/>
      <c r="F1516" s="12" t="n"/>
      <c r="G1516" s="14" t="n"/>
      <c r="H1516" s="14" t="n"/>
      <c r="I1516" s="12" t="n"/>
      <c r="J1516" s="14" t="n"/>
      <c r="K1516" s="12" t="n"/>
      <c r="L1516" s="13">
        <f>IF($K1516="","",IFERROR(INDEX(Dept_Names,MATCH($K1516,Dept_Codes,0)),"NOT FOUND"))</f>
        <v/>
      </c>
      <c r="M1516" s="12" t="n"/>
      <c r="N1516" s="13">
        <f>IF($M1516="","",IFERROR(INDEX(Desig_Names,MATCH($M1516,Desig_Codes,0)),"NOT FOUND"))</f>
        <v/>
      </c>
      <c r="O1516" s="13">
        <f>IF($M1516="","",IFERROR(INDEX(Desig_Levels,MATCH($M1516,Desig_Codes,0)),""))</f>
        <v/>
      </c>
      <c r="P1516" s="12" t="n"/>
      <c r="Q1516" s="12" t="n"/>
      <c r="R1516" s="12" t="n"/>
      <c r="S1516" s="13">
        <f>IF($R1516="","",IFERROR(INDEX(Emp_Names,MATCH($R1516,Emp_Codes,0)),"NOT FOUND"))</f>
        <v/>
      </c>
      <c r="T1516" s="12" t="n"/>
      <c r="U1516" s="12" t="n"/>
      <c r="V1516" s="12" t="n"/>
    </row>
    <row r="1517">
      <c r="A1517" s="12" t="n"/>
      <c r="B1517" s="12" t="n"/>
      <c r="C1517" s="12" t="n"/>
      <c r="D1517" s="13">
        <f>IF($A1517="","",TRIM($B1517&amp;" "&amp;$C1517))</f>
        <v/>
      </c>
      <c r="E1517" s="12" t="n"/>
      <c r="F1517" s="12" t="n"/>
      <c r="G1517" s="14" t="n"/>
      <c r="H1517" s="14" t="n"/>
      <c r="I1517" s="12" t="n"/>
      <c r="J1517" s="14" t="n"/>
      <c r="K1517" s="12" t="n"/>
      <c r="L1517" s="13">
        <f>IF($K1517="","",IFERROR(INDEX(Dept_Names,MATCH($K1517,Dept_Codes,0)),"NOT FOUND"))</f>
        <v/>
      </c>
      <c r="M1517" s="12" t="n"/>
      <c r="N1517" s="13">
        <f>IF($M1517="","",IFERROR(INDEX(Desig_Names,MATCH($M1517,Desig_Codes,0)),"NOT FOUND"))</f>
        <v/>
      </c>
      <c r="O1517" s="13">
        <f>IF($M1517="","",IFERROR(INDEX(Desig_Levels,MATCH($M1517,Desig_Codes,0)),""))</f>
        <v/>
      </c>
      <c r="P1517" s="12" t="n"/>
      <c r="Q1517" s="12" t="n"/>
      <c r="R1517" s="12" t="n"/>
      <c r="S1517" s="13">
        <f>IF($R1517="","",IFERROR(INDEX(Emp_Names,MATCH($R1517,Emp_Codes,0)),"NOT FOUND"))</f>
        <v/>
      </c>
      <c r="T1517" s="12" t="n"/>
      <c r="U1517" s="12" t="n"/>
      <c r="V1517" s="12" t="n"/>
    </row>
    <row r="1518">
      <c r="A1518" s="12" t="n"/>
      <c r="B1518" s="12" t="n"/>
      <c r="C1518" s="12" t="n"/>
      <c r="D1518" s="13">
        <f>IF($A1518="","",TRIM($B1518&amp;" "&amp;$C1518))</f>
        <v/>
      </c>
      <c r="E1518" s="12" t="n"/>
      <c r="F1518" s="12" t="n"/>
      <c r="G1518" s="14" t="n"/>
      <c r="H1518" s="14" t="n"/>
      <c r="I1518" s="12" t="n"/>
      <c r="J1518" s="14" t="n"/>
      <c r="K1518" s="12" t="n"/>
      <c r="L1518" s="13">
        <f>IF($K1518="","",IFERROR(INDEX(Dept_Names,MATCH($K1518,Dept_Codes,0)),"NOT FOUND"))</f>
        <v/>
      </c>
      <c r="M1518" s="12" t="n"/>
      <c r="N1518" s="13">
        <f>IF($M1518="","",IFERROR(INDEX(Desig_Names,MATCH($M1518,Desig_Codes,0)),"NOT FOUND"))</f>
        <v/>
      </c>
      <c r="O1518" s="13">
        <f>IF($M1518="","",IFERROR(INDEX(Desig_Levels,MATCH($M1518,Desig_Codes,0)),""))</f>
        <v/>
      </c>
      <c r="P1518" s="12" t="n"/>
      <c r="Q1518" s="12" t="n"/>
      <c r="R1518" s="12" t="n"/>
      <c r="S1518" s="13">
        <f>IF($R1518="","",IFERROR(INDEX(Emp_Names,MATCH($R1518,Emp_Codes,0)),"NOT FOUND"))</f>
        <v/>
      </c>
      <c r="T1518" s="12" t="n"/>
      <c r="U1518" s="12" t="n"/>
      <c r="V1518" s="12" t="n"/>
    </row>
    <row r="1519">
      <c r="A1519" s="12" t="n"/>
      <c r="B1519" s="12" t="n"/>
      <c r="C1519" s="12" t="n"/>
      <c r="D1519" s="13">
        <f>IF($A1519="","",TRIM($B1519&amp;" "&amp;$C1519))</f>
        <v/>
      </c>
      <c r="E1519" s="12" t="n"/>
      <c r="F1519" s="12" t="n"/>
      <c r="G1519" s="14" t="n"/>
      <c r="H1519" s="14" t="n"/>
      <c r="I1519" s="12" t="n"/>
      <c r="J1519" s="14" t="n"/>
      <c r="K1519" s="12" t="n"/>
      <c r="L1519" s="13">
        <f>IF($K1519="","",IFERROR(INDEX(Dept_Names,MATCH($K1519,Dept_Codes,0)),"NOT FOUND"))</f>
        <v/>
      </c>
      <c r="M1519" s="12" t="n"/>
      <c r="N1519" s="13">
        <f>IF($M1519="","",IFERROR(INDEX(Desig_Names,MATCH($M1519,Desig_Codes,0)),"NOT FOUND"))</f>
        <v/>
      </c>
      <c r="O1519" s="13">
        <f>IF($M1519="","",IFERROR(INDEX(Desig_Levels,MATCH($M1519,Desig_Codes,0)),""))</f>
        <v/>
      </c>
      <c r="P1519" s="12" t="n"/>
      <c r="Q1519" s="12" t="n"/>
      <c r="R1519" s="12" t="n"/>
      <c r="S1519" s="13">
        <f>IF($R1519="","",IFERROR(INDEX(Emp_Names,MATCH($R1519,Emp_Codes,0)),"NOT FOUND"))</f>
        <v/>
      </c>
      <c r="T1519" s="12" t="n"/>
      <c r="U1519" s="12" t="n"/>
      <c r="V1519" s="12" t="n"/>
    </row>
    <row r="1520">
      <c r="A1520" s="12" t="n"/>
      <c r="B1520" s="12" t="n"/>
      <c r="C1520" s="12" t="n"/>
      <c r="D1520" s="13">
        <f>IF($A1520="","",TRIM($B1520&amp;" "&amp;$C1520))</f>
        <v/>
      </c>
      <c r="E1520" s="12" t="n"/>
      <c r="F1520" s="12" t="n"/>
      <c r="G1520" s="14" t="n"/>
      <c r="H1520" s="14" t="n"/>
      <c r="I1520" s="12" t="n"/>
      <c r="J1520" s="14" t="n"/>
      <c r="K1520" s="12" t="n"/>
      <c r="L1520" s="13">
        <f>IF($K1520="","",IFERROR(INDEX(Dept_Names,MATCH($K1520,Dept_Codes,0)),"NOT FOUND"))</f>
        <v/>
      </c>
      <c r="M1520" s="12" t="n"/>
      <c r="N1520" s="13">
        <f>IF($M1520="","",IFERROR(INDEX(Desig_Names,MATCH($M1520,Desig_Codes,0)),"NOT FOUND"))</f>
        <v/>
      </c>
      <c r="O1520" s="13">
        <f>IF($M1520="","",IFERROR(INDEX(Desig_Levels,MATCH($M1520,Desig_Codes,0)),""))</f>
        <v/>
      </c>
      <c r="P1520" s="12" t="n"/>
      <c r="Q1520" s="12" t="n"/>
      <c r="R1520" s="12" t="n"/>
      <c r="S1520" s="13">
        <f>IF($R1520="","",IFERROR(INDEX(Emp_Names,MATCH($R1520,Emp_Codes,0)),"NOT FOUND"))</f>
        <v/>
      </c>
      <c r="T1520" s="12" t="n"/>
      <c r="U1520" s="12" t="n"/>
      <c r="V1520" s="12" t="n"/>
    </row>
    <row r="1521">
      <c r="A1521" s="12" t="n"/>
      <c r="B1521" s="12" t="n"/>
      <c r="C1521" s="12" t="n"/>
      <c r="D1521" s="13">
        <f>IF($A1521="","",TRIM($B1521&amp;" "&amp;$C1521))</f>
        <v/>
      </c>
      <c r="E1521" s="12" t="n"/>
      <c r="F1521" s="12" t="n"/>
      <c r="G1521" s="14" t="n"/>
      <c r="H1521" s="14" t="n"/>
      <c r="I1521" s="12" t="n"/>
      <c r="J1521" s="14" t="n"/>
      <c r="K1521" s="12" t="n"/>
      <c r="L1521" s="13">
        <f>IF($K1521="","",IFERROR(INDEX(Dept_Names,MATCH($K1521,Dept_Codes,0)),"NOT FOUND"))</f>
        <v/>
      </c>
      <c r="M1521" s="12" t="n"/>
      <c r="N1521" s="13">
        <f>IF($M1521="","",IFERROR(INDEX(Desig_Names,MATCH($M1521,Desig_Codes,0)),"NOT FOUND"))</f>
        <v/>
      </c>
      <c r="O1521" s="13">
        <f>IF($M1521="","",IFERROR(INDEX(Desig_Levels,MATCH($M1521,Desig_Codes,0)),""))</f>
        <v/>
      </c>
      <c r="P1521" s="12" t="n"/>
      <c r="Q1521" s="12" t="n"/>
      <c r="R1521" s="12" t="n"/>
      <c r="S1521" s="13">
        <f>IF($R1521="","",IFERROR(INDEX(Emp_Names,MATCH($R1521,Emp_Codes,0)),"NOT FOUND"))</f>
        <v/>
      </c>
      <c r="T1521" s="12" t="n"/>
      <c r="U1521" s="12" t="n"/>
      <c r="V1521" s="12" t="n"/>
    </row>
    <row r="1522">
      <c r="A1522" s="12" t="n"/>
      <c r="B1522" s="12" t="n"/>
      <c r="C1522" s="12" t="n"/>
      <c r="D1522" s="13">
        <f>IF($A1522="","",TRIM($B1522&amp;" "&amp;$C1522))</f>
        <v/>
      </c>
      <c r="E1522" s="12" t="n"/>
      <c r="F1522" s="12" t="n"/>
      <c r="G1522" s="14" t="n"/>
      <c r="H1522" s="14" t="n"/>
      <c r="I1522" s="12" t="n"/>
      <c r="J1522" s="14" t="n"/>
      <c r="K1522" s="12" t="n"/>
      <c r="L1522" s="13">
        <f>IF($K1522="","",IFERROR(INDEX(Dept_Names,MATCH($K1522,Dept_Codes,0)),"NOT FOUND"))</f>
        <v/>
      </c>
      <c r="M1522" s="12" t="n"/>
      <c r="N1522" s="13">
        <f>IF($M1522="","",IFERROR(INDEX(Desig_Names,MATCH($M1522,Desig_Codes,0)),"NOT FOUND"))</f>
        <v/>
      </c>
      <c r="O1522" s="13">
        <f>IF($M1522="","",IFERROR(INDEX(Desig_Levels,MATCH($M1522,Desig_Codes,0)),""))</f>
        <v/>
      </c>
      <c r="P1522" s="12" t="n"/>
      <c r="Q1522" s="12" t="n"/>
      <c r="R1522" s="12" t="n"/>
      <c r="S1522" s="13">
        <f>IF($R1522="","",IFERROR(INDEX(Emp_Names,MATCH($R1522,Emp_Codes,0)),"NOT FOUND"))</f>
        <v/>
      </c>
      <c r="T1522" s="12" t="n"/>
      <c r="U1522" s="12" t="n"/>
      <c r="V1522" s="12" t="n"/>
    </row>
    <row r="1523">
      <c r="A1523" s="12" t="n"/>
      <c r="B1523" s="12" t="n"/>
      <c r="C1523" s="12" t="n"/>
      <c r="D1523" s="13">
        <f>IF($A1523="","",TRIM($B1523&amp;" "&amp;$C1523))</f>
        <v/>
      </c>
      <c r="E1523" s="12" t="n"/>
      <c r="F1523" s="12" t="n"/>
      <c r="G1523" s="14" t="n"/>
      <c r="H1523" s="14" t="n"/>
      <c r="I1523" s="12" t="n"/>
      <c r="J1523" s="14" t="n"/>
      <c r="K1523" s="12" t="n"/>
      <c r="L1523" s="13">
        <f>IF($K1523="","",IFERROR(INDEX(Dept_Names,MATCH($K1523,Dept_Codes,0)),"NOT FOUND"))</f>
        <v/>
      </c>
      <c r="M1523" s="12" t="n"/>
      <c r="N1523" s="13">
        <f>IF($M1523="","",IFERROR(INDEX(Desig_Names,MATCH($M1523,Desig_Codes,0)),"NOT FOUND"))</f>
        <v/>
      </c>
      <c r="O1523" s="13">
        <f>IF($M1523="","",IFERROR(INDEX(Desig_Levels,MATCH($M1523,Desig_Codes,0)),""))</f>
        <v/>
      </c>
      <c r="P1523" s="12" t="n"/>
      <c r="Q1523" s="12" t="n"/>
      <c r="R1523" s="12" t="n"/>
      <c r="S1523" s="13">
        <f>IF($R1523="","",IFERROR(INDEX(Emp_Names,MATCH($R1523,Emp_Codes,0)),"NOT FOUND"))</f>
        <v/>
      </c>
      <c r="T1523" s="12" t="n"/>
      <c r="U1523" s="12" t="n"/>
      <c r="V1523" s="12" t="n"/>
    </row>
    <row r="1524">
      <c r="A1524" s="12" t="n"/>
      <c r="B1524" s="12" t="n"/>
      <c r="C1524" s="12" t="n"/>
      <c r="D1524" s="13">
        <f>IF($A1524="","",TRIM($B1524&amp;" "&amp;$C1524))</f>
        <v/>
      </c>
      <c r="E1524" s="12" t="n"/>
      <c r="F1524" s="12" t="n"/>
      <c r="G1524" s="14" t="n"/>
      <c r="H1524" s="14" t="n"/>
      <c r="I1524" s="12" t="n"/>
      <c r="J1524" s="14" t="n"/>
      <c r="K1524" s="12" t="n"/>
      <c r="L1524" s="13">
        <f>IF($K1524="","",IFERROR(INDEX(Dept_Names,MATCH($K1524,Dept_Codes,0)),"NOT FOUND"))</f>
        <v/>
      </c>
      <c r="M1524" s="12" t="n"/>
      <c r="N1524" s="13">
        <f>IF($M1524="","",IFERROR(INDEX(Desig_Names,MATCH($M1524,Desig_Codes,0)),"NOT FOUND"))</f>
        <v/>
      </c>
      <c r="O1524" s="13">
        <f>IF($M1524="","",IFERROR(INDEX(Desig_Levels,MATCH($M1524,Desig_Codes,0)),""))</f>
        <v/>
      </c>
      <c r="P1524" s="12" t="n"/>
      <c r="Q1524" s="12" t="n"/>
      <c r="R1524" s="12" t="n"/>
      <c r="S1524" s="13">
        <f>IF($R1524="","",IFERROR(INDEX(Emp_Names,MATCH($R1524,Emp_Codes,0)),"NOT FOUND"))</f>
        <v/>
      </c>
      <c r="T1524" s="12" t="n"/>
      <c r="U1524" s="12" t="n"/>
      <c r="V1524" s="12" t="n"/>
    </row>
    <row r="1525">
      <c r="A1525" s="12" t="n"/>
      <c r="B1525" s="12" t="n"/>
      <c r="C1525" s="12" t="n"/>
      <c r="D1525" s="13">
        <f>IF($A1525="","",TRIM($B1525&amp;" "&amp;$C1525))</f>
        <v/>
      </c>
      <c r="E1525" s="12" t="n"/>
      <c r="F1525" s="12" t="n"/>
      <c r="G1525" s="14" t="n"/>
      <c r="H1525" s="14" t="n"/>
      <c r="I1525" s="12" t="n"/>
      <c r="J1525" s="14" t="n"/>
      <c r="K1525" s="12" t="n"/>
      <c r="L1525" s="13">
        <f>IF($K1525="","",IFERROR(INDEX(Dept_Names,MATCH($K1525,Dept_Codes,0)),"NOT FOUND"))</f>
        <v/>
      </c>
      <c r="M1525" s="12" t="n"/>
      <c r="N1525" s="13">
        <f>IF($M1525="","",IFERROR(INDEX(Desig_Names,MATCH($M1525,Desig_Codes,0)),"NOT FOUND"))</f>
        <v/>
      </c>
      <c r="O1525" s="13">
        <f>IF($M1525="","",IFERROR(INDEX(Desig_Levels,MATCH($M1525,Desig_Codes,0)),""))</f>
        <v/>
      </c>
      <c r="P1525" s="12" t="n"/>
      <c r="Q1525" s="12" t="n"/>
      <c r="R1525" s="12" t="n"/>
      <c r="S1525" s="13">
        <f>IF($R1525="","",IFERROR(INDEX(Emp_Names,MATCH($R1525,Emp_Codes,0)),"NOT FOUND"))</f>
        <v/>
      </c>
      <c r="T1525" s="12" t="n"/>
      <c r="U1525" s="12" t="n"/>
      <c r="V1525" s="12" t="n"/>
    </row>
    <row r="1526">
      <c r="A1526" s="12" t="n"/>
      <c r="B1526" s="12" t="n"/>
      <c r="C1526" s="12" t="n"/>
      <c r="D1526" s="13">
        <f>IF($A1526="","",TRIM($B1526&amp;" "&amp;$C1526))</f>
        <v/>
      </c>
      <c r="E1526" s="12" t="n"/>
      <c r="F1526" s="12" t="n"/>
      <c r="G1526" s="14" t="n"/>
      <c r="H1526" s="14" t="n"/>
      <c r="I1526" s="12" t="n"/>
      <c r="J1526" s="14" t="n"/>
      <c r="K1526" s="12" t="n"/>
      <c r="L1526" s="13">
        <f>IF($K1526="","",IFERROR(INDEX(Dept_Names,MATCH($K1526,Dept_Codes,0)),"NOT FOUND"))</f>
        <v/>
      </c>
      <c r="M1526" s="12" t="n"/>
      <c r="N1526" s="13">
        <f>IF($M1526="","",IFERROR(INDEX(Desig_Names,MATCH($M1526,Desig_Codes,0)),"NOT FOUND"))</f>
        <v/>
      </c>
      <c r="O1526" s="13">
        <f>IF($M1526="","",IFERROR(INDEX(Desig_Levels,MATCH($M1526,Desig_Codes,0)),""))</f>
        <v/>
      </c>
      <c r="P1526" s="12" t="n"/>
      <c r="Q1526" s="12" t="n"/>
      <c r="R1526" s="12" t="n"/>
      <c r="S1526" s="13">
        <f>IF($R1526="","",IFERROR(INDEX(Emp_Names,MATCH($R1526,Emp_Codes,0)),"NOT FOUND"))</f>
        <v/>
      </c>
      <c r="T1526" s="12" t="n"/>
      <c r="U1526" s="12" t="n"/>
      <c r="V1526" s="12" t="n"/>
    </row>
    <row r="1527">
      <c r="A1527" s="12" t="n"/>
      <c r="B1527" s="12" t="n"/>
      <c r="C1527" s="12" t="n"/>
      <c r="D1527" s="13">
        <f>IF($A1527="","",TRIM($B1527&amp;" "&amp;$C1527))</f>
        <v/>
      </c>
      <c r="E1527" s="12" t="n"/>
      <c r="F1527" s="12" t="n"/>
      <c r="G1527" s="14" t="n"/>
      <c r="H1527" s="14" t="n"/>
      <c r="I1527" s="12" t="n"/>
      <c r="J1527" s="14" t="n"/>
      <c r="K1527" s="12" t="n"/>
      <c r="L1527" s="13">
        <f>IF($K1527="","",IFERROR(INDEX(Dept_Names,MATCH($K1527,Dept_Codes,0)),"NOT FOUND"))</f>
        <v/>
      </c>
      <c r="M1527" s="12" t="n"/>
      <c r="N1527" s="13">
        <f>IF($M1527="","",IFERROR(INDEX(Desig_Names,MATCH($M1527,Desig_Codes,0)),"NOT FOUND"))</f>
        <v/>
      </c>
      <c r="O1527" s="13">
        <f>IF($M1527="","",IFERROR(INDEX(Desig_Levels,MATCH($M1527,Desig_Codes,0)),""))</f>
        <v/>
      </c>
      <c r="P1527" s="12" t="n"/>
      <c r="Q1527" s="12" t="n"/>
      <c r="R1527" s="12" t="n"/>
      <c r="S1527" s="13">
        <f>IF($R1527="","",IFERROR(INDEX(Emp_Names,MATCH($R1527,Emp_Codes,0)),"NOT FOUND"))</f>
        <v/>
      </c>
      <c r="T1527" s="12" t="n"/>
      <c r="U1527" s="12" t="n"/>
      <c r="V1527" s="12" t="n"/>
    </row>
    <row r="1528">
      <c r="A1528" s="12" t="n"/>
      <c r="B1528" s="12" t="n"/>
      <c r="C1528" s="12" t="n"/>
      <c r="D1528" s="13">
        <f>IF($A1528="","",TRIM($B1528&amp;" "&amp;$C1528))</f>
        <v/>
      </c>
      <c r="E1528" s="12" t="n"/>
      <c r="F1528" s="12" t="n"/>
      <c r="G1528" s="14" t="n"/>
      <c r="H1528" s="14" t="n"/>
      <c r="I1528" s="12" t="n"/>
      <c r="J1528" s="14" t="n"/>
      <c r="K1528" s="12" t="n"/>
      <c r="L1528" s="13">
        <f>IF($K1528="","",IFERROR(INDEX(Dept_Names,MATCH($K1528,Dept_Codes,0)),"NOT FOUND"))</f>
        <v/>
      </c>
      <c r="M1528" s="12" t="n"/>
      <c r="N1528" s="13">
        <f>IF($M1528="","",IFERROR(INDEX(Desig_Names,MATCH($M1528,Desig_Codes,0)),"NOT FOUND"))</f>
        <v/>
      </c>
      <c r="O1528" s="13">
        <f>IF($M1528="","",IFERROR(INDEX(Desig_Levels,MATCH($M1528,Desig_Codes,0)),""))</f>
        <v/>
      </c>
      <c r="P1528" s="12" t="n"/>
      <c r="Q1528" s="12" t="n"/>
      <c r="R1528" s="12" t="n"/>
      <c r="S1528" s="13">
        <f>IF($R1528="","",IFERROR(INDEX(Emp_Names,MATCH($R1528,Emp_Codes,0)),"NOT FOUND"))</f>
        <v/>
      </c>
      <c r="T1528" s="12" t="n"/>
      <c r="U1528" s="12" t="n"/>
      <c r="V1528" s="12" t="n"/>
    </row>
    <row r="1529">
      <c r="A1529" s="12" t="n"/>
      <c r="B1529" s="12" t="n"/>
      <c r="C1529" s="12" t="n"/>
      <c r="D1529" s="13">
        <f>IF($A1529="","",TRIM($B1529&amp;" "&amp;$C1529))</f>
        <v/>
      </c>
      <c r="E1529" s="12" t="n"/>
      <c r="F1529" s="12" t="n"/>
      <c r="G1529" s="14" t="n"/>
      <c r="H1529" s="14" t="n"/>
      <c r="I1529" s="12" t="n"/>
      <c r="J1529" s="14" t="n"/>
      <c r="K1529" s="12" t="n"/>
      <c r="L1529" s="13">
        <f>IF($K1529="","",IFERROR(INDEX(Dept_Names,MATCH($K1529,Dept_Codes,0)),"NOT FOUND"))</f>
        <v/>
      </c>
      <c r="M1529" s="12" t="n"/>
      <c r="N1529" s="13">
        <f>IF($M1529="","",IFERROR(INDEX(Desig_Names,MATCH($M1529,Desig_Codes,0)),"NOT FOUND"))</f>
        <v/>
      </c>
      <c r="O1529" s="13">
        <f>IF($M1529="","",IFERROR(INDEX(Desig_Levels,MATCH($M1529,Desig_Codes,0)),""))</f>
        <v/>
      </c>
      <c r="P1529" s="12" t="n"/>
      <c r="Q1529" s="12" t="n"/>
      <c r="R1529" s="12" t="n"/>
      <c r="S1529" s="13">
        <f>IF($R1529="","",IFERROR(INDEX(Emp_Names,MATCH($R1529,Emp_Codes,0)),"NOT FOUND"))</f>
        <v/>
      </c>
      <c r="T1529" s="12" t="n"/>
      <c r="U1529" s="12" t="n"/>
      <c r="V1529" s="12" t="n"/>
    </row>
    <row r="1530">
      <c r="A1530" s="12" t="n"/>
      <c r="B1530" s="12" t="n"/>
      <c r="C1530" s="12" t="n"/>
      <c r="D1530" s="13">
        <f>IF($A1530="","",TRIM($B1530&amp;" "&amp;$C1530))</f>
        <v/>
      </c>
      <c r="E1530" s="12" t="n"/>
      <c r="F1530" s="12" t="n"/>
      <c r="G1530" s="14" t="n"/>
      <c r="H1530" s="14" t="n"/>
      <c r="I1530" s="12" t="n"/>
      <c r="J1530" s="14" t="n"/>
      <c r="K1530" s="12" t="n"/>
      <c r="L1530" s="13">
        <f>IF($K1530="","",IFERROR(INDEX(Dept_Names,MATCH($K1530,Dept_Codes,0)),"NOT FOUND"))</f>
        <v/>
      </c>
      <c r="M1530" s="12" t="n"/>
      <c r="N1530" s="13">
        <f>IF($M1530="","",IFERROR(INDEX(Desig_Names,MATCH($M1530,Desig_Codes,0)),"NOT FOUND"))</f>
        <v/>
      </c>
      <c r="O1530" s="13">
        <f>IF($M1530="","",IFERROR(INDEX(Desig_Levels,MATCH($M1530,Desig_Codes,0)),""))</f>
        <v/>
      </c>
      <c r="P1530" s="12" t="n"/>
      <c r="Q1530" s="12" t="n"/>
      <c r="R1530" s="12" t="n"/>
      <c r="S1530" s="13">
        <f>IF($R1530="","",IFERROR(INDEX(Emp_Names,MATCH($R1530,Emp_Codes,0)),"NOT FOUND"))</f>
        <v/>
      </c>
      <c r="T1530" s="12" t="n"/>
      <c r="U1530" s="12" t="n"/>
      <c r="V1530" s="12" t="n"/>
    </row>
    <row r="1531">
      <c r="A1531" s="12" t="n"/>
      <c r="B1531" s="12" t="n"/>
      <c r="C1531" s="12" t="n"/>
      <c r="D1531" s="13">
        <f>IF($A1531="","",TRIM($B1531&amp;" "&amp;$C1531))</f>
        <v/>
      </c>
      <c r="E1531" s="12" t="n"/>
      <c r="F1531" s="12" t="n"/>
      <c r="G1531" s="14" t="n"/>
      <c r="H1531" s="14" t="n"/>
      <c r="I1531" s="12" t="n"/>
      <c r="J1531" s="14" t="n"/>
      <c r="K1531" s="12" t="n"/>
      <c r="L1531" s="13">
        <f>IF($K1531="","",IFERROR(INDEX(Dept_Names,MATCH($K1531,Dept_Codes,0)),"NOT FOUND"))</f>
        <v/>
      </c>
      <c r="M1531" s="12" t="n"/>
      <c r="N1531" s="13">
        <f>IF($M1531="","",IFERROR(INDEX(Desig_Names,MATCH($M1531,Desig_Codes,0)),"NOT FOUND"))</f>
        <v/>
      </c>
      <c r="O1531" s="13">
        <f>IF($M1531="","",IFERROR(INDEX(Desig_Levels,MATCH($M1531,Desig_Codes,0)),""))</f>
        <v/>
      </c>
      <c r="P1531" s="12" t="n"/>
      <c r="Q1531" s="12" t="n"/>
      <c r="R1531" s="12" t="n"/>
      <c r="S1531" s="13">
        <f>IF($R1531="","",IFERROR(INDEX(Emp_Names,MATCH($R1531,Emp_Codes,0)),"NOT FOUND"))</f>
        <v/>
      </c>
      <c r="T1531" s="12" t="n"/>
      <c r="U1531" s="12" t="n"/>
      <c r="V1531" s="12" t="n"/>
    </row>
    <row r="1532">
      <c r="A1532" s="12" t="n"/>
      <c r="B1532" s="12" t="n"/>
      <c r="C1532" s="12" t="n"/>
      <c r="D1532" s="13">
        <f>IF($A1532="","",TRIM($B1532&amp;" "&amp;$C1532))</f>
        <v/>
      </c>
      <c r="E1532" s="12" t="n"/>
      <c r="F1532" s="12" t="n"/>
      <c r="G1532" s="14" t="n"/>
      <c r="H1532" s="14" t="n"/>
      <c r="I1532" s="12" t="n"/>
      <c r="J1532" s="14" t="n"/>
      <c r="K1532" s="12" t="n"/>
      <c r="L1532" s="13">
        <f>IF($K1532="","",IFERROR(INDEX(Dept_Names,MATCH($K1532,Dept_Codes,0)),"NOT FOUND"))</f>
        <v/>
      </c>
      <c r="M1532" s="12" t="n"/>
      <c r="N1532" s="13">
        <f>IF($M1532="","",IFERROR(INDEX(Desig_Names,MATCH($M1532,Desig_Codes,0)),"NOT FOUND"))</f>
        <v/>
      </c>
      <c r="O1532" s="13">
        <f>IF($M1532="","",IFERROR(INDEX(Desig_Levels,MATCH($M1532,Desig_Codes,0)),""))</f>
        <v/>
      </c>
      <c r="P1532" s="12" t="n"/>
      <c r="Q1532" s="12" t="n"/>
      <c r="R1532" s="12" t="n"/>
      <c r="S1532" s="13">
        <f>IF($R1532="","",IFERROR(INDEX(Emp_Names,MATCH($R1532,Emp_Codes,0)),"NOT FOUND"))</f>
        <v/>
      </c>
      <c r="T1532" s="12" t="n"/>
      <c r="U1532" s="12" t="n"/>
      <c r="V1532" s="12" t="n"/>
    </row>
    <row r="1533">
      <c r="A1533" s="12" t="n"/>
      <c r="B1533" s="12" t="n"/>
      <c r="C1533" s="12" t="n"/>
      <c r="D1533" s="13">
        <f>IF($A1533="","",TRIM($B1533&amp;" "&amp;$C1533))</f>
        <v/>
      </c>
      <c r="E1533" s="12" t="n"/>
      <c r="F1533" s="12" t="n"/>
      <c r="G1533" s="14" t="n"/>
      <c r="H1533" s="14" t="n"/>
      <c r="I1533" s="12" t="n"/>
      <c r="J1533" s="14" t="n"/>
      <c r="K1533" s="12" t="n"/>
      <c r="L1533" s="13">
        <f>IF($K1533="","",IFERROR(INDEX(Dept_Names,MATCH($K1533,Dept_Codes,0)),"NOT FOUND"))</f>
        <v/>
      </c>
      <c r="M1533" s="12" t="n"/>
      <c r="N1533" s="13">
        <f>IF($M1533="","",IFERROR(INDEX(Desig_Names,MATCH($M1533,Desig_Codes,0)),"NOT FOUND"))</f>
        <v/>
      </c>
      <c r="O1533" s="13">
        <f>IF($M1533="","",IFERROR(INDEX(Desig_Levels,MATCH($M1533,Desig_Codes,0)),""))</f>
        <v/>
      </c>
      <c r="P1533" s="12" t="n"/>
      <c r="Q1533" s="12" t="n"/>
      <c r="R1533" s="12" t="n"/>
      <c r="S1533" s="13">
        <f>IF($R1533="","",IFERROR(INDEX(Emp_Names,MATCH($R1533,Emp_Codes,0)),"NOT FOUND"))</f>
        <v/>
      </c>
      <c r="T1533" s="12" t="n"/>
      <c r="U1533" s="12" t="n"/>
      <c r="V1533" s="12" t="n"/>
    </row>
    <row r="1534">
      <c r="A1534" s="12" t="n"/>
      <c r="B1534" s="12" t="n"/>
      <c r="C1534" s="12" t="n"/>
      <c r="D1534" s="13">
        <f>IF($A1534="","",TRIM($B1534&amp;" "&amp;$C1534))</f>
        <v/>
      </c>
      <c r="E1534" s="12" t="n"/>
      <c r="F1534" s="12" t="n"/>
      <c r="G1534" s="14" t="n"/>
      <c r="H1534" s="14" t="n"/>
      <c r="I1534" s="12" t="n"/>
      <c r="J1534" s="14" t="n"/>
      <c r="K1534" s="12" t="n"/>
      <c r="L1534" s="13">
        <f>IF($K1534="","",IFERROR(INDEX(Dept_Names,MATCH($K1534,Dept_Codes,0)),"NOT FOUND"))</f>
        <v/>
      </c>
      <c r="M1534" s="12" t="n"/>
      <c r="N1534" s="13">
        <f>IF($M1534="","",IFERROR(INDEX(Desig_Names,MATCH($M1534,Desig_Codes,0)),"NOT FOUND"))</f>
        <v/>
      </c>
      <c r="O1534" s="13">
        <f>IF($M1534="","",IFERROR(INDEX(Desig_Levels,MATCH($M1534,Desig_Codes,0)),""))</f>
        <v/>
      </c>
      <c r="P1534" s="12" t="n"/>
      <c r="Q1534" s="12" t="n"/>
      <c r="R1534" s="12" t="n"/>
      <c r="S1534" s="13">
        <f>IF($R1534="","",IFERROR(INDEX(Emp_Names,MATCH($R1534,Emp_Codes,0)),"NOT FOUND"))</f>
        <v/>
      </c>
      <c r="T1534" s="12" t="n"/>
      <c r="U1534" s="12" t="n"/>
      <c r="V1534" s="12" t="n"/>
    </row>
    <row r="1535">
      <c r="A1535" s="12" t="n"/>
      <c r="B1535" s="12" t="n"/>
      <c r="C1535" s="12" t="n"/>
      <c r="D1535" s="13">
        <f>IF($A1535="","",TRIM($B1535&amp;" "&amp;$C1535))</f>
        <v/>
      </c>
      <c r="E1535" s="12" t="n"/>
      <c r="F1535" s="12" t="n"/>
      <c r="G1535" s="14" t="n"/>
      <c r="H1535" s="14" t="n"/>
      <c r="I1535" s="12" t="n"/>
      <c r="J1535" s="14" t="n"/>
      <c r="K1535" s="12" t="n"/>
      <c r="L1535" s="13">
        <f>IF($K1535="","",IFERROR(INDEX(Dept_Names,MATCH($K1535,Dept_Codes,0)),"NOT FOUND"))</f>
        <v/>
      </c>
      <c r="M1535" s="12" t="n"/>
      <c r="N1535" s="13">
        <f>IF($M1535="","",IFERROR(INDEX(Desig_Names,MATCH($M1535,Desig_Codes,0)),"NOT FOUND"))</f>
        <v/>
      </c>
      <c r="O1535" s="13">
        <f>IF($M1535="","",IFERROR(INDEX(Desig_Levels,MATCH($M1535,Desig_Codes,0)),""))</f>
        <v/>
      </c>
      <c r="P1535" s="12" t="n"/>
      <c r="Q1535" s="12" t="n"/>
      <c r="R1535" s="12" t="n"/>
      <c r="S1535" s="13">
        <f>IF($R1535="","",IFERROR(INDEX(Emp_Names,MATCH($R1535,Emp_Codes,0)),"NOT FOUND"))</f>
        <v/>
      </c>
      <c r="T1535" s="12" t="n"/>
      <c r="U1535" s="12" t="n"/>
      <c r="V1535" s="12" t="n"/>
    </row>
    <row r="1536">
      <c r="A1536" s="12" t="n"/>
      <c r="B1536" s="12" t="n"/>
      <c r="C1536" s="12" t="n"/>
      <c r="D1536" s="13">
        <f>IF($A1536="","",TRIM($B1536&amp;" "&amp;$C1536))</f>
        <v/>
      </c>
      <c r="E1536" s="12" t="n"/>
      <c r="F1536" s="12" t="n"/>
      <c r="G1536" s="14" t="n"/>
      <c r="H1536" s="14" t="n"/>
      <c r="I1536" s="12" t="n"/>
      <c r="J1536" s="14" t="n"/>
      <c r="K1536" s="12" t="n"/>
      <c r="L1536" s="13">
        <f>IF($K1536="","",IFERROR(INDEX(Dept_Names,MATCH($K1536,Dept_Codes,0)),"NOT FOUND"))</f>
        <v/>
      </c>
      <c r="M1536" s="12" t="n"/>
      <c r="N1536" s="13">
        <f>IF($M1536="","",IFERROR(INDEX(Desig_Names,MATCH($M1536,Desig_Codes,0)),"NOT FOUND"))</f>
        <v/>
      </c>
      <c r="O1536" s="13">
        <f>IF($M1536="","",IFERROR(INDEX(Desig_Levels,MATCH($M1536,Desig_Codes,0)),""))</f>
        <v/>
      </c>
      <c r="P1536" s="12" t="n"/>
      <c r="Q1536" s="12" t="n"/>
      <c r="R1536" s="12" t="n"/>
      <c r="S1536" s="13">
        <f>IF($R1536="","",IFERROR(INDEX(Emp_Names,MATCH($R1536,Emp_Codes,0)),"NOT FOUND"))</f>
        <v/>
      </c>
      <c r="T1536" s="12" t="n"/>
      <c r="U1536" s="12" t="n"/>
      <c r="V1536" s="12" t="n"/>
    </row>
    <row r="1537">
      <c r="A1537" s="12" t="n"/>
      <c r="B1537" s="12" t="n"/>
      <c r="C1537" s="12" t="n"/>
      <c r="D1537" s="13">
        <f>IF($A1537="","",TRIM($B1537&amp;" "&amp;$C1537))</f>
        <v/>
      </c>
      <c r="E1537" s="12" t="n"/>
      <c r="F1537" s="12" t="n"/>
      <c r="G1537" s="14" t="n"/>
      <c r="H1537" s="14" t="n"/>
      <c r="I1537" s="12" t="n"/>
      <c r="J1537" s="14" t="n"/>
      <c r="K1537" s="12" t="n"/>
      <c r="L1537" s="13">
        <f>IF($K1537="","",IFERROR(INDEX(Dept_Names,MATCH($K1537,Dept_Codes,0)),"NOT FOUND"))</f>
        <v/>
      </c>
      <c r="M1537" s="12" t="n"/>
      <c r="N1537" s="13">
        <f>IF($M1537="","",IFERROR(INDEX(Desig_Names,MATCH($M1537,Desig_Codes,0)),"NOT FOUND"))</f>
        <v/>
      </c>
      <c r="O1537" s="13">
        <f>IF($M1537="","",IFERROR(INDEX(Desig_Levels,MATCH($M1537,Desig_Codes,0)),""))</f>
        <v/>
      </c>
      <c r="P1537" s="12" t="n"/>
      <c r="Q1537" s="12" t="n"/>
      <c r="R1537" s="12" t="n"/>
      <c r="S1537" s="13">
        <f>IF($R1537="","",IFERROR(INDEX(Emp_Names,MATCH($R1537,Emp_Codes,0)),"NOT FOUND"))</f>
        <v/>
      </c>
      <c r="T1537" s="12" t="n"/>
      <c r="U1537" s="12" t="n"/>
      <c r="V1537" s="12" t="n"/>
    </row>
    <row r="1538">
      <c r="A1538" s="12" t="n"/>
      <c r="B1538" s="12" t="n"/>
      <c r="C1538" s="12" t="n"/>
      <c r="D1538" s="13">
        <f>IF($A1538="","",TRIM($B1538&amp;" "&amp;$C1538))</f>
        <v/>
      </c>
      <c r="E1538" s="12" t="n"/>
      <c r="F1538" s="12" t="n"/>
      <c r="G1538" s="14" t="n"/>
      <c r="H1538" s="14" t="n"/>
      <c r="I1538" s="12" t="n"/>
      <c r="J1538" s="14" t="n"/>
      <c r="K1538" s="12" t="n"/>
      <c r="L1538" s="13">
        <f>IF($K1538="","",IFERROR(INDEX(Dept_Names,MATCH($K1538,Dept_Codes,0)),"NOT FOUND"))</f>
        <v/>
      </c>
      <c r="M1538" s="12" t="n"/>
      <c r="N1538" s="13">
        <f>IF($M1538="","",IFERROR(INDEX(Desig_Names,MATCH($M1538,Desig_Codes,0)),"NOT FOUND"))</f>
        <v/>
      </c>
      <c r="O1538" s="13">
        <f>IF($M1538="","",IFERROR(INDEX(Desig_Levels,MATCH($M1538,Desig_Codes,0)),""))</f>
        <v/>
      </c>
      <c r="P1538" s="12" t="n"/>
      <c r="Q1538" s="12" t="n"/>
      <c r="R1538" s="12" t="n"/>
      <c r="S1538" s="13">
        <f>IF($R1538="","",IFERROR(INDEX(Emp_Names,MATCH($R1538,Emp_Codes,0)),"NOT FOUND"))</f>
        <v/>
      </c>
      <c r="T1538" s="12" t="n"/>
      <c r="U1538" s="12" t="n"/>
      <c r="V1538" s="12" t="n"/>
    </row>
    <row r="1539">
      <c r="A1539" s="12" t="n"/>
      <c r="B1539" s="12" t="n"/>
      <c r="C1539" s="12" t="n"/>
      <c r="D1539" s="13">
        <f>IF($A1539="","",TRIM($B1539&amp;" "&amp;$C1539))</f>
        <v/>
      </c>
      <c r="E1539" s="12" t="n"/>
      <c r="F1539" s="12" t="n"/>
      <c r="G1539" s="14" t="n"/>
      <c r="H1539" s="14" t="n"/>
      <c r="I1539" s="12" t="n"/>
      <c r="J1539" s="14" t="n"/>
      <c r="K1539" s="12" t="n"/>
      <c r="L1539" s="13">
        <f>IF($K1539="","",IFERROR(INDEX(Dept_Names,MATCH($K1539,Dept_Codes,0)),"NOT FOUND"))</f>
        <v/>
      </c>
      <c r="M1539" s="12" t="n"/>
      <c r="N1539" s="13">
        <f>IF($M1539="","",IFERROR(INDEX(Desig_Names,MATCH($M1539,Desig_Codes,0)),"NOT FOUND"))</f>
        <v/>
      </c>
      <c r="O1539" s="13">
        <f>IF($M1539="","",IFERROR(INDEX(Desig_Levels,MATCH($M1539,Desig_Codes,0)),""))</f>
        <v/>
      </c>
      <c r="P1539" s="12" t="n"/>
      <c r="Q1539" s="12" t="n"/>
      <c r="R1539" s="12" t="n"/>
      <c r="S1539" s="13">
        <f>IF($R1539="","",IFERROR(INDEX(Emp_Names,MATCH($R1539,Emp_Codes,0)),"NOT FOUND"))</f>
        <v/>
      </c>
      <c r="T1539" s="12" t="n"/>
      <c r="U1539" s="12" t="n"/>
      <c r="V1539" s="12" t="n"/>
    </row>
    <row r="1540">
      <c r="A1540" s="12" t="n"/>
      <c r="B1540" s="12" t="n"/>
      <c r="C1540" s="12" t="n"/>
      <c r="D1540" s="13">
        <f>IF($A1540="","",TRIM($B1540&amp;" "&amp;$C1540))</f>
        <v/>
      </c>
      <c r="E1540" s="12" t="n"/>
      <c r="F1540" s="12" t="n"/>
      <c r="G1540" s="14" t="n"/>
      <c r="H1540" s="14" t="n"/>
      <c r="I1540" s="12" t="n"/>
      <c r="J1540" s="14" t="n"/>
      <c r="K1540" s="12" t="n"/>
      <c r="L1540" s="13">
        <f>IF($K1540="","",IFERROR(INDEX(Dept_Names,MATCH($K1540,Dept_Codes,0)),"NOT FOUND"))</f>
        <v/>
      </c>
      <c r="M1540" s="12" t="n"/>
      <c r="N1540" s="13">
        <f>IF($M1540="","",IFERROR(INDEX(Desig_Names,MATCH($M1540,Desig_Codes,0)),"NOT FOUND"))</f>
        <v/>
      </c>
      <c r="O1540" s="13">
        <f>IF($M1540="","",IFERROR(INDEX(Desig_Levels,MATCH($M1540,Desig_Codes,0)),""))</f>
        <v/>
      </c>
      <c r="P1540" s="12" t="n"/>
      <c r="Q1540" s="12" t="n"/>
      <c r="R1540" s="12" t="n"/>
      <c r="S1540" s="13">
        <f>IF($R1540="","",IFERROR(INDEX(Emp_Names,MATCH($R1540,Emp_Codes,0)),"NOT FOUND"))</f>
        <v/>
      </c>
      <c r="T1540" s="12" t="n"/>
      <c r="U1540" s="12" t="n"/>
      <c r="V1540" s="12" t="n"/>
    </row>
    <row r="1541">
      <c r="A1541" s="12" t="n"/>
      <c r="B1541" s="12" t="n"/>
      <c r="C1541" s="12" t="n"/>
      <c r="D1541" s="13">
        <f>IF($A1541="","",TRIM($B1541&amp;" "&amp;$C1541))</f>
        <v/>
      </c>
      <c r="E1541" s="12" t="n"/>
      <c r="F1541" s="12" t="n"/>
      <c r="G1541" s="14" t="n"/>
      <c r="H1541" s="14" t="n"/>
      <c r="I1541" s="12" t="n"/>
      <c r="J1541" s="14" t="n"/>
      <c r="K1541" s="12" t="n"/>
      <c r="L1541" s="13">
        <f>IF($K1541="","",IFERROR(INDEX(Dept_Names,MATCH($K1541,Dept_Codes,0)),"NOT FOUND"))</f>
        <v/>
      </c>
      <c r="M1541" s="12" t="n"/>
      <c r="N1541" s="13">
        <f>IF($M1541="","",IFERROR(INDEX(Desig_Names,MATCH($M1541,Desig_Codes,0)),"NOT FOUND"))</f>
        <v/>
      </c>
      <c r="O1541" s="13">
        <f>IF($M1541="","",IFERROR(INDEX(Desig_Levels,MATCH($M1541,Desig_Codes,0)),""))</f>
        <v/>
      </c>
      <c r="P1541" s="12" t="n"/>
      <c r="Q1541" s="12" t="n"/>
      <c r="R1541" s="12" t="n"/>
      <c r="S1541" s="13">
        <f>IF($R1541="","",IFERROR(INDEX(Emp_Names,MATCH($R1541,Emp_Codes,0)),"NOT FOUND"))</f>
        <v/>
      </c>
      <c r="T1541" s="12" t="n"/>
      <c r="U1541" s="12" t="n"/>
      <c r="V1541" s="12" t="n"/>
    </row>
    <row r="1542">
      <c r="A1542" s="12" t="n"/>
      <c r="B1542" s="12" t="n"/>
      <c r="C1542" s="12" t="n"/>
      <c r="D1542" s="13">
        <f>IF($A1542="","",TRIM($B1542&amp;" "&amp;$C1542))</f>
        <v/>
      </c>
      <c r="E1542" s="12" t="n"/>
      <c r="F1542" s="12" t="n"/>
      <c r="G1542" s="14" t="n"/>
      <c r="H1542" s="14" t="n"/>
      <c r="I1542" s="12" t="n"/>
      <c r="J1542" s="14" t="n"/>
      <c r="K1542" s="12" t="n"/>
      <c r="L1542" s="13">
        <f>IF($K1542="","",IFERROR(INDEX(Dept_Names,MATCH($K1542,Dept_Codes,0)),"NOT FOUND"))</f>
        <v/>
      </c>
      <c r="M1542" s="12" t="n"/>
      <c r="N1542" s="13">
        <f>IF($M1542="","",IFERROR(INDEX(Desig_Names,MATCH($M1542,Desig_Codes,0)),"NOT FOUND"))</f>
        <v/>
      </c>
      <c r="O1542" s="13">
        <f>IF($M1542="","",IFERROR(INDEX(Desig_Levels,MATCH($M1542,Desig_Codes,0)),""))</f>
        <v/>
      </c>
      <c r="P1542" s="12" t="n"/>
      <c r="Q1542" s="12" t="n"/>
      <c r="R1542" s="12" t="n"/>
      <c r="S1542" s="13">
        <f>IF($R1542="","",IFERROR(INDEX(Emp_Names,MATCH($R1542,Emp_Codes,0)),"NOT FOUND"))</f>
        <v/>
      </c>
      <c r="T1542" s="12" t="n"/>
      <c r="U1542" s="12" t="n"/>
      <c r="V1542" s="12" t="n"/>
    </row>
    <row r="1543">
      <c r="A1543" s="12" t="n"/>
      <c r="B1543" s="12" t="n"/>
      <c r="C1543" s="12" t="n"/>
      <c r="D1543" s="13">
        <f>IF($A1543="","",TRIM($B1543&amp;" "&amp;$C1543))</f>
        <v/>
      </c>
      <c r="E1543" s="12" t="n"/>
      <c r="F1543" s="12" t="n"/>
      <c r="G1543" s="14" t="n"/>
      <c r="H1543" s="14" t="n"/>
      <c r="I1543" s="12" t="n"/>
      <c r="J1543" s="14" t="n"/>
      <c r="K1543" s="12" t="n"/>
      <c r="L1543" s="13">
        <f>IF($K1543="","",IFERROR(INDEX(Dept_Names,MATCH($K1543,Dept_Codes,0)),"NOT FOUND"))</f>
        <v/>
      </c>
      <c r="M1543" s="12" t="n"/>
      <c r="N1543" s="13">
        <f>IF($M1543="","",IFERROR(INDEX(Desig_Names,MATCH($M1543,Desig_Codes,0)),"NOT FOUND"))</f>
        <v/>
      </c>
      <c r="O1543" s="13">
        <f>IF($M1543="","",IFERROR(INDEX(Desig_Levels,MATCH($M1543,Desig_Codes,0)),""))</f>
        <v/>
      </c>
      <c r="P1543" s="12" t="n"/>
      <c r="Q1543" s="12" t="n"/>
      <c r="R1543" s="12" t="n"/>
      <c r="S1543" s="13">
        <f>IF($R1543="","",IFERROR(INDEX(Emp_Names,MATCH($R1543,Emp_Codes,0)),"NOT FOUND"))</f>
        <v/>
      </c>
      <c r="T1543" s="12" t="n"/>
      <c r="U1543" s="12" t="n"/>
      <c r="V1543" s="12" t="n"/>
    </row>
    <row r="1544">
      <c r="A1544" s="12" t="n"/>
      <c r="B1544" s="12" t="n"/>
      <c r="C1544" s="12" t="n"/>
      <c r="D1544" s="13">
        <f>IF($A1544="","",TRIM($B1544&amp;" "&amp;$C1544))</f>
        <v/>
      </c>
      <c r="E1544" s="12" t="n"/>
      <c r="F1544" s="12" t="n"/>
      <c r="G1544" s="14" t="n"/>
      <c r="H1544" s="14" t="n"/>
      <c r="I1544" s="12" t="n"/>
      <c r="J1544" s="14" t="n"/>
      <c r="K1544" s="12" t="n"/>
      <c r="L1544" s="13">
        <f>IF($K1544="","",IFERROR(INDEX(Dept_Names,MATCH($K1544,Dept_Codes,0)),"NOT FOUND"))</f>
        <v/>
      </c>
      <c r="M1544" s="12" t="n"/>
      <c r="N1544" s="13">
        <f>IF($M1544="","",IFERROR(INDEX(Desig_Names,MATCH($M1544,Desig_Codes,0)),"NOT FOUND"))</f>
        <v/>
      </c>
      <c r="O1544" s="13">
        <f>IF($M1544="","",IFERROR(INDEX(Desig_Levels,MATCH($M1544,Desig_Codes,0)),""))</f>
        <v/>
      </c>
      <c r="P1544" s="12" t="n"/>
      <c r="Q1544" s="12" t="n"/>
      <c r="R1544" s="12" t="n"/>
      <c r="S1544" s="13">
        <f>IF($R1544="","",IFERROR(INDEX(Emp_Names,MATCH($R1544,Emp_Codes,0)),"NOT FOUND"))</f>
        <v/>
      </c>
      <c r="T1544" s="12" t="n"/>
      <c r="U1544" s="12" t="n"/>
      <c r="V1544" s="12" t="n"/>
    </row>
    <row r="1545">
      <c r="A1545" s="12" t="n"/>
      <c r="B1545" s="12" t="n"/>
      <c r="C1545" s="12" t="n"/>
      <c r="D1545" s="13">
        <f>IF($A1545="","",TRIM($B1545&amp;" "&amp;$C1545))</f>
        <v/>
      </c>
      <c r="E1545" s="12" t="n"/>
      <c r="F1545" s="12" t="n"/>
      <c r="G1545" s="14" t="n"/>
      <c r="H1545" s="14" t="n"/>
      <c r="I1545" s="12" t="n"/>
      <c r="J1545" s="14" t="n"/>
      <c r="K1545" s="12" t="n"/>
      <c r="L1545" s="13">
        <f>IF($K1545="","",IFERROR(INDEX(Dept_Names,MATCH($K1545,Dept_Codes,0)),"NOT FOUND"))</f>
        <v/>
      </c>
      <c r="M1545" s="12" t="n"/>
      <c r="N1545" s="13">
        <f>IF($M1545="","",IFERROR(INDEX(Desig_Names,MATCH($M1545,Desig_Codes,0)),"NOT FOUND"))</f>
        <v/>
      </c>
      <c r="O1545" s="13">
        <f>IF($M1545="","",IFERROR(INDEX(Desig_Levels,MATCH($M1545,Desig_Codes,0)),""))</f>
        <v/>
      </c>
      <c r="P1545" s="12" t="n"/>
      <c r="Q1545" s="12" t="n"/>
      <c r="R1545" s="12" t="n"/>
      <c r="S1545" s="13">
        <f>IF($R1545="","",IFERROR(INDEX(Emp_Names,MATCH($R1545,Emp_Codes,0)),"NOT FOUND"))</f>
        <v/>
      </c>
      <c r="T1545" s="12" t="n"/>
      <c r="U1545" s="12" t="n"/>
      <c r="V1545" s="12" t="n"/>
    </row>
    <row r="1546">
      <c r="A1546" s="12" t="n"/>
      <c r="B1546" s="12" t="n"/>
      <c r="C1546" s="12" t="n"/>
      <c r="D1546" s="13">
        <f>IF($A1546="","",TRIM($B1546&amp;" "&amp;$C1546))</f>
        <v/>
      </c>
      <c r="E1546" s="12" t="n"/>
      <c r="F1546" s="12" t="n"/>
      <c r="G1546" s="14" t="n"/>
      <c r="H1546" s="14" t="n"/>
      <c r="I1546" s="12" t="n"/>
      <c r="J1546" s="14" t="n"/>
      <c r="K1546" s="12" t="n"/>
      <c r="L1546" s="13">
        <f>IF($K1546="","",IFERROR(INDEX(Dept_Names,MATCH($K1546,Dept_Codes,0)),"NOT FOUND"))</f>
        <v/>
      </c>
      <c r="M1546" s="12" t="n"/>
      <c r="N1546" s="13">
        <f>IF($M1546="","",IFERROR(INDEX(Desig_Names,MATCH($M1546,Desig_Codes,0)),"NOT FOUND"))</f>
        <v/>
      </c>
      <c r="O1546" s="13">
        <f>IF($M1546="","",IFERROR(INDEX(Desig_Levels,MATCH($M1546,Desig_Codes,0)),""))</f>
        <v/>
      </c>
      <c r="P1546" s="12" t="n"/>
      <c r="Q1546" s="12" t="n"/>
      <c r="R1546" s="12" t="n"/>
      <c r="S1546" s="13">
        <f>IF($R1546="","",IFERROR(INDEX(Emp_Names,MATCH($R1546,Emp_Codes,0)),"NOT FOUND"))</f>
        <v/>
      </c>
      <c r="T1546" s="12" t="n"/>
      <c r="U1546" s="12" t="n"/>
      <c r="V1546" s="12" t="n"/>
    </row>
    <row r="1547">
      <c r="A1547" s="12" t="n"/>
      <c r="B1547" s="12" t="n"/>
      <c r="C1547" s="12" t="n"/>
      <c r="D1547" s="13">
        <f>IF($A1547="","",TRIM($B1547&amp;" "&amp;$C1547))</f>
        <v/>
      </c>
      <c r="E1547" s="12" t="n"/>
      <c r="F1547" s="12" t="n"/>
      <c r="G1547" s="14" t="n"/>
      <c r="H1547" s="14" t="n"/>
      <c r="I1547" s="12" t="n"/>
      <c r="J1547" s="14" t="n"/>
      <c r="K1547" s="12" t="n"/>
      <c r="L1547" s="13">
        <f>IF($K1547="","",IFERROR(INDEX(Dept_Names,MATCH($K1547,Dept_Codes,0)),"NOT FOUND"))</f>
        <v/>
      </c>
      <c r="M1547" s="12" t="n"/>
      <c r="N1547" s="13">
        <f>IF($M1547="","",IFERROR(INDEX(Desig_Names,MATCH($M1547,Desig_Codes,0)),"NOT FOUND"))</f>
        <v/>
      </c>
      <c r="O1547" s="13">
        <f>IF($M1547="","",IFERROR(INDEX(Desig_Levels,MATCH($M1547,Desig_Codes,0)),""))</f>
        <v/>
      </c>
      <c r="P1547" s="12" t="n"/>
      <c r="Q1547" s="12" t="n"/>
      <c r="R1547" s="12" t="n"/>
      <c r="S1547" s="13">
        <f>IF($R1547="","",IFERROR(INDEX(Emp_Names,MATCH($R1547,Emp_Codes,0)),"NOT FOUND"))</f>
        <v/>
      </c>
      <c r="T1547" s="12" t="n"/>
      <c r="U1547" s="12" t="n"/>
      <c r="V1547" s="12" t="n"/>
    </row>
    <row r="1548">
      <c r="A1548" s="12" t="n"/>
      <c r="B1548" s="12" t="n"/>
      <c r="C1548" s="12" t="n"/>
      <c r="D1548" s="13">
        <f>IF($A1548="","",TRIM($B1548&amp;" "&amp;$C1548))</f>
        <v/>
      </c>
      <c r="E1548" s="12" t="n"/>
      <c r="F1548" s="12" t="n"/>
      <c r="G1548" s="14" t="n"/>
      <c r="H1548" s="14" t="n"/>
      <c r="I1548" s="12" t="n"/>
      <c r="J1548" s="14" t="n"/>
      <c r="K1548" s="12" t="n"/>
      <c r="L1548" s="13">
        <f>IF($K1548="","",IFERROR(INDEX(Dept_Names,MATCH($K1548,Dept_Codes,0)),"NOT FOUND"))</f>
        <v/>
      </c>
      <c r="M1548" s="12" t="n"/>
      <c r="N1548" s="13">
        <f>IF($M1548="","",IFERROR(INDEX(Desig_Names,MATCH($M1548,Desig_Codes,0)),"NOT FOUND"))</f>
        <v/>
      </c>
      <c r="O1548" s="13">
        <f>IF($M1548="","",IFERROR(INDEX(Desig_Levels,MATCH($M1548,Desig_Codes,0)),""))</f>
        <v/>
      </c>
      <c r="P1548" s="12" t="n"/>
      <c r="Q1548" s="12" t="n"/>
      <c r="R1548" s="12" t="n"/>
      <c r="S1548" s="13">
        <f>IF($R1548="","",IFERROR(INDEX(Emp_Names,MATCH($R1548,Emp_Codes,0)),"NOT FOUND"))</f>
        <v/>
      </c>
      <c r="T1548" s="12" t="n"/>
      <c r="U1548" s="12" t="n"/>
      <c r="V1548" s="12" t="n"/>
    </row>
    <row r="1549">
      <c r="A1549" s="12" t="n"/>
      <c r="B1549" s="12" t="n"/>
      <c r="C1549" s="12" t="n"/>
      <c r="D1549" s="13">
        <f>IF($A1549="","",TRIM($B1549&amp;" "&amp;$C1549))</f>
        <v/>
      </c>
      <c r="E1549" s="12" t="n"/>
      <c r="F1549" s="12" t="n"/>
      <c r="G1549" s="14" t="n"/>
      <c r="H1549" s="14" t="n"/>
      <c r="I1549" s="12" t="n"/>
      <c r="J1549" s="14" t="n"/>
      <c r="K1549" s="12" t="n"/>
      <c r="L1549" s="13">
        <f>IF($K1549="","",IFERROR(INDEX(Dept_Names,MATCH($K1549,Dept_Codes,0)),"NOT FOUND"))</f>
        <v/>
      </c>
      <c r="M1549" s="12" t="n"/>
      <c r="N1549" s="13">
        <f>IF($M1549="","",IFERROR(INDEX(Desig_Names,MATCH($M1549,Desig_Codes,0)),"NOT FOUND"))</f>
        <v/>
      </c>
      <c r="O1549" s="13">
        <f>IF($M1549="","",IFERROR(INDEX(Desig_Levels,MATCH($M1549,Desig_Codes,0)),""))</f>
        <v/>
      </c>
      <c r="P1549" s="12" t="n"/>
      <c r="Q1549" s="12" t="n"/>
      <c r="R1549" s="12" t="n"/>
      <c r="S1549" s="13">
        <f>IF($R1549="","",IFERROR(INDEX(Emp_Names,MATCH($R1549,Emp_Codes,0)),"NOT FOUND"))</f>
        <v/>
      </c>
      <c r="T1549" s="12" t="n"/>
      <c r="U1549" s="12" t="n"/>
      <c r="V1549" s="12" t="n"/>
    </row>
    <row r="1550">
      <c r="A1550" s="12" t="n"/>
      <c r="B1550" s="12" t="n"/>
      <c r="C1550" s="12" t="n"/>
      <c r="D1550" s="13">
        <f>IF($A1550="","",TRIM($B1550&amp;" "&amp;$C1550))</f>
        <v/>
      </c>
      <c r="E1550" s="12" t="n"/>
      <c r="F1550" s="12" t="n"/>
      <c r="G1550" s="14" t="n"/>
      <c r="H1550" s="14" t="n"/>
      <c r="I1550" s="12" t="n"/>
      <c r="J1550" s="14" t="n"/>
      <c r="K1550" s="12" t="n"/>
      <c r="L1550" s="13">
        <f>IF($K1550="","",IFERROR(INDEX(Dept_Names,MATCH($K1550,Dept_Codes,0)),"NOT FOUND"))</f>
        <v/>
      </c>
      <c r="M1550" s="12" t="n"/>
      <c r="N1550" s="13">
        <f>IF($M1550="","",IFERROR(INDEX(Desig_Names,MATCH($M1550,Desig_Codes,0)),"NOT FOUND"))</f>
        <v/>
      </c>
      <c r="O1550" s="13">
        <f>IF($M1550="","",IFERROR(INDEX(Desig_Levels,MATCH($M1550,Desig_Codes,0)),""))</f>
        <v/>
      </c>
      <c r="P1550" s="12" t="n"/>
      <c r="Q1550" s="12" t="n"/>
      <c r="R1550" s="12" t="n"/>
      <c r="S1550" s="13">
        <f>IF($R1550="","",IFERROR(INDEX(Emp_Names,MATCH($R1550,Emp_Codes,0)),"NOT FOUND"))</f>
        <v/>
      </c>
      <c r="T1550" s="12" t="n"/>
      <c r="U1550" s="12" t="n"/>
      <c r="V1550" s="12" t="n"/>
    </row>
    <row r="1551">
      <c r="A1551" s="12" t="n"/>
      <c r="B1551" s="12" t="n"/>
      <c r="C1551" s="12" t="n"/>
      <c r="D1551" s="13">
        <f>IF($A1551="","",TRIM($B1551&amp;" "&amp;$C1551))</f>
        <v/>
      </c>
      <c r="E1551" s="12" t="n"/>
      <c r="F1551" s="12" t="n"/>
      <c r="G1551" s="14" t="n"/>
      <c r="H1551" s="14" t="n"/>
      <c r="I1551" s="12" t="n"/>
      <c r="J1551" s="14" t="n"/>
      <c r="K1551" s="12" t="n"/>
      <c r="L1551" s="13">
        <f>IF($K1551="","",IFERROR(INDEX(Dept_Names,MATCH($K1551,Dept_Codes,0)),"NOT FOUND"))</f>
        <v/>
      </c>
      <c r="M1551" s="12" t="n"/>
      <c r="N1551" s="13">
        <f>IF($M1551="","",IFERROR(INDEX(Desig_Names,MATCH($M1551,Desig_Codes,0)),"NOT FOUND"))</f>
        <v/>
      </c>
      <c r="O1551" s="13">
        <f>IF($M1551="","",IFERROR(INDEX(Desig_Levels,MATCH($M1551,Desig_Codes,0)),""))</f>
        <v/>
      </c>
      <c r="P1551" s="12" t="n"/>
      <c r="Q1551" s="12" t="n"/>
      <c r="R1551" s="12" t="n"/>
      <c r="S1551" s="13">
        <f>IF($R1551="","",IFERROR(INDEX(Emp_Names,MATCH($R1551,Emp_Codes,0)),"NOT FOUND"))</f>
        <v/>
      </c>
      <c r="T1551" s="12" t="n"/>
      <c r="U1551" s="12" t="n"/>
      <c r="V1551" s="12" t="n"/>
    </row>
    <row r="1552">
      <c r="A1552" s="12" t="n"/>
      <c r="B1552" s="12" t="n"/>
      <c r="C1552" s="12" t="n"/>
      <c r="D1552" s="13">
        <f>IF($A1552="","",TRIM($B1552&amp;" "&amp;$C1552))</f>
        <v/>
      </c>
      <c r="E1552" s="12" t="n"/>
      <c r="F1552" s="12" t="n"/>
      <c r="G1552" s="14" t="n"/>
      <c r="H1552" s="14" t="n"/>
      <c r="I1552" s="12" t="n"/>
      <c r="J1552" s="14" t="n"/>
      <c r="K1552" s="12" t="n"/>
      <c r="L1552" s="13">
        <f>IF($K1552="","",IFERROR(INDEX(Dept_Names,MATCH($K1552,Dept_Codes,0)),"NOT FOUND"))</f>
        <v/>
      </c>
      <c r="M1552" s="12" t="n"/>
      <c r="N1552" s="13">
        <f>IF($M1552="","",IFERROR(INDEX(Desig_Names,MATCH($M1552,Desig_Codes,0)),"NOT FOUND"))</f>
        <v/>
      </c>
      <c r="O1552" s="13">
        <f>IF($M1552="","",IFERROR(INDEX(Desig_Levels,MATCH($M1552,Desig_Codes,0)),""))</f>
        <v/>
      </c>
      <c r="P1552" s="12" t="n"/>
      <c r="Q1552" s="12" t="n"/>
      <c r="R1552" s="12" t="n"/>
      <c r="S1552" s="13">
        <f>IF($R1552="","",IFERROR(INDEX(Emp_Names,MATCH($R1552,Emp_Codes,0)),"NOT FOUND"))</f>
        <v/>
      </c>
      <c r="T1552" s="12" t="n"/>
      <c r="U1552" s="12" t="n"/>
      <c r="V1552" s="12" t="n"/>
    </row>
    <row r="1553">
      <c r="A1553" s="12" t="n"/>
      <c r="B1553" s="12" t="n"/>
      <c r="C1553" s="12" t="n"/>
      <c r="D1553" s="13">
        <f>IF($A1553="","",TRIM($B1553&amp;" "&amp;$C1553))</f>
        <v/>
      </c>
      <c r="E1553" s="12" t="n"/>
      <c r="F1553" s="12" t="n"/>
      <c r="G1553" s="14" t="n"/>
      <c r="H1553" s="14" t="n"/>
      <c r="I1553" s="12" t="n"/>
      <c r="J1553" s="14" t="n"/>
      <c r="K1553" s="12" t="n"/>
      <c r="L1553" s="13">
        <f>IF($K1553="","",IFERROR(INDEX(Dept_Names,MATCH($K1553,Dept_Codes,0)),"NOT FOUND"))</f>
        <v/>
      </c>
      <c r="M1553" s="12" t="n"/>
      <c r="N1553" s="13">
        <f>IF($M1553="","",IFERROR(INDEX(Desig_Names,MATCH($M1553,Desig_Codes,0)),"NOT FOUND"))</f>
        <v/>
      </c>
      <c r="O1553" s="13">
        <f>IF($M1553="","",IFERROR(INDEX(Desig_Levels,MATCH($M1553,Desig_Codes,0)),""))</f>
        <v/>
      </c>
      <c r="P1553" s="12" t="n"/>
      <c r="Q1553" s="12" t="n"/>
      <c r="R1553" s="12" t="n"/>
      <c r="S1553" s="13">
        <f>IF($R1553="","",IFERROR(INDEX(Emp_Names,MATCH($R1553,Emp_Codes,0)),"NOT FOUND"))</f>
        <v/>
      </c>
      <c r="T1553" s="12" t="n"/>
      <c r="U1553" s="12" t="n"/>
      <c r="V1553" s="12" t="n"/>
    </row>
    <row r="1554">
      <c r="A1554" s="12" t="n"/>
      <c r="B1554" s="12" t="n"/>
      <c r="C1554" s="12" t="n"/>
      <c r="D1554" s="13">
        <f>IF($A1554="","",TRIM($B1554&amp;" "&amp;$C1554))</f>
        <v/>
      </c>
      <c r="E1554" s="12" t="n"/>
      <c r="F1554" s="12" t="n"/>
      <c r="G1554" s="14" t="n"/>
      <c r="H1554" s="14" t="n"/>
      <c r="I1554" s="12" t="n"/>
      <c r="J1554" s="14" t="n"/>
      <c r="K1554" s="12" t="n"/>
      <c r="L1554" s="13">
        <f>IF($K1554="","",IFERROR(INDEX(Dept_Names,MATCH($K1554,Dept_Codes,0)),"NOT FOUND"))</f>
        <v/>
      </c>
      <c r="M1554" s="12" t="n"/>
      <c r="N1554" s="13">
        <f>IF($M1554="","",IFERROR(INDEX(Desig_Names,MATCH($M1554,Desig_Codes,0)),"NOT FOUND"))</f>
        <v/>
      </c>
      <c r="O1554" s="13">
        <f>IF($M1554="","",IFERROR(INDEX(Desig_Levels,MATCH($M1554,Desig_Codes,0)),""))</f>
        <v/>
      </c>
      <c r="P1554" s="12" t="n"/>
      <c r="Q1554" s="12" t="n"/>
      <c r="R1554" s="12" t="n"/>
      <c r="S1554" s="13">
        <f>IF($R1554="","",IFERROR(INDEX(Emp_Names,MATCH($R1554,Emp_Codes,0)),"NOT FOUND"))</f>
        <v/>
      </c>
      <c r="T1554" s="12" t="n"/>
      <c r="U1554" s="12" t="n"/>
      <c r="V1554" s="12" t="n"/>
    </row>
    <row r="1555">
      <c r="A1555" s="12" t="n"/>
      <c r="B1555" s="12" t="n"/>
      <c r="C1555" s="12" t="n"/>
      <c r="D1555" s="13">
        <f>IF($A1555="","",TRIM($B1555&amp;" "&amp;$C1555))</f>
        <v/>
      </c>
      <c r="E1555" s="12" t="n"/>
      <c r="F1555" s="12" t="n"/>
      <c r="G1555" s="14" t="n"/>
      <c r="H1555" s="14" t="n"/>
      <c r="I1555" s="12" t="n"/>
      <c r="J1555" s="14" t="n"/>
      <c r="K1555" s="12" t="n"/>
      <c r="L1555" s="13">
        <f>IF($K1555="","",IFERROR(INDEX(Dept_Names,MATCH($K1555,Dept_Codes,0)),"NOT FOUND"))</f>
        <v/>
      </c>
      <c r="M1555" s="12" t="n"/>
      <c r="N1555" s="13">
        <f>IF($M1555="","",IFERROR(INDEX(Desig_Names,MATCH($M1555,Desig_Codes,0)),"NOT FOUND"))</f>
        <v/>
      </c>
      <c r="O1555" s="13">
        <f>IF($M1555="","",IFERROR(INDEX(Desig_Levels,MATCH($M1555,Desig_Codes,0)),""))</f>
        <v/>
      </c>
      <c r="P1555" s="12" t="n"/>
      <c r="Q1555" s="12" t="n"/>
      <c r="R1555" s="12" t="n"/>
      <c r="S1555" s="13">
        <f>IF($R1555="","",IFERROR(INDEX(Emp_Names,MATCH($R1555,Emp_Codes,0)),"NOT FOUND"))</f>
        <v/>
      </c>
      <c r="T1555" s="12" t="n"/>
      <c r="U1555" s="12" t="n"/>
      <c r="V1555" s="12" t="n"/>
    </row>
    <row r="1556">
      <c r="A1556" s="12" t="n"/>
      <c r="B1556" s="12" t="n"/>
      <c r="C1556" s="12" t="n"/>
      <c r="D1556" s="13">
        <f>IF($A1556="","",TRIM($B1556&amp;" "&amp;$C1556))</f>
        <v/>
      </c>
      <c r="E1556" s="12" t="n"/>
      <c r="F1556" s="12" t="n"/>
      <c r="G1556" s="14" t="n"/>
      <c r="H1556" s="14" t="n"/>
      <c r="I1556" s="12" t="n"/>
      <c r="J1556" s="14" t="n"/>
      <c r="K1556" s="12" t="n"/>
      <c r="L1556" s="13">
        <f>IF($K1556="","",IFERROR(INDEX(Dept_Names,MATCH($K1556,Dept_Codes,0)),"NOT FOUND"))</f>
        <v/>
      </c>
      <c r="M1556" s="12" t="n"/>
      <c r="N1556" s="13">
        <f>IF($M1556="","",IFERROR(INDEX(Desig_Names,MATCH($M1556,Desig_Codes,0)),"NOT FOUND"))</f>
        <v/>
      </c>
      <c r="O1556" s="13">
        <f>IF($M1556="","",IFERROR(INDEX(Desig_Levels,MATCH($M1556,Desig_Codes,0)),""))</f>
        <v/>
      </c>
      <c r="P1556" s="12" t="n"/>
      <c r="Q1556" s="12" t="n"/>
      <c r="R1556" s="12" t="n"/>
      <c r="S1556" s="13">
        <f>IF($R1556="","",IFERROR(INDEX(Emp_Names,MATCH($R1556,Emp_Codes,0)),"NOT FOUND"))</f>
        <v/>
      </c>
      <c r="T1556" s="12" t="n"/>
      <c r="U1556" s="12" t="n"/>
      <c r="V1556" s="12" t="n"/>
    </row>
    <row r="1557">
      <c r="A1557" s="12" t="n"/>
      <c r="B1557" s="12" t="n"/>
      <c r="C1557" s="12" t="n"/>
      <c r="D1557" s="13">
        <f>IF($A1557="","",TRIM($B1557&amp;" "&amp;$C1557))</f>
        <v/>
      </c>
      <c r="E1557" s="12" t="n"/>
      <c r="F1557" s="12" t="n"/>
      <c r="G1557" s="14" t="n"/>
      <c r="H1557" s="14" t="n"/>
      <c r="I1557" s="12" t="n"/>
      <c r="J1557" s="14" t="n"/>
      <c r="K1557" s="12" t="n"/>
      <c r="L1557" s="13">
        <f>IF($K1557="","",IFERROR(INDEX(Dept_Names,MATCH($K1557,Dept_Codes,0)),"NOT FOUND"))</f>
        <v/>
      </c>
      <c r="M1557" s="12" t="n"/>
      <c r="N1557" s="13">
        <f>IF($M1557="","",IFERROR(INDEX(Desig_Names,MATCH($M1557,Desig_Codes,0)),"NOT FOUND"))</f>
        <v/>
      </c>
      <c r="O1557" s="13">
        <f>IF($M1557="","",IFERROR(INDEX(Desig_Levels,MATCH($M1557,Desig_Codes,0)),""))</f>
        <v/>
      </c>
      <c r="P1557" s="12" t="n"/>
      <c r="Q1557" s="12" t="n"/>
      <c r="R1557" s="12" t="n"/>
      <c r="S1557" s="13">
        <f>IF($R1557="","",IFERROR(INDEX(Emp_Names,MATCH($R1557,Emp_Codes,0)),"NOT FOUND"))</f>
        <v/>
      </c>
      <c r="T1557" s="12" t="n"/>
      <c r="U1557" s="12" t="n"/>
      <c r="V1557" s="12" t="n"/>
    </row>
    <row r="1558">
      <c r="A1558" s="12" t="n"/>
      <c r="B1558" s="12" t="n"/>
      <c r="C1558" s="12" t="n"/>
      <c r="D1558" s="13">
        <f>IF($A1558="","",TRIM($B1558&amp;" "&amp;$C1558))</f>
        <v/>
      </c>
      <c r="E1558" s="12" t="n"/>
      <c r="F1558" s="12" t="n"/>
      <c r="G1558" s="14" t="n"/>
      <c r="H1558" s="14" t="n"/>
      <c r="I1558" s="12" t="n"/>
      <c r="J1558" s="14" t="n"/>
      <c r="K1558" s="12" t="n"/>
      <c r="L1558" s="13">
        <f>IF($K1558="","",IFERROR(INDEX(Dept_Names,MATCH($K1558,Dept_Codes,0)),"NOT FOUND"))</f>
        <v/>
      </c>
      <c r="M1558" s="12" t="n"/>
      <c r="N1558" s="13">
        <f>IF($M1558="","",IFERROR(INDEX(Desig_Names,MATCH($M1558,Desig_Codes,0)),"NOT FOUND"))</f>
        <v/>
      </c>
      <c r="O1558" s="13">
        <f>IF($M1558="","",IFERROR(INDEX(Desig_Levels,MATCH($M1558,Desig_Codes,0)),""))</f>
        <v/>
      </c>
      <c r="P1558" s="12" t="n"/>
      <c r="Q1558" s="12" t="n"/>
      <c r="R1558" s="12" t="n"/>
      <c r="S1558" s="13">
        <f>IF($R1558="","",IFERROR(INDEX(Emp_Names,MATCH($R1558,Emp_Codes,0)),"NOT FOUND"))</f>
        <v/>
      </c>
      <c r="T1558" s="12" t="n"/>
      <c r="U1558" s="12" t="n"/>
      <c r="V1558" s="12" t="n"/>
    </row>
    <row r="1559">
      <c r="A1559" s="12" t="n"/>
      <c r="B1559" s="12" t="n"/>
      <c r="C1559" s="12" t="n"/>
      <c r="D1559" s="13">
        <f>IF($A1559="","",TRIM($B1559&amp;" "&amp;$C1559))</f>
        <v/>
      </c>
      <c r="E1559" s="12" t="n"/>
      <c r="F1559" s="12" t="n"/>
      <c r="G1559" s="14" t="n"/>
      <c r="H1559" s="14" t="n"/>
      <c r="I1559" s="12" t="n"/>
      <c r="J1559" s="14" t="n"/>
      <c r="K1559" s="12" t="n"/>
      <c r="L1559" s="13">
        <f>IF($K1559="","",IFERROR(INDEX(Dept_Names,MATCH($K1559,Dept_Codes,0)),"NOT FOUND"))</f>
        <v/>
      </c>
      <c r="M1559" s="12" t="n"/>
      <c r="N1559" s="13">
        <f>IF($M1559="","",IFERROR(INDEX(Desig_Names,MATCH($M1559,Desig_Codes,0)),"NOT FOUND"))</f>
        <v/>
      </c>
      <c r="O1559" s="13">
        <f>IF($M1559="","",IFERROR(INDEX(Desig_Levels,MATCH($M1559,Desig_Codes,0)),""))</f>
        <v/>
      </c>
      <c r="P1559" s="12" t="n"/>
      <c r="Q1559" s="12" t="n"/>
      <c r="R1559" s="12" t="n"/>
      <c r="S1559" s="13">
        <f>IF($R1559="","",IFERROR(INDEX(Emp_Names,MATCH($R1559,Emp_Codes,0)),"NOT FOUND"))</f>
        <v/>
      </c>
      <c r="T1559" s="12" t="n"/>
      <c r="U1559" s="12" t="n"/>
      <c r="V1559" s="12" t="n"/>
    </row>
    <row r="1560">
      <c r="A1560" s="12" t="n"/>
      <c r="B1560" s="12" t="n"/>
      <c r="C1560" s="12" t="n"/>
      <c r="D1560" s="13">
        <f>IF($A1560="","",TRIM($B1560&amp;" "&amp;$C1560))</f>
        <v/>
      </c>
      <c r="E1560" s="12" t="n"/>
      <c r="F1560" s="12" t="n"/>
      <c r="G1560" s="14" t="n"/>
      <c r="H1560" s="14" t="n"/>
      <c r="I1560" s="12" t="n"/>
      <c r="J1560" s="14" t="n"/>
      <c r="K1560" s="12" t="n"/>
      <c r="L1560" s="13">
        <f>IF($K1560="","",IFERROR(INDEX(Dept_Names,MATCH($K1560,Dept_Codes,0)),"NOT FOUND"))</f>
        <v/>
      </c>
      <c r="M1560" s="12" t="n"/>
      <c r="N1560" s="13">
        <f>IF($M1560="","",IFERROR(INDEX(Desig_Names,MATCH($M1560,Desig_Codes,0)),"NOT FOUND"))</f>
        <v/>
      </c>
      <c r="O1560" s="13">
        <f>IF($M1560="","",IFERROR(INDEX(Desig_Levels,MATCH($M1560,Desig_Codes,0)),""))</f>
        <v/>
      </c>
      <c r="P1560" s="12" t="n"/>
      <c r="Q1560" s="12" t="n"/>
      <c r="R1560" s="12" t="n"/>
      <c r="S1560" s="13">
        <f>IF($R1560="","",IFERROR(INDEX(Emp_Names,MATCH($R1560,Emp_Codes,0)),"NOT FOUND"))</f>
        <v/>
      </c>
      <c r="T1560" s="12" t="n"/>
      <c r="U1560" s="12" t="n"/>
      <c r="V1560" s="12" t="n"/>
    </row>
    <row r="1561">
      <c r="A1561" s="12" t="n"/>
      <c r="B1561" s="12" t="n"/>
      <c r="C1561" s="12" t="n"/>
      <c r="D1561" s="13">
        <f>IF($A1561="","",TRIM($B1561&amp;" "&amp;$C1561))</f>
        <v/>
      </c>
      <c r="E1561" s="12" t="n"/>
      <c r="F1561" s="12" t="n"/>
      <c r="G1561" s="14" t="n"/>
      <c r="H1561" s="14" t="n"/>
      <c r="I1561" s="12" t="n"/>
      <c r="J1561" s="14" t="n"/>
      <c r="K1561" s="12" t="n"/>
      <c r="L1561" s="13">
        <f>IF($K1561="","",IFERROR(INDEX(Dept_Names,MATCH($K1561,Dept_Codes,0)),"NOT FOUND"))</f>
        <v/>
      </c>
      <c r="M1561" s="12" t="n"/>
      <c r="N1561" s="13">
        <f>IF($M1561="","",IFERROR(INDEX(Desig_Names,MATCH($M1561,Desig_Codes,0)),"NOT FOUND"))</f>
        <v/>
      </c>
      <c r="O1561" s="13">
        <f>IF($M1561="","",IFERROR(INDEX(Desig_Levels,MATCH($M1561,Desig_Codes,0)),""))</f>
        <v/>
      </c>
      <c r="P1561" s="12" t="n"/>
      <c r="Q1561" s="12" t="n"/>
      <c r="R1561" s="12" t="n"/>
      <c r="S1561" s="13">
        <f>IF($R1561="","",IFERROR(INDEX(Emp_Names,MATCH($R1561,Emp_Codes,0)),"NOT FOUND"))</f>
        <v/>
      </c>
      <c r="T1561" s="12" t="n"/>
      <c r="U1561" s="12" t="n"/>
      <c r="V1561" s="12" t="n"/>
    </row>
    <row r="1562">
      <c r="A1562" s="12" t="n"/>
      <c r="B1562" s="12" t="n"/>
      <c r="C1562" s="12" t="n"/>
      <c r="D1562" s="13">
        <f>IF($A1562="","",TRIM($B1562&amp;" "&amp;$C1562))</f>
        <v/>
      </c>
      <c r="E1562" s="12" t="n"/>
      <c r="F1562" s="12" t="n"/>
      <c r="G1562" s="14" t="n"/>
      <c r="H1562" s="14" t="n"/>
      <c r="I1562" s="12" t="n"/>
      <c r="J1562" s="14" t="n"/>
      <c r="K1562" s="12" t="n"/>
      <c r="L1562" s="13">
        <f>IF($K1562="","",IFERROR(INDEX(Dept_Names,MATCH($K1562,Dept_Codes,0)),"NOT FOUND"))</f>
        <v/>
      </c>
      <c r="M1562" s="12" t="n"/>
      <c r="N1562" s="13">
        <f>IF($M1562="","",IFERROR(INDEX(Desig_Names,MATCH($M1562,Desig_Codes,0)),"NOT FOUND"))</f>
        <v/>
      </c>
      <c r="O1562" s="13">
        <f>IF($M1562="","",IFERROR(INDEX(Desig_Levels,MATCH($M1562,Desig_Codes,0)),""))</f>
        <v/>
      </c>
      <c r="P1562" s="12" t="n"/>
      <c r="Q1562" s="12" t="n"/>
      <c r="R1562" s="12" t="n"/>
      <c r="S1562" s="13">
        <f>IF($R1562="","",IFERROR(INDEX(Emp_Names,MATCH($R1562,Emp_Codes,0)),"NOT FOUND"))</f>
        <v/>
      </c>
      <c r="T1562" s="12" t="n"/>
      <c r="U1562" s="12" t="n"/>
      <c r="V1562" s="12" t="n"/>
    </row>
    <row r="1563">
      <c r="A1563" s="12" t="n"/>
      <c r="B1563" s="12" t="n"/>
      <c r="C1563" s="12" t="n"/>
      <c r="D1563" s="13">
        <f>IF($A1563="","",TRIM($B1563&amp;" "&amp;$C1563))</f>
        <v/>
      </c>
      <c r="E1563" s="12" t="n"/>
      <c r="F1563" s="12" t="n"/>
      <c r="G1563" s="14" t="n"/>
      <c r="H1563" s="14" t="n"/>
      <c r="I1563" s="12" t="n"/>
      <c r="J1563" s="14" t="n"/>
      <c r="K1563" s="12" t="n"/>
      <c r="L1563" s="13">
        <f>IF($K1563="","",IFERROR(INDEX(Dept_Names,MATCH($K1563,Dept_Codes,0)),"NOT FOUND"))</f>
        <v/>
      </c>
      <c r="M1563" s="12" t="n"/>
      <c r="N1563" s="13">
        <f>IF($M1563="","",IFERROR(INDEX(Desig_Names,MATCH($M1563,Desig_Codes,0)),"NOT FOUND"))</f>
        <v/>
      </c>
      <c r="O1563" s="13">
        <f>IF($M1563="","",IFERROR(INDEX(Desig_Levels,MATCH($M1563,Desig_Codes,0)),""))</f>
        <v/>
      </c>
      <c r="P1563" s="12" t="n"/>
      <c r="Q1563" s="12" t="n"/>
      <c r="R1563" s="12" t="n"/>
      <c r="S1563" s="13">
        <f>IF($R1563="","",IFERROR(INDEX(Emp_Names,MATCH($R1563,Emp_Codes,0)),"NOT FOUND"))</f>
        <v/>
      </c>
      <c r="T1563" s="12" t="n"/>
      <c r="U1563" s="12" t="n"/>
      <c r="V1563" s="12" t="n"/>
    </row>
    <row r="1564">
      <c r="A1564" s="12" t="n"/>
      <c r="B1564" s="12" t="n"/>
      <c r="C1564" s="12" t="n"/>
      <c r="D1564" s="13">
        <f>IF($A1564="","",TRIM($B1564&amp;" "&amp;$C1564))</f>
        <v/>
      </c>
      <c r="E1564" s="12" t="n"/>
      <c r="F1564" s="12" t="n"/>
      <c r="G1564" s="14" t="n"/>
      <c r="H1564" s="14" t="n"/>
      <c r="I1564" s="12" t="n"/>
      <c r="J1564" s="14" t="n"/>
      <c r="K1564" s="12" t="n"/>
      <c r="L1564" s="13">
        <f>IF($K1564="","",IFERROR(INDEX(Dept_Names,MATCH($K1564,Dept_Codes,0)),"NOT FOUND"))</f>
        <v/>
      </c>
      <c r="M1564" s="12" t="n"/>
      <c r="N1564" s="13">
        <f>IF($M1564="","",IFERROR(INDEX(Desig_Names,MATCH($M1564,Desig_Codes,0)),"NOT FOUND"))</f>
        <v/>
      </c>
      <c r="O1564" s="13">
        <f>IF($M1564="","",IFERROR(INDEX(Desig_Levels,MATCH($M1564,Desig_Codes,0)),""))</f>
        <v/>
      </c>
      <c r="P1564" s="12" t="n"/>
      <c r="Q1564" s="12" t="n"/>
      <c r="R1564" s="12" t="n"/>
      <c r="S1564" s="13">
        <f>IF($R1564="","",IFERROR(INDEX(Emp_Names,MATCH($R1564,Emp_Codes,0)),"NOT FOUND"))</f>
        <v/>
      </c>
      <c r="T1564" s="12" t="n"/>
      <c r="U1564" s="12" t="n"/>
      <c r="V1564" s="12" t="n"/>
    </row>
    <row r="1565">
      <c r="A1565" s="12" t="n"/>
      <c r="B1565" s="12" t="n"/>
      <c r="C1565" s="12" t="n"/>
      <c r="D1565" s="13">
        <f>IF($A1565="","",TRIM($B1565&amp;" "&amp;$C1565))</f>
        <v/>
      </c>
      <c r="E1565" s="12" t="n"/>
      <c r="F1565" s="12" t="n"/>
      <c r="G1565" s="14" t="n"/>
      <c r="H1565" s="14" t="n"/>
      <c r="I1565" s="12" t="n"/>
      <c r="J1565" s="14" t="n"/>
      <c r="K1565" s="12" t="n"/>
      <c r="L1565" s="13">
        <f>IF($K1565="","",IFERROR(INDEX(Dept_Names,MATCH($K1565,Dept_Codes,0)),"NOT FOUND"))</f>
        <v/>
      </c>
      <c r="M1565" s="12" t="n"/>
      <c r="N1565" s="13">
        <f>IF($M1565="","",IFERROR(INDEX(Desig_Names,MATCH($M1565,Desig_Codes,0)),"NOT FOUND"))</f>
        <v/>
      </c>
      <c r="O1565" s="13">
        <f>IF($M1565="","",IFERROR(INDEX(Desig_Levels,MATCH($M1565,Desig_Codes,0)),""))</f>
        <v/>
      </c>
      <c r="P1565" s="12" t="n"/>
      <c r="Q1565" s="12" t="n"/>
      <c r="R1565" s="12" t="n"/>
      <c r="S1565" s="13">
        <f>IF($R1565="","",IFERROR(INDEX(Emp_Names,MATCH($R1565,Emp_Codes,0)),"NOT FOUND"))</f>
        <v/>
      </c>
      <c r="T1565" s="12" t="n"/>
      <c r="U1565" s="12" t="n"/>
      <c r="V1565" s="12" t="n"/>
    </row>
    <row r="1566">
      <c r="A1566" s="12" t="n"/>
      <c r="B1566" s="12" t="n"/>
      <c r="C1566" s="12" t="n"/>
      <c r="D1566" s="13">
        <f>IF($A1566="","",TRIM($B1566&amp;" "&amp;$C1566))</f>
        <v/>
      </c>
      <c r="E1566" s="12" t="n"/>
      <c r="F1566" s="12" t="n"/>
      <c r="G1566" s="14" t="n"/>
      <c r="H1566" s="14" t="n"/>
      <c r="I1566" s="12" t="n"/>
      <c r="J1566" s="14" t="n"/>
      <c r="K1566" s="12" t="n"/>
      <c r="L1566" s="13">
        <f>IF($K1566="","",IFERROR(INDEX(Dept_Names,MATCH($K1566,Dept_Codes,0)),"NOT FOUND"))</f>
        <v/>
      </c>
      <c r="M1566" s="12" t="n"/>
      <c r="N1566" s="13">
        <f>IF($M1566="","",IFERROR(INDEX(Desig_Names,MATCH($M1566,Desig_Codes,0)),"NOT FOUND"))</f>
        <v/>
      </c>
      <c r="O1566" s="13">
        <f>IF($M1566="","",IFERROR(INDEX(Desig_Levels,MATCH($M1566,Desig_Codes,0)),""))</f>
        <v/>
      </c>
      <c r="P1566" s="12" t="n"/>
      <c r="Q1566" s="12" t="n"/>
      <c r="R1566" s="12" t="n"/>
      <c r="S1566" s="13">
        <f>IF($R1566="","",IFERROR(INDEX(Emp_Names,MATCH($R1566,Emp_Codes,0)),"NOT FOUND"))</f>
        <v/>
      </c>
      <c r="T1566" s="12" t="n"/>
      <c r="U1566" s="12" t="n"/>
      <c r="V1566" s="12" t="n"/>
    </row>
    <row r="1567">
      <c r="A1567" s="12" t="n"/>
      <c r="B1567" s="12" t="n"/>
      <c r="C1567" s="12" t="n"/>
      <c r="D1567" s="13">
        <f>IF($A1567="","",TRIM($B1567&amp;" "&amp;$C1567))</f>
        <v/>
      </c>
      <c r="E1567" s="12" t="n"/>
      <c r="F1567" s="12" t="n"/>
      <c r="G1567" s="14" t="n"/>
      <c r="H1567" s="14" t="n"/>
      <c r="I1567" s="12" t="n"/>
      <c r="J1567" s="14" t="n"/>
      <c r="K1567" s="12" t="n"/>
      <c r="L1567" s="13">
        <f>IF($K1567="","",IFERROR(INDEX(Dept_Names,MATCH($K1567,Dept_Codes,0)),"NOT FOUND"))</f>
        <v/>
      </c>
      <c r="M1567" s="12" t="n"/>
      <c r="N1567" s="13">
        <f>IF($M1567="","",IFERROR(INDEX(Desig_Names,MATCH($M1567,Desig_Codes,0)),"NOT FOUND"))</f>
        <v/>
      </c>
      <c r="O1567" s="13">
        <f>IF($M1567="","",IFERROR(INDEX(Desig_Levels,MATCH($M1567,Desig_Codes,0)),""))</f>
        <v/>
      </c>
      <c r="P1567" s="12" t="n"/>
      <c r="Q1567" s="12" t="n"/>
      <c r="R1567" s="12" t="n"/>
      <c r="S1567" s="13">
        <f>IF($R1567="","",IFERROR(INDEX(Emp_Names,MATCH($R1567,Emp_Codes,0)),"NOT FOUND"))</f>
        <v/>
      </c>
      <c r="T1567" s="12" t="n"/>
      <c r="U1567" s="12" t="n"/>
      <c r="V1567" s="12" t="n"/>
    </row>
    <row r="1568">
      <c r="A1568" s="12" t="n"/>
      <c r="B1568" s="12" t="n"/>
      <c r="C1568" s="12" t="n"/>
      <c r="D1568" s="13">
        <f>IF($A1568="","",TRIM($B1568&amp;" "&amp;$C1568))</f>
        <v/>
      </c>
      <c r="E1568" s="12" t="n"/>
      <c r="F1568" s="12" t="n"/>
      <c r="G1568" s="14" t="n"/>
      <c r="H1568" s="14" t="n"/>
      <c r="I1568" s="12" t="n"/>
      <c r="J1568" s="14" t="n"/>
      <c r="K1568" s="12" t="n"/>
      <c r="L1568" s="13">
        <f>IF($K1568="","",IFERROR(INDEX(Dept_Names,MATCH($K1568,Dept_Codes,0)),"NOT FOUND"))</f>
        <v/>
      </c>
      <c r="M1568" s="12" t="n"/>
      <c r="N1568" s="13">
        <f>IF($M1568="","",IFERROR(INDEX(Desig_Names,MATCH($M1568,Desig_Codes,0)),"NOT FOUND"))</f>
        <v/>
      </c>
      <c r="O1568" s="13">
        <f>IF($M1568="","",IFERROR(INDEX(Desig_Levels,MATCH($M1568,Desig_Codes,0)),""))</f>
        <v/>
      </c>
      <c r="P1568" s="12" t="n"/>
      <c r="Q1568" s="12" t="n"/>
      <c r="R1568" s="12" t="n"/>
      <c r="S1568" s="13">
        <f>IF($R1568="","",IFERROR(INDEX(Emp_Names,MATCH($R1568,Emp_Codes,0)),"NOT FOUND"))</f>
        <v/>
      </c>
      <c r="T1568" s="12" t="n"/>
      <c r="U1568" s="12" t="n"/>
      <c r="V1568" s="12" t="n"/>
    </row>
    <row r="1569">
      <c r="A1569" s="12" t="n"/>
      <c r="B1569" s="12" t="n"/>
      <c r="C1569" s="12" t="n"/>
      <c r="D1569" s="13">
        <f>IF($A1569="","",TRIM($B1569&amp;" "&amp;$C1569))</f>
        <v/>
      </c>
      <c r="E1569" s="12" t="n"/>
      <c r="F1569" s="12" t="n"/>
      <c r="G1569" s="14" t="n"/>
      <c r="H1569" s="14" t="n"/>
      <c r="I1569" s="12" t="n"/>
      <c r="J1569" s="14" t="n"/>
      <c r="K1569" s="12" t="n"/>
      <c r="L1569" s="13">
        <f>IF($K1569="","",IFERROR(INDEX(Dept_Names,MATCH($K1569,Dept_Codes,0)),"NOT FOUND"))</f>
        <v/>
      </c>
      <c r="M1569" s="12" t="n"/>
      <c r="N1569" s="13">
        <f>IF($M1569="","",IFERROR(INDEX(Desig_Names,MATCH($M1569,Desig_Codes,0)),"NOT FOUND"))</f>
        <v/>
      </c>
      <c r="O1569" s="13">
        <f>IF($M1569="","",IFERROR(INDEX(Desig_Levels,MATCH($M1569,Desig_Codes,0)),""))</f>
        <v/>
      </c>
      <c r="P1569" s="12" t="n"/>
      <c r="Q1569" s="12" t="n"/>
      <c r="R1569" s="12" t="n"/>
      <c r="S1569" s="13">
        <f>IF($R1569="","",IFERROR(INDEX(Emp_Names,MATCH($R1569,Emp_Codes,0)),"NOT FOUND"))</f>
        <v/>
      </c>
      <c r="T1569" s="12" t="n"/>
      <c r="U1569" s="12" t="n"/>
      <c r="V1569" s="12" t="n"/>
    </row>
    <row r="1570">
      <c r="A1570" s="12" t="n"/>
      <c r="B1570" s="12" t="n"/>
      <c r="C1570" s="12" t="n"/>
      <c r="D1570" s="13">
        <f>IF($A1570="","",TRIM($B1570&amp;" "&amp;$C1570))</f>
        <v/>
      </c>
      <c r="E1570" s="12" t="n"/>
      <c r="F1570" s="12" t="n"/>
      <c r="G1570" s="14" t="n"/>
      <c r="H1570" s="14" t="n"/>
      <c r="I1570" s="12" t="n"/>
      <c r="J1570" s="14" t="n"/>
      <c r="K1570" s="12" t="n"/>
      <c r="L1570" s="13">
        <f>IF($K1570="","",IFERROR(INDEX(Dept_Names,MATCH($K1570,Dept_Codes,0)),"NOT FOUND"))</f>
        <v/>
      </c>
      <c r="M1570" s="12" t="n"/>
      <c r="N1570" s="13">
        <f>IF($M1570="","",IFERROR(INDEX(Desig_Names,MATCH($M1570,Desig_Codes,0)),"NOT FOUND"))</f>
        <v/>
      </c>
      <c r="O1570" s="13">
        <f>IF($M1570="","",IFERROR(INDEX(Desig_Levels,MATCH($M1570,Desig_Codes,0)),""))</f>
        <v/>
      </c>
      <c r="P1570" s="12" t="n"/>
      <c r="Q1570" s="12" t="n"/>
      <c r="R1570" s="12" t="n"/>
      <c r="S1570" s="13">
        <f>IF($R1570="","",IFERROR(INDEX(Emp_Names,MATCH($R1570,Emp_Codes,0)),"NOT FOUND"))</f>
        <v/>
      </c>
      <c r="T1570" s="12" t="n"/>
      <c r="U1570" s="12" t="n"/>
      <c r="V1570" s="12" t="n"/>
    </row>
    <row r="1571">
      <c r="A1571" s="12" t="n"/>
      <c r="B1571" s="12" t="n"/>
      <c r="C1571" s="12" t="n"/>
      <c r="D1571" s="13">
        <f>IF($A1571="","",TRIM($B1571&amp;" "&amp;$C1571))</f>
        <v/>
      </c>
      <c r="E1571" s="12" t="n"/>
      <c r="F1571" s="12" t="n"/>
      <c r="G1571" s="14" t="n"/>
      <c r="H1571" s="14" t="n"/>
      <c r="I1571" s="12" t="n"/>
      <c r="J1571" s="14" t="n"/>
      <c r="K1571" s="12" t="n"/>
      <c r="L1571" s="13">
        <f>IF($K1571="","",IFERROR(INDEX(Dept_Names,MATCH($K1571,Dept_Codes,0)),"NOT FOUND"))</f>
        <v/>
      </c>
      <c r="M1571" s="12" t="n"/>
      <c r="N1571" s="13">
        <f>IF($M1571="","",IFERROR(INDEX(Desig_Names,MATCH($M1571,Desig_Codes,0)),"NOT FOUND"))</f>
        <v/>
      </c>
      <c r="O1571" s="13">
        <f>IF($M1571="","",IFERROR(INDEX(Desig_Levels,MATCH($M1571,Desig_Codes,0)),""))</f>
        <v/>
      </c>
      <c r="P1571" s="12" t="n"/>
      <c r="Q1571" s="12" t="n"/>
      <c r="R1571" s="12" t="n"/>
      <c r="S1571" s="13">
        <f>IF($R1571="","",IFERROR(INDEX(Emp_Names,MATCH($R1571,Emp_Codes,0)),"NOT FOUND"))</f>
        <v/>
      </c>
      <c r="T1571" s="12" t="n"/>
      <c r="U1571" s="12" t="n"/>
      <c r="V1571" s="12" t="n"/>
    </row>
    <row r="1572">
      <c r="A1572" s="12" t="n"/>
      <c r="B1572" s="12" t="n"/>
      <c r="C1572" s="12" t="n"/>
      <c r="D1572" s="13">
        <f>IF($A1572="","",TRIM($B1572&amp;" "&amp;$C1572))</f>
        <v/>
      </c>
      <c r="E1572" s="12" t="n"/>
      <c r="F1572" s="12" t="n"/>
      <c r="G1572" s="14" t="n"/>
      <c r="H1572" s="14" t="n"/>
      <c r="I1572" s="12" t="n"/>
      <c r="J1572" s="14" t="n"/>
      <c r="K1572" s="12" t="n"/>
      <c r="L1572" s="13">
        <f>IF($K1572="","",IFERROR(INDEX(Dept_Names,MATCH($K1572,Dept_Codes,0)),"NOT FOUND"))</f>
        <v/>
      </c>
      <c r="M1572" s="12" t="n"/>
      <c r="N1572" s="13">
        <f>IF($M1572="","",IFERROR(INDEX(Desig_Names,MATCH($M1572,Desig_Codes,0)),"NOT FOUND"))</f>
        <v/>
      </c>
      <c r="O1572" s="13">
        <f>IF($M1572="","",IFERROR(INDEX(Desig_Levels,MATCH($M1572,Desig_Codes,0)),""))</f>
        <v/>
      </c>
      <c r="P1572" s="12" t="n"/>
      <c r="Q1572" s="12" t="n"/>
      <c r="R1572" s="12" t="n"/>
      <c r="S1572" s="13">
        <f>IF($R1572="","",IFERROR(INDEX(Emp_Names,MATCH($R1572,Emp_Codes,0)),"NOT FOUND"))</f>
        <v/>
      </c>
      <c r="T1572" s="12" t="n"/>
      <c r="U1572" s="12" t="n"/>
      <c r="V1572" s="12" t="n"/>
    </row>
    <row r="1573">
      <c r="A1573" s="12" t="n"/>
      <c r="B1573" s="12" t="n"/>
      <c r="C1573" s="12" t="n"/>
      <c r="D1573" s="13">
        <f>IF($A1573="","",TRIM($B1573&amp;" "&amp;$C1573))</f>
        <v/>
      </c>
      <c r="E1573" s="12" t="n"/>
      <c r="F1573" s="12" t="n"/>
      <c r="G1573" s="14" t="n"/>
      <c r="H1573" s="14" t="n"/>
      <c r="I1573" s="12" t="n"/>
      <c r="J1573" s="14" t="n"/>
      <c r="K1573" s="12" t="n"/>
      <c r="L1573" s="13">
        <f>IF($K1573="","",IFERROR(INDEX(Dept_Names,MATCH($K1573,Dept_Codes,0)),"NOT FOUND"))</f>
        <v/>
      </c>
      <c r="M1573" s="12" t="n"/>
      <c r="N1573" s="13">
        <f>IF($M1573="","",IFERROR(INDEX(Desig_Names,MATCH($M1573,Desig_Codes,0)),"NOT FOUND"))</f>
        <v/>
      </c>
      <c r="O1573" s="13">
        <f>IF($M1573="","",IFERROR(INDEX(Desig_Levels,MATCH($M1573,Desig_Codes,0)),""))</f>
        <v/>
      </c>
      <c r="P1573" s="12" t="n"/>
      <c r="Q1573" s="12" t="n"/>
      <c r="R1573" s="12" t="n"/>
      <c r="S1573" s="13">
        <f>IF($R1573="","",IFERROR(INDEX(Emp_Names,MATCH($R1573,Emp_Codes,0)),"NOT FOUND"))</f>
        <v/>
      </c>
      <c r="T1573" s="12" t="n"/>
      <c r="U1573" s="12" t="n"/>
      <c r="V1573" s="12" t="n"/>
    </row>
    <row r="1574">
      <c r="A1574" s="12" t="n"/>
      <c r="B1574" s="12" t="n"/>
      <c r="C1574" s="12" t="n"/>
      <c r="D1574" s="13">
        <f>IF($A1574="","",TRIM($B1574&amp;" "&amp;$C1574))</f>
        <v/>
      </c>
      <c r="E1574" s="12" t="n"/>
      <c r="F1574" s="12" t="n"/>
      <c r="G1574" s="14" t="n"/>
      <c r="H1574" s="14" t="n"/>
      <c r="I1574" s="12" t="n"/>
      <c r="J1574" s="14" t="n"/>
      <c r="K1574" s="12" t="n"/>
      <c r="L1574" s="13">
        <f>IF($K1574="","",IFERROR(INDEX(Dept_Names,MATCH($K1574,Dept_Codes,0)),"NOT FOUND"))</f>
        <v/>
      </c>
      <c r="M1574" s="12" t="n"/>
      <c r="N1574" s="13">
        <f>IF($M1574="","",IFERROR(INDEX(Desig_Names,MATCH($M1574,Desig_Codes,0)),"NOT FOUND"))</f>
        <v/>
      </c>
      <c r="O1574" s="13">
        <f>IF($M1574="","",IFERROR(INDEX(Desig_Levels,MATCH($M1574,Desig_Codes,0)),""))</f>
        <v/>
      </c>
      <c r="P1574" s="12" t="n"/>
      <c r="Q1574" s="12" t="n"/>
      <c r="R1574" s="12" t="n"/>
      <c r="S1574" s="13">
        <f>IF($R1574="","",IFERROR(INDEX(Emp_Names,MATCH($R1574,Emp_Codes,0)),"NOT FOUND"))</f>
        <v/>
      </c>
      <c r="T1574" s="12" t="n"/>
      <c r="U1574" s="12" t="n"/>
      <c r="V1574" s="12" t="n"/>
    </row>
    <row r="1575">
      <c r="A1575" s="12" t="n"/>
      <c r="B1575" s="12" t="n"/>
      <c r="C1575" s="12" t="n"/>
      <c r="D1575" s="13">
        <f>IF($A1575="","",TRIM($B1575&amp;" "&amp;$C1575))</f>
        <v/>
      </c>
      <c r="E1575" s="12" t="n"/>
      <c r="F1575" s="12" t="n"/>
      <c r="G1575" s="14" t="n"/>
      <c r="H1575" s="14" t="n"/>
      <c r="I1575" s="12" t="n"/>
      <c r="J1575" s="14" t="n"/>
      <c r="K1575" s="12" t="n"/>
      <c r="L1575" s="13">
        <f>IF($K1575="","",IFERROR(INDEX(Dept_Names,MATCH($K1575,Dept_Codes,0)),"NOT FOUND"))</f>
        <v/>
      </c>
      <c r="M1575" s="12" t="n"/>
      <c r="N1575" s="13">
        <f>IF($M1575="","",IFERROR(INDEX(Desig_Names,MATCH($M1575,Desig_Codes,0)),"NOT FOUND"))</f>
        <v/>
      </c>
      <c r="O1575" s="13">
        <f>IF($M1575="","",IFERROR(INDEX(Desig_Levels,MATCH($M1575,Desig_Codes,0)),""))</f>
        <v/>
      </c>
      <c r="P1575" s="12" t="n"/>
      <c r="Q1575" s="12" t="n"/>
      <c r="R1575" s="12" t="n"/>
      <c r="S1575" s="13">
        <f>IF($R1575="","",IFERROR(INDEX(Emp_Names,MATCH($R1575,Emp_Codes,0)),"NOT FOUND"))</f>
        <v/>
      </c>
      <c r="T1575" s="12" t="n"/>
      <c r="U1575" s="12" t="n"/>
      <c r="V1575" s="12" t="n"/>
    </row>
    <row r="1576">
      <c r="A1576" s="12" t="n"/>
      <c r="B1576" s="12" t="n"/>
      <c r="C1576" s="12" t="n"/>
      <c r="D1576" s="13">
        <f>IF($A1576="","",TRIM($B1576&amp;" "&amp;$C1576))</f>
        <v/>
      </c>
      <c r="E1576" s="12" t="n"/>
      <c r="F1576" s="12" t="n"/>
      <c r="G1576" s="14" t="n"/>
      <c r="H1576" s="14" t="n"/>
      <c r="I1576" s="12" t="n"/>
      <c r="J1576" s="14" t="n"/>
      <c r="K1576" s="12" t="n"/>
      <c r="L1576" s="13">
        <f>IF($K1576="","",IFERROR(INDEX(Dept_Names,MATCH($K1576,Dept_Codes,0)),"NOT FOUND"))</f>
        <v/>
      </c>
      <c r="M1576" s="12" t="n"/>
      <c r="N1576" s="13">
        <f>IF($M1576="","",IFERROR(INDEX(Desig_Names,MATCH($M1576,Desig_Codes,0)),"NOT FOUND"))</f>
        <v/>
      </c>
      <c r="O1576" s="13">
        <f>IF($M1576="","",IFERROR(INDEX(Desig_Levels,MATCH($M1576,Desig_Codes,0)),""))</f>
        <v/>
      </c>
      <c r="P1576" s="12" t="n"/>
      <c r="Q1576" s="12" t="n"/>
      <c r="R1576" s="12" t="n"/>
      <c r="S1576" s="13">
        <f>IF($R1576="","",IFERROR(INDEX(Emp_Names,MATCH($R1576,Emp_Codes,0)),"NOT FOUND"))</f>
        <v/>
      </c>
      <c r="T1576" s="12" t="n"/>
      <c r="U1576" s="12" t="n"/>
      <c r="V1576" s="12" t="n"/>
    </row>
    <row r="1577">
      <c r="A1577" s="12" t="n"/>
      <c r="B1577" s="12" t="n"/>
      <c r="C1577" s="12" t="n"/>
      <c r="D1577" s="13">
        <f>IF($A1577="","",TRIM($B1577&amp;" "&amp;$C1577))</f>
        <v/>
      </c>
      <c r="E1577" s="12" t="n"/>
      <c r="F1577" s="12" t="n"/>
      <c r="G1577" s="14" t="n"/>
      <c r="H1577" s="14" t="n"/>
      <c r="I1577" s="12" t="n"/>
      <c r="J1577" s="14" t="n"/>
      <c r="K1577" s="12" t="n"/>
      <c r="L1577" s="13">
        <f>IF($K1577="","",IFERROR(INDEX(Dept_Names,MATCH($K1577,Dept_Codes,0)),"NOT FOUND"))</f>
        <v/>
      </c>
      <c r="M1577" s="12" t="n"/>
      <c r="N1577" s="13">
        <f>IF($M1577="","",IFERROR(INDEX(Desig_Names,MATCH($M1577,Desig_Codes,0)),"NOT FOUND"))</f>
        <v/>
      </c>
      <c r="O1577" s="13">
        <f>IF($M1577="","",IFERROR(INDEX(Desig_Levels,MATCH($M1577,Desig_Codes,0)),""))</f>
        <v/>
      </c>
      <c r="P1577" s="12" t="n"/>
      <c r="Q1577" s="12" t="n"/>
      <c r="R1577" s="12" t="n"/>
      <c r="S1577" s="13">
        <f>IF($R1577="","",IFERROR(INDEX(Emp_Names,MATCH($R1577,Emp_Codes,0)),"NOT FOUND"))</f>
        <v/>
      </c>
      <c r="T1577" s="12" t="n"/>
      <c r="U1577" s="12" t="n"/>
      <c r="V1577" s="12" t="n"/>
    </row>
    <row r="1578">
      <c r="A1578" s="12" t="n"/>
      <c r="B1578" s="12" t="n"/>
      <c r="C1578" s="12" t="n"/>
      <c r="D1578" s="13">
        <f>IF($A1578="","",TRIM($B1578&amp;" "&amp;$C1578))</f>
        <v/>
      </c>
      <c r="E1578" s="12" t="n"/>
      <c r="F1578" s="12" t="n"/>
      <c r="G1578" s="14" t="n"/>
      <c r="H1578" s="14" t="n"/>
      <c r="I1578" s="12" t="n"/>
      <c r="J1578" s="14" t="n"/>
      <c r="K1578" s="12" t="n"/>
      <c r="L1578" s="13">
        <f>IF($K1578="","",IFERROR(INDEX(Dept_Names,MATCH($K1578,Dept_Codes,0)),"NOT FOUND"))</f>
        <v/>
      </c>
      <c r="M1578" s="12" t="n"/>
      <c r="N1578" s="13">
        <f>IF($M1578="","",IFERROR(INDEX(Desig_Names,MATCH($M1578,Desig_Codes,0)),"NOT FOUND"))</f>
        <v/>
      </c>
      <c r="O1578" s="13">
        <f>IF($M1578="","",IFERROR(INDEX(Desig_Levels,MATCH($M1578,Desig_Codes,0)),""))</f>
        <v/>
      </c>
      <c r="P1578" s="12" t="n"/>
      <c r="Q1578" s="12" t="n"/>
      <c r="R1578" s="12" t="n"/>
      <c r="S1578" s="13">
        <f>IF($R1578="","",IFERROR(INDEX(Emp_Names,MATCH($R1578,Emp_Codes,0)),"NOT FOUND"))</f>
        <v/>
      </c>
      <c r="T1578" s="12" t="n"/>
      <c r="U1578" s="12" t="n"/>
      <c r="V1578" s="12" t="n"/>
    </row>
    <row r="1579">
      <c r="A1579" s="12" t="n"/>
      <c r="B1579" s="12" t="n"/>
      <c r="C1579" s="12" t="n"/>
      <c r="D1579" s="13">
        <f>IF($A1579="","",TRIM($B1579&amp;" "&amp;$C1579))</f>
        <v/>
      </c>
      <c r="E1579" s="12" t="n"/>
      <c r="F1579" s="12" t="n"/>
      <c r="G1579" s="14" t="n"/>
      <c r="H1579" s="14" t="n"/>
      <c r="I1579" s="12" t="n"/>
      <c r="J1579" s="14" t="n"/>
      <c r="K1579" s="12" t="n"/>
      <c r="L1579" s="13">
        <f>IF($K1579="","",IFERROR(INDEX(Dept_Names,MATCH($K1579,Dept_Codes,0)),"NOT FOUND"))</f>
        <v/>
      </c>
      <c r="M1579" s="12" t="n"/>
      <c r="N1579" s="13">
        <f>IF($M1579="","",IFERROR(INDEX(Desig_Names,MATCH($M1579,Desig_Codes,0)),"NOT FOUND"))</f>
        <v/>
      </c>
      <c r="O1579" s="13">
        <f>IF($M1579="","",IFERROR(INDEX(Desig_Levels,MATCH($M1579,Desig_Codes,0)),""))</f>
        <v/>
      </c>
      <c r="P1579" s="12" t="n"/>
      <c r="Q1579" s="12" t="n"/>
      <c r="R1579" s="12" t="n"/>
      <c r="S1579" s="13">
        <f>IF($R1579="","",IFERROR(INDEX(Emp_Names,MATCH($R1579,Emp_Codes,0)),"NOT FOUND"))</f>
        <v/>
      </c>
      <c r="T1579" s="12" t="n"/>
      <c r="U1579" s="12" t="n"/>
      <c r="V1579" s="12" t="n"/>
    </row>
    <row r="1580">
      <c r="A1580" s="12" t="n"/>
      <c r="B1580" s="12" t="n"/>
      <c r="C1580" s="12" t="n"/>
      <c r="D1580" s="13">
        <f>IF($A1580="","",TRIM($B1580&amp;" "&amp;$C1580))</f>
        <v/>
      </c>
      <c r="E1580" s="12" t="n"/>
      <c r="F1580" s="12" t="n"/>
      <c r="G1580" s="14" t="n"/>
      <c r="H1580" s="14" t="n"/>
      <c r="I1580" s="12" t="n"/>
      <c r="J1580" s="14" t="n"/>
      <c r="K1580" s="12" t="n"/>
      <c r="L1580" s="13">
        <f>IF($K1580="","",IFERROR(INDEX(Dept_Names,MATCH($K1580,Dept_Codes,0)),"NOT FOUND"))</f>
        <v/>
      </c>
      <c r="M1580" s="12" t="n"/>
      <c r="N1580" s="13">
        <f>IF($M1580="","",IFERROR(INDEX(Desig_Names,MATCH($M1580,Desig_Codes,0)),"NOT FOUND"))</f>
        <v/>
      </c>
      <c r="O1580" s="13">
        <f>IF($M1580="","",IFERROR(INDEX(Desig_Levels,MATCH($M1580,Desig_Codes,0)),""))</f>
        <v/>
      </c>
      <c r="P1580" s="12" t="n"/>
      <c r="Q1580" s="12" t="n"/>
      <c r="R1580" s="12" t="n"/>
      <c r="S1580" s="13">
        <f>IF($R1580="","",IFERROR(INDEX(Emp_Names,MATCH($R1580,Emp_Codes,0)),"NOT FOUND"))</f>
        <v/>
      </c>
      <c r="T1580" s="12" t="n"/>
      <c r="U1580" s="12" t="n"/>
      <c r="V1580" s="12" t="n"/>
    </row>
    <row r="1581">
      <c r="A1581" s="12" t="n"/>
      <c r="B1581" s="12" t="n"/>
      <c r="C1581" s="12" t="n"/>
      <c r="D1581" s="13">
        <f>IF($A1581="","",TRIM($B1581&amp;" "&amp;$C1581))</f>
        <v/>
      </c>
      <c r="E1581" s="12" t="n"/>
      <c r="F1581" s="12" t="n"/>
      <c r="G1581" s="14" t="n"/>
      <c r="H1581" s="14" t="n"/>
      <c r="I1581" s="12" t="n"/>
      <c r="J1581" s="14" t="n"/>
      <c r="K1581" s="12" t="n"/>
      <c r="L1581" s="13">
        <f>IF($K1581="","",IFERROR(INDEX(Dept_Names,MATCH($K1581,Dept_Codes,0)),"NOT FOUND"))</f>
        <v/>
      </c>
      <c r="M1581" s="12" t="n"/>
      <c r="N1581" s="13">
        <f>IF($M1581="","",IFERROR(INDEX(Desig_Names,MATCH($M1581,Desig_Codes,0)),"NOT FOUND"))</f>
        <v/>
      </c>
      <c r="O1581" s="13">
        <f>IF($M1581="","",IFERROR(INDEX(Desig_Levels,MATCH($M1581,Desig_Codes,0)),""))</f>
        <v/>
      </c>
      <c r="P1581" s="12" t="n"/>
      <c r="Q1581" s="12" t="n"/>
      <c r="R1581" s="12" t="n"/>
      <c r="S1581" s="13">
        <f>IF($R1581="","",IFERROR(INDEX(Emp_Names,MATCH($R1581,Emp_Codes,0)),"NOT FOUND"))</f>
        <v/>
      </c>
      <c r="T1581" s="12" t="n"/>
      <c r="U1581" s="12" t="n"/>
      <c r="V1581" s="12" t="n"/>
    </row>
    <row r="1582">
      <c r="A1582" s="12" t="n"/>
      <c r="B1582" s="12" t="n"/>
      <c r="C1582" s="12" t="n"/>
      <c r="D1582" s="13">
        <f>IF($A1582="","",TRIM($B1582&amp;" "&amp;$C1582))</f>
        <v/>
      </c>
      <c r="E1582" s="12" t="n"/>
      <c r="F1582" s="12" t="n"/>
      <c r="G1582" s="14" t="n"/>
      <c r="H1582" s="14" t="n"/>
      <c r="I1582" s="12" t="n"/>
      <c r="J1582" s="14" t="n"/>
      <c r="K1582" s="12" t="n"/>
      <c r="L1582" s="13">
        <f>IF($K1582="","",IFERROR(INDEX(Dept_Names,MATCH($K1582,Dept_Codes,0)),"NOT FOUND"))</f>
        <v/>
      </c>
      <c r="M1582" s="12" t="n"/>
      <c r="N1582" s="13">
        <f>IF($M1582="","",IFERROR(INDEX(Desig_Names,MATCH($M1582,Desig_Codes,0)),"NOT FOUND"))</f>
        <v/>
      </c>
      <c r="O1582" s="13">
        <f>IF($M1582="","",IFERROR(INDEX(Desig_Levels,MATCH($M1582,Desig_Codes,0)),""))</f>
        <v/>
      </c>
      <c r="P1582" s="12" t="n"/>
      <c r="Q1582" s="12" t="n"/>
      <c r="R1582" s="12" t="n"/>
      <c r="S1582" s="13">
        <f>IF($R1582="","",IFERROR(INDEX(Emp_Names,MATCH($R1582,Emp_Codes,0)),"NOT FOUND"))</f>
        <v/>
      </c>
      <c r="T1582" s="12" t="n"/>
      <c r="U1582" s="12" t="n"/>
      <c r="V1582" s="12" t="n"/>
    </row>
    <row r="1583">
      <c r="A1583" s="12" t="n"/>
      <c r="B1583" s="12" t="n"/>
      <c r="C1583" s="12" t="n"/>
      <c r="D1583" s="13">
        <f>IF($A1583="","",TRIM($B1583&amp;" "&amp;$C1583))</f>
        <v/>
      </c>
      <c r="E1583" s="12" t="n"/>
      <c r="F1583" s="12" t="n"/>
      <c r="G1583" s="14" t="n"/>
      <c r="H1583" s="14" t="n"/>
      <c r="I1583" s="12" t="n"/>
      <c r="J1583" s="14" t="n"/>
      <c r="K1583" s="12" t="n"/>
      <c r="L1583" s="13">
        <f>IF($K1583="","",IFERROR(INDEX(Dept_Names,MATCH($K1583,Dept_Codes,0)),"NOT FOUND"))</f>
        <v/>
      </c>
      <c r="M1583" s="12" t="n"/>
      <c r="N1583" s="13">
        <f>IF($M1583="","",IFERROR(INDEX(Desig_Names,MATCH($M1583,Desig_Codes,0)),"NOT FOUND"))</f>
        <v/>
      </c>
      <c r="O1583" s="13">
        <f>IF($M1583="","",IFERROR(INDEX(Desig_Levels,MATCH($M1583,Desig_Codes,0)),""))</f>
        <v/>
      </c>
      <c r="P1583" s="12" t="n"/>
      <c r="Q1583" s="12" t="n"/>
      <c r="R1583" s="12" t="n"/>
      <c r="S1583" s="13">
        <f>IF($R1583="","",IFERROR(INDEX(Emp_Names,MATCH($R1583,Emp_Codes,0)),"NOT FOUND"))</f>
        <v/>
      </c>
      <c r="T1583" s="12" t="n"/>
      <c r="U1583" s="12" t="n"/>
      <c r="V1583" s="12" t="n"/>
    </row>
    <row r="1584">
      <c r="A1584" s="12" t="n"/>
      <c r="B1584" s="12" t="n"/>
      <c r="C1584" s="12" t="n"/>
      <c r="D1584" s="13">
        <f>IF($A1584="","",TRIM($B1584&amp;" "&amp;$C1584))</f>
        <v/>
      </c>
      <c r="E1584" s="12" t="n"/>
      <c r="F1584" s="12" t="n"/>
      <c r="G1584" s="14" t="n"/>
      <c r="H1584" s="14" t="n"/>
      <c r="I1584" s="12" t="n"/>
      <c r="J1584" s="14" t="n"/>
      <c r="K1584" s="12" t="n"/>
      <c r="L1584" s="13">
        <f>IF($K1584="","",IFERROR(INDEX(Dept_Names,MATCH($K1584,Dept_Codes,0)),"NOT FOUND"))</f>
        <v/>
      </c>
      <c r="M1584" s="12" t="n"/>
      <c r="N1584" s="13">
        <f>IF($M1584="","",IFERROR(INDEX(Desig_Names,MATCH($M1584,Desig_Codes,0)),"NOT FOUND"))</f>
        <v/>
      </c>
      <c r="O1584" s="13">
        <f>IF($M1584="","",IFERROR(INDEX(Desig_Levels,MATCH($M1584,Desig_Codes,0)),""))</f>
        <v/>
      </c>
      <c r="P1584" s="12" t="n"/>
      <c r="Q1584" s="12" t="n"/>
      <c r="R1584" s="12" t="n"/>
      <c r="S1584" s="13">
        <f>IF($R1584="","",IFERROR(INDEX(Emp_Names,MATCH($R1584,Emp_Codes,0)),"NOT FOUND"))</f>
        <v/>
      </c>
      <c r="T1584" s="12" t="n"/>
      <c r="U1584" s="12" t="n"/>
      <c r="V1584" s="12" t="n"/>
    </row>
    <row r="1585">
      <c r="A1585" s="12" t="n"/>
      <c r="B1585" s="12" t="n"/>
      <c r="C1585" s="12" t="n"/>
      <c r="D1585" s="13">
        <f>IF($A1585="","",TRIM($B1585&amp;" "&amp;$C1585))</f>
        <v/>
      </c>
      <c r="E1585" s="12" t="n"/>
      <c r="F1585" s="12" t="n"/>
      <c r="G1585" s="14" t="n"/>
      <c r="H1585" s="14" t="n"/>
      <c r="I1585" s="12" t="n"/>
      <c r="J1585" s="14" t="n"/>
      <c r="K1585" s="12" t="n"/>
      <c r="L1585" s="13">
        <f>IF($K1585="","",IFERROR(INDEX(Dept_Names,MATCH($K1585,Dept_Codes,0)),"NOT FOUND"))</f>
        <v/>
      </c>
      <c r="M1585" s="12" t="n"/>
      <c r="N1585" s="13">
        <f>IF($M1585="","",IFERROR(INDEX(Desig_Names,MATCH($M1585,Desig_Codes,0)),"NOT FOUND"))</f>
        <v/>
      </c>
      <c r="O1585" s="13">
        <f>IF($M1585="","",IFERROR(INDEX(Desig_Levels,MATCH($M1585,Desig_Codes,0)),""))</f>
        <v/>
      </c>
      <c r="P1585" s="12" t="n"/>
      <c r="Q1585" s="12" t="n"/>
      <c r="R1585" s="12" t="n"/>
      <c r="S1585" s="13">
        <f>IF($R1585="","",IFERROR(INDEX(Emp_Names,MATCH($R1585,Emp_Codes,0)),"NOT FOUND"))</f>
        <v/>
      </c>
      <c r="T1585" s="12" t="n"/>
      <c r="U1585" s="12" t="n"/>
      <c r="V1585" s="12" t="n"/>
    </row>
    <row r="1586">
      <c r="A1586" s="12" t="n"/>
      <c r="B1586" s="12" t="n"/>
      <c r="C1586" s="12" t="n"/>
      <c r="D1586" s="13">
        <f>IF($A1586="","",TRIM($B1586&amp;" "&amp;$C1586))</f>
        <v/>
      </c>
      <c r="E1586" s="12" t="n"/>
      <c r="F1586" s="12" t="n"/>
      <c r="G1586" s="14" t="n"/>
      <c r="H1586" s="14" t="n"/>
      <c r="I1586" s="12" t="n"/>
      <c r="J1586" s="14" t="n"/>
      <c r="K1586" s="12" t="n"/>
      <c r="L1586" s="13">
        <f>IF($K1586="","",IFERROR(INDEX(Dept_Names,MATCH($K1586,Dept_Codes,0)),"NOT FOUND"))</f>
        <v/>
      </c>
      <c r="M1586" s="12" t="n"/>
      <c r="N1586" s="13">
        <f>IF($M1586="","",IFERROR(INDEX(Desig_Names,MATCH($M1586,Desig_Codes,0)),"NOT FOUND"))</f>
        <v/>
      </c>
      <c r="O1586" s="13">
        <f>IF($M1586="","",IFERROR(INDEX(Desig_Levels,MATCH($M1586,Desig_Codes,0)),""))</f>
        <v/>
      </c>
      <c r="P1586" s="12" t="n"/>
      <c r="Q1586" s="12" t="n"/>
      <c r="R1586" s="12" t="n"/>
      <c r="S1586" s="13">
        <f>IF($R1586="","",IFERROR(INDEX(Emp_Names,MATCH($R1586,Emp_Codes,0)),"NOT FOUND"))</f>
        <v/>
      </c>
      <c r="T1586" s="12" t="n"/>
      <c r="U1586" s="12" t="n"/>
      <c r="V1586" s="12" t="n"/>
    </row>
    <row r="1587">
      <c r="A1587" s="12" t="n"/>
      <c r="B1587" s="12" t="n"/>
      <c r="C1587" s="12" t="n"/>
      <c r="D1587" s="13">
        <f>IF($A1587="","",TRIM($B1587&amp;" "&amp;$C1587))</f>
        <v/>
      </c>
      <c r="E1587" s="12" t="n"/>
      <c r="F1587" s="12" t="n"/>
      <c r="G1587" s="14" t="n"/>
      <c r="H1587" s="14" t="n"/>
      <c r="I1587" s="12" t="n"/>
      <c r="J1587" s="14" t="n"/>
      <c r="K1587" s="12" t="n"/>
      <c r="L1587" s="13">
        <f>IF($K1587="","",IFERROR(INDEX(Dept_Names,MATCH($K1587,Dept_Codes,0)),"NOT FOUND"))</f>
        <v/>
      </c>
      <c r="M1587" s="12" t="n"/>
      <c r="N1587" s="13">
        <f>IF($M1587="","",IFERROR(INDEX(Desig_Names,MATCH($M1587,Desig_Codes,0)),"NOT FOUND"))</f>
        <v/>
      </c>
      <c r="O1587" s="13">
        <f>IF($M1587="","",IFERROR(INDEX(Desig_Levels,MATCH($M1587,Desig_Codes,0)),""))</f>
        <v/>
      </c>
      <c r="P1587" s="12" t="n"/>
      <c r="Q1587" s="12" t="n"/>
      <c r="R1587" s="12" t="n"/>
      <c r="S1587" s="13">
        <f>IF($R1587="","",IFERROR(INDEX(Emp_Names,MATCH($R1587,Emp_Codes,0)),"NOT FOUND"))</f>
        <v/>
      </c>
      <c r="T1587" s="12" t="n"/>
      <c r="U1587" s="12" t="n"/>
      <c r="V1587" s="12" t="n"/>
    </row>
    <row r="1588">
      <c r="A1588" s="12" t="n"/>
      <c r="B1588" s="12" t="n"/>
      <c r="C1588" s="12" t="n"/>
      <c r="D1588" s="13">
        <f>IF($A1588="","",TRIM($B1588&amp;" "&amp;$C1588))</f>
        <v/>
      </c>
      <c r="E1588" s="12" t="n"/>
      <c r="F1588" s="12" t="n"/>
      <c r="G1588" s="14" t="n"/>
      <c r="H1588" s="14" t="n"/>
      <c r="I1588" s="12" t="n"/>
      <c r="J1588" s="14" t="n"/>
      <c r="K1588" s="12" t="n"/>
      <c r="L1588" s="13">
        <f>IF($K1588="","",IFERROR(INDEX(Dept_Names,MATCH($K1588,Dept_Codes,0)),"NOT FOUND"))</f>
        <v/>
      </c>
      <c r="M1588" s="12" t="n"/>
      <c r="N1588" s="13">
        <f>IF($M1588="","",IFERROR(INDEX(Desig_Names,MATCH($M1588,Desig_Codes,0)),"NOT FOUND"))</f>
        <v/>
      </c>
      <c r="O1588" s="13">
        <f>IF($M1588="","",IFERROR(INDEX(Desig_Levels,MATCH($M1588,Desig_Codes,0)),""))</f>
        <v/>
      </c>
      <c r="P1588" s="12" t="n"/>
      <c r="Q1588" s="12" t="n"/>
      <c r="R1588" s="12" t="n"/>
      <c r="S1588" s="13">
        <f>IF($R1588="","",IFERROR(INDEX(Emp_Names,MATCH($R1588,Emp_Codes,0)),"NOT FOUND"))</f>
        <v/>
      </c>
      <c r="T1588" s="12" t="n"/>
      <c r="U1588" s="12" t="n"/>
      <c r="V1588" s="12" t="n"/>
    </row>
    <row r="1589">
      <c r="A1589" s="12" t="n"/>
      <c r="B1589" s="12" t="n"/>
      <c r="C1589" s="12" t="n"/>
      <c r="D1589" s="13">
        <f>IF($A1589="","",TRIM($B1589&amp;" "&amp;$C1589))</f>
        <v/>
      </c>
      <c r="E1589" s="12" t="n"/>
      <c r="F1589" s="12" t="n"/>
      <c r="G1589" s="14" t="n"/>
      <c r="H1589" s="14" t="n"/>
      <c r="I1589" s="12" t="n"/>
      <c r="J1589" s="14" t="n"/>
      <c r="K1589" s="12" t="n"/>
      <c r="L1589" s="13">
        <f>IF($K1589="","",IFERROR(INDEX(Dept_Names,MATCH($K1589,Dept_Codes,0)),"NOT FOUND"))</f>
        <v/>
      </c>
      <c r="M1589" s="12" t="n"/>
      <c r="N1589" s="13">
        <f>IF($M1589="","",IFERROR(INDEX(Desig_Names,MATCH($M1589,Desig_Codes,0)),"NOT FOUND"))</f>
        <v/>
      </c>
      <c r="O1589" s="13">
        <f>IF($M1589="","",IFERROR(INDEX(Desig_Levels,MATCH($M1589,Desig_Codes,0)),""))</f>
        <v/>
      </c>
      <c r="P1589" s="12" t="n"/>
      <c r="Q1589" s="12" t="n"/>
      <c r="R1589" s="12" t="n"/>
      <c r="S1589" s="13">
        <f>IF($R1589="","",IFERROR(INDEX(Emp_Names,MATCH($R1589,Emp_Codes,0)),"NOT FOUND"))</f>
        <v/>
      </c>
      <c r="T1589" s="12" t="n"/>
      <c r="U1589" s="12" t="n"/>
      <c r="V1589" s="12" t="n"/>
    </row>
    <row r="1590">
      <c r="A1590" s="12" t="n"/>
      <c r="B1590" s="12" t="n"/>
      <c r="C1590" s="12" t="n"/>
      <c r="D1590" s="13">
        <f>IF($A1590="","",TRIM($B1590&amp;" "&amp;$C1590))</f>
        <v/>
      </c>
      <c r="E1590" s="12" t="n"/>
      <c r="F1590" s="12" t="n"/>
      <c r="G1590" s="14" t="n"/>
      <c r="H1590" s="14" t="n"/>
      <c r="I1590" s="12" t="n"/>
      <c r="J1590" s="14" t="n"/>
      <c r="K1590" s="12" t="n"/>
      <c r="L1590" s="13">
        <f>IF($K1590="","",IFERROR(INDEX(Dept_Names,MATCH($K1590,Dept_Codes,0)),"NOT FOUND"))</f>
        <v/>
      </c>
      <c r="M1590" s="12" t="n"/>
      <c r="N1590" s="13">
        <f>IF($M1590="","",IFERROR(INDEX(Desig_Names,MATCH($M1590,Desig_Codes,0)),"NOT FOUND"))</f>
        <v/>
      </c>
      <c r="O1590" s="13">
        <f>IF($M1590="","",IFERROR(INDEX(Desig_Levels,MATCH($M1590,Desig_Codes,0)),""))</f>
        <v/>
      </c>
      <c r="P1590" s="12" t="n"/>
      <c r="Q1590" s="12" t="n"/>
      <c r="R1590" s="12" t="n"/>
      <c r="S1590" s="13">
        <f>IF($R1590="","",IFERROR(INDEX(Emp_Names,MATCH($R1590,Emp_Codes,0)),"NOT FOUND"))</f>
        <v/>
      </c>
      <c r="T1590" s="12" t="n"/>
      <c r="U1590" s="12" t="n"/>
      <c r="V1590" s="12" t="n"/>
    </row>
    <row r="1591">
      <c r="A1591" s="12" t="n"/>
      <c r="B1591" s="12" t="n"/>
      <c r="C1591" s="12" t="n"/>
      <c r="D1591" s="13">
        <f>IF($A1591="","",TRIM($B1591&amp;" "&amp;$C1591))</f>
        <v/>
      </c>
      <c r="E1591" s="12" t="n"/>
      <c r="F1591" s="12" t="n"/>
      <c r="G1591" s="14" t="n"/>
      <c r="H1591" s="14" t="n"/>
      <c r="I1591" s="12" t="n"/>
      <c r="J1591" s="14" t="n"/>
      <c r="K1591" s="12" t="n"/>
      <c r="L1591" s="13">
        <f>IF($K1591="","",IFERROR(INDEX(Dept_Names,MATCH($K1591,Dept_Codes,0)),"NOT FOUND"))</f>
        <v/>
      </c>
      <c r="M1591" s="12" t="n"/>
      <c r="N1591" s="13">
        <f>IF($M1591="","",IFERROR(INDEX(Desig_Names,MATCH($M1591,Desig_Codes,0)),"NOT FOUND"))</f>
        <v/>
      </c>
      <c r="O1591" s="13">
        <f>IF($M1591="","",IFERROR(INDEX(Desig_Levels,MATCH($M1591,Desig_Codes,0)),""))</f>
        <v/>
      </c>
      <c r="P1591" s="12" t="n"/>
      <c r="Q1591" s="12" t="n"/>
      <c r="R1591" s="12" t="n"/>
      <c r="S1591" s="13">
        <f>IF($R1591="","",IFERROR(INDEX(Emp_Names,MATCH($R1591,Emp_Codes,0)),"NOT FOUND"))</f>
        <v/>
      </c>
      <c r="T1591" s="12" t="n"/>
      <c r="U1591" s="12" t="n"/>
      <c r="V1591" s="12" t="n"/>
    </row>
    <row r="1592">
      <c r="A1592" s="12" t="n"/>
      <c r="B1592" s="12" t="n"/>
      <c r="C1592" s="12" t="n"/>
      <c r="D1592" s="13">
        <f>IF($A1592="","",TRIM($B1592&amp;" "&amp;$C1592))</f>
        <v/>
      </c>
      <c r="E1592" s="12" t="n"/>
      <c r="F1592" s="12" t="n"/>
      <c r="G1592" s="14" t="n"/>
      <c r="H1592" s="14" t="n"/>
      <c r="I1592" s="12" t="n"/>
      <c r="J1592" s="14" t="n"/>
      <c r="K1592" s="12" t="n"/>
      <c r="L1592" s="13">
        <f>IF($K1592="","",IFERROR(INDEX(Dept_Names,MATCH($K1592,Dept_Codes,0)),"NOT FOUND"))</f>
        <v/>
      </c>
      <c r="M1592" s="12" t="n"/>
      <c r="N1592" s="13">
        <f>IF($M1592="","",IFERROR(INDEX(Desig_Names,MATCH($M1592,Desig_Codes,0)),"NOT FOUND"))</f>
        <v/>
      </c>
      <c r="O1592" s="13">
        <f>IF($M1592="","",IFERROR(INDEX(Desig_Levels,MATCH($M1592,Desig_Codes,0)),""))</f>
        <v/>
      </c>
      <c r="P1592" s="12" t="n"/>
      <c r="Q1592" s="12" t="n"/>
      <c r="R1592" s="12" t="n"/>
      <c r="S1592" s="13">
        <f>IF($R1592="","",IFERROR(INDEX(Emp_Names,MATCH($R1592,Emp_Codes,0)),"NOT FOUND"))</f>
        <v/>
      </c>
      <c r="T1592" s="12" t="n"/>
      <c r="U1592" s="12" t="n"/>
      <c r="V1592" s="12" t="n"/>
    </row>
    <row r="1593">
      <c r="A1593" s="12" t="n"/>
      <c r="B1593" s="12" t="n"/>
      <c r="C1593" s="12" t="n"/>
      <c r="D1593" s="13">
        <f>IF($A1593="","",TRIM($B1593&amp;" "&amp;$C1593))</f>
        <v/>
      </c>
      <c r="E1593" s="12" t="n"/>
      <c r="F1593" s="12" t="n"/>
      <c r="G1593" s="14" t="n"/>
      <c r="H1593" s="14" t="n"/>
      <c r="I1593" s="12" t="n"/>
      <c r="J1593" s="14" t="n"/>
      <c r="K1593" s="12" t="n"/>
      <c r="L1593" s="13">
        <f>IF($K1593="","",IFERROR(INDEX(Dept_Names,MATCH($K1593,Dept_Codes,0)),"NOT FOUND"))</f>
        <v/>
      </c>
      <c r="M1593" s="12" t="n"/>
      <c r="N1593" s="13">
        <f>IF($M1593="","",IFERROR(INDEX(Desig_Names,MATCH($M1593,Desig_Codes,0)),"NOT FOUND"))</f>
        <v/>
      </c>
      <c r="O1593" s="13">
        <f>IF($M1593="","",IFERROR(INDEX(Desig_Levels,MATCH($M1593,Desig_Codes,0)),""))</f>
        <v/>
      </c>
      <c r="P1593" s="12" t="n"/>
      <c r="Q1593" s="12" t="n"/>
      <c r="R1593" s="12" t="n"/>
      <c r="S1593" s="13">
        <f>IF($R1593="","",IFERROR(INDEX(Emp_Names,MATCH($R1593,Emp_Codes,0)),"NOT FOUND"))</f>
        <v/>
      </c>
      <c r="T1593" s="12" t="n"/>
      <c r="U1593" s="12" t="n"/>
      <c r="V1593" s="12" t="n"/>
    </row>
    <row r="1594">
      <c r="A1594" s="12" t="n"/>
      <c r="B1594" s="12" t="n"/>
      <c r="C1594" s="12" t="n"/>
      <c r="D1594" s="13">
        <f>IF($A1594="","",TRIM($B1594&amp;" "&amp;$C1594))</f>
        <v/>
      </c>
      <c r="E1594" s="12" t="n"/>
      <c r="F1594" s="12" t="n"/>
      <c r="G1594" s="14" t="n"/>
      <c r="H1594" s="14" t="n"/>
      <c r="I1594" s="12" t="n"/>
      <c r="J1594" s="14" t="n"/>
      <c r="K1594" s="12" t="n"/>
      <c r="L1594" s="13">
        <f>IF($K1594="","",IFERROR(INDEX(Dept_Names,MATCH($K1594,Dept_Codes,0)),"NOT FOUND"))</f>
        <v/>
      </c>
      <c r="M1594" s="12" t="n"/>
      <c r="N1594" s="13">
        <f>IF($M1594="","",IFERROR(INDEX(Desig_Names,MATCH($M1594,Desig_Codes,0)),"NOT FOUND"))</f>
        <v/>
      </c>
      <c r="O1594" s="13">
        <f>IF($M1594="","",IFERROR(INDEX(Desig_Levels,MATCH($M1594,Desig_Codes,0)),""))</f>
        <v/>
      </c>
      <c r="P1594" s="12" t="n"/>
      <c r="Q1594" s="12" t="n"/>
      <c r="R1594" s="12" t="n"/>
      <c r="S1594" s="13">
        <f>IF($R1594="","",IFERROR(INDEX(Emp_Names,MATCH($R1594,Emp_Codes,0)),"NOT FOUND"))</f>
        <v/>
      </c>
      <c r="T1594" s="12" t="n"/>
      <c r="U1594" s="12" t="n"/>
      <c r="V1594" s="12" t="n"/>
    </row>
    <row r="1595">
      <c r="A1595" s="12" t="n"/>
      <c r="B1595" s="12" t="n"/>
      <c r="C1595" s="12" t="n"/>
      <c r="D1595" s="13">
        <f>IF($A1595="","",TRIM($B1595&amp;" "&amp;$C1595))</f>
        <v/>
      </c>
      <c r="E1595" s="12" t="n"/>
      <c r="F1595" s="12" t="n"/>
      <c r="G1595" s="14" t="n"/>
      <c r="H1595" s="14" t="n"/>
      <c r="I1595" s="12" t="n"/>
      <c r="J1595" s="14" t="n"/>
      <c r="K1595" s="12" t="n"/>
      <c r="L1595" s="13">
        <f>IF($K1595="","",IFERROR(INDEX(Dept_Names,MATCH($K1595,Dept_Codes,0)),"NOT FOUND"))</f>
        <v/>
      </c>
      <c r="M1595" s="12" t="n"/>
      <c r="N1595" s="13">
        <f>IF($M1595="","",IFERROR(INDEX(Desig_Names,MATCH($M1595,Desig_Codes,0)),"NOT FOUND"))</f>
        <v/>
      </c>
      <c r="O1595" s="13">
        <f>IF($M1595="","",IFERROR(INDEX(Desig_Levels,MATCH($M1595,Desig_Codes,0)),""))</f>
        <v/>
      </c>
      <c r="P1595" s="12" t="n"/>
      <c r="Q1595" s="12" t="n"/>
      <c r="R1595" s="12" t="n"/>
      <c r="S1595" s="13">
        <f>IF($R1595="","",IFERROR(INDEX(Emp_Names,MATCH($R1595,Emp_Codes,0)),"NOT FOUND"))</f>
        <v/>
      </c>
      <c r="T1595" s="12" t="n"/>
      <c r="U1595" s="12" t="n"/>
      <c r="V1595" s="12" t="n"/>
    </row>
    <row r="1596">
      <c r="A1596" s="12" t="n"/>
      <c r="B1596" s="12" t="n"/>
      <c r="C1596" s="12" t="n"/>
      <c r="D1596" s="13">
        <f>IF($A1596="","",TRIM($B1596&amp;" "&amp;$C1596))</f>
        <v/>
      </c>
      <c r="E1596" s="12" t="n"/>
      <c r="F1596" s="12" t="n"/>
      <c r="G1596" s="14" t="n"/>
      <c r="H1596" s="14" t="n"/>
      <c r="I1596" s="12" t="n"/>
      <c r="J1596" s="14" t="n"/>
      <c r="K1596" s="12" t="n"/>
      <c r="L1596" s="13">
        <f>IF($K1596="","",IFERROR(INDEX(Dept_Names,MATCH($K1596,Dept_Codes,0)),"NOT FOUND"))</f>
        <v/>
      </c>
      <c r="M1596" s="12" t="n"/>
      <c r="N1596" s="13">
        <f>IF($M1596="","",IFERROR(INDEX(Desig_Names,MATCH($M1596,Desig_Codes,0)),"NOT FOUND"))</f>
        <v/>
      </c>
      <c r="O1596" s="13">
        <f>IF($M1596="","",IFERROR(INDEX(Desig_Levels,MATCH($M1596,Desig_Codes,0)),""))</f>
        <v/>
      </c>
      <c r="P1596" s="12" t="n"/>
      <c r="Q1596" s="12" t="n"/>
      <c r="R1596" s="12" t="n"/>
      <c r="S1596" s="13">
        <f>IF($R1596="","",IFERROR(INDEX(Emp_Names,MATCH($R1596,Emp_Codes,0)),"NOT FOUND"))</f>
        <v/>
      </c>
      <c r="T1596" s="12" t="n"/>
      <c r="U1596" s="12" t="n"/>
      <c r="V1596" s="12" t="n"/>
    </row>
    <row r="1597">
      <c r="A1597" s="12" t="n"/>
      <c r="B1597" s="12" t="n"/>
      <c r="C1597" s="12" t="n"/>
      <c r="D1597" s="13">
        <f>IF($A1597="","",TRIM($B1597&amp;" "&amp;$C1597))</f>
        <v/>
      </c>
      <c r="E1597" s="12" t="n"/>
      <c r="F1597" s="12" t="n"/>
      <c r="G1597" s="14" t="n"/>
      <c r="H1597" s="14" t="n"/>
      <c r="I1597" s="12" t="n"/>
      <c r="J1597" s="14" t="n"/>
      <c r="K1597" s="12" t="n"/>
      <c r="L1597" s="13">
        <f>IF($K1597="","",IFERROR(INDEX(Dept_Names,MATCH($K1597,Dept_Codes,0)),"NOT FOUND"))</f>
        <v/>
      </c>
      <c r="M1597" s="12" t="n"/>
      <c r="N1597" s="13">
        <f>IF($M1597="","",IFERROR(INDEX(Desig_Names,MATCH($M1597,Desig_Codes,0)),"NOT FOUND"))</f>
        <v/>
      </c>
      <c r="O1597" s="13">
        <f>IF($M1597="","",IFERROR(INDEX(Desig_Levels,MATCH($M1597,Desig_Codes,0)),""))</f>
        <v/>
      </c>
      <c r="P1597" s="12" t="n"/>
      <c r="Q1597" s="12" t="n"/>
      <c r="R1597" s="12" t="n"/>
      <c r="S1597" s="13">
        <f>IF($R1597="","",IFERROR(INDEX(Emp_Names,MATCH($R1597,Emp_Codes,0)),"NOT FOUND"))</f>
        <v/>
      </c>
      <c r="T1597" s="12" t="n"/>
      <c r="U1597" s="12" t="n"/>
      <c r="V1597" s="12" t="n"/>
    </row>
    <row r="1598">
      <c r="A1598" s="12" t="n"/>
      <c r="B1598" s="12" t="n"/>
      <c r="C1598" s="12" t="n"/>
      <c r="D1598" s="13">
        <f>IF($A1598="","",TRIM($B1598&amp;" "&amp;$C1598))</f>
        <v/>
      </c>
      <c r="E1598" s="12" t="n"/>
      <c r="F1598" s="12" t="n"/>
      <c r="G1598" s="14" t="n"/>
      <c r="H1598" s="14" t="n"/>
      <c r="I1598" s="12" t="n"/>
      <c r="J1598" s="14" t="n"/>
      <c r="K1598" s="12" t="n"/>
      <c r="L1598" s="13">
        <f>IF($K1598="","",IFERROR(INDEX(Dept_Names,MATCH($K1598,Dept_Codes,0)),"NOT FOUND"))</f>
        <v/>
      </c>
      <c r="M1598" s="12" t="n"/>
      <c r="N1598" s="13">
        <f>IF($M1598="","",IFERROR(INDEX(Desig_Names,MATCH($M1598,Desig_Codes,0)),"NOT FOUND"))</f>
        <v/>
      </c>
      <c r="O1598" s="13">
        <f>IF($M1598="","",IFERROR(INDEX(Desig_Levels,MATCH($M1598,Desig_Codes,0)),""))</f>
        <v/>
      </c>
      <c r="P1598" s="12" t="n"/>
      <c r="Q1598" s="12" t="n"/>
      <c r="R1598" s="12" t="n"/>
      <c r="S1598" s="13">
        <f>IF($R1598="","",IFERROR(INDEX(Emp_Names,MATCH($R1598,Emp_Codes,0)),"NOT FOUND"))</f>
        <v/>
      </c>
      <c r="T1598" s="12" t="n"/>
      <c r="U1598" s="12" t="n"/>
      <c r="V1598" s="12" t="n"/>
    </row>
    <row r="1599">
      <c r="A1599" s="12" t="n"/>
      <c r="B1599" s="12" t="n"/>
      <c r="C1599" s="12" t="n"/>
      <c r="D1599" s="13">
        <f>IF($A1599="","",TRIM($B1599&amp;" "&amp;$C1599))</f>
        <v/>
      </c>
      <c r="E1599" s="12" t="n"/>
      <c r="F1599" s="12" t="n"/>
      <c r="G1599" s="14" t="n"/>
      <c r="H1599" s="14" t="n"/>
      <c r="I1599" s="12" t="n"/>
      <c r="J1599" s="14" t="n"/>
      <c r="K1599" s="12" t="n"/>
      <c r="L1599" s="13">
        <f>IF($K1599="","",IFERROR(INDEX(Dept_Names,MATCH($K1599,Dept_Codes,0)),"NOT FOUND"))</f>
        <v/>
      </c>
      <c r="M1599" s="12" t="n"/>
      <c r="N1599" s="13">
        <f>IF($M1599="","",IFERROR(INDEX(Desig_Names,MATCH($M1599,Desig_Codes,0)),"NOT FOUND"))</f>
        <v/>
      </c>
      <c r="O1599" s="13">
        <f>IF($M1599="","",IFERROR(INDEX(Desig_Levels,MATCH($M1599,Desig_Codes,0)),""))</f>
        <v/>
      </c>
      <c r="P1599" s="12" t="n"/>
      <c r="Q1599" s="12" t="n"/>
      <c r="R1599" s="12" t="n"/>
      <c r="S1599" s="13">
        <f>IF($R1599="","",IFERROR(INDEX(Emp_Names,MATCH($R1599,Emp_Codes,0)),"NOT FOUND"))</f>
        <v/>
      </c>
      <c r="T1599" s="12" t="n"/>
      <c r="U1599" s="12" t="n"/>
      <c r="V1599" s="12" t="n"/>
    </row>
    <row r="1600">
      <c r="A1600" s="12" t="n"/>
      <c r="B1600" s="12" t="n"/>
      <c r="C1600" s="12" t="n"/>
      <c r="D1600" s="13">
        <f>IF($A1600="","",TRIM($B1600&amp;" "&amp;$C1600))</f>
        <v/>
      </c>
      <c r="E1600" s="12" t="n"/>
      <c r="F1600" s="12" t="n"/>
      <c r="G1600" s="14" t="n"/>
      <c r="H1600" s="14" t="n"/>
      <c r="I1600" s="12" t="n"/>
      <c r="J1600" s="14" t="n"/>
      <c r="K1600" s="12" t="n"/>
      <c r="L1600" s="13">
        <f>IF($K1600="","",IFERROR(INDEX(Dept_Names,MATCH($K1600,Dept_Codes,0)),"NOT FOUND"))</f>
        <v/>
      </c>
      <c r="M1600" s="12" t="n"/>
      <c r="N1600" s="13">
        <f>IF($M1600="","",IFERROR(INDEX(Desig_Names,MATCH($M1600,Desig_Codes,0)),"NOT FOUND"))</f>
        <v/>
      </c>
      <c r="O1600" s="13">
        <f>IF($M1600="","",IFERROR(INDEX(Desig_Levels,MATCH($M1600,Desig_Codes,0)),""))</f>
        <v/>
      </c>
      <c r="P1600" s="12" t="n"/>
      <c r="Q1600" s="12" t="n"/>
      <c r="R1600" s="12" t="n"/>
      <c r="S1600" s="13">
        <f>IF($R1600="","",IFERROR(INDEX(Emp_Names,MATCH($R1600,Emp_Codes,0)),"NOT FOUND"))</f>
        <v/>
      </c>
      <c r="T1600" s="12" t="n"/>
      <c r="U1600" s="12" t="n"/>
      <c r="V1600" s="12" t="n"/>
    </row>
    <row r="1601">
      <c r="A1601" s="12" t="n"/>
      <c r="B1601" s="12" t="n"/>
      <c r="C1601" s="12" t="n"/>
      <c r="D1601" s="13">
        <f>IF($A1601="","",TRIM($B1601&amp;" "&amp;$C1601))</f>
        <v/>
      </c>
      <c r="E1601" s="12" t="n"/>
      <c r="F1601" s="12" t="n"/>
      <c r="G1601" s="14" t="n"/>
      <c r="H1601" s="14" t="n"/>
      <c r="I1601" s="12" t="n"/>
      <c r="J1601" s="14" t="n"/>
      <c r="K1601" s="12" t="n"/>
      <c r="L1601" s="13">
        <f>IF($K1601="","",IFERROR(INDEX(Dept_Names,MATCH($K1601,Dept_Codes,0)),"NOT FOUND"))</f>
        <v/>
      </c>
      <c r="M1601" s="12" t="n"/>
      <c r="N1601" s="13">
        <f>IF($M1601="","",IFERROR(INDEX(Desig_Names,MATCH($M1601,Desig_Codes,0)),"NOT FOUND"))</f>
        <v/>
      </c>
      <c r="O1601" s="13">
        <f>IF($M1601="","",IFERROR(INDEX(Desig_Levels,MATCH($M1601,Desig_Codes,0)),""))</f>
        <v/>
      </c>
      <c r="P1601" s="12" t="n"/>
      <c r="Q1601" s="12" t="n"/>
      <c r="R1601" s="12" t="n"/>
      <c r="S1601" s="13">
        <f>IF($R1601="","",IFERROR(INDEX(Emp_Names,MATCH($R1601,Emp_Codes,0)),"NOT FOUND"))</f>
        <v/>
      </c>
      <c r="T1601" s="12" t="n"/>
      <c r="U1601" s="12" t="n"/>
      <c r="V1601" s="12" t="n"/>
    </row>
    <row r="1602">
      <c r="A1602" s="12" t="n"/>
      <c r="B1602" s="12" t="n"/>
      <c r="C1602" s="12" t="n"/>
      <c r="D1602" s="13">
        <f>IF($A1602="","",TRIM($B1602&amp;" "&amp;$C1602))</f>
        <v/>
      </c>
      <c r="E1602" s="12" t="n"/>
      <c r="F1602" s="12" t="n"/>
      <c r="G1602" s="14" t="n"/>
      <c r="H1602" s="14" t="n"/>
      <c r="I1602" s="12" t="n"/>
      <c r="J1602" s="14" t="n"/>
      <c r="K1602" s="12" t="n"/>
      <c r="L1602" s="13">
        <f>IF($K1602="","",IFERROR(INDEX(Dept_Names,MATCH($K1602,Dept_Codes,0)),"NOT FOUND"))</f>
        <v/>
      </c>
      <c r="M1602" s="12" t="n"/>
      <c r="N1602" s="13">
        <f>IF($M1602="","",IFERROR(INDEX(Desig_Names,MATCH($M1602,Desig_Codes,0)),"NOT FOUND"))</f>
        <v/>
      </c>
      <c r="O1602" s="13">
        <f>IF($M1602="","",IFERROR(INDEX(Desig_Levels,MATCH($M1602,Desig_Codes,0)),""))</f>
        <v/>
      </c>
      <c r="P1602" s="12" t="n"/>
      <c r="Q1602" s="12" t="n"/>
      <c r="R1602" s="12" t="n"/>
      <c r="S1602" s="13">
        <f>IF($R1602="","",IFERROR(INDEX(Emp_Names,MATCH($R1602,Emp_Codes,0)),"NOT FOUND"))</f>
        <v/>
      </c>
      <c r="T1602" s="12" t="n"/>
      <c r="U1602" s="12" t="n"/>
      <c r="V1602" s="12" t="n"/>
    </row>
    <row r="1603">
      <c r="A1603" s="12" t="n"/>
      <c r="B1603" s="12" t="n"/>
      <c r="C1603" s="12" t="n"/>
      <c r="D1603" s="13">
        <f>IF($A1603="","",TRIM($B1603&amp;" "&amp;$C1603))</f>
        <v/>
      </c>
      <c r="E1603" s="12" t="n"/>
      <c r="F1603" s="12" t="n"/>
      <c r="G1603" s="14" t="n"/>
      <c r="H1603" s="14" t="n"/>
      <c r="I1603" s="12" t="n"/>
      <c r="J1603" s="14" t="n"/>
      <c r="K1603" s="12" t="n"/>
      <c r="L1603" s="13">
        <f>IF($K1603="","",IFERROR(INDEX(Dept_Names,MATCH($K1603,Dept_Codes,0)),"NOT FOUND"))</f>
        <v/>
      </c>
      <c r="M1603" s="12" t="n"/>
      <c r="N1603" s="13">
        <f>IF($M1603="","",IFERROR(INDEX(Desig_Names,MATCH($M1603,Desig_Codes,0)),"NOT FOUND"))</f>
        <v/>
      </c>
      <c r="O1603" s="13">
        <f>IF($M1603="","",IFERROR(INDEX(Desig_Levels,MATCH($M1603,Desig_Codes,0)),""))</f>
        <v/>
      </c>
      <c r="P1603" s="12" t="n"/>
      <c r="Q1603" s="12" t="n"/>
      <c r="R1603" s="12" t="n"/>
      <c r="S1603" s="13">
        <f>IF($R1603="","",IFERROR(INDEX(Emp_Names,MATCH($R1603,Emp_Codes,0)),"NOT FOUND"))</f>
        <v/>
      </c>
      <c r="T1603" s="12" t="n"/>
      <c r="U1603" s="12" t="n"/>
      <c r="V1603" s="12" t="n"/>
    </row>
    <row r="1604">
      <c r="A1604" s="12" t="n"/>
      <c r="B1604" s="12" t="n"/>
      <c r="C1604" s="12" t="n"/>
      <c r="D1604" s="13">
        <f>IF($A1604="","",TRIM($B1604&amp;" "&amp;$C1604))</f>
        <v/>
      </c>
      <c r="E1604" s="12" t="n"/>
      <c r="F1604" s="12" t="n"/>
      <c r="G1604" s="14" t="n"/>
      <c r="H1604" s="14" t="n"/>
      <c r="I1604" s="12" t="n"/>
      <c r="J1604" s="14" t="n"/>
      <c r="K1604" s="12" t="n"/>
      <c r="L1604" s="13">
        <f>IF($K1604="","",IFERROR(INDEX(Dept_Names,MATCH($K1604,Dept_Codes,0)),"NOT FOUND"))</f>
        <v/>
      </c>
      <c r="M1604" s="12" t="n"/>
      <c r="N1604" s="13">
        <f>IF($M1604="","",IFERROR(INDEX(Desig_Names,MATCH($M1604,Desig_Codes,0)),"NOT FOUND"))</f>
        <v/>
      </c>
      <c r="O1604" s="13">
        <f>IF($M1604="","",IFERROR(INDEX(Desig_Levels,MATCH($M1604,Desig_Codes,0)),""))</f>
        <v/>
      </c>
      <c r="P1604" s="12" t="n"/>
      <c r="Q1604" s="12" t="n"/>
      <c r="R1604" s="12" t="n"/>
      <c r="S1604" s="13">
        <f>IF($R1604="","",IFERROR(INDEX(Emp_Names,MATCH($R1604,Emp_Codes,0)),"NOT FOUND"))</f>
        <v/>
      </c>
      <c r="T1604" s="12" t="n"/>
      <c r="U1604" s="12" t="n"/>
      <c r="V1604" s="12" t="n"/>
    </row>
    <row r="1605">
      <c r="A1605" s="12" t="n"/>
      <c r="B1605" s="12" t="n"/>
      <c r="C1605" s="12" t="n"/>
      <c r="D1605" s="13">
        <f>IF($A1605="","",TRIM($B1605&amp;" "&amp;$C1605))</f>
        <v/>
      </c>
      <c r="E1605" s="12" t="n"/>
      <c r="F1605" s="12" t="n"/>
      <c r="G1605" s="14" t="n"/>
      <c r="H1605" s="14" t="n"/>
      <c r="I1605" s="12" t="n"/>
      <c r="J1605" s="14" t="n"/>
      <c r="K1605" s="12" t="n"/>
      <c r="L1605" s="13">
        <f>IF($K1605="","",IFERROR(INDEX(Dept_Names,MATCH($K1605,Dept_Codes,0)),"NOT FOUND"))</f>
        <v/>
      </c>
      <c r="M1605" s="12" t="n"/>
      <c r="N1605" s="13">
        <f>IF($M1605="","",IFERROR(INDEX(Desig_Names,MATCH($M1605,Desig_Codes,0)),"NOT FOUND"))</f>
        <v/>
      </c>
      <c r="O1605" s="13">
        <f>IF($M1605="","",IFERROR(INDEX(Desig_Levels,MATCH($M1605,Desig_Codes,0)),""))</f>
        <v/>
      </c>
      <c r="P1605" s="12" t="n"/>
      <c r="Q1605" s="12" t="n"/>
      <c r="R1605" s="12" t="n"/>
      <c r="S1605" s="13">
        <f>IF($R1605="","",IFERROR(INDEX(Emp_Names,MATCH($R1605,Emp_Codes,0)),"NOT FOUND"))</f>
        <v/>
      </c>
      <c r="T1605" s="12" t="n"/>
      <c r="U1605" s="12" t="n"/>
      <c r="V1605" s="12" t="n"/>
    </row>
    <row r="1606">
      <c r="A1606" s="12" t="n"/>
      <c r="B1606" s="12" t="n"/>
      <c r="C1606" s="12" t="n"/>
      <c r="D1606" s="13">
        <f>IF($A1606="","",TRIM($B1606&amp;" "&amp;$C1606))</f>
        <v/>
      </c>
      <c r="E1606" s="12" t="n"/>
      <c r="F1606" s="12" t="n"/>
      <c r="G1606" s="14" t="n"/>
      <c r="H1606" s="14" t="n"/>
      <c r="I1606" s="12" t="n"/>
      <c r="J1606" s="14" t="n"/>
      <c r="K1606" s="12" t="n"/>
      <c r="L1606" s="13">
        <f>IF($K1606="","",IFERROR(INDEX(Dept_Names,MATCH($K1606,Dept_Codes,0)),"NOT FOUND"))</f>
        <v/>
      </c>
      <c r="M1606" s="12" t="n"/>
      <c r="N1606" s="13">
        <f>IF($M1606="","",IFERROR(INDEX(Desig_Names,MATCH($M1606,Desig_Codes,0)),"NOT FOUND"))</f>
        <v/>
      </c>
      <c r="O1606" s="13">
        <f>IF($M1606="","",IFERROR(INDEX(Desig_Levels,MATCH($M1606,Desig_Codes,0)),""))</f>
        <v/>
      </c>
      <c r="P1606" s="12" t="n"/>
      <c r="Q1606" s="12" t="n"/>
      <c r="R1606" s="12" t="n"/>
      <c r="S1606" s="13">
        <f>IF($R1606="","",IFERROR(INDEX(Emp_Names,MATCH($R1606,Emp_Codes,0)),"NOT FOUND"))</f>
        <v/>
      </c>
      <c r="T1606" s="12" t="n"/>
      <c r="U1606" s="12" t="n"/>
      <c r="V1606" s="12" t="n"/>
    </row>
    <row r="1607">
      <c r="A1607" s="12" t="n"/>
      <c r="B1607" s="12" t="n"/>
      <c r="C1607" s="12" t="n"/>
      <c r="D1607" s="13">
        <f>IF($A1607="","",TRIM($B1607&amp;" "&amp;$C1607))</f>
        <v/>
      </c>
      <c r="E1607" s="12" t="n"/>
      <c r="F1607" s="12" t="n"/>
      <c r="G1607" s="14" t="n"/>
      <c r="H1607" s="14" t="n"/>
      <c r="I1607" s="12" t="n"/>
      <c r="J1607" s="14" t="n"/>
      <c r="K1607" s="12" t="n"/>
      <c r="L1607" s="13">
        <f>IF($K1607="","",IFERROR(INDEX(Dept_Names,MATCH($K1607,Dept_Codes,0)),"NOT FOUND"))</f>
        <v/>
      </c>
      <c r="M1607" s="12" t="n"/>
      <c r="N1607" s="13">
        <f>IF($M1607="","",IFERROR(INDEX(Desig_Names,MATCH($M1607,Desig_Codes,0)),"NOT FOUND"))</f>
        <v/>
      </c>
      <c r="O1607" s="13">
        <f>IF($M1607="","",IFERROR(INDEX(Desig_Levels,MATCH($M1607,Desig_Codes,0)),""))</f>
        <v/>
      </c>
      <c r="P1607" s="12" t="n"/>
      <c r="Q1607" s="12" t="n"/>
      <c r="R1607" s="12" t="n"/>
      <c r="S1607" s="13">
        <f>IF($R1607="","",IFERROR(INDEX(Emp_Names,MATCH($R1607,Emp_Codes,0)),"NOT FOUND"))</f>
        <v/>
      </c>
      <c r="T1607" s="12" t="n"/>
      <c r="U1607" s="12" t="n"/>
      <c r="V1607" s="12" t="n"/>
    </row>
    <row r="1608">
      <c r="A1608" s="12" t="n"/>
      <c r="B1608" s="12" t="n"/>
      <c r="C1608" s="12" t="n"/>
      <c r="D1608" s="13">
        <f>IF($A1608="","",TRIM($B1608&amp;" "&amp;$C1608))</f>
        <v/>
      </c>
      <c r="E1608" s="12" t="n"/>
      <c r="F1608" s="12" t="n"/>
      <c r="G1608" s="14" t="n"/>
      <c r="H1608" s="14" t="n"/>
      <c r="I1608" s="12" t="n"/>
      <c r="J1608" s="14" t="n"/>
      <c r="K1608" s="12" t="n"/>
      <c r="L1608" s="13">
        <f>IF($K1608="","",IFERROR(INDEX(Dept_Names,MATCH($K1608,Dept_Codes,0)),"NOT FOUND"))</f>
        <v/>
      </c>
      <c r="M1608" s="12" t="n"/>
      <c r="N1608" s="13">
        <f>IF($M1608="","",IFERROR(INDEX(Desig_Names,MATCH($M1608,Desig_Codes,0)),"NOT FOUND"))</f>
        <v/>
      </c>
      <c r="O1608" s="13">
        <f>IF($M1608="","",IFERROR(INDEX(Desig_Levels,MATCH($M1608,Desig_Codes,0)),""))</f>
        <v/>
      </c>
      <c r="P1608" s="12" t="n"/>
      <c r="Q1608" s="12" t="n"/>
      <c r="R1608" s="12" t="n"/>
      <c r="S1608" s="13">
        <f>IF($R1608="","",IFERROR(INDEX(Emp_Names,MATCH($R1608,Emp_Codes,0)),"NOT FOUND"))</f>
        <v/>
      </c>
      <c r="T1608" s="12" t="n"/>
      <c r="U1608" s="12" t="n"/>
      <c r="V1608" s="12" t="n"/>
    </row>
    <row r="1609">
      <c r="A1609" s="12" t="n"/>
      <c r="B1609" s="12" t="n"/>
      <c r="C1609" s="12" t="n"/>
      <c r="D1609" s="13">
        <f>IF($A1609="","",TRIM($B1609&amp;" "&amp;$C1609))</f>
        <v/>
      </c>
      <c r="E1609" s="12" t="n"/>
      <c r="F1609" s="12" t="n"/>
      <c r="G1609" s="14" t="n"/>
      <c r="H1609" s="14" t="n"/>
      <c r="I1609" s="12" t="n"/>
      <c r="J1609" s="14" t="n"/>
      <c r="K1609" s="12" t="n"/>
      <c r="L1609" s="13">
        <f>IF($K1609="","",IFERROR(INDEX(Dept_Names,MATCH($K1609,Dept_Codes,0)),"NOT FOUND"))</f>
        <v/>
      </c>
      <c r="M1609" s="12" t="n"/>
      <c r="N1609" s="13">
        <f>IF($M1609="","",IFERROR(INDEX(Desig_Names,MATCH($M1609,Desig_Codes,0)),"NOT FOUND"))</f>
        <v/>
      </c>
      <c r="O1609" s="13">
        <f>IF($M1609="","",IFERROR(INDEX(Desig_Levels,MATCH($M1609,Desig_Codes,0)),""))</f>
        <v/>
      </c>
      <c r="P1609" s="12" t="n"/>
      <c r="Q1609" s="12" t="n"/>
      <c r="R1609" s="12" t="n"/>
      <c r="S1609" s="13">
        <f>IF($R1609="","",IFERROR(INDEX(Emp_Names,MATCH($R1609,Emp_Codes,0)),"NOT FOUND"))</f>
        <v/>
      </c>
      <c r="T1609" s="12" t="n"/>
      <c r="U1609" s="12" t="n"/>
      <c r="V1609" s="12" t="n"/>
    </row>
    <row r="1610">
      <c r="A1610" s="12" t="n"/>
      <c r="B1610" s="12" t="n"/>
      <c r="C1610" s="12" t="n"/>
      <c r="D1610" s="13">
        <f>IF($A1610="","",TRIM($B1610&amp;" "&amp;$C1610))</f>
        <v/>
      </c>
      <c r="E1610" s="12" t="n"/>
      <c r="F1610" s="12" t="n"/>
      <c r="G1610" s="14" t="n"/>
      <c r="H1610" s="14" t="n"/>
      <c r="I1610" s="12" t="n"/>
      <c r="J1610" s="14" t="n"/>
      <c r="K1610" s="12" t="n"/>
      <c r="L1610" s="13">
        <f>IF($K1610="","",IFERROR(INDEX(Dept_Names,MATCH($K1610,Dept_Codes,0)),"NOT FOUND"))</f>
        <v/>
      </c>
      <c r="M1610" s="12" t="n"/>
      <c r="N1610" s="13">
        <f>IF($M1610="","",IFERROR(INDEX(Desig_Names,MATCH($M1610,Desig_Codes,0)),"NOT FOUND"))</f>
        <v/>
      </c>
      <c r="O1610" s="13">
        <f>IF($M1610="","",IFERROR(INDEX(Desig_Levels,MATCH($M1610,Desig_Codes,0)),""))</f>
        <v/>
      </c>
      <c r="P1610" s="12" t="n"/>
      <c r="Q1610" s="12" t="n"/>
      <c r="R1610" s="12" t="n"/>
      <c r="S1610" s="13">
        <f>IF($R1610="","",IFERROR(INDEX(Emp_Names,MATCH($R1610,Emp_Codes,0)),"NOT FOUND"))</f>
        <v/>
      </c>
      <c r="T1610" s="12" t="n"/>
      <c r="U1610" s="12" t="n"/>
      <c r="V1610" s="12" t="n"/>
    </row>
    <row r="1611">
      <c r="A1611" s="12" t="n"/>
      <c r="B1611" s="12" t="n"/>
      <c r="C1611" s="12" t="n"/>
      <c r="D1611" s="13">
        <f>IF($A1611="","",TRIM($B1611&amp;" "&amp;$C1611))</f>
        <v/>
      </c>
      <c r="E1611" s="12" t="n"/>
      <c r="F1611" s="12" t="n"/>
      <c r="G1611" s="14" t="n"/>
      <c r="H1611" s="14" t="n"/>
      <c r="I1611" s="12" t="n"/>
      <c r="J1611" s="14" t="n"/>
      <c r="K1611" s="12" t="n"/>
      <c r="L1611" s="13">
        <f>IF($K1611="","",IFERROR(INDEX(Dept_Names,MATCH($K1611,Dept_Codes,0)),"NOT FOUND"))</f>
        <v/>
      </c>
      <c r="M1611" s="12" t="n"/>
      <c r="N1611" s="13">
        <f>IF($M1611="","",IFERROR(INDEX(Desig_Names,MATCH($M1611,Desig_Codes,0)),"NOT FOUND"))</f>
        <v/>
      </c>
      <c r="O1611" s="13">
        <f>IF($M1611="","",IFERROR(INDEX(Desig_Levels,MATCH($M1611,Desig_Codes,0)),""))</f>
        <v/>
      </c>
      <c r="P1611" s="12" t="n"/>
      <c r="Q1611" s="12" t="n"/>
      <c r="R1611" s="12" t="n"/>
      <c r="S1611" s="13">
        <f>IF($R1611="","",IFERROR(INDEX(Emp_Names,MATCH($R1611,Emp_Codes,0)),"NOT FOUND"))</f>
        <v/>
      </c>
      <c r="T1611" s="12" t="n"/>
      <c r="U1611" s="12" t="n"/>
      <c r="V1611" s="12" t="n"/>
    </row>
    <row r="1612">
      <c r="A1612" s="12" t="n"/>
      <c r="B1612" s="12" t="n"/>
      <c r="C1612" s="12" t="n"/>
      <c r="D1612" s="13">
        <f>IF($A1612="","",TRIM($B1612&amp;" "&amp;$C1612))</f>
        <v/>
      </c>
      <c r="E1612" s="12" t="n"/>
      <c r="F1612" s="12" t="n"/>
      <c r="G1612" s="14" t="n"/>
      <c r="H1612" s="14" t="n"/>
      <c r="I1612" s="12" t="n"/>
      <c r="J1612" s="14" t="n"/>
      <c r="K1612" s="12" t="n"/>
      <c r="L1612" s="13">
        <f>IF($K1612="","",IFERROR(INDEX(Dept_Names,MATCH($K1612,Dept_Codes,0)),"NOT FOUND"))</f>
        <v/>
      </c>
      <c r="M1612" s="12" t="n"/>
      <c r="N1612" s="13">
        <f>IF($M1612="","",IFERROR(INDEX(Desig_Names,MATCH($M1612,Desig_Codes,0)),"NOT FOUND"))</f>
        <v/>
      </c>
      <c r="O1612" s="13">
        <f>IF($M1612="","",IFERROR(INDEX(Desig_Levels,MATCH($M1612,Desig_Codes,0)),""))</f>
        <v/>
      </c>
      <c r="P1612" s="12" t="n"/>
      <c r="Q1612" s="12" t="n"/>
      <c r="R1612" s="12" t="n"/>
      <c r="S1612" s="13">
        <f>IF($R1612="","",IFERROR(INDEX(Emp_Names,MATCH($R1612,Emp_Codes,0)),"NOT FOUND"))</f>
        <v/>
      </c>
      <c r="T1612" s="12" t="n"/>
      <c r="U1612" s="12" t="n"/>
      <c r="V1612" s="12" t="n"/>
    </row>
    <row r="1613">
      <c r="A1613" s="12" t="n"/>
      <c r="B1613" s="12" t="n"/>
      <c r="C1613" s="12" t="n"/>
      <c r="D1613" s="13">
        <f>IF($A1613="","",TRIM($B1613&amp;" "&amp;$C1613))</f>
        <v/>
      </c>
      <c r="E1613" s="12" t="n"/>
      <c r="F1613" s="12" t="n"/>
      <c r="G1613" s="14" t="n"/>
      <c r="H1613" s="14" t="n"/>
      <c r="I1613" s="12" t="n"/>
      <c r="J1613" s="14" t="n"/>
      <c r="K1613" s="12" t="n"/>
      <c r="L1613" s="13">
        <f>IF($K1613="","",IFERROR(INDEX(Dept_Names,MATCH($K1613,Dept_Codes,0)),"NOT FOUND"))</f>
        <v/>
      </c>
      <c r="M1613" s="12" t="n"/>
      <c r="N1613" s="13">
        <f>IF($M1613="","",IFERROR(INDEX(Desig_Names,MATCH($M1613,Desig_Codes,0)),"NOT FOUND"))</f>
        <v/>
      </c>
      <c r="O1613" s="13">
        <f>IF($M1613="","",IFERROR(INDEX(Desig_Levels,MATCH($M1613,Desig_Codes,0)),""))</f>
        <v/>
      </c>
      <c r="P1613" s="12" t="n"/>
      <c r="Q1613" s="12" t="n"/>
      <c r="R1613" s="12" t="n"/>
      <c r="S1613" s="13">
        <f>IF($R1613="","",IFERROR(INDEX(Emp_Names,MATCH($R1613,Emp_Codes,0)),"NOT FOUND"))</f>
        <v/>
      </c>
      <c r="T1613" s="12" t="n"/>
      <c r="U1613" s="12" t="n"/>
      <c r="V1613" s="12" t="n"/>
    </row>
    <row r="1614">
      <c r="A1614" s="12" t="n"/>
      <c r="B1614" s="12" t="n"/>
      <c r="C1614" s="12" t="n"/>
      <c r="D1614" s="13">
        <f>IF($A1614="","",TRIM($B1614&amp;" "&amp;$C1614))</f>
        <v/>
      </c>
      <c r="E1614" s="12" t="n"/>
      <c r="F1614" s="12" t="n"/>
      <c r="G1614" s="14" t="n"/>
      <c r="H1614" s="14" t="n"/>
      <c r="I1614" s="12" t="n"/>
      <c r="J1614" s="14" t="n"/>
      <c r="K1614" s="12" t="n"/>
      <c r="L1614" s="13">
        <f>IF($K1614="","",IFERROR(INDEX(Dept_Names,MATCH($K1614,Dept_Codes,0)),"NOT FOUND"))</f>
        <v/>
      </c>
      <c r="M1614" s="12" t="n"/>
      <c r="N1614" s="13">
        <f>IF($M1614="","",IFERROR(INDEX(Desig_Names,MATCH($M1614,Desig_Codes,0)),"NOT FOUND"))</f>
        <v/>
      </c>
      <c r="O1614" s="13">
        <f>IF($M1614="","",IFERROR(INDEX(Desig_Levels,MATCH($M1614,Desig_Codes,0)),""))</f>
        <v/>
      </c>
      <c r="P1614" s="12" t="n"/>
      <c r="Q1614" s="12" t="n"/>
      <c r="R1614" s="12" t="n"/>
      <c r="S1614" s="13">
        <f>IF($R1614="","",IFERROR(INDEX(Emp_Names,MATCH($R1614,Emp_Codes,0)),"NOT FOUND"))</f>
        <v/>
      </c>
      <c r="T1614" s="12" t="n"/>
      <c r="U1614" s="12" t="n"/>
      <c r="V1614" s="12" t="n"/>
    </row>
    <row r="1615">
      <c r="A1615" s="12" t="n"/>
      <c r="B1615" s="12" t="n"/>
      <c r="C1615" s="12" t="n"/>
      <c r="D1615" s="13">
        <f>IF($A1615="","",TRIM($B1615&amp;" "&amp;$C1615))</f>
        <v/>
      </c>
      <c r="E1615" s="12" t="n"/>
      <c r="F1615" s="12" t="n"/>
      <c r="G1615" s="14" t="n"/>
      <c r="H1615" s="14" t="n"/>
      <c r="I1615" s="12" t="n"/>
      <c r="J1615" s="14" t="n"/>
      <c r="K1615" s="12" t="n"/>
      <c r="L1615" s="13">
        <f>IF($K1615="","",IFERROR(INDEX(Dept_Names,MATCH($K1615,Dept_Codes,0)),"NOT FOUND"))</f>
        <v/>
      </c>
      <c r="M1615" s="12" t="n"/>
      <c r="N1615" s="13">
        <f>IF($M1615="","",IFERROR(INDEX(Desig_Names,MATCH($M1615,Desig_Codes,0)),"NOT FOUND"))</f>
        <v/>
      </c>
      <c r="O1615" s="13">
        <f>IF($M1615="","",IFERROR(INDEX(Desig_Levels,MATCH($M1615,Desig_Codes,0)),""))</f>
        <v/>
      </c>
      <c r="P1615" s="12" t="n"/>
      <c r="Q1615" s="12" t="n"/>
      <c r="R1615" s="12" t="n"/>
      <c r="S1615" s="13">
        <f>IF($R1615="","",IFERROR(INDEX(Emp_Names,MATCH($R1615,Emp_Codes,0)),"NOT FOUND"))</f>
        <v/>
      </c>
      <c r="T1615" s="12" t="n"/>
      <c r="U1615" s="12" t="n"/>
      <c r="V1615" s="12" t="n"/>
    </row>
    <row r="1616">
      <c r="A1616" s="12" t="n"/>
      <c r="B1616" s="12" t="n"/>
      <c r="C1616" s="12" t="n"/>
      <c r="D1616" s="13">
        <f>IF($A1616="","",TRIM($B1616&amp;" "&amp;$C1616))</f>
        <v/>
      </c>
      <c r="E1616" s="12" t="n"/>
      <c r="F1616" s="12" t="n"/>
      <c r="G1616" s="14" t="n"/>
      <c r="H1616" s="14" t="n"/>
      <c r="I1616" s="12" t="n"/>
      <c r="J1616" s="14" t="n"/>
      <c r="K1616" s="12" t="n"/>
      <c r="L1616" s="13">
        <f>IF($K1616="","",IFERROR(INDEX(Dept_Names,MATCH($K1616,Dept_Codes,0)),"NOT FOUND"))</f>
        <v/>
      </c>
      <c r="M1616" s="12" t="n"/>
      <c r="N1616" s="13">
        <f>IF($M1616="","",IFERROR(INDEX(Desig_Names,MATCH($M1616,Desig_Codes,0)),"NOT FOUND"))</f>
        <v/>
      </c>
      <c r="O1616" s="13">
        <f>IF($M1616="","",IFERROR(INDEX(Desig_Levels,MATCH($M1616,Desig_Codes,0)),""))</f>
        <v/>
      </c>
      <c r="P1616" s="12" t="n"/>
      <c r="Q1616" s="12" t="n"/>
      <c r="R1616" s="12" t="n"/>
      <c r="S1616" s="13">
        <f>IF($R1616="","",IFERROR(INDEX(Emp_Names,MATCH($R1616,Emp_Codes,0)),"NOT FOUND"))</f>
        <v/>
      </c>
      <c r="T1616" s="12" t="n"/>
      <c r="U1616" s="12" t="n"/>
      <c r="V1616" s="12" t="n"/>
    </row>
    <row r="1617">
      <c r="A1617" s="12" t="n"/>
      <c r="B1617" s="12" t="n"/>
      <c r="C1617" s="12" t="n"/>
      <c r="D1617" s="13">
        <f>IF($A1617="","",TRIM($B1617&amp;" "&amp;$C1617))</f>
        <v/>
      </c>
      <c r="E1617" s="12" t="n"/>
      <c r="F1617" s="12" t="n"/>
      <c r="G1617" s="14" t="n"/>
      <c r="H1617" s="14" t="n"/>
      <c r="I1617" s="12" t="n"/>
      <c r="J1617" s="14" t="n"/>
      <c r="K1617" s="12" t="n"/>
      <c r="L1617" s="13">
        <f>IF($K1617="","",IFERROR(INDEX(Dept_Names,MATCH($K1617,Dept_Codes,0)),"NOT FOUND"))</f>
        <v/>
      </c>
      <c r="M1617" s="12" t="n"/>
      <c r="N1617" s="13">
        <f>IF($M1617="","",IFERROR(INDEX(Desig_Names,MATCH($M1617,Desig_Codes,0)),"NOT FOUND"))</f>
        <v/>
      </c>
      <c r="O1617" s="13">
        <f>IF($M1617="","",IFERROR(INDEX(Desig_Levels,MATCH($M1617,Desig_Codes,0)),""))</f>
        <v/>
      </c>
      <c r="P1617" s="12" t="n"/>
      <c r="Q1617" s="12" t="n"/>
      <c r="R1617" s="12" t="n"/>
      <c r="S1617" s="13">
        <f>IF($R1617="","",IFERROR(INDEX(Emp_Names,MATCH($R1617,Emp_Codes,0)),"NOT FOUND"))</f>
        <v/>
      </c>
      <c r="T1617" s="12" t="n"/>
      <c r="U1617" s="12" t="n"/>
      <c r="V1617" s="12" t="n"/>
    </row>
    <row r="1618">
      <c r="A1618" s="12" t="n"/>
      <c r="B1618" s="12" t="n"/>
      <c r="C1618" s="12" t="n"/>
      <c r="D1618" s="13">
        <f>IF($A1618="","",TRIM($B1618&amp;" "&amp;$C1618))</f>
        <v/>
      </c>
      <c r="E1618" s="12" t="n"/>
      <c r="F1618" s="12" t="n"/>
      <c r="G1618" s="14" t="n"/>
      <c r="H1618" s="14" t="n"/>
      <c r="I1618" s="12" t="n"/>
      <c r="J1618" s="14" t="n"/>
      <c r="K1618" s="12" t="n"/>
      <c r="L1618" s="13">
        <f>IF($K1618="","",IFERROR(INDEX(Dept_Names,MATCH($K1618,Dept_Codes,0)),"NOT FOUND"))</f>
        <v/>
      </c>
      <c r="M1618" s="12" t="n"/>
      <c r="N1618" s="13">
        <f>IF($M1618="","",IFERROR(INDEX(Desig_Names,MATCH($M1618,Desig_Codes,0)),"NOT FOUND"))</f>
        <v/>
      </c>
      <c r="O1618" s="13">
        <f>IF($M1618="","",IFERROR(INDEX(Desig_Levels,MATCH($M1618,Desig_Codes,0)),""))</f>
        <v/>
      </c>
      <c r="P1618" s="12" t="n"/>
      <c r="Q1618" s="12" t="n"/>
      <c r="R1618" s="12" t="n"/>
      <c r="S1618" s="13">
        <f>IF($R1618="","",IFERROR(INDEX(Emp_Names,MATCH($R1618,Emp_Codes,0)),"NOT FOUND"))</f>
        <v/>
      </c>
      <c r="T1618" s="12" t="n"/>
      <c r="U1618" s="12" t="n"/>
      <c r="V1618" s="12" t="n"/>
    </row>
    <row r="1619">
      <c r="A1619" s="12" t="n"/>
      <c r="B1619" s="12" t="n"/>
      <c r="C1619" s="12" t="n"/>
      <c r="D1619" s="13">
        <f>IF($A1619="","",TRIM($B1619&amp;" "&amp;$C1619))</f>
        <v/>
      </c>
      <c r="E1619" s="12" t="n"/>
      <c r="F1619" s="12" t="n"/>
      <c r="G1619" s="14" t="n"/>
      <c r="H1619" s="14" t="n"/>
      <c r="I1619" s="12" t="n"/>
      <c r="J1619" s="14" t="n"/>
      <c r="K1619" s="12" t="n"/>
      <c r="L1619" s="13">
        <f>IF($K1619="","",IFERROR(INDEX(Dept_Names,MATCH($K1619,Dept_Codes,0)),"NOT FOUND"))</f>
        <v/>
      </c>
      <c r="M1619" s="12" t="n"/>
      <c r="N1619" s="13">
        <f>IF($M1619="","",IFERROR(INDEX(Desig_Names,MATCH($M1619,Desig_Codes,0)),"NOT FOUND"))</f>
        <v/>
      </c>
      <c r="O1619" s="13">
        <f>IF($M1619="","",IFERROR(INDEX(Desig_Levels,MATCH($M1619,Desig_Codes,0)),""))</f>
        <v/>
      </c>
      <c r="P1619" s="12" t="n"/>
      <c r="Q1619" s="12" t="n"/>
      <c r="R1619" s="12" t="n"/>
      <c r="S1619" s="13">
        <f>IF($R1619="","",IFERROR(INDEX(Emp_Names,MATCH($R1619,Emp_Codes,0)),"NOT FOUND"))</f>
        <v/>
      </c>
      <c r="T1619" s="12" t="n"/>
      <c r="U1619" s="12" t="n"/>
      <c r="V1619" s="12" t="n"/>
    </row>
    <row r="1620">
      <c r="A1620" s="12" t="n"/>
      <c r="B1620" s="12" t="n"/>
      <c r="C1620" s="12" t="n"/>
      <c r="D1620" s="13">
        <f>IF($A1620="","",TRIM($B1620&amp;" "&amp;$C1620))</f>
        <v/>
      </c>
      <c r="E1620" s="12" t="n"/>
      <c r="F1620" s="12" t="n"/>
      <c r="G1620" s="14" t="n"/>
      <c r="H1620" s="14" t="n"/>
      <c r="I1620" s="12" t="n"/>
      <c r="J1620" s="14" t="n"/>
      <c r="K1620" s="12" t="n"/>
      <c r="L1620" s="13">
        <f>IF($K1620="","",IFERROR(INDEX(Dept_Names,MATCH($K1620,Dept_Codes,0)),"NOT FOUND"))</f>
        <v/>
      </c>
      <c r="M1620" s="12" t="n"/>
      <c r="N1620" s="13">
        <f>IF($M1620="","",IFERROR(INDEX(Desig_Names,MATCH($M1620,Desig_Codes,0)),"NOT FOUND"))</f>
        <v/>
      </c>
      <c r="O1620" s="13">
        <f>IF($M1620="","",IFERROR(INDEX(Desig_Levels,MATCH($M1620,Desig_Codes,0)),""))</f>
        <v/>
      </c>
      <c r="P1620" s="12" t="n"/>
      <c r="Q1620" s="12" t="n"/>
      <c r="R1620" s="12" t="n"/>
      <c r="S1620" s="13">
        <f>IF($R1620="","",IFERROR(INDEX(Emp_Names,MATCH($R1620,Emp_Codes,0)),"NOT FOUND"))</f>
        <v/>
      </c>
      <c r="T1620" s="12" t="n"/>
      <c r="U1620" s="12" t="n"/>
      <c r="V1620" s="12" t="n"/>
    </row>
    <row r="1621">
      <c r="A1621" s="12" t="n"/>
      <c r="B1621" s="12" t="n"/>
      <c r="C1621" s="12" t="n"/>
      <c r="D1621" s="13">
        <f>IF($A1621="","",TRIM($B1621&amp;" "&amp;$C1621))</f>
        <v/>
      </c>
      <c r="E1621" s="12" t="n"/>
      <c r="F1621" s="12" t="n"/>
      <c r="G1621" s="14" t="n"/>
      <c r="H1621" s="14" t="n"/>
      <c r="I1621" s="12" t="n"/>
      <c r="J1621" s="14" t="n"/>
      <c r="K1621" s="12" t="n"/>
      <c r="L1621" s="13">
        <f>IF($K1621="","",IFERROR(INDEX(Dept_Names,MATCH($K1621,Dept_Codes,0)),"NOT FOUND"))</f>
        <v/>
      </c>
      <c r="M1621" s="12" t="n"/>
      <c r="N1621" s="13">
        <f>IF($M1621="","",IFERROR(INDEX(Desig_Names,MATCH($M1621,Desig_Codes,0)),"NOT FOUND"))</f>
        <v/>
      </c>
      <c r="O1621" s="13">
        <f>IF($M1621="","",IFERROR(INDEX(Desig_Levels,MATCH($M1621,Desig_Codes,0)),""))</f>
        <v/>
      </c>
      <c r="P1621" s="12" t="n"/>
      <c r="Q1621" s="12" t="n"/>
      <c r="R1621" s="12" t="n"/>
      <c r="S1621" s="13">
        <f>IF($R1621="","",IFERROR(INDEX(Emp_Names,MATCH($R1621,Emp_Codes,0)),"NOT FOUND"))</f>
        <v/>
      </c>
      <c r="T1621" s="12" t="n"/>
      <c r="U1621" s="12" t="n"/>
      <c r="V1621" s="12" t="n"/>
    </row>
    <row r="1622">
      <c r="A1622" s="12" t="n"/>
      <c r="B1622" s="12" t="n"/>
      <c r="C1622" s="12" t="n"/>
      <c r="D1622" s="13">
        <f>IF($A1622="","",TRIM($B1622&amp;" "&amp;$C1622))</f>
        <v/>
      </c>
      <c r="E1622" s="12" t="n"/>
      <c r="F1622" s="12" t="n"/>
      <c r="G1622" s="14" t="n"/>
      <c r="H1622" s="14" t="n"/>
      <c r="I1622" s="12" t="n"/>
      <c r="J1622" s="14" t="n"/>
      <c r="K1622" s="12" t="n"/>
      <c r="L1622" s="13">
        <f>IF($K1622="","",IFERROR(INDEX(Dept_Names,MATCH($K1622,Dept_Codes,0)),"NOT FOUND"))</f>
        <v/>
      </c>
      <c r="M1622" s="12" t="n"/>
      <c r="N1622" s="13">
        <f>IF($M1622="","",IFERROR(INDEX(Desig_Names,MATCH($M1622,Desig_Codes,0)),"NOT FOUND"))</f>
        <v/>
      </c>
      <c r="O1622" s="13">
        <f>IF($M1622="","",IFERROR(INDEX(Desig_Levels,MATCH($M1622,Desig_Codes,0)),""))</f>
        <v/>
      </c>
      <c r="P1622" s="12" t="n"/>
      <c r="Q1622" s="12" t="n"/>
      <c r="R1622" s="12" t="n"/>
      <c r="S1622" s="13">
        <f>IF($R1622="","",IFERROR(INDEX(Emp_Names,MATCH($R1622,Emp_Codes,0)),"NOT FOUND"))</f>
        <v/>
      </c>
      <c r="T1622" s="12" t="n"/>
      <c r="U1622" s="12" t="n"/>
      <c r="V1622" s="12" t="n"/>
    </row>
    <row r="1623">
      <c r="A1623" s="12" t="n"/>
      <c r="B1623" s="12" t="n"/>
      <c r="C1623" s="12" t="n"/>
      <c r="D1623" s="13">
        <f>IF($A1623="","",TRIM($B1623&amp;" "&amp;$C1623))</f>
        <v/>
      </c>
      <c r="E1623" s="12" t="n"/>
      <c r="F1623" s="12" t="n"/>
      <c r="G1623" s="14" t="n"/>
      <c r="H1623" s="14" t="n"/>
      <c r="I1623" s="12" t="n"/>
      <c r="J1623" s="14" t="n"/>
      <c r="K1623" s="12" t="n"/>
      <c r="L1623" s="13">
        <f>IF($K1623="","",IFERROR(INDEX(Dept_Names,MATCH($K1623,Dept_Codes,0)),"NOT FOUND"))</f>
        <v/>
      </c>
      <c r="M1623" s="12" t="n"/>
      <c r="N1623" s="13">
        <f>IF($M1623="","",IFERROR(INDEX(Desig_Names,MATCH($M1623,Desig_Codes,0)),"NOT FOUND"))</f>
        <v/>
      </c>
      <c r="O1623" s="13">
        <f>IF($M1623="","",IFERROR(INDEX(Desig_Levels,MATCH($M1623,Desig_Codes,0)),""))</f>
        <v/>
      </c>
      <c r="P1623" s="12" t="n"/>
      <c r="Q1623" s="12" t="n"/>
      <c r="R1623" s="12" t="n"/>
      <c r="S1623" s="13">
        <f>IF($R1623="","",IFERROR(INDEX(Emp_Names,MATCH($R1623,Emp_Codes,0)),"NOT FOUND"))</f>
        <v/>
      </c>
      <c r="T1623" s="12" t="n"/>
      <c r="U1623" s="12" t="n"/>
      <c r="V1623" s="12" t="n"/>
    </row>
    <row r="1624">
      <c r="A1624" s="12" t="n"/>
      <c r="B1624" s="12" t="n"/>
      <c r="C1624" s="12" t="n"/>
      <c r="D1624" s="13">
        <f>IF($A1624="","",TRIM($B1624&amp;" "&amp;$C1624))</f>
        <v/>
      </c>
      <c r="E1624" s="12" t="n"/>
      <c r="F1624" s="12" t="n"/>
      <c r="G1624" s="14" t="n"/>
      <c r="H1624" s="14" t="n"/>
      <c r="I1624" s="12" t="n"/>
      <c r="J1624" s="14" t="n"/>
      <c r="K1624" s="12" t="n"/>
      <c r="L1624" s="13">
        <f>IF($K1624="","",IFERROR(INDEX(Dept_Names,MATCH($K1624,Dept_Codes,0)),"NOT FOUND"))</f>
        <v/>
      </c>
      <c r="M1624" s="12" t="n"/>
      <c r="N1624" s="13">
        <f>IF($M1624="","",IFERROR(INDEX(Desig_Names,MATCH($M1624,Desig_Codes,0)),"NOT FOUND"))</f>
        <v/>
      </c>
      <c r="O1624" s="13">
        <f>IF($M1624="","",IFERROR(INDEX(Desig_Levels,MATCH($M1624,Desig_Codes,0)),""))</f>
        <v/>
      </c>
      <c r="P1624" s="12" t="n"/>
      <c r="Q1624" s="12" t="n"/>
      <c r="R1624" s="12" t="n"/>
      <c r="S1624" s="13">
        <f>IF($R1624="","",IFERROR(INDEX(Emp_Names,MATCH($R1624,Emp_Codes,0)),"NOT FOUND"))</f>
        <v/>
      </c>
      <c r="T1624" s="12" t="n"/>
      <c r="U1624" s="12" t="n"/>
      <c r="V1624" s="12" t="n"/>
    </row>
    <row r="1625">
      <c r="A1625" s="12" t="n"/>
      <c r="B1625" s="12" t="n"/>
      <c r="C1625" s="12" t="n"/>
      <c r="D1625" s="13">
        <f>IF($A1625="","",TRIM($B1625&amp;" "&amp;$C1625))</f>
        <v/>
      </c>
      <c r="E1625" s="12" t="n"/>
      <c r="F1625" s="12" t="n"/>
      <c r="G1625" s="14" t="n"/>
      <c r="H1625" s="14" t="n"/>
      <c r="I1625" s="12" t="n"/>
      <c r="J1625" s="14" t="n"/>
      <c r="K1625" s="12" t="n"/>
      <c r="L1625" s="13">
        <f>IF($K1625="","",IFERROR(INDEX(Dept_Names,MATCH($K1625,Dept_Codes,0)),"NOT FOUND"))</f>
        <v/>
      </c>
      <c r="M1625" s="12" t="n"/>
      <c r="N1625" s="13">
        <f>IF($M1625="","",IFERROR(INDEX(Desig_Names,MATCH($M1625,Desig_Codes,0)),"NOT FOUND"))</f>
        <v/>
      </c>
      <c r="O1625" s="13">
        <f>IF($M1625="","",IFERROR(INDEX(Desig_Levels,MATCH($M1625,Desig_Codes,0)),""))</f>
        <v/>
      </c>
      <c r="P1625" s="12" t="n"/>
      <c r="Q1625" s="12" t="n"/>
      <c r="R1625" s="12" t="n"/>
      <c r="S1625" s="13">
        <f>IF($R1625="","",IFERROR(INDEX(Emp_Names,MATCH($R1625,Emp_Codes,0)),"NOT FOUND"))</f>
        <v/>
      </c>
      <c r="T1625" s="12" t="n"/>
      <c r="U1625" s="12" t="n"/>
      <c r="V1625" s="12" t="n"/>
    </row>
    <row r="1626">
      <c r="A1626" s="12" t="n"/>
      <c r="B1626" s="12" t="n"/>
      <c r="C1626" s="12" t="n"/>
      <c r="D1626" s="13">
        <f>IF($A1626="","",TRIM($B1626&amp;" "&amp;$C1626))</f>
        <v/>
      </c>
      <c r="E1626" s="12" t="n"/>
      <c r="F1626" s="12" t="n"/>
      <c r="G1626" s="14" t="n"/>
      <c r="H1626" s="14" t="n"/>
      <c r="I1626" s="12" t="n"/>
      <c r="J1626" s="14" t="n"/>
      <c r="K1626" s="12" t="n"/>
      <c r="L1626" s="13">
        <f>IF($K1626="","",IFERROR(INDEX(Dept_Names,MATCH($K1626,Dept_Codes,0)),"NOT FOUND"))</f>
        <v/>
      </c>
      <c r="M1626" s="12" t="n"/>
      <c r="N1626" s="13">
        <f>IF($M1626="","",IFERROR(INDEX(Desig_Names,MATCH($M1626,Desig_Codes,0)),"NOT FOUND"))</f>
        <v/>
      </c>
      <c r="O1626" s="13">
        <f>IF($M1626="","",IFERROR(INDEX(Desig_Levels,MATCH($M1626,Desig_Codes,0)),""))</f>
        <v/>
      </c>
      <c r="P1626" s="12" t="n"/>
      <c r="Q1626" s="12" t="n"/>
      <c r="R1626" s="12" t="n"/>
      <c r="S1626" s="13">
        <f>IF($R1626="","",IFERROR(INDEX(Emp_Names,MATCH($R1626,Emp_Codes,0)),"NOT FOUND"))</f>
        <v/>
      </c>
      <c r="T1626" s="12" t="n"/>
      <c r="U1626" s="12" t="n"/>
      <c r="V1626" s="12" t="n"/>
    </row>
    <row r="1627">
      <c r="A1627" s="12" t="n"/>
      <c r="B1627" s="12" t="n"/>
      <c r="C1627" s="12" t="n"/>
      <c r="D1627" s="13">
        <f>IF($A1627="","",TRIM($B1627&amp;" "&amp;$C1627))</f>
        <v/>
      </c>
      <c r="E1627" s="12" t="n"/>
      <c r="F1627" s="12" t="n"/>
      <c r="G1627" s="14" t="n"/>
      <c r="H1627" s="14" t="n"/>
      <c r="I1627" s="12" t="n"/>
      <c r="J1627" s="14" t="n"/>
      <c r="K1627" s="12" t="n"/>
      <c r="L1627" s="13">
        <f>IF($K1627="","",IFERROR(INDEX(Dept_Names,MATCH($K1627,Dept_Codes,0)),"NOT FOUND"))</f>
        <v/>
      </c>
      <c r="M1627" s="12" t="n"/>
      <c r="N1627" s="13">
        <f>IF($M1627="","",IFERROR(INDEX(Desig_Names,MATCH($M1627,Desig_Codes,0)),"NOT FOUND"))</f>
        <v/>
      </c>
      <c r="O1627" s="13">
        <f>IF($M1627="","",IFERROR(INDEX(Desig_Levels,MATCH($M1627,Desig_Codes,0)),""))</f>
        <v/>
      </c>
      <c r="P1627" s="12" t="n"/>
      <c r="Q1627" s="12" t="n"/>
      <c r="R1627" s="12" t="n"/>
      <c r="S1627" s="13">
        <f>IF($R1627="","",IFERROR(INDEX(Emp_Names,MATCH($R1627,Emp_Codes,0)),"NOT FOUND"))</f>
        <v/>
      </c>
      <c r="T1627" s="12" t="n"/>
      <c r="U1627" s="12" t="n"/>
      <c r="V1627" s="12" t="n"/>
    </row>
    <row r="1628">
      <c r="A1628" s="12" t="n"/>
      <c r="B1628" s="12" t="n"/>
      <c r="C1628" s="12" t="n"/>
      <c r="D1628" s="13">
        <f>IF($A1628="","",TRIM($B1628&amp;" "&amp;$C1628))</f>
        <v/>
      </c>
      <c r="E1628" s="12" t="n"/>
      <c r="F1628" s="12" t="n"/>
      <c r="G1628" s="14" t="n"/>
      <c r="H1628" s="14" t="n"/>
      <c r="I1628" s="12" t="n"/>
      <c r="J1628" s="14" t="n"/>
      <c r="K1628" s="12" t="n"/>
      <c r="L1628" s="13">
        <f>IF($K1628="","",IFERROR(INDEX(Dept_Names,MATCH($K1628,Dept_Codes,0)),"NOT FOUND"))</f>
        <v/>
      </c>
      <c r="M1628" s="12" t="n"/>
      <c r="N1628" s="13">
        <f>IF($M1628="","",IFERROR(INDEX(Desig_Names,MATCH($M1628,Desig_Codes,0)),"NOT FOUND"))</f>
        <v/>
      </c>
      <c r="O1628" s="13">
        <f>IF($M1628="","",IFERROR(INDEX(Desig_Levels,MATCH($M1628,Desig_Codes,0)),""))</f>
        <v/>
      </c>
      <c r="P1628" s="12" t="n"/>
      <c r="Q1628" s="12" t="n"/>
      <c r="R1628" s="12" t="n"/>
      <c r="S1628" s="13">
        <f>IF($R1628="","",IFERROR(INDEX(Emp_Names,MATCH($R1628,Emp_Codes,0)),"NOT FOUND"))</f>
        <v/>
      </c>
      <c r="T1628" s="12" t="n"/>
      <c r="U1628" s="12" t="n"/>
      <c r="V1628" s="12" t="n"/>
    </row>
    <row r="1629">
      <c r="A1629" s="12" t="n"/>
      <c r="B1629" s="12" t="n"/>
      <c r="C1629" s="12" t="n"/>
      <c r="D1629" s="13">
        <f>IF($A1629="","",TRIM($B1629&amp;" "&amp;$C1629))</f>
        <v/>
      </c>
      <c r="E1629" s="12" t="n"/>
      <c r="F1629" s="12" t="n"/>
      <c r="G1629" s="14" t="n"/>
      <c r="H1629" s="14" t="n"/>
      <c r="I1629" s="12" t="n"/>
      <c r="J1629" s="14" t="n"/>
      <c r="K1629" s="12" t="n"/>
      <c r="L1629" s="13">
        <f>IF($K1629="","",IFERROR(INDEX(Dept_Names,MATCH($K1629,Dept_Codes,0)),"NOT FOUND"))</f>
        <v/>
      </c>
      <c r="M1629" s="12" t="n"/>
      <c r="N1629" s="13">
        <f>IF($M1629="","",IFERROR(INDEX(Desig_Names,MATCH($M1629,Desig_Codes,0)),"NOT FOUND"))</f>
        <v/>
      </c>
      <c r="O1629" s="13">
        <f>IF($M1629="","",IFERROR(INDEX(Desig_Levels,MATCH($M1629,Desig_Codes,0)),""))</f>
        <v/>
      </c>
      <c r="P1629" s="12" t="n"/>
      <c r="Q1629" s="12" t="n"/>
      <c r="R1629" s="12" t="n"/>
      <c r="S1629" s="13">
        <f>IF($R1629="","",IFERROR(INDEX(Emp_Names,MATCH($R1629,Emp_Codes,0)),"NOT FOUND"))</f>
        <v/>
      </c>
      <c r="T1629" s="12" t="n"/>
      <c r="U1629" s="12" t="n"/>
      <c r="V1629" s="12" t="n"/>
    </row>
    <row r="1630">
      <c r="A1630" s="12" t="n"/>
      <c r="B1630" s="12" t="n"/>
      <c r="C1630" s="12" t="n"/>
      <c r="D1630" s="13">
        <f>IF($A1630="","",TRIM($B1630&amp;" "&amp;$C1630))</f>
        <v/>
      </c>
      <c r="E1630" s="12" t="n"/>
      <c r="F1630" s="12" t="n"/>
      <c r="G1630" s="14" t="n"/>
      <c r="H1630" s="14" t="n"/>
      <c r="I1630" s="12" t="n"/>
      <c r="J1630" s="14" t="n"/>
      <c r="K1630" s="12" t="n"/>
      <c r="L1630" s="13">
        <f>IF($K1630="","",IFERROR(INDEX(Dept_Names,MATCH($K1630,Dept_Codes,0)),"NOT FOUND"))</f>
        <v/>
      </c>
      <c r="M1630" s="12" t="n"/>
      <c r="N1630" s="13">
        <f>IF($M1630="","",IFERROR(INDEX(Desig_Names,MATCH($M1630,Desig_Codes,0)),"NOT FOUND"))</f>
        <v/>
      </c>
      <c r="O1630" s="13">
        <f>IF($M1630="","",IFERROR(INDEX(Desig_Levels,MATCH($M1630,Desig_Codes,0)),""))</f>
        <v/>
      </c>
      <c r="P1630" s="12" t="n"/>
      <c r="Q1630" s="12" t="n"/>
      <c r="R1630" s="12" t="n"/>
      <c r="S1630" s="13">
        <f>IF($R1630="","",IFERROR(INDEX(Emp_Names,MATCH($R1630,Emp_Codes,0)),"NOT FOUND"))</f>
        <v/>
      </c>
      <c r="T1630" s="12" t="n"/>
      <c r="U1630" s="12" t="n"/>
      <c r="V1630" s="12" t="n"/>
    </row>
    <row r="1631">
      <c r="A1631" s="12" t="n"/>
      <c r="B1631" s="12" t="n"/>
      <c r="C1631" s="12" t="n"/>
      <c r="D1631" s="13">
        <f>IF($A1631="","",TRIM($B1631&amp;" "&amp;$C1631))</f>
        <v/>
      </c>
      <c r="E1631" s="12" t="n"/>
      <c r="F1631" s="12" t="n"/>
      <c r="G1631" s="14" t="n"/>
      <c r="H1631" s="14" t="n"/>
      <c r="I1631" s="12" t="n"/>
      <c r="J1631" s="14" t="n"/>
      <c r="K1631" s="12" t="n"/>
      <c r="L1631" s="13">
        <f>IF($K1631="","",IFERROR(INDEX(Dept_Names,MATCH($K1631,Dept_Codes,0)),"NOT FOUND"))</f>
        <v/>
      </c>
      <c r="M1631" s="12" t="n"/>
      <c r="N1631" s="13">
        <f>IF($M1631="","",IFERROR(INDEX(Desig_Names,MATCH($M1631,Desig_Codes,0)),"NOT FOUND"))</f>
        <v/>
      </c>
      <c r="O1631" s="13">
        <f>IF($M1631="","",IFERROR(INDEX(Desig_Levels,MATCH($M1631,Desig_Codes,0)),""))</f>
        <v/>
      </c>
      <c r="P1631" s="12" t="n"/>
      <c r="Q1631" s="12" t="n"/>
      <c r="R1631" s="12" t="n"/>
      <c r="S1631" s="13">
        <f>IF($R1631="","",IFERROR(INDEX(Emp_Names,MATCH($R1631,Emp_Codes,0)),"NOT FOUND"))</f>
        <v/>
      </c>
      <c r="T1631" s="12" t="n"/>
      <c r="U1631" s="12" t="n"/>
      <c r="V1631" s="12" t="n"/>
    </row>
    <row r="1632">
      <c r="A1632" s="12" t="n"/>
      <c r="B1632" s="12" t="n"/>
      <c r="C1632" s="12" t="n"/>
      <c r="D1632" s="13">
        <f>IF($A1632="","",TRIM($B1632&amp;" "&amp;$C1632))</f>
        <v/>
      </c>
      <c r="E1632" s="12" t="n"/>
      <c r="F1632" s="12" t="n"/>
      <c r="G1632" s="14" t="n"/>
      <c r="H1632" s="14" t="n"/>
      <c r="I1632" s="12" t="n"/>
      <c r="J1632" s="14" t="n"/>
      <c r="K1632" s="12" t="n"/>
      <c r="L1632" s="13">
        <f>IF($K1632="","",IFERROR(INDEX(Dept_Names,MATCH($K1632,Dept_Codes,0)),"NOT FOUND"))</f>
        <v/>
      </c>
      <c r="M1632" s="12" t="n"/>
      <c r="N1632" s="13">
        <f>IF($M1632="","",IFERROR(INDEX(Desig_Names,MATCH($M1632,Desig_Codes,0)),"NOT FOUND"))</f>
        <v/>
      </c>
      <c r="O1632" s="13">
        <f>IF($M1632="","",IFERROR(INDEX(Desig_Levels,MATCH($M1632,Desig_Codes,0)),""))</f>
        <v/>
      </c>
      <c r="P1632" s="12" t="n"/>
      <c r="Q1632" s="12" t="n"/>
      <c r="R1632" s="12" t="n"/>
      <c r="S1632" s="13">
        <f>IF($R1632="","",IFERROR(INDEX(Emp_Names,MATCH($R1632,Emp_Codes,0)),"NOT FOUND"))</f>
        <v/>
      </c>
      <c r="T1632" s="12" t="n"/>
      <c r="U1632" s="12" t="n"/>
      <c r="V1632" s="12" t="n"/>
    </row>
    <row r="1633">
      <c r="A1633" s="12" t="n"/>
      <c r="B1633" s="12" t="n"/>
      <c r="C1633" s="12" t="n"/>
      <c r="D1633" s="13">
        <f>IF($A1633="","",TRIM($B1633&amp;" "&amp;$C1633))</f>
        <v/>
      </c>
      <c r="E1633" s="12" t="n"/>
      <c r="F1633" s="12" t="n"/>
      <c r="G1633" s="14" t="n"/>
      <c r="H1633" s="14" t="n"/>
      <c r="I1633" s="12" t="n"/>
      <c r="J1633" s="14" t="n"/>
      <c r="K1633" s="12" t="n"/>
      <c r="L1633" s="13">
        <f>IF($K1633="","",IFERROR(INDEX(Dept_Names,MATCH($K1633,Dept_Codes,0)),"NOT FOUND"))</f>
        <v/>
      </c>
      <c r="M1633" s="12" t="n"/>
      <c r="N1633" s="13">
        <f>IF($M1633="","",IFERROR(INDEX(Desig_Names,MATCH($M1633,Desig_Codes,0)),"NOT FOUND"))</f>
        <v/>
      </c>
      <c r="O1633" s="13">
        <f>IF($M1633="","",IFERROR(INDEX(Desig_Levels,MATCH($M1633,Desig_Codes,0)),""))</f>
        <v/>
      </c>
      <c r="P1633" s="12" t="n"/>
      <c r="Q1633" s="12" t="n"/>
      <c r="R1633" s="12" t="n"/>
      <c r="S1633" s="13">
        <f>IF($R1633="","",IFERROR(INDEX(Emp_Names,MATCH($R1633,Emp_Codes,0)),"NOT FOUND"))</f>
        <v/>
      </c>
      <c r="T1633" s="12" t="n"/>
      <c r="U1633" s="12" t="n"/>
      <c r="V1633" s="12" t="n"/>
    </row>
    <row r="1634">
      <c r="A1634" s="12" t="n"/>
      <c r="B1634" s="12" t="n"/>
      <c r="C1634" s="12" t="n"/>
      <c r="D1634" s="13">
        <f>IF($A1634="","",TRIM($B1634&amp;" "&amp;$C1634))</f>
        <v/>
      </c>
      <c r="E1634" s="12" t="n"/>
      <c r="F1634" s="12" t="n"/>
      <c r="G1634" s="14" t="n"/>
      <c r="H1634" s="14" t="n"/>
      <c r="I1634" s="12" t="n"/>
      <c r="J1634" s="14" t="n"/>
      <c r="K1634" s="12" t="n"/>
      <c r="L1634" s="13">
        <f>IF($K1634="","",IFERROR(INDEX(Dept_Names,MATCH($K1634,Dept_Codes,0)),"NOT FOUND"))</f>
        <v/>
      </c>
      <c r="M1634" s="12" t="n"/>
      <c r="N1634" s="13">
        <f>IF($M1634="","",IFERROR(INDEX(Desig_Names,MATCH($M1634,Desig_Codes,0)),"NOT FOUND"))</f>
        <v/>
      </c>
      <c r="O1634" s="13">
        <f>IF($M1634="","",IFERROR(INDEX(Desig_Levels,MATCH($M1634,Desig_Codes,0)),""))</f>
        <v/>
      </c>
      <c r="P1634" s="12" t="n"/>
      <c r="Q1634" s="12" t="n"/>
      <c r="R1634" s="12" t="n"/>
      <c r="S1634" s="13">
        <f>IF($R1634="","",IFERROR(INDEX(Emp_Names,MATCH($R1634,Emp_Codes,0)),"NOT FOUND"))</f>
        <v/>
      </c>
      <c r="T1634" s="12" t="n"/>
      <c r="U1634" s="12" t="n"/>
      <c r="V1634" s="12" t="n"/>
    </row>
    <row r="1635">
      <c r="A1635" s="12" t="n"/>
      <c r="B1635" s="12" t="n"/>
      <c r="C1635" s="12" t="n"/>
      <c r="D1635" s="13">
        <f>IF($A1635="","",TRIM($B1635&amp;" "&amp;$C1635))</f>
        <v/>
      </c>
      <c r="E1635" s="12" t="n"/>
      <c r="F1635" s="12" t="n"/>
      <c r="G1635" s="14" t="n"/>
      <c r="H1635" s="14" t="n"/>
      <c r="I1635" s="12" t="n"/>
      <c r="J1635" s="14" t="n"/>
      <c r="K1635" s="12" t="n"/>
      <c r="L1635" s="13">
        <f>IF($K1635="","",IFERROR(INDEX(Dept_Names,MATCH($K1635,Dept_Codes,0)),"NOT FOUND"))</f>
        <v/>
      </c>
      <c r="M1635" s="12" t="n"/>
      <c r="N1635" s="13">
        <f>IF($M1635="","",IFERROR(INDEX(Desig_Names,MATCH($M1635,Desig_Codes,0)),"NOT FOUND"))</f>
        <v/>
      </c>
      <c r="O1635" s="13">
        <f>IF($M1635="","",IFERROR(INDEX(Desig_Levels,MATCH($M1635,Desig_Codes,0)),""))</f>
        <v/>
      </c>
      <c r="P1635" s="12" t="n"/>
      <c r="Q1635" s="12" t="n"/>
      <c r="R1635" s="12" t="n"/>
      <c r="S1635" s="13">
        <f>IF($R1635="","",IFERROR(INDEX(Emp_Names,MATCH($R1635,Emp_Codes,0)),"NOT FOUND"))</f>
        <v/>
      </c>
      <c r="T1635" s="12" t="n"/>
      <c r="U1635" s="12" t="n"/>
      <c r="V1635" s="12" t="n"/>
    </row>
    <row r="1636">
      <c r="A1636" s="12" t="n"/>
      <c r="B1636" s="12" t="n"/>
      <c r="C1636" s="12" t="n"/>
      <c r="D1636" s="13">
        <f>IF($A1636="","",TRIM($B1636&amp;" "&amp;$C1636))</f>
        <v/>
      </c>
      <c r="E1636" s="12" t="n"/>
      <c r="F1636" s="12" t="n"/>
      <c r="G1636" s="14" t="n"/>
      <c r="H1636" s="14" t="n"/>
      <c r="I1636" s="12" t="n"/>
      <c r="J1636" s="14" t="n"/>
      <c r="K1636" s="12" t="n"/>
      <c r="L1636" s="13">
        <f>IF($K1636="","",IFERROR(INDEX(Dept_Names,MATCH($K1636,Dept_Codes,0)),"NOT FOUND"))</f>
        <v/>
      </c>
      <c r="M1636" s="12" t="n"/>
      <c r="N1636" s="13">
        <f>IF($M1636="","",IFERROR(INDEX(Desig_Names,MATCH($M1636,Desig_Codes,0)),"NOT FOUND"))</f>
        <v/>
      </c>
      <c r="O1636" s="13">
        <f>IF($M1636="","",IFERROR(INDEX(Desig_Levels,MATCH($M1636,Desig_Codes,0)),""))</f>
        <v/>
      </c>
      <c r="P1636" s="12" t="n"/>
      <c r="Q1636" s="12" t="n"/>
      <c r="R1636" s="12" t="n"/>
      <c r="S1636" s="13">
        <f>IF($R1636="","",IFERROR(INDEX(Emp_Names,MATCH($R1636,Emp_Codes,0)),"NOT FOUND"))</f>
        <v/>
      </c>
      <c r="T1636" s="12" t="n"/>
      <c r="U1636" s="12" t="n"/>
      <c r="V1636" s="12" t="n"/>
    </row>
    <row r="1637">
      <c r="A1637" s="12" t="n"/>
      <c r="B1637" s="12" t="n"/>
      <c r="C1637" s="12" t="n"/>
      <c r="D1637" s="13">
        <f>IF($A1637="","",TRIM($B1637&amp;" "&amp;$C1637))</f>
        <v/>
      </c>
      <c r="E1637" s="12" t="n"/>
      <c r="F1637" s="12" t="n"/>
      <c r="G1637" s="14" t="n"/>
      <c r="H1637" s="14" t="n"/>
      <c r="I1637" s="12" t="n"/>
      <c r="J1637" s="14" t="n"/>
      <c r="K1637" s="12" t="n"/>
      <c r="L1637" s="13">
        <f>IF($K1637="","",IFERROR(INDEX(Dept_Names,MATCH($K1637,Dept_Codes,0)),"NOT FOUND"))</f>
        <v/>
      </c>
      <c r="M1637" s="12" t="n"/>
      <c r="N1637" s="13">
        <f>IF($M1637="","",IFERROR(INDEX(Desig_Names,MATCH($M1637,Desig_Codes,0)),"NOT FOUND"))</f>
        <v/>
      </c>
      <c r="O1637" s="13">
        <f>IF($M1637="","",IFERROR(INDEX(Desig_Levels,MATCH($M1637,Desig_Codes,0)),""))</f>
        <v/>
      </c>
      <c r="P1637" s="12" t="n"/>
      <c r="Q1637" s="12" t="n"/>
      <c r="R1637" s="12" t="n"/>
      <c r="S1637" s="13">
        <f>IF($R1637="","",IFERROR(INDEX(Emp_Names,MATCH($R1637,Emp_Codes,0)),"NOT FOUND"))</f>
        <v/>
      </c>
      <c r="T1637" s="12" t="n"/>
      <c r="U1637" s="12" t="n"/>
      <c r="V1637" s="12" t="n"/>
    </row>
    <row r="1638">
      <c r="A1638" s="12" t="n"/>
      <c r="B1638" s="12" t="n"/>
      <c r="C1638" s="12" t="n"/>
      <c r="D1638" s="13">
        <f>IF($A1638="","",TRIM($B1638&amp;" "&amp;$C1638))</f>
        <v/>
      </c>
      <c r="E1638" s="12" t="n"/>
      <c r="F1638" s="12" t="n"/>
      <c r="G1638" s="14" t="n"/>
      <c r="H1638" s="14" t="n"/>
      <c r="I1638" s="12" t="n"/>
      <c r="J1638" s="14" t="n"/>
      <c r="K1638" s="12" t="n"/>
      <c r="L1638" s="13">
        <f>IF($K1638="","",IFERROR(INDEX(Dept_Names,MATCH($K1638,Dept_Codes,0)),"NOT FOUND"))</f>
        <v/>
      </c>
      <c r="M1638" s="12" t="n"/>
      <c r="N1638" s="13">
        <f>IF($M1638="","",IFERROR(INDEX(Desig_Names,MATCH($M1638,Desig_Codes,0)),"NOT FOUND"))</f>
        <v/>
      </c>
      <c r="O1638" s="13">
        <f>IF($M1638="","",IFERROR(INDEX(Desig_Levels,MATCH($M1638,Desig_Codes,0)),""))</f>
        <v/>
      </c>
      <c r="P1638" s="12" t="n"/>
      <c r="Q1638" s="12" t="n"/>
      <c r="R1638" s="12" t="n"/>
      <c r="S1638" s="13">
        <f>IF($R1638="","",IFERROR(INDEX(Emp_Names,MATCH($R1638,Emp_Codes,0)),"NOT FOUND"))</f>
        <v/>
      </c>
      <c r="T1638" s="12" t="n"/>
      <c r="U1638" s="12" t="n"/>
      <c r="V1638" s="12" t="n"/>
    </row>
    <row r="1639">
      <c r="A1639" s="12" t="n"/>
      <c r="B1639" s="12" t="n"/>
      <c r="C1639" s="12" t="n"/>
      <c r="D1639" s="13">
        <f>IF($A1639="","",TRIM($B1639&amp;" "&amp;$C1639))</f>
        <v/>
      </c>
      <c r="E1639" s="12" t="n"/>
      <c r="F1639" s="12" t="n"/>
      <c r="G1639" s="14" t="n"/>
      <c r="H1639" s="14" t="n"/>
      <c r="I1639" s="12" t="n"/>
      <c r="J1639" s="14" t="n"/>
      <c r="K1639" s="12" t="n"/>
      <c r="L1639" s="13">
        <f>IF($K1639="","",IFERROR(INDEX(Dept_Names,MATCH($K1639,Dept_Codes,0)),"NOT FOUND"))</f>
        <v/>
      </c>
      <c r="M1639" s="12" t="n"/>
      <c r="N1639" s="13">
        <f>IF($M1639="","",IFERROR(INDEX(Desig_Names,MATCH($M1639,Desig_Codes,0)),"NOT FOUND"))</f>
        <v/>
      </c>
      <c r="O1639" s="13">
        <f>IF($M1639="","",IFERROR(INDEX(Desig_Levels,MATCH($M1639,Desig_Codes,0)),""))</f>
        <v/>
      </c>
      <c r="P1639" s="12" t="n"/>
      <c r="Q1639" s="12" t="n"/>
      <c r="R1639" s="12" t="n"/>
      <c r="S1639" s="13">
        <f>IF($R1639="","",IFERROR(INDEX(Emp_Names,MATCH($R1639,Emp_Codes,0)),"NOT FOUND"))</f>
        <v/>
      </c>
      <c r="T1639" s="12" t="n"/>
      <c r="U1639" s="12" t="n"/>
      <c r="V1639" s="12" t="n"/>
    </row>
    <row r="1640">
      <c r="A1640" s="12" t="n"/>
      <c r="B1640" s="12" t="n"/>
      <c r="C1640" s="12" t="n"/>
      <c r="D1640" s="13">
        <f>IF($A1640="","",TRIM($B1640&amp;" "&amp;$C1640))</f>
        <v/>
      </c>
      <c r="E1640" s="12" t="n"/>
      <c r="F1640" s="12" t="n"/>
      <c r="G1640" s="14" t="n"/>
      <c r="H1640" s="14" t="n"/>
      <c r="I1640" s="12" t="n"/>
      <c r="J1640" s="14" t="n"/>
      <c r="K1640" s="12" t="n"/>
      <c r="L1640" s="13">
        <f>IF($K1640="","",IFERROR(INDEX(Dept_Names,MATCH($K1640,Dept_Codes,0)),"NOT FOUND"))</f>
        <v/>
      </c>
      <c r="M1640" s="12" t="n"/>
      <c r="N1640" s="13">
        <f>IF($M1640="","",IFERROR(INDEX(Desig_Names,MATCH($M1640,Desig_Codes,0)),"NOT FOUND"))</f>
        <v/>
      </c>
      <c r="O1640" s="13">
        <f>IF($M1640="","",IFERROR(INDEX(Desig_Levels,MATCH($M1640,Desig_Codes,0)),""))</f>
        <v/>
      </c>
      <c r="P1640" s="12" t="n"/>
      <c r="Q1640" s="12" t="n"/>
      <c r="R1640" s="12" t="n"/>
      <c r="S1640" s="13">
        <f>IF($R1640="","",IFERROR(INDEX(Emp_Names,MATCH($R1640,Emp_Codes,0)),"NOT FOUND"))</f>
        <v/>
      </c>
      <c r="T1640" s="12" t="n"/>
      <c r="U1640" s="12" t="n"/>
      <c r="V1640" s="12" t="n"/>
    </row>
    <row r="1641">
      <c r="A1641" s="12" t="n"/>
      <c r="B1641" s="12" t="n"/>
      <c r="C1641" s="12" t="n"/>
      <c r="D1641" s="13">
        <f>IF($A1641="","",TRIM($B1641&amp;" "&amp;$C1641))</f>
        <v/>
      </c>
      <c r="E1641" s="12" t="n"/>
      <c r="F1641" s="12" t="n"/>
      <c r="G1641" s="14" t="n"/>
      <c r="H1641" s="14" t="n"/>
      <c r="I1641" s="12" t="n"/>
      <c r="J1641" s="14" t="n"/>
      <c r="K1641" s="12" t="n"/>
      <c r="L1641" s="13">
        <f>IF($K1641="","",IFERROR(INDEX(Dept_Names,MATCH($K1641,Dept_Codes,0)),"NOT FOUND"))</f>
        <v/>
      </c>
      <c r="M1641" s="12" t="n"/>
      <c r="N1641" s="13">
        <f>IF($M1641="","",IFERROR(INDEX(Desig_Names,MATCH($M1641,Desig_Codes,0)),"NOT FOUND"))</f>
        <v/>
      </c>
      <c r="O1641" s="13">
        <f>IF($M1641="","",IFERROR(INDEX(Desig_Levels,MATCH($M1641,Desig_Codes,0)),""))</f>
        <v/>
      </c>
      <c r="P1641" s="12" t="n"/>
      <c r="Q1641" s="12" t="n"/>
      <c r="R1641" s="12" t="n"/>
      <c r="S1641" s="13">
        <f>IF($R1641="","",IFERROR(INDEX(Emp_Names,MATCH($R1641,Emp_Codes,0)),"NOT FOUND"))</f>
        <v/>
      </c>
      <c r="T1641" s="12" t="n"/>
      <c r="U1641" s="12" t="n"/>
      <c r="V1641" s="12" t="n"/>
    </row>
    <row r="1642">
      <c r="A1642" s="12" t="n"/>
      <c r="B1642" s="12" t="n"/>
      <c r="C1642" s="12" t="n"/>
      <c r="D1642" s="13">
        <f>IF($A1642="","",TRIM($B1642&amp;" "&amp;$C1642))</f>
        <v/>
      </c>
      <c r="E1642" s="12" t="n"/>
      <c r="F1642" s="12" t="n"/>
      <c r="G1642" s="14" t="n"/>
      <c r="H1642" s="14" t="n"/>
      <c r="I1642" s="12" t="n"/>
      <c r="J1642" s="14" t="n"/>
      <c r="K1642" s="12" t="n"/>
      <c r="L1642" s="13">
        <f>IF($K1642="","",IFERROR(INDEX(Dept_Names,MATCH($K1642,Dept_Codes,0)),"NOT FOUND"))</f>
        <v/>
      </c>
      <c r="M1642" s="12" t="n"/>
      <c r="N1642" s="13">
        <f>IF($M1642="","",IFERROR(INDEX(Desig_Names,MATCH($M1642,Desig_Codes,0)),"NOT FOUND"))</f>
        <v/>
      </c>
      <c r="O1642" s="13">
        <f>IF($M1642="","",IFERROR(INDEX(Desig_Levels,MATCH($M1642,Desig_Codes,0)),""))</f>
        <v/>
      </c>
      <c r="P1642" s="12" t="n"/>
      <c r="Q1642" s="12" t="n"/>
      <c r="R1642" s="12" t="n"/>
      <c r="S1642" s="13">
        <f>IF($R1642="","",IFERROR(INDEX(Emp_Names,MATCH($R1642,Emp_Codes,0)),"NOT FOUND"))</f>
        <v/>
      </c>
      <c r="T1642" s="12" t="n"/>
      <c r="U1642" s="12" t="n"/>
      <c r="V1642" s="12" t="n"/>
    </row>
    <row r="1643">
      <c r="A1643" s="12" t="n"/>
      <c r="B1643" s="12" t="n"/>
      <c r="C1643" s="12" t="n"/>
      <c r="D1643" s="13">
        <f>IF($A1643="","",TRIM($B1643&amp;" "&amp;$C1643))</f>
        <v/>
      </c>
      <c r="E1643" s="12" t="n"/>
      <c r="F1643" s="12" t="n"/>
      <c r="G1643" s="14" t="n"/>
      <c r="H1643" s="14" t="n"/>
      <c r="I1643" s="12" t="n"/>
      <c r="J1643" s="14" t="n"/>
      <c r="K1643" s="12" t="n"/>
      <c r="L1643" s="13">
        <f>IF($K1643="","",IFERROR(INDEX(Dept_Names,MATCH($K1643,Dept_Codes,0)),"NOT FOUND"))</f>
        <v/>
      </c>
      <c r="M1643" s="12" t="n"/>
      <c r="N1643" s="13">
        <f>IF($M1643="","",IFERROR(INDEX(Desig_Names,MATCH($M1643,Desig_Codes,0)),"NOT FOUND"))</f>
        <v/>
      </c>
      <c r="O1643" s="13">
        <f>IF($M1643="","",IFERROR(INDEX(Desig_Levels,MATCH($M1643,Desig_Codes,0)),""))</f>
        <v/>
      </c>
      <c r="P1643" s="12" t="n"/>
      <c r="Q1643" s="12" t="n"/>
      <c r="R1643" s="12" t="n"/>
      <c r="S1643" s="13">
        <f>IF($R1643="","",IFERROR(INDEX(Emp_Names,MATCH($R1643,Emp_Codes,0)),"NOT FOUND"))</f>
        <v/>
      </c>
      <c r="T1643" s="12" t="n"/>
      <c r="U1643" s="12" t="n"/>
      <c r="V1643" s="12" t="n"/>
    </row>
    <row r="1644">
      <c r="A1644" s="12" t="n"/>
      <c r="B1644" s="12" t="n"/>
      <c r="C1644" s="12" t="n"/>
      <c r="D1644" s="13">
        <f>IF($A1644="","",TRIM($B1644&amp;" "&amp;$C1644))</f>
        <v/>
      </c>
      <c r="E1644" s="12" t="n"/>
      <c r="F1644" s="12" t="n"/>
      <c r="G1644" s="14" t="n"/>
      <c r="H1644" s="14" t="n"/>
      <c r="I1644" s="12" t="n"/>
      <c r="J1644" s="14" t="n"/>
      <c r="K1644" s="12" t="n"/>
      <c r="L1644" s="13">
        <f>IF($K1644="","",IFERROR(INDEX(Dept_Names,MATCH($K1644,Dept_Codes,0)),"NOT FOUND"))</f>
        <v/>
      </c>
      <c r="M1644" s="12" t="n"/>
      <c r="N1644" s="13">
        <f>IF($M1644="","",IFERROR(INDEX(Desig_Names,MATCH($M1644,Desig_Codes,0)),"NOT FOUND"))</f>
        <v/>
      </c>
      <c r="O1644" s="13">
        <f>IF($M1644="","",IFERROR(INDEX(Desig_Levels,MATCH($M1644,Desig_Codes,0)),""))</f>
        <v/>
      </c>
      <c r="P1644" s="12" t="n"/>
      <c r="Q1644" s="12" t="n"/>
      <c r="R1644" s="12" t="n"/>
      <c r="S1644" s="13">
        <f>IF($R1644="","",IFERROR(INDEX(Emp_Names,MATCH($R1644,Emp_Codes,0)),"NOT FOUND"))</f>
        <v/>
      </c>
      <c r="T1644" s="12" t="n"/>
      <c r="U1644" s="12" t="n"/>
      <c r="V1644" s="12" t="n"/>
    </row>
    <row r="1645">
      <c r="A1645" s="12" t="n"/>
      <c r="B1645" s="12" t="n"/>
      <c r="C1645" s="12" t="n"/>
      <c r="D1645" s="13">
        <f>IF($A1645="","",TRIM($B1645&amp;" "&amp;$C1645))</f>
        <v/>
      </c>
      <c r="E1645" s="12" t="n"/>
      <c r="F1645" s="12" t="n"/>
      <c r="G1645" s="14" t="n"/>
      <c r="H1645" s="14" t="n"/>
      <c r="I1645" s="12" t="n"/>
      <c r="J1645" s="14" t="n"/>
      <c r="K1645" s="12" t="n"/>
      <c r="L1645" s="13">
        <f>IF($K1645="","",IFERROR(INDEX(Dept_Names,MATCH($K1645,Dept_Codes,0)),"NOT FOUND"))</f>
        <v/>
      </c>
      <c r="M1645" s="12" t="n"/>
      <c r="N1645" s="13">
        <f>IF($M1645="","",IFERROR(INDEX(Desig_Names,MATCH($M1645,Desig_Codes,0)),"NOT FOUND"))</f>
        <v/>
      </c>
      <c r="O1645" s="13">
        <f>IF($M1645="","",IFERROR(INDEX(Desig_Levels,MATCH($M1645,Desig_Codes,0)),""))</f>
        <v/>
      </c>
      <c r="P1645" s="12" t="n"/>
      <c r="Q1645" s="12" t="n"/>
      <c r="R1645" s="12" t="n"/>
      <c r="S1645" s="13">
        <f>IF($R1645="","",IFERROR(INDEX(Emp_Names,MATCH($R1645,Emp_Codes,0)),"NOT FOUND"))</f>
        <v/>
      </c>
      <c r="T1645" s="12" t="n"/>
      <c r="U1645" s="12" t="n"/>
      <c r="V1645" s="12" t="n"/>
    </row>
    <row r="1646">
      <c r="A1646" s="12" t="n"/>
      <c r="B1646" s="12" t="n"/>
      <c r="C1646" s="12" t="n"/>
      <c r="D1646" s="13">
        <f>IF($A1646="","",TRIM($B1646&amp;" "&amp;$C1646))</f>
        <v/>
      </c>
      <c r="E1646" s="12" t="n"/>
      <c r="F1646" s="12" t="n"/>
      <c r="G1646" s="14" t="n"/>
      <c r="H1646" s="14" t="n"/>
      <c r="I1646" s="12" t="n"/>
      <c r="J1646" s="14" t="n"/>
      <c r="K1646" s="12" t="n"/>
      <c r="L1646" s="13">
        <f>IF($K1646="","",IFERROR(INDEX(Dept_Names,MATCH($K1646,Dept_Codes,0)),"NOT FOUND"))</f>
        <v/>
      </c>
      <c r="M1646" s="12" t="n"/>
      <c r="N1646" s="13">
        <f>IF($M1646="","",IFERROR(INDEX(Desig_Names,MATCH($M1646,Desig_Codes,0)),"NOT FOUND"))</f>
        <v/>
      </c>
      <c r="O1646" s="13">
        <f>IF($M1646="","",IFERROR(INDEX(Desig_Levels,MATCH($M1646,Desig_Codes,0)),""))</f>
        <v/>
      </c>
      <c r="P1646" s="12" t="n"/>
      <c r="Q1646" s="12" t="n"/>
      <c r="R1646" s="12" t="n"/>
      <c r="S1646" s="13">
        <f>IF($R1646="","",IFERROR(INDEX(Emp_Names,MATCH($R1646,Emp_Codes,0)),"NOT FOUND"))</f>
        <v/>
      </c>
      <c r="T1646" s="12" t="n"/>
      <c r="U1646" s="12" t="n"/>
      <c r="V1646" s="12" t="n"/>
    </row>
    <row r="1647">
      <c r="A1647" s="12" t="n"/>
      <c r="B1647" s="12" t="n"/>
      <c r="C1647" s="12" t="n"/>
      <c r="D1647" s="13">
        <f>IF($A1647="","",TRIM($B1647&amp;" "&amp;$C1647))</f>
        <v/>
      </c>
      <c r="E1647" s="12" t="n"/>
      <c r="F1647" s="12" t="n"/>
      <c r="G1647" s="14" t="n"/>
      <c r="H1647" s="14" t="n"/>
      <c r="I1647" s="12" t="n"/>
      <c r="J1647" s="14" t="n"/>
      <c r="K1647" s="12" t="n"/>
      <c r="L1647" s="13">
        <f>IF($K1647="","",IFERROR(INDEX(Dept_Names,MATCH($K1647,Dept_Codes,0)),"NOT FOUND"))</f>
        <v/>
      </c>
      <c r="M1647" s="12" t="n"/>
      <c r="N1647" s="13">
        <f>IF($M1647="","",IFERROR(INDEX(Desig_Names,MATCH($M1647,Desig_Codes,0)),"NOT FOUND"))</f>
        <v/>
      </c>
      <c r="O1647" s="13">
        <f>IF($M1647="","",IFERROR(INDEX(Desig_Levels,MATCH($M1647,Desig_Codes,0)),""))</f>
        <v/>
      </c>
      <c r="P1647" s="12" t="n"/>
      <c r="Q1647" s="12" t="n"/>
      <c r="R1647" s="12" t="n"/>
      <c r="S1647" s="13">
        <f>IF($R1647="","",IFERROR(INDEX(Emp_Names,MATCH($R1647,Emp_Codes,0)),"NOT FOUND"))</f>
        <v/>
      </c>
      <c r="T1647" s="12" t="n"/>
      <c r="U1647" s="12" t="n"/>
      <c r="V1647" s="12" t="n"/>
    </row>
    <row r="1648">
      <c r="A1648" s="12" t="n"/>
      <c r="B1648" s="12" t="n"/>
      <c r="C1648" s="12" t="n"/>
      <c r="D1648" s="13">
        <f>IF($A1648="","",TRIM($B1648&amp;" "&amp;$C1648))</f>
        <v/>
      </c>
      <c r="E1648" s="12" t="n"/>
      <c r="F1648" s="12" t="n"/>
      <c r="G1648" s="14" t="n"/>
      <c r="H1648" s="14" t="n"/>
      <c r="I1648" s="12" t="n"/>
      <c r="J1648" s="14" t="n"/>
      <c r="K1648" s="12" t="n"/>
      <c r="L1648" s="13">
        <f>IF($K1648="","",IFERROR(INDEX(Dept_Names,MATCH($K1648,Dept_Codes,0)),"NOT FOUND"))</f>
        <v/>
      </c>
      <c r="M1648" s="12" t="n"/>
      <c r="N1648" s="13">
        <f>IF($M1648="","",IFERROR(INDEX(Desig_Names,MATCH($M1648,Desig_Codes,0)),"NOT FOUND"))</f>
        <v/>
      </c>
      <c r="O1648" s="13">
        <f>IF($M1648="","",IFERROR(INDEX(Desig_Levels,MATCH($M1648,Desig_Codes,0)),""))</f>
        <v/>
      </c>
      <c r="P1648" s="12" t="n"/>
      <c r="Q1648" s="12" t="n"/>
      <c r="R1648" s="12" t="n"/>
      <c r="S1648" s="13">
        <f>IF($R1648="","",IFERROR(INDEX(Emp_Names,MATCH($R1648,Emp_Codes,0)),"NOT FOUND"))</f>
        <v/>
      </c>
      <c r="T1648" s="12" t="n"/>
      <c r="U1648" s="12" t="n"/>
      <c r="V1648" s="12" t="n"/>
    </row>
    <row r="1649">
      <c r="A1649" s="12" t="n"/>
      <c r="B1649" s="12" t="n"/>
      <c r="C1649" s="12" t="n"/>
      <c r="D1649" s="13">
        <f>IF($A1649="","",TRIM($B1649&amp;" "&amp;$C1649))</f>
        <v/>
      </c>
      <c r="E1649" s="12" t="n"/>
      <c r="F1649" s="12" t="n"/>
      <c r="G1649" s="14" t="n"/>
      <c r="H1649" s="14" t="n"/>
      <c r="I1649" s="12" t="n"/>
      <c r="J1649" s="14" t="n"/>
      <c r="K1649" s="12" t="n"/>
      <c r="L1649" s="13">
        <f>IF($K1649="","",IFERROR(INDEX(Dept_Names,MATCH($K1649,Dept_Codes,0)),"NOT FOUND"))</f>
        <v/>
      </c>
      <c r="M1649" s="12" t="n"/>
      <c r="N1649" s="13">
        <f>IF($M1649="","",IFERROR(INDEX(Desig_Names,MATCH($M1649,Desig_Codes,0)),"NOT FOUND"))</f>
        <v/>
      </c>
      <c r="O1649" s="13">
        <f>IF($M1649="","",IFERROR(INDEX(Desig_Levels,MATCH($M1649,Desig_Codes,0)),""))</f>
        <v/>
      </c>
      <c r="P1649" s="12" t="n"/>
      <c r="Q1649" s="12" t="n"/>
      <c r="R1649" s="12" t="n"/>
      <c r="S1649" s="13">
        <f>IF($R1649="","",IFERROR(INDEX(Emp_Names,MATCH($R1649,Emp_Codes,0)),"NOT FOUND"))</f>
        <v/>
      </c>
      <c r="T1649" s="12" t="n"/>
      <c r="U1649" s="12" t="n"/>
      <c r="V1649" s="12" t="n"/>
    </row>
    <row r="1650">
      <c r="A1650" s="12" t="n"/>
      <c r="B1650" s="12" t="n"/>
      <c r="C1650" s="12" t="n"/>
      <c r="D1650" s="13">
        <f>IF($A1650="","",TRIM($B1650&amp;" "&amp;$C1650))</f>
        <v/>
      </c>
      <c r="E1650" s="12" t="n"/>
      <c r="F1650" s="12" t="n"/>
      <c r="G1650" s="14" t="n"/>
      <c r="H1650" s="14" t="n"/>
      <c r="I1650" s="12" t="n"/>
      <c r="J1650" s="14" t="n"/>
      <c r="K1650" s="12" t="n"/>
      <c r="L1650" s="13">
        <f>IF($K1650="","",IFERROR(INDEX(Dept_Names,MATCH($K1650,Dept_Codes,0)),"NOT FOUND"))</f>
        <v/>
      </c>
      <c r="M1650" s="12" t="n"/>
      <c r="N1650" s="13">
        <f>IF($M1650="","",IFERROR(INDEX(Desig_Names,MATCH($M1650,Desig_Codes,0)),"NOT FOUND"))</f>
        <v/>
      </c>
      <c r="O1650" s="13">
        <f>IF($M1650="","",IFERROR(INDEX(Desig_Levels,MATCH($M1650,Desig_Codes,0)),""))</f>
        <v/>
      </c>
      <c r="P1650" s="12" t="n"/>
      <c r="Q1650" s="12" t="n"/>
      <c r="R1650" s="12" t="n"/>
      <c r="S1650" s="13">
        <f>IF($R1650="","",IFERROR(INDEX(Emp_Names,MATCH($R1650,Emp_Codes,0)),"NOT FOUND"))</f>
        <v/>
      </c>
      <c r="T1650" s="12" t="n"/>
      <c r="U1650" s="12" t="n"/>
      <c r="V1650" s="12" t="n"/>
    </row>
    <row r="1651">
      <c r="A1651" s="12" t="n"/>
      <c r="B1651" s="12" t="n"/>
      <c r="C1651" s="12" t="n"/>
      <c r="D1651" s="13">
        <f>IF($A1651="","",TRIM($B1651&amp;" "&amp;$C1651))</f>
        <v/>
      </c>
      <c r="E1651" s="12" t="n"/>
      <c r="F1651" s="12" t="n"/>
      <c r="G1651" s="14" t="n"/>
      <c r="H1651" s="14" t="n"/>
      <c r="I1651" s="12" t="n"/>
      <c r="J1651" s="14" t="n"/>
      <c r="K1651" s="12" t="n"/>
      <c r="L1651" s="13">
        <f>IF($K1651="","",IFERROR(INDEX(Dept_Names,MATCH($K1651,Dept_Codes,0)),"NOT FOUND"))</f>
        <v/>
      </c>
      <c r="M1651" s="12" t="n"/>
      <c r="N1651" s="13">
        <f>IF($M1651="","",IFERROR(INDEX(Desig_Names,MATCH($M1651,Desig_Codes,0)),"NOT FOUND"))</f>
        <v/>
      </c>
      <c r="O1651" s="13">
        <f>IF($M1651="","",IFERROR(INDEX(Desig_Levels,MATCH($M1651,Desig_Codes,0)),""))</f>
        <v/>
      </c>
      <c r="P1651" s="12" t="n"/>
      <c r="Q1651" s="12" t="n"/>
      <c r="R1651" s="12" t="n"/>
      <c r="S1651" s="13">
        <f>IF($R1651="","",IFERROR(INDEX(Emp_Names,MATCH($R1651,Emp_Codes,0)),"NOT FOUND"))</f>
        <v/>
      </c>
      <c r="T1651" s="12" t="n"/>
      <c r="U1651" s="12" t="n"/>
      <c r="V1651" s="12" t="n"/>
    </row>
    <row r="1652">
      <c r="A1652" s="12" t="n"/>
      <c r="B1652" s="12" t="n"/>
      <c r="C1652" s="12" t="n"/>
      <c r="D1652" s="13">
        <f>IF($A1652="","",TRIM($B1652&amp;" "&amp;$C1652))</f>
        <v/>
      </c>
      <c r="E1652" s="12" t="n"/>
      <c r="F1652" s="12" t="n"/>
      <c r="G1652" s="14" t="n"/>
      <c r="H1652" s="14" t="n"/>
      <c r="I1652" s="12" t="n"/>
      <c r="J1652" s="14" t="n"/>
      <c r="K1652" s="12" t="n"/>
      <c r="L1652" s="13">
        <f>IF($K1652="","",IFERROR(INDEX(Dept_Names,MATCH($K1652,Dept_Codes,0)),"NOT FOUND"))</f>
        <v/>
      </c>
      <c r="M1652" s="12" t="n"/>
      <c r="N1652" s="13">
        <f>IF($M1652="","",IFERROR(INDEX(Desig_Names,MATCH($M1652,Desig_Codes,0)),"NOT FOUND"))</f>
        <v/>
      </c>
      <c r="O1652" s="13">
        <f>IF($M1652="","",IFERROR(INDEX(Desig_Levels,MATCH($M1652,Desig_Codes,0)),""))</f>
        <v/>
      </c>
      <c r="P1652" s="12" t="n"/>
      <c r="Q1652" s="12" t="n"/>
      <c r="R1652" s="12" t="n"/>
      <c r="S1652" s="13">
        <f>IF($R1652="","",IFERROR(INDEX(Emp_Names,MATCH($R1652,Emp_Codes,0)),"NOT FOUND"))</f>
        <v/>
      </c>
      <c r="T1652" s="12" t="n"/>
      <c r="U1652" s="12" t="n"/>
      <c r="V1652" s="12" t="n"/>
    </row>
    <row r="1653">
      <c r="A1653" s="12" t="n"/>
      <c r="B1653" s="12" t="n"/>
      <c r="C1653" s="12" t="n"/>
      <c r="D1653" s="13">
        <f>IF($A1653="","",TRIM($B1653&amp;" "&amp;$C1653))</f>
        <v/>
      </c>
      <c r="E1653" s="12" t="n"/>
      <c r="F1653" s="12" t="n"/>
      <c r="G1653" s="14" t="n"/>
      <c r="H1653" s="14" t="n"/>
      <c r="I1653" s="12" t="n"/>
      <c r="J1653" s="14" t="n"/>
      <c r="K1653" s="12" t="n"/>
      <c r="L1653" s="13">
        <f>IF($K1653="","",IFERROR(INDEX(Dept_Names,MATCH($K1653,Dept_Codes,0)),"NOT FOUND"))</f>
        <v/>
      </c>
      <c r="M1653" s="12" t="n"/>
      <c r="N1653" s="13">
        <f>IF($M1653="","",IFERROR(INDEX(Desig_Names,MATCH($M1653,Desig_Codes,0)),"NOT FOUND"))</f>
        <v/>
      </c>
      <c r="O1653" s="13">
        <f>IF($M1653="","",IFERROR(INDEX(Desig_Levels,MATCH($M1653,Desig_Codes,0)),""))</f>
        <v/>
      </c>
      <c r="P1653" s="12" t="n"/>
      <c r="Q1653" s="12" t="n"/>
      <c r="R1653" s="12" t="n"/>
      <c r="S1653" s="13">
        <f>IF($R1653="","",IFERROR(INDEX(Emp_Names,MATCH($R1653,Emp_Codes,0)),"NOT FOUND"))</f>
        <v/>
      </c>
      <c r="T1653" s="12" t="n"/>
      <c r="U1653" s="12" t="n"/>
      <c r="V1653" s="12" t="n"/>
    </row>
    <row r="1654">
      <c r="A1654" s="12" t="n"/>
      <c r="B1654" s="12" t="n"/>
      <c r="C1654" s="12" t="n"/>
      <c r="D1654" s="13">
        <f>IF($A1654="","",TRIM($B1654&amp;" "&amp;$C1654))</f>
        <v/>
      </c>
      <c r="E1654" s="12" t="n"/>
      <c r="F1654" s="12" t="n"/>
      <c r="G1654" s="14" t="n"/>
      <c r="H1654" s="14" t="n"/>
      <c r="I1654" s="12" t="n"/>
      <c r="J1654" s="14" t="n"/>
      <c r="K1654" s="12" t="n"/>
      <c r="L1654" s="13">
        <f>IF($K1654="","",IFERROR(INDEX(Dept_Names,MATCH($K1654,Dept_Codes,0)),"NOT FOUND"))</f>
        <v/>
      </c>
      <c r="M1654" s="12" t="n"/>
      <c r="N1654" s="13">
        <f>IF($M1654="","",IFERROR(INDEX(Desig_Names,MATCH($M1654,Desig_Codes,0)),"NOT FOUND"))</f>
        <v/>
      </c>
      <c r="O1654" s="13">
        <f>IF($M1654="","",IFERROR(INDEX(Desig_Levels,MATCH($M1654,Desig_Codes,0)),""))</f>
        <v/>
      </c>
      <c r="P1654" s="12" t="n"/>
      <c r="Q1654" s="12" t="n"/>
      <c r="R1654" s="12" t="n"/>
      <c r="S1654" s="13">
        <f>IF($R1654="","",IFERROR(INDEX(Emp_Names,MATCH($R1654,Emp_Codes,0)),"NOT FOUND"))</f>
        <v/>
      </c>
      <c r="T1654" s="12" t="n"/>
      <c r="U1654" s="12" t="n"/>
      <c r="V1654" s="12" t="n"/>
    </row>
    <row r="1655">
      <c r="A1655" s="12" t="n"/>
      <c r="B1655" s="12" t="n"/>
      <c r="C1655" s="12" t="n"/>
      <c r="D1655" s="13">
        <f>IF($A1655="","",TRIM($B1655&amp;" "&amp;$C1655))</f>
        <v/>
      </c>
      <c r="E1655" s="12" t="n"/>
      <c r="F1655" s="12" t="n"/>
      <c r="G1655" s="14" t="n"/>
      <c r="H1655" s="14" t="n"/>
      <c r="I1655" s="12" t="n"/>
      <c r="J1655" s="14" t="n"/>
      <c r="K1655" s="12" t="n"/>
      <c r="L1655" s="13">
        <f>IF($K1655="","",IFERROR(INDEX(Dept_Names,MATCH($K1655,Dept_Codes,0)),"NOT FOUND"))</f>
        <v/>
      </c>
      <c r="M1655" s="12" t="n"/>
      <c r="N1655" s="13">
        <f>IF($M1655="","",IFERROR(INDEX(Desig_Names,MATCH($M1655,Desig_Codes,0)),"NOT FOUND"))</f>
        <v/>
      </c>
      <c r="O1655" s="13">
        <f>IF($M1655="","",IFERROR(INDEX(Desig_Levels,MATCH($M1655,Desig_Codes,0)),""))</f>
        <v/>
      </c>
      <c r="P1655" s="12" t="n"/>
      <c r="Q1655" s="12" t="n"/>
      <c r="R1655" s="12" t="n"/>
      <c r="S1655" s="13">
        <f>IF($R1655="","",IFERROR(INDEX(Emp_Names,MATCH($R1655,Emp_Codes,0)),"NOT FOUND"))</f>
        <v/>
      </c>
      <c r="T1655" s="12" t="n"/>
      <c r="U1655" s="12" t="n"/>
      <c r="V1655" s="12" t="n"/>
    </row>
    <row r="1656">
      <c r="A1656" s="12" t="n"/>
      <c r="B1656" s="12" t="n"/>
      <c r="C1656" s="12" t="n"/>
      <c r="D1656" s="13">
        <f>IF($A1656="","",TRIM($B1656&amp;" "&amp;$C1656))</f>
        <v/>
      </c>
      <c r="E1656" s="12" t="n"/>
      <c r="F1656" s="12" t="n"/>
      <c r="G1656" s="14" t="n"/>
      <c r="H1656" s="14" t="n"/>
      <c r="I1656" s="12" t="n"/>
      <c r="J1656" s="14" t="n"/>
      <c r="K1656" s="12" t="n"/>
      <c r="L1656" s="13">
        <f>IF($K1656="","",IFERROR(INDEX(Dept_Names,MATCH($K1656,Dept_Codes,0)),"NOT FOUND"))</f>
        <v/>
      </c>
      <c r="M1656" s="12" t="n"/>
      <c r="N1656" s="13">
        <f>IF($M1656="","",IFERROR(INDEX(Desig_Names,MATCH($M1656,Desig_Codes,0)),"NOT FOUND"))</f>
        <v/>
      </c>
      <c r="O1656" s="13">
        <f>IF($M1656="","",IFERROR(INDEX(Desig_Levels,MATCH($M1656,Desig_Codes,0)),""))</f>
        <v/>
      </c>
      <c r="P1656" s="12" t="n"/>
      <c r="Q1656" s="12" t="n"/>
      <c r="R1656" s="12" t="n"/>
      <c r="S1656" s="13">
        <f>IF($R1656="","",IFERROR(INDEX(Emp_Names,MATCH($R1656,Emp_Codes,0)),"NOT FOUND"))</f>
        <v/>
      </c>
      <c r="T1656" s="12" t="n"/>
      <c r="U1656" s="12" t="n"/>
      <c r="V1656" s="12" t="n"/>
    </row>
    <row r="1657">
      <c r="A1657" s="12" t="n"/>
      <c r="B1657" s="12" t="n"/>
      <c r="C1657" s="12" t="n"/>
      <c r="D1657" s="13">
        <f>IF($A1657="","",TRIM($B1657&amp;" "&amp;$C1657))</f>
        <v/>
      </c>
      <c r="E1657" s="12" t="n"/>
      <c r="F1657" s="12" t="n"/>
      <c r="G1657" s="14" t="n"/>
      <c r="H1657" s="14" t="n"/>
      <c r="I1657" s="12" t="n"/>
      <c r="J1657" s="14" t="n"/>
      <c r="K1657" s="12" t="n"/>
      <c r="L1657" s="13">
        <f>IF($K1657="","",IFERROR(INDEX(Dept_Names,MATCH($K1657,Dept_Codes,0)),"NOT FOUND"))</f>
        <v/>
      </c>
      <c r="M1657" s="12" t="n"/>
      <c r="N1657" s="13">
        <f>IF($M1657="","",IFERROR(INDEX(Desig_Names,MATCH($M1657,Desig_Codes,0)),"NOT FOUND"))</f>
        <v/>
      </c>
      <c r="O1657" s="13">
        <f>IF($M1657="","",IFERROR(INDEX(Desig_Levels,MATCH($M1657,Desig_Codes,0)),""))</f>
        <v/>
      </c>
      <c r="P1657" s="12" t="n"/>
      <c r="Q1657" s="12" t="n"/>
      <c r="R1657" s="12" t="n"/>
      <c r="S1657" s="13">
        <f>IF($R1657="","",IFERROR(INDEX(Emp_Names,MATCH($R1657,Emp_Codes,0)),"NOT FOUND"))</f>
        <v/>
      </c>
      <c r="T1657" s="12" t="n"/>
      <c r="U1657" s="12" t="n"/>
      <c r="V1657" s="12" t="n"/>
    </row>
    <row r="1658">
      <c r="A1658" s="12" t="n"/>
      <c r="B1658" s="12" t="n"/>
      <c r="C1658" s="12" t="n"/>
      <c r="D1658" s="13">
        <f>IF($A1658="","",TRIM($B1658&amp;" "&amp;$C1658))</f>
        <v/>
      </c>
      <c r="E1658" s="12" t="n"/>
      <c r="F1658" s="12" t="n"/>
      <c r="G1658" s="14" t="n"/>
      <c r="H1658" s="14" t="n"/>
      <c r="I1658" s="12" t="n"/>
      <c r="J1658" s="14" t="n"/>
      <c r="K1658" s="12" t="n"/>
      <c r="L1658" s="13">
        <f>IF($K1658="","",IFERROR(INDEX(Dept_Names,MATCH($K1658,Dept_Codes,0)),"NOT FOUND"))</f>
        <v/>
      </c>
      <c r="M1658" s="12" t="n"/>
      <c r="N1658" s="13">
        <f>IF($M1658="","",IFERROR(INDEX(Desig_Names,MATCH($M1658,Desig_Codes,0)),"NOT FOUND"))</f>
        <v/>
      </c>
      <c r="O1658" s="13">
        <f>IF($M1658="","",IFERROR(INDEX(Desig_Levels,MATCH($M1658,Desig_Codes,0)),""))</f>
        <v/>
      </c>
      <c r="P1658" s="12" t="n"/>
      <c r="Q1658" s="12" t="n"/>
      <c r="R1658" s="12" t="n"/>
      <c r="S1658" s="13">
        <f>IF($R1658="","",IFERROR(INDEX(Emp_Names,MATCH($R1658,Emp_Codes,0)),"NOT FOUND"))</f>
        <v/>
      </c>
      <c r="T1658" s="12" t="n"/>
      <c r="U1658" s="12" t="n"/>
      <c r="V1658" s="12" t="n"/>
    </row>
    <row r="1659">
      <c r="A1659" s="12" t="n"/>
      <c r="B1659" s="12" t="n"/>
      <c r="C1659" s="12" t="n"/>
      <c r="D1659" s="13">
        <f>IF($A1659="","",TRIM($B1659&amp;" "&amp;$C1659))</f>
        <v/>
      </c>
      <c r="E1659" s="12" t="n"/>
      <c r="F1659" s="12" t="n"/>
      <c r="G1659" s="14" t="n"/>
      <c r="H1659" s="14" t="n"/>
      <c r="I1659" s="12" t="n"/>
      <c r="J1659" s="14" t="n"/>
      <c r="K1659" s="12" t="n"/>
      <c r="L1659" s="13">
        <f>IF($K1659="","",IFERROR(INDEX(Dept_Names,MATCH($K1659,Dept_Codes,0)),"NOT FOUND"))</f>
        <v/>
      </c>
      <c r="M1659" s="12" t="n"/>
      <c r="N1659" s="13">
        <f>IF($M1659="","",IFERROR(INDEX(Desig_Names,MATCH($M1659,Desig_Codes,0)),"NOT FOUND"))</f>
        <v/>
      </c>
      <c r="O1659" s="13">
        <f>IF($M1659="","",IFERROR(INDEX(Desig_Levels,MATCH($M1659,Desig_Codes,0)),""))</f>
        <v/>
      </c>
      <c r="P1659" s="12" t="n"/>
      <c r="Q1659" s="12" t="n"/>
      <c r="R1659" s="12" t="n"/>
      <c r="S1659" s="13">
        <f>IF($R1659="","",IFERROR(INDEX(Emp_Names,MATCH($R1659,Emp_Codes,0)),"NOT FOUND"))</f>
        <v/>
      </c>
      <c r="T1659" s="12" t="n"/>
      <c r="U1659" s="12" t="n"/>
      <c r="V1659" s="12" t="n"/>
    </row>
    <row r="1660">
      <c r="A1660" s="12" t="n"/>
      <c r="B1660" s="12" t="n"/>
      <c r="C1660" s="12" t="n"/>
      <c r="D1660" s="13">
        <f>IF($A1660="","",TRIM($B1660&amp;" "&amp;$C1660))</f>
        <v/>
      </c>
      <c r="E1660" s="12" t="n"/>
      <c r="F1660" s="12" t="n"/>
      <c r="G1660" s="14" t="n"/>
      <c r="H1660" s="14" t="n"/>
      <c r="I1660" s="12" t="n"/>
      <c r="J1660" s="14" t="n"/>
      <c r="K1660" s="12" t="n"/>
      <c r="L1660" s="13">
        <f>IF($K1660="","",IFERROR(INDEX(Dept_Names,MATCH($K1660,Dept_Codes,0)),"NOT FOUND"))</f>
        <v/>
      </c>
      <c r="M1660" s="12" t="n"/>
      <c r="N1660" s="13">
        <f>IF($M1660="","",IFERROR(INDEX(Desig_Names,MATCH($M1660,Desig_Codes,0)),"NOT FOUND"))</f>
        <v/>
      </c>
      <c r="O1660" s="13">
        <f>IF($M1660="","",IFERROR(INDEX(Desig_Levels,MATCH($M1660,Desig_Codes,0)),""))</f>
        <v/>
      </c>
      <c r="P1660" s="12" t="n"/>
      <c r="Q1660" s="12" t="n"/>
      <c r="R1660" s="12" t="n"/>
      <c r="S1660" s="13">
        <f>IF($R1660="","",IFERROR(INDEX(Emp_Names,MATCH($R1660,Emp_Codes,0)),"NOT FOUND"))</f>
        <v/>
      </c>
      <c r="T1660" s="12" t="n"/>
      <c r="U1660" s="12" t="n"/>
      <c r="V1660" s="12" t="n"/>
    </row>
    <row r="1661">
      <c r="A1661" s="12" t="n"/>
      <c r="B1661" s="12" t="n"/>
      <c r="C1661" s="12" t="n"/>
      <c r="D1661" s="13">
        <f>IF($A1661="","",TRIM($B1661&amp;" "&amp;$C1661))</f>
        <v/>
      </c>
      <c r="E1661" s="12" t="n"/>
      <c r="F1661" s="12" t="n"/>
      <c r="G1661" s="14" t="n"/>
      <c r="H1661" s="14" t="n"/>
      <c r="I1661" s="12" t="n"/>
      <c r="J1661" s="14" t="n"/>
      <c r="K1661" s="12" t="n"/>
      <c r="L1661" s="13">
        <f>IF($K1661="","",IFERROR(INDEX(Dept_Names,MATCH($K1661,Dept_Codes,0)),"NOT FOUND"))</f>
        <v/>
      </c>
      <c r="M1661" s="12" t="n"/>
      <c r="N1661" s="13">
        <f>IF($M1661="","",IFERROR(INDEX(Desig_Names,MATCH($M1661,Desig_Codes,0)),"NOT FOUND"))</f>
        <v/>
      </c>
      <c r="O1661" s="13">
        <f>IF($M1661="","",IFERROR(INDEX(Desig_Levels,MATCH($M1661,Desig_Codes,0)),""))</f>
        <v/>
      </c>
      <c r="P1661" s="12" t="n"/>
      <c r="Q1661" s="12" t="n"/>
      <c r="R1661" s="12" t="n"/>
      <c r="S1661" s="13">
        <f>IF($R1661="","",IFERROR(INDEX(Emp_Names,MATCH($R1661,Emp_Codes,0)),"NOT FOUND"))</f>
        <v/>
      </c>
      <c r="T1661" s="12" t="n"/>
      <c r="U1661" s="12" t="n"/>
      <c r="V1661" s="12" t="n"/>
    </row>
    <row r="1662">
      <c r="A1662" s="12" t="n"/>
      <c r="B1662" s="12" t="n"/>
      <c r="C1662" s="12" t="n"/>
      <c r="D1662" s="13">
        <f>IF($A1662="","",TRIM($B1662&amp;" "&amp;$C1662))</f>
        <v/>
      </c>
      <c r="E1662" s="12" t="n"/>
      <c r="F1662" s="12" t="n"/>
      <c r="G1662" s="14" t="n"/>
      <c r="H1662" s="14" t="n"/>
      <c r="I1662" s="12" t="n"/>
      <c r="J1662" s="14" t="n"/>
      <c r="K1662" s="12" t="n"/>
      <c r="L1662" s="13">
        <f>IF($K1662="","",IFERROR(INDEX(Dept_Names,MATCH($K1662,Dept_Codes,0)),"NOT FOUND"))</f>
        <v/>
      </c>
      <c r="M1662" s="12" t="n"/>
      <c r="N1662" s="13">
        <f>IF($M1662="","",IFERROR(INDEX(Desig_Names,MATCH($M1662,Desig_Codes,0)),"NOT FOUND"))</f>
        <v/>
      </c>
      <c r="O1662" s="13">
        <f>IF($M1662="","",IFERROR(INDEX(Desig_Levels,MATCH($M1662,Desig_Codes,0)),""))</f>
        <v/>
      </c>
      <c r="P1662" s="12" t="n"/>
      <c r="Q1662" s="12" t="n"/>
      <c r="R1662" s="12" t="n"/>
      <c r="S1662" s="13">
        <f>IF($R1662="","",IFERROR(INDEX(Emp_Names,MATCH($R1662,Emp_Codes,0)),"NOT FOUND"))</f>
        <v/>
      </c>
      <c r="T1662" s="12" t="n"/>
      <c r="U1662" s="12" t="n"/>
      <c r="V1662" s="12" t="n"/>
    </row>
    <row r="1663">
      <c r="A1663" s="12" t="n"/>
      <c r="B1663" s="12" t="n"/>
      <c r="C1663" s="12" t="n"/>
      <c r="D1663" s="13">
        <f>IF($A1663="","",TRIM($B1663&amp;" "&amp;$C1663))</f>
        <v/>
      </c>
      <c r="E1663" s="12" t="n"/>
      <c r="F1663" s="12" t="n"/>
      <c r="G1663" s="14" t="n"/>
      <c r="H1663" s="14" t="n"/>
      <c r="I1663" s="12" t="n"/>
      <c r="J1663" s="14" t="n"/>
      <c r="K1663" s="12" t="n"/>
      <c r="L1663" s="13">
        <f>IF($K1663="","",IFERROR(INDEX(Dept_Names,MATCH($K1663,Dept_Codes,0)),"NOT FOUND"))</f>
        <v/>
      </c>
      <c r="M1663" s="12" t="n"/>
      <c r="N1663" s="13">
        <f>IF($M1663="","",IFERROR(INDEX(Desig_Names,MATCH($M1663,Desig_Codes,0)),"NOT FOUND"))</f>
        <v/>
      </c>
      <c r="O1663" s="13">
        <f>IF($M1663="","",IFERROR(INDEX(Desig_Levels,MATCH($M1663,Desig_Codes,0)),""))</f>
        <v/>
      </c>
      <c r="P1663" s="12" t="n"/>
      <c r="Q1663" s="12" t="n"/>
      <c r="R1663" s="12" t="n"/>
      <c r="S1663" s="13">
        <f>IF($R1663="","",IFERROR(INDEX(Emp_Names,MATCH($R1663,Emp_Codes,0)),"NOT FOUND"))</f>
        <v/>
      </c>
      <c r="T1663" s="12" t="n"/>
      <c r="U1663" s="12" t="n"/>
      <c r="V1663" s="12" t="n"/>
    </row>
    <row r="1664">
      <c r="A1664" s="12" t="n"/>
      <c r="B1664" s="12" t="n"/>
      <c r="C1664" s="12" t="n"/>
      <c r="D1664" s="13">
        <f>IF($A1664="","",TRIM($B1664&amp;" "&amp;$C1664))</f>
        <v/>
      </c>
      <c r="E1664" s="12" t="n"/>
      <c r="F1664" s="12" t="n"/>
      <c r="G1664" s="14" t="n"/>
      <c r="H1664" s="14" t="n"/>
      <c r="I1664" s="12" t="n"/>
      <c r="J1664" s="14" t="n"/>
      <c r="K1664" s="12" t="n"/>
      <c r="L1664" s="13">
        <f>IF($K1664="","",IFERROR(INDEX(Dept_Names,MATCH($K1664,Dept_Codes,0)),"NOT FOUND"))</f>
        <v/>
      </c>
      <c r="M1664" s="12" t="n"/>
      <c r="N1664" s="13">
        <f>IF($M1664="","",IFERROR(INDEX(Desig_Names,MATCH($M1664,Desig_Codes,0)),"NOT FOUND"))</f>
        <v/>
      </c>
      <c r="O1664" s="13">
        <f>IF($M1664="","",IFERROR(INDEX(Desig_Levels,MATCH($M1664,Desig_Codes,0)),""))</f>
        <v/>
      </c>
      <c r="P1664" s="12" t="n"/>
      <c r="Q1664" s="12" t="n"/>
      <c r="R1664" s="12" t="n"/>
      <c r="S1664" s="13">
        <f>IF($R1664="","",IFERROR(INDEX(Emp_Names,MATCH($R1664,Emp_Codes,0)),"NOT FOUND"))</f>
        <v/>
      </c>
      <c r="T1664" s="12" t="n"/>
      <c r="U1664" s="12" t="n"/>
      <c r="V1664" s="12" t="n"/>
    </row>
    <row r="1665">
      <c r="A1665" s="12" t="n"/>
      <c r="B1665" s="12" t="n"/>
      <c r="C1665" s="12" t="n"/>
      <c r="D1665" s="13">
        <f>IF($A1665="","",TRIM($B1665&amp;" "&amp;$C1665))</f>
        <v/>
      </c>
      <c r="E1665" s="12" t="n"/>
      <c r="F1665" s="12" t="n"/>
      <c r="G1665" s="14" t="n"/>
      <c r="H1665" s="14" t="n"/>
      <c r="I1665" s="12" t="n"/>
      <c r="J1665" s="14" t="n"/>
      <c r="K1665" s="12" t="n"/>
      <c r="L1665" s="13">
        <f>IF($K1665="","",IFERROR(INDEX(Dept_Names,MATCH($K1665,Dept_Codes,0)),"NOT FOUND"))</f>
        <v/>
      </c>
      <c r="M1665" s="12" t="n"/>
      <c r="N1665" s="13">
        <f>IF($M1665="","",IFERROR(INDEX(Desig_Names,MATCH($M1665,Desig_Codes,0)),"NOT FOUND"))</f>
        <v/>
      </c>
      <c r="O1665" s="13">
        <f>IF($M1665="","",IFERROR(INDEX(Desig_Levels,MATCH($M1665,Desig_Codes,0)),""))</f>
        <v/>
      </c>
      <c r="P1665" s="12" t="n"/>
      <c r="Q1665" s="12" t="n"/>
      <c r="R1665" s="12" t="n"/>
      <c r="S1665" s="13">
        <f>IF($R1665="","",IFERROR(INDEX(Emp_Names,MATCH($R1665,Emp_Codes,0)),"NOT FOUND"))</f>
        <v/>
      </c>
      <c r="T1665" s="12" t="n"/>
      <c r="U1665" s="12" t="n"/>
      <c r="V1665" s="12" t="n"/>
    </row>
    <row r="1666">
      <c r="A1666" s="12" t="n"/>
      <c r="B1666" s="12" t="n"/>
      <c r="C1666" s="12" t="n"/>
      <c r="D1666" s="13">
        <f>IF($A1666="","",TRIM($B1666&amp;" "&amp;$C1666))</f>
        <v/>
      </c>
      <c r="E1666" s="12" t="n"/>
      <c r="F1666" s="12" t="n"/>
      <c r="G1666" s="14" t="n"/>
      <c r="H1666" s="14" t="n"/>
      <c r="I1666" s="12" t="n"/>
      <c r="J1666" s="14" t="n"/>
      <c r="K1666" s="12" t="n"/>
      <c r="L1666" s="13">
        <f>IF($K1666="","",IFERROR(INDEX(Dept_Names,MATCH($K1666,Dept_Codes,0)),"NOT FOUND"))</f>
        <v/>
      </c>
      <c r="M1666" s="12" t="n"/>
      <c r="N1666" s="13">
        <f>IF($M1666="","",IFERROR(INDEX(Desig_Names,MATCH($M1666,Desig_Codes,0)),"NOT FOUND"))</f>
        <v/>
      </c>
      <c r="O1666" s="13">
        <f>IF($M1666="","",IFERROR(INDEX(Desig_Levels,MATCH($M1666,Desig_Codes,0)),""))</f>
        <v/>
      </c>
      <c r="P1666" s="12" t="n"/>
      <c r="Q1666" s="12" t="n"/>
      <c r="R1666" s="12" t="n"/>
      <c r="S1666" s="13">
        <f>IF($R1666="","",IFERROR(INDEX(Emp_Names,MATCH($R1666,Emp_Codes,0)),"NOT FOUND"))</f>
        <v/>
      </c>
      <c r="T1666" s="12" t="n"/>
      <c r="U1666" s="12" t="n"/>
      <c r="V1666" s="12" t="n"/>
    </row>
    <row r="1667">
      <c r="A1667" s="12" t="n"/>
      <c r="B1667" s="12" t="n"/>
      <c r="C1667" s="12" t="n"/>
      <c r="D1667" s="13">
        <f>IF($A1667="","",TRIM($B1667&amp;" "&amp;$C1667))</f>
        <v/>
      </c>
      <c r="E1667" s="12" t="n"/>
      <c r="F1667" s="12" t="n"/>
      <c r="G1667" s="14" t="n"/>
      <c r="H1667" s="14" t="n"/>
      <c r="I1667" s="12" t="n"/>
      <c r="J1667" s="14" t="n"/>
      <c r="K1667" s="12" t="n"/>
      <c r="L1667" s="13">
        <f>IF($K1667="","",IFERROR(INDEX(Dept_Names,MATCH($K1667,Dept_Codes,0)),"NOT FOUND"))</f>
        <v/>
      </c>
      <c r="M1667" s="12" t="n"/>
      <c r="N1667" s="13">
        <f>IF($M1667="","",IFERROR(INDEX(Desig_Names,MATCH($M1667,Desig_Codes,0)),"NOT FOUND"))</f>
        <v/>
      </c>
      <c r="O1667" s="13">
        <f>IF($M1667="","",IFERROR(INDEX(Desig_Levels,MATCH($M1667,Desig_Codes,0)),""))</f>
        <v/>
      </c>
      <c r="P1667" s="12" t="n"/>
      <c r="Q1667" s="12" t="n"/>
      <c r="R1667" s="12" t="n"/>
      <c r="S1667" s="13">
        <f>IF($R1667="","",IFERROR(INDEX(Emp_Names,MATCH($R1667,Emp_Codes,0)),"NOT FOUND"))</f>
        <v/>
      </c>
      <c r="T1667" s="12" t="n"/>
      <c r="U1667" s="12" t="n"/>
      <c r="V1667" s="12" t="n"/>
    </row>
    <row r="1668">
      <c r="A1668" s="12" t="n"/>
      <c r="B1668" s="12" t="n"/>
      <c r="C1668" s="12" t="n"/>
      <c r="D1668" s="13">
        <f>IF($A1668="","",TRIM($B1668&amp;" "&amp;$C1668))</f>
        <v/>
      </c>
      <c r="E1668" s="12" t="n"/>
      <c r="F1668" s="12" t="n"/>
      <c r="G1668" s="14" t="n"/>
      <c r="H1668" s="14" t="n"/>
      <c r="I1668" s="12" t="n"/>
      <c r="J1668" s="14" t="n"/>
      <c r="K1668" s="12" t="n"/>
      <c r="L1668" s="13">
        <f>IF($K1668="","",IFERROR(INDEX(Dept_Names,MATCH($K1668,Dept_Codes,0)),"NOT FOUND"))</f>
        <v/>
      </c>
      <c r="M1668" s="12" t="n"/>
      <c r="N1668" s="13">
        <f>IF($M1668="","",IFERROR(INDEX(Desig_Names,MATCH($M1668,Desig_Codes,0)),"NOT FOUND"))</f>
        <v/>
      </c>
      <c r="O1668" s="13">
        <f>IF($M1668="","",IFERROR(INDEX(Desig_Levels,MATCH($M1668,Desig_Codes,0)),""))</f>
        <v/>
      </c>
      <c r="P1668" s="12" t="n"/>
      <c r="Q1668" s="12" t="n"/>
      <c r="R1668" s="12" t="n"/>
      <c r="S1668" s="13">
        <f>IF($R1668="","",IFERROR(INDEX(Emp_Names,MATCH($R1668,Emp_Codes,0)),"NOT FOUND"))</f>
        <v/>
      </c>
      <c r="T1668" s="12" t="n"/>
      <c r="U1668" s="12" t="n"/>
      <c r="V1668" s="12" t="n"/>
    </row>
    <row r="1669">
      <c r="A1669" s="12" t="n"/>
      <c r="B1669" s="12" t="n"/>
      <c r="C1669" s="12" t="n"/>
      <c r="D1669" s="13">
        <f>IF($A1669="","",TRIM($B1669&amp;" "&amp;$C1669))</f>
        <v/>
      </c>
      <c r="E1669" s="12" t="n"/>
      <c r="F1669" s="12" t="n"/>
      <c r="G1669" s="14" t="n"/>
      <c r="H1669" s="14" t="n"/>
      <c r="I1669" s="12" t="n"/>
      <c r="J1669" s="14" t="n"/>
      <c r="K1669" s="12" t="n"/>
      <c r="L1669" s="13">
        <f>IF($K1669="","",IFERROR(INDEX(Dept_Names,MATCH($K1669,Dept_Codes,0)),"NOT FOUND"))</f>
        <v/>
      </c>
      <c r="M1669" s="12" t="n"/>
      <c r="N1669" s="13">
        <f>IF($M1669="","",IFERROR(INDEX(Desig_Names,MATCH($M1669,Desig_Codes,0)),"NOT FOUND"))</f>
        <v/>
      </c>
      <c r="O1669" s="13">
        <f>IF($M1669="","",IFERROR(INDEX(Desig_Levels,MATCH($M1669,Desig_Codes,0)),""))</f>
        <v/>
      </c>
      <c r="P1669" s="12" t="n"/>
      <c r="Q1669" s="12" t="n"/>
      <c r="R1669" s="12" t="n"/>
      <c r="S1669" s="13">
        <f>IF($R1669="","",IFERROR(INDEX(Emp_Names,MATCH($R1669,Emp_Codes,0)),"NOT FOUND"))</f>
        <v/>
      </c>
      <c r="T1669" s="12" t="n"/>
      <c r="U1669" s="12" t="n"/>
      <c r="V1669" s="12" t="n"/>
    </row>
    <row r="1670">
      <c r="A1670" s="12" t="n"/>
      <c r="B1670" s="12" t="n"/>
      <c r="C1670" s="12" t="n"/>
      <c r="D1670" s="13">
        <f>IF($A1670="","",TRIM($B1670&amp;" "&amp;$C1670))</f>
        <v/>
      </c>
      <c r="E1670" s="12" t="n"/>
      <c r="F1670" s="12" t="n"/>
      <c r="G1670" s="14" t="n"/>
      <c r="H1670" s="14" t="n"/>
      <c r="I1670" s="12" t="n"/>
      <c r="J1670" s="14" t="n"/>
      <c r="K1670" s="12" t="n"/>
      <c r="L1670" s="13">
        <f>IF($K1670="","",IFERROR(INDEX(Dept_Names,MATCH($K1670,Dept_Codes,0)),"NOT FOUND"))</f>
        <v/>
      </c>
      <c r="M1670" s="12" t="n"/>
      <c r="N1670" s="13">
        <f>IF($M1670="","",IFERROR(INDEX(Desig_Names,MATCH($M1670,Desig_Codes,0)),"NOT FOUND"))</f>
        <v/>
      </c>
      <c r="O1670" s="13">
        <f>IF($M1670="","",IFERROR(INDEX(Desig_Levels,MATCH($M1670,Desig_Codes,0)),""))</f>
        <v/>
      </c>
      <c r="P1670" s="12" t="n"/>
      <c r="Q1670" s="12" t="n"/>
      <c r="R1670" s="12" t="n"/>
      <c r="S1670" s="13">
        <f>IF($R1670="","",IFERROR(INDEX(Emp_Names,MATCH($R1670,Emp_Codes,0)),"NOT FOUND"))</f>
        <v/>
      </c>
      <c r="T1670" s="12" t="n"/>
      <c r="U1670" s="12" t="n"/>
      <c r="V1670" s="12" t="n"/>
    </row>
    <row r="1671">
      <c r="A1671" s="12" t="n"/>
      <c r="B1671" s="12" t="n"/>
      <c r="C1671" s="12" t="n"/>
      <c r="D1671" s="13">
        <f>IF($A1671="","",TRIM($B1671&amp;" "&amp;$C1671))</f>
        <v/>
      </c>
      <c r="E1671" s="12" t="n"/>
      <c r="F1671" s="12" t="n"/>
      <c r="G1671" s="14" t="n"/>
      <c r="H1671" s="14" t="n"/>
      <c r="I1671" s="12" t="n"/>
      <c r="J1671" s="14" t="n"/>
      <c r="K1671" s="12" t="n"/>
      <c r="L1671" s="13">
        <f>IF($K1671="","",IFERROR(INDEX(Dept_Names,MATCH($K1671,Dept_Codes,0)),"NOT FOUND"))</f>
        <v/>
      </c>
      <c r="M1671" s="12" t="n"/>
      <c r="N1671" s="13">
        <f>IF($M1671="","",IFERROR(INDEX(Desig_Names,MATCH($M1671,Desig_Codes,0)),"NOT FOUND"))</f>
        <v/>
      </c>
      <c r="O1671" s="13">
        <f>IF($M1671="","",IFERROR(INDEX(Desig_Levels,MATCH($M1671,Desig_Codes,0)),""))</f>
        <v/>
      </c>
      <c r="P1671" s="12" t="n"/>
      <c r="Q1671" s="12" t="n"/>
      <c r="R1671" s="12" t="n"/>
      <c r="S1671" s="13">
        <f>IF($R1671="","",IFERROR(INDEX(Emp_Names,MATCH($R1671,Emp_Codes,0)),"NOT FOUND"))</f>
        <v/>
      </c>
      <c r="T1671" s="12" t="n"/>
      <c r="U1671" s="12" t="n"/>
      <c r="V1671" s="12" t="n"/>
    </row>
    <row r="1672">
      <c r="A1672" s="12" t="n"/>
      <c r="B1672" s="12" t="n"/>
      <c r="C1672" s="12" t="n"/>
      <c r="D1672" s="13">
        <f>IF($A1672="","",TRIM($B1672&amp;" "&amp;$C1672))</f>
        <v/>
      </c>
      <c r="E1672" s="12" t="n"/>
      <c r="F1672" s="12" t="n"/>
      <c r="G1672" s="14" t="n"/>
      <c r="H1672" s="14" t="n"/>
      <c r="I1672" s="12" t="n"/>
      <c r="J1672" s="14" t="n"/>
      <c r="K1672" s="12" t="n"/>
      <c r="L1672" s="13">
        <f>IF($K1672="","",IFERROR(INDEX(Dept_Names,MATCH($K1672,Dept_Codes,0)),"NOT FOUND"))</f>
        <v/>
      </c>
      <c r="M1672" s="12" t="n"/>
      <c r="N1672" s="13">
        <f>IF($M1672="","",IFERROR(INDEX(Desig_Names,MATCH($M1672,Desig_Codes,0)),"NOT FOUND"))</f>
        <v/>
      </c>
      <c r="O1672" s="13">
        <f>IF($M1672="","",IFERROR(INDEX(Desig_Levels,MATCH($M1672,Desig_Codes,0)),""))</f>
        <v/>
      </c>
      <c r="P1672" s="12" t="n"/>
      <c r="Q1672" s="12" t="n"/>
      <c r="R1672" s="12" t="n"/>
      <c r="S1672" s="13">
        <f>IF($R1672="","",IFERROR(INDEX(Emp_Names,MATCH($R1672,Emp_Codes,0)),"NOT FOUND"))</f>
        <v/>
      </c>
      <c r="T1672" s="12" t="n"/>
      <c r="U1672" s="12" t="n"/>
      <c r="V1672" s="12" t="n"/>
    </row>
    <row r="1673">
      <c r="A1673" s="12" t="n"/>
      <c r="B1673" s="12" t="n"/>
      <c r="C1673" s="12" t="n"/>
      <c r="D1673" s="13">
        <f>IF($A1673="","",TRIM($B1673&amp;" "&amp;$C1673))</f>
        <v/>
      </c>
      <c r="E1673" s="12" t="n"/>
      <c r="F1673" s="12" t="n"/>
      <c r="G1673" s="14" t="n"/>
      <c r="H1673" s="14" t="n"/>
      <c r="I1673" s="12" t="n"/>
      <c r="J1673" s="14" t="n"/>
      <c r="K1673" s="12" t="n"/>
      <c r="L1673" s="13">
        <f>IF($K1673="","",IFERROR(INDEX(Dept_Names,MATCH($K1673,Dept_Codes,0)),"NOT FOUND"))</f>
        <v/>
      </c>
      <c r="M1673" s="12" t="n"/>
      <c r="N1673" s="13">
        <f>IF($M1673="","",IFERROR(INDEX(Desig_Names,MATCH($M1673,Desig_Codes,0)),"NOT FOUND"))</f>
        <v/>
      </c>
      <c r="O1673" s="13">
        <f>IF($M1673="","",IFERROR(INDEX(Desig_Levels,MATCH($M1673,Desig_Codes,0)),""))</f>
        <v/>
      </c>
      <c r="P1673" s="12" t="n"/>
      <c r="Q1673" s="12" t="n"/>
      <c r="R1673" s="12" t="n"/>
      <c r="S1673" s="13">
        <f>IF($R1673="","",IFERROR(INDEX(Emp_Names,MATCH($R1673,Emp_Codes,0)),"NOT FOUND"))</f>
        <v/>
      </c>
      <c r="T1673" s="12" t="n"/>
      <c r="U1673" s="12" t="n"/>
      <c r="V1673" s="12" t="n"/>
    </row>
    <row r="1674">
      <c r="A1674" s="12" t="n"/>
      <c r="B1674" s="12" t="n"/>
      <c r="C1674" s="12" t="n"/>
      <c r="D1674" s="13">
        <f>IF($A1674="","",TRIM($B1674&amp;" "&amp;$C1674))</f>
        <v/>
      </c>
      <c r="E1674" s="12" t="n"/>
      <c r="F1674" s="12" t="n"/>
      <c r="G1674" s="14" t="n"/>
      <c r="H1674" s="14" t="n"/>
      <c r="I1674" s="12" t="n"/>
      <c r="J1674" s="14" t="n"/>
      <c r="K1674" s="12" t="n"/>
      <c r="L1674" s="13">
        <f>IF($K1674="","",IFERROR(INDEX(Dept_Names,MATCH($K1674,Dept_Codes,0)),"NOT FOUND"))</f>
        <v/>
      </c>
      <c r="M1674" s="12" t="n"/>
      <c r="N1674" s="13">
        <f>IF($M1674="","",IFERROR(INDEX(Desig_Names,MATCH($M1674,Desig_Codes,0)),"NOT FOUND"))</f>
        <v/>
      </c>
      <c r="O1674" s="13">
        <f>IF($M1674="","",IFERROR(INDEX(Desig_Levels,MATCH($M1674,Desig_Codes,0)),""))</f>
        <v/>
      </c>
      <c r="P1674" s="12" t="n"/>
      <c r="Q1674" s="12" t="n"/>
      <c r="R1674" s="12" t="n"/>
      <c r="S1674" s="13">
        <f>IF($R1674="","",IFERROR(INDEX(Emp_Names,MATCH($R1674,Emp_Codes,0)),"NOT FOUND"))</f>
        <v/>
      </c>
      <c r="T1674" s="12" t="n"/>
      <c r="U1674" s="12" t="n"/>
      <c r="V1674" s="12" t="n"/>
    </row>
    <row r="1675">
      <c r="A1675" s="12" t="n"/>
      <c r="B1675" s="12" t="n"/>
      <c r="C1675" s="12" t="n"/>
      <c r="D1675" s="13">
        <f>IF($A1675="","",TRIM($B1675&amp;" "&amp;$C1675))</f>
        <v/>
      </c>
      <c r="E1675" s="12" t="n"/>
      <c r="F1675" s="12" t="n"/>
      <c r="G1675" s="14" t="n"/>
      <c r="H1675" s="14" t="n"/>
      <c r="I1675" s="12" t="n"/>
      <c r="J1675" s="14" t="n"/>
      <c r="K1675" s="12" t="n"/>
      <c r="L1675" s="13">
        <f>IF($K1675="","",IFERROR(INDEX(Dept_Names,MATCH($K1675,Dept_Codes,0)),"NOT FOUND"))</f>
        <v/>
      </c>
      <c r="M1675" s="12" t="n"/>
      <c r="N1675" s="13">
        <f>IF($M1675="","",IFERROR(INDEX(Desig_Names,MATCH($M1675,Desig_Codes,0)),"NOT FOUND"))</f>
        <v/>
      </c>
      <c r="O1675" s="13">
        <f>IF($M1675="","",IFERROR(INDEX(Desig_Levels,MATCH($M1675,Desig_Codes,0)),""))</f>
        <v/>
      </c>
      <c r="P1675" s="12" t="n"/>
      <c r="Q1675" s="12" t="n"/>
      <c r="R1675" s="12" t="n"/>
      <c r="S1675" s="13">
        <f>IF($R1675="","",IFERROR(INDEX(Emp_Names,MATCH($R1675,Emp_Codes,0)),"NOT FOUND"))</f>
        <v/>
      </c>
      <c r="T1675" s="12" t="n"/>
      <c r="U1675" s="12" t="n"/>
      <c r="V1675" s="12" t="n"/>
    </row>
    <row r="1676">
      <c r="A1676" s="12" t="n"/>
      <c r="B1676" s="12" t="n"/>
      <c r="C1676" s="12" t="n"/>
      <c r="D1676" s="13">
        <f>IF($A1676="","",TRIM($B1676&amp;" "&amp;$C1676))</f>
        <v/>
      </c>
      <c r="E1676" s="12" t="n"/>
      <c r="F1676" s="12" t="n"/>
      <c r="G1676" s="14" t="n"/>
      <c r="H1676" s="14" t="n"/>
      <c r="I1676" s="12" t="n"/>
      <c r="J1676" s="14" t="n"/>
      <c r="K1676" s="12" t="n"/>
      <c r="L1676" s="13">
        <f>IF($K1676="","",IFERROR(INDEX(Dept_Names,MATCH($K1676,Dept_Codes,0)),"NOT FOUND"))</f>
        <v/>
      </c>
      <c r="M1676" s="12" t="n"/>
      <c r="N1676" s="13">
        <f>IF($M1676="","",IFERROR(INDEX(Desig_Names,MATCH($M1676,Desig_Codes,0)),"NOT FOUND"))</f>
        <v/>
      </c>
      <c r="O1676" s="13">
        <f>IF($M1676="","",IFERROR(INDEX(Desig_Levels,MATCH($M1676,Desig_Codes,0)),""))</f>
        <v/>
      </c>
      <c r="P1676" s="12" t="n"/>
      <c r="Q1676" s="12" t="n"/>
      <c r="R1676" s="12" t="n"/>
      <c r="S1676" s="13">
        <f>IF($R1676="","",IFERROR(INDEX(Emp_Names,MATCH($R1676,Emp_Codes,0)),"NOT FOUND"))</f>
        <v/>
      </c>
      <c r="T1676" s="12" t="n"/>
      <c r="U1676" s="12" t="n"/>
      <c r="V1676" s="12" t="n"/>
    </row>
    <row r="1677">
      <c r="A1677" s="12" t="n"/>
      <c r="B1677" s="12" t="n"/>
      <c r="C1677" s="12" t="n"/>
      <c r="D1677" s="13">
        <f>IF($A1677="","",TRIM($B1677&amp;" "&amp;$C1677))</f>
        <v/>
      </c>
      <c r="E1677" s="12" t="n"/>
      <c r="F1677" s="12" t="n"/>
      <c r="G1677" s="14" t="n"/>
      <c r="H1677" s="14" t="n"/>
      <c r="I1677" s="12" t="n"/>
      <c r="J1677" s="14" t="n"/>
      <c r="K1677" s="12" t="n"/>
      <c r="L1677" s="13">
        <f>IF($K1677="","",IFERROR(INDEX(Dept_Names,MATCH($K1677,Dept_Codes,0)),"NOT FOUND"))</f>
        <v/>
      </c>
      <c r="M1677" s="12" t="n"/>
      <c r="N1677" s="13">
        <f>IF($M1677="","",IFERROR(INDEX(Desig_Names,MATCH($M1677,Desig_Codes,0)),"NOT FOUND"))</f>
        <v/>
      </c>
      <c r="O1677" s="13">
        <f>IF($M1677="","",IFERROR(INDEX(Desig_Levels,MATCH($M1677,Desig_Codes,0)),""))</f>
        <v/>
      </c>
      <c r="P1677" s="12" t="n"/>
      <c r="Q1677" s="12" t="n"/>
      <c r="R1677" s="12" t="n"/>
      <c r="S1677" s="13">
        <f>IF($R1677="","",IFERROR(INDEX(Emp_Names,MATCH($R1677,Emp_Codes,0)),"NOT FOUND"))</f>
        <v/>
      </c>
      <c r="T1677" s="12" t="n"/>
      <c r="U1677" s="12" t="n"/>
      <c r="V1677" s="12" t="n"/>
    </row>
    <row r="1678">
      <c r="A1678" s="12" t="n"/>
      <c r="B1678" s="12" t="n"/>
      <c r="C1678" s="12" t="n"/>
      <c r="D1678" s="13">
        <f>IF($A1678="","",TRIM($B1678&amp;" "&amp;$C1678))</f>
        <v/>
      </c>
      <c r="E1678" s="12" t="n"/>
      <c r="F1678" s="12" t="n"/>
      <c r="G1678" s="14" t="n"/>
      <c r="H1678" s="14" t="n"/>
      <c r="I1678" s="12" t="n"/>
      <c r="J1678" s="14" t="n"/>
      <c r="K1678" s="12" t="n"/>
      <c r="L1678" s="13">
        <f>IF($K1678="","",IFERROR(INDEX(Dept_Names,MATCH($K1678,Dept_Codes,0)),"NOT FOUND"))</f>
        <v/>
      </c>
      <c r="M1678" s="12" t="n"/>
      <c r="N1678" s="13">
        <f>IF($M1678="","",IFERROR(INDEX(Desig_Names,MATCH($M1678,Desig_Codes,0)),"NOT FOUND"))</f>
        <v/>
      </c>
      <c r="O1678" s="13">
        <f>IF($M1678="","",IFERROR(INDEX(Desig_Levels,MATCH($M1678,Desig_Codes,0)),""))</f>
        <v/>
      </c>
      <c r="P1678" s="12" t="n"/>
      <c r="Q1678" s="12" t="n"/>
      <c r="R1678" s="12" t="n"/>
      <c r="S1678" s="13">
        <f>IF($R1678="","",IFERROR(INDEX(Emp_Names,MATCH($R1678,Emp_Codes,0)),"NOT FOUND"))</f>
        <v/>
      </c>
      <c r="T1678" s="12" t="n"/>
      <c r="U1678" s="12" t="n"/>
      <c r="V1678" s="12" t="n"/>
    </row>
    <row r="1679">
      <c r="A1679" s="12" t="n"/>
      <c r="B1679" s="12" t="n"/>
      <c r="C1679" s="12" t="n"/>
      <c r="D1679" s="13">
        <f>IF($A1679="","",TRIM($B1679&amp;" "&amp;$C1679))</f>
        <v/>
      </c>
      <c r="E1679" s="12" t="n"/>
      <c r="F1679" s="12" t="n"/>
      <c r="G1679" s="14" t="n"/>
      <c r="H1679" s="14" t="n"/>
      <c r="I1679" s="12" t="n"/>
      <c r="J1679" s="14" t="n"/>
      <c r="K1679" s="12" t="n"/>
      <c r="L1679" s="13">
        <f>IF($K1679="","",IFERROR(INDEX(Dept_Names,MATCH($K1679,Dept_Codes,0)),"NOT FOUND"))</f>
        <v/>
      </c>
      <c r="M1679" s="12" t="n"/>
      <c r="N1679" s="13">
        <f>IF($M1679="","",IFERROR(INDEX(Desig_Names,MATCH($M1679,Desig_Codes,0)),"NOT FOUND"))</f>
        <v/>
      </c>
      <c r="O1679" s="13">
        <f>IF($M1679="","",IFERROR(INDEX(Desig_Levels,MATCH($M1679,Desig_Codes,0)),""))</f>
        <v/>
      </c>
      <c r="P1679" s="12" t="n"/>
      <c r="Q1679" s="12" t="n"/>
      <c r="R1679" s="12" t="n"/>
      <c r="S1679" s="13">
        <f>IF($R1679="","",IFERROR(INDEX(Emp_Names,MATCH($R1679,Emp_Codes,0)),"NOT FOUND"))</f>
        <v/>
      </c>
      <c r="T1679" s="12" t="n"/>
      <c r="U1679" s="12" t="n"/>
      <c r="V1679" s="12" t="n"/>
    </row>
    <row r="1680">
      <c r="A1680" s="12" t="n"/>
      <c r="B1680" s="12" t="n"/>
      <c r="C1680" s="12" t="n"/>
      <c r="D1680" s="13">
        <f>IF($A1680="","",TRIM($B1680&amp;" "&amp;$C1680))</f>
        <v/>
      </c>
      <c r="E1680" s="12" t="n"/>
      <c r="F1680" s="12" t="n"/>
      <c r="G1680" s="14" t="n"/>
      <c r="H1680" s="14" t="n"/>
      <c r="I1680" s="12" t="n"/>
      <c r="J1680" s="14" t="n"/>
      <c r="K1680" s="12" t="n"/>
      <c r="L1680" s="13">
        <f>IF($K1680="","",IFERROR(INDEX(Dept_Names,MATCH($K1680,Dept_Codes,0)),"NOT FOUND"))</f>
        <v/>
      </c>
      <c r="M1680" s="12" t="n"/>
      <c r="N1680" s="13">
        <f>IF($M1680="","",IFERROR(INDEX(Desig_Names,MATCH($M1680,Desig_Codes,0)),"NOT FOUND"))</f>
        <v/>
      </c>
      <c r="O1680" s="13">
        <f>IF($M1680="","",IFERROR(INDEX(Desig_Levels,MATCH($M1680,Desig_Codes,0)),""))</f>
        <v/>
      </c>
      <c r="P1680" s="12" t="n"/>
      <c r="Q1680" s="12" t="n"/>
      <c r="R1680" s="12" t="n"/>
      <c r="S1680" s="13">
        <f>IF($R1680="","",IFERROR(INDEX(Emp_Names,MATCH($R1680,Emp_Codes,0)),"NOT FOUND"))</f>
        <v/>
      </c>
      <c r="T1680" s="12" t="n"/>
      <c r="U1680" s="12" t="n"/>
      <c r="V1680" s="12" t="n"/>
    </row>
    <row r="1681">
      <c r="A1681" s="12" t="n"/>
      <c r="B1681" s="12" t="n"/>
      <c r="C1681" s="12" t="n"/>
      <c r="D1681" s="13">
        <f>IF($A1681="","",TRIM($B1681&amp;" "&amp;$C1681))</f>
        <v/>
      </c>
      <c r="E1681" s="12" t="n"/>
      <c r="F1681" s="12" t="n"/>
      <c r="G1681" s="14" t="n"/>
      <c r="H1681" s="14" t="n"/>
      <c r="I1681" s="12" t="n"/>
      <c r="J1681" s="14" t="n"/>
      <c r="K1681" s="12" t="n"/>
      <c r="L1681" s="13">
        <f>IF($K1681="","",IFERROR(INDEX(Dept_Names,MATCH($K1681,Dept_Codes,0)),"NOT FOUND"))</f>
        <v/>
      </c>
      <c r="M1681" s="12" t="n"/>
      <c r="N1681" s="13">
        <f>IF($M1681="","",IFERROR(INDEX(Desig_Names,MATCH($M1681,Desig_Codes,0)),"NOT FOUND"))</f>
        <v/>
      </c>
      <c r="O1681" s="13">
        <f>IF($M1681="","",IFERROR(INDEX(Desig_Levels,MATCH($M1681,Desig_Codes,0)),""))</f>
        <v/>
      </c>
      <c r="P1681" s="12" t="n"/>
      <c r="Q1681" s="12" t="n"/>
      <c r="R1681" s="12" t="n"/>
      <c r="S1681" s="13">
        <f>IF($R1681="","",IFERROR(INDEX(Emp_Names,MATCH($R1681,Emp_Codes,0)),"NOT FOUND"))</f>
        <v/>
      </c>
      <c r="T1681" s="12" t="n"/>
      <c r="U1681" s="12" t="n"/>
      <c r="V1681" s="12" t="n"/>
    </row>
    <row r="1682">
      <c r="A1682" s="12" t="n"/>
      <c r="B1682" s="12" t="n"/>
      <c r="C1682" s="12" t="n"/>
      <c r="D1682" s="13">
        <f>IF($A1682="","",TRIM($B1682&amp;" "&amp;$C1682))</f>
        <v/>
      </c>
      <c r="E1682" s="12" t="n"/>
      <c r="F1682" s="12" t="n"/>
      <c r="G1682" s="14" t="n"/>
      <c r="H1682" s="14" t="n"/>
      <c r="I1682" s="12" t="n"/>
      <c r="J1682" s="14" t="n"/>
      <c r="K1682" s="12" t="n"/>
      <c r="L1682" s="13">
        <f>IF($K1682="","",IFERROR(INDEX(Dept_Names,MATCH($K1682,Dept_Codes,0)),"NOT FOUND"))</f>
        <v/>
      </c>
      <c r="M1682" s="12" t="n"/>
      <c r="N1682" s="13">
        <f>IF($M1682="","",IFERROR(INDEX(Desig_Names,MATCH($M1682,Desig_Codes,0)),"NOT FOUND"))</f>
        <v/>
      </c>
      <c r="O1682" s="13">
        <f>IF($M1682="","",IFERROR(INDEX(Desig_Levels,MATCH($M1682,Desig_Codes,0)),""))</f>
        <v/>
      </c>
      <c r="P1682" s="12" t="n"/>
      <c r="Q1682" s="12" t="n"/>
      <c r="R1682" s="12" t="n"/>
      <c r="S1682" s="13">
        <f>IF($R1682="","",IFERROR(INDEX(Emp_Names,MATCH($R1682,Emp_Codes,0)),"NOT FOUND"))</f>
        <v/>
      </c>
      <c r="T1682" s="12" t="n"/>
      <c r="U1682" s="12" t="n"/>
      <c r="V1682" s="12" t="n"/>
    </row>
    <row r="1683">
      <c r="A1683" s="12" t="n"/>
      <c r="B1683" s="12" t="n"/>
      <c r="C1683" s="12" t="n"/>
      <c r="D1683" s="13">
        <f>IF($A1683="","",TRIM($B1683&amp;" "&amp;$C1683))</f>
        <v/>
      </c>
      <c r="E1683" s="12" t="n"/>
      <c r="F1683" s="12" t="n"/>
      <c r="G1683" s="14" t="n"/>
      <c r="H1683" s="14" t="n"/>
      <c r="I1683" s="12" t="n"/>
      <c r="J1683" s="14" t="n"/>
      <c r="K1683" s="12" t="n"/>
      <c r="L1683" s="13">
        <f>IF($K1683="","",IFERROR(INDEX(Dept_Names,MATCH($K1683,Dept_Codes,0)),"NOT FOUND"))</f>
        <v/>
      </c>
      <c r="M1683" s="12" t="n"/>
      <c r="N1683" s="13">
        <f>IF($M1683="","",IFERROR(INDEX(Desig_Names,MATCH($M1683,Desig_Codes,0)),"NOT FOUND"))</f>
        <v/>
      </c>
      <c r="O1683" s="13">
        <f>IF($M1683="","",IFERROR(INDEX(Desig_Levels,MATCH($M1683,Desig_Codes,0)),""))</f>
        <v/>
      </c>
      <c r="P1683" s="12" t="n"/>
      <c r="Q1683" s="12" t="n"/>
      <c r="R1683" s="12" t="n"/>
      <c r="S1683" s="13">
        <f>IF($R1683="","",IFERROR(INDEX(Emp_Names,MATCH($R1683,Emp_Codes,0)),"NOT FOUND"))</f>
        <v/>
      </c>
      <c r="T1683" s="12" t="n"/>
      <c r="U1683" s="12" t="n"/>
      <c r="V1683" s="12" t="n"/>
    </row>
    <row r="1684">
      <c r="A1684" s="12" t="n"/>
      <c r="B1684" s="12" t="n"/>
      <c r="C1684" s="12" t="n"/>
      <c r="D1684" s="13">
        <f>IF($A1684="","",TRIM($B1684&amp;" "&amp;$C1684))</f>
        <v/>
      </c>
      <c r="E1684" s="12" t="n"/>
      <c r="F1684" s="12" t="n"/>
      <c r="G1684" s="14" t="n"/>
      <c r="H1684" s="14" t="n"/>
      <c r="I1684" s="12" t="n"/>
      <c r="J1684" s="14" t="n"/>
      <c r="K1684" s="12" t="n"/>
      <c r="L1684" s="13">
        <f>IF($K1684="","",IFERROR(INDEX(Dept_Names,MATCH($K1684,Dept_Codes,0)),"NOT FOUND"))</f>
        <v/>
      </c>
      <c r="M1684" s="12" t="n"/>
      <c r="N1684" s="13">
        <f>IF($M1684="","",IFERROR(INDEX(Desig_Names,MATCH($M1684,Desig_Codes,0)),"NOT FOUND"))</f>
        <v/>
      </c>
      <c r="O1684" s="13">
        <f>IF($M1684="","",IFERROR(INDEX(Desig_Levels,MATCH($M1684,Desig_Codes,0)),""))</f>
        <v/>
      </c>
      <c r="P1684" s="12" t="n"/>
      <c r="Q1684" s="12" t="n"/>
      <c r="R1684" s="12" t="n"/>
      <c r="S1684" s="13">
        <f>IF($R1684="","",IFERROR(INDEX(Emp_Names,MATCH($R1684,Emp_Codes,0)),"NOT FOUND"))</f>
        <v/>
      </c>
      <c r="T1684" s="12" t="n"/>
      <c r="U1684" s="12" t="n"/>
      <c r="V1684" s="12" t="n"/>
    </row>
    <row r="1685">
      <c r="A1685" s="12" t="n"/>
      <c r="B1685" s="12" t="n"/>
      <c r="C1685" s="12" t="n"/>
      <c r="D1685" s="13">
        <f>IF($A1685="","",TRIM($B1685&amp;" "&amp;$C1685))</f>
        <v/>
      </c>
      <c r="E1685" s="12" t="n"/>
      <c r="F1685" s="12" t="n"/>
      <c r="G1685" s="14" t="n"/>
      <c r="H1685" s="14" t="n"/>
      <c r="I1685" s="12" t="n"/>
      <c r="J1685" s="14" t="n"/>
      <c r="K1685" s="12" t="n"/>
      <c r="L1685" s="13">
        <f>IF($K1685="","",IFERROR(INDEX(Dept_Names,MATCH($K1685,Dept_Codes,0)),"NOT FOUND"))</f>
        <v/>
      </c>
      <c r="M1685" s="12" t="n"/>
      <c r="N1685" s="13">
        <f>IF($M1685="","",IFERROR(INDEX(Desig_Names,MATCH($M1685,Desig_Codes,0)),"NOT FOUND"))</f>
        <v/>
      </c>
      <c r="O1685" s="13">
        <f>IF($M1685="","",IFERROR(INDEX(Desig_Levels,MATCH($M1685,Desig_Codes,0)),""))</f>
        <v/>
      </c>
      <c r="P1685" s="12" t="n"/>
      <c r="Q1685" s="12" t="n"/>
      <c r="R1685" s="12" t="n"/>
      <c r="S1685" s="13">
        <f>IF($R1685="","",IFERROR(INDEX(Emp_Names,MATCH($R1685,Emp_Codes,0)),"NOT FOUND"))</f>
        <v/>
      </c>
      <c r="T1685" s="12" t="n"/>
      <c r="U1685" s="12" t="n"/>
      <c r="V1685" s="12" t="n"/>
    </row>
    <row r="1686">
      <c r="A1686" s="12" t="n"/>
      <c r="B1686" s="12" t="n"/>
      <c r="C1686" s="12" t="n"/>
      <c r="D1686" s="13">
        <f>IF($A1686="","",TRIM($B1686&amp;" "&amp;$C1686))</f>
        <v/>
      </c>
      <c r="E1686" s="12" t="n"/>
      <c r="F1686" s="12" t="n"/>
      <c r="G1686" s="14" t="n"/>
      <c r="H1686" s="14" t="n"/>
      <c r="I1686" s="12" t="n"/>
      <c r="J1686" s="14" t="n"/>
      <c r="K1686" s="12" t="n"/>
      <c r="L1686" s="13">
        <f>IF($K1686="","",IFERROR(INDEX(Dept_Names,MATCH($K1686,Dept_Codes,0)),"NOT FOUND"))</f>
        <v/>
      </c>
      <c r="M1686" s="12" t="n"/>
      <c r="N1686" s="13">
        <f>IF($M1686="","",IFERROR(INDEX(Desig_Names,MATCH($M1686,Desig_Codes,0)),"NOT FOUND"))</f>
        <v/>
      </c>
      <c r="O1686" s="13">
        <f>IF($M1686="","",IFERROR(INDEX(Desig_Levels,MATCH($M1686,Desig_Codes,0)),""))</f>
        <v/>
      </c>
      <c r="P1686" s="12" t="n"/>
      <c r="Q1686" s="12" t="n"/>
      <c r="R1686" s="12" t="n"/>
      <c r="S1686" s="13">
        <f>IF($R1686="","",IFERROR(INDEX(Emp_Names,MATCH($R1686,Emp_Codes,0)),"NOT FOUND"))</f>
        <v/>
      </c>
      <c r="T1686" s="12" t="n"/>
      <c r="U1686" s="12" t="n"/>
      <c r="V1686" s="12" t="n"/>
    </row>
    <row r="1687">
      <c r="A1687" s="12" t="n"/>
      <c r="B1687" s="12" t="n"/>
      <c r="C1687" s="12" t="n"/>
      <c r="D1687" s="13">
        <f>IF($A1687="","",TRIM($B1687&amp;" "&amp;$C1687))</f>
        <v/>
      </c>
      <c r="E1687" s="12" t="n"/>
      <c r="F1687" s="12" t="n"/>
      <c r="G1687" s="14" t="n"/>
      <c r="H1687" s="14" t="n"/>
      <c r="I1687" s="12" t="n"/>
      <c r="J1687" s="14" t="n"/>
      <c r="K1687" s="12" t="n"/>
      <c r="L1687" s="13">
        <f>IF($K1687="","",IFERROR(INDEX(Dept_Names,MATCH($K1687,Dept_Codes,0)),"NOT FOUND"))</f>
        <v/>
      </c>
      <c r="M1687" s="12" t="n"/>
      <c r="N1687" s="13">
        <f>IF($M1687="","",IFERROR(INDEX(Desig_Names,MATCH($M1687,Desig_Codes,0)),"NOT FOUND"))</f>
        <v/>
      </c>
      <c r="O1687" s="13">
        <f>IF($M1687="","",IFERROR(INDEX(Desig_Levels,MATCH($M1687,Desig_Codes,0)),""))</f>
        <v/>
      </c>
      <c r="P1687" s="12" t="n"/>
      <c r="Q1687" s="12" t="n"/>
      <c r="R1687" s="12" t="n"/>
      <c r="S1687" s="13">
        <f>IF($R1687="","",IFERROR(INDEX(Emp_Names,MATCH($R1687,Emp_Codes,0)),"NOT FOUND"))</f>
        <v/>
      </c>
      <c r="T1687" s="12" t="n"/>
      <c r="U1687" s="12" t="n"/>
      <c r="V1687" s="12" t="n"/>
    </row>
    <row r="1688">
      <c r="A1688" s="12" t="n"/>
      <c r="B1688" s="12" t="n"/>
      <c r="C1688" s="12" t="n"/>
      <c r="D1688" s="13">
        <f>IF($A1688="","",TRIM($B1688&amp;" "&amp;$C1688))</f>
        <v/>
      </c>
      <c r="E1688" s="12" t="n"/>
      <c r="F1688" s="12" t="n"/>
      <c r="G1688" s="14" t="n"/>
      <c r="H1688" s="14" t="n"/>
      <c r="I1688" s="12" t="n"/>
      <c r="J1688" s="14" t="n"/>
      <c r="K1688" s="12" t="n"/>
      <c r="L1688" s="13">
        <f>IF($K1688="","",IFERROR(INDEX(Dept_Names,MATCH($K1688,Dept_Codes,0)),"NOT FOUND"))</f>
        <v/>
      </c>
      <c r="M1688" s="12" t="n"/>
      <c r="N1688" s="13">
        <f>IF($M1688="","",IFERROR(INDEX(Desig_Names,MATCH($M1688,Desig_Codes,0)),"NOT FOUND"))</f>
        <v/>
      </c>
      <c r="O1688" s="13">
        <f>IF($M1688="","",IFERROR(INDEX(Desig_Levels,MATCH($M1688,Desig_Codes,0)),""))</f>
        <v/>
      </c>
      <c r="P1688" s="12" t="n"/>
      <c r="Q1688" s="12" t="n"/>
      <c r="R1688" s="12" t="n"/>
      <c r="S1688" s="13">
        <f>IF($R1688="","",IFERROR(INDEX(Emp_Names,MATCH($R1688,Emp_Codes,0)),"NOT FOUND"))</f>
        <v/>
      </c>
      <c r="T1688" s="12" t="n"/>
      <c r="U1688" s="12" t="n"/>
      <c r="V1688" s="12" t="n"/>
    </row>
    <row r="1689">
      <c r="A1689" s="12" t="n"/>
      <c r="B1689" s="12" t="n"/>
      <c r="C1689" s="12" t="n"/>
      <c r="D1689" s="13">
        <f>IF($A1689="","",TRIM($B1689&amp;" "&amp;$C1689))</f>
        <v/>
      </c>
      <c r="E1689" s="12" t="n"/>
      <c r="F1689" s="12" t="n"/>
      <c r="G1689" s="14" t="n"/>
      <c r="H1689" s="14" t="n"/>
      <c r="I1689" s="12" t="n"/>
      <c r="J1689" s="14" t="n"/>
      <c r="K1689" s="12" t="n"/>
      <c r="L1689" s="13">
        <f>IF($K1689="","",IFERROR(INDEX(Dept_Names,MATCH($K1689,Dept_Codes,0)),"NOT FOUND"))</f>
        <v/>
      </c>
      <c r="M1689" s="12" t="n"/>
      <c r="N1689" s="13">
        <f>IF($M1689="","",IFERROR(INDEX(Desig_Names,MATCH($M1689,Desig_Codes,0)),"NOT FOUND"))</f>
        <v/>
      </c>
      <c r="O1689" s="13">
        <f>IF($M1689="","",IFERROR(INDEX(Desig_Levels,MATCH($M1689,Desig_Codes,0)),""))</f>
        <v/>
      </c>
      <c r="P1689" s="12" t="n"/>
      <c r="Q1689" s="12" t="n"/>
      <c r="R1689" s="12" t="n"/>
      <c r="S1689" s="13">
        <f>IF($R1689="","",IFERROR(INDEX(Emp_Names,MATCH($R1689,Emp_Codes,0)),"NOT FOUND"))</f>
        <v/>
      </c>
      <c r="T1689" s="12" t="n"/>
      <c r="U1689" s="12" t="n"/>
      <c r="V1689" s="12" t="n"/>
    </row>
    <row r="1690">
      <c r="A1690" s="12" t="n"/>
      <c r="B1690" s="12" t="n"/>
      <c r="C1690" s="12" t="n"/>
      <c r="D1690" s="13">
        <f>IF($A1690="","",TRIM($B1690&amp;" "&amp;$C1690))</f>
        <v/>
      </c>
      <c r="E1690" s="12" t="n"/>
      <c r="F1690" s="12" t="n"/>
      <c r="G1690" s="14" t="n"/>
      <c r="H1690" s="14" t="n"/>
      <c r="I1690" s="12" t="n"/>
      <c r="J1690" s="14" t="n"/>
      <c r="K1690" s="12" t="n"/>
      <c r="L1690" s="13">
        <f>IF($K1690="","",IFERROR(INDEX(Dept_Names,MATCH($K1690,Dept_Codes,0)),"NOT FOUND"))</f>
        <v/>
      </c>
      <c r="M1690" s="12" t="n"/>
      <c r="N1690" s="13">
        <f>IF($M1690="","",IFERROR(INDEX(Desig_Names,MATCH($M1690,Desig_Codes,0)),"NOT FOUND"))</f>
        <v/>
      </c>
      <c r="O1690" s="13">
        <f>IF($M1690="","",IFERROR(INDEX(Desig_Levels,MATCH($M1690,Desig_Codes,0)),""))</f>
        <v/>
      </c>
      <c r="P1690" s="12" t="n"/>
      <c r="Q1690" s="12" t="n"/>
      <c r="R1690" s="12" t="n"/>
      <c r="S1690" s="13">
        <f>IF($R1690="","",IFERROR(INDEX(Emp_Names,MATCH($R1690,Emp_Codes,0)),"NOT FOUND"))</f>
        <v/>
      </c>
      <c r="T1690" s="12" t="n"/>
      <c r="U1690" s="12" t="n"/>
      <c r="V1690" s="12" t="n"/>
    </row>
    <row r="1691">
      <c r="A1691" s="12" t="n"/>
      <c r="B1691" s="12" t="n"/>
      <c r="C1691" s="12" t="n"/>
      <c r="D1691" s="13">
        <f>IF($A1691="","",TRIM($B1691&amp;" "&amp;$C1691))</f>
        <v/>
      </c>
      <c r="E1691" s="12" t="n"/>
      <c r="F1691" s="12" t="n"/>
      <c r="G1691" s="14" t="n"/>
      <c r="H1691" s="14" t="n"/>
      <c r="I1691" s="12" t="n"/>
      <c r="J1691" s="14" t="n"/>
      <c r="K1691" s="12" t="n"/>
      <c r="L1691" s="13">
        <f>IF($K1691="","",IFERROR(INDEX(Dept_Names,MATCH($K1691,Dept_Codes,0)),"NOT FOUND"))</f>
        <v/>
      </c>
      <c r="M1691" s="12" t="n"/>
      <c r="N1691" s="13">
        <f>IF($M1691="","",IFERROR(INDEX(Desig_Names,MATCH($M1691,Desig_Codes,0)),"NOT FOUND"))</f>
        <v/>
      </c>
      <c r="O1691" s="13">
        <f>IF($M1691="","",IFERROR(INDEX(Desig_Levels,MATCH($M1691,Desig_Codes,0)),""))</f>
        <v/>
      </c>
      <c r="P1691" s="12" t="n"/>
      <c r="Q1691" s="12" t="n"/>
      <c r="R1691" s="12" t="n"/>
      <c r="S1691" s="13">
        <f>IF($R1691="","",IFERROR(INDEX(Emp_Names,MATCH($R1691,Emp_Codes,0)),"NOT FOUND"))</f>
        <v/>
      </c>
      <c r="T1691" s="12" t="n"/>
      <c r="U1691" s="12" t="n"/>
      <c r="V1691" s="12" t="n"/>
    </row>
    <row r="1692">
      <c r="A1692" s="12" t="n"/>
      <c r="B1692" s="12" t="n"/>
      <c r="C1692" s="12" t="n"/>
      <c r="D1692" s="13">
        <f>IF($A1692="","",TRIM($B1692&amp;" "&amp;$C1692))</f>
        <v/>
      </c>
      <c r="E1692" s="12" t="n"/>
      <c r="F1692" s="12" t="n"/>
      <c r="G1692" s="14" t="n"/>
      <c r="H1692" s="14" t="n"/>
      <c r="I1692" s="12" t="n"/>
      <c r="J1692" s="14" t="n"/>
      <c r="K1692" s="12" t="n"/>
      <c r="L1692" s="13">
        <f>IF($K1692="","",IFERROR(INDEX(Dept_Names,MATCH($K1692,Dept_Codes,0)),"NOT FOUND"))</f>
        <v/>
      </c>
      <c r="M1692" s="12" t="n"/>
      <c r="N1692" s="13">
        <f>IF($M1692="","",IFERROR(INDEX(Desig_Names,MATCH($M1692,Desig_Codes,0)),"NOT FOUND"))</f>
        <v/>
      </c>
      <c r="O1692" s="13">
        <f>IF($M1692="","",IFERROR(INDEX(Desig_Levels,MATCH($M1692,Desig_Codes,0)),""))</f>
        <v/>
      </c>
      <c r="P1692" s="12" t="n"/>
      <c r="Q1692" s="12" t="n"/>
      <c r="R1692" s="12" t="n"/>
      <c r="S1692" s="13">
        <f>IF($R1692="","",IFERROR(INDEX(Emp_Names,MATCH($R1692,Emp_Codes,0)),"NOT FOUND"))</f>
        <v/>
      </c>
      <c r="T1692" s="12" t="n"/>
      <c r="U1692" s="12" t="n"/>
      <c r="V1692" s="12" t="n"/>
    </row>
    <row r="1693">
      <c r="A1693" s="12" t="n"/>
      <c r="B1693" s="12" t="n"/>
      <c r="C1693" s="12" t="n"/>
      <c r="D1693" s="13">
        <f>IF($A1693="","",TRIM($B1693&amp;" "&amp;$C1693))</f>
        <v/>
      </c>
      <c r="E1693" s="12" t="n"/>
      <c r="F1693" s="12" t="n"/>
      <c r="G1693" s="14" t="n"/>
      <c r="H1693" s="14" t="n"/>
      <c r="I1693" s="12" t="n"/>
      <c r="J1693" s="14" t="n"/>
      <c r="K1693" s="12" t="n"/>
      <c r="L1693" s="13">
        <f>IF($K1693="","",IFERROR(INDEX(Dept_Names,MATCH($K1693,Dept_Codes,0)),"NOT FOUND"))</f>
        <v/>
      </c>
      <c r="M1693" s="12" t="n"/>
      <c r="N1693" s="13">
        <f>IF($M1693="","",IFERROR(INDEX(Desig_Names,MATCH($M1693,Desig_Codes,0)),"NOT FOUND"))</f>
        <v/>
      </c>
      <c r="O1693" s="13">
        <f>IF($M1693="","",IFERROR(INDEX(Desig_Levels,MATCH($M1693,Desig_Codes,0)),""))</f>
        <v/>
      </c>
      <c r="P1693" s="12" t="n"/>
      <c r="Q1693" s="12" t="n"/>
      <c r="R1693" s="12" t="n"/>
      <c r="S1693" s="13">
        <f>IF($R1693="","",IFERROR(INDEX(Emp_Names,MATCH($R1693,Emp_Codes,0)),"NOT FOUND"))</f>
        <v/>
      </c>
      <c r="T1693" s="12" t="n"/>
      <c r="U1693" s="12" t="n"/>
      <c r="V1693" s="12" t="n"/>
    </row>
    <row r="1694">
      <c r="A1694" s="12" t="n"/>
      <c r="B1694" s="12" t="n"/>
      <c r="C1694" s="12" t="n"/>
      <c r="D1694" s="13">
        <f>IF($A1694="","",TRIM($B1694&amp;" "&amp;$C1694))</f>
        <v/>
      </c>
      <c r="E1694" s="12" t="n"/>
      <c r="F1694" s="12" t="n"/>
      <c r="G1694" s="14" t="n"/>
      <c r="H1694" s="14" t="n"/>
      <c r="I1694" s="12" t="n"/>
      <c r="J1694" s="14" t="n"/>
      <c r="K1694" s="12" t="n"/>
      <c r="L1694" s="13">
        <f>IF($K1694="","",IFERROR(INDEX(Dept_Names,MATCH($K1694,Dept_Codes,0)),"NOT FOUND"))</f>
        <v/>
      </c>
      <c r="M1694" s="12" t="n"/>
      <c r="N1694" s="13">
        <f>IF($M1694="","",IFERROR(INDEX(Desig_Names,MATCH($M1694,Desig_Codes,0)),"NOT FOUND"))</f>
        <v/>
      </c>
      <c r="O1694" s="13">
        <f>IF($M1694="","",IFERROR(INDEX(Desig_Levels,MATCH($M1694,Desig_Codes,0)),""))</f>
        <v/>
      </c>
      <c r="P1694" s="12" t="n"/>
      <c r="Q1694" s="12" t="n"/>
      <c r="R1694" s="12" t="n"/>
      <c r="S1694" s="13">
        <f>IF($R1694="","",IFERROR(INDEX(Emp_Names,MATCH($R1694,Emp_Codes,0)),"NOT FOUND"))</f>
        <v/>
      </c>
      <c r="T1694" s="12" t="n"/>
      <c r="U1694" s="12" t="n"/>
      <c r="V1694" s="12" t="n"/>
    </row>
    <row r="1695">
      <c r="A1695" s="12" t="n"/>
      <c r="B1695" s="12" t="n"/>
      <c r="C1695" s="12" t="n"/>
      <c r="D1695" s="13">
        <f>IF($A1695="","",TRIM($B1695&amp;" "&amp;$C1695))</f>
        <v/>
      </c>
      <c r="E1695" s="12" t="n"/>
      <c r="F1695" s="12" t="n"/>
      <c r="G1695" s="14" t="n"/>
      <c r="H1695" s="14" t="n"/>
      <c r="I1695" s="12" t="n"/>
      <c r="J1695" s="14" t="n"/>
      <c r="K1695" s="12" t="n"/>
      <c r="L1695" s="13">
        <f>IF($K1695="","",IFERROR(INDEX(Dept_Names,MATCH($K1695,Dept_Codes,0)),"NOT FOUND"))</f>
        <v/>
      </c>
      <c r="M1695" s="12" t="n"/>
      <c r="N1695" s="13">
        <f>IF($M1695="","",IFERROR(INDEX(Desig_Names,MATCH($M1695,Desig_Codes,0)),"NOT FOUND"))</f>
        <v/>
      </c>
      <c r="O1695" s="13">
        <f>IF($M1695="","",IFERROR(INDEX(Desig_Levels,MATCH($M1695,Desig_Codes,0)),""))</f>
        <v/>
      </c>
      <c r="P1695" s="12" t="n"/>
      <c r="Q1695" s="12" t="n"/>
      <c r="R1695" s="12" t="n"/>
      <c r="S1695" s="13">
        <f>IF($R1695="","",IFERROR(INDEX(Emp_Names,MATCH($R1695,Emp_Codes,0)),"NOT FOUND"))</f>
        <v/>
      </c>
      <c r="T1695" s="12" t="n"/>
      <c r="U1695" s="12" t="n"/>
      <c r="V1695" s="12" t="n"/>
    </row>
    <row r="1696">
      <c r="A1696" s="12" t="n"/>
      <c r="B1696" s="12" t="n"/>
      <c r="C1696" s="12" t="n"/>
      <c r="D1696" s="13">
        <f>IF($A1696="","",TRIM($B1696&amp;" "&amp;$C1696))</f>
        <v/>
      </c>
      <c r="E1696" s="12" t="n"/>
      <c r="F1696" s="12" t="n"/>
      <c r="G1696" s="14" t="n"/>
      <c r="H1696" s="14" t="n"/>
      <c r="I1696" s="12" t="n"/>
      <c r="J1696" s="14" t="n"/>
      <c r="K1696" s="12" t="n"/>
      <c r="L1696" s="13">
        <f>IF($K1696="","",IFERROR(INDEX(Dept_Names,MATCH($K1696,Dept_Codes,0)),"NOT FOUND"))</f>
        <v/>
      </c>
      <c r="M1696" s="12" t="n"/>
      <c r="N1696" s="13">
        <f>IF($M1696="","",IFERROR(INDEX(Desig_Names,MATCH($M1696,Desig_Codes,0)),"NOT FOUND"))</f>
        <v/>
      </c>
      <c r="O1696" s="13">
        <f>IF($M1696="","",IFERROR(INDEX(Desig_Levels,MATCH($M1696,Desig_Codes,0)),""))</f>
        <v/>
      </c>
      <c r="P1696" s="12" t="n"/>
      <c r="Q1696" s="12" t="n"/>
      <c r="R1696" s="12" t="n"/>
      <c r="S1696" s="13">
        <f>IF($R1696="","",IFERROR(INDEX(Emp_Names,MATCH($R1696,Emp_Codes,0)),"NOT FOUND"))</f>
        <v/>
      </c>
      <c r="T1696" s="12" t="n"/>
      <c r="U1696" s="12" t="n"/>
      <c r="V1696" s="12" t="n"/>
    </row>
    <row r="1697">
      <c r="A1697" s="12" t="n"/>
      <c r="B1697" s="12" t="n"/>
      <c r="C1697" s="12" t="n"/>
      <c r="D1697" s="13">
        <f>IF($A1697="","",TRIM($B1697&amp;" "&amp;$C1697))</f>
        <v/>
      </c>
      <c r="E1697" s="12" t="n"/>
      <c r="F1697" s="12" t="n"/>
      <c r="G1697" s="14" t="n"/>
      <c r="H1697" s="14" t="n"/>
      <c r="I1697" s="12" t="n"/>
      <c r="J1697" s="14" t="n"/>
      <c r="K1697" s="12" t="n"/>
      <c r="L1697" s="13">
        <f>IF($K1697="","",IFERROR(INDEX(Dept_Names,MATCH($K1697,Dept_Codes,0)),"NOT FOUND"))</f>
        <v/>
      </c>
      <c r="M1697" s="12" t="n"/>
      <c r="N1697" s="13">
        <f>IF($M1697="","",IFERROR(INDEX(Desig_Names,MATCH($M1697,Desig_Codes,0)),"NOT FOUND"))</f>
        <v/>
      </c>
      <c r="O1697" s="13">
        <f>IF($M1697="","",IFERROR(INDEX(Desig_Levels,MATCH($M1697,Desig_Codes,0)),""))</f>
        <v/>
      </c>
      <c r="P1697" s="12" t="n"/>
      <c r="Q1697" s="12" t="n"/>
      <c r="R1697" s="12" t="n"/>
      <c r="S1697" s="13">
        <f>IF($R1697="","",IFERROR(INDEX(Emp_Names,MATCH($R1697,Emp_Codes,0)),"NOT FOUND"))</f>
        <v/>
      </c>
      <c r="T1697" s="12" t="n"/>
      <c r="U1697" s="12" t="n"/>
      <c r="V1697" s="12" t="n"/>
    </row>
    <row r="1698">
      <c r="A1698" s="12" t="n"/>
      <c r="B1698" s="12" t="n"/>
      <c r="C1698" s="12" t="n"/>
      <c r="D1698" s="13">
        <f>IF($A1698="","",TRIM($B1698&amp;" "&amp;$C1698))</f>
        <v/>
      </c>
      <c r="E1698" s="12" t="n"/>
      <c r="F1698" s="12" t="n"/>
      <c r="G1698" s="14" t="n"/>
      <c r="H1698" s="14" t="n"/>
      <c r="I1698" s="12" t="n"/>
      <c r="J1698" s="14" t="n"/>
      <c r="K1698" s="12" t="n"/>
      <c r="L1698" s="13">
        <f>IF($K1698="","",IFERROR(INDEX(Dept_Names,MATCH($K1698,Dept_Codes,0)),"NOT FOUND"))</f>
        <v/>
      </c>
      <c r="M1698" s="12" t="n"/>
      <c r="N1698" s="13">
        <f>IF($M1698="","",IFERROR(INDEX(Desig_Names,MATCH($M1698,Desig_Codes,0)),"NOT FOUND"))</f>
        <v/>
      </c>
      <c r="O1698" s="13">
        <f>IF($M1698="","",IFERROR(INDEX(Desig_Levels,MATCH($M1698,Desig_Codes,0)),""))</f>
        <v/>
      </c>
      <c r="P1698" s="12" t="n"/>
      <c r="Q1698" s="12" t="n"/>
      <c r="R1698" s="12" t="n"/>
      <c r="S1698" s="13">
        <f>IF($R1698="","",IFERROR(INDEX(Emp_Names,MATCH($R1698,Emp_Codes,0)),"NOT FOUND"))</f>
        <v/>
      </c>
      <c r="T1698" s="12" t="n"/>
      <c r="U1698" s="12" t="n"/>
      <c r="V1698" s="12" t="n"/>
    </row>
    <row r="1699">
      <c r="A1699" s="12" t="n"/>
      <c r="B1699" s="12" t="n"/>
      <c r="C1699" s="12" t="n"/>
      <c r="D1699" s="13">
        <f>IF($A1699="","",TRIM($B1699&amp;" "&amp;$C1699))</f>
        <v/>
      </c>
      <c r="E1699" s="12" t="n"/>
      <c r="F1699" s="12" t="n"/>
      <c r="G1699" s="14" t="n"/>
      <c r="H1699" s="14" t="n"/>
      <c r="I1699" s="12" t="n"/>
      <c r="J1699" s="14" t="n"/>
      <c r="K1699" s="12" t="n"/>
      <c r="L1699" s="13">
        <f>IF($K1699="","",IFERROR(INDEX(Dept_Names,MATCH($K1699,Dept_Codes,0)),"NOT FOUND"))</f>
        <v/>
      </c>
      <c r="M1699" s="12" t="n"/>
      <c r="N1699" s="13">
        <f>IF($M1699="","",IFERROR(INDEX(Desig_Names,MATCH($M1699,Desig_Codes,0)),"NOT FOUND"))</f>
        <v/>
      </c>
      <c r="O1699" s="13">
        <f>IF($M1699="","",IFERROR(INDEX(Desig_Levels,MATCH($M1699,Desig_Codes,0)),""))</f>
        <v/>
      </c>
      <c r="P1699" s="12" t="n"/>
      <c r="Q1699" s="12" t="n"/>
      <c r="R1699" s="12" t="n"/>
      <c r="S1699" s="13">
        <f>IF($R1699="","",IFERROR(INDEX(Emp_Names,MATCH($R1699,Emp_Codes,0)),"NOT FOUND"))</f>
        <v/>
      </c>
      <c r="T1699" s="12" t="n"/>
      <c r="U1699" s="12" t="n"/>
      <c r="V1699" s="12" t="n"/>
    </row>
    <row r="1700">
      <c r="A1700" s="12" t="n"/>
      <c r="B1700" s="12" t="n"/>
      <c r="C1700" s="12" t="n"/>
      <c r="D1700" s="13">
        <f>IF($A1700="","",TRIM($B1700&amp;" "&amp;$C1700))</f>
        <v/>
      </c>
      <c r="E1700" s="12" t="n"/>
      <c r="F1700" s="12" t="n"/>
      <c r="G1700" s="14" t="n"/>
      <c r="H1700" s="14" t="n"/>
      <c r="I1700" s="12" t="n"/>
      <c r="J1700" s="14" t="n"/>
      <c r="K1700" s="12" t="n"/>
      <c r="L1700" s="13">
        <f>IF($K1700="","",IFERROR(INDEX(Dept_Names,MATCH($K1700,Dept_Codes,0)),"NOT FOUND"))</f>
        <v/>
      </c>
      <c r="M1700" s="12" t="n"/>
      <c r="N1700" s="13">
        <f>IF($M1700="","",IFERROR(INDEX(Desig_Names,MATCH($M1700,Desig_Codes,0)),"NOT FOUND"))</f>
        <v/>
      </c>
      <c r="O1700" s="13">
        <f>IF($M1700="","",IFERROR(INDEX(Desig_Levels,MATCH($M1700,Desig_Codes,0)),""))</f>
        <v/>
      </c>
      <c r="P1700" s="12" t="n"/>
      <c r="Q1700" s="12" t="n"/>
      <c r="R1700" s="12" t="n"/>
      <c r="S1700" s="13">
        <f>IF($R1700="","",IFERROR(INDEX(Emp_Names,MATCH($R1700,Emp_Codes,0)),"NOT FOUND"))</f>
        <v/>
      </c>
      <c r="T1700" s="12" t="n"/>
      <c r="U1700" s="12" t="n"/>
      <c r="V1700" s="12" t="n"/>
    </row>
    <row r="1701">
      <c r="A1701" s="12" t="n"/>
      <c r="B1701" s="12" t="n"/>
      <c r="C1701" s="12" t="n"/>
      <c r="D1701" s="13">
        <f>IF($A1701="","",TRIM($B1701&amp;" "&amp;$C1701))</f>
        <v/>
      </c>
      <c r="E1701" s="12" t="n"/>
      <c r="F1701" s="12" t="n"/>
      <c r="G1701" s="14" t="n"/>
      <c r="H1701" s="14" t="n"/>
      <c r="I1701" s="12" t="n"/>
      <c r="J1701" s="14" t="n"/>
      <c r="K1701" s="12" t="n"/>
      <c r="L1701" s="13">
        <f>IF($K1701="","",IFERROR(INDEX(Dept_Names,MATCH($K1701,Dept_Codes,0)),"NOT FOUND"))</f>
        <v/>
      </c>
      <c r="M1701" s="12" t="n"/>
      <c r="N1701" s="13">
        <f>IF($M1701="","",IFERROR(INDEX(Desig_Names,MATCH($M1701,Desig_Codes,0)),"NOT FOUND"))</f>
        <v/>
      </c>
      <c r="O1701" s="13">
        <f>IF($M1701="","",IFERROR(INDEX(Desig_Levels,MATCH($M1701,Desig_Codes,0)),""))</f>
        <v/>
      </c>
      <c r="P1701" s="12" t="n"/>
      <c r="Q1701" s="12" t="n"/>
      <c r="R1701" s="12" t="n"/>
      <c r="S1701" s="13">
        <f>IF($R1701="","",IFERROR(INDEX(Emp_Names,MATCH($R1701,Emp_Codes,0)),"NOT FOUND"))</f>
        <v/>
      </c>
      <c r="T1701" s="12" t="n"/>
      <c r="U1701" s="12" t="n"/>
      <c r="V1701" s="12" t="n"/>
    </row>
    <row r="1702">
      <c r="A1702" s="12" t="n"/>
      <c r="B1702" s="12" t="n"/>
      <c r="C1702" s="12" t="n"/>
      <c r="D1702" s="13">
        <f>IF($A1702="","",TRIM($B1702&amp;" "&amp;$C1702))</f>
        <v/>
      </c>
      <c r="E1702" s="12" t="n"/>
      <c r="F1702" s="12" t="n"/>
      <c r="G1702" s="14" t="n"/>
      <c r="H1702" s="14" t="n"/>
      <c r="I1702" s="12" t="n"/>
      <c r="J1702" s="14" t="n"/>
      <c r="K1702" s="12" t="n"/>
      <c r="L1702" s="13">
        <f>IF($K1702="","",IFERROR(INDEX(Dept_Names,MATCH($K1702,Dept_Codes,0)),"NOT FOUND"))</f>
        <v/>
      </c>
      <c r="M1702" s="12" t="n"/>
      <c r="N1702" s="13">
        <f>IF($M1702="","",IFERROR(INDEX(Desig_Names,MATCH($M1702,Desig_Codes,0)),"NOT FOUND"))</f>
        <v/>
      </c>
      <c r="O1702" s="13">
        <f>IF($M1702="","",IFERROR(INDEX(Desig_Levels,MATCH($M1702,Desig_Codes,0)),""))</f>
        <v/>
      </c>
      <c r="P1702" s="12" t="n"/>
      <c r="Q1702" s="12" t="n"/>
      <c r="R1702" s="12" t="n"/>
      <c r="S1702" s="13">
        <f>IF($R1702="","",IFERROR(INDEX(Emp_Names,MATCH($R1702,Emp_Codes,0)),"NOT FOUND"))</f>
        <v/>
      </c>
      <c r="T1702" s="12" t="n"/>
      <c r="U1702" s="12" t="n"/>
      <c r="V1702" s="12" t="n"/>
    </row>
    <row r="1703">
      <c r="A1703" s="12" t="n"/>
      <c r="B1703" s="12" t="n"/>
      <c r="C1703" s="12" t="n"/>
      <c r="D1703" s="13">
        <f>IF($A1703="","",TRIM($B1703&amp;" "&amp;$C1703))</f>
        <v/>
      </c>
      <c r="E1703" s="12" t="n"/>
      <c r="F1703" s="12" t="n"/>
      <c r="G1703" s="14" t="n"/>
      <c r="H1703" s="14" t="n"/>
      <c r="I1703" s="12" t="n"/>
      <c r="J1703" s="14" t="n"/>
      <c r="K1703" s="12" t="n"/>
      <c r="L1703" s="13">
        <f>IF($K1703="","",IFERROR(INDEX(Dept_Names,MATCH($K1703,Dept_Codes,0)),"NOT FOUND"))</f>
        <v/>
      </c>
      <c r="M1703" s="12" t="n"/>
      <c r="N1703" s="13">
        <f>IF($M1703="","",IFERROR(INDEX(Desig_Names,MATCH($M1703,Desig_Codes,0)),"NOT FOUND"))</f>
        <v/>
      </c>
      <c r="O1703" s="13">
        <f>IF($M1703="","",IFERROR(INDEX(Desig_Levels,MATCH($M1703,Desig_Codes,0)),""))</f>
        <v/>
      </c>
      <c r="P1703" s="12" t="n"/>
      <c r="Q1703" s="12" t="n"/>
      <c r="R1703" s="12" t="n"/>
      <c r="S1703" s="13">
        <f>IF($R1703="","",IFERROR(INDEX(Emp_Names,MATCH($R1703,Emp_Codes,0)),"NOT FOUND"))</f>
        <v/>
      </c>
      <c r="T1703" s="12" t="n"/>
      <c r="U1703" s="12" t="n"/>
      <c r="V1703" s="12" t="n"/>
    </row>
    <row r="1704">
      <c r="A1704" s="12" t="n"/>
      <c r="B1704" s="12" t="n"/>
      <c r="C1704" s="12" t="n"/>
      <c r="D1704" s="13">
        <f>IF($A1704="","",TRIM($B1704&amp;" "&amp;$C1704))</f>
        <v/>
      </c>
      <c r="E1704" s="12" t="n"/>
      <c r="F1704" s="12" t="n"/>
      <c r="G1704" s="14" t="n"/>
      <c r="H1704" s="14" t="n"/>
      <c r="I1704" s="12" t="n"/>
      <c r="J1704" s="14" t="n"/>
      <c r="K1704" s="12" t="n"/>
      <c r="L1704" s="13">
        <f>IF($K1704="","",IFERROR(INDEX(Dept_Names,MATCH($K1704,Dept_Codes,0)),"NOT FOUND"))</f>
        <v/>
      </c>
      <c r="M1704" s="12" t="n"/>
      <c r="N1704" s="13">
        <f>IF($M1704="","",IFERROR(INDEX(Desig_Names,MATCH($M1704,Desig_Codes,0)),"NOT FOUND"))</f>
        <v/>
      </c>
      <c r="O1704" s="13">
        <f>IF($M1704="","",IFERROR(INDEX(Desig_Levels,MATCH($M1704,Desig_Codes,0)),""))</f>
        <v/>
      </c>
      <c r="P1704" s="12" t="n"/>
      <c r="Q1704" s="12" t="n"/>
      <c r="R1704" s="12" t="n"/>
      <c r="S1704" s="13">
        <f>IF($R1704="","",IFERROR(INDEX(Emp_Names,MATCH($R1704,Emp_Codes,0)),"NOT FOUND"))</f>
        <v/>
      </c>
      <c r="T1704" s="12" t="n"/>
      <c r="U1704" s="12" t="n"/>
      <c r="V1704" s="12" t="n"/>
    </row>
    <row r="1705">
      <c r="A1705" s="12" t="n"/>
      <c r="B1705" s="12" t="n"/>
      <c r="C1705" s="12" t="n"/>
      <c r="D1705" s="13">
        <f>IF($A1705="","",TRIM($B1705&amp;" "&amp;$C1705))</f>
        <v/>
      </c>
      <c r="E1705" s="12" t="n"/>
      <c r="F1705" s="12" t="n"/>
      <c r="G1705" s="14" t="n"/>
      <c r="H1705" s="14" t="n"/>
      <c r="I1705" s="12" t="n"/>
      <c r="J1705" s="14" t="n"/>
      <c r="K1705" s="12" t="n"/>
      <c r="L1705" s="13">
        <f>IF($K1705="","",IFERROR(INDEX(Dept_Names,MATCH($K1705,Dept_Codes,0)),"NOT FOUND"))</f>
        <v/>
      </c>
      <c r="M1705" s="12" t="n"/>
      <c r="N1705" s="13">
        <f>IF($M1705="","",IFERROR(INDEX(Desig_Names,MATCH($M1705,Desig_Codes,0)),"NOT FOUND"))</f>
        <v/>
      </c>
      <c r="O1705" s="13">
        <f>IF($M1705="","",IFERROR(INDEX(Desig_Levels,MATCH($M1705,Desig_Codes,0)),""))</f>
        <v/>
      </c>
      <c r="P1705" s="12" t="n"/>
      <c r="Q1705" s="12" t="n"/>
      <c r="R1705" s="12" t="n"/>
      <c r="S1705" s="13">
        <f>IF($R1705="","",IFERROR(INDEX(Emp_Names,MATCH($R1705,Emp_Codes,0)),"NOT FOUND"))</f>
        <v/>
      </c>
      <c r="T1705" s="12" t="n"/>
      <c r="U1705" s="12" t="n"/>
      <c r="V1705" s="12" t="n"/>
    </row>
    <row r="1706">
      <c r="A1706" s="12" t="n"/>
      <c r="B1706" s="12" t="n"/>
      <c r="C1706" s="12" t="n"/>
      <c r="D1706" s="13">
        <f>IF($A1706="","",TRIM($B1706&amp;" "&amp;$C1706))</f>
        <v/>
      </c>
      <c r="E1706" s="12" t="n"/>
      <c r="F1706" s="12" t="n"/>
      <c r="G1706" s="14" t="n"/>
      <c r="H1706" s="14" t="n"/>
      <c r="I1706" s="12" t="n"/>
      <c r="J1706" s="14" t="n"/>
      <c r="K1706" s="12" t="n"/>
      <c r="L1706" s="13">
        <f>IF($K1706="","",IFERROR(INDEX(Dept_Names,MATCH($K1706,Dept_Codes,0)),"NOT FOUND"))</f>
        <v/>
      </c>
      <c r="M1706" s="12" t="n"/>
      <c r="N1706" s="13">
        <f>IF($M1706="","",IFERROR(INDEX(Desig_Names,MATCH($M1706,Desig_Codes,0)),"NOT FOUND"))</f>
        <v/>
      </c>
      <c r="O1706" s="13">
        <f>IF($M1706="","",IFERROR(INDEX(Desig_Levels,MATCH($M1706,Desig_Codes,0)),""))</f>
        <v/>
      </c>
      <c r="P1706" s="12" t="n"/>
      <c r="Q1706" s="12" t="n"/>
      <c r="R1706" s="12" t="n"/>
      <c r="S1706" s="13">
        <f>IF($R1706="","",IFERROR(INDEX(Emp_Names,MATCH($R1706,Emp_Codes,0)),"NOT FOUND"))</f>
        <v/>
      </c>
      <c r="T1706" s="12" t="n"/>
      <c r="U1706" s="12" t="n"/>
      <c r="V1706" s="12" t="n"/>
    </row>
    <row r="1707">
      <c r="A1707" s="12" t="n"/>
      <c r="B1707" s="12" t="n"/>
      <c r="C1707" s="12" t="n"/>
      <c r="D1707" s="13">
        <f>IF($A1707="","",TRIM($B1707&amp;" "&amp;$C1707))</f>
        <v/>
      </c>
      <c r="E1707" s="12" t="n"/>
      <c r="F1707" s="12" t="n"/>
      <c r="G1707" s="14" t="n"/>
      <c r="H1707" s="14" t="n"/>
      <c r="I1707" s="12" t="n"/>
      <c r="J1707" s="14" t="n"/>
      <c r="K1707" s="12" t="n"/>
      <c r="L1707" s="13">
        <f>IF($K1707="","",IFERROR(INDEX(Dept_Names,MATCH($K1707,Dept_Codes,0)),"NOT FOUND"))</f>
        <v/>
      </c>
      <c r="M1707" s="12" t="n"/>
      <c r="N1707" s="13">
        <f>IF($M1707="","",IFERROR(INDEX(Desig_Names,MATCH($M1707,Desig_Codes,0)),"NOT FOUND"))</f>
        <v/>
      </c>
      <c r="O1707" s="13">
        <f>IF($M1707="","",IFERROR(INDEX(Desig_Levels,MATCH($M1707,Desig_Codes,0)),""))</f>
        <v/>
      </c>
      <c r="P1707" s="12" t="n"/>
      <c r="Q1707" s="12" t="n"/>
      <c r="R1707" s="12" t="n"/>
      <c r="S1707" s="13">
        <f>IF($R1707="","",IFERROR(INDEX(Emp_Names,MATCH($R1707,Emp_Codes,0)),"NOT FOUND"))</f>
        <v/>
      </c>
      <c r="T1707" s="12" t="n"/>
      <c r="U1707" s="12" t="n"/>
      <c r="V1707" s="12" t="n"/>
    </row>
    <row r="1708">
      <c r="A1708" s="12" t="n"/>
      <c r="B1708" s="12" t="n"/>
      <c r="C1708" s="12" t="n"/>
      <c r="D1708" s="13">
        <f>IF($A1708="","",TRIM($B1708&amp;" "&amp;$C1708))</f>
        <v/>
      </c>
      <c r="E1708" s="12" t="n"/>
      <c r="F1708" s="12" t="n"/>
      <c r="G1708" s="14" t="n"/>
      <c r="H1708" s="14" t="n"/>
      <c r="I1708" s="12" t="n"/>
      <c r="J1708" s="14" t="n"/>
      <c r="K1708" s="12" t="n"/>
      <c r="L1708" s="13">
        <f>IF($K1708="","",IFERROR(INDEX(Dept_Names,MATCH($K1708,Dept_Codes,0)),"NOT FOUND"))</f>
        <v/>
      </c>
      <c r="M1708" s="12" t="n"/>
      <c r="N1708" s="13">
        <f>IF($M1708="","",IFERROR(INDEX(Desig_Names,MATCH($M1708,Desig_Codes,0)),"NOT FOUND"))</f>
        <v/>
      </c>
      <c r="O1708" s="13">
        <f>IF($M1708="","",IFERROR(INDEX(Desig_Levels,MATCH($M1708,Desig_Codes,0)),""))</f>
        <v/>
      </c>
      <c r="P1708" s="12" t="n"/>
      <c r="Q1708" s="12" t="n"/>
      <c r="R1708" s="12" t="n"/>
      <c r="S1708" s="13">
        <f>IF($R1708="","",IFERROR(INDEX(Emp_Names,MATCH($R1708,Emp_Codes,0)),"NOT FOUND"))</f>
        <v/>
      </c>
      <c r="T1708" s="12" t="n"/>
      <c r="U1708" s="12" t="n"/>
      <c r="V1708" s="12" t="n"/>
    </row>
    <row r="1709">
      <c r="A1709" s="12" t="n"/>
      <c r="B1709" s="12" t="n"/>
      <c r="C1709" s="12" t="n"/>
      <c r="D1709" s="13">
        <f>IF($A1709="","",TRIM($B1709&amp;" "&amp;$C1709))</f>
        <v/>
      </c>
      <c r="E1709" s="12" t="n"/>
      <c r="F1709" s="12" t="n"/>
      <c r="G1709" s="14" t="n"/>
      <c r="H1709" s="14" t="n"/>
      <c r="I1709" s="12" t="n"/>
      <c r="J1709" s="14" t="n"/>
      <c r="K1709" s="12" t="n"/>
      <c r="L1709" s="13">
        <f>IF($K1709="","",IFERROR(INDEX(Dept_Names,MATCH($K1709,Dept_Codes,0)),"NOT FOUND"))</f>
        <v/>
      </c>
      <c r="M1709" s="12" t="n"/>
      <c r="N1709" s="13">
        <f>IF($M1709="","",IFERROR(INDEX(Desig_Names,MATCH($M1709,Desig_Codes,0)),"NOT FOUND"))</f>
        <v/>
      </c>
      <c r="O1709" s="13">
        <f>IF($M1709="","",IFERROR(INDEX(Desig_Levels,MATCH($M1709,Desig_Codes,0)),""))</f>
        <v/>
      </c>
      <c r="P1709" s="12" t="n"/>
      <c r="Q1709" s="12" t="n"/>
      <c r="R1709" s="12" t="n"/>
      <c r="S1709" s="13">
        <f>IF($R1709="","",IFERROR(INDEX(Emp_Names,MATCH($R1709,Emp_Codes,0)),"NOT FOUND"))</f>
        <v/>
      </c>
      <c r="T1709" s="12" t="n"/>
      <c r="U1709" s="12" t="n"/>
      <c r="V1709" s="12" t="n"/>
    </row>
    <row r="1710">
      <c r="A1710" s="12" t="n"/>
      <c r="B1710" s="12" t="n"/>
      <c r="C1710" s="12" t="n"/>
      <c r="D1710" s="13">
        <f>IF($A1710="","",TRIM($B1710&amp;" "&amp;$C1710))</f>
        <v/>
      </c>
      <c r="E1710" s="12" t="n"/>
      <c r="F1710" s="12" t="n"/>
      <c r="G1710" s="14" t="n"/>
      <c r="H1710" s="14" t="n"/>
      <c r="I1710" s="12" t="n"/>
      <c r="J1710" s="14" t="n"/>
      <c r="K1710" s="12" t="n"/>
      <c r="L1710" s="13">
        <f>IF($K1710="","",IFERROR(INDEX(Dept_Names,MATCH($K1710,Dept_Codes,0)),"NOT FOUND"))</f>
        <v/>
      </c>
      <c r="M1710" s="12" t="n"/>
      <c r="N1710" s="13">
        <f>IF($M1710="","",IFERROR(INDEX(Desig_Names,MATCH($M1710,Desig_Codes,0)),"NOT FOUND"))</f>
        <v/>
      </c>
      <c r="O1710" s="13">
        <f>IF($M1710="","",IFERROR(INDEX(Desig_Levels,MATCH($M1710,Desig_Codes,0)),""))</f>
        <v/>
      </c>
      <c r="P1710" s="12" t="n"/>
      <c r="Q1710" s="12" t="n"/>
      <c r="R1710" s="12" t="n"/>
      <c r="S1710" s="13">
        <f>IF($R1710="","",IFERROR(INDEX(Emp_Names,MATCH($R1710,Emp_Codes,0)),"NOT FOUND"))</f>
        <v/>
      </c>
      <c r="T1710" s="12" t="n"/>
      <c r="U1710" s="12" t="n"/>
      <c r="V1710" s="12" t="n"/>
    </row>
    <row r="1711">
      <c r="A1711" s="12" t="n"/>
      <c r="B1711" s="12" t="n"/>
      <c r="C1711" s="12" t="n"/>
      <c r="D1711" s="13">
        <f>IF($A1711="","",TRIM($B1711&amp;" "&amp;$C1711))</f>
        <v/>
      </c>
      <c r="E1711" s="12" t="n"/>
      <c r="F1711" s="12" t="n"/>
      <c r="G1711" s="14" t="n"/>
      <c r="H1711" s="14" t="n"/>
      <c r="I1711" s="12" t="n"/>
      <c r="J1711" s="14" t="n"/>
      <c r="K1711" s="12" t="n"/>
      <c r="L1711" s="13">
        <f>IF($K1711="","",IFERROR(INDEX(Dept_Names,MATCH($K1711,Dept_Codes,0)),"NOT FOUND"))</f>
        <v/>
      </c>
      <c r="M1711" s="12" t="n"/>
      <c r="N1711" s="13">
        <f>IF($M1711="","",IFERROR(INDEX(Desig_Names,MATCH($M1711,Desig_Codes,0)),"NOT FOUND"))</f>
        <v/>
      </c>
      <c r="O1711" s="13">
        <f>IF($M1711="","",IFERROR(INDEX(Desig_Levels,MATCH($M1711,Desig_Codes,0)),""))</f>
        <v/>
      </c>
      <c r="P1711" s="12" t="n"/>
      <c r="Q1711" s="12" t="n"/>
      <c r="R1711" s="12" t="n"/>
      <c r="S1711" s="13">
        <f>IF($R1711="","",IFERROR(INDEX(Emp_Names,MATCH($R1711,Emp_Codes,0)),"NOT FOUND"))</f>
        <v/>
      </c>
      <c r="T1711" s="12" t="n"/>
      <c r="U1711" s="12" t="n"/>
      <c r="V1711" s="12" t="n"/>
    </row>
    <row r="1712">
      <c r="A1712" s="12" t="n"/>
      <c r="B1712" s="12" t="n"/>
      <c r="C1712" s="12" t="n"/>
      <c r="D1712" s="13">
        <f>IF($A1712="","",TRIM($B1712&amp;" "&amp;$C1712))</f>
        <v/>
      </c>
      <c r="E1712" s="12" t="n"/>
      <c r="F1712" s="12" t="n"/>
      <c r="G1712" s="14" t="n"/>
      <c r="H1712" s="14" t="n"/>
      <c r="I1712" s="12" t="n"/>
      <c r="J1712" s="14" t="n"/>
      <c r="K1712" s="12" t="n"/>
      <c r="L1712" s="13">
        <f>IF($K1712="","",IFERROR(INDEX(Dept_Names,MATCH($K1712,Dept_Codes,0)),"NOT FOUND"))</f>
        <v/>
      </c>
      <c r="M1712" s="12" t="n"/>
      <c r="N1712" s="13">
        <f>IF($M1712="","",IFERROR(INDEX(Desig_Names,MATCH($M1712,Desig_Codes,0)),"NOT FOUND"))</f>
        <v/>
      </c>
      <c r="O1712" s="13">
        <f>IF($M1712="","",IFERROR(INDEX(Desig_Levels,MATCH($M1712,Desig_Codes,0)),""))</f>
        <v/>
      </c>
      <c r="P1712" s="12" t="n"/>
      <c r="Q1712" s="12" t="n"/>
      <c r="R1712" s="12" t="n"/>
      <c r="S1712" s="13">
        <f>IF($R1712="","",IFERROR(INDEX(Emp_Names,MATCH($R1712,Emp_Codes,0)),"NOT FOUND"))</f>
        <v/>
      </c>
      <c r="T1712" s="12" t="n"/>
      <c r="U1712" s="12" t="n"/>
      <c r="V1712" s="12" t="n"/>
    </row>
    <row r="1713">
      <c r="A1713" s="12" t="n"/>
      <c r="B1713" s="12" t="n"/>
      <c r="C1713" s="12" t="n"/>
      <c r="D1713" s="13">
        <f>IF($A1713="","",TRIM($B1713&amp;" "&amp;$C1713))</f>
        <v/>
      </c>
      <c r="E1713" s="12" t="n"/>
      <c r="F1713" s="12" t="n"/>
      <c r="G1713" s="14" t="n"/>
      <c r="H1713" s="14" t="n"/>
      <c r="I1713" s="12" t="n"/>
      <c r="J1713" s="14" t="n"/>
      <c r="K1713" s="12" t="n"/>
      <c r="L1713" s="13">
        <f>IF($K1713="","",IFERROR(INDEX(Dept_Names,MATCH($K1713,Dept_Codes,0)),"NOT FOUND"))</f>
        <v/>
      </c>
      <c r="M1713" s="12" t="n"/>
      <c r="N1713" s="13">
        <f>IF($M1713="","",IFERROR(INDEX(Desig_Names,MATCH($M1713,Desig_Codes,0)),"NOT FOUND"))</f>
        <v/>
      </c>
      <c r="O1713" s="13">
        <f>IF($M1713="","",IFERROR(INDEX(Desig_Levels,MATCH($M1713,Desig_Codes,0)),""))</f>
        <v/>
      </c>
      <c r="P1713" s="12" t="n"/>
      <c r="Q1713" s="12" t="n"/>
      <c r="R1713" s="12" t="n"/>
      <c r="S1713" s="13">
        <f>IF($R1713="","",IFERROR(INDEX(Emp_Names,MATCH($R1713,Emp_Codes,0)),"NOT FOUND"))</f>
        <v/>
      </c>
      <c r="T1713" s="12" t="n"/>
      <c r="U1713" s="12" t="n"/>
      <c r="V1713" s="12" t="n"/>
    </row>
    <row r="1714">
      <c r="A1714" s="12" t="n"/>
      <c r="B1714" s="12" t="n"/>
      <c r="C1714" s="12" t="n"/>
      <c r="D1714" s="13">
        <f>IF($A1714="","",TRIM($B1714&amp;" "&amp;$C1714))</f>
        <v/>
      </c>
      <c r="E1714" s="12" t="n"/>
      <c r="F1714" s="12" t="n"/>
      <c r="G1714" s="14" t="n"/>
      <c r="H1714" s="14" t="n"/>
      <c r="I1714" s="12" t="n"/>
      <c r="J1714" s="14" t="n"/>
      <c r="K1714" s="12" t="n"/>
      <c r="L1714" s="13">
        <f>IF($K1714="","",IFERROR(INDEX(Dept_Names,MATCH($K1714,Dept_Codes,0)),"NOT FOUND"))</f>
        <v/>
      </c>
      <c r="M1714" s="12" t="n"/>
      <c r="N1714" s="13">
        <f>IF($M1714="","",IFERROR(INDEX(Desig_Names,MATCH($M1714,Desig_Codes,0)),"NOT FOUND"))</f>
        <v/>
      </c>
      <c r="O1714" s="13">
        <f>IF($M1714="","",IFERROR(INDEX(Desig_Levels,MATCH($M1714,Desig_Codes,0)),""))</f>
        <v/>
      </c>
      <c r="P1714" s="12" t="n"/>
      <c r="Q1714" s="12" t="n"/>
      <c r="R1714" s="12" t="n"/>
      <c r="S1714" s="13">
        <f>IF($R1714="","",IFERROR(INDEX(Emp_Names,MATCH($R1714,Emp_Codes,0)),"NOT FOUND"))</f>
        <v/>
      </c>
      <c r="T1714" s="12" t="n"/>
      <c r="U1714" s="12" t="n"/>
      <c r="V1714" s="12" t="n"/>
    </row>
    <row r="1715">
      <c r="A1715" s="12" t="n"/>
      <c r="B1715" s="12" t="n"/>
      <c r="C1715" s="12" t="n"/>
      <c r="D1715" s="13">
        <f>IF($A1715="","",TRIM($B1715&amp;" "&amp;$C1715))</f>
        <v/>
      </c>
      <c r="E1715" s="12" t="n"/>
      <c r="F1715" s="12" t="n"/>
      <c r="G1715" s="14" t="n"/>
      <c r="H1715" s="14" t="n"/>
      <c r="I1715" s="12" t="n"/>
      <c r="J1715" s="14" t="n"/>
      <c r="K1715" s="12" t="n"/>
      <c r="L1715" s="13">
        <f>IF($K1715="","",IFERROR(INDEX(Dept_Names,MATCH($K1715,Dept_Codes,0)),"NOT FOUND"))</f>
        <v/>
      </c>
      <c r="M1715" s="12" t="n"/>
      <c r="N1715" s="13">
        <f>IF($M1715="","",IFERROR(INDEX(Desig_Names,MATCH($M1715,Desig_Codes,0)),"NOT FOUND"))</f>
        <v/>
      </c>
      <c r="O1715" s="13">
        <f>IF($M1715="","",IFERROR(INDEX(Desig_Levels,MATCH($M1715,Desig_Codes,0)),""))</f>
        <v/>
      </c>
      <c r="P1715" s="12" t="n"/>
      <c r="Q1715" s="12" t="n"/>
      <c r="R1715" s="12" t="n"/>
      <c r="S1715" s="13">
        <f>IF($R1715="","",IFERROR(INDEX(Emp_Names,MATCH($R1715,Emp_Codes,0)),"NOT FOUND"))</f>
        <v/>
      </c>
      <c r="T1715" s="12" t="n"/>
      <c r="U1715" s="12" t="n"/>
      <c r="V1715" s="12" t="n"/>
    </row>
    <row r="1716">
      <c r="A1716" s="12" t="n"/>
      <c r="B1716" s="12" t="n"/>
      <c r="C1716" s="12" t="n"/>
      <c r="D1716" s="13">
        <f>IF($A1716="","",TRIM($B1716&amp;" "&amp;$C1716))</f>
        <v/>
      </c>
      <c r="E1716" s="12" t="n"/>
      <c r="F1716" s="12" t="n"/>
      <c r="G1716" s="14" t="n"/>
      <c r="H1716" s="14" t="n"/>
      <c r="I1716" s="12" t="n"/>
      <c r="J1716" s="14" t="n"/>
      <c r="K1716" s="12" t="n"/>
      <c r="L1716" s="13">
        <f>IF($K1716="","",IFERROR(INDEX(Dept_Names,MATCH($K1716,Dept_Codes,0)),"NOT FOUND"))</f>
        <v/>
      </c>
      <c r="M1716" s="12" t="n"/>
      <c r="N1716" s="13">
        <f>IF($M1716="","",IFERROR(INDEX(Desig_Names,MATCH($M1716,Desig_Codes,0)),"NOT FOUND"))</f>
        <v/>
      </c>
      <c r="O1716" s="13">
        <f>IF($M1716="","",IFERROR(INDEX(Desig_Levels,MATCH($M1716,Desig_Codes,0)),""))</f>
        <v/>
      </c>
      <c r="P1716" s="12" t="n"/>
      <c r="Q1716" s="12" t="n"/>
      <c r="R1716" s="12" t="n"/>
      <c r="S1716" s="13">
        <f>IF($R1716="","",IFERROR(INDEX(Emp_Names,MATCH($R1716,Emp_Codes,0)),"NOT FOUND"))</f>
        <v/>
      </c>
      <c r="T1716" s="12" t="n"/>
      <c r="U1716" s="12" t="n"/>
      <c r="V1716" s="12" t="n"/>
    </row>
    <row r="1717">
      <c r="A1717" s="12" t="n"/>
      <c r="B1717" s="12" t="n"/>
      <c r="C1717" s="12" t="n"/>
      <c r="D1717" s="13">
        <f>IF($A1717="","",TRIM($B1717&amp;" "&amp;$C1717))</f>
        <v/>
      </c>
      <c r="E1717" s="12" t="n"/>
      <c r="F1717" s="12" t="n"/>
      <c r="G1717" s="14" t="n"/>
      <c r="H1717" s="14" t="n"/>
      <c r="I1717" s="12" t="n"/>
      <c r="J1717" s="14" t="n"/>
      <c r="K1717" s="12" t="n"/>
      <c r="L1717" s="13">
        <f>IF($K1717="","",IFERROR(INDEX(Dept_Names,MATCH($K1717,Dept_Codes,0)),"NOT FOUND"))</f>
        <v/>
      </c>
      <c r="M1717" s="12" t="n"/>
      <c r="N1717" s="13">
        <f>IF($M1717="","",IFERROR(INDEX(Desig_Names,MATCH($M1717,Desig_Codes,0)),"NOT FOUND"))</f>
        <v/>
      </c>
      <c r="O1717" s="13">
        <f>IF($M1717="","",IFERROR(INDEX(Desig_Levels,MATCH($M1717,Desig_Codes,0)),""))</f>
        <v/>
      </c>
      <c r="P1717" s="12" t="n"/>
      <c r="Q1717" s="12" t="n"/>
      <c r="R1717" s="12" t="n"/>
      <c r="S1717" s="13">
        <f>IF($R1717="","",IFERROR(INDEX(Emp_Names,MATCH($R1717,Emp_Codes,0)),"NOT FOUND"))</f>
        <v/>
      </c>
      <c r="T1717" s="12" t="n"/>
      <c r="U1717" s="12" t="n"/>
      <c r="V1717" s="12" t="n"/>
    </row>
    <row r="1718">
      <c r="A1718" s="12" t="n"/>
      <c r="B1718" s="12" t="n"/>
      <c r="C1718" s="12" t="n"/>
      <c r="D1718" s="13">
        <f>IF($A1718="","",TRIM($B1718&amp;" "&amp;$C1718))</f>
        <v/>
      </c>
      <c r="E1718" s="12" t="n"/>
      <c r="F1718" s="12" t="n"/>
      <c r="G1718" s="14" t="n"/>
      <c r="H1718" s="14" t="n"/>
      <c r="I1718" s="12" t="n"/>
      <c r="J1718" s="14" t="n"/>
      <c r="K1718" s="12" t="n"/>
      <c r="L1718" s="13">
        <f>IF($K1718="","",IFERROR(INDEX(Dept_Names,MATCH($K1718,Dept_Codes,0)),"NOT FOUND"))</f>
        <v/>
      </c>
      <c r="M1718" s="12" t="n"/>
      <c r="N1718" s="13">
        <f>IF($M1718="","",IFERROR(INDEX(Desig_Names,MATCH($M1718,Desig_Codes,0)),"NOT FOUND"))</f>
        <v/>
      </c>
      <c r="O1718" s="13">
        <f>IF($M1718="","",IFERROR(INDEX(Desig_Levels,MATCH($M1718,Desig_Codes,0)),""))</f>
        <v/>
      </c>
      <c r="P1718" s="12" t="n"/>
      <c r="Q1718" s="12" t="n"/>
      <c r="R1718" s="12" t="n"/>
      <c r="S1718" s="13">
        <f>IF($R1718="","",IFERROR(INDEX(Emp_Names,MATCH($R1718,Emp_Codes,0)),"NOT FOUND"))</f>
        <v/>
      </c>
      <c r="T1718" s="12" t="n"/>
      <c r="U1718" s="12" t="n"/>
      <c r="V1718" s="12" t="n"/>
    </row>
    <row r="1719">
      <c r="A1719" s="12" t="n"/>
      <c r="B1719" s="12" t="n"/>
      <c r="C1719" s="12" t="n"/>
      <c r="D1719" s="13">
        <f>IF($A1719="","",TRIM($B1719&amp;" "&amp;$C1719))</f>
        <v/>
      </c>
      <c r="E1719" s="12" t="n"/>
      <c r="F1719" s="12" t="n"/>
      <c r="G1719" s="14" t="n"/>
      <c r="H1719" s="14" t="n"/>
      <c r="I1719" s="12" t="n"/>
      <c r="J1719" s="14" t="n"/>
      <c r="K1719" s="12" t="n"/>
      <c r="L1719" s="13">
        <f>IF($K1719="","",IFERROR(INDEX(Dept_Names,MATCH($K1719,Dept_Codes,0)),"NOT FOUND"))</f>
        <v/>
      </c>
      <c r="M1719" s="12" t="n"/>
      <c r="N1719" s="13">
        <f>IF($M1719="","",IFERROR(INDEX(Desig_Names,MATCH($M1719,Desig_Codes,0)),"NOT FOUND"))</f>
        <v/>
      </c>
      <c r="O1719" s="13">
        <f>IF($M1719="","",IFERROR(INDEX(Desig_Levels,MATCH($M1719,Desig_Codes,0)),""))</f>
        <v/>
      </c>
      <c r="P1719" s="12" t="n"/>
      <c r="Q1719" s="12" t="n"/>
      <c r="R1719" s="12" t="n"/>
      <c r="S1719" s="13">
        <f>IF($R1719="","",IFERROR(INDEX(Emp_Names,MATCH($R1719,Emp_Codes,0)),"NOT FOUND"))</f>
        <v/>
      </c>
      <c r="T1719" s="12" t="n"/>
      <c r="U1719" s="12" t="n"/>
      <c r="V1719" s="12" t="n"/>
    </row>
    <row r="1720">
      <c r="A1720" s="12" t="n"/>
      <c r="B1720" s="12" t="n"/>
      <c r="C1720" s="12" t="n"/>
      <c r="D1720" s="13">
        <f>IF($A1720="","",TRIM($B1720&amp;" "&amp;$C1720))</f>
        <v/>
      </c>
      <c r="E1720" s="12" t="n"/>
      <c r="F1720" s="12" t="n"/>
      <c r="G1720" s="14" t="n"/>
      <c r="H1720" s="14" t="n"/>
      <c r="I1720" s="12" t="n"/>
      <c r="J1720" s="14" t="n"/>
      <c r="K1720" s="12" t="n"/>
      <c r="L1720" s="13">
        <f>IF($K1720="","",IFERROR(INDEX(Dept_Names,MATCH($K1720,Dept_Codes,0)),"NOT FOUND"))</f>
        <v/>
      </c>
      <c r="M1720" s="12" t="n"/>
      <c r="N1720" s="13">
        <f>IF($M1720="","",IFERROR(INDEX(Desig_Names,MATCH($M1720,Desig_Codes,0)),"NOT FOUND"))</f>
        <v/>
      </c>
      <c r="O1720" s="13">
        <f>IF($M1720="","",IFERROR(INDEX(Desig_Levels,MATCH($M1720,Desig_Codes,0)),""))</f>
        <v/>
      </c>
      <c r="P1720" s="12" t="n"/>
      <c r="Q1720" s="12" t="n"/>
      <c r="R1720" s="12" t="n"/>
      <c r="S1720" s="13">
        <f>IF($R1720="","",IFERROR(INDEX(Emp_Names,MATCH($R1720,Emp_Codes,0)),"NOT FOUND"))</f>
        <v/>
      </c>
      <c r="T1720" s="12" t="n"/>
      <c r="U1720" s="12" t="n"/>
      <c r="V1720" s="12" t="n"/>
    </row>
    <row r="1721">
      <c r="A1721" s="12" t="n"/>
      <c r="B1721" s="12" t="n"/>
      <c r="C1721" s="12" t="n"/>
      <c r="D1721" s="13">
        <f>IF($A1721="","",TRIM($B1721&amp;" "&amp;$C1721))</f>
        <v/>
      </c>
      <c r="E1721" s="12" t="n"/>
      <c r="F1721" s="12" t="n"/>
      <c r="G1721" s="14" t="n"/>
      <c r="H1721" s="14" t="n"/>
      <c r="I1721" s="12" t="n"/>
      <c r="J1721" s="14" t="n"/>
      <c r="K1721" s="12" t="n"/>
      <c r="L1721" s="13">
        <f>IF($K1721="","",IFERROR(INDEX(Dept_Names,MATCH($K1721,Dept_Codes,0)),"NOT FOUND"))</f>
        <v/>
      </c>
      <c r="M1721" s="12" t="n"/>
      <c r="N1721" s="13">
        <f>IF($M1721="","",IFERROR(INDEX(Desig_Names,MATCH($M1721,Desig_Codes,0)),"NOT FOUND"))</f>
        <v/>
      </c>
      <c r="O1721" s="13">
        <f>IF($M1721="","",IFERROR(INDEX(Desig_Levels,MATCH($M1721,Desig_Codes,0)),""))</f>
        <v/>
      </c>
      <c r="P1721" s="12" t="n"/>
      <c r="Q1721" s="12" t="n"/>
      <c r="R1721" s="12" t="n"/>
      <c r="S1721" s="13">
        <f>IF($R1721="","",IFERROR(INDEX(Emp_Names,MATCH($R1721,Emp_Codes,0)),"NOT FOUND"))</f>
        <v/>
      </c>
      <c r="T1721" s="12" t="n"/>
      <c r="U1721" s="12" t="n"/>
      <c r="V1721" s="12" t="n"/>
    </row>
    <row r="1722">
      <c r="A1722" s="12" t="n"/>
      <c r="B1722" s="12" t="n"/>
      <c r="C1722" s="12" t="n"/>
      <c r="D1722" s="13">
        <f>IF($A1722="","",TRIM($B1722&amp;" "&amp;$C1722))</f>
        <v/>
      </c>
      <c r="E1722" s="12" t="n"/>
      <c r="F1722" s="12" t="n"/>
      <c r="G1722" s="14" t="n"/>
      <c r="H1722" s="14" t="n"/>
      <c r="I1722" s="12" t="n"/>
      <c r="J1722" s="14" t="n"/>
      <c r="K1722" s="12" t="n"/>
      <c r="L1722" s="13">
        <f>IF($K1722="","",IFERROR(INDEX(Dept_Names,MATCH($K1722,Dept_Codes,0)),"NOT FOUND"))</f>
        <v/>
      </c>
      <c r="M1722" s="12" t="n"/>
      <c r="N1722" s="13">
        <f>IF($M1722="","",IFERROR(INDEX(Desig_Names,MATCH($M1722,Desig_Codes,0)),"NOT FOUND"))</f>
        <v/>
      </c>
      <c r="O1722" s="13">
        <f>IF($M1722="","",IFERROR(INDEX(Desig_Levels,MATCH($M1722,Desig_Codes,0)),""))</f>
        <v/>
      </c>
      <c r="P1722" s="12" t="n"/>
      <c r="Q1722" s="12" t="n"/>
      <c r="R1722" s="12" t="n"/>
      <c r="S1722" s="13">
        <f>IF($R1722="","",IFERROR(INDEX(Emp_Names,MATCH($R1722,Emp_Codes,0)),"NOT FOUND"))</f>
        <v/>
      </c>
      <c r="T1722" s="12" t="n"/>
      <c r="U1722" s="12" t="n"/>
      <c r="V1722" s="12" t="n"/>
    </row>
    <row r="1723">
      <c r="A1723" s="12" t="n"/>
      <c r="B1723" s="12" t="n"/>
      <c r="C1723" s="12" t="n"/>
      <c r="D1723" s="13">
        <f>IF($A1723="","",TRIM($B1723&amp;" "&amp;$C1723))</f>
        <v/>
      </c>
      <c r="E1723" s="12" t="n"/>
      <c r="F1723" s="12" t="n"/>
      <c r="G1723" s="14" t="n"/>
      <c r="H1723" s="14" t="n"/>
      <c r="I1723" s="12" t="n"/>
      <c r="J1723" s="14" t="n"/>
      <c r="K1723" s="12" t="n"/>
      <c r="L1723" s="13">
        <f>IF($K1723="","",IFERROR(INDEX(Dept_Names,MATCH($K1723,Dept_Codes,0)),"NOT FOUND"))</f>
        <v/>
      </c>
      <c r="M1723" s="12" t="n"/>
      <c r="N1723" s="13">
        <f>IF($M1723="","",IFERROR(INDEX(Desig_Names,MATCH($M1723,Desig_Codes,0)),"NOT FOUND"))</f>
        <v/>
      </c>
      <c r="O1723" s="13">
        <f>IF($M1723="","",IFERROR(INDEX(Desig_Levels,MATCH($M1723,Desig_Codes,0)),""))</f>
        <v/>
      </c>
      <c r="P1723" s="12" t="n"/>
      <c r="Q1723" s="12" t="n"/>
      <c r="R1723" s="12" t="n"/>
      <c r="S1723" s="13">
        <f>IF($R1723="","",IFERROR(INDEX(Emp_Names,MATCH($R1723,Emp_Codes,0)),"NOT FOUND"))</f>
        <v/>
      </c>
      <c r="T1723" s="12" t="n"/>
      <c r="U1723" s="12" t="n"/>
      <c r="V1723" s="12" t="n"/>
    </row>
    <row r="1724">
      <c r="A1724" s="12" t="n"/>
      <c r="B1724" s="12" t="n"/>
      <c r="C1724" s="12" t="n"/>
      <c r="D1724" s="13">
        <f>IF($A1724="","",TRIM($B1724&amp;" "&amp;$C1724))</f>
        <v/>
      </c>
      <c r="E1724" s="12" t="n"/>
      <c r="F1724" s="12" t="n"/>
      <c r="G1724" s="14" t="n"/>
      <c r="H1724" s="14" t="n"/>
      <c r="I1724" s="12" t="n"/>
      <c r="J1724" s="14" t="n"/>
      <c r="K1724" s="12" t="n"/>
      <c r="L1724" s="13">
        <f>IF($K1724="","",IFERROR(INDEX(Dept_Names,MATCH($K1724,Dept_Codes,0)),"NOT FOUND"))</f>
        <v/>
      </c>
      <c r="M1724" s="12" t="n"/>
      <c r="N1724" s="13">
        <f>IF($M1724="","",IFERROR(INDEX(Desig_Names,MATCH($M1724,Desig_Codes,0)),"NOT FOUND"))</f>
        <v/>
      </c>
      <c r="O1724" s="13">
        <f>IF($M1724="","",IFERROR(INDEX(Desig_Levels,MATCH($M1724,Desig_Codes,0)),""))</f>
        <v/>
      </c>
      <c r="P1724" s="12" t="n"/>
      <c r="Q1724" s="12" t="n"/>
      <c r="R1724" s="12" t="n"/>
      <c r="S1724" s="13">
        <f>IF($R1724="","",IFERROR(INDEX(Emp_Names,MATCH($R1724,Emp_Codes,0)),"NOT FOUND"))</f>
        <v/>
      </c>
      <c r="T1724" s="12" t="n"/>
      <c r="U1724" s="12" t="n"/>
      <c r="V1724" s="12" t="n"/>
    </row>
    <row r="1725">
      <c r="A1725" s="12" t="n"/>
      <c r="B1725" s="12" t="n"/>
      <c r="C1725" s="12" t="n"/>
      <c r="D1725" s="13">
        <f>IF($A1725="","",TRIM($B1725&amp;" "&amp;$C1725))</f>
        <v/>
      </c>
      <c r="E1725" s="12" t="n"/>
      <c r="F1725" s="12" t="n"/>
      <c r="G1725" s="14" t="n"/>
      <c r="H1725" s="14" t="n"/>
      <c r="I1725" s="12" t="n"/>
      <c r="J1725" s="14" t="n"/>
      <c r="K1725" s="12" t="n"/>
      <c r="L1725" s="13">
        <f>IF($K1725="","",IFERROR(INDEX(Dept_Names,MATCH($K1725,Dept_Codes,0)),"NOT FOUND"))</f>
        <v/>
      </c>
      <c r="M1725" s="12" t="n"/>
      <c r="N1725" s="13">
        <f>IF($M1725="","",IFERROR(INDEX(Desig_Names,MATCH($M1725,Desig_Codes,0)),"NOT FOUND"))</f>
        <v/>
      </c>
      <c r="O1725" s="13">
        <f>IF($M1725="","",IFERROR(INDEX(Desig_Levels,MATCH($M1725,Desig_Codes,0)),""))</f>
        <v/>
      </c>
      <c r="P1725" s="12" t="n"/>
      <c r="Q1725" s="12" t="n"/>
      <c r="R1725" s="12" t="n"/>
      <c r="S1725" s="13">
        <f>IF($R1725="","",IFERROR(INDEX(Emp_Names,MATCH($R1725,Emp_Codes,0)),"NOT FOUND"))</f>
        <v/>
      </c>
      <c r="T1725" s="12" t="n"/>
      <c r="U1725" s="12" t="n"/>
      <c r="V1725" s="12" t="n"/>
    </row>
    <row r="1726">
      <c r="A1726" s="12" t="n"/>
      <c r="B1726" s="12" t="n"/>
      <c r="C1726" s="12" t="n"/>
      <c r="D1726" s="13">
        <f>IF($A1726="","",TRIM($B1726&amp;" "&amp;$C1726))</f>
        <v/>
      </c>
      <c r="E1726" s="12" t="n"/>
      <c r="F1726" s="12" t="n"/>
      <c r="G1726" s="14" t="n"/>
      <c r="H1726" s="14" t="n"/>
      <c r="I1726" s="12" t="n"/>
      <c r="J1726" s="14" t="n"/>
      <c r="K1726" s="12" t="n"/>
      <c r="L1726" s="13">
        <f>IF($K1726="","",IFERROR(INDEX(Dept_Names,MATCH($K1726,Dept_Codes,0)),"NOT FOUND"))</f>
        <v/>
      </c>
      <c r="M1726" s="12" t="n"/>
      <c r="N1726" s="13">
        <f>IF($M1726="","",IFERROR(INDEX(Desig_Names,MATCH($M1726,Desig_Codes,0)),"NOT FOUND"))</f>
        <v/>
      </c>
      <c r="O1726" s="13">
        <f>IF($M1726="","",IFERROR(INDEX(Desig_Levels,MATCH($M1726,Desig_Codes,0)),""))</f>
        <v/>
      </c>
      <c r="P1726" s="12" t="n"/>
      <c r="Q1726" s="12" t="n"/>
      <c r="R1726" s="12" t="n"/>
      <c r="S1726" s="13">
        <f>IF($R1726="","",IFERROR(INDEX(Emp_Names,MATCH($R1726,Emp_Codes,0)),"NOT FOUND"))</f>
        <v/>
      </c>
      <c r="T1726" s="12" t="n"/>
      <c r="U1726" s="12" t="n"/>
      <c r="V1726" s="12" t="n"/>
    </row>
    <row r="1727">
      <c r="A1727" s="12" t="n"/>
      <c r="B1727" s="12" t="n"/>
      <c r="C1727" s="12" t="n"/>
      <c r="D1727" s="13">
        <f>IF($A1727="","",TRIM($B1727&amp;" "&amp;$C1727))</f>
        <v/>
      </c>
      <c r="E1727" s="12" t="n"/>
      <c r="F1727" s="12" t="n"/>
      <c r="G1727" s="14" t="n"/>
      <c r="H1727" s="14" t="n"/>
      <c r="I1727" s="12" t="n"/>
      <c r="J1727" s="14" t="n"/>
      <c r="K1727" s="12" t="n"/>
      <c r="L1727" s="13">
        <f>IF($K1727="","",IFERROR(INDEX(Dept_Names,MATCH($K1727,Dept_Codes,0)),"NOT FOUND"))</f>
        <v/>
      </c>
      <c r="M1727" s="12" t="n"/>
      <c r="N1727" s="13">
        <f>IF($M1727="","",IFERROR(INDEX(Desig_Names,MATCH($M1727,Desig_Codes,0)),"NOT FOUND"))</f>
        <v/>
      </c>
      <c r="O1727" s="13">
        <f>IF($M1727="","",IFERROR(INDEX(Desig_Levels,MATCH($M1727,Desig_Codes,0)),""))</f>
        <v/>
      </c>
      <c r="P1727" s="12" t="n"/>
      <c r="Q1727" s="12" t="n"/>
      <c r="R1727" s="12" t="n"/>
      <c r="S1727" s="13">
        <f>IF($R1727="","",IFERROR(INDEX(Emp_Names,MATCH($R1727,Emp_Codes,0)),"NOT FOUND"))</f>
        <v/>
      </c>
      <c r="T1727" s="12" t="n"/>
      <c r="U1727" s="12" t="n"/>
      <c r="V1727" s="12" t="n"/>
    </row>
    <row r="1728">
      <c r="A1728" s="12" t="n"/>
      <c r="B1728" s="12" t="n"/>
      <c r="C1728" s="12" t="n"/>
      <c r="D1728" s="13">
        <f>IF($A1728="","",TRIM($B1728&amp;" "&amp;$C1728))</f>
        <v/>
      </c>
      <c r="E1728" s="12" t="n"/>
      <c r="F1728" s="12" t="n"/>
      <c r="G1728" s="14" t="n"/>
      <c r="H1728" s="14" t="n"/>
      <c r="I1728" s="12" t="n"/>
      <c r="J1728" s="14" t="n"/>
      <c r="K1728" s="12" t="n"/>
      <c r="L1728" s="13">
        <f>IF($K1728="","",IFERROR(INDEX(Dept_Names,MATCH($K1728,Dept_Codes,0)),"NOT FOUND"))</f>
        <v/>
      </c>
      <c r="M1728" s="12" t="n"/>
      <c r="N1728" s="13">
        <f>IF($M1728="","",IFERROR(INDEX(Desig_Names,MATCH($M1728,Desig_Codes,0)),"NOT FOUND"))</f>
        <v/>
      </c>
      <c r="O1728" s="13">
        <f>IF($M1728="","",IFERROR(INDEX(Desig_Levels,MATCH($M1728,Desig_Codes,0)),""))</f>
        <v/>
      </c>
      <c r="P1728" s="12" t="n"/>
      <c r="Q1728" s="12" t="n"/>
      <c r="R1728" s="12" t="n"/>
      <c r="S1728" s="13">
        <f>IF($R1728="","",IFERROR(INDEX(Emp_Names,MATCH($R1728,Emp_Codes,0)),"NOT FOUND"))</f>
        <v/>
      </c>
      <c r="T1728" s="12" t="n"/>
      <c r="U1728" s="12" t="n"/>
      <c r="V1728" s="12" t="n"/>
    </row>
    <row r="1729">
      <c r="A1729" s="12" t="n"/>
      <c r="B1729" s="12" t="n"/>
      <c r="C1729" s="12" t="n"/>
      <c r="D1729" s="13">
        <f>IF($A1729="","",TRIM($B1729&amp;" "&amp;$C1729))</f>
        <v/>
      </c>
      <c r="E1729" s="12" t="n"/>
      <c r="F1729" s="12" t="n"/>
      <c r="G1729" s="14" t="n"/>
      <c r="H1729" s="14" t="n"/>
      <c r="I1729" s="12" t="n"/>
      <c r="J1729" s="14" t="n"/>
      <c r="K1729" s="12" t="n"/>
      <c r="L1729" s="13">
        <f>IF($K1729="","",IFERROR(INDEX(Dept_Names,MATCH($K1729,Dept_Codes,0)),"NOT FOUND"))</f>
        <v/>
      </c>
      <c r="M1729" s="12" t="n"/>
      <c r="N1729" s="13">
        <f>IF($M1729="","",IFERROR(INDEX(Desig_Names,MATCH($M1729,Desig_Codes,0)),"NOT FOUND"))</f>
        <v/>
      </c>
      <c r="O1729" s="13">
        <f>IF($M1729="","",IFERROR(INDEX(Desig_Levels,MATCH($M1729,Desig_Codes,0)),""))</f>
        <v/>
      </c>
      <c r="P1729" s="12" t="n"/>
      <c r="Q1729" s="12" t="n"/>
      <c r="R1729" s="12" t="n"/>
      <c r="S1729" s="13">
        <f>IF($R1729="","",IFERROR(INDEX(Emp_Names,MATCH($R1729,Emp_Codes,0)),"NOT FOUND"))</f>
        <v/>
      </c>
      <c r="T1729" s="12" t="n"/>
      <c r="U1729" s="12" t="n"/>
      <c r="V1729" s="12" t="n"/>
    </row>
    <row r="1730">
      <c r="A1730" s="12" t="n"/>
      <c r="B1730" s="12" t="n"/>
      <c r="C1730" s="12" t="n"/>
      <c r="D1730" s="13">
        <f>IF($A1730="","",TRIM($B1730&amp;" "&amp;$C1730))</f>
        <v/>
      </c>
      <c r="E1730" s="12" t="n"/>
      <c r="F1730" s="12" t="n"/>
      <c r="G1730" s="14" t="n"/>
      <c r="H1730" s="14" t="n"/>
      <c r="I1730" s="12" t="n"/>
      <c r="J1730" s="14" t="n"/>
      <c r="K1730" s="12" t="n"/>
      <c r="L1730" s="13">
        <f>IF($K1730="","",IFERROR(INDEX(Dept_Names,MATCH($K1730,Dept_Codes,0)),"NOT FOUND"))</f>
        <v/>
      </c>
      <c r="M1730" s="12" t="n"/>
      <c r="N1730" s="13">
        <f>IF($M1730="","",IFERROR(INDEX(Desig_Names,MATCH($M1730,Desig_Codes,0)),"NOT FOUND"))</f>
        <v/>
      </c>
      <c r="O1730" s="13">
        <f>IF($M1730="","",IFERROR(INDEX(Desig_Levels,MATCH($M1730,Desig_Codes,0)),""))</f>
        <v/>
      </c>
      <c r="P1730" s="12" t="n"/>
      <c r="Q1730" s="12" t="n"/>
      <c r="R1730" s="12" t="n"/>
      <c r="S1730" s="13">
        <f>IF($R1730="","",IFERROR(INDEX(Emp_Names,MATCH($R1730,Emp_Codes,0)),"NOT FOUND"))</f>
        <v/>
      </c>
      <c r="T1730" s="12" t="n"/>
      <c r="U1730" s="12" t="n"/>
      <c r="V1730" s="12" t="n"/>
    </row>
    <row r="1731">
      <c r="A1731" s="12" t="n"/>
      <c r="B1731" s="12" t="n"/>
      <c r="C1731" s="12" t="n"/>
      <c r="D1731" s="13">
        <f>IF($A1731="","",TRIM($B1731&amp;" "&amp;$C1731))</f>
        <v/>
      </c>
      <c r="E1731" s="12" t="n"/>
      <c r="F1731" s="12" t="n"/>
      <c r="G1731" s="14" t="n"/>
      <c r="H1731" s="14" t="n"/>
      <c r="I1731" s="12" t="n"/>
      <c r="J1731" s="14" t="n"/>
      <c r="K1731" s="12" t="n"/>
      <c r="L1731" s="13">
        <f>IF($K1731="","",IFERROR(INDEX(Dept_Names,MATCH($K1731,Dept_Codes,0)),"NOT FOUND"))</f>
        <v/>
      </c>
      <c r="M1731" s="12" t="n"/>
      <c r="N1731" s="13">
        <f>IF($M1731="","",IFERROR(INDEX(Desig_Names,MATCH($M1731,Desig_Codes,0)),"NOT FOUND"))</f>
        <v/>
      </c>
      <c r="O1731" s="13">
        <f>IF($M1731="","",IFERROR(INDEX(Desig_Levels,MATCH($M1731,Desig_Codes,0)),""))</f>
        <v/>
      </c>
      <c r="P1731" s="12" t="n"/>
      <c r="Q1731" s="12" t="n"/>
      <c r="R1731" s="12" t="n"/>
      <c r="S1731" s="13">
        <f>IF($R1731="","",IFERROR(INDEX(Emp_Names,MATCH($R1731,Emp_Codes,0)),"NOT FOUND"))</f>
        <v/>
      </c>
      <c r="T1731" s="12" t="n"/>
      <c r="U1731" s="12" t="n"/>
      <c r="V1731" s="12" t="n"/>
    </row>
    <row r="1732">
      <c r="A1732" s="12" t="n"/>
      <c r="B1732" s="12" t="n"/>
      <c r="C1732" s="12" t="n"/>
      <c r="D1732" s="13">
        <f>IF($A1732="","",TRIM($B1732&amp;" "&amp;$C1732))</f>
        <v/>
      </c>
      <c r="E1732" s="12" t="n"/>
      <c r="F1732" s="12" t="n"/>
      <c r="G1732" s="14" t="n"/>
      <c r="H1732" s="14" t="n"/>
      <c r="I1732" s="12" t="n"/>
      <c r="J1732" s="14" t="n"/>
      <c r="K1732" s="12" t="n"/>
      <c r="L1732" s="13">
        <f>IF($K1732="","",IFERROR(INDEX(Dept_Names,MATCH($K1732,Dept_Codes,0)),"NOT FOUND"))</f>
        <v/>
      </c>
      <c r="M1732" s="12" t="n"/>
      <c r="N1732" s="13">
        <f>IF($M1732="","",IFERROR(INDEX(Desig_Names,MATCH($M1732,Desig_Codes,0)),"NOT FOUND"))</f>
        <v/>
      </c>
      <c r="O1732" s="13">
        <f>IF($M1732="","",IFERROR(INDEX(Desig_Levels,MATCH($M1732,Desig_Codes,0)),""))</f>
        <v/>
      </c>
      <c r="P1732" s="12" t="n"/>
      <c r="Q1732" s="12" t="n"/>
      <c r="R1732" s="12" t="n"/>
      <c r="S1732" s="13">
        <f>IF($R1732="","",IFERROR(INDEX(Emp_Names,MATCH($R1732,Emp_Codes,0)),"NOT FOUND"))</f>
        <v/>
      </c>
      <c r="T1732" s="12" t="n"/>
      <c r="U1732" s="12" t="n"/>
      <c r="V1732" s="12" t="n"/>
    </row>
    <row r="1733">
      <c r="A1733" s="12" t="n"/>
      <c r="B1733" s="12" t="n"/>
      <c r="C1733" s="12" t="n"/>
      <c r="D1733" s="13">
        <f>IF($A1733="","",TRIM($B1733&amp;" "&amp;$C1733))</f>
        <v/>
      </c>
      <c r="E1733" s="12" t="n"/>
      <c r="F1733" s="12" t="n"/>
      <c r="G1733" s="14" t="n"/>
      <c r="H1733" s="14" t="n"/>
      <c r="I1733" s="12" t="n"/>
      <c r="J1733" s="14" t="n"/>
      <c r="K1733" s="12" t="n"/>
      <c r="L1733" s="13">
        <f>IF($K1733="","",IFERROR(INDEX(Dept_Names,MATCH($K1733,Dept_Codes,0)),"NOT FOUND"))</f>
        <v/>
      </c>
      <c r="M1733" s="12" t="n"/>
      <c r="N1733" s="13">
        <f>IF($M1733="","",IFERROR(INDEX(Desig_Names,MATCH($M1733,Desig_Codes,0)),"NOT FOUND"))</f>
        <v/>
      </c>
      <c r="O1733" s="13">
        <f>IF($M1733="","",IFERROR(INDEX(Desig_Levels,MATCH($M1733,Desig_Codes,0)),""))</f>
        <v/>
      </c>
      <c r="P1733" s="12" t="n"/>
      <c r="Q1733" s="12" t="n"/>
      <c r="R1733" s="12" t="n"/>
      <c r="S1733" s="13">
        <f>IF($R1733="","",IFERROR(INDEX(Emp_Names,MATCH($R1733,Emp_Codes,0)),"NOT FOUND"))</f>
        <v/>
      </c>
      <c r="T1733" s="12" t="n"/>
      <c r="U1733" s="12" t="n"/>
      <c r="V1733" s="12" t="n"/>
    </row>
    <row r="1734">
      <c r="A1734" s="12" t="n"/>
      <c r="B1734" s="12" t="n"/>
      <c r="C1734" s="12" t="n"/>
      <c r="D1734" s="13">
        <f>IF($A1734="","",TRIM($B1734&amp;" "&amp;$C1734))</f>
        <v/>
      </c>
      <c r="E1734" s="12" t="n"/>
      <c r="F1734" s="12" t="n"/>
      <c r="G1734" s="14" t="n"/>
      <c r="H1734" s="14" t="n"/>
      <c r="I1734" s="12" t="n"/>
      <c r="J1734" s="14" t="n"/>
      <c r="K1734" s="12" t="n"/>
      <c r="L1734" s="13">
        <f>IF($K1734="","",IFERROR(INDEX(Dept_Names,MATCH($K1734,Dept_Codes,0)),"NOT FOUND"))</f>
        <v/>
      </c>
      <c r="M1734" s="12" t="n"/>
      <c r="N1734" s="13">
        <f>IF($M1734="","",IFERROR(INDEX(Desig_Names,MATCH($M1734,Desig_Codes,0)),"NOT FOUND"))</f>
        <v/>
      </c>
      <c r="O1734" s="13">
        <f>IF($M1734="","",IFERROR(INDEX(Desig_Levels,MATCH($M1734,Desig_Codes,0)),""))</f>
        <v/>
      </c>
      <c r="P1734" s="12" t="n"/>
      <c r="Q1734" s="12" t="n"/>
      <c r="R1734" s="12" t="n"/>
      <c r="S1734" s="13">
        <f>IF($R1734="","",IFERROR(INDEX(Emp_Names,MATCH($R1734,Emp_Codes,0)),"NOT FOUND"))</f>
        <v/>
      </c>
      <c r="T1734" s="12" t="n"/>
      <c r="U1734" s="12" t="n"/>
      <c r="V1734" s="12" t="n"/>
    </row>
    <row r="1735">
      <c r="A1735" s="12" t="n"/>
      <c r="B1735" s="12" t="n"/>
      <c r="C1735" s="12" t="n"/>
      <c r="D1735" s="13">
        <f>IF($A1735="","",TRIM($B1735&amp;" "&amp;$C1735))</f>
        <v/>
      </c>
      <c r="E1735" s="12" t="n"/>
      <c r="F1735" s="12" t="n"/>
      <c r="G1735" s="14" t="n"/>
      <c r="H1735" s="14" t="n"/>
      <c r="I1735" s="12" t="n"/>
      <c r="J1735" s="14" t="n"/>
      <c r="K1735" s="12" t="n"/>
      <c r="L1735" s="13">
        <f>IF($K1735="","",IFERROR(INDEX(Dept_Names,MATCH($K1735,Dept_Codes,0)),"NOT FOUND"))</f>
        <v/>
      </c>
      <c r="M1735" s="12" t="n"/>
      <c r="N1735" s="13">
        <f>IF($M1735="","",IFERROR(INDEX(Desig_Names,MATCH($M1735,Desig_Codes,0)),"NOT FOUND"))</f>
        <v/>
      </c>
      <c r="O1735" s="13">
        <f>IF($M1735="","",IFERROR(INDEX(Desig_Levels,MATCH($M1735,Desig_Codes,0)),""))</f>
        <v/>
      </c>
      <c r="P1735" s="12" t="n"/>
      <c r="Q1735" s="12" t="n"/>
      <c r="R1735" s="12" t="n"/>
      <c r="S1735" s="13">
        <f>IF($R1735="","",IFERROR(INDEX(Emp_Names,MATCH($R1735,Emp_Codes,0)),"NOT FOUND"))</f>
        <v/>
      </c>
      <c r="T1735" s="12" t="n"/>
      <c r="U1735" s="12" t="n"/>
      <c r="V1735" s="12" t="n"/>
    </row>
    <row r="1736">
      <c r="A1736" s="12" t="n"/>
      <c r="B1736" s="12" t="n"/>
      <c r="C1736" s="12" t="n"/>
      <c r="D1736" s="13">
        <f>IF($A1736="","",TRIM($B1736&amp;" "&amp;$C1736))</f>
        <v/>
      </c>
      <c r="E1736" s="12" t="n"/>
      <c r="F1736" s="12" t="n"/>
      <c r="G1736" s="14" t="n"/>
      <c r="H1736" s="14" t="n"/>
      <c r="I1736" s="12" t="n"/>
      <c r="J1736" s="14" t="n"/>
      <c r="K1736" s="12" t="n"/>
      <c r="L1736" s="13">
        <f>IF($K1736="","",IFERROR(INDEX(Dept_Names,MATCH($K1736,Dept_Codes,0)),"NOT FOUND"))</f>
        <v/>
      </c>
      <c r="M1736" s="12" t="n"/>
      <c r="N1736" s="13">
        <f>IF($M1736="","",IFERROR(INDEX(Desig_Names,MATCH($M1736,Desig_Codes,0)),"NOT FOUND"))</f>
        <v/>
      </c>
      <c r="O1736" s="13">
        <f>IF($M1736="","",IFERROR(INDEX(Desig_Levels,MATCH($M1736,Desig_Codes,0)),""))</f>
        <v/>
      </c>
      <c r="P1736" s="12" t="n"/>
      <c r="Q1736" s="12" t="n"/>
      <c r="R1736" s="12" t="n"/>
      <c r="S1736" s="13">
        <f>IF($R1736="","",IFERROR(INDEX(Emp_Names,MATCH($R1736,Emp_Codes,0)),"NOT FOUND"))</f>
        <v/>
      </c>
      <c r="T1736" s="12" t="n"/>
      <c r="U1736" s="12" t="n"/>
      <c r="V1736" s="12" t="n"/>
    </row>
    <row r="1737">
      <c r="A1737" s="12" t="n"/>
      <c r="B1737" s="12" t="n"/>
      <c r="C1737" s="12" t="n"/>
      <c r="D1737" s="13">
        <f>IF($A1737="","",TRIM($B1737&amp;" "&amp;$C1737))</f>
        <v/>
      </c>
      <c r="E1737" s="12" t="n"/>
      <c r="F1737" s="12" t="n"/>
      <c r="G1737" s="14" t="n"/>
      <c r="H1737" s="14" t="n"/>
      <c r="I1737" s="12" t="n"/>
      <c r="J1737" s="14" t="n"/>
      <c r="K1737" s="12" t="n"/>
      <c r="L1737" s="13">
        <f>IF($K1737="","",IFERROR(INDEX(Dept_Names,MATCH($K1737,Dept_Codes,0)),"NOT FOUND"))</f>
        <v/>
      </c>
      <c r="M1737" s="12" t="n"/>
      <c r="N1737" s="13">
        <f>IF($M1737="","",IFERROR(INDEX(Desig_Names,MATCH($M1737,Desig_Codes,0)),"NOT FOUND"))</f>
        <v/>
      </c>
      <c r="O1737" s="13">
        <f>IF($M1737="","",IFERROR(INDEX(Desig_Levels,MATCH($M1737,Desig_Codes,0)),""))</f>
        <v/>
      </c>
      <c r="P1737" s="12" t="n"/>
      <c r="Q1737" s="12" t="n"/>
      <c r="R1737" s="12" t="n"/>
      <c r="S1737" s="13">
        <f>IF($R1737="","",IFERROR(INDEX(Emp_Names,MATCH($R1737,Emp_Codes,0)),"NOT FOUND"))</f>
        <v/>
      </c>
      <c r="T1737" s="12" t="n"/>
      <c r="U1737" s="12" t="n"/>
      <c r="V1737" s="12" t="n"/>
    </row>
    <row r="1738">
      <c r="A1738" s="12" t="n"/>
      <c r="B1738" s="12" t="n"/>
      <c r="C1738" s="12" t="n"/>
      <c r="D1738" s="13">
        <f>IF($A1738="","",TRIM($B1738&amp;" "&amp;$C1738))</f>
        <v/>
      </c>
      <c r="E1738" s="12" t="n"/>
      <c r="F1738" s="12" t="n"/>
      <c r="G1738" s="14" t="n"/>
      <c r="H1738" s="14" t="n"/>
      <c r="I1738" s="12" t="n"/>
      <c r="J1738" s="14" t="n"/>
      <c r="K1738" s="12" t="n"/>
      <c r="L1738" s="13">
        <f>IF($K1738="","",IFERROR(INDEX(Dept_Names,MATCH($K1738,Dept_Codes,0)),"NOT FOUND"))</f>
        <v/>
      </c>
      <c r="M1738" s="12" t="n"/>
      <c r="N1738" s="13">
        <f>IF($M1738="","",IFERROR(INDEX(Desig_Names,MATCH($M1738,Desig_Codes,0)),"NOT FOUND"))</f>
        <v/>
      </c>
      <c r="O1738" s="13">
        <f>IF($M1738="","",IFERROR(INDEX(Desig_Levels,MATCH($M1738,Desig_Codes,0)),""))</f>
        <v/>
      </c>
      <c r="P1738" s="12" t="n"/>
      <c r="Q1738" s="12" t="n"/>
      <c r="R1738" s="12" t="n"/>
      <c r="S1738" s="13">
        <f>IF($R1738="","",IFERROR(INDEX(Emp_Names,MATCH($R1738,Emp_Codes,0)),"NOT FOUND"))</f>
        <v/>
      </c>
      <c r="T1738" s="12" t="n"/>
      <c r="U1738" s="12" t="n"/>
      <c r="V1738" s="12" t="n"/>
    </row>
    <row r="1739">
      <c r="A1739" s="12" t="n"/>
      <c r="B1739" s="12" t="n"/>
      <c r="C1739" s="12" t="n"/>
      <c r="D1739" s="13">
        <f>IF($A1739="","",TRIM($B1739&amp;" "&amp;$C1739))</f>
        <v/>
      </c>
      <c r="E1739" s="12" t="n"/>
      <c r="F1739" s="12" t="n"/>
      <c r="G1739" s="14" t="n"/>
      <c r="H1739" s="14" t="n"/>
      <c r="I1739" s="12" t="n"/>
      <c r="J1739" s="14" t="n"/>
      <c r="K1739" s="12" t="n"/>
      <c r="L1739" s="13">
        <f>IF($K1739="","",IFERROR(INDEX(Dept_Names,MATCH($K1739,Dept_Codes,0)),"NOT FOUND"))</f>
        <v/>
      </c>
      <c r="M1739" s="12" t="n"/>
      <c r="N1739" s="13">
        <f>IF($M1739="","",IFERROR(INDEX(Desig_Names,MATCH($M1739,Desig_Codes,0)),"NOT FOUND"))</f>
        <v/>
      </c>
      <c r="O1739" s="13">
        <f>IF($M1739="","",IFERROR(INDEX(Desig_Levels,MATCH($M1739,Desig_Codes,0)),""))</f>
        <v/>
      </c>
      <c r="P1739" s="12" t="n"/>
      <c r="Q1739" s="12" t="n"/>
      <c r="R1739" s="12" t="n"/>
      <c r="S1739" s="13">
        <f>IF($R1739="","",IFERROR(INDEX(Emp_Names,MATCH($R1739,Emp_Codes,0)),"NOT FOUND"))</f>
        <v/>
      </c>
      <c r="T1739" s="12" t="n"/>
      <c r="U1739" s="12" t="n"/>
      <c r="V1739" s="12" t="n"/>
    </row>
    <row r="1740">
      <c r="A1740" s="12" t="n"/>
      <c r="B1740" s="12" t="n"/>
      <c r="C1740" s="12" t="n"/>
      <c r="D1740" s="13">
        <f>IF($A1740="","",TRIM($B1740&amp;" "&amp;$C1740))</f>
        <v/>
      </c>
      <c r="E1740" s="12" t="n"/>
      <c r="F1740" s="12" t="n"/>
      <c r="G1740" s="14" t="n"/>
      <c r="H1740" s="14" t="n"/>
      <c r="I1740" s="12" t="n"/>
      <c r="J1740" s="14" t="n"/>
      <c r="K1740" s="12" t="n"/>
      <c r="L1740" s="13">
        <f>IF($K1740="","",IFERROR(INDEX(Dept_Names,MATCH($K1740,Dept_Codes,0)),"NOT FOUND"))</f>
        <v/>
      </c>
      <c r="M1740" s="12" t="n"/>
      <c r="N1740" s="13">
        <f>IF($M1740="","",IFERROR(INDEX(Desig_Names,MATCH($M1740,Desig_Codes,0)),"NOT FOUND"))</f>
        <v/>
      </c>
      <c r="O1740" s="13">
        <f>IF($M1740="","",IFERROR(INDEX(Desig_Levels,MATCH($M1740,Desig_Codes,0)),""))</f>
        <v/>
      </c>
      <c r="P1740" s="12" t="n"/>
      <c r="Q1740" s="12" t="n"/>
      <c r="R1740" s="12" t="n"/>
      <c r="S1740" s="13">
        <f>IF($R1740="","",IFERROR(INDEX(Emp_Names,MATCH($R1740,Emp_Codes,0)),"NOT FOUND"))</f>
        <v/>
      </c>
      <c r="T1740" s="12" t="n"/>
      <c r="U1740" s="12" t="n"/>
      <c r="V1740" s="12" t="n"/>
    </row>
    <row r="1741">
      <c r="A1741" s="12" t="n"/>
      <c r="B1741" s="12" t="n"/>
      <c r="C1741" s="12" t="n"/>
      <c r="D1741" s="13">
        <f>IF($A1741="","",TRIM($B1741&amp;" "&amp;$C1741))</f>
        <v/>
      </c>
      <c r="E1741" s="12" t="n"/>
      <c r="F1741" s="12" t="n"/>
      <c r="G1741" s="14" t="n"/>
      <c r="H1741" s="14" t="n"/>
      <c r="I1741" s="12" t="n"/>
      <c r="J1741" s="14" t="n"/>
      <c r="K1741" s="12" t="n"/>
      <c r="L1741" s="13">
        <f>IF($K1741="","",IFERROR(INDEX(Dept_Names,MATCH($K1741,Dept_Codes,0)),"NOT FOUND"))</f>
        <v/>
      </c>
      <c r="M1741" s="12" t="n"/>
      <c r="N1741" s="13">
        <f>IF($M1741="","",IFERROR(INDEX(Desig_Names,MATCH($M1741,Desig_Codes,0)),"NOT FOUND"))</f>
        <v/>
      </c>
      <c r="O1741" s="13">
        <f>IF($M1741="","",IFERROR(INDEX(Desig_Levels,MATCH($M1741,Desig_Codes,0)),""))</f>
        <v/>
      </c>
      <c r="P1741" s="12" t="n"/>
      <c r="Q1741" s="12" t="n"/>
      <c r="R1741" s="12" t="n"/>
      <c r="S1741" s="13">
        <f>IF($R1741="","",IFERROR(INDEX(Emp_Names,MATCH($R1741,Emp_Codes,0)),"NOT FOUND"))</f>
        <v/>
      </c>
      <c r="T1741" s="12" t="n"/>
      <c r="U1741" s="12" t="n"/>
      <c r="V1741" s="12" t="n"/>
    </row>
    <row r="1742">
      <c r="A1742" s="12" t="n"/>
      <c r="B1742" s="12" t="n"/>
      <c r="C1742" s="12" t="n"/>
      <c r="D1742" s="13">
        <f>IF($A1742="","",TRIM($B1742&amp;" "&amp;$C1742))</f>
        <v/>
      </c>
      <c r="E1742" s="12" t="n"/>
      <c r="F1742" s="12" t="n"/>
      <c r="G1742" s="14" t="n"/>
      <c r="H1742" s="14" t="n"/>
      <c r="I1742" s="12" t="n"/>
      <c r="J1742" s="14" t="n"/>
      <c r="K1742" s="12" t="n"/>
      <c r="L1742" s="13">
        <f>IF($K1742="","",IFERROR(INDEX(Dept_Names,MATCH($K1742,Dept_Codes,0)),"NOT FOUND"))</f>
        <v/>
      </c>
      <c r="M1742" s="12" t="n"/>
      <c r="N1742" s="13">
        <f>IF($M1742="","",IFERROR(INDEX(Desig_Names,MATCH($M1742,Desig_Codes,0)),"NOT FOUND"))</f>
        <v/>
      </c>
      <c r="O1742" s="13">
        <f>IF($M1742="","",IFERROR(INDEX(Desig_Levels,MATCH($M1742,Desig_Codes,0)),""))</f>
        <v/>
      </c>
      <c r="P1742" s="12" t="n"/>
      <c r="Q1742" s="12" t="n"/>
      <c r="R1742" s="12" t="n"/>
      <c r="S1742" s="13">
        <f>IF($R1742="","",IFERROR(INDEX(Emp_Names,MATCH($R1742,Emp_Codes,0)),"NOT FOUND"))</f>
        <v/>
      </c>
      <c r="T1742" s="12" t="n"/>
      <c r="U1742" s="12" t="n"/>
      <c r="V1742" s="12" t="n"/>
    </row>
    <row r="1743">
      <c r="A1743" s="12" t="n"/>
      <c r="B1743" s="12" t="n"/>
      <c r="C1743" s="12" t="n"/>
      <c r="D1743" s="13">
        <f>IF($A1743="","",TRIM($B1743&amp;" "&amp;$C1743))</f>
        <v/>
      </c>
      <c r="E1743" s="12" t="n"/>
      <c r="F1743" s="12" t="n"/>
      <c r="G1743" s="14" t="n"/>
      <c r="H1743" s="14" t="n"/>
      <c r="I1743" s="12" t="n"/>
      <c r="J1743" s="14" t="n"/>
      <c r="K1743" s="12" t="n"/>
      <c r="L1743" s="13">
        <f>IF($K1743="","",IFERROR(INDEX(Dept_Names,MATCH($K1743,Dept_Codes,0)),"NOT FOUND"))</f>
        <v/>
      </c>
      <c r="M1743" s="12" t="n"/>
      <c r="N1743" s="13">
        <f>IF($M1743="","",IFERROR(INDEX(Desig_Names,MATCH($M1743,Desig_Codes,0)),"NOT FOUND"))</f>
        <v/>
      </c>
      <c r="O1743" s="13">
        <f>IF($M1743="","",IFERROR(INDEX(Desig_Levels,MATCH($M1743,Desig_Codes,0)),""))</f>
        <v/>
      </c>
      <c r="P1743" s="12" t="n"/>
      <c r="Q1743" s="12" t="n"/>
      <c r="R1743" s="12" t="n"/>
      <c r="S1743" s="13">
        <f>IF($R1743="","",IFERROR(INDEX(Emp_Names,MATCH($R1743,Emp_Codes,0)),"NOT FOUND"))</f>
        <v/>
      </c>
      <c r="T1743" s="12" t="n"/>
      <c r="U1743" s="12" t="n"/>
      <c r="V1743" s="12" t="n"/>
    </row>
    <row r="1744">
      <c r="A1744" s="12" t="n"/>
      <c r="B1744" s="12" t="n"/>
      <c r="C1744" s="12" t="n"/>
      <c r="D1744" s="13">
        <f>IF($A1744="","",TRIM($B1744&amp;" "&amp;$C1744))</f>
        <v/>
      </c>
      <c r="E1744" s="12" t="n"/>
      <c r="F1744" s="12" t="n"/>
      <c r="G1744" s="14" t="n"/>
      <c r="H1744" s="14" t="n"/>
      <c r="I1744" s="12" t="n"/>
      <c r="J1744" s="14" t="n"/>
      <c r="K1744" s="12" t="n"/>
      <c r="L1744" s="13">
        <f>IF($K1744="","",IFERROR(INDEX(Dept_Names,MATCH($K1744,Dept_Codes,0)),"NOT FOUND"))</f>
        <v/>
      </c>
      <c r="M1744" s="12" t="n"/>
      <c r="N1744" s="13">
        <f>IF($M1744="","",IFERROR(INDEX(Desig_Names,MATCH($M1744,Desig_Codes,0)),"NOT FOUND"))</f>
        <v/>
      </c>
      <c r="O1744" s="13">
        <f>IF($M1744="","",IFERROR(INDEX(Desig_Levels,MATCH($M1744,Desig_Codes,0)),""))</f>
        <v/>
      </c>
      <c r="P1744" s="12" t="n"/>
      <c r="Q1744" s="12" t="n"/>
      <c r="R1744" s="12" t="n"/>
      <c r="S1744" s="13">
        <f>IF($R1744="","",IFERROR(INDEX(Emp_Names,MATCH($R1744,Emp_Codes,0)),"NOT FOUND"))</f>
        <v/>
      </c>
      <c r="T1744" s="12" t="n"/>
      <c r="U1744" s="12" t="n"/>
      <c r="V1744" s="12" t="n"/>
    </row>
    <row r="1745">
      <c r="A1745" s="12" t="n"/>
      <c r="B1745" s="12" t="n"/>
      <c r="C1745" s="12" t="n"/>
      <c r="D1745" s="13">
        <f>IF($A1745="","",TRIM($B1745&amp;" "&amp;$C1745))</f>
        <v/>
      </c>
      <c r="E1745" s="12" t="n"/>
      <c r="F1745" s="12" t="n"/>
      <c r="G1745" s="14" t="n"/>
      <c r="H1745" s="14" t="n"/>
      <c r="I1745" s="12" t="n"/>
      <c r="J1745" s="14" t="n"/>
      <c r="K1745" s="12" t="n"/>
      <c r="L1745" s="13">
        <f>IF($K1745="","",IFERROR(INDEX(Dept_Names,MATCH($K1745,Dept_Codes,0)),"NOT FOUND"))</f>
        <v/>
      </c>
      <c r="M1745" s="12" t="n"/>
      <c r="N1745" s="13">
        <f>IF($M1745="","",IFERROR(INDEX(Desig_Names,MATCH($M1745,Desig_Codes,0)),"NOT FOUND"))</f>
        <v/>
      </c>
      <c r="O1745" s="13">
        <f>IF($M1745="","",IFERROR(INDEX(Desig_Levels,MATCH($M1745,Desig_Codes,0)),""))</f>
        <v/>
      </c>
      <c r="P1745" s="12" t="n"/>
      <c r="Q1745" s="12" t="n"/>
      <c r="R1745" s="12" t="n"/>
      <c r="S1745" s="13">
        <f>IF($R1745="","",IFERROR(INDEX(Emp_Names,MATCH($R1745,Emp_Codes,0)),"NOT FOUND"))</f>
        <v/>
      </c>
      <c r="T1745" s="12" t="n"/>
      <c r="U1745" s="12" t="n"/>
      <c r="V1745" s="12" t="n"/>
    </row>
    <row r="1746">
      <c r="A1746" s="12" t="n"/>
      <c r="B1746" s="12" t="n"/>
      <c r="C1746" s="12" t="n"/>
      <c r="D1746" s="13">
        <f>IF($A1746="","",TRIM($B1746&amp;" "&amp;$C1746))</f>
        <v/>
      </c>
      <c r="E1746" s="12" t="n"/>
      <c r="F1746" s="12" t="n"/>
      <c r="G1746" s="14" t="n"/>
      <c r="H1746" s="14" t="n"/>
      <c r="I1746" s="12" t="n"/>
      <c r="J1746" s="14" t="n"/>
      <c r="K1746" s="12" t="n"/>
      <c r="L1746" s="13">
        <f>IF($K1746="","",IFERROR(INDEX(Dept_Names,MATCH($K1746,Dept_Codes,0)),"NOT FOUND"))</f>
        <v/>
      </c>
      <c r="M1746" s="12" t="n"/>
      <c r="N1746" s="13">
        <f>IF($M1746="","",IFERROR(INDEX(Desig_Names,MATCH($M1746,Desig_Codes,0)),"NOT FOUND"))</f>
        <v/>
      </c>
      <c r="O1746" s="13">
        <f>IF($M1746="","",IFERROR(INDEX(Desig_Levels,MATCH($M1746,Desig_Codes,0)),""))</f>
        <v/>
      </c>
      <c r="P1746" s="12" t="n"/>
      <c r="Q1746" s="12" t="n"/>
      <c r="R1746" s="12" t="n"/>
      <c r="S1746" s="13">
        <f>IF($R1746="","",IFERROR(INDEX(Emp_Names,MATCH($R1746,Emp_Codes,0)),"NOT FOUND"))</f>
        <v/>
      </c>
      <c r="T1746" s="12" t="n"/>
      <c r="U1746" s="12" t="n"/>
      <c r="V1746" s="12" t="n"/>
    </row>
    <row r="1747">
      <c r="A1747" s="12" t="n"/>
      <c r="B1747" s="12" t="n"/>
      <c r="C1747" s="12" t="n"/>
      <c r="D1747" s="13">
        <f>IF($A1747="","",TRIM($B1747&amp;" "&amp;$C1747))</f>
        <v/>
      </c>
      <c r="E1747" s="12" t="n"/>
      <c r="F1747" s="12" t="n"/>
      <c r="G1747" s="14" t="n"/>
      <c r="H1747" s="14" t="n"/>
      <c r="I1747" s="12" t="n"/>
      <c r="J1747" s="14" t="n"/>
      <c r="K1747" s="12" t="n"/>
      <c r="L1747" s="13">
        <f>IF($K1747="","",IFERROR(INDEX(Dept_Names,MATCH($K1747,Dept_Codes,0)),"NOT FOUND"))</f>
        <v/>
      </c>
      <c r="M1747" s="12" t="n"/>
      <c r="N1747" s="13">
        <f>IF($M1747="","",IFERROR(INDEX(Desig_Names,MATCH($M1747,Desig_Codes,0)),"NOT FOUND"))</f>
        <v/>
      </c>
      <c r="O1747" s="13">
        <f>IF($M1747="","",IFERROR(INDEX(Desig_Levels,MATCH($M1747,Desig_Codes,0)),""))</f>
        <v/>
      </c>
      <c r="P1747" s="12" t="n"/>
      <c r="Q1747" s="12" t="n"/>
      <c r="R1747" s="12" t="n"/>
      <c r="S1747" s="13">
        <f>IF($R1747="","",IFERROR(INDEX(Emp_Names,MATCH($R1747,Emp_Codes,0)),"NOT FOUND"))</f>
        <v/>
      </c>
      <c r="T1747" s="12" t="n"/>
      <c r="U1747" s="12" t="n"/>
      <c r="V1747" s="12" t="n"/>
    </row>
    <row r="1748">
      <c r="A1748" s="12" t="n"/>
      <c r="B1748" s="12" t="n"/>
      <c r="C1748" s="12" t="n"/>
      <c r="D1748" s="13">
        <f>IF($A1748="","",TRIM($B1748&amp;" "&amp;$C1748))</f>
        <v/>
      </c>
      <c r="E1748" s="12" t="n"/>
      <c r="F1748" s="12" t="n"/>
      <c r="G1748" s="14" t="n"/>
      <c r="H1748" s="14" t="n"/>
      <c r="I1748" s="12" t="n"/>
      <c r="J1748" s="14" t="n"/>
      <c r="K1748" s="12" t="n"/>
      <c r="L1748" s="13">
        <f>IF($K1748="","",IFERROR(INDEX(Dept_Names,MATCH($K1748,Dept_Codes,0)),"NOT FOUND"))</f>
        <v/>
      </c>
      <c r="M1748" s="12" t="n"/>
      <c r="N1748" s="13">
        <f>IF($M1748="","",IFERROR(INDEX(Desig_Names,MATCH($M1748,Desig_Codes,0)),"NOT FOUND"))</f>
        <v/>
      </c>
      <c r="O1748" s="13">
        <f>IF($M1748="","",IFERROR(INDEX(Desig_Levels,MATCH($M1748,Desig_Codes,0)),""))</f>
        <v/>
      </c>
      <c r="P1748" s="12" t="n"/>
      <c r="Q1748" s="12" t="n"/>
      <c r="R1748" s="12" t="n"/>
      <c r="S1748" s="13">
        <f>IF($R1748="","",IFERROR(INDEX(Emp_Names,MATCH($R1748,Emp_Codes,0)),"NOT FOUND"))</f>
        <v/>
      </c>
      <c r="T1748" s="12" t="n"/>
      <c r="U1748" s="12" t="n"/>
      <c r="V1748" s="12" t="n"/>
    </row>
    <row r="1749">
      <c r="A1749" s="12" t="n"/>
      <c r="B1749" s="12" t="n"/>
      <c r="C1749" s="12" t="n"/>
      <c r="D1749" s="13">
        <f>IF($A1749="","",TRIM($B1749&amp;" "&amp;$C1749))</f>
        <v/>
      </c>
      <c r="E1749" s="12" t="n"/>
      <c r="F1749" s="12" t="n"/>
      <c r="G1749" s="14" t="n"/>
      <c r="H1749" s="14" t="n"/>
      <c r="I1749" s="12" t="n"/>
      <c r="J1749" s="14" t="n"/>
      <c r="K1749" s="12" t="n"/>
      <c r="L1749" s="13">
        <f>IF($K1749="","",IFERROR(INDEX(Dept_Names,MATCH($K1749,Dept_Codes,0)),"NOT FOUND"))</f>
        <v/>
      </c>
      <c r="M1749" s="12" t="n"/>
      <c r="N1749" s="13">
        <f>IF($M1749="","",IFERROR(INDEX(Desig_Names,MATCH($M1749,Desig_Codes,0)),"NOT FOUND"))</f>
        <v/>
      </c>
      <c r="O1749" s="13">
        <f>IF($M1749="","",IFERROR(INDEX(Desig_Levels,MATCH($M1749,Desig_Codes,0)),""))</f>
        <v/>
      </c>
      <c r="P1749" s="12" t="n"/>
      <c r="Q1749" s="12" t="n"/>
      <c r="R1749" s="12" t="n"/>
      <c r="S1749" s="13">
        <f>IF($R1749="","",IFERROR(INDEX(Emp_Names,MATCH($R1749,Emp_Codes,0)),"NOT FOUND"))</f>
        <v/>
      </c>
      <c r="T1749" s="12" t="n"/>
      <c r="U1749" s="12" t="n"/>
      <c r="V1749" s="12" t="n"/>
    </row>
    <row r="1750">
      <c r="A1750" s="12" t="n"/>
      <c r="B1750" s="12" t="n"/>
      <c r="C1750" s="12" t="n"/>
      <c r="D1750" s="13">
        <f>IF($A1750="","",TRIM($B1750&amp;" "&amp;$C1750))</f>
        <v/>
      </c>
      <c r="E1750" s="12" t="n"/>
      <c r="F1750" s="12" t="n"/>
      <c r="G1750" s="14" t="n"/>
      <c r="H1750" s="14" t="n"/>
      <c r="I1750" s="12" t="n"/>
      <c r="J1750" s="14" t="n"/>
      <c r="K1750" s="12" t="n"/>
      <c r="L1750" s="13">
        <f>IF($K1750="","",IFERROR(INDEX(Dept_Names,MATCH($K1750,Dept_Codes,0)),"NOT FOUND"))</f>
        <v/>
      </c>
      <c r="M1750" s="12" t="n"/>
      <c r="N1750" s="13">
        <f>IF($M1750="","",IFERROR(INDEX(Desig_Names,MATCH($M1750,Desig_Codes,0)),"NOT FOUND"))</f>
        <v/>
      </c>
      <c r="O1750" s="13">
        <f>IF($M1750="","",IFERROR(INDEX(Desig_Levels,MATCH($M1750,Desig_Codes,0)),""))</f>
        <v/>
      </c>
      <c r="P1750" s="12" t="n"/>
      <c r="Q1750" s="12" t="n"/>
      <c r="R1750" s="12" t="n"/>
      <c r="S1750" s="13">
        <f>IF($R1750="","",IFERROR(INDEX(Emp_Names,MATCH($R1750,Emp_Codes,0)),"NOT FOUND"))</f>
        <v/>
      </c>
      <c r="T1750" s="12" t="n"/>
      <c r="U1750" s="12" t="n"/>
      <c r="V1750" s="12" t="n"/>
    </row>
    <row r="1751">
      <c r="A1751" s="12" t="n"/>
      <c r="B1751" s="12" t="n"/>
      <c r="C1751" s="12" t="n"/>
      <c r="D1751" s="13">
        <f>IF($A1751="","",TRIM($B1751&amp;" "&amp;$C1751))</f>
        <v/>
      </c>
      <c r="E1751" s="12" t="n"/>
      <c r="F1751" s="12" t="n"/>
      <c r="G1751" s="14" t="n"/>
      <c r="H1751" s="14" t="n"/>
      <c r="I1751" s="12" t="n"/>
      <c r="J1751" s="14" t="n"/>
      <c r="K1751" s="12" t="n"/>
      <c r="L1751" s="13">
        <f>IF($K1751="","",IFERROR(INDEX(Dept_Names,MATCH($K1751,Dept_Codes,0)),"NOT FOUND"))</f>
        <v/>
      </c>
      <c r="M1751" s="12" t="n"/>
      <c r="N1751" s="13">
        <f>IF($M1751="","",IFERROR(INDEX(Desig_Names,MATCH($M1751,Desig_Codes,0)),"NOT FOUND"))</f>
        <v/>
      </c>
      <c r="O1751" s="13">
        <f>IF($M1751="","",IFERROR(INDEX(Desig_Levels,MATCH($M1751,Desig_Codes,0)),""))</f>
        <v/>
      </c>
      <c r="P1751" s="12" t="n"/>
      <c r="Q1751" s="12" t="n"/>
      <c r="R1751" s="12" t="n"/>
      <c r="S1751" s="13">
        <f>IF($R1751="","",IFERROR(INDEX(Emp_Names,MATCH($R1751,Emp_Codes,0)),"NOT FOUND"))</f>
        <v/>
      </c>
      <c r="T1751" s="12" t="n"/>
      <c r="U1751" s="12" t="n"/>
      <c r="V1751" s="12" t="n"/>
    </row>
    <row r="1752">
      <c r="A1752" s="12" t="n"/>
      <c r="B1752" s="12" t="n"/>
      <c r="C1752" s="12" t="n"/>
      <c r="D1752" s="13">
        <f>IF($A1752="","",TRIM($B1752&amp;" "&amp;$C1752))</f>
        <v/>
      </c>
      <c r="E1752" s="12" t="n"/>
      <c r="F1752" s="12" t="n"/>
      <c r="G1752" s="14" t="n"/>
      <c r="H1752" s="14" t="n"/>
      <c r="I1752" s="12" t="n"/>
      <c r="J1752" s="14" t="n"/>
      <c r="K1752" s="12" t="n"/>
      <c r="L1752" s="13">
        <f>IF($K1752="","",IFERROR(INDEX(Dept_Names,MATCH($K1752,Dept_Codes,0)),"NOT FOUND"))</f>
        <v/>
      </c>
      <c r="M1752" s="12" t="n"/>
      <c r="N1752" s="13">
        <f>IF($M1752="","",IFERROR(INDEX(Desig_Names,MATCH($M1752,Desig_Codes,0)),"NOT FOUND"))</f>
        <v/>
      </c>
      <c r="O1752" s="13">
        <f>IF($M1752="","",IFERROR(INDEX(Desig_Levels,MATCH($M1752,Desig_Codes,0)),""))</f>
        <v/>
      </c>
      <c r="P1752" s="12" t="n"/>
      <c r="Q1752" s="12" t="n"/>
      <c r="R1752" s="12" t="n"/>
      <c r="S1752" s="13">
        <f>IF($R1752="","",IFERROR(INDEX(Emp_Names,MATCH($R1752,Emp_Codes,0)),"NOT FOUND"))</f>
        <v/>
      </c>
      <c r="T1752" s="12" t="n"/>
      <c r="U1752" s="12" t="n"/>
      <c r="V1752" s="12" t="n"/>
    </row>
    <row r="1753">
      <c r="A1753" s="12" t="n"/>
      <c r="B1753" s="12" t="n"/>
      <c r="C1753" s="12" t="n"/>
      <c r="D1753" s="13">
        <f>IF($A1753="","",TRIM($B1753&amp;" "&amp;$C1753))</f>
        <v/>
      </c>
      <c r="E1753" s="12" t="n"/>
      <c r="F1753" s="12" t="n"/>
      <c r="G1753" s="14" t="n"/>
      <c r="H1753" s="14" t="n"/>
      <c r="I1753" s="12" t="n"/>
      <c r="J1753" s="14" t="n"/>
      <c r="K1753" s="12" t="n"/>
      <c r="L1753" s="13">
        <f>IF($K1753="","",IFERROR(INDEX(Dept_Names,MATCH($K1753,Dept_Codes,0)),"NOT FOUND"))</f>
        <v/>
      </c>
      <c r="M1753" s="12" t="n"/>
      <c r="N1753" s="13">
        <f>IF($M1753="","",IFERROR(INDEX(Desig_Names,MATCH($M1753,Desig_Codes,0)),"NOT FOUND"))</f>
        <v/>
      </c>
      <c r="O1753" s="13">
        <f>IF($M1753="","",IFERROR(INDEX(Desig_Levels,MATCH($M1753,Desig_Codes,0)),""))</f>
        <v/>
      </c>
      <c r="P1753" s="12" t="n"/>
      <c r="Q1753" s="12" t="n"/>
      <c r="R1753" s="12" t="n"/>
      <c r="S1753" s="13">
        <f>IF($R1753="","",IFERROR(INDEX(Emp_Names,MATCH($R1753,Emp_Codes,0)),"NOT FOUND"))</f>
        <v/>
      </c>
      <c r="T1753" s="12" t="n"/>
      <c r="U1753" s="12" t="n"/>
      <c r="V1753" s="12" t="n"/>
    </row>
    <row r="1754">
      <c r="A1754" s="12" t="n"/>
      <c r="B1754" s="12" t="n"/>
      <c r="C1754" s="12" t="n"/>
      <c r="D1754" s="13">
        <f>IF($A1754="","",TRIM($B1754&amp;" "&amp;$C1754))</f>
        <v/>
      </c>
      <c r="E1754" s="12" t="n"/>
      <c r="F1754" s="12" t="n"/>
      <c r="G1754" s="14" t="n"/>
      <c r="H1754" s="14" t="n"/>
      <c r="I1754" s="12" t="n"/>
      <c r="J1754" s="14" t="n"/>
      <c r="K1754" s="12" t="n"/>
      <c r="L1754" s="13">
        <f>IF($K1754="","",IFERROR(INDEX(Dept_Names,MATCH($K1754,Dept_Codes,0)),"NOT FOUND"))</f>
        <v/>
      </c>
      <c r="M1754" s="12" t="n"/>
      <c r="N1754" s="13">
        <f>IF($M1754="","",IFERROR(INDEX(Desig_Names,MATCH($M1754,Desig_Codes,0)),"NOT FOUND"))</f>
        <v/>
      </c>
      <c r="O1754" s="13">
        <f>IF($M1754="","",IFERROR(INDEX(Desig_Levels,MATCH($M1754,Desig_Codes,0)),""))</f>
        <v/>
      </c>
      <c r="P1754" s="12" t="n"/>
      <c r="Q1754" s="12" t="n"/>
      <c r="R1754" s="12" t="n"/>
      <c r="S1754" s="13">
        <f>IF($R1754="","",IFERROR(INDEX(Emp_Names,MATCH($R1754,Emp_Codes,0)),"NOT FOUND"))</f>
        <v/>
      </c>
      <c r="T1754" s="12" t="n"/>
      <c r="U1754" s="12" t="n"/>
      <c r="V1754" s="12" t="n"/>
    </row>
    <row r="1755">
      <c r="A1755" s="12" t="n"/>
      <c r="B1755" s="12" t="n"/>
      <c r="C1755" s="12" t="n"/>
      <c r="D1755" s="13">
        <f>IF($A1755="","",TRIM($B1755&amp;" "&amp;$C1755))</f>
        <v/>
      </c>
      <c r="E1755" s="12" t="n"/>
      <c r="F1755" s="12" t="n"/>
      <c r="G1755" s="14" t="n"/>
      <c r="H1755" s="14" t="n"/>
      <c r="I1755" s="12" t="n"/>
      <c r="J1755" s="14" t="n"/>
      <c r="K1755" s="12" t="n"/>
      <c r="L1755" s="13">
        <f>IF($K1755="","",IFERROR(INDEX(Dept_Names,MATCH($K1755,Dept_Codes,0)),"NOT FOUND"))</f>
        <v/>
      </c>
      <c r="M1755" s="12" t="n"/>
      <c r="N1755" s="13">
        <f>IF($M1755="","",IFERROR(INDEX(Desig_Names,MATCH($M1755,Desig_Codes,0)),"NOT FOUND"))</f>
        <v/>
      </c>
      <c r="O1755" s="13">
        <f>IF($M1755="","",IFERROR(INDEX(Desig_Levels,MATCH($M1755,Desig_Codes,0)),""))</f>
        <v/>
      </c>
      <c r="P1755" s="12" t="n"/>
      <c r="Q1755" s="12" t="n"/>
      <c r="R1755" s="12" t="n"/>
      <c r="S1755" s="13">
        <f>IF($R1755="","",IFERROR(INDEX(Emp_Names,MATCH($R1755,Emp_Codes,0)),"NOT FOUND"))</f>
        <v/>
      </c>
      <c r="T1755" s="12" t="n"/>
      <c r="U1755" s="12" t="n"/>
      <c r="V1755" s="12" t="n"/>
    </row>
    <row r="1756">
      <c r="A1756" s="12" t="n"/>
      <c r="B1756" s="12" t="n"/>
      <c r="C1756" s="12" t="n"/>
      <c r="D1756" s="13">
        <f>IF($A1756="","",TRIM($B1756&amp;" "&amp;$C1756))</f>
        <v/>
      </c>
      <c r="E1756" s="12" t="n"/>
      <c r="F1756" s="12" t="n"/>
      <c r="G1756" s="14" t="n"/>
      <c r="H1756" s="14" t="n"/>
      <c r="I1756" s="12" t="n"/>
      <c r="J1756" s="14" t="n"/>
      <c r="K1756" s="12" t="n"/>
      <c r="L1756" s="13">
        <f>IF($K1756="","",IFERROR(INDEX(Dept_Names,MATCH($K1756,Dept_Codes,0)),"NOT FOUND"))</f>
        <v/>
      </c>
      <c r="M1756" s="12" t="n"/>
      <c r="N1756" s="13">
        <f>IF($M1756="","",IFERROR(INDEX(Desig_Names,MATCH($M1756,Desig_Codes,0)),"NOT FOUND"))</f>
        <v/>
      </c>
      <c r="O1756" s="13">
        <f>IF($M1756="","",IFERROR(INDEX(Desig_Levels,MATCH($M1756,Desig_Codes,0)),""))</f>
        <v/>
      </c>
      <c r="P1756" s="12" t="n"/>
      <c r="Q1756" s="12" t="n"/>
      <c r="R1756" s="12" t="n"/>
      <c r="S1756" s="13">
        <f>IF($R1756="","",IFERROR(INDEX(Emp_Names,MATCH($R1756,Emp_Codes,0)),"NOT FOUND"))</f>
        <v/>
      </c>
      <c r="T1756" s="12" t="n"/>
      <c r="U1756" s="12" t="n"/>
      <c r="V1756" s="12" t="n"/>
    </row>
    <row r="1757">
      <c r="A1757" s="12" t="n"/>
      <c r="B1757" s="12" t="n"/>
      <c r="C1757" s="12" t="n"/>
      <c r="D1757" s="13">
        <f>IF($A1757="","",TRIM($B1757&amp;" "&amp;$C1757))</f>
        <v/>
      </c>
      <c r="E1757" s="12" t="n"/>
      <c r="F1757" s="12" t="n"/>
      <c r="G1757" s="14" t="n"/>
      <c r="H1757" s="14" t="n"/>
      <c r="I1757" s="12" t="n"/>
      <c r="J1757" s="14" t="n"/>
      <c r="K1757" s="12" t="n"/>
      <c r="L1757" s="13">
        <f>IF($K1757="","",IFERROR(INDEX(Dept_Names,MATCH($K1757,Dept_Codes,0)),"NOT FOUND"))</f>
        <v/>
      </c>
      <c r="M1757" s="12" t="n"/>
      <c r="N1757" s="13">
        <f>IF($M1757="","",IFERROR(INDEX(Desig_Names,MATCH($M1757,Desig_Codes,0)),"NOT FOUND"))</f>
        <v/>
      </c>
      <c r="O1757" s="13">
        <f>IF($M1757="","",IFERROR(INDEX(Desig_Levels,MATCH($M1757,Desig_Codes,0)),""))</f>
        <v/>
      </c>
      <c r="P1757" s="12" t="n"/>
      <c r="Q1757" s="12" t="n"/>
      <c r="R1757" s="12" t="n"/>
      <c r="S1757" s="13">
        <f>IF($R1757="","",IFERROR(INDEX(Emp_Names,MATCH($R1757,Emp_Codes,0)),"NOT FOUND"))</f>
        <v/>
      </c>
      <c r="T1757" s="12" t="n"/>
      <c r="U1757" s="12" t="n"/>
      <c r="V1757" s="12" t="n"/>
    </row>
    <row r="1758">
      <c r="A1758" s="12" t="n"/>
      <c r="B1758" s="12" t="n"/>
      <c r="C1758" s="12" t="n"/>
      <c r="D1758" s="13">
        <f>IF($A1758="","",TRIM($B1758&amp;" "&amp;$C1758))</f>
        <v/>
      </c>
      <c r="E1758" s="12" t="n"/>
      <c r="F1758" s="12" t="n"/>
      <c r="G1758" s="14" t="n"/>
      <c r="H1758" s="14" t="n"/>
      <c r="I1758" s="12" t="n"/>
      <c r="J1758" s="14" t="n"/>
      <c r="K1758" s="12" t="n"/>
      <c r="L1758" s="13">
        <f>IF($K1758="","",IFERROR(INDEX(Dept_Names,MATCH($K1758,Dept_Codes,0)),"NOT FOUND"))</f>
        <v/>
      </c>
      <c r="M1758" s="12" t="n"/>
      <c r="N1758" s="13">
        <f>IF($M1758="","",IFERROR(INDEX(Desig_Names,MATCH($M1758,Desig_Codes,0)),"NOT FOUND"))</f>
        <v/>
      </c>
      <c r="O1758" s="13">
        <f>IF($M1758="","",IFERROR(INDEX(Desig_Levels,MATCH($M1758,Desig_Codes,0)),""))</f>
        <v/>
      </c>
      <c r="P1758" s="12" t="n"/>
      <c r="Q1758" s="12" t="n"/>
      <c r="R1758" s="12" t="n"/>
      <c r="S1758" s="13">
        <f>IF($R1758="","",IFERROR(INDEX(Emp_Names,MATCH($R1758,Emp_Codes,0)),"NOT FOUND"))</f>
        <v/>
      </c>
      <c r="T1758" s="12" t="n"/>
      <c r="U1758" s="12" t="n"/>
      <c r="V1758" s="12" t="n"/>
    </row>
    <row r="1759">
      <c r="A1759" s="12" t="n"/>
      <c r="B1759" s="12" t="n"/>
      <c r="C1759" s="12" t="n"/>
      <c r="D1759" s="13">
        <f>IF($A1759="","",TRIM($B1759&amp;" "&amp;$C1759))</f>
        <v/>
      </c>
      <c r="E1759" s="12" t="n"/>
      <c r="F1759" s="12" t="n"/>
      <c r="G1759" s="14" t="n"/>
      <c r="H1759" s="14" t="n"/>
      <c r="I1759" s="12" t="n"/>
      <c r="J1759" s="14" t="n"/>
      <c r="K1759" s="12" t="n"/>
      <c r="L1759" s="13">
        <f>IF($K1759="","",IFERROR(INDEX(Dept_Names,MATCH($K1759,Dept_Codes,0)),"NOT FOUND"))</f>
        <v/>
      </c>
      <c r="M1759" s="12" t="n"/>
      <c r="N1759" s="13">
        <f>IF($M1759="","",IFERROR(INDEX(Desig_Names,MATCH($M1759,Desig_Codes,0)),"NOT FOUND"))</f>
        <v/>
      </c>
      <c r="O1759" s="13">
        <f>IF($M1759="","",IFERROR(INDEX(Desig_Levels,MATCH($M1759,Desig_Codes,0)),""))</f>
        <v/>
      </c>
      <c r="P1759" s="12" t="n"/>
      <c r="Q1759" s="12" t="n"/>
      <c r="R1759" s="12" t="n"/>
      <c r="S1759" s="13">
        <f>IF($R1759="","",IFERROR(INDEX(Emp_Names,MATCH($R1759,Emp_Codes,0)),"NOT FOUND"))</f>
        <v/>
      </c>
      <c r="T1759" s="12" t="n"/>
      <c r="U1759" s="12" t="n"/>
      <c r="V1759" s="12" t="n"/>
    </row>
    <row r="1760">
      <c r="A1760" s="12" t="n"/>
      <c r="B1760" s="12" t="n"/>
      <c r="C1760" s="12" t="n"/>
      <c r="D1760" s="13">
        <f>IF($A1760="","",TRIM($B1760&amp;" "&amp;$C1760))</f>
        <v/>
      </c>
      <c r="E1760" s="12" t="n"/>
      <c r="F1760" s="12" t="n"/>
      <c r="G1760" s="14" t="n"/>
      <c r="H1760" s="14" t="n"/>
      <c r="I1760" s="12" t="n"/>
      <c r="J1760" s="14" t="n"/>
      <c r="K1760" s="12" t="n"/>
      <c r="L1760" s="13">
        <f>IF($K1760="","",IFERROR(INDEX(Dept_Names,MATCH($K1760,Dept_Codes,0)),"NOT FOUND"))</f>
        <v/>
      </c>
      <c r="M1760" s="12" t="n"/>
      <c r="N1760" s="13">
        <f>IF($M1760="","",IFERROR(INDEX(Desig_Names,MATCH($M1760,Desig_Codes,0)),"NOT FOUND"))</f>
        <v/>
      </c>
      <c r="O1760" s="13">
        <f>IF($M1760="","",IFERROR(INDEX(Desig_Levels,MATCH($M1760,Desig_Codes,0)),""))</f>
        <v/>
      </c>
      <c r="P1760" s="12" t="n"/>
      <c r="Q1760" s="12" t="n"/>
      <c r="R1760" s="12" t="n"/>
      <c r="S1760" s="13">
        <f>IF($R1760="","",IFERROR(INDEX(Emp_Names,MATCH($R1760,Emp_Codes,0)),"NOT FOUND"))</f>
        <v/>
      </c>
      <c r="T1760" s="12" t="n"/>
      <c r="U1760" s="12" t="n"/>
      <c r="V1760" s="12" t="n"/>
    </row>
    <row r="1761">
      <c r="A1761" s="12" t="n"/>
      <c r="B1761" s="12" t="n"/>
      <c r="C1761" s="12" t="n"/>
      <c r="D1761" s="13">
        <f>IF($A1761="","",TRIM($B1761&amp;" "&amp;$C1761))</f>
        <v/>
      </c>
      <c r="E1761" s="12" t="n"/>
      <c r="F1761" s="12" t="n"/>
      <c r="G1761" s="14" t="n"/>
      <c r="H1761" s="14" t="n"/>
      <c r="I1761" s="12" t="n"/>
      <c r="J1761" s="14" t="n"/>
      <c r="K1761" s="12" t="n"/>
      <c r="L1761" s="13">
        <f>IF($K1761="","",IFERROR(INDEX(Dept_Names,MATCH($K1761,Dept_Codes,0)),"NOT FOUND"))</f>
        <v/>
      </c>
      <c r="M1761" s="12" t="n"/>
      <c r="N1761" s="13">
        <f>IF($M1761="","",IFERROR(INDEX(Desig_Names,MATCH($M1761,Desig_Codes,0)),"NOT FOUND"))</f>
        <v/>
      </c>
      <c r="O1761" s="13">
        <f>IF($M1761="","",IFERROR(INDEX(Desig_Levels,MATCH($M1761,Desig_Codes,0)),""))</f>
        <v/>
      </c>
      <c r="P1761" s="12" t="n"/>
      <c r="Q1761" s="12" t="n"/>
      <c r="R1761" s="12" t="n"/>
      <c r="S1761" s="13">
        <f>IF($R1761="","",IFERROR(INDEX(Emp_Names,MATCH($R1761,Emp_Codes,0)),"NOT FOUND"))</f>
        <v/>
      </c>
      <c r="T1761" s="12" t="n"/>
      <c r="U1761" s="12" t="n"/>
      <c r="V1761" s="12" t="n"/>
    </row>
    <row r="1762">
      <c r="A1762" s="12" t="n"/>
      <c r="B1762" s="12" t="n"/>
      <c r="C1762" s="12" t="n"/>
      <c r="D1762" s="13">
        <f>IF($A1762="","",TRIM($B1762&amp;" "&amp;$C1762))</f>
        <v/>
      </c>
      <c r="E1762" s="12" t="n"/>
      <c r="F1762" s="12" t="n"/>
      <c r="G1762" s="14" t="n"/>
      <c r="H1762" s="14" t="n"/>
      <c r="I1762" s="12" t="n"/>
      <c r="J1762" s="14" t="n"/>
      <c r="K1762" s="12" t="n"/>
      <c r="L1762" s="13">
        <f>IF($K1762="","",IFERROR(INDEX(Dept_Names,MATCH($K1762,Dept_Codes,0)),"NOT FOUND"))</f>
        <v/>
      </c>
      <c r="M1762" s="12" t="n"/>
      <c r="N1762" s="13">
        <f>IF($M1762="","",IFERROR(INDEX(Desig_Names,MATCH($M1762,Desig_Codes,0)),"NOT FOUND"))</f>
        <v/>
      </c>
      <c r="O1762" s="13">
        <f>IF($M1762="","",IFERROR(INDEX(Desig_Levels,MATCH($M1762,Desig_Codes,0)),""))</f>
        <v/>
      </c>
      <c r="P1762" s="12" t="n"/>
      <c r="Q1762" s="12" t="n"/>
      <c r="R1762" s="12" t="n"/>
      <c r="S1762" s="13">
        <f>IF($R1762="","",IFERROR(INDEX(Emp_Names,MATCH($R1762,Emp_Codes,0)),"NOT FOUND"))</f>
        <v/>
      </c>
      <c r="T1762" s="12" t="n"/>
      <c r="U1762" s="12" t="n"/>
      <c r="V1762" s="12" t="n"/>
    </row>
    <row r="1763">
      <c r="A1763" s="12" t="n"/>
      <c r="B1763" s="12" t="n"/>
      <c r="C1763" s="12" t="n"/>
      <c r="D1763" s="13">
        <f>IF($A1763="","",TRIM($B1763&amp;" "&amp;$C1763))</f>
        <v/>
      </c>
      <c r="E1763" s="12" t="n"/>
      <c r="F1763" s="12" t="n"/>
      <c r="G1763" s="14" t="n"/>
      <c r="H1763" s="14" t="n"/>
      <c r="I1763" s="12" t="n"/>
      <c r="J1763" s="14" t="n"/>
      <c r="K1763" s="12" t="n"/>
      <c r="L1763" s="13">
        <f>IF($K1763="","",IFERROR(INDEX(Dept_Names,MATCH($K1763,Dept_Codes,0)),"NOT FOUND"))</f>
        <v/>
      </c>
      <c r="M1763" s="12" t="n"/>
      <c r="N1763" s="13">
        <f>IF($M1763="","",IFERROR(INDEX(Desig_Names,MATCH($M1763,Desig_Codes,0)),"NOT FOUND"))</f>
        <v/>
      </c>
      <c r="O1763" s="13">
        <f>IF($M1763="","",IFERROR(INDEX(Desig_Levels,MATCH($M1763,Desig_Codes,0)),""))</f>
        <v/>
      </c>
      <c r="P1763" s="12" t="n"/>
      <c r="Q1763" s="12" t="n"/>
      <c r="R1763" s="12" t="n"/>
      <c r="S1763" s="13">
        <f>IF($R1763="","",IFERROR(INDEX(Emp_Names,MATCH($R1763,Emp_Codes,0)),"NOT FOUND"))</f>
        <v/>
      </c>
      <c r="T1763" s="12" t="n"/>
      <c r="U1763" s="12" t="n"/>
      <c r="V1763" s="12" t="n"/>
    </row>
    <row r="1764">
      <c r="A1764" s="12" t="n"/>
      <c r="B1764" s="12" t="n"/>
      <c r="C1764" s="12" t="n"/>
      <c r="D1764" s="13">
        <f>IF($A1764="","",TRIM($B1764&amp;" "&amp;$C1764))</f>
        <v/>
      </c>
      <c r="E1764" s="12" t="n"/>
      <c r="F1764" s="12" t="n"/>
      <c r="G1764" s="14" t="n"/>
      <c r="H1764" s="14" t="n"/>
      <c r="I1764" s="12" t="n"/>
      <c r="J1764" s="14" t="n"/>
      <c r="K1764" s="12" t="n"/>
      <c r="L1764" s="13">
        <f>IF($K1764="","",IFERROR(INDEX(Dept_Names,MATCH($K1764,Dept_Codes,0)),"NOT FOUND"))</f>
        <v/>
      </c>
      <c r="M1764" s="12" t="n"/>
      <c r="N1764" s="13">
        <f>IF($M1764="","",IFERROR(INDEX(Desig_Names,MATCH($M1764,Desig_Codes,0)),"NOT FOUND"))</f>
        <v/>
      </c>
      <c r="O1764" s="13">
        <f>IF($M1764="","",IFERROR(INDEX(Desig_Levels,MATCH($M1764,Desig_Codes,0)),""))</f>
        <v/>
      </c>
      <c r="P1764" s="12" t="n"/>
      <c r="Q1764" s="12" t="n"/>
      <c r="R1764" s="12" t="n"/>
      <c r="S1764" s="13">
        <f>IF($R1764="","",IFERROR(INDEX(Emp_Names,MATCH($R1764,Emp_Codes,0)),"NOT FOUND"))</f>
        <v/>
      </c>
      <c r="T1764" s="12" t="n"/>
      <c r="U1764" s="12" t="n"/>
      <c r="V1764" s="12" t="n"/>
    </row>
    <row r="1765">
      <c r="A1765" s="12" t="n"/>
      <c r="B1765" s="12" t="n"/>
      <c r="C1765" s="12" t="n"/>
      <c r="D1765" s="13">
        <f>IF($A1765="","",TRIM($B1765&amp;" "&amp;$C1765))</f>
        <v/>
      </c>
      <c r="E1765" s="12" t="n"/>
      <c r="F1765" s="12" t="n"/>
      <c r="G1765" s="14" t="n"/>
      <c r="H1765" s="14" t="n"/>
      <c r="I1765" s="12" t="n"/>
      <c r="J1765" s="14" t="n"/>
      <c r="K1765" s="12" t="n"/>
      <c r="L1765" s="13">
        <f>IF($K1765="","",IFERROR(INDEX(Dept_Names,MATCH($K1765,Dept_Codes,0)),"NOT FOUND"))</f>
        <v/>
      </c>
      <c r="M1765" s="12" t="n"/>
      <c r="N1765" s="13">
        <f>IF($M1765="","",IFERROR(INDEX(Desig_Names,MATCH($M1765,Desig_Codes,0)),"NOT FOUND"))</f>
        <v/>
      </c>
      <c r="O1765" s="13">
        <f>IF($M1765="","",IFERROR(INDEX(Desig_Levels,MATCH($M1765,Desig_Codes,0)),""))</f>
        <v/>
      </c>
      <c r="P1765" s="12" t="n"/>
      <c r="Q1765" s="12" t="n"/>
      <c r="R1765" s="12" t="n"/>
      <c r="S1765" s="13">
        <f>IF($R1765="","",IFERROR(INDEX(Emp_Names,MATCH($R1765,Emp_Codes,0)),"NOT FOUND"))</f>
        <v/>
      </c>
      <c r="T1765" s="12" t="n"/>
      <c r="U1765" s="12" t="n"/>
      <c r="V1765" s="12" t="n"/>
    </row>
    <row r="1766">
      <c r="A1766" s="12" t="n"/>
      <c r="B1766" s="12" t="n"/>
      <c r="C1766" s="12" t="n"/>
      <c r="D1766" s="13">
        <f>IF($A1766="","",TRIM($B1766&amp;" "&amp;$C1766))</f>
        <v/>
      </c>
      <c r="E1766" s="12" t="n"/>
      <c r="F1766" s="12" t="n"/>
      <c r="G1766" s="14" t="n"/>
      <c r="H1766" s="14" t="n"/>
      <c r="I1766" s="12" t="n"/>
      <c r="J1766" s="14" t="n"/>
      <c r="K1766" s="12" t="n"/>
      <c r="L1766" s="13">
        <f>IF($K1766="","",IFERROR(INDEX(Dept_Names,MATCH($K1766,Dept_Codes,0)),"NOT FOUND"))</f>
        <v/>
      </c>
      <c r="M1766" s="12" t="n"/>
      <c r="N1766" s="13">
        <f>IF($M1766="","",IFERROR(INDEX(Desig_Names,MATCH($M1766,Desig_Codes,0)),"NOT FOUND"))</f>
        <v/>
      </c>
      <c r="O1766" s="13">
        <f>IF($M1766="","",IFERROR(INDEX(Desig_Levels,MATCH($M1766,Desig_Codes,0)),""))</f>
        <v/>
      </c>
      <c r="P1766" s="12" t="n"/>
      <c r="Q1766" s="12" t="n"/>
      <c r="R1766" s="12" t="n"/>
      <c r="S1766" s="13">
        <f>IF($R1766="","",IFERROR(INDEX(Emp_Names,MATCH($R1766,Emp_Codes,0)),"NOT FOUND"))</f>
        <v/>
      </c>
      <c r="T1766" s="12" t="n"/>
      <c r="U1766" s="12" t="n"/>
      <c r="V1766" s="12" t="n"/>
    </row>
    <row r="1767">
      <c r="A1767" s="12" t="n"/>
      <c r="B1767" s="12" t="n"/>
      <c r="C1767" s="12" t="n"/>
      <c r="D1767" s="13">
        <f>IF($A1767="","",TRIM($B1767&amp;" "&amp;$C1767))</f>
        <v/>
      </c>
      <c r="E1767" s="12" t="n"/>
      <c r="F1767" s="12" t="n"/>
      <c r="G1767" s="14" t="n"/>
      <c r="H1767" s="14" t="n"/>
      <c r="I1767" s="12" t="n"/>
      <c r="J1767" s="14" t="n"/>
      <c r="K1767" s="12" t="n"/>
      <c r="L1767" s="13">
        <f>IF($K1767="","",IFERROR(INDEX(Dept_Names,MATCH($K1767,Dept_Codes,0)),"NOT FOUND"))</f>
        <v/>
      </c>
      <c r="M1767" s="12" t="n"/>
      <c r="N1767" s="13">
        <f>IF($M1767="","",IFERROR(INDEX(Desig_Names,MATCH($M1767,Desig_Codes,0)),"NOT FOUND"))</f>
        <v/>
      </c>
      <c r="O1767" s="13">
        <f>IF($M1767="","",IFERROR(INDEX(Desig_Levels,MATCH($M1767,Desig_Codes,0)),""))</f>
        <v/>
      </c>
      <c r="P1767" s="12" t="n"/>
      <c r="Q1767" s="12" t="n"/>
      <c r="R1767" s="12" t="n"/>
      <c r="S1767" s="13">
        <f>IF($R1767="","",IFERROR(INDEX(Emp_Names,MATCH($R1767,Emp_Codes,0)),"NOT FOUND"))</f>
        <v/>
      </c>
      <c r="T1767" s="12" t="n"/>
      <c r="U1767" s="12" t="n"/>
      <c r="V1767" s="12" t="n"/>
    </row>
    <row r="1768">
      <c r="A1768" s="12" t="n"/>
      <c r="B1768" s="12" t="n"/>
      <c r="C1768" s="12" t="n"/>
      <c r="D1768" s="13">
        <f>IF($A1768="","",TRIM($B1768&amp;" "&amp;$C1768))</f>
        <v/>
      </c>
      <c r="E1768" s="12" t="n"/>
      <c r="F1768" s="12" t="n"/>
      <c r="G1768" s="14" t="n"/>
      <c r="H1768" s="14" t="n"/>
      <c r="I1768" s="12" t="n"/>
      <c r="J1768" s="14" t="n"/>
      <c r="K1768" s="12" t="n"/>
      <c r="L1768" s="13">
        <f>IF($K1768="","",IFERROR(INDEX(Dept_Names,MATCH($K1768,Dept_Codes,0)),"NOT FOUND"))</f>
        <v/>
      </c>
      <c r="M1768" s="12" t="n"/>
      <c r="N1768" s="13">
        <f>IF($M1768="","",IFERROR(INDEX(Desig_Names,MATCH($M1768,Desig_Codes,0)),"NOT FOUND"))</f>
        <v/>
      </c>
      <c r="O1768" s="13">
        <f>IF($M1768="","",IFERROR(INDEX(Desig_Levels,MATCH($M1768,Desig_Codes,0)),""))</f>
        <v/>
      </c>
      <c r="P1768" s="12" t="n"/>
      <c r="Q1768" s="12" t="n"/>
      <c r="R1768" s="12" t="n"/>
      <c r="S1768" s="13">
        <f>IF($R1768="","",IFERROR(INDEX(Emp_Names,MATCH($R1768,Emp_Codes,0)),"NOT FOUND"))</f>
        <v/>
      </c>
      <c r="T1768" s="12" t="n"/>
      <c r="U1768" s="12" t="n"/>
      <c r="V1768" s="12" t="n"/>
    </row>
    <row r="1769">
      <c r="A1769" s="12" t="n"/>
      <c r="B1769" s="12" t="n"/>
      <c r="C1769" s="12" t="n"/>
      <c r="D1769" s="13">
        <f>IF($A1769="","",TRIM($B1769&amp;" "&amp;$C1769))</f>
        <v/>
      </c>
      <c r="E1769" s="12" t="n"/>
      <c r="F1769" s="12" t="n"/>
      <c r="G1769" s="14" t="n"/>
      <c r="H1769" s="14" t="n"/>
      <c r="I1769" s="12" t="n"/>
      <c r="J1769" s="14" t="n"/>
      <c r="K1769" s="12" t="n"/>
      <c r="L1769" s="13">
        <f>IF($K1769="","",IFERROR(INDEX(Dept_Names,MATCH($K1769,Dept_Codes,0)),"NOT FOUND"))</f>
        <v/>
      </c>
      <c r="M1769" s="12" t="n"/>
      <c r="N1769" s="13">
        <f>IF($M1769="","",IFERROR(INDEX(Desig_Names,MATCH($M1769,Desig_Codes,0)),"NOT FOUND"))</f>
        <v/>
      </c>
      <c r="O1769" s="13">
        <f>IF($M1769="","",IFERROR(INDEX(Desig_Levels,MATCH($M1769,Desig_Codes,0)),""))</f>
        <v/>
      </c>
      <c r="P1769" s="12" t="n"/>
      <c r="Q1769" s="12" t="n"/>
      <c r="R1769" s="12" t="n"/>
      <c r="S1769" s="13">
        <f>IF($R1769="","",IFERROR(INDEX(Emp_Names,MATCH($R1769,Emp_Codes,0)),"NOT FOUND"))</f>
        <v/>
      </c>
      <c r="T1769" s="12" t="n"/>
      <c r="U1769" s="12" t="n"/>
      <c r="V1769" s="12" t="n"/>
    </row>
    <row r="1770">
      <c r="A1770" s="12" t="n"/>
      <c r="B1770" s="12" t="n"/>
      <c r="C1770" s="12" t="n"/>
      <c r="D1770" s="13">
        <f>IF($A1770="","",TRIM($B1770&amp;" "&amp;$C1770))</f>
        <v/>
      </c>
      <c r="E1770" s="12" t="n"/>
      <c r="F1770" s="12" t="n"/>
      <c r="G1770" s="14" t="n"/>
      <c r="H1770" s="14" t="n"/>
      <c r="I1770" s="12" t="n"/>
      <c r="J1770" s="14" t="n"/>
      <c r="K1770" s="12" t="n"/>
      <c r="L1770" s="13">
        <f>IF($K1770="","",IFERROR(INDEX(Dept_Names,MATCH($K1770,Dept_Codes,0)),"NOT FOUND"))</f>
        <v/>
      </c>
      <c r="M1770" s="12" t="n"/>
      <c r="N1770" s="13">
        <f>IF($M1770="","",IFERROR(INDEX(Desig_Names,MATCH($M1770,Desig_Codes,0)),"NOT FOUND"))</f>
        <v/>
      </c>
      <c r="O1770" s="13">
        <f>IF($M1770="","",IFERROR(INDEX(Desig_Levels,MATCH($M1770,Desig_Codes,0)),""))</f>
        <v/>
      </c>
      <c r="P1770" s="12" t="n"/>
      <c r="Q1770" s="12" t="n"/>
      <c r="R1770" s="12" t="n"/>
      <c r="S1770" s="13">
        <f>IF($R1770="","",IFERROR(INDEX(Emp_Names,MATCH($R1770,Emp_Codes,0)),"NOT FOUND"))</f>
        <v/>
      </c>
      <c r="T1770" s="12" t="n"/>
      <c r="U1770" s="12" t="n"/>
      <c r="V1770" s="12" t="n"/>
    </row>
    <row r="1771">
      <c r="A1771" s="12" t="n"/>
      <c r="B1771" s="12" t="n"/>
      <c r="C1771" s="12" t="n"/>
      <c r="D1771" s="13">
        <f>IF($A1771="","",TRIM($B1771&amp;" "&amp;$C1771))</f>
        <v/>
      </c>
      <c r="E1771" s="12" t="n"/>
      <c r="F1771" s="12" t="n"/>
      <c r="G1771" s="14" t="n"/>
      <c r="H1771" s="14" t="n"/>
      <c r="I1771" s="12" t="n"/>
      <c r="J1771" s="14" t="n"/>
      <c r="K1771" s="12" t="n"/>
      <c r="L1771" s="13">
        <f>IF($K1771="","",IFERROR(INDEX(Dept_Names,MATCH($K1771,Dept_Codes,0)),"NOT FOUND"))</f>
        <v/>
      </c>
      <c r="M1771" s="12" t="n"/>
      <c r="N1771" s="13">
        <f>IF($M1771="","",IFERROR(INDEX(Desig_Names,MATCH($M1771,Desig_Codes,0)),"NOT FOUND"))</f>
        <v/>
      </c>
      <c r="O1771" s="13">
        <f>IF($M1771="","",IFERROR(INDEX(Desig_Levels,MATCH($M1771,Desig_Codes,0)),""))</f>
        <v/>
      </c>
      <c r="P1771" s="12" t="n"/>
      <c r="Q1771" s="12" t="n"/>
      <c r="R1771" s="12" t="n"/>
      <c r="S1771" s="13">
        <f>IF($R1771="","",IFERROR(INDEX(Emp_Names,MATCH($R1771,Emp_Codes,0)),"NOT FOUND"))</f>
        <v/>
      </c>
      <c r="T1771" s="12" t="n"/>
      <c r="U1771" s="12" t="n"/>
      <c r="V1771" s="12" t="n"/>
    </row>
    <row r="1772">
      <c r="A1772" s="12" t="n"/>
      <c r="B1772" s="12" t="n"/>
      <c r="C1772" s="12" t="n"/>
      <c r="D1772" s="13">
        <f>IF($A1772="","",TRIM($B1772&amp;" "&amp;$C1772))</f>
        <v/>
      </c>
      <c r="E1772" s="12" t="n"/>
      <c r="F1772" s="12" t="n"/>
      <c r="G1772" s="14" t="n"/>
      <c r="H1772" s="14" t="n"/>
      <c r="I1772" s="12" t="n"/>
      <c r="J1772" s="14" t="n"/>
      <c r="K1772" s="12" t="n"/>
      <c r="L1772" s="13">
        <f>IF($K1772="","",IFERROR(INDEX(Dept_Names,MATCH($K1772,Dept_Codes,0)),"NOT FOUND"))</f>
        <v/>
      </c>
      <c r="M1772" s="12" t="n"/>
      <c r="N1772" s="13">
        <f>IF($M1772="","",IFERROR(INDEX(Desig_Names,MATCH($M1772,Desig_Codes,0)),"NOT FOUND"))</f>
        <v/>
      </c>
      <c r="O1772" s="13">
        <f>IF($M1772="","",IFERROR(INDEX(Desig_Levels,MATCH($M1772,Desig_Codes,0)),""))</f>
        <v/>
      </c>
      <c r="P1772" s="12" t="n"/>
      <c r="Q1772" s="12" t="n"/>
      <c r="R1772" s="12" t="n"/>
      <c r="S1772" s="13">
        <f>IF($R1772="","",IFERROR(INDEX(Emp_Names,MATCH($R1772,Emp_Codes,0)),"NOT FOUND"))</f>
        <v/>
      </c>
      <c r="T1772" s="12" t="n"/>
      <c r="U1772" s="12" t="n"/>
      <c r="V1772" s="12" t="n"/>
    </row>
    <row r="1773">
      <c r="A1773" s="12" t="n"/>
      <c r="B1773" s="12" t="n"/>
      <c r="C1773" s="12" t="n"/>
      <c r="D1773" s="13">
        <f>IF($A1773="","",TRIM($B1773&amp;" "&amp;$C1773))</f>
        <v/>
      </c>
      <c r="E1773" s="12" t="n"/>
      <c r="F1773" s="12" t="n"/>
      <c r="G1773" s="14" t="n"/>
      <c r="H1773" s="14" t="n"/>
      <c r="I1773" s="12" t="n"/>
      <c r="J1773" s="14" t="n"/>
      <c r="K1773" s="12" t="n"/>
      <c r="L1773" s="13">
        <f>IF($K1773="","",IFERROR(INDEX(Dept_Names,MATCH($K1773,Dept_Codes,0)),"NOT FOUND"))</f>
        <v/>
      </c>
      <c r="M1773" s="12" t="n"/>
      <c r="N1773" s="13">
        <f>IF($M1773="","",IFERROR(INDEX(Desig_Names,MATCH($M1773,Desig_Codes,0)),"NOT FOUND"))</f>
        <v/>
      </c>
      <c r="O1773" s="13">
        <f>IF($M1773="","",IFERROR(INDEX(Desig_Levels,MATCH($M1773,Desig_Codes,0)),""))</f>
        <v/>
      </c>
      <c r="P1773" s="12" t="n"/>
      <c r="Q1773" s="12" t="n"/>
      <c r="R1773" s="12" t="n"/>
      <c r="S1773" s="13">
        <f>IF($R1773="","",IFERROR(INDEX(Emp_Names,MATCH($R1773,Emp_Codes,0)),"NOT FOUND"))</f>
        <v/>
      </c>
      <c r="T1773" s="12" t="n"/>
      <c r="U1773" s="12" t="n"/>
      <c r="V1773" s="12" t="n"/>
    </row>
    <row r="1774">
      <c r="A1774" s="12" t="n"/>
      <c r="B1774" s="12" t="n"/>
      <c r="C1774" s="12" t="n"/>
      <c r="D1774" s="13">
        <f>IF($A1774="","",TRIM($B1774&amp;" "&amp;$C1774))</f>
        <v/>
      </c>
      <c r="E1774" s="12" t="n"/>
      <c r="F1774" s="12" t="n"/>
      <c r="G1774" s="14" t="n"/>
      <c r="H1774" s="14" t="n"/>
      <c r="I1774" s="12" t="n"/>
      <c r="J1774" s="14" t="n"/>
      <c r="K1774" s="12" t="n"/>
      <c r="L1774" s="13">
        <f>IF($K1774="","",IFERROR(INDEX(Dept_Names,MATCH($K1774,Dept_Codes,0)),"NOT FOUND"))</f>
        <v/>
      </c>
      <c r="M1774" s="12" t="n"/>
      <c r="N1774" s="13">
        <f>IF($M1774="","",IFERROR(INDEX(Desig_Names,MATCH($M1774,Desig_Codes,0)),"NOT FOUND"))</f>
        <v/>
      </c>
      <c r="O1774" s="13">
        <f>IF($M1774="","",IFERROR(INDEX(Desig_Levels,MATCH($M1774,Desig_Codes,0)),""))</f>
        <v/>
      </c>
      <c r="P1774" s="12" t="n"/>
      <c r="Q1774" s="12" t="n"/>
      <c r="R1774" s="12" t="n"/>
      <c r="S1774" s="13">
        <f>IF($R1774="","",IFERROR(INDEX(Emp_Names,MATCH($R1774,Emp_Codes,0)),"NOT FOUND"))</f>
        <v/>
      </c>
      <c r="T1774" s="12" t="n"/>
      <c r="U1774" s="12" t="n"/>
      <c r="V1774" s="12" t="n"/>
    </row>
    <row r="1775">
      <c r="A1775" s="12" t="n"/>
      <c r="B1775" s="12" t="n"/>
      <c r="C1775" s="12" t="n"/>
      <c r="D1775" s="13">
        <f>IF($A1775="","",TRIM($B1775&amp;" "&amp;$C1775))</f>
        <v/>
      </c>
      <c r="E1775" s="12" t="n"/>
      <c r="F1775" s="12" t="n"/>
      <c r="G1775" s="14" t="n"/>
      <c r="H1775" s="14" t="n"/>
      <c r="I1775" s="12" t="n"/>
      <c r="J1775" s="14" t="n"/>
      <c r="K1775" s="12" t="n"/>
      <c r="L1775" s="13">
        <f>IF($K1775="","",IFERROR(INDEX(Dept_Names,MATCH($K1775,Dept_Codes,0)),"NOT FOUND"))</f>
        <v/>
      </c>
      <c r="M1775" s="12" t="n"/>
      <c r="N1775" s="13">
        <f>IF($M1775="","",IFERROR(INDEX(Desig_Names,MATCH($M1775,Desig_Codes,0)),"NOT FOUND"))</f>
        <v/>
      </c>
      <c r="O1775" s="13">
        <f>IF($M1775="","",IFERROR(INDEX(Desig_Levels,MATCH($M1775,Desig_Codes,0)),""))</f>
        <v/>
      </c>
      <c r="P1775" s="12" t="n"/>
      <c r="Q1775" s="12" t="n"/>
      <c r="R1775" s="12" t="n"/>
      <c r="S1775" s="13">
        <f>IF($R1775="","",IFERROR(INDEX(Emp_Names,MATCH($R1775,Emp_Codes,0)),"NOT FOUND"))</f>
        <v/>
      </c>
      <c r="T1775" s="12" t="n"/>
      <c r="U1775" s="12" t="n"/>
      <c r="V1775" s="12" t="n"/>
    </row>
    <row r="1776">
      <c r="A1776" s="12" t="n"/>
      <c r="B1776" s="12" t="n"/>
      <c r="C1776" s="12" t="n"/>
      <c r="D1776" s="13">
        <f>IF($A1776="","",TRIM($B1776&amp;" "&amp;$C1776))</f>
        <v/>
      </c>
      <c r="E1776" s="12" t="n"/>
      <c r="F1776" s="12" t="n"/>
      <c r="G1776" s="14" t="n"/>
      <c r="H1776" s="14" t="n"/>
      <c r="I1776" s="12" t="n"/>
      <c r="J1776" s="14" t="n"/>
      <c r="K1776" s="12" t="n"/>
      <c r="L1776" s="13">
        <f>IF($K1776="","",IFERROR(INDEX(Dept_Names,MATCH($K1776,Dept_Codes,0)),"NOT FOUND"))</f>
        <v/>
      </c>
      <c r="M1776" s="12" t="n"/>
      <c r="N1776" s="13">
        <f>IF($M1776="","",IFERROR(INDEX(Desig_Names,MATCH($M1776,Desig_Codes,0)),"NOT FOUND"))</f>
        <v/>
      </c>
      <c r="O1776" s="13">
        <f>IF($M1776="","",IFERROR(INDEX(Desig_Levels,MATCH($M1776,Desig_Codes,0)),""))</f>
        <v/>
      </c>
      <c r="P1776" s="12" t="n"/>
      <c r="Q1776" s="12" t="n"/>
      <c r="R1776" s="12" t="n"/>
      <c r="S1776" s="13">
        <f>IF($R1776="","",IFERROR(INDEX(Emp_Names,MATCH($R1776,Emp_Codes,0)),"NOT FOUND"))</f>
        <v/>
      </c>
      <c r="T1776" s="12" t="n"/>
      <c r="U1776" s="12" t="n"/>
      <c r="V1776" s="12" t="n"/>
    </row>
    <row r="1777">
      <c r="A1777" s="12" t="n"/>
      <c r="B1777" s="12" t="n"/>
      <c r="C1777" s="12" t="n"/>
      <c r="D1777" s="13">
        <f>IF($A1777="","",TRIM($B1777&amp;" "&amp;$C1777))</f>
        <v/>
      </c>
      <c r="E1777" s="12" t="n"/>
      <c r="F1777" s="12" t="n"/>
      <c r="G1777" s="14" t="n"/>
      <c r="H1777" s="14" t="n"/>
      <c r="I1777" s="12" t="n"/>
      <c r="J1777" s="14" t="n"/>
      <c r="K1777" s="12" t="n"/>
      <c r="L1777" s="13">
        <f>IF($K1777="","",IFERROR(INDEX(Dept_Names,MATCH($K1777,Dept_Codes,0)),"NOT FOUND"))</f>
        <v/>
      </c>
      <c r="M1777" s="12" t="n"/>
      <c r="N1777" s="13">
        <f>IF($M1777="","",IFERROR(INDEX(Desig_Names,MATCH($M1777,Desig_Codes,0)),"NOT FOUND"))</f>
        <v/>
      </c>
      <c r="O1777" s="13">
        <f>IF($M1777="","",IFERROR(INDEX(Desig_Levels,MATCH($M1777,Desig_Codes,0)),""))</f>
        <v/>
      </c>
      <c r="P1777" s="12" t="n"/>
      <c r="Q1777" s="12" t="n"/>
      <c r="R1777" s="12" t="n"/>
      <c r="S1777" s="13">
        <f>IF($R1777="","",IFERROR(INDEX(Emp_Names,MATCH($R1777,Emp_Codes,0)),"NOT FOUND"))</f>
        <v/>
      </c>
      <c r="T1777" s="12" t="n"/>
      <c r="U1777" s="12" t="n"/>
      <c r="V1777" s="12" t="n"/>
    </row>
    <row r="1778">
      <c r="A1778" s="12" t="n"/>
      <c r="B1778" s="12" t="n"/>
      <c r="C1778" s="12" t="n"/>
      <c r="D1778" s="13">
        <f>IF($A1778="","",TRIM($B1778&amp;" "&amp;$C1778))</f>
        <v/>
      </c>
      <c r="E1778" s="12" t="n"/>
      <c r="F1778" s="12" t="n"/>
      <c r="G1778" s="14" t="n"/>
      <c r="H1778" s="14" t="n"/>
      <c r="I1778" s="12" t="n"/>
      <c r="J1778" s="14" t="n"/>
      <c r="K1778" s="12" t="n"/>
      <c r="L1778" s="13">
        <f>IF($K1778="","",IFERROR(INDEX(Dept_Names,MATCH($K1778,Dept_Codes,0)),"NOT FOUND"))</f>
        <v/>
      </c>
      <c r="M1778" s="12" t="n"/>
      <c r="N1778" s="13">
        <f>IF($M1778="","",IFERROR(INDEX(Desig_Names,MATCH($M1778,Desig_Codes,0)),"NOT FOUND"))</f>
        <v/>
      </c>
      <c r="O1778" s="13">
        <f>IF($M1778="","",IFERROR(INDEX(Desig_Levels,MATCH($M1778,Desig_Codes,0)),""))</f>
        <v/>
      </c>
      <c r="P1778" s="12" t="n"/>
      <c r="Q1778" s="12" t="n"/>
      <c r="R1778" s="12" t="n"/>
      <c r="S1778" s="13">
        <f>IF($R1778="","",IFERROR(INDEX(Emp_Names,MATCH($R1778,Emp_Codes,0)),"NOT FOUND"))</f>
        <v/>
      </c>
      <c r="T1778" s="12" t="n"/>
      <c r="U1778" s="12" t="n"/>
      <c r="V1778" s="12" t="n"/>
    </row>
    <row r="1779">
      <c r="A1779" s="12" t="n"/>
      <c r="B1779" s="12" t="n"/>
      <c r="C1779" s="12" t="n"/>
      <c r="D1779" s="13">
        <f>IF($A1779="","",TRIM($B1779&amp;" "&amp;$C1779))</f>
        <v/>
      </c>
      <c r="E1779" s="12" t="n"/>
      <c r="F1779" s="12" t="n"/>
      <c r="G1779" s="14" t="n"/>
      <c r="H1779" s="14" t="n"/>
      <c r="I1779" s="12" t="n"/>
      <c r="J1779" s="14" t="n"/>
      <c r="K1779" s="12" t="n"/>
      <c r="L1779" s="13">
        <f>IF($K1779="","",IFERROR(INDEX(Dept_Names,MATCH($K1779,Dept_Codes,0)),"NOT FOUND"))</f>
        <v/>
      </c>
      <c r="M1779" s="12" t="n"/>
      <c r="N1779" s="13">
        <f>IF($M1779="","",IFERROR(INDEX(Desig_Names,MATCH($M1779,Desig_Codes,0)),"NOT FOUND"))</f>
        <v/>
      </c>
      <c r="O1779" s="13">
        <f>IF($M1779="","",IFERROR(INDEX(Desig_Levels,MATCH($M1779,Desig_Codes,0)),""))</f>
        <v/>
      </c>
      <c r="P1779" s="12" t="n"/>
      <c r="Q1779" s="12" t="n"/>
      <c r="R1779" s="12" t="n"/>
      <c r="S1779" s="13">
        <f>IF($R1779="","",IFERROR(INDEX(Emp_Names,MATCH($R1779,Emp_Codes,0)),"NOT FOUND"))</f>
        <v/>
      </c>
      <c r="T1779" s="12" t="n"/>
      <c r="U1779" s="12" t="n"/>
      <c r="V1779" s="12" t="n"/>
    </row>
    <row r="1780">
      <c r="A1780" s="12" t="n"/>
      <c r="B1780" s="12" t="n"/>
      <c r="C1780" s="12" t="n"/>
      <c r="D1780" s="13">
        <f>IF($A1780="","",TRIM($B1780&amp;" "&amp;$C1780))</f>
        <v/>
      </c>
      <c r="E1780" s="12" t="n"/>
      <c r="F1780" s="12" t="n"/>
      <c r="G1780" s="14" t="n"/>
      <c r="H1780" s="14" t="n"/>
      <c r="I1780" s="12" t="n"/>
      <c r="J1780" s="14" t="n"/>
      <c r="K1780" s="12" t="n"/>
      <c r="L1780" s="13">
        <f>IF($K1780="","",IFERROR(INDEX(Dept_Names,MATCH($K1780,Dept_Codes,0)),"NOT FOUND"))</f>
        <v/>
      </c>
      <c r="M1780" s="12" t="n"/>
      <c r="N1780" s="13">
        <f>IF($M1780="","",IFERROR(INDEX(Desig_Names,MATCH($M1780,Desig_Codes,0)),"NOT FOUND"))</f>
        <v/>
      </c>
      <c r="O1780" s="13">
        <f>IF($M1780="","",IFERROR(INDEX(Desig_Levels,MATCH($M1780,Desig_Codes,0)),""))</f>
        <v/>
      </c>
      <c r="P1780" s="12" t="n"/>
      <c r="Q1780" s="12" t="n"/>
      <c r="R1780" s="12" t="n"/>
      <c r="S1780" s="13">
        <f>IF($R1780="","",IFERROR(INDEX(Emp_Names,MATCH($R1780,Emp_Codes,0)),"NOT FOUND"))</f>
        <v/>
      </c>
      <c r="T1780" s="12" t="n"/>
      <c r="U1780" s="12" t="n"/>
      <c r="V1780" s="12" t="n"/>
    </row>
    <row r="1781">
      <c r="A1781" s="12" t="n"/>
      <c r="B1781" s="12" t="n"/>
      <c r="C1781" s="12" t="n"/>
      <c r="D1781" s="13">
        <f>IF($A1781="","",TRIM($B1781&amp;" "&amp;$C1781))</f>
        <v/>
      </c>
      <c r="E1781" s="12" t="n"/>
      <c r="F1781" s="12" t="n"/>
      <c r="G1781" s="14" t="n"/>
      <c r="H1781" s="14" t="n"/>
      <c r="I1781" s="12" t="n"/>
      <c r="J1781" s="14" t="n"/>
      <c r="K1781" s="12" t="n"/>
      <c r="L1781" s="13">
        <f>IF($K1781="","",IFERROR(INDEX(Dept_Names,MATCH($K1781,Dept_Codes,0)),"NOT FOUND"))</f>
        <v/>
      </c>
      <c r="M1781" s="12" t="n"/>
      <c r="N1781" s="13">
        <f>IF($M1781="","",IFERROR(INDEX(Desig_Names,MATCH($M1781,Desig_Codes,0)),"NOT FOUND"))</f>
        <v/>
      </c>
      <c r="O1781" s="13">
        <f>IF($M1781="","",IFERROR(INDEX(Desig_Levels,MATCH($M1781,Desig_Codes,0)),""))</f>
        <v/>
      </c>
      <c r="P1781" s="12" t="n"/>
      <c r="Q1781" s="12" t="n"/>
      <c r="R1781" s="12" t="n"/>
      <c r="S1781" s="13">
        <f>IF($R1781="","",IFERROR(INDEX(Emp_Names,MATCH($R1781,Emp_Codes,0)),"NOT FOUND"))</f>
        <v/>
      </c>
      <c r="T1781" s="12" t="n"/>
      <c r="U1781" s="12" t="n"/>
      <c r="V1781" s="12" t="n"/>
    </row>
    <row r="1782">
      <c r="A1782" s="12" t="n"/>
      <c r="B1782" s="12" t="n"/>
      <c r="C1782" s="12" t="n"/>
      <c r="D1782" s="13">
        <f>IF($A1782="","",TRIM($B1782&amp;" "&amp;$C1782))</f>
        <v/>
      </c>
      <c r="E1782" s="12" t="n"/>
      <c r="F1782" s="12" t="n"/>
      <c r="G1782" s="14" t="n"/>
      <c r="H1782" s="14" t="n"/>
      <c r="I1782" s="12" t="n"/>
      <c r="J1782" s="14" t="n"/>
      <c r="K1782" s="12" t="n"/>
      <c r="L1782" s="13">
        <f>IF($K1782="","",IFERROR(INDEX(Dept_Names,MATCH($K1782,Dept_Codes,0)),"NOT FOUND"))</f>
        <v/>
      </c>
      <c r="M1782" s="12" t="n"/>
      <c r="N1782" s="13">
        <f>IF($M1782="","",IFERROR(INDEX(Desig_Names,MATCH($M1782,Desig_Codes,0)),"NOT FOUND"))</f>
        <v/>
      </c>
      <c r="O1782" s="13">
        <f>IF($M1782="","",IFERROR(INDEX(Desig_Levels,MATCH($M1782,Desig_Codes,0)),""))</f>
        <v/>
      </c>
      <c r="P1782" s="12" t="n"/>
      <c r="Q1782" s="12" t="n"/>
      <c r="R1782" s="12" t="n"/>
      <c r="S1782" s="13">
        <f>IF($R1782="","",IFERROR(INDEX(Emp_Names,MATCH($R1782,Emp_Codes,0)),"NOT FOUND"))</f>
        <v/>
      </c>
      <c r="T1782" s="12" t="n"/>
      <c r="U1782" s="12" t="n"/>
      <c r="V1782" s="12" t="n"/>
    </row>
    <row r="1783">
      <c r="A1783" s="12" t="n"/>
      <c r="B1783" s="12" t="n"/>
      <c r="C1783" s="12" t="n"/>
      <c r="D1783" s="13">
        <f>IF($A1783="","",TRIM($B1783&amp;" "&amp;$C1783))</f>
        <v/>
      </c>
      <c r="E1783" s="12" t="n"/>
      <c r="F1783" s="12" t="n"/>
      <c r="G1783" s="14" t="n"/>
      <c r="H1783" s="14" t="n"/>
      <c r="I1783" s="12" t="n"/>
      <c r="J1783" s="14" t="n"/>
      <c r="K1783" s="12" t="n"/>
      <c r="L1783" s="13">
        <f>IF($K1783="","",IFERROR(INDEX(Dept_Names,MATCH($K1783,Dept_Codes,0)),"NOT FOUND"))</f>
        <v/>
      </c>
      <c r="M1783" s="12" t="n"/>
      <c r="N1783" s="13">
        <f>IF($M1783="","",IFERROR(INDEX(Desig_Names,MATCH($M1783,Desig_Codes,0)),"NOT FOUND"))</f>
        <v/>
      </c>
      <c r="O1783" s="13">
        <f>IF($M1783="","",IFERROR(INDEX(Desig_Levels,MATCH($M1783,Desig_Codes,0)),""))</f>
        <v/>
      </c>
      <c r="P1783" s="12" t="n"/>
      <c r="Q1783" s="12" t="n"/>
      <c r="R1783" s="12" t="n"/>
      <c r="S1783" s="13">
        <f>IF($R1783="","",IFERROR(INDEX(Emp_Names,MATCH($R1783,Emp_Codes,0)),"NOT FOUND"))</f>
        <v/>
      </c>
      <c r="T1783" s="12" t="n"/>
      <c r="U1783" s="12" t="n"/>
      <c r="V1783" s="12" t="n"/>
    </row>
    <row r="1784">
      <c r="A1784" s="12" t="n"/>
      <c r="B1784" s="12" t="n"/>
      <c r="C1784" s="12" t="n"/>
      <c r="D1784" s="13">
        <f>IF($A1784="","",TRIM($B1784&amp;" "&amp;$C1784))</f>
        <v/>
      </c>
      <c r="E1784" s="12" t="n"/>
      <c r="F1784" s="12" t="n"/>
      <c r="G1784" s="14" t="n"/>
      <c r="H1784" s="14" t="n"/>
      <c r="I1784" s="12" t="n"/>
      <c r="J1784" s="14" t="n"/>
      <c r="K1784" s="12" t="n"/>
      <c r="L1784" s="13">
        <f>IF($K1784="","",IFERROR(INDEX(Dept_Names,MATCH($K1784,Dept_Codes,0)),"NOT FOUND"))</f>
        <v/>
      </c>
      <c r="M1784" s="12" t="n"/>
      <c r="N1784" s="13">
        <f>IF($M1784="","",IFERROR(INDEX(Desig_Names,MATCH($M1784,Desig_Codes,0)),"NOT FOUND"))</f>
        <v/>
      </c>
      <c r="O1784" s="13">
        <f>IF($M1784="","",IFERROR(INDEX(Desig_Levels,MATCH($M1784,Desig_Codes,0)),""))</f>
        <v/>
      </c>
      <c r="P1784" s="12" t="n"/>
      <c r="Q1784" s="12" t="n"/>
      <c r="R1784" s="12" t="n"/>
      <c r="S1784" s="13">
        <f>IF($R1784="","",IFERROR(INDEX(Emp_Names,MATCH($R1784,Emp_Codes,0)),"NOT FOUND"))</f>
        <v/>
      </c>
      <c r="T1784" s="12" t="n"/>
      <c r="U1784" s="12" t="n"/>
      <c r="V1784" s="12" t="n"/>
    </row>
    <row r="1785">
      <c r="A1785" s="12" t="n"/>
      <c r="B1785" s="12" t="n"/>
      <c r="C1785" s="12" t="n"/>
      <c r="D1785" s="13">
        <f>IF($A1785="","",TRIM($B1785&amp;" "&amp;$C1785))</f>
        <v/>
      </c>
      <c r="E1785" s="12" t="n"/>
      <c r="F1785" s="12" t="n"/>
      <c r="G1785" s="14" t="n"/>
      <c r="H1785" s="14" t="n"/>
      <c r="I1785" s="12" t="n"/>
      <c r="J1785" s="14" t="n"/>
      <c r="K1785" s="12" t="n"/>
      <c r="L1785" s="13">
        <f>IF($K1785="","",IFERROR(INDEX(Dept_Names,MATCH($K1785,Dept_Codes,0)),"NOT FOUND"))</f>
        <v/>
      </c>
      <c r="M1785" s="12" t="n"/>
      <c r="N1785" s="13">
        <f>IF($M1785="","",IFERROR(INDEX(Desig_Names,MATCH($M1785,Desig_Codes,0)),"NOT FOUND"))</f>
        <v/>
      </c>
      <c r="O1785" s="13">
        <f>IF($M1785="","",IFERROR(INDEX(Desig_Levels,MATCH($M1785,Desig_Codes,0)),""))</f>
        <v/>
      </c>
      <c r="P1785" s="12" t="n"/>
      <c r="Q1785" s="12" t="n"/>
      <c r="R1785" s="12" t="n"/>
      <c r="S1785" s="13">
        <f>IF($R1785="","",IFERROR(INDEX(Emp_Names,MATCH($R1785,Emp_Codes,0)),"NOT FOUND"))</f>
        <v/>
      </c>
      <c r="T1785" s="12" t="n"/>
      <c r="U1785" s="12" t="n"/>
      <c r="V1785" s="12" t="n"/>
    </row>
    <row r="1786">
      <c r="A1786" s="12" t="n"/>
      <c r="B1786" s="12" t="n"/>
      <c r="C1786" s="12" t="n"/>
      <c r="D1786" s="13">
        <f>IF($A1786="","",TRIM($B1786&amp;" "&amp;$C1786))</f>
        <v/>
      </c>
      <c r="E1786" s="12" t="n"/>
      <c r="F1786" s="12" t="n"/>
      <c r="G1786" s="14" t="n"/>
      <c r="H1786" s="14" t="n"/>
      <c r="I1786" s="12" t="n"/>
      <c r="J1786" s="14" t="n"/>
      <c r="K1786" s="12" t="n"/>
      <c r="L1786" s="13">
        <f>IF($K1786="","",IFERROR(INDEX(Dept_Names,MATCH($K1786,Dept_Codes,0)),"NOT FOUND"))</f>
        <v/>
      </c>
      <c r="M1786" s="12" t="n"/>
      <c r="N1786" s="13">
        <f>IF($M1786="","",IFERROR(INDEX(Desig_Names,MATCH($M1786,Desig_Codes,0)),"NOT FOUND"))</f>
        <v/>
      </c>
      <c r="O1786" s="13">
        <f>IF($M1786="","",IFERROR(INDEX(Desig_Levels,MATCH($M1786,Desig_Codes,0)),""))</f>
        <v/>
      </c>
      <c r="P1786" s="12" t="n"/>
      <c r="Q1786" s="12" t="n"/>
      <c r="R1786" s="12" t="n"/>
      <c r="S1786" s="13">
        <f>IF($R1786="","",IFERROR(INDEX(Emp_Names,MATCH($R1786,Emp_Codes,0)),"NOT FOUND"))</f>
        <v/>
      </c>
      <c r="T1786" s="12" t="n"/>
      <c r="U1786" s="12" t="n"/>
      <c r="V1786" s="12" t="n"/>
    </row>
    <row r="1787">
      <c r="A1787" s="12" t="n"/>
      <c r="B1787" s="12" t="n"/>
      <c r="C1787" s="12" t="n"/>
      <c r="D1787" s="13">
        <f>IF($A1787="","",TRIM($B1787&amp;" "&amp;$C1787))</f>
        <v/>
      </c>
      <c r="E1787" s="12" t="n"/>
      <c r="F1787" s="12" t="n"/>
      <c r="G1787" s="14" t="n"/>
      <c r="H1787" s="14" t="n"/>
      <c r="I1787" s="12" t="n"/>
      <c r="J1787" s="14" t="n"/>
      <c r="K1787" s="12" t="n"/>
      <c r="L1787" s="13">
        <f>IF($K1787="","",IFERROR(INDEX(Dept_Names,MATCH($K1787,Dept_Codes,0)),"NOT FOUND"))</f>
        <v/>
      </c>
      <c r="M1787" s="12" t="n"/>
      <c r="N1787" s="13">
        <f>IF($M1787="","",IFERROR(INDEX(Desig_Names,MATCH($M1787,Desig_Codes,0)),"NOT FOUND"))</f>
        <v/>
      </c>
      <c r="O1787" s="13">
        <f>IF($M1787="","",IFERROR(INDEX(Desig_Levels,MATCH($M1787,Desig_Codes,0)),""))</f>
        <v/>
      </c>
      <c r="P1787" s="12" t="n"/>
      <c r="Q1787" s="12" t="n"/>
      <c r="R1787" s="12" t="n"/>
      <c r="S1787" s="13">
        <f>IF($R1787="","",IFERROR(INDEX(Emp_Names,MATCH($R1787,Emp_Codes,0)),"NOT FOUND"))</f>
        <v/>
      </c>
      <c r="T1787" s="12" t="n"/>
      <c r="U1787" s="12" t="n"/>
      <c r="V1787" s="12" t="n"/>
    </row>
    <row r="1788">
      <c r="A1788" s="12" t="n"/>
      <c r="B1788" s="12" t="n"/>
      <c r="C1788" s="12" t="n"/>
      <c r="D1788" s="13">
        <f>IF($A1788="","",TRIM($B1788&amp;" "&amp;$C1788))</f>
        <v/>
      </c>
      <c r="E1788" s="12" t="n"/>
      <c r="F1788" s="12" t="n"/>
      <c r="G1788" s="14" t="n"/>
      <c r="H1788" s="14" t="n"/>
      <c r="I1788" s="12" t="n"/>
      <c r="J1788" s="14" t="n"/>
      <c r="K1788" s="12" t="n"/>
      <c r="L1788" s="13">
        <f>IF($K1788="","",IFERROR(INDEX(Dept_Names,MATCH($K1788,Dept_Codes,0)),"NOT FOUND"))</f>
        <v/>
      </c>
      <c r="M1788" s="12" t="n"/>
      <c r="N1788" s="13">
        <f>IF($M1788="","",IFERROR(INDEX(Desig_Names,MATCH($M1788,Desig_Codes,0)),"NOT FOUND"))</f>
        <v/>
      </c>
      <c r="O1788" s="13">
        <f>IF($M1788="","",IFERROR(INDEX(Desig_Levels,MATCH($M1788,Desig_Codes,0)),""))</f>
        <v/>
      </c>
      <c r="P1788" s="12" t="n"/>
      <c r="Q1788" s="12" t="n"/>
      <c r="R1788" s="12" t="n"/>
      <c r="S1788" s="13">
        <f>IF($R1788="","",IFERROR(INDEX(Emp_Names,MATCH($R1788,Emp_Codes,0)),"NOT FOUND"))</f>
        <v/>
      </c>
      <c r="T1788" s="12" t="n"/>
      <c r="U1788" s="12" t="n"/>
      <c r="V1788" s="12" t="n"/>
    </row>
    <row r="1789">
      <c r="A1789" s="12" t="n"/>
      <c r="B1789" s="12" t="n"/>
      <c r="C1789" s="12" t="n"/>
      <c r="D1789" s="13">
        <f>IF($A1789="","",TRIM($B1789&amp;" "&amp;$C1789))</f>
        <v/>
      </c>
      <c r="E1789" s="12" t="n"/>
      <c r="F1789" s="12" t="n"/>
      <c r="G1789" s="14" t="n"/>
      <c r="H1789" s="14" t="n"/>
      <c r="I1789" s="12" t="n"/>
      <c r="J1789" s="14" t="n"/>
      <c r="K1789" s="12" t="n"/>
      <c r="L1789" s="13">
        <f>IF($K1789="","",IFERROR(INDEX(Dept_Names,MATCH($K1789,Dept_Codes,0)),"NOT FOUND"))</f>
        <v/>
      </c>
      <c r="M1789" s="12" t="n"/>
      <c r="N1789" s="13">
        <f>IF($M1789="","",IFERROR(INDEX(Desig_Names,MATCH($M1789,Desig_Codes,0)),"NOT FOUND"))</f>
        <v/>
      </c>
      <c r="O1789" s="13">
        <f>IF($M1789="","",IFERROR(INDEX(Desig_Levels,MATCH($M1789,Desig_Codes,0)),""))</f>
        <v/>
      </c>
      <c r="P1789" s="12" t="n"/>
      <c r="Q1789" s="12" t="n"/>
      <c r="R1789" s="12" t="n"/>
      <c r="S1789" s="13">
        <f>IF($R1789="","",IFERROR(INDEX(Emp_Names,MATCH($R1789,Emp_Codes,0)),"NOT FOUND"))</f>
        <v/>
      </c>
      <c r="T1789" s="12" t="n"/>
      <c r="U1789" s="12" t="n"/>
      <c r="V1789" s="12" t="n"/>
    </row>
    <row r="1790">
      <c r="A1790" s="12" t="n"/>
      <c r="B1790" s="12" t="n"/>
      <c r="C1790" s="12" t="n"/>
      <c r="D1790" s="13">
        <f>IF($A1790="","",TRIM($B1790&amp;" "&amp;$C1790))</f>
        <v/>
      </c>
      <c r="E1790" s="12" t="n"/>
      <c r="F1790" s="12" t="n"/>
      <c r="G1790" s="14" t="n"/>
      <c r="H1790" s="14" t="n"/>
      <c r="I1790" s="12" t="n"/>
      <c r="J1790" s="14" t="n"/>
      <c r="K1790" s="12" t="n"/>
      <c r="L1790" s="13">
        <f>IF($K1790="","",IFERROR(INDEX(Dept_Names,MATCH($K1790,Dept_Codes,0)),"NOT FOUND"))</f>
        <v/>
      </c>
      <c r="M1790" s="12" t="n"/>
      <c r="N1790" s="13">
        <f>IF($M1790="","",IFERROR(INDEX(Desig_Names,MATCH($M1790,Desig_Codes,0)),"NOT FOUND"))</f>
        <v/>
      </c>
      <c r="O1790" s="13">
        <f>IF($M1790="","",IFERROR(INDEX(Desig_Levels,MATCH($M1790,Desig_Codes,0)),""))</f>
        <v/>
      </c>
      <c r="P1790" s="12" t="n"/>
      <c r="Q1790" s="12" t="n"/>
      <c r="R1790" s="12" t="n"/>
      <c r="S1790" s="13">
        <f>IF($R1790="","",IFERROR(INDEX(Emp_Names,MATCH($R1790,Emp_Codes,0)),"NOT FOUND"))</f>
        <v/>
      </c>
      <c r="T1790" s="12" t="n"/>
      <c r="U1790" s="12" t="n"/>
      <c r="V1790" s="12" t="n"/>
    </row>
    <row r="1791">
      <c r="A1791" s="12" t="n"/>
      <c r="B1791" s="12" t="n"/>
      <c r="C1791" s="12" t="n"/>
      <c r="D1791" s="13">
        <f>IF($A1791="","",TRIM($B1791&amp;" "&amp;$C1791))</f>
        <v/>
      </c>
      <c r="E1791" s="12" t="n"/>
      <c r="F1791" s="12" t="n"/>
      <c r="G1791" s="14" t="n"/>
      <c r="H1791" s="14" t="n"/>
      <c r="I1791" s="12" t="n"/>
      <c r="J1791" s="14" t="n"/>
      <c r="K1791" s="12" t="n"/>
      <c r="L1791" s="13">
        <f>IF($K1791="","",IFERROR(INDEX(Dept_Names,MATCH($K1791,Dept_Codes,0)),"NOT FOUND"))</f>
        <v/>
      </c>
      <c r="M1791" s="12" t="n"/>
      <c r="N1791" s="13">
        <f>IF($M1791="","",IFERROR(INDEX(Desig_Names,MATCH($M1791,Desig_Codes,0)),"NOT FOUND"))</f>
        <v/>
      </c>
      <c r="O1791" s="13">
        <f>IF($M1791="","",IFERROR(INDEX(Desig_Levels,MATCH($M1791,Desig_Codes,0)),""))</f>
        <v/>
      </c>
      <c r="P1791" s="12" t="n"/>
      <c r="Q1791" s="12" t="n"/>
      <c r="R1791" s="12" t="n"/>
      <c r="S1791" s="13">
        <f>IF($R1791="","",IFERROR(INDEX(Emp_Names,MATCH($R1791,Emp_Codes,0)),"NOT FOUND"))</f>
        <v/>
      </c>
      <c r="T1791" s="12" t="n"/>
      <c r="U1791" s="12" t="n"/>
      <c r="V1791" s="12" t="n"/>
    </row>
    <row r="1792">
      <c r="A1792" s="12" t="n"/>
      <c r="B1792" s="12" t="n"/>
      <c r="C1792" s="12" t="n"/>
      <c r="D1792" s="13">
        <f>IF($A1792="","",TRIM($B1792&amp;" "&amp;$C1792))</f>
        <v/>
      </c>
      <c r="E1792" s="12" t="n"/>
      <c r="F1792" s="12" t="n"/>
      <c r="G1792" s="14" t="n"/>
      <c r="H1792" s="14" t="n"/>
      <c r="I1792" s="12" t="n"/>
      <c r="J1792" s="14" t="n"/>
      <c r="K1792" s="12" t="n"/>
      <c r="L1792" s="13">
        <f>IF($K1792="","",IFERROR(INDEX(Dept_Names,MATCH($K1792,Dept_Codes,0)),"NOT FOUND"))</f>
        <v/>
      </c>
      <c r="M1792" s="12" t="n"/>
      <c r="N1792" s="13">
        <f>IF($M1792="","",IFERROR(INDEX(Desig_Names,MATCH($M1792,Desig_Codes,0)),"NOT FOUND"))</f>
        <v/>
      </c>
      <c r="O1792" s="13">
        <f>IF($M1792="","",IFERROR(INDEX(Desig_Levels,MATCH($M1792,Desig_Codes,0)),""))</f>
        <v/>
      </c>
      <c r="P1792" s="12" t="n"/>
      <c r="Q1792" s="12" t="n"/>
      <c r="R1792" s="12" t="n"/>
      <c r="S1792" s="13">
        <f>IF($R1792="","",IFERROR(INDEX(Emp_Names,MATCH($R1792,Emp_Codes,0)),"NOT FOUND"))</f>
        <v/>
      </c>
      <c r="T1792" s="12" t="n"/>
      <c r="U1792" s="12" t="n"/>
      <c r="V1792" s="12" t="n"/>
    </row>
    <row r="1793">
      <c r="A1793" s="12" t="n"/>
      <c r="B1793" s="12" t="n"/>
      <c r="C1793" s="12" t="n"/>
      <c r="D1793" s="13">
        <f>IF($A1793="","",TRIM($B1793&amp;" "&amp;$C1793))</f>
        <v/>
      </c>
      <c r="E1793" s="12" t="n"/>
      <c r="F1793" s="12" t="n"/>
      <c r="G1793" s="14" t="n"/>
      <c r="H1793" s="14" t="n"/>
      <c r="I1793" s="12" t="n"/>
      <c r="J1793" s="14" t="n"/>
      <c r="K1793" s="12" t="n"/>
      <c r="L1793" s="13">
        <f>IF($K1793="","",IFERROR(INDEX(Dept_Names,MATCH($K1793,Dept_Codes,0)),"NOT FOUND"))</f>
        <v/>
      </c>
      <c r="M1793" s="12" t="n"/>
      <c r="N1793" s="13">
        <f>IF($M1793="","",IFERROR(INDEX(Desig_Names,MATCH($M1793,Desig_Codes,0)),"NOT FOUND"))</f>
        <v/>
      </c>
      <c r="O1793" s="13">
        <f>IF($M1793="","",IFERROR(INDEX(Desig_Levels,MATCH($M1793,Desig_Codes,0)),""))</f>
        <v/>
      </c>
      <c r="P1793" s="12" t="n"/>
      <c r="Q1793" s="12" t="n"/>
      <c r="R1793" s="12" t="n"/>
      <c r="S1793" s="13">
        <f>IF($R1793="","",IFERROR(INDEX(Emp_Names,MATCH($R1793,Emp_Codes,0)),"NOT FOUND"))</f>
        <v/>
      </c>
      <c r="T1793" s="12" t="n"/>
      <c r="U1793" s="12" t="n"/>
      <c r="V1793" s="12" t="n"/>
    </row>
    <row r="1794">
      <c r="A1794" s="12" t="n"/>
      <c r="B1794" s="12" t="n"/>
      <c r="C1794" s="12" t="n"/>
      <c r="D1794" s="13">
        <f>IF($A1794="","",TRIM($B1794&amp;" "&amp;$C1794))</f>
        <v/>
      </c>
      <c r="E1794" s="12" t="n"/>
      <c r="F1794" s="12" t="n"/>
      <c r="G1794" s="14" t="n"/>
      <c r="H1794" s="14" t="n"/>
      <c r="I1794" s="12" t="n"/>
      <c r="J1794" s="14" t="n"/>
      <c r="K1794" s="12" t="n"/>
      <c r="L1794" s="13">
        <f>IF($K1794="","",IFERROR(INDEX(Dept_Names,MATCH($K1794,Dept_Codes,0)),"NOT FOUND"))</f>
        <v/>
      </c>
      <c r="M1794" s="12" t="n"/>
      <c r="N1794" s="13">
        <f>IF($M1794="","",IFERROR(INDEX(Desig_Names,MATCH($M1794,Desig_Codes,0)),"NOT FOUND"))</f>
        <v/>
      </c>
      <c r="O1794" s="13">
        <f>IF($M1794="","",IFERROR(INDEX(Desig_Levels,MATCH($M1794,Desig_Codes,0)),""))</f>
        <v/>
      </c>
      <c r="P1794" s="12" t="n"/>
      <c r="Q1794" s="12" t="n"/>
      <c r="R1794" s="12" t="n"/>
      <c r="S1794" s="13">
        <f>IF($R1794="","",IFERROR(INDEX(Emp_Names,MATCH($R1794,Emp_Codes,0)),"NOT FOUND"))</f>
        <v/>
      </c>
      <c r="T1794" s="12" t="n"/>
      <c r="U1794" s="12" t="n"/>
      <c r="V1794" s="12" t="n"/>
    </row>
    <row r="1795">
      <c r="A1795" s="12" t="n"/>
      <c r="B1795" s="12" t="n"/>
      <c r="C1795" s="12" t="n"/>
      <c r="D1795" s="13">
        <f>IF($A1795="","",TRIM($B1795&amp;" "&amp;$C1795))</f>
        <v/>
      </c>
      <c r="E1795" s="12" t="n"/>
      <c r="F1795" s="12" t="n"/>
      <c r="G1795" s="14" t="n"/>
      <c r="H1795" s="14" t="n"/>
      <c r="I1795" s="12" t="n"/>
      <c r="J1795" s="14" t="n"/>
      <c r="K1795" s="12" t="n"/>
      <c r="L1795" s="13">
        <f>IF($K1795="","",IFERROR(INDEX(Dept_Names,MATCH($K1795,Dept_Codes,0)),"NOT FOUND"))</f>
        <v/>
      </c>
      <c r="M1795" s="12" t="n"/>
      <c r="N1795" s="13">
        <f>IF($M1795="","",IFERROR(INDEX(Desig_Names,MATCH($M1795,Desig_Codes,0)),"NOT FOUND"))</f>
        <v/>
      </c>
      <c r="O1795" s="13">
        <f>IF($M1795="","",IFERROR(INDEX(Desig_Levels,MATCH($M1795,Desig_Codes,0)),""))</f>
        <v/>
      </c>
      <c r="P1795" s="12" t="n"/>
      <c r="Q1795" s="12" t="n"/>
      <c r="R1795" s="12" t="n"/>
      <c r="S1795" s="13">
        <f>IF($R1795="","",IFERROR(INDEX(Emp_Names,MATCH($R1795,Emp_Codes,0)),"NOT FOUND"))</f>
        <v/>
      </c>
      <c r="T1795" s="12" t="n"/>
      <c r="U1795" s="12" t="n"/>
      <c r="V1795" s="12" t="n"/>
    </row>
    <row r="1796">
      <c r="A1796" s="12" t="n"/>
      <c r="B1796" s="12" t="n"/>
      <c r="C1796" s="12" t="n"/>
      <c r="D1796" s="13">
        <f>IF($A1796="","",TRIM($B1796&amp;" "&amp;$C1796))</f>
        <v/>
      </c>
      <c r="E1796" s="12" t="n"/>
      <c r="F1796" s="12" t="n"/>
      <c r="G1796" s="14" t="n"/>
      <c r="H1796" s="14" t="n"/>
      <c r="I1796" s="12" t="n"/>
      <c r="J1796" s="14" t="n"/>
      <c r="K1796" s="12" t="n"/>
      <c r="L1796" s="13">
        <f>IF($K1796="","",IFERROR(INDEX(Dept_Names,MATCH($K1796,Dept_Codes,0)),"NOT FOUND"))</f>
        <v/>
      </c>
      <c r="M1796" s="12" t="n"/>
      <c r="N1796" s="13">
        <f>IF($M1796="","",IFERROR(INDEX(Desig_Names,MATCH($M1796,Desig_Codes,0)),"NOT FOUND"))</f>
        <v/>
      </c>
      <c r="O1796" s="13">
        <f>IF($M1796="","",IFERROR(INDEX(Desig_Levels,MATCH($M1796,Desig_Codes,0)),""))</f>
        <v/>
      </c>
      <c r="P1796" s="12" t="n"/>
      <c r="Q1796" s="12" t="n"/>
      <c r="R1796" s="12" t="n"/>
      <c r="S1796" s="13">
        <f>IF($R1796="","",IFERROR(INDEX(Emp_Names,MATCH($R1796,Emp_Codes,0)),"NOT FOUND"))</f>
        <v/>
      </c>
      <c r="T1796" s="12" t="n"/>
      <c r="U1796" s="12" t="n"/>
      <c r="V1796" s="12" t="n"/>
    </row>
    <row r="1797">
      <c r="A1797" s="12" t="n"/>
      <c r="B1797" s="12" t="n"/>
      <c r="C1797" s="12" t="n"/>
      <c r="D1797" s="13">
        <f>IF($A1797="","",TRIM($B1797&amp;" "&amp;$C1797))</f>
        <v/>
      </c>
      <c r="E1797" s="12" t="n"/>
      <c r="F1797" s="12" t="n"/>
      <c r="G1797" s="14" t="n"/>
      <c r="H1797" s="14" t="n"/>
      <c r="I1797" s="12" t="n"/>
      <c r="J1797" s="14" t="n"/>
      <c r="K1797" s="12" t="n"/>
      <c r="L1797" s="13">
        <f>IF($K1797="","",IFERROR(INDEX(Dept_Names,MATCH($K1797,Dept_Codes,0)),"NOT FOUND"))</f>
        <v/>
      </c>
      <c r="M1797" s="12" t="n"/>
      <c r="N1797" s="13">
        <f>IF($M1797="","",IFERROR(INDEX(Desig_Names,MATCH($M1797,Desig_Codes,0)),"NOT FOUND"))</f>
        <v/>
      </c>
      <c r="O1797" s="13">
        <f>IF($M1797="","",IFERROR(INDEX(Desig_Levels,MATCH($M1797,Desig_Codes,0)),""))</f>
        <v/>
      </c>
      <c r="P1797" s="12" t="n"/>
      <c r="Q1797" s="12" t="n"/>
      <c r="R1797" s="12" t="n"/>
      <c r="S1797" s="13">
        <f>IF($R1797="","",IFERROR(INDEX(Emp_Names,MATCH($R1797,Emp_Codes,0)),"NOT FOUND"))</f>
        <v/>
      </c>
      <c r="T1797" s="12" t="n"/>
      <c r="U1797" s="12" t="n"/>
      <c r="V1797" s="12" t="n"/>
    </row>
    <row r="1798">
      <c r="A1798" s="12" t="n"/>
      <c r="B1798" s="12" t="n"/>
      <c r="C1798" s="12" t="n"/>
      <c r="D1798" s="13">
        <f>IF($A1798="","",TRIM($B1798&amp;" "&amp;$C1798))</f>
        <v/>
      </c>
      <c r="E1798" s="12" t="n"/>
      <c r="F1798" s="12" t="n"/>
      <c r="G1798" s="14" t="n"/>
      <c r="H1798" s="14" t="n"/>
      <c r="I1798" s="12" t="n"/>
      <c r="J1798" s="14" t="n"/>
      <c r="K1798" s="12" t="n"/>
      <c r="L1798" s="13">
        <f>IF($K1798="","",IFERROR(INDEX(Dept_Names,MATCH($K1798,Dept_Codes,0)),"NOT FOUND"))</f>
        <v/>
      </c>
      <c r="M1798" s="12" t="n"/>
      <c r="N1798" s="13">
        <f>IF($M1798="","",IFERROR(INDEX(Desig_Names,MATCH($M1798,Desig_Codes,0)),"NOT FOUND"))</f>
        <v/>
      </c>
      <c r="O1798" s="13">
        <f>IF($M1798="","",IFERROR(INDEX(Desig_Levels,MATCH($M1798,Desig_Codes,0)),""))</f>
        <v/>
      </c>
      <c r="P1798" s="12" t="n"/>
      <c r="Q1798" s="12" t="n"/>
      <c r="R1798" s="12" t="n"/>
      <c r="S1798" s="13">
        <f>IF($R1798="","",IFERROR(INDEX(Emp_Names,MATCH($R1798,Emp_Codes,0)),"NOT FOUND"))</f>
        <v/>
      </c>
      <c r="T1798" s="12" t="n"/>
      <c r="U1798" s="12" t="n"/>
      <c r="V1798" s="12" t="n"/>
    </row>
    <row r="1799">
      <c r="A1799" s="12" t="n"/>
      <c r="B1799" s="12" t="n"/>
      <c r="C1799" s="12" t="n"/>
      <c r="D1799" s="13">
        <f>IF($A1799="","",TRIM($B1799&amp;" "&amp;$C1799))</f>
        <v/>
      </c>
      <c r="E1799" s="12" t="n"/>
      <c r="F1799" s="12" t="n"/>
      <c r="G1799" s="14" t="n"/>
      <c r="H1799" s="14" t="n"/>
      <c r="I1799" s="12" t="n"/>
      <c r="J1799" s="14" t="n"/>
      <c r="K1799" s="12" t="n"/>
      <c r="L1799" s="13">
        <f>IF($K1799="","",IFERROR(INDEX(Dept_Names,MATCH($K1799,Dept_Codes,0)),"NOT FOUND"))</f>
        <v/>
      </c>
      <c r="M1799" s="12" t="n"/>
      <c r="N1799" s="13">
        <f>IF($M1799="","",IFERROR(INDEX(Desig_Names,MATCH($M1799,Desig_Codes,0)),"NOT FOUND"))</f>
        <v/>
      </c>
      <c r="O1799" s="13">
        <f>IF($M1799="","",IFERROR(INDEX(Desig_Levels,MATCH($M1799,Desig_Codes,0)),""))</f>
        <v/>
      </c>
      <c r="P1799" s="12" t="n"/>
      <c r="Q1799" s="12" t="n"/>
      <c r="R1799" s="12" t="n"/>
      <c r="S1799" s="13">
        <f>IF($R1799="","",IFERROR(INDEX(Emp_Names,MATCH($R1799,Emp_Codes,0)),"NOT FOUND"))</f>
        <v/>
      </c>
      <c r="T1799" s="12" t="n"/>
      <c r="U1799" s="12" t="n"/>
      <c r="V1799" s="12" t="n"/>
    </row>
    <row r="1800">
      <c r="A1800" s="12" t="n"/>
      <c r="B1800" s="12" t="n"/>
      <c r="C1800" s="12" t="n"/>
      <c r="D1800" s="13">
        <f>IF($A1800="","",TRIM($B1800&amp;" "&amp;$C1800))</f>
        <v/>
      </c>
      <c r="E1800" s="12" t="n"/>
      <c r="F1800" s="12" t="n"/>
      <c r="G1800" s="14" t="n"/>
      <c r="H1800" s="14" t="n"/>
      <c r="I1800" s="12" t="n"/>
      <c r="J1800" s="14" t="n"/>
      <c r="K1800" s="12" t="n"/>
      <c r="L1800" s="13">
        <f>IF($K1800="","",IFERROR(INDEX(Dept_Names,MATCH($K1800,Dept_Codes,0)),"NOT FOUND"))</f>
        <v/>
      </c>
      <c r="M1800" s="12" t="n"/>
      <c r="N1800" s="13">
        <f>IF($M1800="","",IFERROR(INDEX(Desig_Names,MATCH($M1800,Desig_Codes,0)),"NOT FOUND"))</f>
        <v/>
      </c>
      <c r="O1800" s="13">
        <f>IF($M1800="","",IFERROR(INDEX(Desig_Levels,MATCH($M1800,Desig_Codes,0)),""))</f>
        <v/>
      </c>
      <c r="P1800" s="12" t="n"/>
      <c r="Q1800" s="12" t="n"/>
      <c r="R1800" s="12" t="n"/>
      <c r="S1800" s="13">
        <f>IF($R1800="","",IFERROR(INDEX(Emp_Names,MATCH($R1800,Emp_Codes,0)),"NOT FOUND"))</f>
        <v/>
      </c>
      <c r="T1800" s="12" t="n"/>
      <c r="U1800" s="12" t="n"/>
      <c r="V1800" s="12" t="n"/>
    </row>
    <row r="1801">
      <c r="A1801" s="12" t="n"/>
      <c r="B1801" s="12" t="n"/>
      <c r="C1801" s="12" t="n"/>
      <c r="D1801" s="13">
        <f>IF($A1801="","",TRIM($B1801&amp;" "&amp;$C1801))</f>
        <v/>
      </c>
      <c r="E1801" s="12" t="n"/>
      <c r="F1801" s="12" t="n"/>
      <c r="G1801" s="14" t="n"/>
      <c r="H1801" s="14" t="n"/>
      <c r="I1801" s="12" t="n"/>
      <c r="J1801" s="14" t="n"/>
      <c r="K1801" s="12" t="n"/>
      <c r="L1801" s="13">
        <f>IF($K1801="","",IFERROR(INDEX(Dept_Names,MATCH($K1801,Dept_Codes,0)),"NOT FOUND"))</f>
        <v/>
      </c>
      <c r="M1801" s="12" t="n"/>
      <c r="N1801" s="13">
        <f>IF($M1801="","",IFERROR(INDEX(Desig_Names,MATCH($M1801,Desig_Codes,0)),"NOT FOUND"))</f>
        <v/>
      </c>
      <c r="O1801" s="13">
        <f>IF($M1801="","",IFERROR(INDEX(Desig_Levels,MATCH($M1801,Desig_Codes,0)),""))</f>
        <v/>
      </c>
      <c r="P1801" s="12" t="n"/>
      <c r="Q1801" s="12" t="n"/>
      <c r="R1801" s="12" t="n"/>
      <c r="S1801" s="13">
        <f>IF($R1801="","",IFERROR(INDEX(Emp_Names,MATCH($R1801,Emp_Codes,0)),"NOT FOUND"))</f>
        <v/>
      </c>
      <c r="T1801" s="12" t="n"/>
      <c r="U1801" s="12" t="n"/>
      <c r="V1801" s="12" t="n"/>
    </row>
    <row r="1802">
      <c r="A1802" s="12" t="n"/>
      <c r="B1802" s="12" t="n"/>
      <c r="C1802" s="12" t="n"/>
      <c r="D1802" s="13">
        <f>IF($A1802="","",TRIM($B1802&amp;" "&amp;$C1802))</f>
        <v/>
      </c>
      <c r="E1802" s="12" t="n"/>
      <c r="F1802" s="12" t="n"/>
      <c r="G1802" s="14" t="n"/>
      <c r="H1802" s="14" t="n"/>
      <c r="I1802" s="12" t="n"/>
      <c r="J1802" s="14" t="n"/>
      <c r="K1802" s="12" t="n"/>
      <c r="L1802" s="13">
        <f>IF($K1802="","",IFERROR(INDEX(Dept_Names,MATCH($K1802,Dept_Codes,0)),"NOT FOUND"))</f>
        <v/>
      </c>
      <c r="M1802" s="12" t="n"/>
      <c r="N1802" s="13">
        <f>IF($M1802="","",IFERROR(INDEX(Desig_Names,MATCH($M1802,Desig_Codes,0)),"NOT FOUND"))</f>
        <v/>
      </c>
      <c r="O1802" s="13">
        <f>IF($M1802="","",IFERROR(INDEX(Desig_Levels,MATCH($M1802,Desig_Codes,0)),""))</f>
        <v/>
      </c>
      <c r="P1802" s="12" t="n"/>
      <c r="Q1802" s="12" t="n"/>
      <c r="R1802" s="12" t="n"/>
      <c r="S1802" s="13">
        <f>IF($R1802="","",IFERROR(INDEX(Emp_Names,MATCH($R1802,Emp_Codes,0)),"NOT FOUND"))</f>
        <v/>
      </c>
      <c r="T1802" s="12" t="n"/>
      <c r="U1802" s="12" t="n"/>
      <c r="V1802" s="12" t="n"/>
    </row>
    <row r="1803">
      <c r="A1803" s="12" t="n"/>
      <c r="B1803" s="12" t="n"/>
      <c r="C1803" s="12" t="n"/>
      <c r="D1803" s="13">
        <f>IF($A1803="","",TRIM($B1803&amp;" "&amp;$C1803))</f>
        <v/>
      </c>
      <c r="E1803" s="12" t="n"/>
      <c r="F1803" s="12" t="n"/>
      <c r="G1803" s="14" t="n"/>
      <c r="H1803" s="14" t="n"/>
      <c r="I1803" s="12" t="n"/>
      <c r="J1803" s="14" t="n"/>
      <c r="K1803" s="12" t="n"/>
      <c r="L1803" s="13">
        <f>IF($K1803="","",IFERROR(INDEX(Dept_Names,MATCH($K1803,Dept_Codes,0)),"NOT FOUND"))</f>
        <v/>
      </c>
      <c r="M1803" s="12" t="n"/>
      <c r="N1803" s="13">
        <f>IF($M1803="","",IFERROR(INDEX(Desig_Names,MATCH($M1803,Desig_Codes,0)),"NOT FOUND"))</f>
        <v/>
      </c>
      <c r="O1803" s="13">
        <f>IF($M1803="","",IFERROR(INDEX(Desig_Levels,MATCH($M1803,Desig_Codes,0)),""))</f>
        <v/>
      </c>
      <c r="P1803" s="12" t="n"/>
      <c r="Q1803" s="12" t="n"/>
      <c r="R1803" s="12" t="n"/>
      <c r="S1803" s="13">
        <f>IF($R1803="","",IFERROR(INDEX(Emp_Names,MATCH($R1803,Emp_Codes,0)),"NOT FOUND"))</f>
        <v/>
      </c>
      <c r="T1803" s="12" t="n"/>
      <c r="U1803" s="12" t="n"/>
      <c r="V1803" s="12" t="n"/>
    </row>
    <row r="1804">
      <c r="A1804" s="12" t="n"/>
      <c r="B1804" s="12" t="n"/>
      <c r="C1804" s="12" t="n"/>
      <c r="D1804" s="13">
        <f>IF($A1804="","",TRIM($B1804&amp;" "&amp;$C1804))</f>
        <v/>
      </c>
      <c r="E1804" s="12" t="n"/>
      <c r="F1804" s="12" t="n"/>
      <c r="G1804" s="14" t="n"/>
      <c r="H1804" s="14" t="n"/>
      <c r="I1804" s="12" t="n"/>
      <c r="J1804" s="14" t="n"/>
      <c r="K1804" s="12" t="n"/>
      <c r="L1804" s="13">
        <f>IF($K1804="","",IFERROR(INDEX(Dept_Names,MATCH($K1804,Dept_Codes,0)),"NOT FOUND"))</f>
        <v/>
      </c>
      <c r="M1804" s="12" t="n"/>
      <c r="N1804" s="13">
        <f>IF($M1804="","",IFERROR(INDEX(Desig_Names,MATCH($M1804,Desig_Codes,0)),"NOT FOUND"))</f>
        <v/>
      </c>
      <c r="O1804" s="13">
        <f>IF($M1804="","",IFERROR(INDEX(Desig_Levels,MATCH($M1804,Desig_Codes,0)),""))</f>
        <v/>
      </c>
      <c r="P1804" s="12" t="n"/>
      <c r="Q1804" s="12" t="n"/>
      <c r="R1804" s="12" t="n"/>
      <c r="S1804" s="13">
        <f>IF($R1804="","",IFERROR(INDEX(Emp_Names,MATCH($R1804,Emp_Codes,0)),"NOT FOUND"))</f>
        <v/>
      </c>
      <c r="T1804" s="12" t="n"/>
      <c r="U1804" s="12" t="n"/>
      <c r="V1804" s="12" t="n"/>
    </row>
    <row r="1805">
      <c r="A1805" s="12" t="n"/>
      <c r="B1805" s="12" t="n"/>
      <c r="C1805" s="12" t="n"/>
      <c r="D1805" s="13">
        <f>IF($A1805="","",TRIM($B1805&amp;" "&amp;$C1805))</f>
        <v/>
      </c>
      <c r="E1805" s="12" t="n"/>
      <c r="F1805" s="12" t="n"/>
      <c r="G1805" s="14" t="n"/>
      <c r="H1805" s="14" t="n"/>
      <c r="I1805" s="12" t="n"/>
      <c r="J1805" s="14" t="n"/>
      <c r="K1805" s="12" t="n"/>
      <c r="L1805" s="13">
        <f>IF($K1805="","",IFERROR(INDEX(Dept_Names,MATCH($K1805,Dept_Codes,0)),"NOT FOUND"))</f>
        <v/>
      </c>
      <c r="M1805" s="12" t="n"/>
      <c r="N1805" s="13">
        <f>IF($M1805="","",IFERROR(INDEX(Desig_Names,MATCH($M1805,Desig_Codes,0)),"NOT FOUND"))</f>
        <v/>
      </c>
      <c r="O1805" s="13">
        <f>IF($M1805="","",IFERROR(INDEX(Desig_Levels,MATCH($M1805,Desig_Codes,0)),""))</f>
        <v/>
      </c>
      <c r="P1805" s="12" t="n"/>
      <c r="Q1805" s="12" t="n"/>
      <c r="R1805" s="12" t="n"/>
      <c r="S1805" s="13">
        <f>IF($R1805="","",IFERROR(INDEX(Emp_Names,MATCH($R1805,Emp_Codes,0)),"NOT FOUND"))</f>
        <v/>
      </c>
      <c r="T1805" s="12" t="n"/>
      <c r="U1805" s="12" t="n"/>
      <c r="V1805" s="12" t="n"/>
    </row>
    <row r="1806">
      <c r="A1806" s="12" t="n"/>
      <c r="B1806" s="12" t="n"/>
      <c r="C1806" s="12" t="n"/>
      <c r="D1806" s="13">
        <f>IF($A1806="","",TRIM($B1806&amp;" "&amp;$C1806))</f>
        <v/>
      </c>
      <c r="E1806" s="12" t="n"/>
      <c r="F1806" s="12" t="n"/>
      <c r="G1806" s="14" t="n"/>
      <c r="H1806" s="14" t="n"/>
      <c r="I1806" s="12" t="n"/>
      <c r="J1806" s="14" t="n"/>
      <c r="K1806" s="12" t="n"/>
      <c r="L1806" s="13">
        <f>IF($K1806="","",IFERROR(INDEX(Dept_Names,MATCH($K1806,Dept_Codes,0)),"NOT FOUND"))</f>
        <v/>
      </c>
      <c r="M1806" s="12" t="n"/>
      <c r="N1806" s="13">
        <f>IF($M1806="","",IFERROR(INDEX(Desig_Names,MATCH($M1806,Desig_Codes,0)),"NOT FOUND"))</f>
        <v/>
      </c>
      <c r="O1806" s="13">
        <f>IF($M1806="","",IFERROR(INDEX(Desig_Levels,MATCH($M1806,Desig_Codes,0)),""))</f>
        <v/>
      </c>
      <c r="P1806" s="12" t="n"/>
      <c r="Q1806" s="12" t="n"/>
      <c r="R1806" s="12" t="n"/>
      <c r="S1806" s="13">
        <f>IF($R1806="","",IFERROR(INDEX(Emp_Names,MATCH($R1806,Emp_Codes,0)),"NOT FOUND"))</f>
        <v/>
      </c>
      <c r="T1806" s="12" t="n"/>
      <c r="U1806" s="12" t="n"/>
      <c r="V1806" s="12" t="n"/>
    </row>
    <row r="1807">
      <c r="A1807" s="12" t="n"/>
      <c r="B1807" s="12" t="n"/>
      <c r="C1807" s="12" t="n"/>
      <c r="D1807" s="13">
        <f>IF($A1807="","",TRIM($B1807&amp;" "&amp;$C1807))</f>
        <v/>
      </c>
      <c r="E1807" s="12" t="n"/>
      <c r="F1807" s="12" t="n"/>
      <c r="G1807" s="14" t="n"/>
      <c r="H1807" s="14" t="n"/>
      <c r="I1807" s="12" t="n"/>
      <c r="J1807" s="14" t="n"/>
      <c r="K1807" s="12" t="n"/>
      <c r="L1807" s="13">
        <f>IF($K1807="","",IFERROR(INDEX(Dept_Names,MATCH($K1807,Dept_Codes,0)),"NOT FOUND"))</f>
        <v/>
      </c>
      <c r="M1807" s="12" t="n"/>
      <c r="N1807" s="13">
        <f>IF($M1807="","",IFERROR(INDEX(Desig_Names,MATCH($M1807,Desig_Codes,0)),"NOT FOUND"))</f>
        <v/>
      </c>
      <c r="O1807" s="13">
        <f>IF($M1807="","",IFERROR(INDEX(Desig_Levels,MATCH($M1807,Desig_Codes,0)),""))</f>
        <v/>
      </c>
      <c r="P1807" s="12" t="n"/>
      <c r="Q1807" s="12" t="n"/>
      <c r="R1807" s="12" t="n"/>
      <c r="S1807" s="13">
        <f>IF($R1807="","",IFERROR(INDEX(Emp_Names,MATCH($R1807,Emp_Codes,0)),"NOT FOUND"))</f>
        <v/>
      </c>
      <c r="T1807" s="12" t="n"/>
      <c r="U1807" s="12" t="n"/>
      <c r="V1807" s="12" t="n"/>
    </row>
    <row r="1808">
      <c r="A1808" s="12" t="n"/>
      <c r="B1808" s="12" t="n"/>
      <c r="C1808" s="12" t="n"/>
      <c r="D1808" s="13">
        <f>IF($A1808="","",TRIM($B1808&amp;" "&amp;$C1808))</f>
        <v/>
      </c>
      <c r="E1808" s="12" t="n"/>
      <c r="F1808" s="12" t="n"/>
      <c r="G1808" s="14" t="n"/>
      <c r="H1808" s="14" t="n"/>
      <c r="I1808" s="12" t="n"/>
      <c r="J1808" s="14" t="n"/>
      <c r="K1808" s="12" t="n"/>
      <c r="L1808" s="13">
        <f>IF($K1808="","",IFERROR(INDEX(Dept_Names,MATCH($K1808,Dept_Codes,0)),"NOT FOUND"))</f>
        <v/>
      </c>
      <c r="M1808" s="12" t="n"/>
      <c r="N1808" s="13">
        <f>IF($M1808="","",IFERROR(INDEX(Desig_Names,MATCH($M1808,Desig_Codes,0)),"NOT FOUND"))</f>
        <v/>
      </c>
      <c r="O1808" s="13">
        <f>IF($M1808="","",IFERROR(INDEX(Desig_Levels,MATCH($M1808,Desig_Codes,0)),""))</f>
        <v/>
      </c>
      <c r="P1808" s="12" t="n"/>
      <c r="Q1808" s="12" t="n"/>
      <c r="R1808" s="12" t="n"/>
      <c r="S1808" s="13">
        <f>IF($R1808="","",IFERROR(INDEX(Emp_Names,MATCH($R1808,Emp_Codes,0)),"NOT FOUND"))</f>
        <v/>
      </c>
      <c r="T1808" s="12" t="n"/>
      <c r="U1808" s="12" t="n"/>
      <c r="V1808" s="12" t="n"/>
    </row>
    <row r="1809">
      <c r="A1809" s="12" t="n"/>
      <c r="B1809" s="12" t="n"/>
      <c r="C1809" s="12" t="n"/>
      <c r="D1809" s="13">
        <f>IF($A1809="","",TRIM($B1809&amp;" "&amp;$C1809))</f>
        <v/>
      </c>
      <c r="E1809" s="12" t="n"/>
      <c r="F1809" s="12" t="n"/>
      <c r="G1809" s="14" t="n"/>
      <c r="H1809" s="14" t="n"/>
      <c r="I1809" s="12" t="n"/>
      <c r="J1809" s="14" t="n"/>
      <c r="K1809" s="12" t="n"/>
      <c r="L1809" s="13">
        <f>IF($K1809="","",IFERROR(INDEX(Dept_Names,MATCH($K1809,Dept_Codes,0)),"NOT FOUND"))</f>
        <v/>
      </c>
      <c r="M1809" s="12" t="n"/>
      <c r="N1809" s="13">
        <f>IF($M1809="","",IFERROR(INDEX(Desig_Names,MATCH($M1809,Desig_Codes,0)),"NOT FOUND"))</f>
        <v/>
      </c>
      <c r="O1809" s="13">
        <f>IF($M1809="","",IFERROR(INDEX(Desig_Levels,MATCH($M1809,Desig_Codes,0)),""))</f>
        <v/>
      </c>
      <c r="P1809" s="12" t="n"/>
      <c r="Q1809" s="12" t="n"/>
      <c r="R1809" s="12" t="n"/>
      <c r="S1809" s="13">
        <f>IF($R1809="","",IFERROR(INDEX(Emp_Names,MATCH($R1809,Emp_Codes,0)),"NOT FOUND"))</f>
        <v/>
      </c>
      <c r="T1809" s="12" t="n"/>
      <c r="U1809" s="12" t="n"/>
      <c r="V1809" s="12" t="n"/>
    </row>
    <row r="1810">
      <c r="A1810" s="12" t="n"/>
      <c r="B1810" s="12" t="n"/>
      <c r="C1810" s="12" t="n"/>
      <c r="D1810" s="13">
        <f>IF($A1810="","",TRIM($B1810&amp;" "&amp;$C1810))</f>
        <v/>
      </c>
      <c r="E1810" s="12" t="n"/>
      <c r="F1810" s="12" t="n"/>
      <c r="G1810" s="14" t="n"/>
      <c r="H1810" s="14" t="n"/>
      <c r="I1810" s="12" t="n"/>
      <c r="J1810" s="14" t="n"/>
      <c r="K1810" s="12" t="n"/>
      <c r="L1810" s="13">
        <f>IF($K1810="","",IFERROR(INDEX(Dept_Names,MATCH($K1810,Dept_Codes,0)),"NOT FOUND"))</f>
        <v/>
      </c>
      <c r="M1810" s="12" t="n"/>
      <c r="N1810" s="13">
        <f>IF($M1810="","",IFERROR(INDEX(Desig_Names,MATCH($M1810,Desig_Codes,0)),"NOT FOUND"))</f>
        <v/>
      </c>
      <c r="O1810" s="13">
        <f>IF($M1810="","",IFERROR(INDEX(Desig_Levels,MATCH($M1810,Desig_Codes,0)),""))</f>
        <v/>
      </c>
      <c r="P1810" s="12" t="n"/>
      <c r="Q1810" s="12" t="n"/>
      <c r="R1810" s="12" t="n"/>
      <c r="S1810" s="13">
        <f>IF($R1810="","",IFERROR(INDEX(Emp_Names,MATCH($R1810,Emp_Codes,0)),"NOT FOUND"))</f>
        <v/>
      </c>
      <c r="T1810" s="12" t="n"/>
      <c r="U1810" s="12" t="n"/>
      <c r="V1810" s="12" t="n"/>
    </row>
    <row r="1811">
      <c r="A1811" s="12" t="n"/>
      <c r="B1811" s="12" t="n"/>
      <c r="C1811" s="12" t="n"/>
      <c r="D1811" s="13">
        <f>IF($A1811="","",TRIM($B1811&amp;" "&amp;$C1811))</f>
        <v/>
      </c>
      <c r="E1811" s="12" t="n"/>
      <c r="F1811" s="12" t="n"/>
      <c r="G1811" s="14" t="n"/>
      <c r="H1811" s="14" t="n"/>
      <c r="I1811" s="12" t="n"/>
      <c r="J1811" s="14" t="n"/>
      <c r="K1811" s="12" t="n"/>
      <c r="L1811" s="13">
        <f>IF($K1811="","",IFERROR(INDEX(Dept_Names,MATCH($K1811,Dept_Codes,0)),"NOT FOUND"))</f>
        <v/>
      </c>
      <c r="M1811" s="12" t="n"/>
      <c r="N1811" s="13">
        <f>IF($M1811="","",IFERROR(INDEX(Desig_Names,MATCH($M1811,Desig_Codes,0)),"NOT FOUND"))</f>
        <v/>
      </c>
      <c r="O1811" s="13">
        <f>IF($M1811="","",IFERROR(INDEX(Desig_Levels,MATCH($M1811,Desig_Codes,0)),""))</f>
        <v/>
      </c>
      <c r="P1811" s="12" t="n"/>
      <c r="Q1811" s="12" t="n"/>
      <c r="R1811" s="12" t="n"/>
      <c r="S1811" s="13">
        <f>IF($R1811="","",IFERROR(INDEX(Emp_Names,MATCH($R1811,Emp_Codes,0)),"NOT FOUND"))</f>
        <v/>
      </c>
      <c r="T1811" s="12" t="n"/>
      <c r="U1811" s="12" t="n"/>
      <c r="V1811" s="12" t="n"/>
    </row>
    <row r="1812">
      <c r="A1812" s="12" t="n"/>
      <c r="B1812" s="12" t="n"/>
      <c r="C1812" s="12" t="n"/>
      <c r="D1812" s="13">
        <f>IF($A1812="","",TRIM($B1812&amp;" "&amp;$C1812))</f>
        <v/>
      </c>
      <c r="E1812" s="12" t="n"/>
      <c r="F1812" s="12" t="n"/>
      <c r="G1812" s="14" t="n"/>
      <c r="H1812" s="14" t="n"/>
      <c r="I1812" s="12" t="n"/>
      <c r="J1812" s="14" t="n"/>
      <c r="K1812" s="12" t="n"/>
      <c r="L1812" s="13">
        <f>IF($K1812="","",IFERROR(INDEX(Dept_Names,MATCH($K1812,Dept_Codes,0)),"NOT FOUND"))</f>
        <v/>
      </c>
      <c r="M1812" s="12" t="n"/>
      <c r="N1812" s="13">
        <f>IF($M1812="","",IFERROR(INDEX(Desig_Names,MATCH($M1812,Desig_Codes,0)),"NOT FOUND"))</f>
        <v/>
      </c>
      <c r="O1812" s="13">
        <f>IF($M1812="","",IFERROR(INDEX(Desig_Levels,MATCH($M1812,Desig_Codes,0)),""))</f>
        <v/>
      </c>
      <c r="P1812" s="12" t="n"/>
      <c r="Q1812" s="12" t="n"/>
      <c r="R1812" s="12" t="n"/>
      <c r="S1812" s="13">
        <f>IF($R1812="","",IFERROR(INDEX(Emp_Names,MATCH($R1812,Emp_Codes,0)),"NOT FOUND"))</f>
        <v/>
      </c>
      <c r="T1812" s="12" t="n"/>
      <c r="U1812" s="12" t="n"/>
      <c r="V1812" s="12" t="n"/>
    </row>
    <row r="1813">
      <c r="A1813" s="12" t="n"/>
      <c r="B1813" s="12" t="n"/>
      <c r="C1813" s="12" t="n"/>
      <c r="D1813" s="13">
        <f>IF($A1813="","",TRIM($B1813&amp;" "&amp;$C1813))</f>
        <v/>
      </c>
      <c r="E1813" s="12" t="n"/>
      <c r="F1813" s="12" t="n"/>
      <c r="G1813" s="14" t="n"/>
      <c r="H1813" s="14" t="n"/>
      <c r="I1813" s="12" t="n"/>
      <c r="J1813" s="14" t="n"/>
      <c r="K1813" s="12" t="n"/>
      <c r="L1813" s="13">
        <f>IF($K1813="","",IFERROR(INDEX(Dept_Names,MATCH($K1813,Dept_Codes,0)),"NOT FOUND"))</f>
        <v/>
      </c>
      <c r="M1813" s="12" t="n"/>
      <c r="N1813" s="13">
        <f>IF($M1813="","",IFERROR(INDEX(Desig_Names,MATCH($M1813,Desig_Codes,0)),"NOT FOUND"))</f>
        <v/>
      </c>
      <c r="O1813" s="13">
        <f>IF($M1813="","",IFERROR(INDEX(Desig_Levels,MATCH($M1813,Desig_Codes,0)),""))</f>
        <v/>
      </c>
      <c r="P1813" s="12" t="n"/>
      <c r="Q1813" s="12" t="n"/>
      <c r="R1813" s="12" t="n"/>
      <c r="S1813" s="13">
        <f>IF($R1813="","",IFERROR(INDEX(Emp_Names,MATCH($R1813,Emp_Codes,0)),"NOT FOUND"))</f>
        <v/>
      </c>
      <c r="T1813" s="12" t="n"/>
      <c r="U1813" s="12" t="n"/>
      <c r="V1813" s="12" t="n"/>
    </row>
    <row r="1814">
      <c r="A1814" s="12" t="n"/>
      <c r="B1814" s="12" t="n"/>
      <c r="C1814" s="12" t="n"/>
      <c r="D1814" s="13">
        <f>IF($A1814="","",TRIM($B1814&amp;" "&amp;$C1814))</f>
        <v/>
      </c>
      <c r="E1814" s="12" t="n"/>
      <c r="F1814" s="12" t="n"/>
      <c r="G1814" s="14" t="n"/>
      <c r="H1814" s="14" t="n"/>
      <c r="I1814" s="12" t="n"/>
      <c r="J1814" s="14" t="n"/>
      <c r="K1814" s="12" t="n"/>
      <c r="L1814" s="13">
        <f>IF($K1814="","",IFERROR(INDEX(Dept_Names,MATCH($K1814,Dept_Codes,0)),"NOT FOUND"))</f>
        <v/>
      </c>
      <c r="M1814" s="12" t="n"/>
      <c r="N1814" s="13">
        <f>IF($M1814="","",IFERROR(INDEX(Desig_Names,MATCH($M1814,Desig_Codes,0)),"NOT FOUND"))</f>
        <v/>
      </c>
      <c r="O1814" s="13">
        <f>IF($M1814="","",IFERROR(INDEX(Desig_Levels,MATCH($M1814,Desig_Codes,0)),""))</f>
        <v/>
      </c>
      <c r="P1814" s="12" t="n"/>
      <c r="Q1814" s="12" t="n"/>
      <c r="R1814" s="12" t="n"/>
      <c r="S1814" s="13">
        <f>IF($R1814="","",IFERROR(INDEX(Emp_Names,MATCH($R1814,Emp_Codes,0)),"NOT FOUND"))</f>
        <v/>
      </c>
      <c r="T1814" s="12" t="n"/>
      <c r="U1814" s="12" t="n"/>
      <c r="V1814" s="12" t="n"/>
    </row>
    <row r="1815">
      <c r="A1815" s="12" t="n"/>
      <c r="B1815" s="12" t="n"/>
      <c r="C1815" s="12" t="n"/>
      <c r="D1815" s="13">
        <f>IF($A1815="","",TRIM($B1815&amp;" "&amp;$C1815))</f>
        <v/>
      </c>
      <c r="E1815" s="12" t="n"/>
      <c r="F1815" s="12" t="n"/>
      <c r="G1815" s="14" t="n"/>
      <c r="H1815" s="14" t="n"/>
      <c r="I1815" s="12" t="n"/>
      <c r="J1815" s="14" t="n"/>
      <c r="K1815" s="12" t="n"/>
      <c r="L1815" s="13">
        <f>IF($K1815="","",IFERROR(INDEX(Dept_Names,MATCH($K1815,Dept_Codes,0)),"NOT FOUND"))</f>
        <v/>
      </c>
      <c r="M1815" s="12" t="n"/>
      <c r="N1815" s="13">
        <f>IF($M1815="","",IFERROR(INDEX(Desig_Names,MATCH($M1815,Desig_Codes,0)),"NOT FOUND"))</f>
        <v/>
      </c>
      <c r="O1815" s="13">
        <f>IF($M1815="","",IFERROR(INDEX(Desig_Levels,MATCH($M1815,Desig_Codes,0)),""))</f>
        <v/>
      </c>
      <c r="P1815" s="12" t="n"/>
      <c r="Q1815" s="12" t="n"/>
      <c r="R1815" s="12" t="n"/>
      <c r="S1815" s="13">
        <f>IF($R1815="","",IFERROR(INDEX(Emp_Names,MATCH($R1815,Emp_Codes,0)),"NOT FOUND"))</f>
        <v/>
      </c>
      <c r="T1815" s="12" t="n"/>
      <c r="U1815" s="12" t="n"/>
      <c r="V1815" s="12" t="n"/>
    </row>
    <row r="1816">
      <c r="A1816" s="12" t="n"/>
      <c r="B1816" s="12" t="n"/>
      <c r="C1816" s="12" t="n"/>
      <c r="D1816" s="13">
        <f>IF($A1816="","",TRIM($B1816&amp;" "&amp;$C1816))</f>
        <v/>
      </c>
      <c r="E1816" s="12" t="n"/>
      <c r="F1816" s="12" t="n"/>
      <c r="G1816" s="14" t="n"/>
      <c r="H1816" s="14" t="n"/>
      <c r="I1816" s="12" t="n"/>
      <c r="J1816" s="14" t="n"/>
      <c r="K1816" s="12" t="n"/>
      <c r="L1816" s="13">
        <f>IF($K1816="","",IFERROR(INDEX(Dept_Names,MATCH($K1816,Dept_Codes,0)),"NOT FOUND"))</f>
        <v/>
      </c>
      <c r="M1816" s="12" t="n"/>
      <c r="N1816" s="13">
        <f>IF($M1816="","",IFERROR(INDEX(Desig_Names,MATCH($M1816,Desig_Codes,0)),"NOT FOUND"))</f>
        <v/>
      </c>
      <c r="O1816" s="13">
        <f>IF($M1816="","",IFERROR(INDEX(Desig_Levels,MATCH($M1816,Desig_Codes,0)),""))</f>
        <v/>
      </c>
      <c r="P1816" s="12" t="n"/>
      <c r="Q1816" s="12" t="n"/>
      <c r="R1816" s="12" t="n"/>
      <c r="S1816" s="13">
        <f>IF($R1816="","",IFERROR(INDEX(Emp_Names,MATCH($R1816,Emp_Codes,0)),"NOT FOUND"))</f>
        <v/>
      </c>
      <c r="T1816" s="12" t="n"/>
      <c r="U1816" s="12" t="n"/>
      <c r="V1816" s="12" t="n"/>
    </row>
    <row r="1817">
      <c r="A1817" s="12" t="n"/>
      <c r="B1817" s="12" t="n"/>
      <c r="C1817" s="12" t="n"/>
      <c r="D1817" s="13">
        <f>IF($A1817="","",TRIM($B1817&amp;" "&amp;$C1817))</f>
        <v/>
      </c>
      <c r="E1817" s="12" t="n"/>
      <c r="F1817" s="12" t="n"/>
      <c r="G1817" s="14" t="n"/>
      <c r="H1817" s="14" t="n"/>
      <c r="I1817" s="12" t="n"/>
      <c r="J1817" s="14" t="n"/>
      <c r="K1817" s="12" t="n"/>
      <c r="L1817" s="13">
        <f>IF($K1817="","",IFERROR(INDEX(Dept_Names,MATCH($K1817,Dept_Codes,0)),"NOT FOUND"))</f>
        <v/>
      </c>
      <c r="M1817" s="12" t="n"/>
      <c r="N1817" s="13">
        <f>IF($M1817="","",IFERROR(INDEX(Desig_Names,MATCH($M1817,Desig_Codes,0)),"NOT FOUND"))</f>
        <v/>
      </c>
      <c r="O1817" s="13">
        <f>IF($M1817="","",IFERROR(INDEX(Desig_Levels,MATCH($M1817,Desig_Codes,0)),""))</f>
        <v/>
      </c>
      <c r="P1817" s="12" t="n"/>
      <c r="Q1817" s="12" t="n"/>
      <c r="R1817" s="12" t="n"/>
      <c r="S1817" s="13">
        <f>IF($R1817="","",IFERROR(INDEX(Emp_Names,MATCH($R1817,Emp_Codes,0)),"NOT FOUND"))</f>
        <v/>
      </c>
      <c r="T1817" s="12" t="n"/>
      <c r="U1817" s="12" t="n"/>
      <c r="V1817" s="12" t="n"/>
    </row>
    <row r="1818">
      <c r="A1818" s="12" t="n"/>
      <c r="B1818" s="12" t="n"/>
      <c r="C1818" s="12" t="n"/>
      <c r="D1818" s="13">
        <f>IF($A1818="","",TRIM($B1818&amp;" "&amp;$C1818))</f>
        <v/>
      </c>
      <c r="E1818" s="12" t="n"/>
      <c r="F1818" s="12" t="n"/>
      <c r="G1818" s="14" t="n"/>
      <c r="H1818" s="14" t="n"/>
      <c r="I1818" s="12" t="n"/>
      <c r="J1818" s="14" t="n"/>
      <c r="K1818" s="12" t="n"/>
      <c r="L1818" s="13">
        <f>IF($K1818="","",IFERROR(INDEX(Dept_Names,MATCH($K1818,Dept_Codes,0)),"NOT FOUND"))</f>
        <v/>
      </c>
      <c r="M1818" s="12" t="n"/>
      <c r="N1818" s="13">
        <f>IF($M1818="","",IFERROR(INDEX(Desig_Names,MATCH($M1818,Desig_Codes,0)),"NOT FOUND"))</f>
        <v/>
      </c>
      <c r="O1818" s="13">
        <f>IF($M1818="","",IFERROR(INDEX(Desig_Levels,MATCH($M1818,Desig_Codes,0)),""))</f>
        <v/>
      </c>
      <c r="P1818" s="12" t="n"/>
      <c r="Q1818" s="12" t="n"/>
      <c r="R1818" s="12" t="n"/>
      <c r="S1818" s="13">
        <f>IF($R1818="","",IFERROR(INDEX(Emp_Names,MATCH($R1818,Emp_Codes,0)),"NOT FOUND"))</f>
        <v/>
      </c>
      <c r="T1818" s="12" t="n"/>
      <c r="U1818" s="12" t="n"/>
      <c r="V1818" s="12" t="n"/>
    </row>
    <row r="1819">
      <c r="A1819" s="12" t="n"/>
      <c r="B1819" s="12" t="n"/>
      <c r="C1819" s="12" t="n"/>
      <c r="D1819" s="13">
        <f>IF($A1819="","",TRIM($B1819&amp;" "&amp;$C1819))</f>
        <v/>
      </c>
      <c r="E1819" s="12" t="n"/>
      <c r="F1819" s="12" t="n"/>
      <c r="G1819" s="14" t="n"/>
      <c r="H1819" s="14" t="n"/>
      <c r="I1819" s="12" t="n"/>
      <c r="J1819" s="14" t="n"/>
      <c r="K1819" s="12" t="n"/>
      <c r="L1819" s="13">
        <f>IF($K1819="","",IFERROR(INDEX(Dept_Names,MATCH($K1819,Dept_Codes,0)),"NOT FOUND"))</f>
        <v/>
      </c>
      <c r="M1819" s="12" t="n"/>
      <c r="N1819" s="13">
        <f>IF($M1819="","",IFERROR(INDEX(Desig_Names,MATCH($M1819,Desig_Codes,0)),"NOT FOUND"))</f>
        <v/>
      </c>
      <c r="O1819" s="13">
        <f>IF($M1819="","",IFERROR(INDEX(Desig_Levels,MATCH($M1819,Desig_Codes,0)),""))</f>
        <v/>
      </c>
      <c r="P1819" s="12" t="n"/>
      <c r="Q1819" s="12" t="n"/>
      <c r="R1819" s="12" t="n"/>
      <c r="S1819" s="13">
        <f>IF($R1819="","",IFERROR(INDEX(Emp_Names,MATCH($R1819,Emp_Codes,0)),"NOT FOUND"))</f>
        <v/>
      </c>
      <c r="T1819" s="12" t="n"/>
      <c r="U1819" s="12" t="n"/>
      <c r="V1819" s="12" t="n"/>
    </row>
    <row r="1820">
      <c r="A1820" s="12" t="n"/>
      <c r="B1820" s="12" t="n"/>
      <c r="C1820" s="12" t="n"/>
      <c r="D1820" s="13">
        <f>IF($A1820="","",TRIM($B1820&amp;" "&amp;$C1820))</f>
        <v/>
      </c>
      <c r="E1820" s="12" t="n"/>
      <c r="F1820" s="12" t="n"/>
      <c r="G1820" s="14" t="n"/>
      <c r="H1820" s="14" t="n"/>
      <c r="I1820" s="12" t="n"/>
      <c r="J1820" s="14" t="n"/>
      <c r="K1820" s="12" t="n"/>
      <c r="L1820" s="13">
        <f>IF($K1820="","",IFERROR(INDEX(Dept_Names,MATCH($K1820,Dept_Codes,0)),"NOT FOUND"))</f>
        <v/>
      </c>
      <c r="M1820" s="12" t="n"/>
      <c r="N1820" s="13">
        <f>IF($M1820="","",IFERROR(INDEX(Desig_Names,MATCH($M1820,Desig_Codes,0)),"NOT FOUND"))</f>
        <v/>
      </c>
      <c r="O1820" s="13">
        <f>IF($M1820="","",IFERROR(INDEX(Desig_Levels,MATCH($M1820,Desig_Codes,0)),""))</f>
        <v/>
      </c>
      <c r="P1820" s="12" t="n"/>
      <c r="Q1820" s="12" t="n"/>
      <c r="R1820" s="12" t="n"/>
      <c r="S1820" s="13">
        <f>IF($R1820="","",IFERROR(INDEX(Emp_Names,MATCH($R1820,Emp_Codes,0)),"NOT FOUND"))</f>
        <v/>
      </c>
      <c r="T1820" s="12" t="n"/>
      <c r="U1820" s="12" t="n"/>
      <c r="V1820" s="12" t="n"/>
    </row>
    <row r="1821">
      <c r="A1821" s="12" t="n"/>
      <c r="B1821" s="12" t="n"/>
      <c r="C1821" s="12" t="n"/>
      <c r="D1821" s="13">
        <f>IF($A1821="","",TRIM($B1821&amp;" "&amp;$C1821))</f>
        <v/>
      </c>
      <c r="E1821" s="12" t="n"/>
      <c r="F1821" s="12" t="n"/>
      <c r="G1821" s="14" t="n"/>
      <c r="H1821" s="14" t="n"/>
      <c r="I1821" s="12" t="n"/>
      <c r="J1821" s="14" t="n"/>
      <c r="K1821" s="12" t="n"/>
      <c r="L1821" s="13">
        <f>IF($K1821="","",IFERROR(INDEX(Dept_Names,MATCH($K1821,Dept_Codes,0)),"NOT FOUND"))</f>
        <v/>
      </c>
      <c r="M1821" s="12" t="n"/>
      <c r="N1821" s="13">
        <f>IF($M1821="","",IFERROR(INDEX(Desig_Names,MATCH($M1821,Desig_Codes,0)),"NOT FOUND"))</f>
        <v/>
      </c>
      <c r="O1821" s="13">
        <f>IF($M1821="","",IFERROR(INDEX(Desig_Levels,MATCH($M1821,Desig_Codes,0)),""))</f>
        <v/>
      </c>
      <c r="P1821" s="12" t="n"/>
      <c r="Q1821" s="12" t="n"/>
      <c r="R1821" s="12" t="n"/>
      <c r="S1821" s="13">
        <f>IF($R1821="","",IFERROR(INDEX(Emp_Names,MATCH($R1821,Emp_Codes,0)),"NOT FOUND"))</f>
        <v/>
      </c>
      <c r="T1821" s="12" t="n"/>
      <c r="U1821" s="12" t="n"/>
      <c r="V1821" s="12" t="n"/>
    </row>
    <row r="1822">
      <c r="A1822" s="12" t="n"/>
      <c r="B1822" s="12" t="n"/>
      <c r="C1822" s="12" t="n"/>
      <c r="D1822" s="13">
        <f>IF($A1822="","",TRIM($B1822&amp;" "&amp;$C1822))</f>
        <v/>
      </c>
      <c r="E1822" s="12" t="n"/>
      <c r="F1822" s="12" t="n"/>
      <c r="G1822" s="14" t="n"/>
      <c r="H1822" s="14" t="n"/>
      <c r="I1822" s="12" t="n"/>
      <c r="J1822" s="14" t="n"/>
      <c r="K1822" s="12" t="n"/>
      <c r="L1822" s="13">
        <f>IF($K1822="","",IFERROR(INDEX(Dept_Names,MATCH($K1822,Dept_Codes,0)),"NOT FOUND"))</f>
        <v/>
      </c>
      <c r="M1822" s="12" t="n"/>
      <c r="N1822" s="13">
        <f>IF($M1822="","",IFERROR(INDEX(Desig_Names,MATCH($M1822,Desig_Codes,0)),"NOT FOUND"))</f>
        <v/>
      </c>
      <c r="O1822" s="13">
        <f>IF($M1822="","",IFERROR(INDEX(Desig_Levels,MATCH($M1822,Desig_Codes,0)),""))</f>
        <v/>
      </c>
      <c r="P1822" s="12" t="n"/>
      <c r="Q1822" s="12" t="n"/>
      <c r="R1822" s="12" t="n"/>
      <c r="S1822" s="13">
        <f>IF($R1822="","",IFERROR(INDEX(Emp_Names,MATCH($R1822,Emp_Codes,0)),"NOT FOUND"))</f>
        <v/>
      </c>
      <c r="T1822" s="12" t="n"/>
      <c r="U1822" s="12" t="n"/>
      <c r="V1822" s="12" t="n"/>
    </row>
    <row r="1823">
      <c r="A1823" s="12" t="n"/>
      <c r="B1823" s="12" t="n"/>
      <c r="C1823" s="12" t="n"/>
      <c r="D1823" s="13">
        <f>IF($A1823="","",TRIM($B1823&amp;" "&amp;$C1823))</f>
        <v/>
      </c>
      <c r="E1823" s="12" t="n"/>
      <c r="F1823" s="12" t="n"/>
      <c r="G1823" s="14" t="n"/>
      <c r="H1823" s="14" t="n"/>
      <c r="I1823" s="12" t="n"/>
      <c r="J1823" s="14" t="n"/>
      <c r="K1823" s="12" t="n"/>
      <c r="L1823" s="13">
        <f>IF($K1823="","",IFERROR(INDEX(Dept_Names,MATCH($K1823,Dept_Codes,0)),"NOT FOUND"))</f>
        <v/>
      </c>
      <c r="M1823" s="12" t="n"/>
      <c r="N1823" s="13">
        <f>IF($M1823="","",IFERROR(INDEX(Desig_Names,MATCH($M1823,Desig_Codes,0)),"NOT FOUND"))</f>
        <v/>
      </c>
      <c r="O1823" s="13">
        <f>IF($M1823="","",IFERROR(INDEX(Desig_Levels,MATCH($M1823,Desig_Codes,0)),""))</f>
        <v/>
      </c>
      <c r="P1823" s="12" t="n"/>
      <c r="Q1823" s="12" t="n"/>
      <c r="R1823" s="12" t="n"/>
      <c r="S1823" s="13">
        <f>IF($R1823="","",IFERROR(INDEX(Emp_Names,MATCH($R1823,Emp_Codes,0)),"NOT FOUND"))</f>
        <v/>
      </c>
      <c r="T1823" s="12" t="n"/>
      <c r="U1823" s="12" t="n"/>
      <c r="V1823" s="12" t="n"/>
    </row>
    <row r="1824">
      <c r="A1824" s="12" t="n"/>
      <c r="B1824" s="12" t="n"/>
      <c r="C1824" s="12" t="n"/>
      <c r="D1824" s="13">
        <f>IF($A1824="","",TRIM($B1824&amp;" "&amp;$C1824))</f>
        <v/>
      </c>
      <c r="E1824" s="12" t="n"/>
      <c r="F1824" s="12" t="n"/>
      <c r="G1824" s="14" t="n"/>
      <c r="H1824" s="14" t="n"/>
      <c r="I1824" s="12" t="n"/>
      <c r="J1824" s="14" t="n"/>
      <c r="K1824" s="12" t="n"/>
      <c r="L1824" s="13">
        <f>IF($K1824="","",IFERROR(INDEX(Dept_Names,MATCH($K1824,Dept_Codes,0)),"NOT FOUND"))</f>
        <v/>
      </c>
      <c r="M1824" s="12" t="n"/>
      <c r="N1824" s="13">
        <f>IF($M1824="","",IFERROR(INDEX(Desig_Names,MATCH($M1824,Desig_Codes,0)),"NOT FOUND"))</f>
        <v/>
      </c>
      <c r="O1824" s="13">
        <f>IF($M1824="","",IFERROR(INDEX(Desig_Levels,MATCH($M1824,Desig_Codes,0)),""))</f>
        <v/>
      </c>
      <c r="P1824" s="12" t="n"/>
      <c r="Q1824" s="12" t="n"/>
      <c r="R1824" s="12" t="n"/>
      <c r="S1824" s="13">
        <f>IF($R1824="","",IFERROR(INDEX(Emp_Names,MATCH($R1824,Emp_Codes,0)),"NOT FOUND"))</f>
        <v/>
      </c>
      <c r="T1824" s="12" t="n"/>
      <c r="U1824" s="12" t="n"/>
      <c r="V1824" s="12" t="n"/>
    </row>
    <row r="1825">
      <c r="A1825" s="12" t="n"/>
      <c r="B1825" s="12" t="n"/>
      <c r="C1825" s="12" t="n"/>
      <c r="D1825" s="13">
        <f>IF($A1825="","",TRIM($B1825&amp;" "&amp;$C1825))</f>
        <v/>
      </c>
      <c r="E1825" s="12" t="n"/>
      <c r="F1825" s="12" t="n"/>
      <c r="G1825" s="14" t="n"/>
      <c r="H1825" s="14" t="n"/>
      <c r="I1825" s="12" t="n"/>
      <c r="J1825" s="14" t="n"/>
      <c r="K1825" s="12" t="n"/>
      <c r="L1825" s="13">
        <f>IF($K1825="","",IFERROR(INDEX(Dept_Names,MATCH($K1825,Dept_Codes,0)),"NOT FOUND"))</f>
        <v/>
      </c>
      <c r="M1825" s="12" t="n"/>
      <c r="N1825" s="13">
        <f>IF($M1825="","",IFERROR(INDEX(Desig_Names,MATCH($M1825,Desig_Codes,0)),"NOT FOUND"))</f>
        <v/>
      </c>
      <c r="O1825" s="13">
        <f>IF($M1825="","",IFERROR(INDEX(Desig_Levels,MATCH($M1825,Desig_Codes,0)),""))</f>
        <v/>
      </c>
      <c r="P1825" s="12" t="n"/>
      <c r="Q1825" s="12" t="n"/>
      <c r="R1825" s="12" t="n"/>
      <c r="S1825" s="13">
        <f>IF($R1825="","",IFERROR(INDEX(Emp_Names,MATCH($R1825,Emp_Codes,0)),"NOT FOUND"))</f>
        <v/>
      </c>
      <c r="T1825" s="12" t="n"/>
      <c r="U1825" s="12" t="n"/>
      <c r="V1825" s="12" t="n"/>
    </row>
    <row r="1826">
      <c r="A1826" s="12" t="n"/>
      <c r="B1826" s="12" t="n"/>
      <c r="C1826" s="12" t="n"/>
      <c r="D1826" s="13">
        <f>IF($A1826="","",TRIM($B1826&amp;" "&amp;$C1826))</f>
        <v/>
      </c>
      <c r="E1826" s="12" t="n"/>
      <c r="F1826" s="12" t="n"/>
      <c r="G1826" s="14" t="n"/>
      <c r="H1826" s="14" t="n"/>
      <c r="I1826" s="12" t="n"/>
      <c r="J1826" s="14" t="n"/>
      <c r="K1826" s="12" t="n"/>
      <c r="L1826" s="13">
        <f>IF($K1826="","",IFERROR(INDEX(Dept_Names,MATCH($K1826,Dept_Codes,0)),"NOT FOUND"))</f>
        <v/>
      </c>
      <c r="M1826" s="12" t="n"/>
      <c r="N1826" s="13">
        <f>IF($M1826="","",IFERROR(INDEX(Desig_Names,MATCH($M1826,Desig_Codes,0)),"NOT FOUND"))</f>
        <v/>
      </c>
      <c r="O1826" s="13">
        <f>IF($M1826="","",IFERROR(INDEX(Desig_Levels,MATCH($M1826,Desig_Codes,0)),""))</f>
        <v/>
      </c>
      <c r="P1826" s="12" t="n"/>
      <c r="Q1826" s="12" t="n"/>
      <c r="R1826" s="12" t="n"/>
      <c r="S1826" s="13">
        <f>IF($R1826="","",IFERROR(INDEX(Emp_Names,MATCH($R1826,Emp_Codes,0)),"NOT FOUND"))</f>
        <v/>
      </c>
      <c r="T1826" s="12" t="n"/>
      <c r="U1826" s="12" t="n"/>
      <c r="V1826" s="12" t="n"/>
    </row>
    <row r="1827">
      <c r="A1827" s="12" t="n"/>
      <c r="B1827" s="12" t="n"/>
      <c r="C1827" s="12" t="n"/>
      <c r="D1827" s="13">
        <f>IF($A1827="","",TRIM($B1827&amp;" "&amp;$C1827))</f>
        <v/>
      </c>
      <c r="E1827" s="12" t="n"/>
      <c r="F1827" s="12" t="n"/>
      <c r="G1827" s="14" t="n"/>
      <c r="H1827" s="14" t="n"/>
      <c r="I1827" s="12" t="n"/>
      <c r="J1827" s="14" t="n"/>
      <c r="K1827" s="12" t="n"/>
      <c r="L1827" s="13">
        <f>IF($K1827="","",IFERROR(INDEX(Dept_Names,MATCH($K1827,Dept_Codes,0)),"NOT FOUND"))</f>
        <v/>
      </c>
      <c r="M1827" s="12" t="n"/>
      <c r="N1827" s="13">
        <f>IF($M1827="","",IFERROR(INDEX(Desig_Names,MATCH($M1827,Desig_Codes,0)),"NOT FOUND"))</f>
        <v/>
      </c>
      <c r="O1827" s="13">
        <f>IF($M1827="","",IFERROR(INDEX(Desig_Levels,MATCH($M1827,Desig_Codes,0)),""))</f>
        <v/>
      </c>
      <c r="P1827" s="12" t="n"/>
      <c r="Q1827" s="12" t="n"/>
      <c r="R1827" s="12" t="n"/>
      <c r="S1827" s="13">
        <f>IF($R1827="","",IFERROR(INDEX(Emp_Names,MATCH($R1827,Emp_Codes,0)),"NOT FOUND"))</f>
        <v/>
      </c>
      <c r="T1827" s="12" t="n"/>
      <c r="U1827" s="12" t="n"/>
      <c r="V1827" s="12" t="n"/>
    </row>
    <row r="1828">
      <c r="A1828" s="12" t="n"/>
      <c r="B1828" s="12" t="n"/>
      <c r="C1828" s="12" t="n"/>
      <c r="D1828" s="13">
        <f>IF($A1828="","",TRIM($B1828&amp;" "&amp;$C1828))</f>
        <v/>
      </c>
      <c r="E1828" s="12" t="n"/>
      <c r="F1828" s="12" t="n"/>
      <c r="G1828" s="14" t="n"/>
      <c r="H1828" s="14" t="n"/>
      <c r="I1828" s="12" t="n"/>
      <c r="J1828" s="14" t="n"/>
      <c r="K1828" s="12" t="n"/>
      <c r="L1828" s="13">
        <f>IF($K1828="","",IFERROR(INDEX(Dept_Names,MATCH($K1828,Dept_Codes,0)),"NOT FOUND"))</f>
        <v/>
      </c>
      <c r="M1828" s="12" t="n"/>
      <c r="N1828" s="13">
        <f>IF($M1828="","",IFERROR(INDEX(Desig_Names,MATCH($M1828,Desig_Codes,0)),"NOT FOUND"))</f>
        <v/>
      </c>
      <c r="O1828" s="13">
        <f>IF($M1828="","",IFERROR(INDEX(Desig_Levels,MATCH($M1828,Desig_Codes,0)),""))</f>
        <v/>
      </c>
      <c r="P1828" s="12" t="n"/>
      <c r="Q1828" s="12" t="n"/>
      <c r="R1828" s="12" t="n"/>
      <c r="S1828" s="13">
        <f>IF($R1828="","",IFERROR(INDEX(Emp_Names,MATCH($R1828,Emp_Codes,0)),"NOT FOUND"))</f>
        <v/>
      </c>
      <c r="T1828" s="12" t="n"/>
      <c r="U1828" s="12" t="n"/>
      <c r="V1828" s="12" t="n"/>
    </row>
    <row r="1829">
      <c r="A1829" s="12" t="n"/>
      <c r="B1829" s="12" t="n"/>
      <c r="C1829" s="12" t="n"/>
      <c r="D1829" s="13">
        <f>IF($A1829="","",TRIM($B1829&amp;" "&amp;$C1829))</f>
        <v/>
      </c>
      <c r="E1829" s="12" t="n"/>
      <c r="F1829" s="12" t="n"/>
      <c r="G1829" s="14" t="n"/>
      <c r="H1829" s="14" t="n"/>
      <c r="I1829" s="12" t="n"/>
      <c r="J1829" s="14" t="n"/>
      <c r="K1829" s="12" t="n"/>
      <c r="L1829" s="13">
        <f>IF($K1829="","",IFERROR(INDEX(Dept_Names,MATCH($K1829,Dept_Codes,0)),"NOT FOUND"))</f>
        <v/>
      </c>
      <c r="M1829" s="12" t="n"/>
      <c r="N1829" s="13">
        <f>IF($M1829="","",IFERROR(INDEX(Desig_Names,MATCH($M1829,Desig_Codes,0)),"NOT FOUND"))</f>
        <v/>
      </c>
      <c r="O1829" s="13">
        <f>IF($M1829="","",IFERROR(INDEX(Desig_Levels,MATCH($M1829,Desig_Codes,0)),""))</f>
        <v/>
      </c>
      <c r="P1829" s="12" t="n"/>
      <c r="Q1829" s="12" t="n"/>
      <c r="R1829" s="12" t="n"/>
      <c r="S1829" s="13">
        <f>IF($R1829="","",IFERROR(INDEX(Emp_Names,MATCH($R1829,Emp_Codes,0)),"NOT FOUND"))</f>
        <v/>
      </c>
      <c r="T1829" s="12" t="n"/>
      <c r="U1829" s="12" t="n"/>
      <c r="V1829" s="12" t="n"/>
    </row>
    <row r="1830">
      <c r="A1830" s="12" t="n"/>
      <c r="B1830" s="12" t="n"/>
      <c r="C1830" s="12" t="n"/>
      <c r="D1830" s="13">
        <f>IF($A1830="","",TRIM($B1830&amp;" "&amp;$C1830))</f>
        <v/>
      </c>
      <c r="E1830" s="12" t="n"/>
      <c r="F1830" s="12" t="n"/>
      <c r="G1830" s="14" t="n"/>
      <c r="H1830" s="14" t="n"/>
      <c r="I1830" s="12" t="n"/>
      <c r="J1830" s="14" t="n"/>
      <c r="K1830" s="12" t="n"/>
      <c r="L1830" s="13">
        <f>IF($K1830="","",IFERROR(INDEX(Dept_Names,MATCH($K1830,Dept_Codes,0)),"NOT FOUND"))</f>
        <v/>
      </c>
      <c r="M1830" s="12" t="n"/>
      <c r="N1830" s="13">
        <f>IF($M1830="","",IFERROR(INDEX(Desig_Names,MATCH($M1830,Desig_Codes,0)),"NOT FOUND"))</f>
        <v/>
      </c>
      <c r="O1830" s="13">
        <f>IF($M1830="","",IFERROR(INDEX(Desig_Levels,MATCH($M1830,Desig_Codes,0)),""))</f>
        <v/>
      </c>
      <c r="P1830" s="12" t="n"/>
      <c r="Q1830" s="12" t="n"/>
      <c r="R1830" s="12" t="n"/>
      <c r="S1830" s="13">
        <f>IF($R1830="","",IFERROR(INDEX(Emp_Names,MATCH($R1830,Emp_Codes,0)),"NOT FOUND"))</f>
        <v/>
      </c>
      <c r="T1830" s="12" t="n"/>
      <c r="U1830" s="12" t="n"/>
      <c r="V1830" s="12" t="n"/>
    </row>
    <row r="1831">
      <c r="A1831" s="12" t="n"/>
      <c r="B1831" s="12" t="n"/>
      <c r="C1831" s="12" t="n"/>
      <c r="D1831" s="13">
        <f>IF($A1831="","",TRIM($B1831&amp;" "&amp;$C1831))</f>
        <v/>
      </c>
      <c r="E1831" s="12" t="n"/>
      <c r="F1831" s="12" t="n"/>
      <c r="G1831" s="14" t="n"/>
      <c r="H1831" s="14" t="n"/>
      <c r="I1831" s="12" t="n"/>
      <c r="J1831" s="14" t="n"/>
      <c r="K1831" s="12" t="n"/>
      <c r="L1831" s="13">
        <f>IF($K1831="","",IFERROR(INDEX(Dept_Names,MATCH($K1831,Dept_Codes,0)),"NOT FOUND"))</f>
        <v/>
      </c>
      <c r="M1831" s="12" t="n"/>
      <c r="N1831" s="13">
        <f>IF($M1831="","",IFERROR(INDEX(Desig_Names,MATCH($M1831,Desig_Codes,0)),"NOT FOUND"))</f>
        <v/>
      </c>
      <c r="O1831" s="13">
        <f>IF($M1831="","",IFERROR(INDEX(Desig_Levels,MATCH($M1831,Desig_Codes,0)),""))</f>
        <v/>
      </c>
      <c r="P1831" s="12" t="n"/>
      <c r="Q1831" s="12" t="n"/>
      <c r="R1831" s="12" t="n"/>
      <c r="S1831" s="13">
        <f>IF($R1831="","",IFERROR(INDEX(Emp_Names,MATCH($R1831,Emp_Codes,0)),"NOT FOUND"))</f>
        <v/>
      </c>
      <c r="T1831" s="12" t="n"/>
      <c r="U1831" s="12" t="n"/>
      <c r="V1831" s="12" t="n"/>
    </row>
    <row r="1832">
      <c r="A1832" s="12" t="n"/>
      <c r="B1832" s="12" t="n"/>
      <c r="C1832" s="12" t="n"/>
      <c r="D1832" s="13">
        <f>IF($A1832="","",TRIM($B1832&amp;" "&amp;$C1832))</f>
        <v/>
      </c>
      <c r="E1832" s="12" t="n"/>
      <c r="F1832" s="12" t="n"/>
      <c r="G1832" s="14" t="n"/>
      <c r="H1832" s="14" t="n"/>
      <c r="I1832" s="12" t="n"/>
      <c r="J1832" s="14" t="n"/>
      <c r="K1832" s="12" t="n"/>
      <c r="L1832" s="13">
        <f>IF($K1832="","",IFERROR(INDEX(Dept_Names,MATCH($K1832,Dept_Codes,0)),"NOT FOUND"))</f>
        <v/>
      </c>
      <c r="M1832" s="12" t="n"/>
      <c r="N1832" s="13">
        <f>IF($M1832="","",IFERROR(INDEX(Desig_Names,MATCH($M1832,Desig_Codes,0)),"NOT FOUND"))</f>
        <v/>
      </c>
      <c r="O1832" s="13">
        <f>IF($M1832="","",IFERROR(INDEX(Desig_Levels,MATCH($M1832,Desig_Codes,0)),""))</f>
        <v/>
      </c>
      <c r="P1832" s="12" t="n"/>
      <c r="Q1832" s="12" t="n"/>
      <c r="R1832" s="12" t="n"/>
      <c r="S1832" s="13">
        <f>IF($R1832="","",IFERROR(INDEX(Emp_Names,MATCH($R1832,Emp_Codes,0)),"NOT FOUND"))</f>
        <v/>
      </c>
      <c r="T1832" s="12" t="n"/>
      <c r="U1832" s="12" t="n"/>
      <c r="V1832" s="12" t="n"/>
    </row>
    <row r="1833">
      <c r="A1833" s="12" t="n"/>
      <c r="B1833" s="12" t="n"/>
      <c r="C1833" s="12" t="n"/>
      <c r="D1833" s="13">
        <f>IF($A1833="","",TRIM($B1833&amp;" "&amp;$C1833))</f>
        <v/>
      </c>
      <c r="E1833" s="12" t="n"/>
      <c r="F1833" s="12" t="n"/>
      <c r="G1833" s="14" t="n"/>
      <c r="H1833" s="14" t="n"/>
      <c r="I1833" s="12" t="n"/>
      <c r="J1833" s="14" t="n"/>
      <c r="K1833" s="12" t="n"/>
      <c r="L1833" s="13">
        <f>IF($K1833="","",IFERROR(INDEX(Dept_Names,MATCH($K1833,Dept_Codes,0)),"NOT FOUND"))</f>
        <v/>
      </c>
      <c r="M1833" s="12" t="n"/>
      <c r="N1833" s="13">
        <f>IF($M1833="","",IFERROR(INDEX(Desig_Names,MATCH($M1833,Desig_Codes,0)),"NOT FOUND"))</f>
        <v/>
      </c>
      <c r="O1833" s="13">
        <f>IF($M1833="","",IFERROR(INDEX(Desig_Levels,MATCH($M1833,Desig_Codes,0)),""))</f>
        <v/>
      </c>
      <c r="P1833" s="12" t="n"/>
      <c r="Q1833" s="12" t="n"/>
      <c r="R1833" s="12" t="n"/>
      <c r="S1833" s="13">
        <f>IF($R1833="","",IFERROR(INDEX(Emp_Names,MATCH($R1833,Emp_Codes,0)),"NOT FOUND"))</f>
        <v/>
      </c>
      <c r="T1833" s="12" t="n"/>
      <c r="U1833" s="12" t="n"/>
      <c r="V1833" s="12" t="n"/>
    </row>
    <row r="1834">
      <c r="A1834" s="12" t="n"/>
      <c r="B1834" s="12" t="n"/>
      <c r="C1834" s="12" t="n"/>
      <c r="D1834" s="13">
        <f>IF($A1834="","",TRIM($B1834&amp;" "&amp;$C1834))</f>
        <v/>
      </c>
      <c r="E1834" s="12" t="n"/>
      <c r="F1834" s="12" t="n"/>
      <c r="G1834" s="14" t="n"/>
      <c r="H1834" s="14" t="n"/>
      <c r="I1834" s="12" t="n"/>
      <c r="J1834" s="14" t="n"/>
      <c r="K1834" s="12" t="n"/>
      <c r="L1834" s="13">
        <f>IF($K1834="","",IFERROR(INDEX(Dept_Names,MATCH($K1834,Dept_Codes,0)),"NOT FOUND"))</f>
        <v/>
      </c>
      <c r="M1834" s="12" t="n"/>
      <c r="N1834" s="13">
        <f>IF($M1834="","",IFERROR(INDEX(Desig_Names,MATCH($M1834,Desig_Codes,0)),"NOT FOUND"))</f>
        <v/>
      </c>
      <c r="O1834" s="13">
        <f>IF($M1834="","",IFERROR(INDEX(Desig_Levels,MATCH($M1834,Desig_Codes,0)),""))</f>
        <v/>
      </c>
      <c r="P1834" s="12" t="n"/>
      <c r="Q1834" s="12" t="n"/>
      <c r="R1834" s="12" t="n"/>
      <c r="S1834" s="13">
        <f>IF($R1834="","",IFERROR(INDEX(Emp_Names,MATCH($R1834,Emp_Codes,0)),"NOT FOUND"))</f>
        <v/>
      </c>
      <c r="T1834" s="12" t="n"/>
      <c r="U1834" s="12" t="n"/>
      <c r="V1834" s="12" t="n"/>
    </row>
    <row r="1835">
      <c r="A1835" s="12" t="n"/>
      <c r="B1835" s="12" t="n"/>
      <c r="C1835" s="12" t="n"/>
      <c r="D1835" s="13">
        <f>IF($A1835="","",TRIM($B1835&amp;" "&amp;$C1835))</f>
        <v/>
      </c>
      <c r="E1835" s="12" t="n"/>
      <c r="F1835" s="12" t="n"/>
      <c r="G1835" s="14" t="n"/>
      <c r="H1835" s="14" t="n"/>
      <c r="I1835" s="12" t="n"/>
      <c r="J1835" s="14" t="n"/>
      <c r="K1835" s="12" t="n"/>
      <c r="L1835" s="13">
        <f>IF($K1835="","",IFERROR(INDEX(Dept_Names,MATCH($K1835,Dept_Codes,0)),"NOT FOUND"))</f>
        <v/>
      </c>
      <c r="M1835" s="12" t="n"/>
      <c r="N1835" s="13">
        <f>IF($M1835="","",IFERROR(INDEX(Desig_Names,MATCH($M1835,Desig_Codes,0)),"NOT FOUND"))</f>
        <v/>
      </c>
      <c r="O1835" s="13">
        <f>IF($M1835="","",IFERROR(INDEX(Desig_Levels,MATCH($M1835,Desig_Codes,0)),""))</f>
        <v/>
      </c>
      <c r="P1835" s="12" t="n"/>
      <c r="Q1835" s="12" t="n"/>
      <c r="R1835" s="12" t="n"/>
      <c r="S1835" s="13">
        <f>IF($R1835="","",IFERROR(INDEX(Emp_Names,MATCH($R1835,Emp_Codes,0)),"NOT FOUND"))</f>
        <v/>
      </c>
      <c r="T1835" s="12" t="n"/>
      <c r="U1835" s="12" t="n"/>
      <c r="V1835" s="12" t="n"/>
    </row>
    <row r="1836">
      <c r="A1836" s="12" t="n"/>
      <c r="B1836" s="12" t="n"/>
      <c r="C1836" s="12" t="n"/>
      <c r="D1836" s="13">
        <f>IF($A1836="","",TRIM($B1836&amp;" "&amp;$C1836))</f>
        <v/>
      </c>
      <c r="E1836" s="12" t="n"/>
      <c r="F1836" s="12" t="n"/>
      <c r="G1836" s="14" t="n"/>
      <c r="H1836" s="14" t="n"/>
      <c r="I1836" s="12" t="n"/>
      <c r="J1836" s="14" t="n"/>
      <c r="K1836" s="12" t="n"/>
      <c r="L1836" s="13">
        <f>IF($K1836="","",IFERROR(INDEX(Dept_Names,MATCH($K1836,Dept_Codes,0)),"NOT FOUND"))</f>
        <v/>
      </c>
      <c r="M1836" s="12" t="n"/>
      <c r="N1836" s="13">
        <f>IF($M1836="","",IFERROR(INDEX(Desig_Names,MATCH($M1836,Desig_Codes,0)),"NOT FOUND"))</f>
        <v/>
      </c>
      <c r="O1836" s="13">
        <f>IF($M1836="","",IFERROR(INDEX(Desig_Levels,MATCH($M1836,Desig_Codes,0)),""))</f>
        <v/>
      </c>
      <c r="P1836" s="12" t="n"/>
      <c r="Q1836" s="12" t="n"/>
      <c r="R1836" s="12" t="n"/>
      <c r="S1836" s="13">
        <f>IF($R1836="","",IFERROR(INDEX(Emp_Names,MATCH($R1836,Emp_Codes,0)),"NOT FOUND"))</f>
        <v/>
      </c>
      <c r="T1836" s="12" t="n"/>
      <c r="U1836" s="12" t="n"/>
      <c r="V1836" s="12" t="n"/>
    </row>
    <row r="1837">
      <c r="A1837" s="12" t="n"/>
      <c r="B1837" s="12" t="n"/>
      <c r="C1837" s="12" t="n"/>
      <c r="D1837" s="13">
        <f>IF($A1837="","",TRIM($B1837&amp;" "&amp;$C1837))</f>
        <v/>
      </c>
      <c r="E1837" s="12" t="n"/>
      <c r="F1837" s="12" t="n"/>
      <c r="G1837" s="14" t="n"/>
      <c r="H1837" s="14" t="n"/>
      <c r="I1837" s="12" t="n"/>
      <c r="J1837" s="14" t="n"/>
      <c r="K1837" s="12" t="n"/>
      <c r="L1837" s="13">
        <f>IF($K1837="","",IFERROR(INDEX(Dept_Names,MATCH($K1837,Dept_Codes,0)),"NOT FOUND"))</f>
        <v/>
      </c>
      <c r="M1837" s="12" t="n"/>
      <c r="N1837" s="13">
        <f>IF($M1837="","",IFERROR(INDEX(Desig_Names,MATCH($M1837,Desig_Codes,0)),"NOT FOUND"))</f>
        <v/>
      </c>
      <c r="O1837" s="13">
        <f>IF($M1837="","",IFERROR(INDEX(Desig_Levels,MATCH($M1837,Desig_Codes,0)),""))</f>
        <v/>
      </c>
      <c r="P1837" s="12" t="n"/>
      <c r="Q1837" s="12" t="n"/>
      <c r="R1837" s="12" t="n"/>
      <c r="S1837" s="13">
        <f>IF($R1837="","",IFERROR(INDEX(Emp_Names,MATCH($R1837,Emp_Codes,0)),"NOT FOUND"))</f>
        <v/>
      </c>
      <c r="T1837" s="12" t="n"/>
      <c r="U1837" s="12" t="n"/>
      <c r="V1837" s="12" t="n"/>
    </row>
    <row r="1838">
      <c r="A1838" s="12" t="n"/>
      <c r="B1838" s="12" t="n"/>
      <c r="C1838" s="12" t="n"/>
      <c r="D1838" s="13">
        <f>IF($A1838="","",TRIM($B1838&amp;" "&amp;$C1838))</f>
        <v/>
      </c>
      <c r="E1838" s="12" t="n"/>
      <c r="F1838" s="12" t="n"/>
      <c r="G1838" s="14" t="n"/>
      <c r="H1838" s="14" t="n"/>
      <c r="I1838" s="12" t="n"/>
      <c r="J1838" s="14" t="n"/>
      <c r="K1838" s="12" t="n"/>
      <c r="L1838" s="13">
        <f>IF($K1838="","",IFERROR(INDEX(Dept_Names,MATCH($K1838,Dept_Codes,0)),"NOT FOUND"))</f>
        <v/>
      </c>
      <c r="M1838" s="12" t="n"/>
      <c r="N1838" s="13">
        <f>IF($M1838="","",IFERROR(INDEX(Desig_Names,MATCH($M1838,Desig_Codes,0)),"NOT FOUND"))</f>
        <v/>
      </c>
      <c r="O1838" s="13">
        <f>IF($M1838="","",IFERROR(INDEX(Desig_Levels,MATCH($M1838,Desig_Codes,0)),""))</f>
        <v/>
      </c>
      <c r="P1838" s="12" t="n"/>
      <c r="Q1838" s="12" t="n"/>
      <c r="R1838" s="12" t="n"/>
      <c r="S1838" s="13">
        <f>IF($R1838="","",IFERROR(INDEX(Emp_Names,MATCH($R1838,Emp_Codes,0)),"NOT FOUND"))</f>
        <v/>
      </c>
      <c r="T1838" s="12" t="n"/>
      <c r="U1838" s="12" t="n"/>
      <c r="V1838" s="12" t="n"/>
    </row>
    <row r="1839">
      <c r="A1839" s="12" t="n"/>
      <c r="B1839" s="12" t="n"/>
      <c r="C1839" s="12" t="n"/>
      <c r="D1839" s="13">
        <f>IF($A1839="","",TRIM($B1839&amp;" "&amp;$C1839))</f>
        <v/>
      </c>
      <c r="E1839" s="12" t="n"/>
      <c r="F1839" s="12" t="n"/>
      <c r="G1839" s="14" t="n"/>
      <c r="H1839" s="14" t="n"/>
      <c r="I1839" s="12" t="n"/>
      <c r="J1839" s="14" t="n"/>
      <c r="K1839" s="12" t="n"/>
      <c r="L1839" s="13">
        <f>IF($K1839="","",IFERROR(INDEX(Dept_Names,MATCH($K1839,Dept_Codes,0)),"NOT FOUND"))</f>
        <v/>
      </c>
      <c r="M1839" s="12" t="n"/>
      <c r="N1839" s="13">
        <f>IF($M1839="","",IFERROR(INDEX(Desig_Names,MATCH($M1839,Desig_Codes,0)),"NOT FOUND"))</f>
        <v/>
      </c>
      <c r="O1839" s="13">
        <f>IF($M1839="","",IFERROR(INDEX(Desig_Levels,MATCH($M1839,Desig_Codes,0)),""))</f>
        <v/>
      </c>
      <c r="P1839" s="12" t="n"/>
      <c r="Q1839" s="12" t="n"/>
      <c r="R1839" s="12" t="n"/>
      <c r="S1839" s="13">
        <f>IF($R1839="","",IFERROR(INDEX(Emp_Names,MATCH($R1839,Emp_Codes,0)),"NOT FOUND"))</f>
        <v/>
      </c>
      <c r="T1839" s="12" t="n"/>
      <c r="U1839" s="12" t="n"/>
      <c r="V1839" s="12" t="n"/>
    </row>
    <row r="1840">
      <c r="A1840" s="12" t="n"/>
      <c r="B1840" s="12" t="n"/>
      <c r="C1840" s="12" t="n"/>
      <c r="D1840" s="13">
        <f>IF($A1840="","",TRIM($B1840&amp;" "&amp;$C1840))</f>
        <v/>
      </c>
      <c r="E1840" s="12" t="n"/>
      <c r="F1840" s="12" t="n"/>
      <c r="G1840" s="14" t="n"/>
      <c r="H1840" s="14" t="n"/>
      <c r="I1840" s="12" t="n"/>
      <c r="J1840" s="14" t="n"/>
      <c r="K1840" s="12" t="n"/>
      <c r="L1840" s="13">
        <f>IF($K1840="","",IFERROR(INDEX(Dept_Names,MATCH($K1840,Dept_Codes,0)),"NOT FOUND"))</f>
        <v/>
      </c>
      <c r="M1840" s="12" t="n"/>
      <c r="N1840" s="13">
        <f>IF($M1840="","",IFERROR(INDEX(Desig_Names,MATCH($M1840,Desig_Codes,0)),"NOT FOUND"))</f>
        <v/>
      </c>
      <c r="O1840" s="13">
        <f>IF($M1840="","",IFERROR(INDEX(Desig_Levels,MATCH($M1840,Desig_Codes,0)),""))</f>
        <v/>
      </c>
      <c r="P1840" s="12" t="n"/>
      <c r="Q1840" s="12" t="n"/>
      <c r="R1840" s="12" t="n"/>
      <c r="S1840" s="13">
        <f>IF($R1840="","",IFERROR(INDEX(Emp_Names,MATCH($R1840,Emp_Codes,0)),"NOT FOUND"))</f>
        <v/>
      </c>
      <c r="T1840" s="12" t="n"/>
      <c r="U1840" s="12" t="n"/>
      <c r="V1840" s="12" t="n"/>
    </row>
    <row r="1841">
      <c r="A1841" s="12" t="n"/>
      <c r="B1841" s="12" t="n"/>
      <c r="C1841" s="12" t="n"/>
      <c r="D1841" s="13">
        <f>IF($A1841="","",TRIM($B1841&amp;" "&amp;$C1841))</f>
        <v/>
      </c>
      <c r="E1841" s="12" t="n"/>
      <c r="F1841" s="12" t="n"/>
      <c r="G1841" s="14" t="n"/>
      <c r="H1841" s="14" t="n"/>
      <c r="I1841" s="12" t="n"/>
      <c r="J1841" s="14" t="n"/>
      <c r="K1841" s="12" t="n"/>
      <c r="L1841" s="13">
        <f>IF($K1841="","",IFERROR(INDEX(Dept_Names,MATCH($K1841,Dept_Codes,0)),"NOT FOUND"))</f>
        <v/>
      </c>
      <c r="M1841" s="12" t="n"/>
      <c r="N1841" s="13">
        <f>IF($M1841="","",IFERROR(INDEX(Desig_Names,MATCH($M1841,Desig_Codes,0)),"NOT FOUND"))</f>
        <v/>
      </c>
      <c r="O1841" s="13">
        <f>IF($M1841="","",IFERROR(INDEX(Desig_Levels,MATCH($M1841,Desig_Codes,0)),""))</f>
        <v/>
      </c>
      <c r="P1841" s="12" t="n"/>
      <c r="Q1841" s="12" t="n"/>
      <c r="R1841" s="12" t="n"/>
      <c r="S1841" s="13">
        <f>IF($R1841="","",IFERROR(INDEX(Emp_Names,MATCH($R1841,Emp_Codes,0)),"NOT FOUND"))</f>
        <v/>
      </c>
      <c r="T1841" s="12" t="n"/>
      <c r="U1841" s="12" t="n"/>
      <c r="V1841" s="12" t="n"/>
    </row>
    <row r="1842">
      <c r="A1842" s="12" t="n"/>
      <c r="B1842" s="12" t="n"/>
      <c r="C1842" s="12" t="n"/>
      <c r="D1842" s="13">
        <f>IF($A1842="","",TRIM($B1842&amp;" "&amp;$C1842))</f>
        <v/>
      </c>
      <c r="E1842" s="12" t="n"/>
      <c r="F1842" s="12" t="n"/>
      <c r="G1842" s="14" t="n"/>
      <c r="H1842" s="14" t="n"/>
      <c r="I1842" s="12" t="n"/>
      <c r="J1842" s="14" t="n"/>
      <c r="K1842" s="12" t="n"/>
      <c r="L1842" s="13">
        <f>IF($K1842="","",IFERROR(INDEX(Dept_Names,MATCH($K1842,Dept_Codes,0)),"NOT FOUND"))</f>
        <v/>
      </c>
      <c r="M1842" s="12" t="n"/>
      <c r="N1842" s="13">
        <f>IF($M1842="","",IFERROR(INDEX(Desig_Names,MATCH($M1842,Desig_Codes,0)),"NOT FOUND"))</f>
        <v/>
      </c>
      <c r="O1842" s="13">
        <f>IF($M1842="","",IFERROR(INDEX(Desig_Levels,MATCH($M1842,Desig_Codes,0)),""))</f>
        <v/>
      </c>
      <c r="P1842" s="12" t="n"/>
      <c r="Q1842" s="12" t="n"/>
      <c r="R1842" s="12" t="n"/>
      <c r="S1842" s="13">
        <f>IF($R1842="","",IFERROR(INDEX(Emp_Names,MATCH($R1842,Emp_Codes,0)),"NOT FOUND"))</f>
        <v/>
      </c>
      <c r="T1842" s="12" t="n"/>
      <c r="U1842" s="12" t="n"/>
      <c r="V1842" s="12" t="n"/>
    </row>
    <row r="1843">
      <c r="A1843" s="12" t="n"/>
      <c r="B1843" s="12" t="n"/>
      <c r="C1843" s="12" t="n"/>
      <c r="D1843" s="13">
        <f>IF($A1843="","",TRIM($B1843&amp;" "&amp;$C1843))</f>
        <v/>
      </c>
      <c r="E1843" s="12" t="n"/>
      <c r="F1843" s="12" t="n"/>
      <c r="G1843" s="14" t="n"/>
      <c r="H1843" s="14" t="n"/>
      <c r="I1843" s="12" t="n"/>
      <c r="J1843" s="14" t="n"/>
      <c r="K1843" s="12" t="n"/>
      <c r="L1843" s="13">
        <f>IF($K1843="","",IFERROR(INDEX(Dept_Names,MATCH($K1843,Dept_Codes,0)),"NOT FOUND"))</f>
        <v/>
      </c>
      <c r="M1843" s="12" t="n"/>
      <c r="N1843" s="13">
        <f>IF($M1843="","",IFERROR(INDEX(Desig_Names,MATCH($M1843,Desig_Codes,0)),"NOT FOUND"))</f>
        <v/>
      </c>
      <c r="O1843" s="13">
        <f>IF($M1843="","",IFERROR(INDEX(Desig_Levels,MATCH($M1843,Desig_Codes,0)),""))</f>
        <v/>
      </c>
      <c r="P1843" s="12" t="n"/>
      <c r="Q1843" s="12" t="n"/>
      <c r="R1843" s="12" t="n"/>
      <c r="S1843" s="13">
        <f>IF($R1843="","",IFERROR(INDEX(Emp_Names,MATCH($R1843,Emp_Codes,0)),"NOT FOUND"))</f>
        <v/>
      </c>
      <c r="T1843" s="12" t="n"/>
      <c r="U1843" s="12" t="n"/>
      <c r="V1843" s="12" t="n"/>
    </row>
    <row r="1844">
      <c r="A1844" s="12" t="n"/>
      <c r="B1844" s="12" t="n"/>
      <c r="C1844" s="12" t="n"/>
      <c r="D1844" s="13">
        <f>IF($A1844="","",TRIM($B1844&amp;" "&amp;$C1844))</f>
        <v/>
      </c>
      <c r="E1844" s="12" t="n"/>
      <c r="F1844" s="12" t="n"/>
      <c r="G1844" s="14" t="n"/>
      <c r="H1844" s="14" t="n"/>
      <c r="I1844" s="12" t="n"/>
      <c r="J1844" s="14" t="n"/>
      <c r="K1844" s="12" t="n"/>
      <c r="L1844" s="13">
        <f>IF($K1844="","",IFERROR(INDEX(Dept_Names,MATCH($K1844,Dept_Codes,0)),"NOT FOUND"))</f>
        <v/>
      </c>
      <c r="M1844" s="12" t="n"/>
      <c r="N1844" s="13">
        <f>IF($M1844="","",IFERROR(INDEX(Desig_Names,MATCH($M1844,Desig_Codes,0)),"NOT FOUND"))</f>
        <v/>
      </c>
      <c r="O1844" s="13">
        <f>IF($M1844="","",IFERROR(INDEX(Desig_Levels,MATCH($M1844,Desig_Codes,0)),""))</f>
        <v/>
      </c>
      <c r="P1844" s="12" t="n"/>
      <c r="Q1844" s="12" t="n"/>
      <c r="R1844" s="12" t="n"/>
      <c r="S1844" s="13">
        <f>IF($R1844="","",IFERROR(INDEX(Emp_Names,MATCH($R1844,Emp_Codes,0)),"NOT FOUND"))</f>
        <v/>
      </c>
      <c r="T1844" s="12" t="n"/>
      <c r="U1844" s="12" t="n"/>
      <c r="V1844" s="12" t="n"/>
    </row>
    <row r="1845">
      <c r="A1845" s="12" t="n"/>
      <c r="B1845" s="12" t="n"/>
      <c r="C1845" s="12" t="n"/>
      <c r="D1845" s="13">
        <f>IF($A1845="","",TRIM($B1845&amp;" "&amp;$C1845))</f>
        <v/>
      </c>
      <c r="E1845" s="12" t="n"/>
      <c r="F1845" s="12" t="n"/>
      <c r="G1845" s="14" t="n"/>
      <c r="H1845" s="14" t="n"/>
      <c r="I1845" s="12" t="n"/>
      <c r="J1845" s="14" t="n"/>
      <c r="K1845" s="12" t="n"/>
      <c r="L1845" s="13">
        <f>IF($K1845="","",IFERROR(INDEX(Dept_Names,MATCH($K1845,Dept_Codes,0)),"NOT FOUND"))</f>
        <v/>
      </c>
      <c r="M1845" s="12" t="n"/>
      <c r="N1845" s="13">
        <f>IF($M1845="","",IFERROR(INDEX(Desig_Names,MATCH($M1845,Desig_Codes,0)),"NOT FOUND"))</f>
        <v/>
      </c>
      <c r="O1845" s="13">
        <f>IF($M1845="","",IFERROR(INDEX(Desig_Levels,MATCH($M1845,Desig_Codes,0)),""))</f>
        <v/>
      </c>
      <c r="P1845" s="12" t="n"/>
      <c r="Q1845" s="12" t="n"/>
      <c r="R1845" s="12" t="n"/>
      <c r="S1845" s="13">
        <f>IF($R1845="","",IFERROR(INDEX(Emp_Names,MATCH($R1845,Emp_Codes,0)),"NOT FOUND"))</f>
        <v/>
      </c>
      <c r="T1845" s="12" t="n"/>
      <c r="U1845" s="12" t="n"/>
      <c r="V1845" s="12" t="n"/>
    </row>
    <row r="1846">
      <c r="A1846" s="12" t="n"/>
      <c r="B1846" s="12" t="n"/>
      <c r="C1846" s="12" t="n"/>
      <c r="D1846" s="13">
        <f>IF($A1846="","",TRIM($B1846&amp;" "&amp;$C1846))</f>
        <v/>
      </c>
      <c r="E1846" s="12" t="n"/>
      <c r="F1846" s="12" t="n"/>
      <c r="G1846" s="14" t="n"/>
      <c r="H1846" s="14" t="n"/>
      <c r="I1846" s="12" t="n"/>
      <c r="J1846" s="14" t="n"/>
      <c r="K1846" s="12" t="n"/>
      <c r="L1846" s="13">
        <f>IF($K1846="","",IFERROR(INDEX(Dept_Names,MATCH($K1846,Dept_Codes,0)),"NOT FOUND"))</f>
        <v/>
      </c>
      <c r="M1846" s="12" t="n"/>
      <c r="N1846" s="13">
        <f>IF($M1846="","",IFERROR(INDEX(Desig_Names,MATCH($M1846,Desig_Codes,0)),"NOT FOUND"))</f>
        <v/>
      </c>
      <c r="O1846" s="13">
        <f>IF($M1846="","",IFERROR(INDEX(Desig_Levels,MATCH($M1846,Desig_Codes,0)),""))</f>
        <v/>
      </c>
      <c r="P1846" s="12" t="n"/>
      <c r="Q1846" s="12" t="n"/>
      <c r="R1846" s="12" t="n"/>
      <c r="S1846" s="13">
        <f>IF($R1846="","",IFERROR(INDEX(Emp_Names,MATCH($R1846,Emp_Codes,0)),"NOT FOUND"))</f>
        <v/>
      </c>
      <c r="T1846" s="12" t="n"/>
      <c r="U1846" s="12" t="n"/>
      <c r="V1846" s="12" t="n"/>
    </row>
    <row r="1847">
      <c r="A1847" s="12" t="n"/>
      <c r="B1847" s="12" t="n"/>
      <c r="C1847" s="12" t="n"/>
      <c r="D1847" s="13">
        <f>IF($A1847="","",TRIM($B1847&amp;" "&amp;$C1847))</f>
        <v/>
      </c>
      <c r="E1847" s="12" t="n"/>
      <c r="F1847" s="12" t="n"/>
      <c r="G1847" s="14" t="n"/>
      <c r="H1847" s="14" t="n"/>
      <c r="I1847" s="12" t="n"/>
      <c r="J1847" s="14" t="n"/>
      <c r="K1847" s="12" t="n"/>
      <c r="L1847" s="13">
        <f>IF($K1847="","",IFERROR(INDEX(Dept_Names,MATCH($K1847,Dept_Codes,0)),"NOT FOUND"))</f>
        <v/>
      </c>
      <c r="M1847" s="12" t="n"/>
      <c r="N1847" s="13">
        <f>IF($M1847="","",IFERROR(INDEX(Desig_Names,MATCH($M1847,Desig_Codes,0)),"NOT FOUND"))</f>
        <v/>
      </c>
      <c r="O1847" s="13">
        <f>IF($M1847="","",IFERROR(INDEX(Desig_Levels,MATCH($M1847,Desig_Codes,0)),""))</f>
        <v/>
      </c>
      <c r="P1847" s="12" t="n"/>
      <c r="Q1847" s="12" t="n"/>
      <c r="R1847" s="12" t="n"/>
      <c r="S1847" s="13">
        <f>IF($R1847="","",IFERROR(INDEX(Emp_Names,MATCH($R1847,Emp_Codes,0)),"NOT FOUND"))</f>
        <v/>
      </c>
      <c r="T1847" s="12" t="n"/>
      <c r="U1847" s="12" t="n"/>
      <c r="V1847" s="12" t="n"/>
    </row>
    <row r="1848">
      <c r="A1848" s="12" t="n"/>
      <c r="B1848" s="12" t="n"/>
      <c r="C1848" s="12" t="n"/>
      <c r="D1848" s="13">
        <f>IF($A1848="","",TRIM($B1848&amp;" "&amp;$C1848))</f>
        <v/>
      </c>
      <c r="E1848" s="12" t="n"/>
      <c r="F1848" s="12" t="n"/>
      <c r="G1848" s="14" t="n"/>
      <c r="H1848" s="14" t="n"/>
      <c r="I1848" s="12" t="n"/>
      <c r="J1848" s="14" t="n"/>
      <c r="K1848" s="12" t="n"/>
      <c r="L1848" s="13">
        <f>IF($K1848="","",IFERROR(INDEX(Dept_Names,MATCH($K1848,Dept_Codes,0)),"NOT FOUND"))</f>
        <v/>
      </c>
      <c r="M1848" s="12" t="n"/>
      <c r="N1848" s="13">
        <f>IF($M1848="","",IFERROR(INDEX(Desig_Names,MATCH($M1848,Desig_Codes,0)),"NOT FOUND"))</f>
        <v/>
      </c>
      <c r="O1848" s="13">
        <f>IF($M1848="","",IFERROR(INDEX(Desig_Levels,MATCH($M1848,Desig_Codes,0)),""))</f>
        <v/>
      </c>
      <c r="P1848" s="12" t="n"/>
      <c r="Q1848" s="12" t="n"/>
      <c r="R1848" s="12" t="n"/>
      <c r="S1848" s="13">
        <f>IF($R1848="","",IFERROR(INDEX(Emp_Names,MATCH($R1848,Emp_Codes,0)),"NOT FOUND"))</f>
        <v/>
      </c>
      <c r="T1848" s="12" t="n"/>
      <c r="U1848" s="12" t="n"/>
      <c r="V1848" s="12" t="n"/>
    </row>
    <row r="1849">
      <c r="A1849" s="12" t="n"/>
      <c r="B1849" s="12" t="n"/>
      <c r="C1849" s="12" t="n"/>
      <c r="D1849" s="13">
        <f>IF($A1849="","",TRIM($B1849&amp;" "&amp;$C1849))</f>
        <v/>
      </c>
      <c r="E1849" s="12" t="n"/>
      <c r="F1849" s="12" t="n"/>
      <c r="G1849" s="14" t="n"/>
      <c r="H1849" s="14" t="n"/>
      <c r="I1849" s="12" t="n"/>
      <c r="J1849" s="14" t="n"/>
      <c r="K1849" s="12" t="n"/>
      <c r="L1849" s="13">
        <f>IF($K1849="","",IFERROR(INDEX(Dept_Names,MATCH($K1849,Dept_Codes,0)),"NOT FOUND"))</f>
        <v/>
      </c>
      <c r="M1849" s="12" t="n"/>
      <c r="N1849" s="13">
        <f>IF($M1849="","",IFERROR(INDEX(Desig_Names,MATCH($M1849,Desig_Codes,0)),"NOT FOUND"))</f>
        <v/>
      </c>
      <c r="O1849" s="13">
        <f>IF($M1849="","",IFERROR(INDEX(Desig_Levels,MATCH($M1849,Desig_Codes,0)),""))</f>
        <v/>
      </c>
      <c r="P1849" s="12" t="n"/>
      <c r="Q1849" s="12" t="n"/>
      <c r="R1849" s="12" t="n"/>
      <c r="S1849" s="13">
        <f>IF($R1849="","",IFERROR(INDEX(Emp_Names,MATCH($R1849,Emp_Codes,0)),"NOT FOUND"))</f>
        <v/>
      </c>
      <c r="T1849" s="12" t="n"/>
      <c r="U1849" s="12" t="n"/>
      <c r="V1849" s="12" t="n"/>
    </row>
    <row r="1850">
      <c r="A1850" s="12" t="n"/>
      <c r="B1850" s="12" t="n"/>
      <c r="C1850" s="12" t="n"/>
      <c r="D1850" s="13">
        <f>IF($A1850="","",TRIM($B1850&amp;" "&amp;$C1850))</f>
        <v/>
      </c>
      <c r="E1850" s="12" t="n"/>
      <c r="F1850" s="12" t="n"/>
      <c r="G1850" s="14" t="n"/>
      <c r="H1850" s="14" t="n"/>
      <c r="I1850" s="12" t="n"/>
      <c r="J1850" s="14" t="n"/>
      <c r="K1850" s="12" t="n"/>
      <c r="L1850" s="13">
        <f>IF($K1850="","",IFERROR(INDEX(Dept_Names,MATCH($K1850,Dept_Codes,0)),"NOT FOUND"))</f>
        <v/>
      </c>
      <c r="M1850" s="12" t="n"/>
      <c r="N1850" s="13">
        <f>IF($M1850="","",IFERROR(INDEX(Desig_Names,MATCH($M1850,Desig_Codes,0)),"NOT FOUND"))</f>
        <v/>
      </c>
      <c r="O1850" s="13">
        <f>IF($M1850="","",IFERROR(INDEX(Desig_Levels,MATCH($M1850,Desig_Codes,0)),""))</f>
        <v/>
      </c>
      <c r="P1850" s="12" t="n"/>
      <c r="Q1850" s="12" t="n"/>
      <c r="R1850" s="12" t="n"/>
      <c r="S1850" s="13">
        <f>IF($R1850="","",IFERROR(INDEX(Emp_Names,MATCH($R1850,Emp_Codes,0)),"NOT FOUND"))</f>
        <v/>
      </c>
      <c r="T1850" s="12" t="n"/>
      <c r="U1850" s="12" t="n"/>
      <c r="V1850" s="12" t="n"/>
    </row>
    <row r="1851">
      <c r="A1851" s="12" t="n"/>
      <c r="B1851" s="12" t="n"/>
      <c r="C1851" s="12" t="n"/>
      <c r="D1851" s="13">
        <f>IF($A1851="","",TRIM($B1851&amp;" "&amp;$C1851))</f>
        <v/>
      </c>
      <c r="E1851" s="12" t="n"/>
      <c r="F1851" s="12" t="n"/>
      <c r="G1851" s="14" t="n"/>
      <c r="H1851" s="14" t="n"/>
      <c r="I1851" s="12" t="n"/>
      <c r="J1851" s="14" t="n"/>
      <c r="K1851" s="12" t="n"/>
      <c r="L1851" s="13">
        <f>IF($K1851="","",IFERROR(INDEX(Dept_Names,MATCH($K1851,Dept_Codes,0)),"NOT FOUND"))</f>
        <v/>
      </c>
      <c r="M1851" s="12" t="n"/>
      <c r="N1851" s="13">
        <f>IF($M1851="","",IFERROR(INDEX(Desig_Names,MATCH($M1851,Desig_Codes,0)),"NOT FOUND"))</f>
        <v/>
      </c>
      <c r="O1851" s="13">
        <f>IF($M1851="","",IFERROR(INDEX(Desig_Levels,MATCH($M1851,Desig_Codes,0)),""))</f>
        <v/>
      </c>
      <c r="P1851" s="12" t="n"/>
      <c r="Q1851" s="12" t="n"/>
      <c r="R1851" s="12" t="n"/>
      <c r="S1851" s="13">
        <f>IF($R1851="","",IFERROR(INDEX(Emp_Names,MATCH($R1851,Emp_Codes,0)),"NOT FOUND"))</f>
        <v/>
      </c>
      <c r="T1851" s="12" t="n"/>
      <c r="U1851" s="12" t="n"/>
      <c r="V1851" s="12" t="n"/>
    </row>
    <row r="1852">
      <c r="A1852" s="12" t="n"/>
      <c r="B1852" s="12" t="n"/>
      <c r="C1852" s="12" t="n"/>
      <c r="D1852" s="13">
        <f>IF($A1852="","",TRIM($B1852&amp;" "&amp;$C1852))</f>
        <v/>
      </c>
      <c r="E1852" s="12" t="n"/>
      <c r="F1852" s="12" t="n"/>
      <c r="G1852" s="14" t="n"/>
      <c r="H1852" s="14" t="n"/>
      <c r="I1852" s="12" t="n"/>
      <c r="J1852" s="14" t="n"/>
      <c r="K1852" s="12" t="n"/>
      <c r="L1852" s="13">
        <f>IF($K1852="","",IFERROR(INDEX(Dept_Names,MATCH($K1852,Dept_Codes,0)),"NOT FOUND"))</f>
        <v/>
      </c>
      <c r="M1852" s="12" t="n"/>
      <c r="N1852" s="13">
        <f>IF($M1852="","",IFERROR(INDEX(Desig_Names,MATCH($M1852,Desig_Codes,0)),"NOT FOUND"))</f>
        <v/>
      </c>
      <c r="O1852" s="13">
        <f>IF($M1852="","",IFERROR(INDEX(Desig_Levels,MATCH($M1852,Desig_Codes,0)),""))</f>
        <v/>
      </c>
      <c r="P1852" s="12" t="n"/>
      <c r="Q1852" s="12" t="n"/>
      <c r="R1852" s="12" t="n"/>
      <c r="S1852" s="13">
        <f>IF($R1852="","",IFERROR(INDEX(Emp_Names,MATCH($R1852,Emp_Codes,0)),"NOT FOUND"))</f>
        <v/>
      </c>
      <c r="T1852" s="12" t="n"/>
      <c r="U1852" s="12" t="n"/>
      <c r="V1852" s="12" t="n"/>
    </row>
    <row r="1853">
      <c r="A1853" s="12" t="n"/>
      <c r="B1853" s="12" t="n"/>
      <c r="C1853" s="12" t="n"/>
      <c r="D1853" s="13">
        <f>IF($A1853="","",TRIM($B1853&amp;" "&amp;$C1853))</f>
        <v/>
      </c>
      <c r="E1853" s="12" t="n"/>
      <c r="F1853" s="12" t="n"/>
      <c r="G1853" s="14" t="n"/>
      <c r="H1853" s="14" t="n"/>
      <c r="I1853" s="12" t="n"/>
      <c r="J1853" s="14" t="n"/>
      <c r="K1853" s="12" t="n"/>
      <c r="L1853" s="13">
        <f>IF($K1853="","",IFERROR(INDEX(Dept_Names,MATCH($K1853,Dept_Codes,0)),"NOT FOUND"))</f>
        <v/>
      </c>
      <c r="M1853" s="12" t="n"/>
      <c r="N1853" s="13">
        <f>IF($M1853="","",IFERROR(INDEX(Desig_Names,MATCH($M1853,Desig_Codes,0)),"NOT FOUND"))</f>
        <v/>
      </c>
      <c r="O1853" s="13">
        <f>IF($M1853="","",IFERROR(INDEX(Desig_Levels,MATCH($M1853,Desig_Codes,0)),""))</f>
        <v/>
      </c>
      <c r="P1853" s="12" t="n"/>
      <c r="Q1853" s="12" t="n"/>
      <c r="R1853" s="12" t="n"/>
      <c r="S1853" s="13">
        <f>IF($R1853="","",IFERROR(INDEX(Emp_Names,MATCH($R1853,Emp_Codes,0)),"NOT FOUND"))</f>
        <v/>
      </c>
      <c r="T1853" s="12" t="n"/>
      <c r="U1853" s="12" t="n"/>
      <c r="V1853" s="12" t="n"/>
    </row>
    <row r="1854">
      <c r="A1854" s="12" t="n"/>
      <c r="B1854" s="12" t="n"/>
      <c r="C1854" s="12" t="n"/>
      <c r="D1854" s="13">
        <f>IF($A1854="","",TRIM($B1854&amp;" "&amp;$C1854))</f>
        <v/>
      </c>
      <c r="E1854" s="12" t="n"/>
      <c r="F1854" s="12" t="n"/>
      <c r="G1854" s="14" t="n"/>
      <c r="H1854" s="14" t="n"/>
      <c r="I1854" s="12" t="n"/>
      <c r="J1854" s="14" t="n"/>
      <c r="K1854" s="12" t="n"/>
      <c r="L1854" s="13">
        <f>IF($K1854="","",IFERROR(INDEX(Dept_Names,MATCH($K1854,Dept_Codes,0)),"NOT FOUND"))</f>
        <v/>
      </c>
      <c r="M1854" s="12" t="n"/>
      <c r="N1854" s="13">
        <f>IF($M1854="","",IFERROR(INDEX(Desig_Names,MATCH($M1854,Desig_Codes,0)),"NOT FOUND"))</f>
        <v/>
      </c>
      <c r="O1854" s="13">
        <f>IF($M1854="","",IFERROR(INDEX(Desig_Levels,MATCH($M1854,Desig_Codes,0)),""))</f>
        <v/>
      </c>
      <c r="P1854" s="12" t="n"/>
      <c r="Q1854" s="12" t="n"/>
      <c r="R1854" s="12" t="n"/>
      <c r="S1854" s="13">
        <f>IF($R1854="","",IFERROR(INDEX(Emp_Names,MATCH($R1854,Emp_Codes,0)),"NOT FOUND"))</f>
        <v/>
      </c>
      <c r="T1854" s="12" t="n"/>
      <c r="U1854" s="12" t="n"/>
      <c r="V1854" s="12" t="n"/>
    </row>
    <row r="1855">
      <c r="A1855" s="12" t="n"/>
      <c r="B1855" s="12" t="n"/>
      <c r="C1855" s="12" t="n"/>
      <c r="D1855" s="13">
        <f>IF($A1855="","",TRIM($B1855&amp;" "&amp;$C1855))</f>
        <v/>
      </c>
      <c r="E1855" s="12" t="n"/>
      <c r="F1855" s="12" t="n"/>
      <c r="G1855" s="14" t="n"/>
      <c r="H1855" s="14" t="n"/>
      <c r="I1855" s="12" t="n"/>
      <c r="J1855" s="14" t="n"/>
      <c r="K1855" s="12" t="n"/>
      <c r="L1855" s="13">
        <f>IF($K1855="","",IFERROR(INDEX(Dept_Names,MATCH($K1855,Dept_Codes,0)),"NOT FOUND"))</f>
        <v/>
      </c>
      <c r="M1855" s="12" t="n"/>
      <c r="N1855" s="13">
        <f>IF($M1855="","",IFERROR(INDEX(Desig_Names,MATCH($M1855,Desig_Codes,0)),"NOT FOUND"))</f>
        <v/>
      </c>
      <c r="O1855" s="13">
        <f>IF($M1855="","",IFERROR(INDEX(Desig_Levels,MATCH($M1855,Desig_Codes,0)),""))</f>
        <v/>
      </c>
      <c r="P1855" s="12" t="n"/>
      <c r="Q1855" s="12" t="n"/>
      <c r="R1855" s="12" t="n"/>
      <c r="S1855" s="13">
        <f>IF($R1855="","",IFERROR(INDEX(Emp_Names,MATCH($R1855,Emp_Codes,0)),"NOT FOUND"))</f>
        <v/>
      </c>
      <c r="T1855" s="12" t="n"/>
      <c r="U1855" s="12" t="n"/>
      <c r="V1855" s="12" t="n"/>
    </row>
    <row r="1856">
      <c r="A1856" s="12" t="n"/>
      <c r="B1856" s="12" t="n"/>
      <c r="C1856" s="12" t="n"/>
      <c r="D1856" s="13">
        <f>IF($A1856="","",TRIM($B1856&amp;" "&amp;$C1856))</f>
        <v/>
      </c>
      <c r="E1856" s="12" t="n"/>
      <c r="F1856" s="12" t="n"/>
      <c r="G1856" s="14" t="n"/>
      <c r="H1856" s="14" t="n"/>
      <c r="I1856" s="12" t="n"/>
      <c r="J1856" s="14" t="n"/>
      <c r="K1856" s="12" t="n"/>
      <c r="L1856" s="13">
        <f>IF($K1856="","",IFERROR(INDEX(Dept_Names,MATCH($K1856,Dept_Codes,0)),"NOT FOUND"))</f>
        <v/>
      </c>
      <c r="M1856" s="12" t="n"/>
      <c r="N1856" s="13">
        <f>IF($M1856="","",IFERROR(INDEX(Desig_Names,MATCH($M1856,Desig_Codes,0)),"NOT FOUND"))</f>
        <v/>
      </c>
      <c r="O1856" s="13">
        <f>IF($M1856="","",IFERROR(INDEX(Desig_Levels,MATCH($M1856,Desig_Codes,0)),""))</f>
        <v/>
      </c>
      <c r="P1856" s="12" t="n"/>
      <c r="Q1856" s="12" t="n"/>
      <c r="R1856" s="12" t="n"/>
      <c r="S1856" s="13">
        <f>IF($R1856="","",IFERROR(INDEX(Emp_Names,MATCH($R1856,Emp_Codes,0)),"NOT FOUND"))</f>
        <v/>
      </c>
      <c r="T1856" s="12" t="n"/>
      <c r="U1856" s="12" t="n"/>
      <c r="V1856" s="12" t="n"/>
    </row>
    <row r="1857">
      <c r="A1857" s="12" t="n"/>
      <c r="B1857" s="12" t="n"/>
      <c r="C1857" s="12" t="n"/>
      <c r="D1857" s="13">
        <f>IF($A1857="","",TRIM($B1857&amp;" "&amp;$C1857))</f>
        <v/>
      </c>
      <c r="E1857" s="12" t="n"/>
      <c r="F1857" s="12" t="n"/>
      <c r="G1857" s="14" t="n"/>
      <c r="H1857" s="14" t="n"/>
      <c r="I1857" s="12" t="n"/>
      <c r="J1857" s="14" t="n"/>
      <c r="K1857" s="12" t="n"/>
      <c r="L1857" s="13">
        <f>IF($K1857="","",IFERROR(INDEX(Dept_Names,MATCH($K1857,Dept_Codes,0)),"NOT FOUND"))</f>
        <v/>
      </c>
      <c r="M1857" s="12" t="n"/>
      <c r="N1857" s="13">
        <f>IF($M1857="","",IFERROR(INDEX(Desig_Names,MATCH($M1857,Desig_Codes,0)),"NOT FOUND"))</f>
        <v/>
      </c>
      <c r="O1857" s="13">
        <f>IF($M1857="","",IFERROR(INDEX(Desig_Levels,MATCH($M1857,Desig_Codes,0)),""))</f>
        <v/>
      </c>
      <c r="P1857" s="12" t="n"/>
      <c r="Q1857" s="12" t="n"/>
      <c r="R1857" s="12" t="n"/>
      <c r="S1857" s="13">
        <f>IF($R1857="","",IFERROR(INDEX(Emp_Names,MATCH($R1857,Emp_Codes,0)),"NOT FOUND"))</f>
        <v/>
      </c>
      <c r="T1857" s="12" t="n"/>
      <c r="U1857" s="12" t="n"/>
      <c r="V1857" s="12" t="n"/>
    </row>
    <row r="1858">
      <c r="A1858" s="12" t="n"/>
      <c r="B1858" s="12" t="n"/>
      <c r="C1858" s="12" t="n"/>
      <c r="D1858" s="13">
        <f>IF($A1858="","",TRIM($B1858&amp;" "&amp;$C1858))</f>
        <v/>
      </c>
      <c r="E1858" s="12" t="n"/>
      <c r="F1858" s="12" t="n"/>
      <c r="G1858" s="14" t="n"/>
      <c r="H1858" s="14" t="n"/>
      <c r="I1858" s="12" t="n"/>
      <c r="J1858" s="14" t="n"/>
      <c r="K1858" s="12" t="n"/>
      <c r="L1858" s="13">
        <f>IF($K1858="","",IFERROR(INDEX(Dept_Names,MATCH($K1858,Dept_Codes,0)),"NOT FOUND"))</f>
        <v/>
      </c>
      <c r="M1858" s="12" t="n"/>
      <c r="N1858" s="13">
        <f>IF($M1858="","",IFERROR(INDEX(Desig_Names,MATCH($M1858,Desig_Codes,0)),"NOT FOUND"))</f>
        <v/>
      </c>
      <c r="O1858" s="13">
        <f>IF($M1858="","",IFERROR(INDEX(Desig_Levels,MATCH($M1858,Desig_Codes,0)),""))</f>
        <v/>
      </c>
      <c r="P1858" s="12" t="n"/>
      <c r="Q1858" s="12" t="n"/>
      <c r="R1858" s="12" t="n"/>
      <c r="S1858" s="13">
        <f>IF($R1858="","",IFERROR(INDEX(Emp_Names,MATCH($R1858,Emp_Codes,0)),"NOT FOUND"))</f>
        <v/>
      </c>
      <c r="T1858" s="12" t="n"/>
      <c r="U1858" s="12" t="n"/>
      <c r="V1858" s="12" t="n"/>
    </row>
    <row r="1859">
      <c r="A1859" s="12" t="n"/>
      <c r="B1859" s="12" t="n"/>
      <c r="C1859" s="12" t="n"/>
      <c r="D1859" s="13">
        <f>IF($A1859="","",TRIM($B1859&amp;" "&amp;$C1859))</f>
        <v/>
      </c>
      <c r="E1859" s="12" t="n"/>
      <c r="F1859" s="12" t="n"/>
      <c r="G1859" s="14" t="n"/>
      <c r="H1859" s="14" t="n"/>
      <c r="I1859" s="12" t="n"/>
      <c r="J1859" s="14" t="n"/>
      <c r="K1859" s="12" t="n"/>
      <c r="L1859" s="13">
        <f>IF($K1859="","",IFERROR(INDEX(Dept_Names,MATCH($K1859,Dept_Codes,0)),"NOT FOUND"))</f>
        <v/>
      </c>
      <c r="M1859" s="12" t="n"/>
      <c r="N1859" s="13">
        <f>IF($M1859="","",IFERROR(INDEX(Desig_Names,MATCH($M1859,Desig_Codes,0)),"NOT FOUND"))</f>
        <v/>
      </c>
      <c r="O1859" s="13">
        <f>IF($M1859="","",IFERROR(INDEX(Desig_Levels,MATCH($M1859,Desig_Codes,0)),""))</f>
        <v/>
      </c>
      <c r="P1859" s="12" t="n"/>
      <c r="Q1859" s="12" t="n"/>
      <c r="R1859" s="12" t="n"/>
      <c r="S1859" s="13">
        <f>IF($R1859="","",IFERROR(INDEX(Emp_Names,MATCH($R1859,Emp_Codes,0)),"NOT FOUND"))</f>
        <v/>
      </c>
      <c r="T1859" s="12" t="n"/>
      <c r="U1859" s="12" t="n"/>
      <c r="V1859" s="12" t="n"/>
    </row>
    <row r="1860">
      <c r="A1860" s="12" t="n"/>
      <c r="B1860" s="12" t="n"/>
      <c r="C1860" s="12" t="n"/>
      <c r="D1860" s="13">
        <f>IF($A1860="","",TRIM($B1860&amp;" "&amp;$C1860))</f>
        <v/>
      </c>
      <c r="E1860" s="12" t="n"/>
      <c r="F1860" s="12" t="n"/>
      <c r="G1860" s="14" t="n"/>
      <c r="H1860" s="14" t="n"/>
      <c r="I1860" s="12" t="n"/>
      <c r="J1860" s="14" t="n"/>
      <c r="K1860" s="12" t="n"/>
      <c r="L1860" s="13">
        <f>IF($K1860="","",IFERROR(INDEX(Dept_Names,MATCH($K1860,Dept_Codes,0)),"NOT FOUND"))</f>
        <v/>
      </c>
      <c r="M1860" s="12" t="n"/>
      <c r="N1860" s="13">
        <f>IF($M1860="","",IFERROR(INDEX(Desig_Names,MATCH($M1860,Desig_Codes,0)),"NOT FOUND"))</f>
        <v/>
      </c>
      <c r="O1860" s="13">
        <f>IF($M1860="","",IFERROR(INDEX(Desig_Levels,MATCH($M1860,Desig_Codes,0)),""))</f>
        <v/>
      </c>
      <c r="P1860" s="12" t="n"/>
      <c r="Q1860" s="12" t="n"/>
      <c r="R1860" s="12" t="n"/>
      <c r="S1860" s="13">
        <f>IF($R1860="","",IFERROR(INDEX(Emp_Names,MATCH($R1860,Emp_Codes,0)),"NOT FOUND"))</f>
        <v/>
      </c>
      <c r="T1860" s="12" t="n"/>
      <c r="U1860" s="12" t="n"/>
      <c r="V1860" s="12" t="n"/>
    </row>
    <row r="1861">
      <c r="A1861" s="12" t="n"/>
      <c r="B1861" s="12" t="n"/>
      <c r="C1861" s="12" t="n"/>
      <c r="D1861" s="13">
        <f>IF($A1861="","",TRIM($B1861&amp;" "&amp;$C1861))</f>
        <v/>
      </c>
      <c r="E1861" s="12" t="n"/>
      <c r="F1861" s="12" t="n"/>
      <c r="G1861" s="14" t="n"/>
      <c r="H1861" s="14" t="n"/>
      <c r="I1861" s="12" t="n"/>
      <c r="J1861" s="14" t="n"/>
      <c r="K1861" s="12" t="n"/>
      <c r="L1861" s="13">
        <f>IF($K1861="","",IFERROR(INDEX(Dept_Names,MATCH($K1861,Dept_Codes,0)),"NOT FOUND"))</f>
        <v/>
      </c>
      <c r="M1861" s="12" t="n"/>
      <c r="N1861" s="13">
        <f>IF($M1861="","",IFERROR(INDEX(Desig_Names,MATCH($M1861,Desig_Codes,0)),"NOT FOUND"))</f>
        <v/>
      </c>
      <c r="O1861" s="13">
        <f>IF($M1861="","",IFERROR(INDEX(Desig_Levels,MATCH($M1861,Desig_Codes,0)),""))</f>
        <v/>
      </c>
      <c r="P1861" s="12" t="n"/>
      <c r="Q1861" s="12" t="n"/>
      <c r="R1861" s="12" t="n"/>
      <c r="S1861" s="13">
        <f>IF($R1861="","",IFERROR(INDEX(Emp_Names,MATCH($R1861,Emp_Codes,0)),"NOT FOUND"))</f>
        <v/>
      </c>
      <c r="T1861" s="12" t="n"/>
      <c r="U1861" s="12" t="n"/>
      <c r="V1861" s="12" t="n"/>
    </row>
    <row r="1862">
      <c r="A1862" s="12" t="n"/>
      <c r="B1862" s="12" t="n"/>
      <c r="C1862" s="12" t="n"/>
      <c r="D1862" s="13">
        <f>IF($A1862="","",TRIM($B1862&amp;" "&amp;$C1862))</f>
        <v/>
      </c>
      <c r="E1862" s="12" t="n"/>
      <c r="F1862" s="12" t="n"/>
      <c r="G1862" s="14" t="n"/>
      <c r="H1862" s="14" t="n"/>
      <c r="I1862" s="12" t="n"/>
      <c r="J1862" s="14" t="n"/>
      <c r="K1862" s="12" t="n"/>
      <c r="L1862" s="13">
        <f>IF($K1862="","",IFERROR(INDEX(Dept_Names,MATCH($K1862,Dept_Codes,0)),"NOT FOUND"))</f>
        <v/>
      </c>
      <c r="M1862" s="12" t="n"/>
      <c r="N1862" s="13">
        <f>IF($M1862="","",IFERROR(INDEX(Desig_Names,MATCH($M1862,Desig_Codes,0)),"NOT FOUND"))</f>
        <v/>
      </c>
      <c r="O1862" s="13">
        <f>IF($M1862="","",IFERROR(INDEX(Desig_Levels,MATCH($M1862,Desig_Codes,0)),""))</f>
        <v/>
      </c>
      <c r="P1862" s="12" t="n"/>
      <c r="Q1862" s="12" t="n"/>
      <c r="R1862" s="12" t="n"/>
      <c r="S1862" s="13">
        <f>IF($R1862="","",IFERROR(INDEX(Emp_Names,MATCH($R1862,Emp_Codes,0)),"NOT FOUND"))</f>
        <v/>
      </c>
      <c r="T1862" s="12" t="n"/>
      <c r="U1862" s="12" t="n"/>
      <c r="V1862" s="12" t="n"/>
    </row>
    <row r="1863">
      <c r="A1863" s="12" t="n"/>
      <c r="B1863" s="12" t="n"/>
      <c r="C1863" s="12" t="n"/>
      <c r="D1863" s="13">
        <f>IF($A1863="","",TRIM($B1863&amp;" "&amp;$C1863))</f>
        <v/>
      </c>
      <c r="E1863" s="12" t="n"/>
      <c r="F1863" s="12" t="n"/>
      <c r="G1863" s="14" t="n"/>
      <c r="H1863" s="14" t="n"/>
      <c r="I1863" s="12" t="n"/>
      <c r="J1863" s="14" t="n"/>
      <c r="K1863" s="12" t="n"/>
      <c r="L1863" s="13">
        <f>IF($K1863="","",IFERROR(INDEX(Dept_Names,MATCH($K1863,Dept_Codes,0)),"NOT FOUND"))</f>
        <v/>
      </c>
      <c r="M1863" s="12" t="n"/>
      <c r="N1863" s="13">
        <f>IF($M1863="","",IFERROR(INDEX(Desig_Names,MATCH($M1863,Desig_Codes,0)),"NOT FOUND"))</f>
        <v/>
      </c>
      <c r="O1863" s="13">
        <f>IF($M1863="","",IFERROR(INDEX(Desig_Levels,MATCH($M1863,Desig_Codes,0)),""))</f>
        <v/>
      </c>
      <c r="P1863" s="12" t="n"/>
      <c r="Q1863" s="12" t="n"/>
      <c r="R1863" s="12" t="n"/>
      <c r="S1863" s="13">
        <f>IF($R1863="","",IFERROR(INDEX(Emp_Names,MATCH($R1863,Emp_Codes,0)),"NOT FOUND"))</f>
        <v/>
      </c>
      <c r="T1863" s="12" t="n"/>
      <c r="U1863" s="12" t="n"/>
      <c r="V1863" s="12" t="n"/>
    </row>
    <row r="1864">
      <c r="A1864" s="12" t="n"/>
      <c r="B1864" s="12" t="n"/>
      <c r="C1864" s="12" t="n"/>
      <c r="D1864" s="13">
        <f>IF($A1864="","",TRIM($B1864&amp;" "&amp;$C1864))</f>
        <v/>
      </c>
      <c r="E1864" s="12" t="n"/>
      <c r="F1864" s="12" t="n"/>
      <c r="G1864" s="14" t="n"/>
      <c r="H1864" s="14" t="n"/>
      <c r="I1864" s="12" t="n"/>
      <c r="J1864" s="14" t="n"/>
      <c r="K1864" s="12" t="n"/>
      <c r="L1864" s="13">
        <f>IF($K1864="","",IFERROR(INDEX(Dept_Names,MATCH($K1864,Dept_Codes,0)),"NOT FOUND"))</f>
        <v/>
      </c>
      <c r="M1864" s="12" t="n"/>
      <c r="N1864" s="13">
        <f>IF($M1864="","",IFERROR(INDEX(Desig_Names,MATCH($M1864,Desig_Codes,0)),"NOT FOUND"))</f>
        <v/>
      </c>
      <c r="O1864" s="13">
        <f>IF($M1864="","",IFERROR(INDEX(Desig_Levels,MATCH($M1864,Desig_Codes,0)),""))</f>
        <v/>
      </c>
      <c r="P1864" s="12" t="n"/>
      <c r="Q1864" s="12" t="n"/>
      <c r="R1864" s="12" t="n"/>
      <c r="S1864" s="13">
        <f>IF($R1864="","",IFERROR(INDEX(Emp_Names,MATCH($R1864,Emp_Codes,0)),"NOT FOUND"))</f>
        <v/>
      </c>
      <c r="T1864" s="12" t="n"/>
      <c r="U1864" s="12" t="n"/>
      <c r="V1864" s="12" t="n"/>
    </row>
    <row r="1865">
      <c r="A1865" s="12" t="n"/>
      <c r="B1865" s="12" t="n"/>
      <c r="C1865" s="12" t="n"/>
      <c r="D1865" s="13">
        <f>IF($A1865="","",TRIM($B1865&amp;" "&amp;$C1865))</f>
        <v/>
      </c>
      <c r="E1865" s="12" t="n"/>
      <c r="F1865" s="12" t="n"/>
      <c r="G1865" s="14" t="n"/>
      <c r="H1865" s="14" t="n"/>
      <c r="I1865" s="12" t="n"/>
      <c r="J1865" s="14" t="n"/>
      <c r="K1865" s="12" t="n"/>
      <c r="L1865" s="13">
        <f>IF($K1865="","",IFERROR(INDEX(Dept_Names,MATCH($K1865,Dept_Codes,0)),"NOT FOUND"))</f>
        <v/>
      </c>
      <c r="M1865" s="12" t="n"/>
      <c r="N1865" s="13">
        <f>IF($M1865="","",IFERROR(INDEX(Desig_Names,MATCH($M1865,Desig_Codes,0)),"NOT FOUND"))</f>
        <v/>
      </c>
      <c r="O1865" s="13">
        <f>IF($M1865="","",IFERROR(INDEX(Desig_Levels,MATCH($M1865,Desig_Codes,0)),""))</f>
        <v/>
      </c>
      <c r="P1865" s="12" t="n"/>
      <c r="Q1865" s="12" t="n"/>
      <c r="R1865" s="12" t="n"/>
      <c r="S1865" s="13">
        <f>IF($R1865="","",IFERROR(INDEX(Emp_Names,MATCH($R1865,Emp_Codes,0)),"NOT FOUND"))</f>
        <v/>
      </c>
      <c r="T1865" s="12" t="n"/>
      <c r="U1865" s="12" t="n"/>
      <c r="V1865" s="12" t="n"/>
    </row>
    <row r="1866">
      <c r="A1866" s="12" t="n"/>
      <c r="B1866" s="12" t="n"/>
      <c r="C1866" s="12" t="n"/>
      <c r="D1866" s="13">
        <f>IF($A1866="","",TRIM($B1866&amp;" "&amp;$C1866))</f>
        <v/>
      </c>
      <c r="E1866" s="12" t="n"/>
      <c r="F1866" s="12" t="n"/>
      <c r="G1866" s="14" t="n"/>
      <c r="H1866" s="14" t="n"/>
      <c r="I1866" s="12" t="n"/>
      <c r="J1866" s="14" t="n"/>
      <c r="K1866" s="12" t="n"/>
      <c r="L1866" s="13">
        <f>IF($K1866="","",IFERROR(INDEX(Dept_Names,MATCH($K1866,Dept_Codes,0)),"NOT FOUND"))</f>
        <v/>
      </c>
      <c r="M1866" s="12" t="n"/>
      <c r="N1866" s="13">
        <f>IF($M1866="","",IFERROR(INDEX(Desig_Names,MATCH($M1866,Desig_Codes,0)),"NOT FOUND"))</f>
        <v/>
      </c>
      <c r="O1866" s="13">
        <f>IF($M1866="","",IFERROR(INDEX(Desig_Levels,MATCH($M1866,Desig_Codes,0)),""))</f>
        <v/>
      </c>
      <c r="P1866" s="12" t="n"/>
      <c r="Q1866" s="12" t="n"/>
      <c r="R1866" s="12" t="n"/>
      <c r="S1866" s="13">
        <f>IF($R1866="","",IFERROR(INDEX(Emp_Names,MATCH($R1866,Emp_Codes,0)),"NOT FOUND"))</f>
        <v/>
      </c>
      <c r="T1866" s="12" t="n"/>
      <c r="U1866" s="12" t="n"/>
      <c r="V1866" s="12" t="n"/>
    </row>
    <row r="1867">
      <c r="A1867" s="12" t="n"/>
      <c r="B1867" s="12" t="n"/>
      <c r="C1867" s="12" t="n"/>
      <c r="D1867" s="13">
        <f>IF($A1867="","",TRIM($B1867&amp;" "&amp;$C1867))</f>
        <v/>
      </c>
      <c r="E1867" s="12" t="n"/>
      <c r="F1867" s="12" t="n"/>
      <c r="G1867" s="14" t="n"/>
      <c r="H1867" s="14" t="n"/>
      <c r="I1867" s="12" t="n"/>
      <c r="J1867" s="14" t="n"/>
      <c r="K1867" s="12" t="n"/>
      <c r="L1867" s="13">
        <f>IF($K1867="","",IFERROR(INDEX(Dept_Names,MATCH($K1867,Dept_Codes,0)),"NOT FOUND"))</f>
        <v/>
      </c>
      <c r="M1867" s="12" t="n"/>
      <c r="N1867" s="13">
        <f>IF($M1867="","",IFERROR(INDEX(Desig_Names,MATCH($M1867,Desig_Codes,0)),"NOT FOUND"))</f>
        <v/>
      </c>
      <c r="O1867" s="13">
        <f>IF($M1867="","",IFERROR(INDEX(Desig_Levels,MATCH($M1867,Desig_Codes,0)),""))</f>
        <v/>
      </c>
      <c r="P1867" s="12" t="n"/>
      <c r="Q1867" s="12" t="n"/>
      <c r="R1867" s="12" t="n"/>
      <c r="S1867" s="13">
        <f>IF($R1867="","",IFERROR(INDEX(Emp_Names,MATCH($R1867,Emp_Codes,0)),"NOT FOUND"))</f>
        <v/>
      </c>
      <c r="T1867" s="12" t="n"/>
      <c r="U1867" s="12" t="n"/>
      <c r="V1867" s="12" t="n"/>
    </row>
    <row r="1868">
      <c r="A1868" s="12" t="n"/>
      <c r="B1868" s="12" t="n"/>
      <c r="C1868" s="12" t="n"/>
      <c r="D1868" s="13">
        <f>IF($A1868="","",TRIM($B1868&amp;" "&amp;$C1868))</f>
        <v/>
      </c>
      <c r="E1868" s="12" t="n"/>
      <c r="F1868" s="12" t="n"/>
      <c r="G1868" s="14" t="n"/>
      <c r="H1868" s="14" t="n"/>
      <c r="I1868" s="12" t="n"/>
      <c r="J1868" s="14" t="n"/>
      <c r="K1868" s="12" t="n"/>
      <c r="L1868" s="13">
        <f>IF($K1868="","",IFERROR(INDEX(Dept_Names,MATCH($K1868,Dept_Codes,0)),"NOT FOUND"))</f>
        <v/>
      </c>
      <c r="M1868" s="12" t="n"/>
      <c r="N1868" s="13">
        <f>IF($M1868="","",IFERROR(INDEX(Desig_Names,MATCH($M1868,Desig_Codes,0)),"NOT FOUND"))</f>
        <v/>
      </c>
      <c r="O1868" s="13">
        <f>IF($M1868="","",IFERROR(INDEX(Desig_Levels,MATCH($M1868,Desig_Codes,0)),""))</f>
        <v/>
      </c>
      <c r="P1868" s="12" t="n"/>
      <c r="Q1868" s="12" t="n"/>
      <c r="R1868" s="12" t="n"/>
      <c r="S1868" s="13">
        <f>IF($R1868="","",IFERROR(INDEX(Emp_Names,MATCH($R1868,Emp_Codes,0)),"NOT FOUND"))</f>
        <v/>
      </c>
      <c r="T1868" s="12" t="n"/>
      <c r="U1868" s="12" t="n"/>
      <c r="V1868" s="12" t="n"/>
    </row>
    <row r="1869">
      <c r="A1869" s="12" t="n"/>
      <c r="B1869" s="12" t="n"/>
      <c r="C1869" s="12" t="n"/>
      <c r="D1869" s="13">
        <f>IF($A1869="","",TRIM($B1869&amp;" "&amp;$C1869))</f>
        <v/>
      </c>
      <c r="E1869" s="12" t="n"/>
      <c r="F1869" s="12" t="n"/>
      <c r="G1869" s="14" t="n"/>
      <c r="H1869" s="14" t="n"/>
      <c r="I1869" s="12" t="n"/>
      <c r="J1869" s="14" t="n"/>
      <c r="K1869" s="12" t="n"/>
      <c r="L1869" s="13">
        <f>IF($K1869="","",IFERROR(INDEX(Dept_Names,MATCH($K1869,Dept_Codes,0)),"NOT FOUND"))</f>
        <v/>
      </c>
      <c r="M1869" s="12" t="n"/>
      <c r="N1869" s="13">
        <f>IF($M1869="","",IFERROR(INDEX(Desig_Names,MATCH($M1869,Desig_Codes,0)),"NOT FOUND"))</f>
        <v/>
      </c>
      <c r="O1869" s="13">
        <f>IF($M1869="","",IFERROR(INDEX(Desig_Levels,MATCH($M1869,Desig_Codes,0)),""))</f>
        <v/>
      </c>
      <c r="P1869" s="12" t="n"/>
      <c r="Q1869" s="12" t="n"/>
      <c r="R1869" s="12" t="n"/>
      <c r="S1869" s="13">
        <f>IF($R1869="","",IFERROR(INDEX(Emp_Names,MATCH($R1869,Emp_Codes,0)),"NOT FOUND"))</f>
        <v/>
      </c>
      <c r="T1869" s="12" t="n"/>
      <c r="U1869" s="12" t="n"/>
      <c r="V1869" s="12" t="n"/>
    </row>
    <row r="1870">
      <c r="A1870" s="12" t="n"/>
      <c r="B1870" s="12" t="n"/>
      <c r="C1870" s="12" t="n"/>
      <c r="D1870" s="13">
        <f>IF($A1870="","",TRIM($B1870&amp;" "&amp;$C1870))</f>
        <v/>
      </c>
      <c r="E1870" s="12" t="n"/>
      <c r="F1870" s="12" t="n"/>
      <c r="G1870" s="14" t="n"/>
      <c r="H1870" s="14" t="n"/>
      <c r="I1870" s="12" t="n"/>
      <c r="J1870" s="14" t="n"/>
      <c r="K1870" s="12" t="n"/>
      <c r="L1870" s="13">
        <f>IF($K1870="","",IFERROR(INDEX(Dept_Names,MATCH($K1870,Dept_Codes,0)),"NOT FOUND"))</f>
        <v/>
      </c>
      <c r="M1870" s="12" t="n"/>
      <c r="N1870" s="13">
        <f>IF($M1870="","",IFERROR(INDEX(Desig_Names,MATCH($M1870,Desig_Codes,0)),"NOT FOUND"))</f>
        <v/>
      </c>
      <c r="O1870" s="13">
        <f>IF($M1870="","",IFERROR(INDEX(Desig_Levels,MATCH($M1870,Desig_Codes,0)),""))</f>
        <v/>
      </c>
      <c r="P1870" s="12" t="n"/>
      <c r="Q1870" s="12" t="n"/>
      <c r="R1870" s="12" t="n"/>
      <c r="S1870" s="13">
        <f>IF($R1870="","",IFERROR(INDEX(Emp_Names,MATCH($R1870,Emp_Codes,0)),"NOT FOUND"))</f>
        <v/>
      </c>
      <c r="T1870" s="12" t="n"/>
      <c r="U1870" s="12" t="n"/>
      <c r="V1870" s="12" t="n"/>
    </row>
    <row r="1871">
      <c r="A1871" s="12" t="n"/>
      <c r="B1871" s="12" t="n"/>
      <c r="C1871" s="12" t="n"/>
      <c r="D1871" s="13">
        <f>IF($A1871="","",TRIM($B1871&amp;" "&amp;$C1871))</f>
        <v/>
      </c>
      <c r="E1871" s="12" t="n"/>
      <c r="F1871" s="12" t="n"/>
      <c r="G1871" s="14" t="n"/>
      <c r="H1871" s="14" t="n"/>
      <c r="I1871" s="12" t="n"/>
      <c r="J1871" s="14" t="n"/>
      <c r="K1871" s="12" t="n"/>
      <c r="L1871" s="13">
        <f>IF($K1871="","",IFERROR(INDEX(Dept_Names,MATCH($K1871,Dept_Codes,0)),"NOT FOUND"))</f>
        <v/>
      </c>
      <c r="M1871" s="12" t="n"/>
      <c r="N1871" s="13">
        <f>IF($M1871="","",IFERROR(INDEX(Desig_Names,MATCH($M1871,Desig_Codes,0)),"NOT FOUND"))</f>
        <v/>
      </c>
      <c r="O1871" s="13">
        <f>IF($M1871="","",IFERROR(INDEX(Desig_Levels,MATCH($M1871,Desig_Codes,0)),""))</f>
        <v/>
      </c>
      <c r="P1871" s="12" t="n"/>
      <c r="Q1871" s="12" t="n"/>
      <c r="R1871" s="12" t="n"/>
      <c r="S1871" s="13">
        <f>IF($R1871="","",IFERROR(INDEX(Emp_Names,MATCH($R1871,Emp_Codes,0)),"NOT FOUND"))</f>
        <v/>
      </c>
      <c r="T1871" s="12" t="n"/>
      <c r="U1871" s="12" t="n"/>
      <c r="V1871" s="12" t="n"/>
    </row>
    <row r="1872">
      <c r="A1872" s="12" t="n"/>
      <c r="B1872" s="12" t="n"/>
      <c r="C1872" s="12" t="n"/>
      <c r="D1872" s="13">
        <f>IF($A1872="","",TRIM($B1872&amp;" "&amp;$C1872))</f>
        <v/>
      </c>
      <c r="E1872" s="12" t="n"/>
      <c r="F1872" s="12" t="n"/>
      <c r="G1872" s="14" t="n"/>
      <c r="H1872" s="14" t="n"/>
      <c r="I1872" s="12" t="n"/>
      <c r="J1872" s="14" t="n"/>
      <c r="K1872" s="12" t="n"/>
      <c r="L1872" s="13">
        <f>IF($K1872="","",IFERROR(INDEX(Dept_Names,MATCH($K1872,Dept_Codes,0)),"NOT FOUND"))</f>
        <v/>
      </c>
      <c r="M1872" s="12" t="n"/>
      <c r="N1872" s="13">
        <f>IF($M1872="","",IFERROR(INDEX(Desig_Names,MATCH($M1872,Desig_Codes,0)),"NOT FOUND"))</f>
        <v/>
      </c>
      <c r="O1872" s="13">
        <f>IF($M1872="","",IFERROR(INDEX(Desig_Levels,MATCH($M1872,Desig_Codes,0)),""))</f>
        <v/>
      </c>
      <c r="P1872" s="12" t="n"/>
      <c r="Q1872" s="12" t="n"/>
      <c r="R1872" s="12" t="n"/>
      <c r="S1872" s="13">
        <f>IF($R1872="","",IFERROR(INDEX(Emp_Names,MATCH($R1872,Emp_Codes,0)),"NOT FOUND"))</f>
        <v/>
      </c>
      <c r="T1872" s="12" t="n"/>
      <c r="U1872" s="12" t="n"/>
      <c r="V1872" s="12" t="n"/>
    </row>
    <row r="1873">
      <c r="A1873" s="12" t="n"/>
      <c r="B1873" s="12" t="n"/>
      <c r="C1873" s="12" t="n"/>
      <c r="D1873" s="13">
        <f>IF($A1873="","",TRIM($B1873&amp;" "&amp;$C1873))</f>
        <v/>
      </c>
      <c r="E1873" s="12" t="n"/>
      <c r="F1873" s="12" t="n"/>
      <c r="G1873" s="14" t="n"/>
      <c r="H1873" s="14" t="n"/>
      <c r="I1873" s="12" t="n"/>
      <c r="J1873" s="14" t="n"/>
      <c r="K1873" s="12" t="n"/>
      <c r="L1873" s="13">
        <f>IF($K1873="","",IFERROR(INDEX(Dept_Names,MATCH($K1873,Dept_Codes,0)),"NOT FOUND"))</f>
        <v/>
      </c>
      <c r="M1873" s="12" t="n"/>
      <c r="N1873" s="13">
        <f>IF($M1873="","",IFERROR(INDEX(Desig_Names,MATCH($M1873,Desig_Codes,0)),"NOT FOUND"))</f>
        <v/>
      </c>
      <c r="O1873" s="13">
        <f>IF($M1873="","",IFERROR(INDEX(Desig_Levels,MATCH($M1873,Desig_Codes,0)),""))</f>
        <v/>
      </c>
      <c r="P1873" s="12" t="n"/>
      <c r="Q1873" s="12" t="n"/>
      <c r="R1873" s="12" t="n"/>
      <c r="S1873" s="13">
        <f>IF($R1873="","",IFERROR(INDEX(Emp_Names,MATCH($R1873,Emp_Codes,0)),"NOT FOUND"))</f>
        <v/>
      </c>
      <c r="T1873" s="12" t="n"/>
      <c r="U1873" s="12" t="n"/>
      <c r="V1873" s="12" t="n"/>
    </row>
    <row r="1874">
      <c r="A1874" s="12" t="n"/>
      <c r="B1874" s="12" t="n"/>
      <c r="C1874" s="12" t="n"/>
      <c r="D1874" s="13">
        <f>IF($A1874="","",TRIM($B1874&amp;" "&amp;$C1874))</f>
        <v/>
      </c>
      <c r="E1874" s="12" t="n"/>
      <c r="F1874" s="12" t="n"/>
      <c r="G1874" s="14" t="n"/>
      <c r="H1874" s="14" t="n"/>
      <c r="I1874" s="12" t="n"/>
      <c r="J1874" s="14" t="n"/>
      <c r="K1874" s="12" t="n"/>
      <c r="L1874" s="13">
        <f>IF($K1874="","",IFERROR(INDEX(Dept_Names,MATCH($K1874,Dept_Codes,0)),"NOT FOUND"))</f>
        <v/>
      </c>
      <c r="M1874" s="12" t="n"/>
      <c r="N1874" s="13">
        <f>IF($M1874="","",IFERROR(INDEX(Desig_Names,MATCH($M1874,Desig_Codes,0)),"NOT FOUND"))</f>
        <v/>
      </c>
      <c r="O1874" s="13">
        <f>IF($M1874="","",IFERROR(INDEX(Desig_Levels,MATCH($M1874,Desig_Codes,0)),""))</f>
        <v/>
      </c>
      <c r="P1874" s="12" t="n"/>
      <c r="Q1874" s="12" t="n"/>
      <c r="R1874" s="12" t="n"/>
      <c r="S1874" s="13">
        <f>IF($R1874="","",IFERROR(INDEX(Emp_Names,MATCH($R1874,Emp_Codes,0)),"NOT FOUND"))</f>
        <v/>
      </c>
      <c r="T1874" s="12" t="n"/>
      <c r="U1874" s="12" t="n"/>
      <c r="V1874" s="12" t="n"/>
    </row>
    <row r="1875">
      <c r="A1875" s="12" t="n"/>
      <c r="B1875" s="12" t="n"/>
      <c r="C1875" s="12" t="n"/>
      <c r="D1875" s="13">
        <f>IF($A1875="","",TRIM($B1875&amp;" "&amp;$C1875))</f>
        <v/>
      </c>
      <c r="E1875" s="12" t="n"/>
      <c r="F1875" s="12" t="n"/>
      <c r="G1875" s="14" t="n"/>
      <c r="H1875" s="14" t="n"/>
      <c r="I1875" s="12" t="n"/>
      <c r="J1875" s="14" t="n"/>
      <c r="K1875" s="12" t="n"/>
      <c r="L1875" s="13">
        <f>IF($K1875="","",IFERROR(INDEX(Dept_Names,MATCH($K1875,Dept_Codes,0)),"NOT FOUND"))</f>
        <v/>
      </c>
      <c r="M1875" s="12" t="n"/>
      <c r="N1875" s="13">
        <f>IF($M1875="","",IFERROR(INDEX(Desig_Names,MATCH($M1875,Desig_Codes,0)),"NOT FOUND"))</f>
        <v/>
      </c>
      <c r="O1875" s="13">
        <f>IF($M1875="","",IFERROR(INDEX(Desig_Levels,MATCH($M1875,Desig_Codes,0)),""))</f>
        <v/>
      </c>
      <c r="P1875" s="12" t="n"/>
      <c r="Q1875" s="12" t="n"/>
      <c r="R1875" s="12" t="n"/>
      <c r="S1875" s="13">
        <f>IF($R1875="","",IFERROR(INDEX(Emp_Names,MATCH($R1875,Emp_Codes,0)),"NOT FOUND"))</f>
        <v/>
      </c>
      <c r="T1875" s="12" t="n"/>
      <c r="U1875" s="12" t="n"/>
      <c r="V1875" s="12" t="n"/>
    </row>
    <row r="1876">
      <c r="A1876" s="12" t="n"/>
      <c r="B1876" s="12" t="n"/>
      <c r="C1876" s="12" t="n"/>
      <c r="D1876" s="13">
        <f>IF($A1876="","",TRIM($B1876&amp;" "&amp;$C1876))</f>
        <v/>
      </c>
      <c r="E1876" s="12" t="n"/>
      <c r="F1876" s="12" t="n"/>
      <c r="G1876" s="14" t="n"/>
      <c r="H1876" s="14" t="n"/>
      <c r="I1876" s="12" t="n"/>
      <c r="J1876" s="14" t="n"/>
      <c r="K1876" s="12" t="n"/>
      <c r="L1876" s="13">
        <f>IF($K1876="","",IFERROR(INDEX(Dept_Names,MATCH($K1876,Dept_Codes,0)),"NOT FOUND"))</f>
        <v/>
      </c>
      <c r="M1876" s="12" t="n"/>
      <c r="N1876" s="13">
        <f>IF($M1876="","",IFERROR(INDEX(Desig_Names,MATCH($M1876,Desig_Codes,0)),"NOT FOUND"))</f>
        <v/>
      </c>
      <c r="O1876" s="13">
        <f>IF($M1876="","",IFERROR(INDEX(Desig_Levels,MATCH($M1876,Desig_Codes,0)),""))</f>
        <v/>
      </c>
      <c r="P1876" s="12" t="n"/>
      <c r="Q1876" s="12" t="n"/>
      <c r="R1876" s="12" t="n"/>
      <c r="S1876" s="13">
        <f>IF($R1876="","",IFERROR(INDEX(Emp_Names,MATCH($R1876,Emp_Codes,0)),"NOT FOUND"))</f>
        <v/>
      </c>
      <c r="T1876" s="12" t="n"/>
      <c r="U1876" s="12" t="n"/>
      <c r="V1876" s="12" t="n"/>
    </row>
    <row r="1877">
      <c r="A1877" s="12" t="n"/>
      <c r="B1877" s="12" t="n"/>
      <c r="C1877" s="12" t="n"/>
      <c r="D1877" s="13">
        <f>IF($A1877="","",TRIM($B1877&amp;" "&amp;$C1877))</f>
        <v/>
      </c>
      <c r="E1877" s="12" t="n"/>
      <c r="F1877" s="12" t="n"/>
      <c r="G1877" s="14" t="n"/>
      <c r="H1877" s="14" t="n"/>
      <c r="I1877" s="12" t="n"/>
      <c r="J1877" s="14" t="n"/>
      <c r="K1877" s="12" t="n"/>
      <c r="L1877" s="13">
        <f>IF($K1877="","",IFERROR(INDEX(Dept_Names,MATCH($K1877,Dept_Codes,0)),"NOT FOUND"))</f>
        <v/>
      </c>
      <c r="M1877" s="12" t="n"/>
      <c r="N1877" s="13">
        <f>IF($M1877="","",IFERROR(INDEX(Desig_Names,MATCH($M1877,Desig_Codes,0)),"NOT FOUND"))</f>
        <v/>
      </c>
      <c r="O1877" s="13">
        <f>IF($M1877="","",IFERROR(INDEX(Desig_Levels,MATCH($M1877,Desig_Codes,0)),""))</f>
        <v/>
      </c>
      <c r="P1877" s="12" t="n"/>
      <c r="Q1877" s="12" t="n"/>
      <c r="R1877" s="12" t="n"/>
      <c r="S1877" s="13">
        <f>IF($R1877="","",IFERROR(INDEX(Emp_Names,MATCH($R1877,Emp_Codes,0)),"NOT FOUND"))</f>
        <v/>
      </c>
      <c r="T1877" s="12" t="n"/>
      <c r="U1877" s="12" t="n"/>
      <c r="V1877" s="12" t="n"/>
    </row>
    <row r="1878">
      <c r="A1878" s="12" t="n"/>
      <c r="B1878" s="12" t="n"/>
      <c r="C1878" s="12" t="n"/>
      <c r="D1878" s="13">
        <f>IF($A1878="","",TRIM($B1878&amp;" "&amp;$C1878))</f>
        <v/>
      </c>
      <c r="E1878" s="12" t="n"/>
      <c r="F1878" s="12" t="n"/>
      <c r="G1878" s="14" t="n"/>
      <c r="H1878" s="14" t="n"/>
      <c r="I1878" s="12" t="n"/>
      <c r="J1878" s="14" t="n"/>
      <c r="K1878" s="12" t="n"/>
      <c r="L1878" s="13">
        <f>IF($K1878="","",IFERROR(INDEX(Dept_Names,MATCH($K1878,Dept_Codes,0)),"NOT FOUND"))</f>
        <v/>
      </c>
      <c r="M1878" s="12" t="n"/>
      <c r="N1878" s="13">
        <f>IF($M1878="","",IFERROR(INDEX(Desig_Names,MATCH($M1878,Desig_Codes,0)),"NOT FOUND"))</f>
        <v/>
      </c>
      <c r="O1878" s="13">
        <f>IF($M1878="","",IFERROR(INDEX(Desig_Levels,MATCH($M1878,Desig_Codes,0)),""))</f>
        <v/>
      </c>
      <c r="P1878" s="12" t="n"/>
      <c r="Q1878" s="12" t="n"/>
      <c r="R1878" s="12" t="n"/>
      <c r="S1878" s="13">
        <f>IF($R1878="","",IFERROR(INDEX(Emp_Names,MATCH($R1878,Emp_Codes,0)),"NOT FOUND"))</f>
        <v/>
      </c>
      <c r="T1878" s="12" t="n"/>
      <c r="U1878" s="12" t="n"/>
      <c r="V1878" s="12" t="n"/>
    </row>
    <row r="1879">
      <c r="A1879" s="12" t="n"/>
      <c r="B1879" s="12" t="n"/>
      <c r="C1879" s="12" t="n"/>
      <c r="D1879" s="13">
        <f>IF($A1879="","",TRIM($B1879&amp;" "&amp;$C1879))</f>
        <v/>
      </c>
      <c r="E1879" s="12" t="n"/>
      <c r="F1879" s="12" t="n"/>
      <c r="G1879" s="14" t="n"/>
      <c r="H1879" s="14" t="n"/>
      <c r="I1879" s="12" t="n"/>
      <c r="J1879" s="14" t="n"/>
      <c r="K1879" s="12" t="n"/>
      <c r="L1879" s="13">
        <f>IF($K1879="","",IFERROR(INDEX(Dept_Names,MATCH($K1879,Dept_Codes,0)),"NOT FOUND"))</f>
        <v/>
      </c>
      <c r="M1879" s="12" t="n"/>
      <c r="N1879" s="13">
        <f>IF($M1879="","",IFERROR(INDEX(Desig_Names,MATCH($M1879,Desig_Codes,0)),"NOT FOUND"))</f>
        <v/>
      </c>
      <c r="O1879" s="13">
        <f>IF($M1879="","",IFERROR(INDEX(Desig_Levels,MATCH($M1879,Desig_Codes,0)),""))</f>
        <v/>
      </c>
      <c r="P1879" s="12" t="n"/>
      <c r="Q1879" s="12" t="n"/>
      <c r="R1879" s="12" t="n"/>
      <c r="S1879" s="13">
        <f>IF($R1879="","",IFERROR(INDEX(Emp_Names,MATCH($R1879,Emp_Codes,0)),"NOT FOUND"))</f>
        <v/>
      </c>
      <c r="T1879" s="12" t="n"/>
      <c r="U1879" s="12" t="n"/>
      <c r="V1879" s="12" t="n"/>
    </row>
    <row r="1880">
      <c r="A1880" s="12" t="n"/>
      <c r="B1880" s="12" t="n"/>
      <c r="C1880" s="12" t="n"/>
      <c r="D1880" s="13">
        <f>IF($A1880="","",TRIM($B1880&amp;" "&amp;$C1880))</f>
        <v/>
      </c>
      <c r="E1880" s="12" t="n"/>
      <c r="F1880" s="12" t="n"/>
      <c r="G1880" s="14" t="n"/>
      <c r="H1880" s="14" t="n"/>
      <c r="I1880" s="12" t="n"/>
      <c r="J1880" s="14" t="n"/>
      <c r="K1880" s="12" t="n"/>
      <c r="L1880" s="13">
        <f>IF($K1880="","",IFERROR(INDEX(Dept_Names,MATCH($K1880,Dept_Codes,0)),"NOT FOUND"))</f>
        <v/>
      </c>
      <c r="M1880" s="12" t="n"/>
      <c r="N1880" s="13">
        <f>IF($M1880="","",IFERROR(INDEX(Desig_Names,MATCH($M1880,Desig_Codes,0)),"NOT FOUND"))</f>
        <v/>
      </c>
      <c r="O1880" s="13">
        <f>IF($M1880="","",IFERROR(INDEX(Desig_Levels,MATCH($M1880,Desig_Codes,0)),""))</f>
        <v/>
      </c>
      <c r="P1880" s="12" t="n"/>
      <c r="Q1880" s="12" t="n"/>
      <c r="R1880" s="12" t="n"/>
      <c r="S1880" s="13">
        <f>IF($R1880="","",IFERROR(INDEX(Emp_Names,MATCH($R1880,Emp_Codes,0)),"NOT FOUND"))</f>
        <v/>
      </c>
      <c r="T1880" s="12" t="n"/>
      <c r="U1880" s="12" t="n"/>
      <c r="V1880" s="12" t="n"/>
    </row>
    <row r="1881">
      <c r="A1881" s="12" t="n"/>
      <c r="B1881" s="12" t="n"/>
      <c r="C1881" s="12" t="n"/>
      <c r="D1881" s="13">
        <f>IF($A1881="","",TRIM($B1881&amp;" "&amp;$C1881))</f>
        <v/>
      </c>
      <c r="E1881" s="12" t="n"/>
      <c r="F1881" s="12" t="n"/>
      <c r="G1881" s="14" t="n"/>
      <c r="H1881" s="14" t="n"/>
      <c r="I1881" s="12" t="n"/>
      <c r="J1881" s="14" t="n"/>
      <c r="K1881" s="12" t="n"/>
      <c r="L1881" s="13">
        <f>IF($K1881="","",IFERROR(INDEX(Dept_Names,MATCH($K1881,Dept_Codes,0)),"NOT FOUND"))</f>
        <v/>
      </c>
      <c r="M1881" s="12" t="n"/>
      <c r="N1881" s="13">
        <f>IF($M1881="","",IFERROR(INDEX(Desig_Names,MATCH($M1881,Desig_Codes,0)),"NOT FOUND"))</f>
        <v/>
      </c>
      <c r="O1881" s="13">
        <f>IF($M1881="","",IFERROR(INDEX(Desig_Levels,MATCH($M1881,Desig_Codes,0)),""))</f>
        <v/>
      </c>
      <c r="P1881" s="12" t="n"/>
      <c r="Q1881" s="12" t="n"/>
      <c r="R1881" s="12" t="n"/>
      <c r="S1881" s="13">
        <f>IF($R1881="","",IFERROR(INDEX(Emp_Names,MATCH($R1881,Emp_Codes,0)),"NOT FOUND"))</f>
        <v/>
      </c>
      <c r="T1881" s="12" t="n"/>
      <c r="U1881" s="12" t="n"/>
      <c r="V1881" s="12" t="n"/>
    </row>
    <row r="1882">
      <c r="A1882" s="12" t="n"/>
      <c r="B1882" s="12" t="n"/>
      <c r="C1882" s="12" t="n"/>
      <c r="D1882" s="13">
        <f>IF($A1882="","",TRIM($B1882&amp;" "&amp;$C1882))</f>
        <v/>
      </c>
      <c r="E1882" s="12" t="n"/>
      <c r="F1882" s="12" t="n"/>
      <c r="G1882" s="14" t="n"/>
      <c r="H1882" s="14" t="n"/>
      <c r="I1882" s="12" t="n"/>
      <c r="J1882" s="14" t="n"/>
      <c r="K1882" s="12" t="n"/>
      <c r="L1882" s="13">
        <f>IF($K1882="","",IFERROR(INDEX(Dept_Names,MATCH($K1882,Dept_Codes,0)),"NOT FOUND"))</f>
        <v/>
      </c>
      <c r="M1882" s="12" t="n"/>
      <c r="N1882" s="13">
        <f>IF($M1882="","",IFERROR(INDEX(Desig_Names,MATCH($M1882,Desig_Codes,0)),"NOT FOUND"))</f>
        <v/>
      </c>
      <c r="O1882" s="13">
        <f>IF($M1882="","",IFERROR(INDEX(Desig_Levels,MATCH($M1882,Desig_Codes,0)),""))</f>
        <v/>
      </c>
      <c r="P1882" s="12" t="n"/>
      <c r="Q1882" s="12" t="n"/>
      <c r="R1882" s="12" t="n"/>
      <c r="S1882" s="13">
        <f>IF($R1882="","",IFERROR(INDEX(Emp_Names,MATCH($R1882,Emp_Codes,0)),"NOT FOUND"))</f>
        <v/>
      </c>
      <c r="T1882" s="12" t="n"/>
      <c r="U1882" s="12" t="n"/>
      <c r="V1882" s="12" t="n"/>
    </row>
    <row r="1883">
      <c r="A1883" s="12" t="n"/>
      <c r="B1883" s="12" t="n"/>
      <c r="C1883" s="12" t="n"/>
      <c r="D1883" s="13">
        <f>IF($A1883="","",TRIM($B1883&amp;" "&amp;$C1883))</f>
        <v/>
      </c>
      <c r="E1883" s="12" t="n"/>
      <c r="F1883" s="12" t="n"/>
      <c r="G1883" s="14" t="n"/>
      <c r="H1883" s="14" t="n"/>
      <c r="I1883" s="12" t="n"/>
      <c r="J1883" s="14" t="n"/>
      <c r="K1883" s="12" t="n"/>
      <c r="L1883" s="13">
        <f>IF($K1883="","",IFERROR(INDEX(Dept_Names,MATCH($K1883,Dept_Codes,0)),"NOT FOUND"))</f>
        <v/>
      </c>
      <c r="M1883" s="12" t="n"/>
      <c r="N1883" s="13">
        <f>IF($M1883="","",IFERROR(INDEX(Desig_Names,MATCH($M1883,Desig_Codes,0)),"NOT FOUND"))</f>
        <v/>
      </c>
      <c r="O1883" s="13">
        <f>IF($M1883="","",IFERROR(INDEX(Desig_Levels,MATCH($M1883,Desig_Codes,0)),""))</f>
        <v/>
      </c>
      <c r="P1883" s="12" t="n"/>
      <c r="Q1883" s="12" t="n"/>
      <c r="R1883" s="12" t="n"/>
      <c r="S1883" s="13">
        <f>IF($R1883="","",IFERROR(INDEX(Emp_Names,MATCH($R1883,Emp_Codes,0)),"NOT FOUND"))</f>
        <v/>
      </c>
      <c r="T1883" s="12" t="n"/>
      <c r="U1883" s="12" t="n"/>
      <c r="V1883" s="12" t="n"/>
    </row>
    <row r="1884">
      <c r="A1884" s="12" t="n"/>
      <c r="B1884" s="12" t="n"/>
      <c r="C1884" s="12" t="n"/>
      <c r="D1884" s="13">
        <f>IF($A1884="","",TRIM($B1884&amp;" "&amp;$C1884))</f>
        <v/>
      </c>
      <c r="E1884" s="12" t="n"/>
      <c r="F1884" s="12" t="n"/>
      <c r="G1884" s="14" t="n"/>
      <c r="H1884" s="14" t="n"/>
      <c r="I1884" s="12" t="n"/>
      <c r="J1884" s="14" t="n"/>
      <c r="K1884" s="12" t="n"/>
      <c r="L1884" s="13">
        <f>IF($K1884="","",IFERROR(INDEX(Dept_Names,MATCH($K1884,Dept_Codes,0)),"NOT FOUND"))</f>
        <v/>
      </c>
      <c r="M1884" s="12" t="n"/>
      <c r="N1884" s="13">
        <f>IF($M1884="","",IFERROR(INDEX(Desig_Names,MATCH($M1884,Desig_Codes,0)),"NOT FOUND"))</f>
        <v/>
      </c>
      <c r="O1884" s="13">
        <f>IF($M1884="","",IFERROR(INDEX(Desig_Levels,MATCH($M1884,Desig_Codes,0)),""))</f>
        <v/>
      </c>
      <c r="P1884" s="12" t="n"/>
      <c r="Q1884" s="12" t="n"/>
      <c r="R1884" s="12" t="n"/>
      <c r="S1884" s="13">
        <f>IF($R1884="","",IFERROR(INDEX(Emp_Names,MATCH($R1884,Emp_Codes,0)),"NOT FOUND"))</f>
        <v/>
      </c>
      <c r="T1884" s="12" t="n"/>
      <c r="U1884" s="12" t="n"/>
      <c r="V1884" s="12" t="n"/>
    </row>
    <row r="1885">
      <c r="A1885" s="12" t="n"/>
      <c r="B1885" s="12" t="n"/>
      <c r="C1885" s="12" t="n"/>
      <c r="D1885" s="13">
        <f>IF($A1885="","",TRIM($B1885&amp;" "&amp;$C1885))</f>
        <v/>
      </c>
      <c r="E1885" s="12" t="n"/>
      <c r="F1885" s="12" t="n"/>
      <c r="G1885" s="14" t="n"/>
      <c r="H1885" s="14" t="n"/>
      <c r="I1885" s="12" t="n"/>
      <c r="J1885" s="14" t="n"/>
      <c r="K1885" s="12" t="n"/>
      <c r="L1885" s="13">
        <f>IF($K1885="","",IFERROR(INDEX(Dept_Names,MATCH($K1885,Dept_Codes,0)),"NOT FOUND"))</f>
        <v/>
      </c>
      <c r="M1885" s="12" t="n"/>
      <c r="N1885" s="13">
        <f>IF($M1885="","",IFERROR(INDEX(Desig_Names,MATCH($M1885,Desig_Codes,0)),"NOT FOUND"))</f>
        <v/>
      </c>
      <c r="O1885" s="13">
        <f>IF($M1885="","",IFERROR(INDEX(Desig_Levels,MATCH($M1885,Desig_Codes,0)),""))</f>
        <v/>
      </c>
      <c r="P1885" s="12" t="n"/>
      <c r="Q1885" s="12" t="n"/>
      <c r="R1885" s="12" t="n"/>
      <c r="S1885" s="13">
        <f>IF($R1885="","",IFERROR(INDEX(Emp_Names,MATCH($R1885,Emp_Codes,0)),"NOT FOUND"))</f>
        <v/>
      </c>
      <c r="T1885" s="12" t="n"/>
      <c r="U1885" s="12" t="n"/>
      <c r="V1885" s="12" t="n"/>
    </row>
    <row r="1886">
      <c r="A1886" s="12" t="n"/>
      <c r="B1886" s="12" t="n"/>
      <c r="C1886" s="12" t="n"/>
      <c r="D1886" s="13">
        <f>IF($A1886="","",TRIM($B1886&amp;" "&amp;$C1886))</f>
        <v/>
      </c>
      <c r="E1886" s="12" t="n"/>
      <c r="F1886" s="12" t="n"/>
      <c r="G1886" s="14" t="n"/>
      <c r="H1886" s="14" t="n"/>
      <c r="I1886" s="12" t="n"/>
      <c r="J1886" s="14" t="n"/>
      <c r="K1886" s="12" t="n"/>
      <c r="L1886" s="13">
        <f>IF($K1886="","",IFERROR(INDEX(Dept_Names,MATCH($K1886,Dept_Codes,0)),"NOT FOUND"))</f>
        <v/>
      </c>
      <c r="M1886" s="12" t="n"/>
      <c r="N1886" s="13">
        <f>IF($M1886="","",IFERROR(INDEX(Desig_Names,MATCH($M1886,Desig_Codes,0)),"NOT FOUND"))</f>
        <v/>
      </c>
      <c r="O1886" s="13">
        <f>IF($M1886="","",IFERROR(INDEX(Desig_Levels,MATCH($M1886,Desig_Codes,0)),""))</f>
        <v/>
      </c>
      <c r="P1886" s="12" t="n"/>
      <c r="Q1886" s="12" t="n"/>
      <c r="R1886" s="12" t="n"/>
      <c r="S1886" s="13">
        <f>IF($R1886="","",IFERROR(INDEX(Emp_Names,MATCH($R1886,Emp_Codes,0)),"NOT FOUND"))</f>
        <v/>
      </c>
      <c r="T1886" s="12" t="n"/>
      <c r="U1886" s="12" t="n"/>
      <c r="V1886" s="12" t="n"/>
    </row>
    <row r="1887">
      <c r="A1887" s="12" t="n"/>
      <c r="B1887" s="12" t="n"/>
      <c r="C1887" s="12" t="n"/>
      <c r="D1887" s="13">
        <f>IF($A1887="","",TRIM($B1887&amp;" "&amp;$C1887))</f>
        <v/>
      </c>
      <c r="E1887" s="12" t="n"/>
      <c r="F1887" s="12" t="n"/>
      <c r="G1887" s="14" t="n"/>
      <c r="H1887" s="14" t="n"/>
      <c r="I1887" s="12" t="n"/>
      <c r="J1887" s="14" t="n"/>
      <c r="K1887" s="12" t="n"/>
      <c r="L1887" s="13">
        <f>IF($K1887="","",IFERROR(INDEX(Dept_Names,MATCH($K1887,Dept_Codes,0)),"NOT FOUND"))</f>
        <v/>
      </c>
      <c r="M1887" s="12" t="n"/>
      <c r="N1887" s="13">
        <f>IF($M1887="","",IFERROR(INDEX(Desig_Names,MATCH($M1887,Desig_Codes,0)),"NOT FOUND"))</f>
        <v/>
      </c>
      <c r="O1887" s="13">
        <f>IF($M1887="","",IFERROR(INDEX(Desig_Levels,MATCH($M1887,Desig_Codes,0)),""))</f>
        <v/>
      </c>
      <c r="P1887" s="12" t="n"/>
      <c r="Q1887" s="12" t="n"/>
      <c r="R1887" s="12" t="n"/>
      <c r="S1887" s="13">
        <f>IF($R1887="","",IFERROR(INDEX(Emp_Names,MATCH($R1887,Emp_Codes,0)),"NOT FOUND"))</f>
        <v/>
      </c>
      <c r="T1887" s="12" t="n"/>
      <c r="U1887" s="12" t="n"/>
      <c r="V1887" s="12" t="n"/>
    </row>
    <row r="1888">
      <c r="A1888" s="12" t="n"/>
      <c r="B1888" s="12" t="n"/>
      <c r="C1888" s="12" t="n"/>
      <c r="D1888" s="13">
        <f>IF($A1888="","",TRIM($B1888&amp;" "&amp;$C1888))</f>
        <v/>
      </c>
      <c r="E1888" s="12" t="n"/>
      <c r="F1888" s="12" t="n"/>
      <c r="G1888" s="14" t="n"/>
      <c r="H1888" s="14" t="n"/>
      <c r="I1888" s="12" t="n"/>
      <c r="J1888" s="14" t="n"/>
      <c r="K1888" s="12" t="n"/>
      <c r="L1888" s="13">
        <f>IF($K1888="","",IFERROR(INDEX(Dept_Names,MATCH($K1888,Dept_Codes,0)),"NOT FOUND"))</f>
        <v/>
      </c>
      <c r="M1888" s="12" t="n"/>
      <c r="N1888" s="13">
        <f>IF($M1888="","",IFERROR(INDEX(Desig_Names,MATCH($M1888,Desig_Codes,0)),"NOT FOUND"))</f>
        <v/>
      </c>
      <c r="O1888" s="13">
        <f>IF($M1888="","",IFERROR(INDEX(Desig_Levels,MATCH($M1888,Desig_Codes,0)),""))</f>
        <v/>
      </c>
      <c r="P1888" s="12" t="n"/>
      <c r="Q1888" s="12" t="n"/>
      <c r="R1888" s="12" t="n"/>
      <c r="S1888" s="13">
        <f>IF($R1888="","",IFERROR(INDEX(Emp_Names,MATCH($R1888,Emp_Codes,0)),"NOT FOUND"))</f>
        <v/>
      </c>
      <c r="T1888" s="12" t="n"/>
      <c r="U1888" s="12" t="n"/>
      <c r="V1888" s="12" t="n"/>
    </row>
    <row r="1889">
      <c r="A1889" s="12" t="n"/>
      <c r="B1889" s="12" t="n"/>
      <c r="C1889" s="12" t="n"/>
      <c r="D1889" s="13">
        <f>IF($A1889="","",TRIM($B1889&amp;" "&amp;$C1889))</f>
        <v/>
      </c>
      <c r="E1889" s="12" t="n"/>
      <c r="F1889" s="12" t="n"/>
      <c r="G1889" s="14" t="n"/>
      <c r="H1889" s="14" t="n"/>
      <c r="I1889" s="12" t="n"/>
      <c r="J1889" s="14" t="n"/>
      <c r="K1889" s="12" t="n"/>
      <c r="L1889" s="13">
        <f>IF($K1889="","",IFERROR(INDEX(Dept_Names,MATCH($K1889,Dept_Codes,0)),"NOT FOUND"))</f>
        <v/>
      </c>
      <c r="M1889" s="12" t="n"/>
      <c r="N1889" s="13">
        <f>IF($M1889="","",IFERROR(INDEX(Desig_Names,MATCH($M1889,Desig_Codes,0)),"NOT FOUND"))</f>
        <v/>
      </c>
      <c r="O1889" s="13">
        <f>IF($M1889="","",IFERROR(INDEX(Desig_Levels,MATCH($M1889,Desig_Codes,0)),""))</f>
        <v/>
      </c>
      <c r="P1889" s="12" t="n"/>
      <c r="Q1889" s="12" t="n"/>
      <c r="R1889" s="12" t="n"/>
      <c r="S1889" s="13">
        <f>IF($R1889="","",IFERROR(INDEX(Emp_Names,MATCH($R1889,Emp_Codes,0)),"NOT FOUND"))</f>
        <v/>
      </c>
      <c r="T1889" s="12" t="n"/>
      <c r="U1889" s="12" t="n"/>
      <c r="V1889" s="12" t="n"/>
    </row>
    <row r="1890">
      <c r="A1890" s="12" t="n"/>
      <c r="B1890" s="12" t="n"/>
      <c r="C1890" s="12" t="n"/>
      <c r="D1890" s="13">
        <f>IF($A1890="","",TRIM($B1890&amp;" "&amp;$C1890))</f>
        <v/>
      </c>
      <c r="E1890" s="12" t="n"/>
      <c r="F1890" s="12" t="n"/>
      <c r="G1890" s="14" t="n"/>
      <c r="H1890" s="14" t="n"/>
      <c r="I1890" s="12" t="n"/>
      <c r="J1890" s="14" t="n"/>
      <c r="K1890" s="12" t="n"/>
      <c r="L1890" s="13">
        <f>IF($K1890="","",IFERROR(INDEX(Dept_Names,MATCH($K1890,Dept_Codes,0)),"NOT FOUND"))</f>
        <v/>
      </c>
      <c r="M1890" s="12" t="n"/>
      <c r="N1890" s="13">
        <f>IF($M1890="","",IFERROR(INDEX(Desig_Names,MATCH($M1890,Desig_Codes,0)),"NOT FOUND"))</f>
        <v/>
      </c>
      <c r="O1890" s="13">
        <f>IF($M1890="","",IFERROR(INDEX(Desig_Levels,MATCH($M1890,Desig_Codes,0)),""))</f>
        <v/>
      </c>
      <c r="P1890" s="12" t="n"/>
      <c r="Q1890" s="12" t="n"/>
      <c r="R1890" s="12" t="n"/>
      <c r="S1890" s="13">
        <f>IF($R1890="","",IFERROR(INDEX(Emp_Names,MATCH($R1890,Emp_Codes,0)),"NOT FOUND"))</f>
        <v/>
      </c>
      <c r="T1890" s="12" t="n"/>
      <c r="U1890" s="12" t="n"/>
      <c r="V1890" s="12" t="n"/>
    </row>
    <row r="1891">
      <c r="A1891" s="12" t="n"/>
      <c r="B1891" s="12" t="n"/>
      <c r="C1891" s="12" t="n"/>
      <c r="D1891" s="13">
        <f>IF($A1891="","",TRIM($B1891&amp;" "&amp;$C1891))</f>
        <v/>
      </c>
      <c r="E1891" s="12" t="n"/>
      <c r="F1891" s="12" t="n"/>
      <c r="G1891" s="14" t="n"/>
      <c r="H1891" s="14" t="n"/>
      <c r="I1891" s="12" t="n"/>
      <c r="J1891" s="14" t="n"/>
      <c r="K1891" s="12" t="n"/>
      <c r="L1891" s="13">
        <f>IF($K1891="","",IFERROR(INDEX(Dept_Names,MATCH($K1891,Dept_Codes,0)),"NOT FOUND"))</f>
        <v/>
      </c>
      <c r="M1891" s="12" t="n"/>
      <c r="N1891" s="13">
        <f>IF($M1891="","",IFERROR(INDEX(Desig_Names,MATCH($M1891,Desig_Codes,0)),"NOT FOUND"))</f>
        <v/>
      </c>
      <c r="O1891" s="13">
        <f>IF($M1891="","",IFERROR(INDEX(Desig_Levels,MATCH($M1891,Desig_Codes,0)),""))</f>
        <v/>
      </c>
      <c r="P1891" s="12" t="n"/>
      <c r="Q1891" s="12" t="n"/>
      <c r="R1891" s="12" t="n"/>
      <c r="S1891" s="13">
        <f>IF($R1891="","",IFERROR(INDEX(Emp_Names,MATCH($R1891,Emp_Codes,0)),"NOT FOUND"))</f>
        <v/>
      </c>
      <c r="T1891" s="12" t="n"/>
      <c r="U1891" s="12" t="n"/>
      <c r="V1891" s="12" t="n"/>
    </row>
    <row r="1892">
      <c r="A1892" s="12" t="n"/>
      <c r="B1892" s="12" t="n"/>
      <c r="C1892" s="12" t="n"/>
      <c r="D1892" s="13">
        <f>IF($A1892="","",TRIM($B1892&amp;" "&amp;$C1892))</f>
        <v/>
      </c>
      <c r="E1892" s="12" t="n"/>
      <c r="F1892" s="12" t="n"/>
      <c r="G1892" s="14" t="n"/>
      <c r="H1892" s="14" t="n"/>
      <c r="I1892" s="12" t="n"/>
      <c r="J1892" s="14" t="n"/>
      <c r="K1892" s="12" t="n"/>
      <c r="L1892" s="13">
        <f>IF($K1892="","",IFERROR(INDEX(Dept_Names,MATCH($K1892,Dept_Codes,0)),"NOT FOUND"))</f>
        <v/>
      </c>
      <c r="M1892" s="12" t="n"/>
      <c r="N1892" s="13">
        <f>IF($M1892="","",IFERROR(INDEX(Desig_Names,MATCH($M1892,Desig_Codes,0)),"NOT FOUND"))</f>
        <v/>
      </c>
      <c r="O1892" s="13">
        <f>IF($M1892="","",IFERROR(INDEX(Desig_Levels,MATCH($M1892,Desig_Codes,0)),""))</f>
        <v/>
      </c>
      <c r="P1892" s="12" t="n"/>
      <c r="Q1892" s="12" t="n"/>
      <c r="R1892" s="12" t="n"/>
      <c r="S1892" s="13">
        <f>IF($R1892="","",IFERROR(INDEX(Emp_Names,MATCH($R1892,Emp_Codes,0)),"NOT FOUND"))</f>
        <v/>
      </c>
      <c r="T1892" s="12" t="n"/>
      <c r="U1892" s="12" t="n"/>
      <c r="V1892" s="12" t="n"/>
    </row>
    <row r="1893">
      <c r="A1893" s="12" t="n"/>
      <c r="B1893" s="12" t="n"/>
      <c r="C1893" s="12" t="n"/>
      <c r="D1893" s="13">
        <f>IF($A1893="","",TRIM($B1893&amp;" "&amp;$C1893))</f>
        <v/>
      </c>
      <c r="E1893" s="12" t="n"/>
      <c r="F1893" s="12" t="n"/>
      <c r="G1893" s="14" t="n"/>
      <c r="H1893" s="14" t="n"/>
      <c r="I1893" s="12" t="n"/>
      <c r="J1893" s="14" t="n"/>
      <c r="K1893" s="12" t="n"/>
      <c r="L1893" s="13">
        <f>IF($K1893="","",IFERROR(INDEX(Dept_Names,MATCH($K1893,Dept_Codes,0)),"NOT FOUND"))</f>
        <v/>
      </c>
      <c r="M1893" s="12" t="n"/>
      <c r="N1893" s="13">
        <f>IF($M1893="","",IFERROR(INDEX(Desig_Names,MATCH($M1893,Desig_Codes,0)),"NOT FOUND"))</f>
        <v/>
      </c>
      <c r="O1893" s="13">
        <f>IF($M1893="","",IFERROR(INDEX(Desig_Levels,MATCH($M1893,Desig_Codes,0)),""))</f>
        <v/>
      </c>
      <c r="P1893" s="12" t="n"/>
      <c r="Q1893" s="12" t="n"/>
      <c r="R1893" s="12" t="n"/>
      <c r="S1893" s="13">
        <f>IF($R1893="","",IFERROR(INDEX(Emp_Names,MATCH($R1893,Emp_Codes,0)),"NOT FOUND"))</f>
        <v/>
      </c>
      <c r="T1893" s="12" t="n"/>
      <c r="U1893" s="12" t="n"/>
      <c r="V1893" s="12" t="n"/>
    </row>
    <row r="1894">
      <c r="A1894" s="12" t="n"/>
      <c r="B1894" s="12" t="n"/>
      <c r="C1894" s="12" t="n"/>
      <c r="D1894" s="13">
        <f>IF($A1894="","",TRIM($B1894&amp;" "&amp;$C1894))</f>
        <v/>
      </c>
      <c r="E1894" s="12" t="n"/>
      <c r="F1894" s="12" t="n"/>
      <c r="G1894" s="14" t="n"/>
      <c r="H1894" s="14" t="n"/>
      <c r="I1894" s="12" t="n"/>
      <c r="J1894" s="14" t="n"/>
      <c r="K1894" s="12" t="n"/>
      <c r="L1894" s="13">
        <f>IF($K1894="","",IFERROR(INDEX(Dept_Names,MATCH($K1894,Dept_Codes,0)),"NOT FOUND"))</f>
        <v/>
      </c>
      <c r="M1894" s="12" t="n"/>
      <c r="N1894" s="13">
        <f>IF($M1894="","",IFERROR(INDEX(Desig_Names,MATCH($M1894,Desig_Codes,0)),"NOT FOUND"))</f>
        <v/>
      </c>
      <c r="O1894" s="13">
        <f>IF($M1894="","",IFERROR(INDEX(Desig_Levels,MATCH($M1894,Desig_Codes,0)),""))</f>
        <v/>
      </c>
      <c r="P1894" s="12" t="n"/>
      <c r="Q1894" s="12" t="n"/>
      <c r="R1894" s="12" t="n"/>
      <c r="S1894" s="13">
        <f>IF($R1894="","",IFERROR(INDEX(Emp_Names,MATCH($R1894,Emp_Codes,0)),"NOT FOUND"))</f>
        <v/>
      </c>
      <c r="T1894" s="12" t="n"/>
      <c r="U1894" s="12" t="n"/>
      <c r="V1894" s="12" t="n"/>
    </row>
    <row r="1895">
      <c r="A1895" s="12" t="n"/>
      <c r="B1895" s="12" t="n"/>
      <c r="C1895" s="12" t="n"/>
      <c r="D1895" s="13">
        <f>IF($A1895="","",TRIM($B1895&amp;" "&amp;$C1895))</f>
        <v/>
      </c>
      <c r="E1895" s="12" t="n"/>
      <c r="F1895" s="12" t="n"/>
      <c r="G1895" s="14" t="n"/>
      <c r="H1895" s="14" t="n"/>
      <c r="I1895" s="12" t="n"/>
      <c r="J1895" s="14" t="n"/>
      <c r="K1895" s="12" t="n"/>
      <c r="L1895" s="13">
        <f>IF($K1895="","",IFERROR(INDEX(Dept_Names,MATCH($K1895,Dept_Codes,0)),"NOT FOUND"))</f>
        <v/>
      </c>
      <c r="M1895" s="12" t="n"/>
      <c r="N1895" s="13">
        <f>IF($M1895="","",IFERROR(INDEX(Desig_Names,MATCH($M1895,Desig_Codes,0)),"NOT FOUND"))</f>
        <v/>
      </c>
      <c r="O1895" s="13">
        <f>IF($M1895="","",IFERROR(INDEX(Desig_Levels,MATCH($M1895,Desig_Codes,0)),""))</f>
        <v/>
      </c>
      <c r="P1895" s="12" t="n"/>
      <c r="Q1895" s="12" t="n"/>
      <c r="R1895" s="12" t="n"/>
      <c r="S1895" s="13">
        <f>IF($R1895="","",IFERROR(INDEX(Emp_Names,MATCH($R1895,Emp_Codes,0)),"NOT FOUND"))</f>
        <v/>
      </c>
      <c r="T1895" s="12" t="n"/>
      <c r="U1895" s="12" t="n"/>
      <c r="V1895" s="12" t="n"/>
    </row>
    <row r="1896">
      <c r="A1896" s="12" t="n"/>
      <c r="B1896" s="12" t="n"/>
      <c r="C1896" s="12" t="n"/>
      <c r="D1896" s="13">
        <f>IF($A1896="","",TRIM($B1896&amp;" "&amp;$C1896))</f>
        <v/>
      </c>
      <c r="E1896" s="12" t="n"/>
      <c r="F1896" s="12" t="n"/>
      <c r="G1896" s="14" t="n"/>
      <c r="H1896" s="14" t="n"/>
      <c r="I1896" s="12" t="n"/>
      <c r="J1896" s="14" t="n"/>
      <c r="K1896" s="12" t="n"/>
      <c r="L1896" s="13">
        <f>IF($K1896="","",IFERROR(INDEX(Dept_Names,MATCH($K1896,Dept_Codes,0)),"NOT FOUND"))</f>
        <v/>
      </c>
      <c r="M1896" s="12" t="n"/>
      <c r="N1896" s="13">
        <f>IF($M1896="","",IFERROR(INDEX(Desig_Names,MATCH($M1896,Desig_Codes,0)),"NOT FOUND"))</f>
        <v/>
      </c>
      <c r="O1896" s="13">
        <f>IF($M1896="","",IFERROR(INDEX(Desig_Levels,MATCH($M1896,Desig_Codes,0)),""))</f>
        <v/>
      </c>
      <c r="P1896" s="12" t="n"/>
      <c r="Q1896" s="12" t="n"/>
      <c r="R1896" s="12" t="n"/>
      <c r="S1896" s="13">
        <f>IF($R1896="","",IFERROR(INDEX(Emp_Names,MATCH($R1896,Emp_Codes,0)),"NOT FOUND"))</f>
        <v/>
      </c>
      <c r="T1896" s="12" t="n"/>
      <c r="U1896" s="12" t="n"/>
      <c r="V1896" s="12" t="n"/>
    </row>
    <row r="1897">
      <c r="A1897" s="12" t="n"/>
      <c r="B1897" s="12" t="n"/>
      <c r="C1897" s="12" t="n"/>
      <c r="D1897" s="13">
        <f>IF($A1897="","",TRIM($B1897&amp;" "&amp;$C1897))</f>
        <v/>
      </c>
      <c r="E1897" s="12" t="n"/>
      <c r="F1897" s="12" t="n"/>
      <c r="G1897" s="14" t="n"/>
      <c r="H1897" s="14" t="n"/>
      <c r="I1897" s="12" t="n"/>
      <c r="J1897" s="14" t="n"/>
      <c r="K1897" s="12" t="n"/>
      <c r="L1897" s="13">
        <f>IF($K1897="","",IFERROR(INDEX(Dept_Names,MATCH($K1897,Dept_Codes,0)),"NOT FOUND"))</f>
        <v/>
      </c>
      <c r="M1897" s="12" t="n"/>
      <c r="N1897" s="13">
        <f>IF($M1897="","",IFERROR(INDEX(Desig_Names,MATCH($M1897,Desig_Codes,0)),"NOT FOUND"))</f>
        <v/>
      </c>
      <c r="O1897" s="13">
        <f>IF($M1897="","",IFERROR(INDEX(Desig_Levels,MATCH($M1897,Desig_Codes,0)),""))</f>
        <v/>
      </c>
      <c r="P1897" s="12" t="n"/>
      <c r="Q1897" s="12" t="n"/>
      <c r="R1897" s="12" t="n"/>
      <c r="S1897" s="13">
        <f>IF($R1897="","",IFERROR(INDEX(Emp_Names,MATCH($R1897,Emp_Codes,0)),"NOT FOUND"))</f>
        <v/>
      </c>
      <c r="T1897" s="12" t="n"/>
      <c r="U1897" s="12" t="n"/>
      <c r="V1897" s="12" t="n"/>
    </row>
    <row r="1898">
      <c r="A1898" s="12" t="n"/>
      <c r="B1898" s="12" t="n"/>
      <c r="C1898" s="12" t="n"/>
      <c r="D1898" s="13">
        <f>IF($A1898="","",TRIM($B1898&amp;" "&amp;$C1898))</f>
        <v/>
      </c>
      <c r="E1898" s="12" t="n"/>
      <c r="F1898" s="12" t="n"/>
      <c r="G1898" s="14" t="n"/>
      <c r="H1898" s="14" t="n"/>
      <c r="I1898" s="12" t="n"/>
      <c r="J1898" s="14" t="n"/>
      <c r="K1898" s="12" t="n"/>
      <c r="L1898" s="13">
        <f>IF($K1898="","",IFERROR(INDEX(Dept_Names,MATCH($K1898,Dept_Codes,0)),"NOT FOUND"))</f>
        <v/>
      </c>
      <c r="M1898" s="12" t="n"/>
      <c r="N1898" s="13">
        <f>IF($M1898="","",IFERROR(INDEX(Desig_Names,MATCH($M1898,Desig_Codes,0)),"NOT FOUND"))</f>
        <v/>
      </c>
      <c r="O1898" s="13">
        <f>IF($M1898="","",IFERROR(INDEX(Desig_Levels,MATCH($M1898,Desig_Codes,0)),""))</f>
        <v/>
      </c>
      <c r="P1898" s="12" t="n"/>
      <c r="Q1898" s="12" t="n"/>
      <c r="R1898" s="12" t="n"/>
      <c r="S1898" s="13">
        <f>IF($R1898="","",IFERROR(INDEX(Emp_Names,MATCH($R1898,Emp_Codes,0)),"NOT FOUND"))</f>
        <v/>
      </c>
      <c r="T1898" s="12" t="n"/>
      <c r="U1898" s="12" t="n"/>
      <c r="V1898" s="12" t="n"/>
    </row>
    <row r="1899">
      <c r="A1899" s="12" t="n"/>
      <c r="B1899" s="12" t="n"/>
      <c r="C1899" s="12" t="n"/>
      <c r="D1899" s="13">
        <f>IF($A1899="","",TRIM($B1899&amp;" "&amp;$C1899))</f>
        <v/>
      </c>
      <c r="E1899" s="12" t="n"/>
      <c r="F1899" s="12" t="n"/>
      <c r="G1899" s="14" t="n"/>
      <c r="H1899" s="14" t="n"/>
      <c r="I1899" s="12" t="n"/>
      <c r="J1899" s="14" t="n"/>
      <c r="K1899" s="12" t="n"/>
      <c r="L1899" s="13">
        <f>IF($K1899="","",IFERROR(INDEX(Dept_Names,MATCH($K1899,Dept_Codes,0)),"NOT FOUND"))</f>
        <v/>
      </c>
      <c r="M1899" s="12" t="n"/>
      <c r="N1899" s="13">
        <f>IF($M1899="","",IFERROR(INDEX(Desig_Names,MATCH($M1899,Desig_Codes,0)),"NOT FOUND"))</f>
        <v/>
      </c>
      <c r="O1899" s="13">
        <f>IF($M1899="","",IFERROR(INDEX(Desig_Levels,MATCH($M1899,Desig_Codes,0)),""))</f>
        <v/>
      </c>
      <c r="P1899" s="12" t="n"/>
      <c r="Q1899" s="12" t="n"/>
      <c r="R1899" s="12" t="n"/>
      <c r="S1899" s="13">
        <f>IF($R1899="","",IFERROR(INDEX(Emp_Names,MATCH($R1899,Emp_Codes,0)),"NOT FOUND"))</f>
        <v/>
      </c>
      <c r="T1899" s="12" t="n"/>
      <c r="U1899" s="12" t="n"/>
      <c r="V1899" s="12" t="n"/>
    </row>
    <row r="1900">
      <c r="A1900" s="12" t="n"/>
      <c r="B1900" s="12" t="n"/>
      <c r="C1900" s="12" t="n"/>
      <c r="D1900" s="13">
        <f>IF($A1900="","",TRIM($B1900&amp;" "&amp;$C1900))</f>
        <v/>
      </c>
      <c r="E1900" s="12" t="n"/>
      <c r="F1900" s="12" t="n"/>
      <c r="G1900" s="14" t="n"/>
      <c r="H1900" s="14" t="n"/>
      <c r="I1900" s="12" t="n"/>
      <c r="J1900" s="14" t="n"/>
      <c r="K1900" s="12" t="n"/>
      <c r="L1900" s="13">
        <f>IF($K1900="","",IFERROR(INDEX(Dept_Names,MATCH($K1900,Dept_Codes,0)),"NOT FOUND"))</f>
        <v/>
      </c>
      <c r="M1900" s="12" t="n"/>
      <c r="N1900" s="13">
        <f>IF($M1900="","",IFERROR(INDEX(Desig_Names,MATCH($M1900,Desig_Codes,0)),"NOT FOUND"))</f>
        <v/>
      </c>
      <c r="O1900" s="13">
        <f>IF($M1900="","",IFERROR(INDEX(Desig_Levels,MATCH($M1900,Desig_Codes,0)),""))</f>
        <v/>
      </c>
      <c r="P1900" s="12" t="n"/>
      <c r="Q1900" s="12" t="n"/>
      <c r="R1900" s="12" t="n"/>
      <c r="S1900" s="13">
        <f>IF($R1900="","",IFERROR(INDEX(Emp_Names,MATCH($R1900,Emp_Codes,0)),"NOT FOUND"))</f>
        <v/>
      </c>
      <c r="T1900" s="12" t="n"/>
      <c r="U1900" s="12" t="n"/>
      <c r="V1900" s="12" t="n"/>
    </row>
    <row r="1901">
      <c r="A1901" s="12" t="n"/>
      <c r="B1901" s="12" t="n"/>
      <c r="C1901" s="12" t="n"/>
      <c r="D1901" s="13">
        <f>IF($A1901="","",TRIM($B1901&amp;" "&amp;$C1901))</f>
        <v/>
      </c>
      <c r="E1901" s="12" t="n"/>
      <c r="F1901" s="12" t="n"/>
      <c r="G1901" s="14" t="n"/>
      <c r="H1901" s="14" t="n"/>
      <c r="I1901" s="12" t="n"/>
      <c r="J1901" s="14" t="n"/>
      <c r="K1901" s="12" t="n"/>
      <c r="L1901" s="13">
        <f>IF($K1901="","",IFERROR(INDEX(Dept_Names,MATCH($K1901,Dept_Codes,0)),"NOT FOUND"))</f>
        <v/>
      </c>
      <c r="M1901" s="12" t="n"/>
      <c r="N1901" s="13">
        <f>IF($M1901="","",IFERROR(INDEX(Desig_Names,MATCH($M1901,Desig_Codes,0)),"NOT FOUND"))</f>
        <v/>
      </c>
      <c r="O1901" s="13">
        <f>IF($M1901="","",IFERROR(INDEX(Desig_Levels,MATCH($M1901,Desig_Codes,0)),""))</f>
        <v/>
      </c>
      <c r="P1901" s="12" t="n"/>
      <c r="Q1901" s="12" t="n"/>
      <c r="R1901" s="12" t="n"/>
      <c r="S1901" s="13">
        <f>IF($R1901="","",IFERROR(INDEX(Emp_Names,MATCH($R1901,Emp_Codes,0)),"NOT FOUND"))</f>
        <v/>
      </c>
      <c r="T1901" s="12" t="n"/>
      <c r="U1901" s="12" t="n"/>
      <c r="V1901" s="12" t="n"/>
    </row>
    <row r="1902">
      <c r="A1902" s="12" t="n"/>
      <c r="B1902" s="12" t="n"/>
      <c r="C1902" s="12" t="n"/>
      <c r="D1902" s="13">
        <f>IF($A1902="","",TRIM($B1902&amp;" "&amp;$C1902))</f>
        <v/>
      </c>
      <c r="E1902" s="12" t="n"/>
      <c r="F1902" s="12" t="n"/>
      <c r="G1902" s="14" t="n"/>
      <c r="H1902" s="14" t="n"/>
      <c r="I1902" s="12" t="n"/>
      <c r="J1902" s="14" t="n"/>
      <c r="K1902" s="12" t="n"/>
      <c r="L1902" s="13">
        <f>IF($K1902="","",IFERROR(INDEX(Dept_Names,MATCH($K1902,Dept_Codes,0)),"NOT FOUND"))</f>
        <v/>
      </c>
      <c r="M1902" s="12" t="n"/>
      <c r="N1902" s="13">
        <f>IF($M1902="","",IFERROR(INDEX(Desig_Names,MATCH($M1902,Desig_Codes,0)),"NOT FOUND"))</f>
        <v/>
      </c>
      <c r="O1902" s="13">
        <f>IF($M1902="","",IFERROR(INDEX(Desig_Levels,MATCH($M1902,Desig_Codes,0)),""))</f>
        <v/>
      </c>
      <c r="P1902" s="12" t="n"/>
      <c r="Q1902" s="12" t="n"/>
      <c r="R1902" s="12" t="n"/>
      <c r="S1902" s="13">
        <f>IF($R1902="","",IFERROR(INDEX(Emp_Names,MATCH($R1902,Emp_Codes,0)),"NOT FOUND"))</f>
        <v/>
      </c>
      <c r="T1902" s="12" t="n"/>
      <c r="U1902" s="12" t="n"/>
      <c r="V1902" s="12" t="n"/>
    </row>
    <row r="1903">
      <c r="A1903" s="12" t="n"/>
      <c r="B1903" s="12" t="n"/>
      <c r="C1903" s="12" t="n"/>
      <c r="D1903" s="13">
        <f>IF($A1903="","",TRIM($B1903&amp;" "&amp;$C1903))</f>
        <v/>
      </c>
      <c r="E1903" s="12" t="n"/>
      <c r="F1903" s="12" t="n"/>
      <c r="G1903" s="14" t="n"/>
      <c r="H1903" s="14" t="n"/>
      <c r="I1903" s="12" t="n"/>
      <c r="J1903" s="14" t="n"/>
      <c r="K1903" s="12" t="n"/>
      <c r="L1903" s="13">
        <f>IF($K1903="","",IFERROR(INDEX(Dept_Names,MATCH($K1903,Dept_Codes,0)),"NOT FOUND"))</f>
        <v/>
      </c>
      <c r="M1903" s="12" t="n"/>
      <c r="N1903" s="13">
        <f>IF($M1903="","",IFERROR(INDEX(Desig_Names,MATCH($M1903,Desig_Codes,0)),"NOT FOUND"))</f>
        <v/>
      </c>
      <c r="O1903" s="13">
        <f>IF($M1903="","",IFERROR(INDEX(Desig_Levels,MATCH($M1903,Desig_Codes,0)),""))</f>
        <v/>
      </c>
      <c r="P1903" s="12" t="n"/>
      <c r="Q1903" s="12" t="n"/>
      <c r="R1903" s="12" t="n"/>
      <c r="S1903" s="13">
        <f>IF($R1903="","",IFERROR(INDEX(Emp_Names,MATCH($R1903,Emp_Codes,0)),"NOT FOUND"))</f>
        <v/>
      </c>
      <c r="T1903" s="12" t="n"/>
      <c r="U1903" s="12" t="n"/>
      <c r="V1903" s="12" t="n"/>
    </row>
    <row r="1904">
      <c r="A1904" s="12" t="n"/>
      <c r="B1904" s="12" t="n"/>
      <c r="C1904" s="12" t="n"/>
      <c r="D1904" s="13">
        <f>IF($A1904="","",TRIM($B1904&amp;" "&amp;$C1904))</f>
        <v/>
      </c>
      <c r="E1904" s="12" t="n"/>
      <c r="F1904" s="12" t="n"/>
      <c r="G1904" s="14" t="n"/>
      <c r="H1904" s="14" t="n"/>
      <c r="I1904" s="12" t="n"/>
      <c r="J1904" s="14" t="n"/>
      <c r="K1904" s="12" t="n"/>
      <c r="L1904" s="13">
        <f>IF($K1904="","",IFERROR(INDEX(Dept_Names,MATCH($K1904,Dept_Codes,0)),"NOT FOUND"))</f>
        <v/>
      </c>
      <c r="M1904" s="12" t="n"/>
      <c r="N1904" s="13">
        <f>IF($M1904="","",IFERROR(INDEX(Desig_Names,MATCH($M1904,Desig_Codes,0)),"NOT FOUND"))</f>
        <v/>
      </c>
      <c r="O1904" s="13">
        <f>IF($M1904="","",IFERROR(INDEX(Desig_Levels,MATCH($M1904,Desig_Codes,0)),""))</f>
        <v/>
      </c>
      <c r="P1904" s="12" t="n"/>
      <c r="Q1904" s="12" t="n"/>
      <c r="R1904" s="12" t="n"/>
      <c r="S1904" s="13">
        <f>IF($R1904="","",IFERROR(INDEX(Emp_Names,MATCH($R1904,Emp_Codes,0)),"NOT FOUND"))</f>
        <v/>
      </c>
      <c r="T1904" s="12" t="n"/>
      <c r="U1904" s="12" t="n"/>
      <c r="V1904" s="12" t="n"/>
    </row>
    <row r="1905">
      <c r="A1905" s="12" t="n"/>
      <c r="B1905" s="12" t="n"/>
      <c r="C1905" s="12" t="n"/>
      <c r="D1905" s="13">
        <f>IF($A1905="","",TRIM($B1905&amp;" "&amp;$C1905))</f>
        <v/>
      </c>
      <c r="E1905" s="12" t="n"/>
      <c r="F1905" s="12" t="n"/>
      <c r="G1905" s="14" t="n"/>
      <c r="H1905" s="14" t="n"/>
      <c r="I1905" s="12" t="n"/>
      <c r="J1905" s="14" t="n"/>
      <c r="K1905" s="12" t="n"/>
      <c r="L1905" s="13">
        <f>IF($K1905="","",IFERROR(INDEX(Dept_Names,MATCH($K1905,Dept_Codes,0)),"NOT FOUND"))</f>
        <v/>
      </c>
      <c r="M1905" s="12" t="n"/>
      <c r="N1905" s="13">
        <f>IF($M1905="","",IFERROR(INDEX(Desig_Names,MATCH($M1905,Desig_Codes,0)),"NOT FOUND"))</f>
        <v/>
      </c>
      <c r="O1905" s="13">
        <f>IF($M1905="","",IFERROR(INDEX(Desig_Levels,MATCH($M1905,Desig_Codes,0)),""))</f>
        <v/>
      </c>
      <c r="P1905" s="12" t="n"/>
      <c r="Q1905" s="12" t="n"/>
      <c r="R1905" s="12" t="n"/>
      <c r="S1905" s="13">
        <f>IF($R1905="","",IFERROR(INDEX(Emp_Names,MATCH($R1905,Emp_Codes,0)),"NOT FOUND"))</f>
        <v/>
      </c>
      <c r="T1905" s="12" t="n"/>
      <c r="U1905" s="12" t="n"/>
      <c r="V1905" s="12" t="n"/>
    </row>
    <row r="1906">
      <c r="A1906" s="12" t="n"/>
      <c r="B1906" s="12" t="n"/>
      <c r="C1906" s="12" t="n"/>
      <c r="D1906" s="13">
        <f>IF($A1906="","",TRIM($B1906&amp;" "&amp;$C1906))</f>
        <v/>
      </c>
      <c r="E1906" s="12" t="n"/>
      <c r="F1906" s="12" t="n"/>
      <c r="G1906" s="14" t="n"/>
      <c r="H1906" s="14" t="n"/>
      <c r="I1906" s="12" t="n"/>
      <c r="J1906" s="14" t="n"/>
      <c r="K1906" s="12" t="n"/>
      <c r="L1906" s="13">
        <f>IF($K1906="","",IFERROR(INDEX(Dept_Names,MATCH($K1906,Dept_Codes,0)),"NOT FOUND"))</f>
        <v/>
      </c>
      <c r="M1906" s="12" t="n"/>
      <c r="N1906" s="13">
        <f>IF($M1906="","",IFERROR(INDEX(Desig_Names,MATCH($M1906,Desig_Codes,0)),"NOT FOUND"))</f>
        <v/>
      </c>
      <c r="O1906" s="13">
        <f>IF($M1906="","",IFERROR(INDEX(Desig_Levels,MATCH($M1906,Desig_Codes,0)),""))</f>
        <v/>
      </c>
      <c r="P1906" s="12" t="n"/>
      <c r="Q1906" s="12" t="n"/>
      <c r="R1906" s="12" t="n"/>
      <c r="S1906" s="13">
        <f>IF($R1906="","",IFERROR(INDEX(Emp_Names,MATCH($R1906,Emp_Codes,0)),"NOT FOUND"))</f>
        <v/>
      </c>
      <c r="T1906" s="12" t="n"/>
      <c r="U1906" s="12" t="n"/>
      <c r="V1906" s="12" t="n"/>
    </row>
    <row r="1907">
      <c r="A1907" s="12" t="n"/>
      <c r="B1907" s="12" t="n"/>
      <c r="C1907" s="12" t="n"/>
      <c r="D1907" s="13">
        <f>IF($A1907="","",TRIM($B1907&amp;" "&amp;$C1907))</f>
        <v/>
      </c>
      <c r="E1907" s="12" t="n"/>
      <c r="F1907" s="12" t="n"/>
      <c r="G1907" s="14" t="n"/>
      <c r="H1907" s="14" t="n"/>
      <c r="I1907" s="12" t="n"/>
      <c r="J1907" s="14" t="n"/>
      <c r="K1907" s="12" t="n"/>
      <c r="L1907" s="13">
        <f>IF($K1907="","",IFERROR(INDEX(Dept_Names,MATCH($K1907,Dept_Codes,0)),"NOT FOUND"))</f>
        <v/>
      </c>
      <c r="M1907" s="12" t="n"/>
      <c r="N1907" s="13">
        <f>IF($M1907="","",IFERROR(INDEX(Desig_Names,MATCH($M1907,Desig_Codes,0)),"NOT FOUND"))</f>
        <v/>
      </c>
      <c r="O1907" s="13">
        <f>IF($M1907="","",IFERROR(INDEX(Desig_Levels,MATCH($M1907,Desig_Codes,0)),""))</f>
        <v/>
      </c>
      <c r="P1907" s="12" t="n"/>
      <c r="Q1907" s="12" t="n"/>
      <c r="R1907" s="12" t="n"/>
      <c r="S1907" s="13">
        <f>IF($R1907="","",IFERROR(INDEX(Emp_Names,MATCH($R1907,Emp_Codes,0)),"NOT FOUND"))</f>
        <v/>
      </c>
      <c r="T1907" s="12" t="n"/>
      <c r="U1907" s="12" t="n"/>
      <c r="V1907" s="12" t="n"/>
    </row>
    <row r="1908">
      <c r="A1908" s="12" t="n"/>
      <c r="B1908" s="12" t="n"/>
      <c r="C1908" s="12" t="n"/>
      <c r="D1908" s="13">
        <f>IF($A1908="","",TRIM($B1908&amp;" "&amp;$C1908))</f>
        <v/>
      </c>
      <c r="E1908" s="12" t="n"/>
      <c r="F1908" s="12" t="n"/>
      <c r="G1908" s="14" t="n"/>
      <c r="H1908" s="14" t="n"/>
      <c r="I1908" s="12" t="n"/>
      <c r="J1908" s="14" t="n"/>
      <c r="K1908" s="12" t="n"/>
      <c r="L1908" s="13">
        <f>IF($K1908="","",IFERROR(INDEX(Dept_Names,MATCH($K1908,Dept_Codes,0)),"NOT FOUND"))</f>
        <v/>
      </c>
      <c r="M1908" s="12" t="n"/>
      <c r="N1908" s="13">
        <f>IF($M1908="","",IFERROR(INDEX(Desig_Names,MATCH($M1908,Desig_Codes,0)),"NOT FOUND"))</f>
        <v/>
      </c>
      <c r="O1908" s="13">
        <f>IF($M1908="","",IFERROR(INDEX(Desig_Levels,MATCH($M1908,Desig_Codes,0)),""))</f>
        <v/>
      </c>
      <c r="P1908" s="12" t="n"/>
      <c r="Q1908" s="12" t="n"/>
      <c r="R1908" s="12" t="n"/>
      <c r="S1908" s="13">
        <f>IF($R1908="","",IFERROR(INDEX(Emp_Names,MATCH($R1908,Emp_Codes,0)),"NOT FOUND"))</f>
        <v/>
      </c>
      <c r="T1908" s="12" t="n"/>
      <c r="U1908" s="12" t="n"/>
      <c r="V1908" s="12" t="n"/>
    </row>
    <row r="1909">
      <c r="A1909" s="12" t="n"/>
      <c r="B1909" s="12" t="n"/>
      <c r="C1909" s="12" t="n"/>
      <c r="D1909" s="13">
        <f>IF($A1909="","",TRIM($B1909&amp;" "&amp;$C1909))</f>
        <v/>
      </c>
      <c r="E1909" s="12" t="n"/>
      <c r="F1909" s="12" t="n"/>
      <c r="G1909" s="14" t="n"/>
      <c r="H1909" s="14" t="n"/>
      <c r="I1909" s="12" t="n"/>
      <c r="J1909" s="14" t="n"/>
      <c r="K1909" s="12" t="n"/>
      <c r="L1909" s="13">
        <f>IF($K1909="","",IFERROR(INDEX(Dept_Names,MATCH($K1909,Dept_Codes,0)),"NOT FOUND"))</f>
        <v/>
      </c>
      <c r="M1909" s="12" t="n"/>
      <c r="N1909" s="13">
        <f>IF($M1909="","",IFERROR(INDEX(Desig_Names,MATCH($M1909,Desig_Codes,0)),"NOT FOUND"))</f>
        <v/>
      </c>
      <c r="O1909" s="13">
        <f>IF($M1909="","",IFERROR(INDEX(Desig_Levels,MATCH($M1909,Desig_Codes,0)),""))</f>
        <v/>
      </c>
      <c r="P1909" s="12" t="n"/>
      <c r="Q1909" s="12" t="n"/>
      <c r="R1909" s="12" t="n"/>
      <c r="S1909" s="13">
        <f>IF($R1909="","",IFERROR(INDEX(Emp_Names,MATCH($R1909,Emp_Codes,0)),"NOT FOUND"))</f>
        <v/>
      </c>
      <c r="T1909" s="12" t="n"/>
      <c r="U1909" s="12" t="n"/>
      <c r="V1909" s="12" t="n"/>
    </row>
    <row r="1910">
      <c r="A1910" s="12" t="n"/>
      <c r="B1910" s="12" t="n"/>
      <c r="C1910" s="12" t="n"/>
      <c r="D1910" s="13">
        <f>IF($A1910="","",TRIM($B1910&amp;" "&amp;$C1910))</f>
        <v/>
      </c>
      <c r="E1910" s="12" t="n"/>
      <c r="F1910" s="12" t="n"/>
      <c r="G1910" s="14" t="n"/>
      <c r="H1910" s="14" t="n"/>
      <c r="I1910" s="12" t="n"/>
      <c r="J1910" s="14" t="n"/>
      <c r="K1910" s="12" t="n"/>
      <c r="L1910" s="13">
        <f>IF($K1910="","",IFERROR(INDEX(Dept_Names,MATCH($K1910,Dept_Codes,0)),"NOT FOUND"))</f>
        <v/>
      </c>
      <c r="M1910" s="12" t="n"/>
      <c r="N1910" s="13">
        <f>IF($M1910="","",IFERROR(INDEX(Desig_Names,MATCH($M1910,Desig_Codes,0)),"NOT FOUND"))</f>
        <v/>
      </c>
      <c r="O1910" s="13">
        <f>IF($M1910="","",IFERROR(INDEX(Desig_Levels,MATCH($M1910,Desig_Codes,0)),""))</f>
        <v/>
      </c>
      <c r="P1910" s="12" t="n"/>
      <c r="Q1910" s="12" t="n"/>
      <c r="R1910" s="12" t="n"/>
      <c r="S1910" s="13">
        <f>IF($R1910="","",IFERROR(INDEX(Emp_Names,MATCH($R1910,Emp_Codes,0)),"NOT FOUND"))</f>
        <v/>
      </c>
      <c r="T1910" s="12" t="n"/>
      <c r="U1910" s="12" t="n"/>
      <c r="V1910" s="12" t="n"/>
    </row>
    <row r="1911">
      <c r="A1911" s="12" t="n"/>
      <c r="B1911" s="12" t="n"/>
      <c r="C1911" s="12" t="n"/>
      <c r="D1911" s="13">
        <f>IF($A1911="","",TRIM($B1911&amp;" "&amp;$C1911))</f>
        <v/>
      </c>
      <c r="E1911" s="12" t="n"/>
      <c r="F1911" s="12" t="n"/>
      <c r="G1911" s="14" t="n"/>
      <c r="H1911" s="14" t="n"/>
      <c r="I1911" s="12" t="n"/>
      <c r="J1911" s="14" t="n"/>
      <c r="K1911" s="12" t="n"/>
      <c r="L1911" s="13">
        <f>IF($K1911="","",IFERROR(INDEX(Dept_Names,MATCH($K1911,Dept_Codes,0)),"NOT FOUND"))</f>
        <v/>
      </c>
      <c r="M1911" s="12" t="n"/>
      <c r="N1911" s="13">
        <f>IF($M1911="","",IFERROR(INDEX(Desig_Names,MATCH($M1911,Desig_Codes,0)),"NOT FOUND"))</f>
        <v/>
      </c>
      <c r="O1911" s="13">
        <f>IF($M1911="","",IFERROR(INDEX(Desig_Levels,MATCH($M1911,Desig_Codes,0)),""))</f>
        <v/>
      </c>
      <c r="P1911" s="12" t="n"/>
      <c r="Q1911" s="12" t="n"/>
      <c r="R1911" s="12" t="n"/>
      <c r="S1911" s="13">
        <f>IF($R1911="","",IFERROR(INDEX(Emp_Names,MATCH($R1911,Emp_Codes,0)),"NOT FOUND"))</f>
        <v/>
      </c>
      <c r="T1911" s="12" t="n"/>
      <c r="U1911" s="12" t="n"/>
      <c r="V1911" s="12" t="n"/>
    </row>
    <row r="1912">
      <c r="A1912" s="12" t="n"/>
      <c r="B1912" s="12" t="n"/>
      <c r="C1912" s="12" t="n"/>
      <c r="D1912" s="13">
        <f>IF($A1912="","",TRIM($B1912&amp;" "&amp;$C1912))</f>
        <v/>
      </c>
      <c r="E1912" s="12" t="n"/>
      <c r="F1912" s="12" t="n"/>
      <c r="G1912" s="14" t="n"/>
      <c r="H1912" s="14" t="n"/>
      <c r="I1912" s="12" t="n"/>
      <c r="J1912" s="14" t="n"/>
      <c r="K1912" s="12" t="n"/>
      <c r="L1912" s="13">
        <f>IF($K1912="","",IFERROR(INDEX(Dept_Names,MATCH($K1912,Dept_Codes,0)),"NOT FOUND"))</f>
        <v/>
      </c>
      <c r="M1912" s="12" t="n"/>
      <c r="N1912" s="13">
        <f>IF($M1912="","",IFERROR(INDEX(Desig_Names,MATCH($M1912,Desig_Codes,0)),"NOT FOUND"))</f>
        <v/>
      </c>
      <c r="O1912" s="13">
        <f>IF($M1912="","",IFERROR(INDEX(Desig_Levels,MATCH($M1912,Desig_Codes,0)),""))</f>
        <v/>
      </c>
      <c r="P1912" s="12" t="n"/>
      <c r="Q1912" s="12" t="n"/>
      <c r="R1912" s="12" t="n"/>
      <c r="S1912" s="13">
        <f>IF($R1912="","",IFERROR(INDEX(Emp_Names,MATCH($R1912,Emp_Codes,0)),"NOT FOUND"))</f>
        <v/>
      </c>
      <c r="T1912" s="12" t="n"/>
      <c r="U1912" s="12" t="n"/>
      <c r="V1912" s="12" t="n"/>
    </row>
    <row r="1913">
      <c r="A1913" s="12" t="n"/>
      <c r="B1913" s="12" t="n"/>
      <c r="C1913" s="12" t="n"/>
      <c r="D1913" s="13">
        <f>IF($A1913="","",TRIM($B1913&amp;" "&amp;$C1913))</f>
        <v/>
      </c>
      <c r="E1913" s="12" t="n"/>
      <c r="F1913" s="12" t="n"/>
      <c r="G1913" s="14" t="n"/>
      <c r="H1913" s="14" t="n"/>
      <c r="I1913" s="12" t="n"/>
      <c r="J1913" s="14" t="n"/>
      <c r="K1913" s="12" t="n"/>
      <c r="L1913" s="13">
        <f>IF($K1913="","",IFERROR(INDEX(Dept_Names,MATCH($K1913,Dept_Codes,0)),"NOT FOUND"))</f>
        <v/>
      </c>
      <c r="M1913" s="12" t="n"/>
      <c r="N1913" s="13">
        <f>IF($M1913="","",IFERROR(INDEX(Desig_Names,MATCH($M1913,Desig_Codes,0)),"NOT FOUND"))</f>
        <v/>
      </c>
      <c r="O1913" s="13">
        <f>IF($M1913="","",IFERROR(INDEX(Desig_Levels,MATCH($M1913,Desig_Codes,0)),""))</f>
        <v/>
      </c>
      <c r="P1913" s="12" t="n"/>
      <c r="Q1913" s="12" t="n"/>
      <c r="R1913" s="12" t="n"/>
      <c r="S1913" s="13">
        <f>IF($R1913="","",IFERROR(INDEX(Emp_Names,MATCH($R1913,Emp_Codes,0)),"NOT FOUND"))</f>
        <v/>
      </c>
      <c r="T1913" s="12" t="n"/>
      <c r="U1913" s="12" t="n"/>
      <c r="V1913" s="12" t="n"/>
    </row>
    <row r="1914">
      <c r="A1914" s="12" t="n"/>
      <c r="B1914" s="12" t="n"/>
      <c r="C1914" s="12" t="n"/>
      <c r="D1914" s="13">
        <f>IF($A1914="","",TRIM($B1914&amp;" "&amp;$C1914))</f>
        <v/>
      </c>
      <c r="E1914" s="12" t="n"/>
      <c r="F1914" s="12" t="n"/>
      <c r="G1914" s="14" t="n"/>
      <c r="H1914" s="14" t="n"/>
      <c r="I1914" s="12" t="n"/>
      <c r="J1914" s="14" t="n"/>
      <c r="K1914" s="12" t="n"/>
      <c r="L1914" s="13">
        <f>IF($K1914="","",IFERROR(INDEX(Dept_Names,MATCH($K1914,Dept_Codes,0)),"NOT FOUND"))</f>
        <v/>
      </c>
      <c r="M1914" s="12" t="n"/>
      <c r="N1914" s="13">
        <f>IF($M1914="","",IFERROR(INDEX(Desig_Names,MATCH($M1914,Desig_Codes,0)),"NOT FOUND"))</f>
        <v/>
      </c>
      <c r="O1914" s="13">
        <f>IF($M1914="","",IFERROR(INDEX(Desig_Levels,MATCH($M1914,Desig_Codes,0)),""))</f>
        <v/>
      </c>
      <c r="P1914" s="12" t="n"/>
      <c r="Q1914" s="12" t="n"/>
      <c r="R1914" s="12" t="n"/>
      <c r="S1914" s="13">
        <f>IF($R1914="","",IFERROR(INDEX(Emp_Names,MATCH($R1914,Emp_Codes,0)),"NOT FOUND"))</f>
        <v/>
      </c>
      <c r="T1914" s="12" t="n"/>
      <c r="U1914" s="12" t="n"/>
      <c r="V1914" s="12" t="n"/>
    </row>
    <row r="1915">
      <c r="A1915" s="12" t="n"/>
      <c r="B1915" s="12" t="n"/>
      <c r="C1915" s="12" t="n"/>
      <c r="D1915" s="13">
        <f>IF($A1915="","",TRIM($B1915&amp;" "&amp;$C1915))</f>
        <v/>
      </c>
      <c r="E1915" s="12" t="n"/>
      <c r="F1915" s="12" t="n"/>
      <c r="G1915" s="14" t="n"/>
      <c r="H1915" s="14" t="n"/>
      <c r="I1915" s="12" t="n"/>
      <c r="J1915" s="14" t="n"/>
      <c r="K1915" s="12" t="n"/>
      <c r="L1915" s="13">
        <f>IF($K1915="","",IFERROR(INDEX(Dept_Names,MATCH($K1915,Dept_Codes,0)),"NOT FOUND"))</f>
        <v/>
      </c>
      <c r="M1915" s="12" t="n"/>
      <c r="N1915" s="13">
        <f>IF($M1915="","",IFERROR(INDEX(Desig_Names,MATCH($M1915,Desig_Codes,0)),"NOT FOUND"))</f>
        <v/>
      </c>
      <c r="O1915" s="13">
        <f>IF($M1915="","",IFERROR(INDEX(Desig_Levels,MATCH($M1915,Desig_Codes,0)),""))</f>
        <v/>
      </c>
      <c r="P1915" s="12" t="n"/>
      <c r="Q1915" s="12" t="n"/>
      <c r="R1915" s="12" t="n"/>
      <c r="S1915" s="13">
        <f>IF($R1915="","",IFERROR(INDEX(Emp_Names,MATCH($R1915,Emp_Codes,0)),"NOT FOUND"))</f>
        <v/>
      </c>
      <c r="T1915" s="12" t="n"/>
      <c r="U1915" s="12" t="n"/>
      <c r="V1915" s="12" t="n"/>
    </row>
    <row r="1916">
      <c r="A1916" s="12" t="n"/>
      <c r="B1916" s="12" t="n"/>
      <c r="C1916" s="12" t="n"/>
      <c r="D1916" s="13">
        <f>IF($A1916="","",TRIM($B1916&amp;" "&amp;$C1916))</f>
        <v/>
      </c>
      <c r="E1916" s="12" t="n"/>
      <c r="F1916" s="12" t="n"/>
      <c r="G1916" s="14" t="n"/>
      <c r="H1916" s="14" t="n"/>
      <c r="I1916" s="12" t="n"/>
      <c r="J1916" s="14" t="n"/>
      <c r="K1916" s="12" t="n"/>
      <c r="L1916" s="13">
        <f>IF($K1916="","",IFERROR(INDEX(Dept_Names,MATCH($K1916,Dept_Codes,0)),"NOT FOUND"))</f>
        <v/>
      </c>
      <c r="M1916" s="12" t="n"/>
      <c r="N1916" s="13">
        <f>IF($M1916="","",IFERROR(INDEX(Desig_Names,MATCH($M1916,Desig_Codes,0)),"NOT FOUND"))</f>
        <v/>
      </c>
      <c r="O1916" s="13">
        <f>IF($M1916="","",IFERROR(INDEX(Desig_Levels,MATCH($M1916,Desig_Codes,0)),""))</f>
        <v/>
      </c>
      <c r="P1916" s="12" t="n"/>
      <c r="Q1916" s="12" t="n"/>
      <c r="R1916" s="12" t="n"/>
      <c r="S1916" s="13">
        <f>IF($R1916="","",IFERROR(INDEX(Emp_Names,MATCH($R1916,Emp_Codes,0)),"NOT FOUND"))</f>
        <v/>
      </c>
      <c r="T1916" s="12" t="n"/>
      <c r="U1916" s="12" t="n"/>
      <c r="V1916" s="12" t="n"/>
    </row>
    <row r="1917">
      <c r="A1917" s="12" t="n"/>
      <c r="B1917" s="12" t="n"/>
      <c r="C1917" s="12" t="n"/>
      <c r="D1917" s="13">
        <f>IF($A1917="","",TRIM($B1917&amp;" "&amp;$C1917))</f>
        <v/>
      </c>
      <c r="E1917" s="12" t="n"/>
      <c r="F1917" s="12" t="n"/>
      <c r="G1917" s="14" t="n"/>
      <c r="H1917" s="14" t="n"/>
      <c r="I1917" s="12" t="n"/>
      <c r="J1917" s="14" t="n"/>
      <c r="K1917" s="12" t="n"/>
      <c r="L1917" s="13">
        <f>IF($K1917="","",IFERROR(INDEX(Dept_Names,MATCH($K1917,Dept_Codes,0)),"NOT FOUND"))</f>
        <v/>
      </c>
      <c r="M1917" s="12" t="n"/>
      <c r="N1917" s="13">
        <f>IF($M1917="","",IFERROR(INDEX(Desig_Names,MATCH($M1917,Desig_Codes,0)),"NOT FOUND"))</f>
        <v/>
      </c>
      <c r="O1917" s="13">
        <f>IF($M1917="","",IFERROR(INDEX(Desig_Levels,MATCH($M1917,Desig_Codes,0)),""))</f>
        <v/>
      </c>
      <c r="P1917" s="12" t="n"/>
      <c r="Q1917" s="12" t="n"/>
      <c r="R1917" s="12" t="n"/>
      <c r="S1917" s="13">
        <f>IF($R1917="","",IFERROR(INDEX(Emp_Names,MATCH($R1917,Emp_Codes,0)),"NOT FOUND"))</f>
        <v/>
      </c>
      <c r="T1917" s="12" t="n"/>
      <c r="U1917" s="12" t="n"/>
      <c r="V1917" s="12" t="n"/>
    </row>
    <row r="1918">
      <c r="A1918" s="12" t="n"/>
      <c r="B1918" s="12" t="n"/>
      <c r="C1918" s="12" t="n"/>
      <c r="D1918" s="13">
        <f>IF($A1918="","",TRIM($B1918&amp;" "&amp;$C1918))</f>
        <v/>
      </c>
      <c r="E1918" s="12" t="n"/>
      <c r="F1918" s="12" t="n"/>
      <c r="G1918" s="14" t="n"/>
      <c r="H1918" s="14" t="n"/>
      <c r="I1918" s="12" t="n"/>
      <c r="J1918" s="14" t="n"/>
      <c r="K1918" s="12" t="n"/>
      <c r="L1918" s="13">
        <f>IF($K1918="","",IFERROR(INDEX(Dept_Names,MATCH($K1918,Dept_Codes,0)),"NOT FOUND"))</f>
        <v/>
      </c>
      <c r="M1918" s="12" t="n"/>
      <c r="N1918" s="13">
        <f>IF($M1918="","",IFERROR(INDEX(Desig_Names,MATCH($M1918,Desig_Codes,0)),"NOT FOUND"))</f>
        <v/>
      </c>
      <c r="O1918" s="13">
        <f>IF($M1918="","",IFERROR(INDEX(Desig_Levels,MATCH($M1918,Desig_Codes,0)),""))</f>
        <v/>
      </c>
      <c r="P1918" s="12" t="n"/>
      <c r="Q1918" s="12" t="n"/>
      <c r="R1918" s="12" t="n"/>
      <c r="S1918" s="13">
        <f>IF($R1918="","",IFERROR(INDEX(Emp_Names,MATCH($R1918,Emp_Codes,0)),"NOT FOUND"))</f>
        <v/>
      </c>
      <c r="T1918" s="12" t="n"/>
      <c r="U1918" s="12" t="n"/>
      <c r="V1918" s="12" t="n"/>
    </row>
    <row r="1919">
      <c r="A1919" s="12" t="n"/>
      <c r="B1919" s="12" t="n"/>
      <c r="C1919" s="12" t="n"/>
      <c r="D1919" s="13">
        <f>IF($A1919="","",TRIM($B1919&amp;" "&amp;$C1919))</f>
        <v/>
      </c>
      <c r="E1919" s="12" t="n"/>
      <c r="F1919" s="12" t="n"/>
      <c r="G1919" s="14" t="n"/>
      <c r="H1919" s="14" t="n"/>
      <c r="I1919" s="12" t="n"/>
      <c r="J1919" s="14" t="n"/>
      <c r="K1919" s="12" t="n"/>
      <c r="L1919" s="13">
        <f>IF($K1919="","",IFERROR(INDEX(Dept_Names,MATCH($K1919,Dept_Codes,0)),"NOT FOUND"))</f>
        <v/>
      </c>
      <c r="M1919" s="12" t="n"/>
      <c r="N1919" s="13">
        <f>IF($M1919="","",IFERROR(INDEX(Desig_Names,MATCH($M1919,Desig_Codes,0)),"NOT FOUND"))</f>
        <v/>
      </c>
      <c r="O1919" s="13">
        <f>IF($M1919="","",IFERROR(INDEX(Desig_Levels,MATCH($M1919,Desig_Codes,0)),""))</f>
        <v/>
      </c>
      <c r="P1919" s="12" t="n"/>
      <c r="Q1919" s="12" t="n"/>
      <c r="R1919" s="12" t="n"/>
      <c r="S1919" s="13">
        <f>IF($R1919="","",IFERROR(INDEX(Emp_Names,MATCH($R1919,Emp_Codes,0)),"NOT FOUND"))</f>
        <v/>
      </c>
      <c r="T1919" s="12" t="n"/>
      <c r="U1919" s="12" t="n"/>
      <c r="V1919" s="12" t="n"/>
    </row>
    <row r="1920">
      <c r="A1920" s="12" t="n"/>
      <c r="B1920" s="12" t="n"/>
      <c r="C1920" s="12" t="n"/>
      <c r="D1920" s="13">
        <f>IF($A1920="","",TRIM($B1920&amp;" "&amp;$C1920))</f>
        <v/>
      </c>
      <c r="E1920" s="12" t="n"/>
      <c r="F1920" s="12" t="n"/>
      <c r="G1920" s="14" t="n"/>
      <c r="H1920" s="14" t="n"/>
      <c r="I1920" s="12" t="n"/>
      <c r="J1920" s="14" t="n"/>
      <c r="K1920" s="12" t="n"/>
      <c r="L1920" s="13">
        <f>IF($K1920="","",IFERROR(INDEX(Dept_Names,MATCH($K1920,Dept_Codes,0)),"NOT FOUND"))</f>
        <v/>
      </c>
      <c r="M1920" s="12" t="n"/>
      <c r="N1920" s="13">
        <f>IF($M1920="","",IFERROR(INDEX(Desig_Names,MATCH($M1920,Desig_Codes,0)),"NOT FOUND"))</f>
        <v/>
      </c>
      <c r="O1920" s="13">
        <f>IF($M1920="","",IFERROR(INDEX(Desig_Levels,MATCH($M1920,Desig_Codes,0)),""))</f>
        <v/>
      </c>
      <c r="P1920" s="12" t="n"/>
      <c r="Q1920" s="12" t="n"/>
      <c r="R1920" s="12" t="n"/>
      <c r="S1920" s="13">
        <f>IF($R1920="","",IFERROR(INDEX(Emp_Names,MATCH($R1920,Emp_Codes,0)),"NOT FOUND"))</f>
        <v/>
      </c>
      <c r="T1920" s="12" t="n"/>
      <c r="U1920" s="12" t="n"/>
      <c r="V1920" s="12" t="n"/>
    </row>
    <row r="1921">
      <c r="A1921" s="12" t="n"/>
      <c r="B1921" s="12" t="n"/>
      <c r="C1921" s="12" t="n"/>
      <c r="D1921" s="13">
        <f>IF($A1921="","",TRIM($B1921&amp;" "&amp;$C1921))</f>
        <v/>
      </c>
      <c r="E1921" s="12" t="n"/>
      <c r="F1921" s="12" t="n"/>
      <c r="G1921" s="14" t="n"/>
      <c r="H1921" s="14" t="n"/>
      <c r="I1921" s="12" t="n"/>
      <c r="J1921" s="14" t="n"/>
      <c r="K1921" s="12" t="n"/>
      <c r="L1921" s="13">
        <f>IF($K1921="","",IFERROR(INDEX(Dept_Names,MATCH($K1921,Dept_Codes,0)),"NOT FOUND"))</f>
        <v/>
      </c>
      <c r="M1921" s="12" t="n"/>
      <c r="N1921" s="13">
        <f>IF($M1921="","",IFERROR(INDEX(Desig_Names,MATCH($M1921,Desig_Codes,0)),"NOT FOUND"))</f>
        <v/>
      </c>
      <c r="O1921" s="13">
        <f>IF($M1921="","",IFERROR(INDEX(Desig_Levels,MATCH($M1921,Desig_Codes,0)),""))</f>
        <v/>
      </c>
      <c r="P1921" s="12" t="n"/>
      <c r="Q1921" s="12" t="n"/>
      <c r="R1921" s="12" t="n"/>
      <c r="S1921" s="13">
        <f>IF($R1921="","",IFERROR(INDEX(Emp_Names,MATCH($R1921,Emp_Codes,0)),"NOT FOUND"))</f>
        <v/>
      </c>
      <c r="T1921" s="12" t="n"/>
      <c r="U1921" s="12" t="n"/>
      <c r="V1921" s="12" t="n"/>
    </row>
    <row r="1922">
      <c r="A1922" s="12" t="n"/>
      <c r="B1922" s="12" t="n"/>
      <c r="C1922" s="12" t="n"/>
      <c r="D1922" s="13">
        <f>IF($A1922="","",TRIM($B1922&amp;" "&amp;$C1922))</f>
        <v/>
      </c>
      <c r="E1922" s="12" t="n"/>
      <c r="F1922" s="12" t="n"/>
      <c r="G1922" s="14" t="n"/>
      <c r="H1922" s="14" t="n"/>
      <c r="I1922" s="12" t="n"/>
      <c r="J1922" s="14" t="n"/>
      <c r="K1922" s="12" t="n"/>
      <c r="L1922" s="13">
        <f>IF($K1922="","",IFERROR(INDEX(Dept_Names,MATCH($K1922,Dept_Codes,0)),"NOT FOUND"))</f>
        <v/>
      </c>
      <c r="M1922" s="12" t="n"/>
      <c r="N1922" s="13">
        <f>IF($M1922="","",IFERROR(INDEX(Desig_Names,MATCH($M1922,Desig_Codes,0)),"NOT FOUND"))</f>
        <v/>
      </c>
      <c r="O1922" s="13">
        <f>IF($M1922="","",IFERROR(INDEX(Desig_Levels,MATCH($M1922,Desig_Codes,0)),""))</f>
        <v/>
      </c>
      <c r="P1922" s="12" t="n"/>
      <c r="Q1922" s="12" t="n"/>
      <c r="R1922" s="12" t="n"/>
      <c r="S1922" s="13">
        <f>IF($R1922="","",IFERROR(INDEX(Emp_Names,MATCH($R1922,Emp_Codes,0)),"NOT FOUND"))</f>
        <v/>
      </c>
      <c r="T1922" s="12" t="n"/>
      <c r="U1922" s="12" t="n"/>
      <c r="V1922" s="12" t="n"/>
    </row>
    <row r="1923">
      <c r="A1923" s="12" t="n"/>
      <c r="B1923" s="12" t="n"/>
      <c r="C1923" s="12" t="n"/>
      <c r="D1923" s="13">
        <f>IF($A1923="","",TRIM($B1923&amp;" "&amp;$C1923))</f>
        <v/>
      </c>
      <c r="E1923" s="12" t="n"/>
      <c r="F1923" s="12" t="n"/>
      <c r="G1923" s="14" t="n"/>
      <c r="H1923" s="14" t="n"/>
      <c r="I1923" s="12" t="n"/>
      <c r="J1923" s="14" t="n"/>
      <c r="K1923" s="12" t="n"/>
      <c r="L1923" s="13">
        <f>IF($K1923="","",IFERROR(INDEX(Dept_Names,MATCH($K1923,Dept_Codes,0)),"NOT FOUND"))</f>
        <v/>
      </c>
      <c r="M1923" s="12" t="n"/>
      <c r="N1923" s="13">
        <f>IF($M1923="","",IFERROR(INDEX(Desig_Names,MATCH($M1923,Desig_Codes,0)),"NOT FOUND"))</f>
        <v/>
      </c>
      <c r="O1923" s="13">
        <f>IF($M1923="","",IFERROR(INDEX(Desig_Levels,MATCH($M1923,Desig_Codes,0)),""))</f>
        <v/>
      </c>
      <c r="P1923" s="12" t="n"/>
      <c r="Q1923" s="12" t="n"/>
      <c r="R1923" s="12" t="n"/>
      <c r="S1923" s="13">
        <f>IF($R1923="","",IFERROR(INDEX(Emp_Names,MATCH($R1923,Emp_Codes,0)),"NOT FOUND"))</f>
        <v/>
      </c>
      <c r="T1923" s="12" t="n"/>
      <c r="U1923" s="12" t="n"/>
      <c r="V1923" s="12" t="n"/>
    </row>
    <row r="1924">
      <c r="A1924" s="12" t="n"/>
      <c r="B1924" s="12" t="n"/>
      <c r="C1924" s="12" t="n"/>
      <c r="D1924" s="13">
        <f>IF($A1924="","",TRIM($B1924&amp;" "&amp;$C1924))</f>
        <v/>
      </c>
      <c r="E1924" s="12" t="n"/>
      <c r="F1924" s="12" t="n"/>
      <c r="G1924" s="14" t="n"/>
      <c r="H1924" s="14" t="n"/>
      <c r="I1924" s="12" t="n"/>
      <c r="J1924" s="14" t="n"/>
      <c r="K1924" s="12" t="n"/>
      <c r="L1924" s="13">
        <f>IF($K1924="","",IFERROR(INDEX(Dept_Names,MATCH($K1924,Dept_Codes,0)),"NOT FOUND"))</f>
        <v/>
      </c>
      <c r="M1924" s="12" t="n"/>
      <c r="N1924" s="13">
        <f>IF($M1924="","",IFERROR(INDEX(Desig_Names,MATCH($M1924,Desig_Codes,0)),"NOT FOUND"))</f>
        <v/>
      </c>
      <c r="O1924" s="13">
        <f>IF($M1924="","",IFERROR(INDEX(Desig_Levels,MATCH($M1924,Desig_Codes,0)),""))</f>
        <v/>
      </c>
      <c r="P1924" s="12" t="n"/>
      <c r="Q1924" s="12" t="n"/>
      <c r="R1924" s="12" t="n"/>
      <c r="S1924" s="13">
        <f>IF($R1924="","",IFERROR(INDEX(Emp_Names,MATCH($R1924,Emp_Codes,0)),"NOT FOUND"))</f>
        <v/>
      </c>
      <c r="T1924" s="12" t="n"/>
      <c r="U1924" s="12" t="n"/>
      <c r="V1924" s="12" t="n"/>
    </row>
    <row r="1925">
      <c r="A1925" s="12" t="n"/>
      <c r="B1925" s="12" t="n"/>
      <c r="C1925" s="12" t="n"/>
      <c r="D1925" s="13">
        <f>IF($A1925="","",TRIM($B1925&amp;" "&amp;$C1925))</f>
        <v/>
      </c>
      <c r="E1925" s="12" t="n"/>
      <c r="F1925" s="12" t="n"/>
      <c r="G1925" s="14" t="n"/>
      <c r="H1925" s="14" t="n"/>
      <c r="I1925" s="12" t="n"/>
      <c r="J1925" s="14" t="n"/>
      <c r="K1925" s="12" t="n"/>
      <c r="L1925" s="13">
        <f>IF($K1925="","",IFERROR(INDEX(Dept_Names,MATCH($K1925,Dept_Codes,0)),"NOT FOUND"))</f>
        <v/>
      </c>
      <c r="M1925" s="12" t="n"/>
      <c r="N1925" s="13">
        <f>IF($M1925="","",IFERROR(INDEX(Desig_Names,MATCH($M1925,Desig_Codes,0)),"NOT FOUND"))</f>
        <v/>
      </c>
      <c r="O1925" s="13">
        <f>IF($M1925="","",IFERROR(INDEX(Desig_Levels,MATCH($M1925,Desig_Codes,0)),""))</f>
        <v/>
      </c>
      <c r="P1925" s="12" t="n"/>
      <c r="Q1925" s="12" t="n"/>
      <c r="R1925" s="12" t="n"/>
      <c r="S1925" s="13">
        <f>IF($R1925="","",IFERROR(INDEX(Emp_Names,MATCH($R1925,Emp_Codes,0)),"NOT FOUND"))</f>
        <v/>
      </c>
      <c r="T1925" s="12" t="n"/>
      <c r="U1925" s="12" t="n"/>
      <c r="V1925" s="12" t="n"/>
    </row>
    <row r="1926">
      <c r="A1926" s="12" t="n"/>
      <c r="B1926" s="12" t="n"/>
      <c r="C1926" s="12" t="n"/>
      <c r="D1926" s="13">
        <f>IF($A1926="","",TRIM($B1926&amp;" "&amp;$C1926))</f>
        <v/>
      </c>
      <c r="E1926" s="12" t="n"/>
      <c r="F1926" s="12" t="n"/>
      <c r="G1926" s="14" t="n"/>
      <c r="H1926" s="14" t="n"/>
      <c r="I1926" s="12" t="n"/>
      <c r="J1926" s="14" t="n"/>
      <c r="K1926" s="12" t="n"/>
      <c r="L1926" s="13">
        <f>IF($K1926="","",IFERROR(INDEX(Dept_Names,MATCH($K1926,Dept_Codes,0)),"NOT FOUND"))</f>
        <v/>
      </c>
      <c r="M1926" s="12" t="n"/>
      <c r="N1926" s="13">
        <f>IF($M1926="","",IFERROR(INDEX(Desig_Names,MATCH($M1926,Desig_Codes,0)),"NOT FOUND"))</f>
        <v/>
      </c>
      <c r="O1926" s="13">
        <f>IF($M1926="","",IFERROR(INDEX(Desig_Levels,MATCH($M1926,Desig_Codes,0)),""))</f>
        <v/>
      </c>
      <c r="P1926" s="12" t="n"/>
      <c r="Q1926" s="12" t="n"/>
      <c r="R1926" s="12" t="n"/>
      <c r="S1926" s="13">
        <f>IF($R1926="","",IFERROR(INDEX(Emp_Names,MATCH($R1926,Emp_Codes,0)),"NOT FOUND"))</f>
        <v/>
      </c>
      <c r="T1926" s="12" t="n"/>
      <c r="U1926" s="12" t="n"/>
      <c r="V1926" s="12" t="n"/>
    </row>
    <row r="1927">
      <c r="A1927" s="12" t="n"/>
      <c r="B1927" s="12" t="n"/>
      <c r="C1927" s="12" t="n"/>
      <c r="D1927" s="13">
        <f>IF($A1927="","",TRIM($B1927&amp;" "&amp;$C1927))</f>
        <v/>
      </c>
      <c r="E1927" s="12" t="n"/>
      <c r="F1927" s="12" t="n"/>
      <c r="G1927" s="14" t="n"/>
      <c r="H1927" s="14" t="n"/>
      <c r="I1927" s="12" t="n"/>
      <c r="J1927" s="14" t="n"/>
      <c r="K1927" s="12" t="n"/>
      <c r="L1927" s="13">
        <f>IF($K1927="","",IFERROR(INDEX(Dept_Names,MATCH($K1927,Dept_Codes,0)),"NOT FOUND"))</f>
        <v/>
      </c>
      <c r="M1927" s="12" t="n"/>
      <c r="N1927" s="13">
        <f>IF($M1927="","",IFERROR(INDEX(Desig_Names,MATCH($M1927,Desig_Codes,0)),"NOT FOUND"))</f>
        <v/>
      </c>
      <c r="O1927" s="13">
        <f>IF($M1927="","",IFERROR(INDEX(Desig_Levels,MATCH($M1927,Desig_Codes,0)),""))</f>
        <v/>
      </c>
      <c r="P1927" s="12" t="n"/>
      <c r="Q1927" s="12" t="n"/>
      <c r="R1927" s="12" t="n"/>
      <c r="S1927" s="13">
        <f>IF($R1927="","",IFERROR(INDEX(Emp_Names,MATCH($R1927,Emp_Codes,0)),"NOT FOUND"))</f>
        <v/>
      </c>
      <c r="T1927" s="12" t="n"/>
      <c r="U1927" s="12" t="n"/>
      <c r="V1927" s="12" t="n"/>
    </row>
    <row r="1928">
      <c r="A1928" s="12" t="n"/>
      <c r="B1928" s="12" t="n"/>
      <c r="C1928" s="12" t="n"/>
      <c r="D1928" s="13">
        <f>IF($A1928="","",TRIM($B1928&amp;" "&amp;$C1928))</f>
        <v/>
      </c>
      <c r="E1928" s="12" t="n"/>
      <c r="F1928" s="12" t="n"/>
      <c r="G1928" s="14" t="n"/>
      <c r="H1928" s="14" t="n"/>
      <c r="I1928" s="12" t="n"/>
      <c r="J1928" s="14" t="n"/>
      <c r="K1928" s="12" t="n"/>
      <c r="L1928" s="13">
        <f>IF($K1928="","",IFERROR(INDEX(Dept_Names,MATCH($K1928,Dept_Codes,0)),"NOT FOUND"))</f>
        <v/>
      </c>
      <c r="M1928" s="12" t="n"/>
      <c r="N1928" s="13">
        <f>IF($M1928="","",IFERROR(INDEX(Desig_Names,MATCH($M1928,Desig_Codes,0)),"NOT FOUND"))</f>
        <v/>
      </c>
      <c r="O1928" s="13">
        <f>IF($M1928="","",IFERROR(INDEX(Desig_Levels,MATCH($M1928,Desig_Codes,0)),""))</f>
        <v/>
      </c>
      <c r="P1928" s="12" t="n"/>
      <c r="Q1928" s="12" t="n"/>
      <c r="R1928" s="12" t="n"/>
      <c r="S1928" s="13">
        <f>IF($R1928="","",IFERROR(INDEX(Emp_Names,MATCH($R1928,Emp_Codes,0)),"NOT FOUND"))</f>
        <v/>
      </c>
      <c r="T1928" s="12" t="n"/>
      <c r="U1928" s="12" t="n"/>
      <c r="V1928" s="12" t="n"/>
    </row>
    <row r="1929">
      <c r="A1929" s="12" t="n"/>
      <c r="B1929" s="12" t="n"/>
      <c r="C1929" s="12" t="n"/>
      <c r="D1929" s="13">
        <f>IF($A1929="","",TRIM($B1929&amp;" "&amp;$C1929))</f>
        <v/>
      </c>
      <c r="E1929" s="12" t="n"/>
      <c r="F1929" s="12" t="n"/>
      <c r="G1929" s="14" t="n"/>
      <c r="H1929" s="14" t="n"/>
      <c r="I1929" s="12" t="n"/>
      <c r="J1929" s="14" t="n"/>
      <c r="K1929" s="12" t="n"/>
      <c r="L1929" s="13">
        <f>IF($K1929="","",IFERROR(INDEX(Dept_Names,MATCH($K1929,Dept_Codes,0)),"NOT FOUND"))</f>
        <v/>
      </c>
      <c r="M1929" s="12" t="n"/>
      <c r="N1929" s="13">
        <f>IF($M1929="","",IFERROR(INDEX(Desig_Names,MATCH($M1929,Desig_Codes,0)),"NOT FOUND"))</f>
        <v/>
      </c>
      <c r="O1929" s="13">
        <f>IF($M1929="","",IFERROR(INDEX(Desig_Levels,MATCH($M1929,Desig_Codes,0)),""))</f>
        <v/>
      </c>
      <c r="P1929" s="12" t="n"/>
      <c r="Q1929" s="12" t="n"/>
      <c r="R1929" s="12" t="n"/>
      <c r="S1929" s="13">
        <f>IF($R1929="","",IFERROR(INDEX(Emp_Names,MATCH($R1929,Emp_Codes,0)),"NOT FOUND"))</f>
        <v/>
      </c>
      <c r="T1929" s="12" t="n"/>
      <c r="U1929" s="12" t="n"/>
      <c r="V1929" s="12" t="n"/>
    </row>
    <row r="1930">
      <c r="A1930" s="12" t="n"/>
      <c r="B1930" s="12" t="n"/>
      <c r="C1930" s="12" t="n"/>
      <c r="D1930" s="13">
        <f>IF($A1930="","",TRIM($B1930&amp;" "&amp;$C1930))</f>
        <v/>
      </c>
      <c r="E1930" s="12" t="n"/>
      <c r="F1930" s="12" t="n"/>
      <c r="G1930" s="14" t="n"/>
      <c r="H1930" s="14" t="n"/>
      <c r="I1930" s="12" t="n"/>
      <c r="J1930" s="14" t="n"/>
      <c r="K1930" s="12" t="n"/>
      <c r="L1930" s="13">
        <f>IF($K1930="","",IFERROR(INDEX(Dept_Names,MATCH($K1930,Dept_Codes,0)),"NOT FOUND"))</f>
        <v/>
      </c>
      <c r="M1930" s="12" t="n"/>
      <c r="N1930" s="13">
        <f>IF($M1930="","",IFERROR(INDEX(Desig_Names,MATCH($M1930,Desig_Codes,0)),"NOT FOUND"))</f>
        <v/>
      </c>
      <c r="O1930" s="13">
        <f>IF($M1930="","",IFERROR(INDEX(Desig_Levels,MATCH($M1930,Desig_Codes,0)),""))</f>
        <v/>
      </c>
      <c r="P1930" s="12" t="n"/>
      <c r="Q1930" s="12" t="n"/>
      <c r="R1930" s="12" t="n"/>
      <c r="S1930" s="13">
        <f>IF($R1930="","",IFERROR(INDEX(Emp_Names,MATCH($R1930,Emp_Codes,0)),"NOT FOUND"))</f>
        <v/>
      </c>
      <c r="T1930" s="12" t="n"/>
      <c r="U1930" s="12" t="n"/>
      <c r="V1930" s="12" t="n"/>
    </row>
    <row r="1931">
      <c r="A1931" s="12" t="n"/>
      <c r="B1931" s="12" t="n"/>
      <c r="C1931" s="12" t="n"/>
      <c r="D1931" s="13">
        <f>IF($A1931="","",TRIM($B1931&amp;" "&amp;$C1931))</f>
        <v/>
      </c>
      <c r="E1931" s="12" t="n"/>
      <c r="F1931" s="12" t="n"/>
      <c r="G1931" s="14" t="n"/>
      <c r="H1931" s="14" t="n"/>
      <c r="I1931" s="12" t="n"/>
      <c r="J1931" s="14" t="n"/>
      <c r="K1931" s="12" t="n"/>
      <c r="L1931" s="13">
        <f>IF($K1931="","",IFERROR(INDEX(Dept_Names,MATCH($K1931,Dept_Codes,0)),"NOT FOUND"))</f>
        <v/>
      </c>
      <c r="M1931" s="12" t="n"/>
      <c r="N1931" s="13">
        <f>IF($M1931="","",IFERROR(INDEX(Desig_Names,MATCH($M1931,Desig_Codes,0)),"NOT FOUND"))</f>
        <v/>
      </c>
      <c r="O1931" s="13">
        <f>IF($M1931="","",IFERROR(INDEX(Desig_Levels,MATCH($M1931,Desig_Codes,0)),""))</f>
        <v/>
      </c>
      <c r="P1931" s="12" t="n"/>
      <c r="Q1931" s="12" t="n"/>
      <c r="R1931" s="12" t="n"/>
      <c r="S1931" s="13">
        <f>IF($R1931="","",IFERROR(INDEX(Emp_Names,MATCH($R1931,Emp_Codes,0)),"NOT FOUND"))</f>
        <v/>
      </c>
      <c r="T1931" s="12" t="n"/>
      <c r="U1931" s="12" t="n"/>
      <c r="V1931" s="12" t="n"/>
    </row>
    <row r="1932">
      <c r="A1932" s="12" t="n"/>
      <c r="B1932" s="12" t="n"/>
      <c r="C1932" s="12" t="n"/>
      <c r="D1932" s="13">
        <f>IF($A1932="","",TRIM($B1932&amp;" "&amp;$C1932))</f>
        <v/>
      </c>
      <c r="E1932" s="12" t="n"/>
      <c r="F1932" s="12" t="n"/>
      <c r="G1932" s="14" t="n"/>
      <c r="H1932" s="14" t="n"/>
      <c r="I1932" s="12" t="n"/>
      <c r="J1932" s="14" t="n"/>
      <c r="K1932" s="12" t="n"/>
      <c r="L1932" s="13">
        <f>IF($K1932="","",IFERROR(INDEX(Dept_Names,MATCH($K1932,Dept_Codes,0)),"NOT FOUND"))</f>
        <v/>
      </c>
      <c r="M1932" s="12" t="n"/>
      <c r="N1932" s="13">
        <f>IF($M1932="","",IFERROR(INDEX(Desig_Names,MATCH($M1932,Desig_Codes,0)),"NOT FOUND"))</f>
        <v/>
      </c>
      <c r="O1932" s="13">
        <f>IF($M1932="","",IFERROR(INDEX(Desig_Levels,MATCH($M1932,Desig_Codes,0)),""))</f>
        <v/>
      </c>
      <c r="P1932" s="12" t="n"/>
      <c r="Q1932" s="12" t="n"/>
      <c r="R1932" s="12" t="n"/>
      <c r="S1932" s="13">
        <f>IF($R1932="","",IFERROR(INDEX(Emp_Names,MATCH($R1932,Emp_Codes,0)),"NOT FOUND"))</f>
        <v/>
      </c>
      <c r="T1932" s="12" t="n"/>
      <c r="U1932" s="12" t="n"/>
      <c r="V1932" s="12" t="n"/>
    </row>
    <row r="1933">
      <c r="A1933" s="12" t="n"/>
      <c r="B1933" s="12" t="n"/>
      <c r="C1933" s="12" t="n"/>
      <c r="D1933" s="13">
        <f>IF($A1933="","",TRIM($B1933&amp;" "&amp;$C1933))</f>
        <v/>
      </c>
      <c r="E1933" s="12" t="n"/>
      <c r="F1933" s="12" t="n"/>
      <c r="G1933" s="14" t="n"/>
      <c r="H1933" s="14" t="n"/>
      <c r="I1933" s="12" t="n"/>
      <c r="J1933" s="14" t="n"/>
      <c r="K1933" s="12" t="n"/>
      <c r="L1933" s="13">
        <f>IF($K1933="","",IFERROR(INDEX(Dept_Names,MATCH($K1933,Dept_Codes,0)),"NOT FOUND"))</f>
        <v/>
      </c>
      <c r="M1933" s="12" t="n"/>
      <c r="N1933" s="13">
        <f>IF($M1933="","",IFERROR(INDEX(Desig_Names,MATCH($M1933,Desig_Codes,0)),"NOT FOUND"))</f>
        <v/>
      </c>
      <c r="O1933" s="13">
        <f>IF($M1933="","",IFERROR(INDEX(Desig_Levels,MATCH($M1933,Desig_Codes,0)),""))</f>
        <v/>
      </c>
      <c r="P1933" s="12" t="n"/>
      <c r="Q1933" s="12" t="n"/>
      <c r="R1933" s="12" t="n"/>
      <c r="S1933" s="13">
        <f>IF($R1933="","",IFERROR(INDEX(Emp_Names,MATCH($R1933,Emp_Codes,0)),"NOT FOUND"))</f>
        <v/>
      </c>
      <c r="T1933" s="12" t="n"/>
      <c r="U1933" s="12" t="n"/>
      <c r="V1933" s="12" t="n"/>
    </row>
    <row r="1934">
      <c r="A1934" s="12" t="n"/>
      <c r="B1934" s="12" t="n"/>
      <c r="C1934" s="12" t="n"/>
      <c r="D1934" s="13">
        <f>IF($A1934="","",TRIM($B1934&amp;" "&amp;$C1934))</f>
        <v/>
      </c>
      <c r="E1934" s="12" t="n"/>
      <c r="F1934" s="12" t="n"/>
      <c r="G1934" s="14" t="n"/>
      <c r="H1934" s="14" t="n"/>
      <c r="I1934" s="12" t="n"/>
      <c r="J1934" s="14" t="n"/>
      <c r="K1934" s="12" t="n"/>
      <c r="L1934" s="13">
        <f>IF($K1934="","",IFERROR(INDEX(Dept_Names,MATCH($K1934,Dept_Codes,0)),"NOT FOUND"))</f>
        <v/>
      </c>
      <c r="M1934" s="12" t="n"/>
      <c r="N1934" s="13">
        <f>IF($M1934="","",IFERROR(INDEX(Desig_Names,MATCH($M1934,Desig_Codes,0)),"NOT FOUND"))</f>
        <v/>
      </c>
      <c r="O1934" s="13">
        <f>IF($M1934="","",IFERROR(INDEX(Desig_Levels,MATCH($M1934,Desig_Codes,0)),""))</f>
        <v/>
      </c>
      <c r="P1934" s="12" t="n"/>
      <c r="Q1934" s="12" t="n"/>
      <c r="R1934" s="12" t="n"/>
      <c r="S1934" s="13">
        <f>IF($R1934="","",IFERROR(INDEX(Emp_Names,MATCH($R1934,Emp_Codes,0)),"NOT FOUND"))</f>
        <v/>
      </c>
      <c r="T1934" s="12" t="n"/>
      <c r="U1934" s="12" t="n"/>
      <c r="V1934" s="12" t="n"/>
    </row>
    <row r="1935">
      <c r="A1935" s="12" t="n"/>
      <c r="B1935" s="12" t="n"/>
      <c r="C1935" s="12" t="n"/>
      <c r="D1935" s="13">
        <f>IF($A1935="","",TRIM($B1935&amp;" "&amp;$C1935))</f>
        <v/>
      </c>
      <c r="E1935" s="12" t="n"/>
      <c r="F1935" s="12" t="n"/>
      <c r="G1935" s="14" t="n"/>
      <c r="H1935" s="14" t="n"/>
      <c r="I1935" s="12" t="n"/>
      <c r="J1935" s="14" t="n"/>
      <c r="K1935" s="12" t="n"/>
      <c r="L1935" s="13">
        <f>IF($K1935="","",IFERROR(INDEX(Dept_Names,MATCH($K1935,Dept_Codes,0)),"NOT FOUND"))</f>
        <v/>
      </c>
      <c r="M1935" s="12" t="n"/>
      <c r="N1935" s="13">
        <f>IF($M1935="","",IFERROR(INDEX(Desig_Names,MATCH($M1935,Desig_Codes,0)),"NOT FOUND"))</f>
        <v/>
      </c>
      <c r="O1935" s="13">
        <f>IF($M1935="","",IFERROR(INDEX(Desig_Levels,MATCH($M1935,Desig_Codes,0)),""))</f>
        <v/>
      </c>
      <c r="P1935" s="12" t="n"/>
      <c r="Q1935" s="12" t="n"/>
      <c r="R1935" s="12" t="n"/>
      <c r="S1935" s="13">
        <f>IF($R1935="","",IFERROR(INDEX(Emp_Names,MATCH($R1935,Emp_Codes,0)),"NOT FOUND"))</f>
        <v/>
      </c>
      <c r="T1935" s="12" t="n"/>
      <c r="U1935" s="12" t="n"/>
      <c r="V1935" s="12" t="n"/>
    </row>
    <row r="1936">
      <c r="A1936" s="12" t="n"/>
      <c r="B1936" s="12" t="n"/>
      <c r="C1936" s="12" t="n"/>
      <c r="D1936" s="13">
        <f>IF($A1936="","",TRIM($B1936&amp;" "&amp;$C1936))</f>
        <v/>
      </c>
      <c r="E1936" s="12" t="n"/>
      <c r="F1936" s="12" t="n"/>
      <c r="G1936" s="14" t="n"/>
      <c r="H1936" s="14" t="n"/>
      <c r="I1936" s="12" t="n"/>
      <c r="J1936" s="14" t="n"/>
      <c r="K1936" s="12" t="n"/>
      <c r="L1936" s="13">
        <f>IF($K1936="","",IFERROR(INDEX(Dept_Names,MATCH($K1936,Dept_Codes,0)),"NOT FOUND"))</f>
        <v/>
      </c>
      <c r="M1936" s="12" t="n"/>
      <c r="N1936" s="13">
        <f>IF($M1936="","",IFERROR(INDEX(Desig_Names,MATCH($M1936,Desig_Codes,0)),"NOT FOUND"))</f>
        <v/>
      </c>
      <c r="O1936" s="13">
        <f>IF($M1936="","",IFERROR(INDEX(Desig_Levels,MATCH($M1936,Desig_Codes,0)),""))</f>
        <v/>
      </c>
      <c r="P1936" s="12" t="n"/>
      <c r="Q1936" s="12" t="n"/>
      <c r="R1936" s="12" t="n"/>
      <c r="S1936" s="13">
        <f>IF($R1936="","",IFERROR(INDEX(Emp_Names,MATCH($R1936,Emp_Codes,0)),"NOT FOUND"))</f>
        <v/>
      </c>
      <c r="T1936" s="12" t="n"/>
      <c r="U1936" s="12" t="n"/>
      <c r="V1936" s="12" t="n"/>
    </row>
    <row r="1937">
      <c r="A1937" s="12" t="n"/>
      <c r="B1937" s="12" t="n"/>
      <c r="C1937" s="12" t="n"/>
      <c r="D1937" s="13">
        <f>IF($A1937="","",TRIM($B1937&amp;" "&amp;$C1937))</f>
        <v/>
      </c>
      <c r="E1937" s="12" t="n"/>
      <c r="F1937" s="12" t="n"/>
      <c r="G1937" s="14" t="n"/>
      <c r="H1937" s="14" t="n"/>
      <c r="I1937" s="12" t="n"/>
      <c r="J1937" s="14" t="n"/>
      <c r="K1937" s="12" t="n"/>
      <c r="L1937" s="13">
        <f>IF($K1937="","",IFERROR(INDEX(Dept_Names,MATCH($K1937,Dept_Codes,0)),"NOT FOUND"))</f>
        <v/>
      </c>
      <c r="M1937" s="12" t="n"/>
      <c r="N1937" s="13">
        <f>IF($M1937="","",IFERROR(INDEX(Desig_Names,MATCH($M1937,Desig_Codes,0)),"NOT FOUND"))</f>
        <v/>
      </c>
      <c r="O1937" s="13">
        <f>IF($M1937="","",IFERROR(INDEX(Desig_Levels,MATCH($M1937,Desig_Codes,0)),""))</f>
        <v/>
      </c>
      <c r="P1937" s="12" t="n"/>
      <c r="Q1937" s="12" t="n"/>
      <c r="R1937" s="12" t="n"/>
      <c r="S1937" s="13">
        <f>IF($R1937="","",IFERROR(INDEX(Emp_Names,MATCH($R1937,Emp_Codes,0)),"NOT FOUND"))</f>
        <v/>
      </c>
      <c r="T1937" s="12" t="n"/>
      <c r="U1937" s="12" t="n"/>
      <c r="V1937" s="12" t="n"/>
    </row>
    <row r="1938">
      <c r="A1938" s="12" t="n"/>
      <c r="B1938" s="12" t="n"/>
      <c r="C1938" s="12" t="n"/>
      <c r="D1938" s="13">
        <f>IF($A1938="","",TRIM($B1938&amp;" "&amp;$C1938))</f>
        <v/>
      </c>
      <c r="E1938" s="12" t="n"/>
      <c r="F1938" s="12" t="n"/>
      <c r="G1938" s="14" t="n"/>
      <c r="H1938" s="14" t="n"/>
      <c r="I1938" s="12" t="n"/>
      <c r="J1938" s="14" t="n"/>
      <c r="K1938" s="12" t="n"/>
      <c r="L1938" s="13">
        <f>IF($K1938="","",IFERROR(INDEX(Dept_Names,MATCH($K1938,Dept_Codes,0)),"NOT FOUND"))</f>
        <v/>
      </c>
      <c r="M1938" s="12" t="n"/>
      <c r="N1938" s="13">
        <f>IF($M1938="","",IFERROR(INDEX(Desig_Names,MATCH($M1938,Desig_Codes,0)),"NOT FOUND"))</f>
        <v/>
      </c>
      <c r="O1938" s="13">
        <f>IF($M1938="","",IFERROR(INDEX(Desig_Levels,MATCH($M1938,Desig_Codes,0)),""))</f>
        <v/>
      </c>
      <c r="P1938" s="12" t="n"/>
      <c r="Q1938" s="12" t="n"/>
      <c r="R1938" s="12" t="n"/>
      <c r="S1938" s="13">
        <f>IF($R1938="","",IFERROR(INDEX(Emp_Names,MATCH($R1938,Emp_Codes,0)),"NOT FOUND"))</f>
        <v/>
      </c>
      <c r="T1938" s="12" t="n"/>
      <c r="U1938" s="12" t="n"/>
      <c r="V1938" s="12" t="n"/>
    </row>
    <row r="1939">
      <c r="A1939" s="12" t="n"/>
      <c r="B1939" s="12" t="n"/>
      <c r="C1939" s="12" t="n"/>
      <c r="D1939" s="13">
        <f>IF($A1939="","",TRIM($B1939&amp;" "&amp;$C1939))</f>
        <v/>
      </c>
      <c r="E1939" s="12" t="n"/>
      <c r="F1939" s="12" t="n"/>
      <c r="G1939" s="14" t="n"/>
      <c r="H1939" s="14" t="n"/>
      <c r="I1939" s="12" t="n"/>
      <c r="J1939" s="14" t="n"/>
      <c r="K1939" s="12" t="n"/>
      <c r="L1939" s="13">
        <f>IF($K1939="","",IFERROR(INDEX(Dept_Names,MATCH($K1939,Dept_Codes,0)),"NOT FOUND"))</f>
        <v/>
      </c>
      <c r="M1939" s="12" t="n"/>
      <c r="N1939" s="13">
        <f>IF($M1939="","",IFERROR(INDEX(Desig_Names,MATCH($M1939,Desig_Codes,0)),"NOT FOUND"))</f>
        <v/>
      </c>
      <c r="O1939" s="13">
        <f>IF($M1939="","",IFERROR(INDEX(Desig_Levels,MATCH($M1939,Desig_Codes,0)),""))</f>
        <v/>
      </c>
      <c r="P1939" s="12" t="n"/>
      <c r="Q1939" s="12" t="n"/>
      <c r="R1939" s="12" t="n"/>
      <c r="S1939" s="13">
        <f>IF($R1939="","",IFERROR(INDEX(Emp_Names,MATCH($R1939,Emp_Codes,0)),"NOT FOUND"))</f>
        <v/>
      </c>
      <c r="T1939" s="12" t="n"/>
      <c r="U1939" s="12" t="n"/>
      <c r="V1939" s="12" t="n"/>
    </row>
    <row r="1940">
      <c r="A1940" s="12" t="n"/>
      <c r="B1940" s="12" t="n"/>
      <c r="C1940" s="12" t="n"/>
      <c r="D1940" s="13">
        <f>IF($A1940="","",TRIM($B1940&amp;" "&amp;$C1940))</f>
        <v/>
      </c>
      <c r="E1940" s="12" t="n"/>
      <c r="F1940" s="12" t="n"/>
      <c r="G1940" s="14" t="n"/>
      <c r="H1940" s="14" t="n"/>
      <c r="I1940" s="12" t="n"/>
      <c r="J1940" s="14" t="n"/>
      <c r="K1940" s="12" t="n"/>
      <c r="L1940" s="13">
        <f>IF($K1940="","",IFERROR(INDEX(Dept_Names,MATCH($K1940,Dept_Codes,0)),"NOT FOUND"))</f>
        <v/>
      </c>
      <c r="M1940" s="12" t="n"/>
      <c r="N1940" s="13">
        <f>IF($M1940="","",IFERROR(INDEX(Desig_Names,MATCH($M1940,Desig_Codes,0)),"NOT FOUND"))</f>
        <v/>
      </c>
      <c r="O1940" s="13">
        <f>IF($M1940="","",IFERROR(INDEX(Desig_Levels,MATCH($M1940,Desig_Codes,0)),""))</f>
        <v/>
      </c>
      <c r="P1940" s="12" t="n"/>
      <c r="Q1940" s="12" t="n"/>
      <c r="R1940" s="12" t="n"/>
      <c r="S1940" s="13">
        <f>IF($R1940="","",IFERROR(INDEX(Emp_Names,MATCH($R1940,Emp_Codes,0)),"NOT FOUND"))</f>
        <v/>
      </c>
      <c r="T1940" s="12" t="n"/>
      <c r="U1940" s="12" t="n"/>
      <c r="V1940" s="12" t="n"/>
    </row>
    <row r="1941">
      <c r="A1941" s="12" t="n"/>
      <c r="B1941" s="12" t="n"/>
      <c r="C1941" s="12" t="n"/>
      <c r="D1941" s="13">
        <f>IF($A1941="","",TRIM($B1941&amp;" "&amp;$C1941))</f>
        <v/>
      </c>
      <c r="E1941" s="12" t="n"/>
      <c r="F1941" s="12" t="n"/>
      <c r="G1941" s="14" t="n"/>
      <c r="H1941" s="14" t="n"/>
      <c r="I1941" s="12" t="n"/>
      <c r="J1941" s="14" t="n"/>
      <c r="K1941" s="12" t="n"/>
      <c r="L1941" s="13">
        <f>IF($K1941="","",IFERROR(INDEX(Dept_Names,MATCH($K1941,Dept_Codes,0)),"NOT FOUND"))</f>
        <v/>
      </c>
      <c r="M1941" s="12" t="n"/>
      <c r="N1941" s="13">
        <f>IF($M1941="","",IFERROR(INDEX(Desig_Names,MATCH($M1941,Desig_Codes,0)),"NOT FOUND"))</f>
        <v/>
      </c>
      <c r="O1941" s="13">
        <f>IF($M1941="","",IFERROR(INDEX(Desig_Levels,MATCH($M1941,Desig_Codes,0)),""))</f>
        <v/>
      </c>
      <c r="P1941" s="12" t="n"/>
      <c r="Q1941" s="12" t="n"/>
      <c r="R1941" s="12" t="n"/>
      <c r="S1941" s="13">
        <f>IF($R1941="","",IFERROR(INDEX(Emp_Names,MATCH($R1941,Emp_Codes,0)),"NOT FOUND"))</f>
        <v/>
      </c>
      <c r="T1941" s="12" t="n"/>
      <c r="U1941" s="12" t="n"/>
      <c r="V1941" s="12" t="n"/>
    </row>
    <row r="1942">
      <c r="A1942" s="12" t="n"/>
      <c r="B1942" s="12" t="n"/>
      <c r="C1942" s="12" t="n"/>
      <c r="D1942" s="13">
        <f>IF($A1942="","",TRIM($B1942&amp;" "&amp;$C1942))</f>
        <v/>
      </c>
      <c r="E1942" s="12" t="n"/>
      <c r="F1942" s="12" t="n"/>
      <c r="G1942" s="14" t="n"/>
      <c r="H1942" s="14" t="n"/>
      <c r="I1942" s="12" t="n"/>
      <c r="J1942" s="14" t="n"/>
      <c r="K1942" s="12" t="n"/>
      <c r="L1942" s="13">
        <f>IF($K1942="","",IFERROR(INDEX(Dept_Names,MATCH($K1942,Dept_Codes,0)),"NOT FOUND"))</f>
        <v/>
      </c>
      <c r="M1942" s="12" t="n"/>
      <c r="N1942" s="13">
        <f>IF($M1942="","",IFERROR(INDEX(Desig_Names,MATCH($M1942,Desig_Codes,0)),"NOT FOUND"))</f>
        <v/>
      </c>
      <c r="O1942" s="13">
        <f>IF($M1942="","",IFERROR(INDEX(Desig_Levels,MATCH($M1942,Desig_Codes,0)),""))</f>
        <v/>
      </c>
      <c r="P1942" s="12" t="n"/>
      <c r="Q1942" s="12" t="n"/>
      <c r="R1942" s="12" t="n"/>
      <c r="S1942" s="13">
        <f>IF($R1942="","",IFERROR(INDEX(Emp_Names,MATCH($R1942,Emp_Codes,0)),"NOT FOUND"))</f>
        <v/>
      </c>
      <c r="T1942" s="12" t="n"/>
      <c r="U1942" s="12" t="n"/>
      <c r="V1942" s="12" t="n"/>
    </row>
    <row r="1943">
      <c r="A1943" s="12" t="n"/>
      <c r="B1943" s="12" t="n"/>
      <c r="C1943" s="12" t="n"/>
      <c r="D1943" s="13">
        <f>IF($A1943="","",TRIM($B1943&amp;" "&amp;$C1943))</f>
        <v/>
      </c>
      <c r="E1943" s="12" t="n"/>
      <c r="F1943" s="12" t="n"/>
      <c r="G1943" s="14" t="n"/>
      <c r="H1943" s="14" t="n"/>
      <c r="I1943" s="12" t="n"/>
      <c r="J1943" s="14" t="n"/>
      <c r="K1943" s="12" t="n"/>
      <c r="L1943" s="13">
        <f>IF($K1943="","",IFERROR(INDEX(Dept_Names,MATCH($K1943,Dept_Codes,0)),"NOT FOUND"))</f>
        <v/>
      </c>
      <c r="M1943" s="12" t="n"/>
      <c r="N1943" s="13">
        <f>IF($M1943="","",IFERROR(INDEX(Desig_Names,MATCH($M1943,Desig_Codes,0)),"NOT FOUND"))</f>
        <v/>
      </c>
      <c r="O1943" s="13">
        <f>IF($M1943="","",IFERROR(INDEX(Desig_Levels,MATCH($M1943,Desig_Codes,0)),""))</f>
        <v/>
      </c>
      <c r="P1943" s="12" t="n"/>
      <c r="Q1943" s="12" t="n"/>
      <c r="R1943" s="12" t="n"/>
      <c r="S1943" s="13">
        <f>IF($R1943="","",IFERROR(INDEX(Emp_Names,MATCH($R1943,Emp_Codes,0)),"NOT FOUND"))</f>
        <v/>
      </c>
      <c r="T1943" s="12" t="n"/>
      <c r="U1943" s="12" t="n"/>
      <c r="V1943" s="12" t="n"/>
    </row>
    <row r="1944">
      <c r="A1944" s="12" t="n"/>
      <c r="B1944" s="12" t="n"/>
      <c r="C1944" s="12" t="n"/>
      <c r="D1944" s="13">
        <f>IF($A1944="","",TRIM($B1944&amp;" "&amp;$C1944))</f>
        <v/>
      </c>
      <c r="E1944" s="12" t="n"/>
      <c r="F1944" s="12" t="n"/>
      <c r="G1944" s="14" t="n"/>
      <c r="H1944" s="14" t="n"/>
      <c r="I1944" s="12" t="n"/>
      <c r="J1944" s="14" t="n"/>
      <c r="K1944" s="12" t="n"/>
      <c r="L1944" s="13">
        <f>IF($K1944="","",IFERROR(INDEX(Dept_Names,MATCH($K1944,Dept_Codes,0)),"NOT FOUND"))</f>
        <v/>
      </c>
      <c r="M1944" s="12" t="n"/>
      <c r="N1944" s="13">
        <f>IF($M1944="","",IFERROR(INDEX(Desig_Names,MATCH($M1944,Desig_Codes,0)),"NOT FOUND"))</f>
        <v/>
      </c>
      <c r="O1944" s="13">
        <f>IF($M1944="","",IFERROR(INDEX(Desig_Levels,MATCH($M1944,Desig_Codes,0)),""))</f>
        <v/>
      </c>
      <c r="P1944" s="12" t="n"/>
      <c r="Q1944" s="12" t="n"/>
      <c r="R1944" s="12" t="n"/>
      <c r="S1944" s="13">
        <f>IF($R1944="","",IFERROR(INDEX(Emp_Names,MATCH($R1944,Emp_Codes,0)),"NOT FOUND"))</f>
        <v/>
      </c>
      <c r="T1944" s="12" t="n"/>
      <c r="U1944" s="12" t="n"/>
      <c r="V1944" s="12" t="n"/>
    </row>
    <row r="1945">
      <c r="A1945" s="12" t="n"/>
      <c r="B1945" s="12" t="n"/>
      <c r="C1945" s="12" t="n"/>
      <c r="D1945" s="13">
        <f>IF($A1945="","",TRIM($B1945&amp;" "&amp;$C1945))</f>
        <v/>
      </c>
      <c r="E1945" s="12" t="n"/>
      <c r="F1945" s="12" t="n"/>
      <c r="G1945" s="14" t="n"/>
      <c r="H1945" s="14" t="n"/>
      <c r="I1945" s="12" t="n"/>
      <c r="J1945" s="14" t="n"/>
      <c r="K1945" s="12" t="n"/>
      <c r="L1945" s="13">
        <f>IF($K1945="","",IFERROR(INDEX(Dept_Names,MATCH($K1945,Dept_Codes,0)),"NOT FOUND"))</f>
        <v/>
      </c>
      <c r="M1945" s="12" t="n"/>
      <c r="N1945" s="13">
        <f>IF($M1945="","",IFERROR(INDEX(Desig_Names,MATCH($M1945,Desig_Codes,0)),"NOT FOUND"))</f>
        <v/>
      </c>
      <c r="O1945" s="13">
        <f>IF($M1945="","",IFERROR(INDEX(Desig_Levels,MATCH($M1945,Desig_Codes,0)),""))</f>
        <v/>
      </c>
      <c r="P1945" s="12" t="n"/>
      <c r="Q1945" s="12" t="n"/>
      <c r="R1945" s="12" t="n"/>
      <c r="S1945" s="13">
        <f>IF($R1945="","",IFERROR(INDEX(Emp_Names,MATCH($R1945,Emp_Codes,0)),"NOT FOUND"))</f>
        <v/>
      </c>
      <c r="T1945" s="12" t="n"/>
      <c r="U1945" s="12" t="n"/>
      <c r="V1945" s="12" t="n"/>
    </row>
    <row r="1946">
      <c r="A1946" s="12" t="n"/>
      <c r="B1946" s="12" t="n"/>
      <c r="C1946" s="12" t="n"/>
      <c r="D1946" s="13">
        <f>IF($A1946="","",TRIM($B1946&amp;" "&amp;$C1946))</f>
        <v/>
      </c>
      <c r="E1946" s="12" t="n"/>
      <c r="F1946" s="12" t="n"/>
      <c r="G1946" s="14" t="n"/>
      <c r="H1946" s="14" t="n"/>
      <c r="I1946" s="12" t="n"/>
      <c r="J1946" s="14" t="n"/>
      <c r="K1946" s="12" t="n"/>
      <c r="L1946" s="13">
        <f>IF($K1946="","",IFERROR(INDEX(Dept_Names,MATCH($K1946,Dept_Codes,0)),"NOT FOUND"))</f>
        <v/>
      </c>
      <c r="M1946" s="12" t="n"/>
      <c r="N1946" s="13">
        <f>IF($M1946="","",IFERROR(INDEX(Desig_Names,MATCH($M1946,Desig_Codes,0)),"NOT FOUND"))</f>
        <v/>
      </c>
      <c r="O1946" s="13">
        <f>IF($M1946="","",IFERROR(INDEX(Desig_Levels,MATCH($M1946,Desig_Codes,0)),""))</f>
        <v/>
      </c>
      <c r="P1946" s="12" t="n"/>
      <c r="Q1946" s="12" t="n"/>
      <c r="R1946" s="12" t="n"/>
      <c r="S1946" s="13">
        <f>IF($R1946="","",IFERROR(INDEX(Emp_Names,MATCH($R1946,Emp_Codes,0)),"NOT FOUND"))</f>
        <v/>
      </c>
      <c r="T1946" s="12" t="n"/>
      <c r="U1946" s="12" t="n"/>
      <c r="V1946" s="12" t="n"/>
    </row>
    <row r="1947">
      <c r="A1947" s="12" t="n"/>
      <c r="B1947" s="12" t="n"/>
      <c r="C1947" s="12" t="n"/>
      <c r="D1947" s="13">
        <f>IF($A1947="","",TRIM($B1947&amp;" "&amp;$C1947))</f>
        <v/>
      </c>
      <c r="E1947" s="12" t="n"/>
      <c r="F1947" s="12" t="n"/>
      <c r="G1947" s="14" t="n"/>
      <c r="H1947" s="14" t="n"/>
      <c r="I1947" s="12" t="n"/>
      <c r="J1947" s="14" t="n"/>
      <c r="K1947" s="12" t="n"/>
      <c r="L1947" s="13">
        <f>IF($K1947="","",IFERROR(INDEX(Dept_Names,MATCH($K1947,Dept_Codes,0)),"NOT FOUND"))</f>
        <v/>
      </c>
      <c r="M1947" s="12" t="n"/>
      <c r="N1947" s="13">
        <f>IF($M1947="","",IFERROR(INDEX(Desig_Names,MATCH($M1947,Desig_Codes,0)),"NOT FOUND"))</f>
        <v/>
      </c>
      <c r="O1947" s="13">
        <f>IF($M1947="","",IFERROR(INDEX(Desig_Levels,MATCH($M1947,Desig_Codes,0)),""))</f>
        <v/>
      </c>
      <c r="P1947" s="12" t="n"/>
      <c r="Q1947" s="12" t="n"/>
      <c r="R1947" s="12" t="n"/>
      <c r="S1947" s="13">
        <f>IF($R1947="","",IFERROR(INDEX(Emp_Names,MATCH($R1947,Emp_Codes,0)),"NOT FOUND"))</f>
        <v/>
      </c>
      <c r="T1947" s="12" t="n"/>
      <c r="U1947" s="12" t="n"/>
      <c r="V1947" s="12" t="n"/>
    </row>
    <row r="1948">
      <c r="A1948" s="12" t="n"/>
      <c r="B1948" s="12" t="n"/>
      <c r="C1948" s="12" t="n"/>
      <c r="D1948" s="13">
        <f>IF($A1948="","",TRIM($B1948&amp;" "&amp;$C1948))</f>
        <v/>
      </c>
      <c r="E1948" s="12" t="n"/>
      <c r="F1948" s="12" t="n"/>
      <c r="G1948" s="14" t="n"/>
      <c r="H1948" s="14" t="n"/>
      <c r="I1948" s="12" t="n"/>
      <c r="J1948" s="14" t="n"/>
      <c r="K1948" s="12" t="n"/>
      <c r="L1948" s="13">
        <f>IF($K1948="","",IFERROR(INDEX(Dept_Names,MATCH($K1948,Dept_Codes,0)),"NOT FOUND"))</f>
        <v/>
      </c>
      <c r="M1948" s="12" t="n"/>
      <c r="N1948" s="13">
        <f>IF($M1948="","",IFERROR(INDEX(Desig_Names,MATCH($M1948,Desig_Codes,0)),"NOT FOUND"))</f>
        <v/>
      </c>
      <c r="O1948" s="13">
        <f>IF($M1948="","",IFERROR(INDEX(Desig_Levels,MATCH($M1948,Desig_Codes,0)),""))</f>
        <v/>
      </c>
      <c r="P1948" s="12" t="n"/>
      <c r="Q1948" s="12" t="n"/>
      <c r="R1948" s="12" t="n"/>
      <c r="S1948" s="13">
        <f>IF($R1948="","",IFERROR(INDEX(Emp_Names,MATCH($R1948,Emp_Codes,0)),"NOT FOUND"))</f>
        <v/>
      </c>
      <c r="T1948" s="12" t="n"/>
      <c r="U1948" s="12" t="n"/>
      <c r="V1948" s="12" t="n"/>
    </row>
    <row r="1949">
      <c r="A1949" s="12" t="n"/>
      <c r="B1949" s="12" t="n"/>
      <c r="C1949" s="12" t="n"/>
      <c r="D1949" s="13">
        <f>IF($A1949="","",TRIM($B1949&amp;" "&amp;$C1949))</f>
        <v/>
      </c>
      <c r="E1949" s="12" t="n"/>
      <c r="F1949" s="12" t="n"/>
      <c r="G1949" s="14" t="n"/>
      <c r="H1949" s="14" t="n"/>
      <c r="I1949" s="12" t="n"/>
      <c r="J1949" s="14" t="n"/>
      <c r="K1949" s="12" t="n"/>
      <c r="L1949" s="13">
        <f>IF($K1949="","",IFERROR(INDEX(Dept_Names,MATCH($K1949,Dept_Codes,0)),"NOT FOUND"))</f>
        <v/>
      </c>
      <c r="M1949" s="12" t="n"/>
      <c r="N1949" s="13">
        <f>IF($M1949="","",IFERROR(INDEX(Desig_Names,MATCH($M1949,Desig_Codes,0)),"NOT FOUND"))</f>
        <v/>
      </c>
      <c r="O1949" s="13">
        <f>IF($M1949="","",IFERROR(INDEX(Desig_Levels,MATCH($M1949,Desig_Codes,0)),""))</f>
        <v/>
      </c>
      <c r="P1949" s="12" t="n"/>
      <c r="Q1949" s="12" t="n"/>
      <c r="R1949" s="12" t="n"/>
      <c r="S1949" s="13">
        <f>IF($R1949="","",IFERROR(INDEX(Emp_Names,MATCH($R1949,Emp_Codes,0)),"NOT FOUND"))</f>
        <v/>
      </c>
      <c r="T1949" s="12" t="n"/>
      <c r="U1949" s="12" t="n"/>
      <c r="V1949" s="12" t="n"/>
    </row>
    <row r="1950">
      <c r="A1950" s="12" t="n"/>
      <c r="B1950" s="12" t="n"/>
      <c r="C1950" s="12" t="n"/>
      <c r="D1950" s="13">
        <f>IF($A1950="","",TRIM($B1950&amp;" "&amp;$C1950))</f>
        <v/>
      </c>
      <c r="E1950" s="12" t="n"/>
      <c r="F1950" s="12" t="n"/>
      <c r="G1950" s="14" t="n"/>
      <c r="H1950" s="14" t="n"/>
      <c r="I1950" s="12" t="n"/>
      <c r="J1950" s="14" t="n"/>
      <c r="K1950" s="12" t="n"/>
      <c r="L1950" s="13">
        <f>IF($K1950="","",IFERROR(INDEX(Dept_Names,MATCH($K1950,Dept_Codes,0)),"NOT FOUND"))</f>
        <v/>
      </c>
      <c r="M1950" s="12" t="n"/>
      <c r="N1950" s="13">
        <f>IF($M1950="","",IFERROR(INDEX(Desig_Names,MATCH($M1950,Desig_Codes,0)),"NOT FOUND"))</f>
        <v/>
      </c>
      <c r="O1950" s="13">
        <f>IF($M1950="","",IFERROR(INDEX(Desig_Levels,MATCH($M1950,Desig_Codes,0)),""))</f>
        <v/>
      </c>
      <c r="P1950" s="12" t="n"/>
      <c r="Q1950" s="12" t="n"/>
      <c r="R1950" s="12" t="n"/>
      <c r="S1950" s="13">
        <f>IF($R1950="","",IFERROR(INDEX(Emp_Names,MATCH($R1950,Emp_Codes,0)),"NOT FOUND"))</f>
        <v/>
      </c>
      <c r="T1950" s="12" t="n"/>
      <c r="U1950" s="12" t="n"/>
      <c r="V1950" s="12" t="n"/>
    </row>
    <row r="1951">
      <c r="A1951" s="12" t="n"/>
      <c r="B1951" s="12" t="n"/>
      <c r="C1951" s="12" t="n"/>
      <c r="D1951" s="13">
        <f>IF($A1951="","",TRIM($B1951&amp;" "&amp;$C1951))</f>
        <v/>
      </c>
      <c r="E1951" s="12" t="n"/>
      <c r="F1951" s="12" t="n"/>
      <c r="G1951" s="14" t="n"/>
      <c r="H1951" s="14" t="n"/>
      <c r="I1951" s="12" t="n"/>
      <c r="J1951" s="14" t="n"/>
      <c r="K1951" s="12" t="n"/>
      <c r="L1951" s="13">
        <f>IF($K1951="","",IFERROR(INDEX(Dept_Names,MATCH($K1951,Dept_Codes,0)),"NOT FOUND"))</f>
        <v/>
      </c>
      <c r="M1951" s="12" t="n"/>
      <c r="N1951" s="13">
        <f>IF($M1951="","",IFERROR(INDEX(Desig_Names,MATCH($M1951,Desig_Codes,0)),"NOT FOUND"))</f>
        <v/>
      </c>
      <c r="O1951" s="13">
        <f>IF($M1951="","",IFERROR(INDEX(Desig_Levels,MATCH($M1951,Desig_Codes,0)),""))</f>
        <v/>
      </c>
      <c r="P1951" s="12" t="n"/>
      <c r="Q1951" s="12" t="n"/>
      <c r="R1951" s="12" t="n"/>
      <c r="S1951" s="13">
        <f>IF($R1951="","",IFERROR(INDEX(Emp_Names,MATCH($R1951,Emp_Codes,0)),"NOT FOUND"))</f>
        <v/>
      </c>
      <c r="T1951" s="12" t="n"/>
      <c r="U1951" s="12" t="n"/>
      <c r="V1951" s="12" t="n"/>
    </row>
    <row r="1952">
      <c r="A1952" s="12" t="n"/>
      <c r="B1952" s="12" t="n"/>
      <c r="C1952" s="12" t="n"/>
      <c r="D1952" s="13">
        <f>IF($A1952="","",TRIM($B1952&amp;" "&amp;$C1952))</f>
        <v/>
      </c>
      <c r="E1952" s="12" t="n"/>
      <c r="F1952" s="12" t="n"/>
      <c r="G1952" s="14" t="n"/>
      <c r="H1952" s="14" t="n"/>
      <c r="I1952" s="12" t="n"/>
      <c r="J1952" s="14" t="n"/>
      <c r="K1952" s="12" t="n"/>
      <c r="L1952" s="13">
        <f>IF($K1952="","",IFERROR(INDEX(Dept_Names,MATCH($K1952,Dept_Codes,0)),"NOT FOUND"))</f>
        <v/>
      </c>
      <c r="M1952" s="12" t="n"/>
      <c r="N1952" s="13">
        <f>IF($M1952="","",IFERROR(INDEX(Desig_Names,MATCH($M1952,Desig_Codes,0)),"NOT FOUND"))</f>
        <v/>
      </c>
      <c r="O1952" s="13">
        <f>IF($M1952="","",IFERROR(INDEX(Desig_Levels,MATCH($M1952,Desig_Codes,0)),""))</f>
        <v/>
      </c>
      <c r="P1952" s="12" t="n"/>
      <c r="Q1952" s="12" t="n"/>
      <c r="R1952" s="12" t="n"/>
      <c r="S1952" s="13">
        <f>IF($R1952="","",IFERROR(INDEX(Emp_Names,MATCH($R1952,Emp_Codes,0)),"NOT FOUND"))</f>
        <v/>
      </c>
      <c r="T1952" s="12" t="n"/>
      <c r="U1952" s="12" t="n"/>
      <c r="V1952" s="12" t="n"/>
    </row>
    <row r="1953">
      <c r="A1953" s="12" t="n"/>
      <c r="B1953" s="12" t="n"/>
      <c r="C1953" s="12" t="n"/>
      <c r="D1953" s="13">
        <f>IF($A1953="","",TRIM($B1953&amp;" "&amp;$C1953))</f>
        <v/>
      </c>
      <c r="E1953" s="12" t="n"/>
      <c r="F1953" s="12" t="n"/>
      <c r="G1953" s="14" t="n"/>
      <c r="H1953" s="14" t="n"/>
      <c r="I1953" s="12" t="n"/>
      <c r="J1953" s="14" t="n"/>
      <c r="K1953" s="12" t="n"/>
      <c r="L1953" s="13">
        <f>IF($K1953="","",IFERROR(INDEX(Dept_Names,MATCH($K1953,Dept_Codes,0)),"NOT FOUND"))</f>
        <v/>
      </c>
      <c r="M1953" s="12" t="n"/>
      <c r="N1953" s="13">
        <f>IF($M1953="","",IFERROR(INDEX(Desig_Names,MATCH($M1953,Desig_Codes,0)),"NOT FOUND"))</f>
        <v/>
      </c>
      <c r="O1953" s="13">
        <f>IF($M1953="","",IFERROR(INDEX(Desig_Levels,MATCH($M1953,Desig_Codes,0)),""))</f>
        <v/>
      </c>
      <c r="P1953" s="12" t="n"/>
      <c r="Q1953" s="12" t="n"/>
      <c r="R1953" s="12" t="n"/>
      <c r="S1953" s="13">
        <f>IF($R1953="","",IFERROR(INDEX(Emp_Names,MATCH($R1953,Emp_Codes,0)),"NOT FOUND"))</f>
        <v/>
      </c>
      <c r="T1953" s="12" t="n"/>
      <c r="U1953" s="12" t="n"/>
      <c r="V1953" s="12" t="n"/>
    </row>
    <row r="1954">
      <c r="A1954" s="12" t="n"/>
      <c r="B1954" s="12" t="n"/>
      <c r="C1954" s="12" t="n"/>
      <c r="D1954" s="13">
        <f>IF($A1954="","",TRIM($B1954&amp;" "&amp;$C1954))</f>
        <v/>
      </c>
      <c r="E1954" s="12" t="n"/>
      <c r="F1954" s="12" t="n"/>
      <c r="G1954" s="14" t="n"/>
      <c r="H1954" s="14" t="n"/>
      <c r="I1954" s="12" t="n"/>
      <c r="J1954" s="14" t="n"/>
      <c r="K1954" s="12" t="n"/>
      <c r="L1954" s="13">
        <f>IF($K1954="","",IFERROR(INDEX(Dept_Names,MATCH($K1954,Dept_Codes,0)),"NOT FOUND"))</f>
        <v/>
      </c>
      <c r="M1954" s="12" t="n"/>
      <c r="N1954" s="13">
        <f>IF($M1954="","",IFERROR(INDEX(Desig_Names,MATCH($M1954,Desig_Codes,0)),"NOT FOUND"))</f>
        <v/>
      </c>
      <c r="O1954" s="13">
        <f>IF($M1954="","",IFERROR(INDEX(Desig_Levels,MATCH($M1954,Desig_Codes,0)),""))</f>
        <v/>
      </c>
      <c r="P1954" s="12" t="n"/>
      <c r="Q1954" s="12" t="n"/>
      <c r="R1954" s="12" t="n"/>
      <c r="S1954" s="13">
        <f>IF($R1954="","",IFERROR(INDEX(Emp_Names,MATCH($R1954,Emp_Codes,0)),"NOT FOUND"))</f>
        <v/>
      </c>
      <c r="T1954" s="12" t="n"/>
      <c r="U1954" s="12" t="n"/>
      <c r="V1954" s="12" t="n"/>
    </row>
    <row r="1955">
      <c r="A1955" s="12" t="n"/>
      <c r="B1955" s="12" t="n"/>
      <c r="C1955" s="12" t="n"/>
      <c r="D1955" s="13">
        <f>IF($A1955="","",TRIM($B1955&amp;" "&amp;$C1955))</f>
        <v/>
      </c>
      <c r="E1955" s="12" t="n"/>
      <c r="F1955" s="12" t="n"/>
      <c r="G1955" s="14" t="n"/>
      <c r="H1955" s="14" t="n"/>
      <c r="I1955" s="12" t="n"/>
      <c r="J1955" s="14" t="n"/>
      <c r="K1955" s="12" t="n"/>
      <c r="L1955" s="13">
        <f>IF($K1955="","",IFERROR(INDEX(Dept_Names,MATCH($K1955,Dept_Codes,0)),"NOT FOUND"))</f>
        <v/>
      </c>
      <c r="M1955" s="12" t="n"/>
      <c r="N1955" s="13">
        <f>IF($M1955="","",IFERROR(INDEX(Desig_Names,MATCH($M1955,Desig_Codes,0)),"NOT FOUND"))</f>
        <v/>
      </c>
      <c r="O1955" s="13">
        <f>IF($M1955="","",IFERROR(INDEX(Desig_Levels,MATCH($M1955,Desig_Codes,0)),""))</f>
        <v/>
      </c>
      <c r="P1955" s="12" t="n"/>
      <c r="Q1955" s="12" t="n"/>
      <c r="R1955" s="12" t="n"/>
      <c r="S1955" s="13">
        <f>IF($R1955="","",IFERROR(INDEX(Emp_Names,MATCH($R1955,Emp_Codes,0)),"NOT FOUND"))</f>
        <v/>
      </c>
      <c r="T1955" s="12" t="n"/>
      <c r="U1955" s="12" t="n"/>
      <c r="V1955" s="12" t="n"/>
    </row>
    <row r="1956">
      <c r="A1956" s="12" t="n"/>
      <c r="B1956" s="12" t="n"/>
      <c r="C1956" s="12" t="n"/>
      <c r="D1956" s="13">
        <f>IF($A1956="","",TRIM($B1956&amp;" "&amp;$C1956))</f>
        <v/>
      </c>
      <c r="E1956" s="12" t="n"/>
      <c r="F1956" s="12" t="n"/>
      <c r="G1956" s="14" t="n"/>
      <c r="H1956" s="14" t="n"/>
      <c r="I1956" s="12" t="n"/>
      <c r="J1956" s="14" t="n"/>
      <c r="K1956" s="12" t="n"/>
      <c r="L1956" s="13">
        <f>IF($K1956="","",IFERROR(INDEX(Dept_Names,MATCH($K1956,Dept_Codes,0)),"NOT FOUND"))</f>
        <v/>
      </c>
      <c r="M1956" s="12" t="n"/>
      <c r="N1956" s="13">
        <f>IF($M1956="","",IFERROR(INDEX(Desig_Names,MATCH($M1956,Desig_Codes,0)),"NOT FOUND"))</f>
        <v/>
      </c>
      <c r="O1956" s="13">
        <f>IF($M1956="","",IFERROR(INDEX(Desig_Levels,MATCH($M1956,Desig_Codes,0)),""))</f>
        <v/>
      </c>
      <c r="P1956" s="12" t="n"/>
      <c r="Q1956" s="12" t="n"/>
      <c r="R1956" s="12" t="n"/>
      <c r="S1956" s="13">
        <f>IF($R1956="","",IFERROR(INDEX(Emp_Names,MATCH($R1956,Emp_Codes,0)),"NOT FOUND"))</f>
        <v/>
      </c>
      <c r="T1956" s="12" t="n"/>
      <c r="U1956" s="12" t="n"/>
      <c r="V1956" s="12" t="n"/>
    </row>
    <row r="1957">
      <c r="A1957" s="12" t="n"/>
      <c r="B1957" s="12" t="n"/>
      <c r="C1957" s="12" t="n"/>
      <c r="D1957" s="13">
        <f>IF($A1957="","",TRIM($B1957&amp;" "&amp;$C1957))</f>
        <v/>
      </c>
      <c r="E1957" s="12" t="n"/>
      <c r="F1957" s="12" t="n"/>
      <c r="G1957" s="14" t="n"/>
      <c r="H1957" s="14" t="n"/>
      <c r="I1957" s="12" t="n"/>
      <c r="J1957" s="14" t="n"/>
      <c r="K1957" s="12" t="n"/>
      <c r="L1957" s="13">
        <f>IF($K1957="","",IFERROR(INDEX(Dept_Names,MATCH($K1957,Dept_Codes,0)),"NOT FOUND"))</f>
        <v/>
      </c>
      <c r="M1957" s="12" t="n"/>
      <c r="N1957" s="13">
        <f>IF($M1957="","",IFERROR(INDEX(Desig_Names,MATCH($M1957,Desig_Codes,0)),"NOT FOUND"))</f>
        <v/>
      </c>
      <c r="O1957" s="13">
        <f>IF($M1957="","",IFERROR(INDEX(Desig_Levels,MATCH($M1957,Desig_Codes,0)),""))</f>
        <v/>
      </c>
      <c r="P1957" s="12" t="n"/>
      <c r="Q1957" s="12" t="n"/>
      <c r="R1957" s="12" t="n"/>
      <c r="S1957" s="13">
        <f>IF($R1957="","",IFERROR(INDEX(Emp_Names,MATCH($R1957,Emp_Codes,0)),"NOT FOUND"))</f>
        <v/>
      </c>
      <c r="T1957" s="12" t="n"/>
      <c r="U1957" s="12" t="n"/>
      <c r="V1957" s="12" t="n"/>
    </row>
    <row r="1958">
      <c r="A1958" s="12" t="n"/>
      <c r="B1958" s="12" t="n"/>
      <c r="C1958" s="12" t="n"/>
      <c r="D1958" s="13">
        <f>IF($A1958="","",TRIM($B1958&amp;" "&amp;$C1958))</f>
        <v/>
      </c>
      <c r="E1958" s="12" t="n"/>
      <c r="F1958" s="12" t="n"/>
      <c r="G1958" s="14" t="n"/>
      <c r="H1958" s="14" t="n"/>
      <c r="I1958" s="12" t="n"/>
      <c r="J1958" s="14" t="n"/>
      <c r="K1958" s="12" t="n"/>
      <c r="L1958" s="13">
        <f>IF($K1958="","",IFERROR(INDEX(Dept_Names,MATCH($K1958,Dept_Codes,0)),"NOT FOUND"))</f>
        <v/>
      </c>
      <c r="M1958" s="12" t="n"/>
      <c r="N1958" s="13">
        <f>IF($M1958="","",IFERROR(INDEX(Desig_Names,MATCH($M1958,Desig_Codes,0)),"NOT FOUND"))</f>
        <v/>
      </c>
      <c r="O1958" s="13">
        <f>IF($M1958="","",IFERROR(INDEX(Desig_Levels,MATCH($M1958,Desig_Codes,0)),""))</f>
        <v/>
      </c>
      <c r="P1958" s="12" t="n"/>
      <c r="Q1958" s="12" t="n"/>
      <c r="R1958" s="12" t="n"/>
      <c r="S1958" s="13">
        <f>IF($R1958="","",IFERROR(INDEX(Emp_Names,MATCH($R1958,Emp_Codes,0)),"NOT FOUND"))</f>
        <v/>
      </c>
      <c r="T1958" s="12" t="n"/>
      <c r="U1958" s="12" t="n"/>
      <c r="V1958" s="12" t="n"/>
    </row>
    <row r="1959">
      <c r="A1959" s="12" t="n"/>
      <c r="B1959" s="12" t="n"/>
      <c r="C1959" s="12" t="n"/>
      <c r="D1959" s="13">
        <f>IF($A1959="","",TRIM($B1959&amp;" "&amp;$C1959))</f>
        <v/>
      </c>
      <c r="E1959" s="12" t="n"/>
      <c r="F1959" s="12" t="n"/>
      <c r="G1959" s="14" t="n"/>
      <c r="H1959" s="14" t="n"/>
      <c r="I1959" s="12" t="n"/>
      <c r="J1959" s="14" t="n"/>
      <c r="K1959" s="12" t="n"/>
      <c r="L1959" s="13">
        <f>IF($K1959="","",IFERROR(INDEX(Dept_Names,MATCH($K1959,Dept_Codes,0)),"NOT FOUND"))</f>
        <v/>
      </c>
      <c r="M1959" s="12" t="n"/>
      <c r="N1959" s="13">
        <f>IF($M1959="","",IFERROR(INDEX(Desig_Names,MATCH($M1959,Desig_Codes,0)),"NOT FOUND"))</f>
        <v/>
      </c>
      <c r="O1959" s="13">
        <f>IF($M1959="","",IFERROR(INDEX(Desig_Levels,MATCH($M1959,Desig_Codes,0)),""))</f>
        <v/>
      </c>
      <c r="P1959" s="12" t="n"/>
      <c r="Q1959" s="12" t="n"/>
      <c r="R1959" s="12" t="n"/>
      <c r="S1959" s="13">
        <f>IF($R1959="","",IFERROR(INDEX(Emp_Names,MATCH($R1959,Emp_Codes,0)),"NOT FOUND"))</f>
        <v/>
      </c>
      <c r="T1959" s="12" t="n"/>
      <c r="U1959" s="12" t="n"/>
      <c r="V1959" s="12" t="n"/>
    </row>
    <row r="1960">
      <c r="A1960" s="12" t="n"/>
      <c r="B1960" s="12" t="n"/>
      <c r="C1960" s="12" t="n"/>
      <c r="D1960" s="13">
        <f>IF($A1960="","",TRIM($B1960&amp;" "&amp;$C1960))</f>
        <v/>
      </c>
      <c r="E1960" s="12" t="n"/>
      <c r="F1960" s="12" t="n"/>
      <c r="G1960" s="14" t="n"/>
      <c r="H1960" s="14" t="n"/>
      <c r="I1960" s="12" t="n"/>
      <c r="J1960" s="14" t="n"/>
      <c r="K1960" s="12" t="n"/>
      <c r="L1960" s="13">
        <f>IF($K1960="","",IFERROR(INDEX(Dept_Names,MATCH($K1960,Dept_Codes,0)),"NOT FOUND"))</f>
        <v/>
      </c>
      <c r="M1960" s="12" t="n"/>
      <c r="N1960" s="13">
        <f>IF($M1960="","",IFERROR(INDEX(Desig_Names,MATCH($M1960,Desig_Codes,0)),"NOT FOUND"))</f>
        <v/>
      </c>
      <c r="O1960" s="13">
        <f>IF($M1960="","",IFERROR(INDEX(Desig_Levels,MATCH($M1960,Desig_Codes,0)),""))</f>
        <v/>
      </c>
      <c r="P1960" s="12" t="n"/>
      <c r="Q1960" s="12" t="n"/>
      <c r="R1960" s="12" t="n"/>
      <c r="S1960" s="13">
        <f>IF($R1960="","",IFERROR(INDEX(Emp_Names,MATCH($R1960,Emp_Codes,0)),"NOT FOUND"))</f>
        <v/>
      </c>
      <c r="T1960" s="12" t="n"/>
      <c r="U1960" s="12" t="n"/>
      <c r="V1960" s="12" t="n"/>
    </row>
    <row r="1961">
      <c r="A1961" s="12" t="n"/>
      <c r="B1961" s="12" t="n"/>
      <c r="C1961" s="12" t="n"/>
      <c r="D1961" s="13">
        <f>IF($A1961="","",TRIM($B1961&amp;" "&amp;$C1961))</f>
        <v/>
      </c>
      <c r="E1961" s="12" t="n"/>
      <c r="F1961" s="12" t="n"/>
      <c r="G1961" s="14" t="n"/>
      <c r="H1961" s="14" t="n"/>
      <c r="I1961" s="12" t="n"/>
      <c r="J1961" s="14" t="n"/>
      <c r="K1961" s="12" t="n"/>
      <c r="L1961" s="13">
        <f>IF($K1961="","",IFERROR(INDEX(Dept_Names,MATCH($K1961,Dept_Codes,0)),"NOT FOUND"))</f>
        <v/>
      </c>
      <c r="M1961" s="12" t="n"/>
      <c r="N1961" s="13">
        <f>IF($M1961="","",IFERROR(INDEX(Desig_Names,MATCH($M1961,Desig_Codes,0)),"NOT FOUND"))</f>
        <v/>
      </c>
      <c r="O1961" s="13">
        <f>IF($M1961="","",IFERROR(INDEX(Desig_Levels,MATCH($M1961,Desig_Codes,0)),""))</f>
        <v/>
      </c>
      <c r="P1961" s="12" t="n"/>
      <c r="Q1961" s="12" t="n"/>
      <c r="R1961" s="12" t="n"/>
      <c r="S1961" s="13">
        <f>IF($R1961="","",IFERROR(INDEX(Emp_Names,MATCH($R1961,Emp_Codes,0)),"NOT FOUND"))</f>
        <v/>
      </c>
      <c r="T1961" s="12" t="n"/>
      <c r="U1961" s="12" t="n"/>
      <c r="V1961" s="12" t="n"/>
    </row>
    <row r="1962">
      <c r="A1962" s="12" t="n"/>
      <c r="B1962" s="12" t="n"/>
      <c r="C1962" s="12" t="n"/>
      <c r="D1962" s="13">
        <f>IF($A1962="","",TRIM($B1962&amp;" "&amp;$C1962))</f>
        <v/>
      </c>
      <c r="E1962" s="12" t="n"/>
      <c r="F1962" s="12" t="n"/>
      <c r="G1962" s="14" t="n"/>
      <c r="H1962" s="14" t="n"/>
      <c r="I1962" s="12" t="n"/>
      <c r="J1962" s="14" t="n"/>
      <c r="K1962" s="12" t="n"/>
      <c r="L1962" s="13">
        <f>IF($K1962="","",IFERROR(INDEX(Dept_Names,MATCH($K1962,Dept_Codes,0)),"NOT FOUND"))</f>
        <v/>
      </c>
      <c r="M1962" s="12" t="n"/>
      <c r="N1962" s="13">
        <f>IF($M1962="","",IFERROR(INDEX(Desig_Names,MATCH($M1962,Desig_Codes,0)),"NOT FOUND"))</f>
        <v/>
      </c>
      <c r="O1962" s="13">
        <f>IF($M1962="","",IFERROR(INDEX(Desig_Levels,MATCH($M1962,Desig_Codes,0)),""))</f>
        <v/>
      </c>
      <c r="P1962" s="12" t="n"/>
      <c r="Q1962" s="12" t="n"/>
      <c r="R1962" s="12" t="n"/>
      <c r="S1962" s="13">
        <f>IF($R1962="","",IFERROR(INDEX(Emp_Names,MATCH($R1962,Emp_Codes,0)),"NOT FOUND"))</f>
        <v/>
      </c>
      <c r="T1962" s="12" t="n"/>
      <c r="U1962" s="12" t="n"/>
      <c r="V1962" s="12" t="n"/>
    </row>
    <row r="1963">
      <c r="A1963" s="12" t="n"/>
      <c r="B1963" s="12" t="n"/>
      <c r="C1963" s="12" t="n"/>
      <c r="D1963" s="13">
        <f>IF($A1963="","",TRIM($B1963&amp;" "&amp;$C1963))</f>
        <v/>
      </c>
      <c r="E1963" s="12" t="n"/>
      <c r="F1963" s="12" t="n"/>
      <c r="G1963" s="14" t="n"/>
      <c r="H1963" s="14" t="n"/>
      <c r="I1963" s="12" t="n"/>
      <c r="J1963" s="14" t="n"/>
      <c r="K1963" s="12" t="n"/>
      <c r="L1963" s="13">
        <f>IF($K1963="","",IFERROR(INDEX(Dept_Names,MATCH($K1963,Dept_Codes,0)),"NOT FOUND"))</f>
        <v/>
      </c>
      <c r="M1963" s="12" t="n"/>
      <c r="N1963" s="13">
        <f>IF($M1963="","",IFERROR(INDEX(Desig_Names,MATCH($M1963,Desig_Codes,0)),"NOT FOUND"))</f>
        <v/>
      </c>
      <c r="O1963" s="13">
        <f>IF($M1963="","",IFERROR(INDEX(Desig_Levels,MATCH($M1963,Desig_Codes,0)),""))</f>
        <v/>
      </c>
      <c r="P1963" s="12" t="n"/>
      <c r="Q1963" s="12" t="n"/>
      <c r="R1963" s="12" t="n"/>
      <c r="S1963" s="13">
        <f>IF($R1963="","",IFERROR(INDEX(Emp_Names,MATCH($R1963,Emp_Codes,0)),"NOT FOUND"))</f>
        <v/>
      </c>
      <c r="T1963" s="12" t="n"/>
      <c r="U1963" s="12" t="n"/>
      <c r="V1963" s="12" t="n"/>
    </row>
    <row r="1964">
      <c r="A1964" s="12" t="n"/>
      <c r="B1964" s="12" t="n"/>
      <c r="C1964" s="12" t="n"/>
      <c r="D1964" s="13">
        <f>IF($A1964="","",TRIM($B1964&amp;" "&amp;$C1964))</f>
        <v/>
      </c>
      <c r="E1964" s="12" t="n"/>
      <c r="F1964" s="12" t="n"/>
      <c r="G1964" s="14" t="n"/>
      <c r="H1964" s="14" t="n"/>
      <c r="I1964" s="12" t="n"/>
      <c r="J1964" s="14" t="n"/>
      <c r="K1964" s="12" t="n"/>
      <c r="L1964" s="13">
        <f>IF($K1964="","",IFERROR(INDEX(Dept_Names,MATCH($K1964,Dept_Codes,0)),"NOT FOUND"))</f>
        <v/>
      </c>
      <c r="M1964" s="12" t="n"/>
      <c r="N1964" s="13">
        <f>IF($M1964="","",IFERROR(INDEX(Desig_Names,MATCH($M1964,Desig_Codes,0)),"NOT FOUND"))</f>
        <v/>
      </c>
      <c r="O1964" s="13">
        <f>IF($M1964="","",IFERROR(INDEX(Desig_Levels,MATCH($M1964,Desig_Codes,0)),""))</f>
        <v/>
      </c>
      <c r="P1964" s="12" t="n"/>
      <c r="Q1964" s="12" t="n"/>
      <c r="R1964" s="12" t="n"/>
      <c r="S1964" s="13">
        <f>IF($R1964="","",IFERROR(INDEX(Emp_Names,MATCH($R1964,Emp_Codes,0)),"NOT FOUND"))</f>
        <v/>
      </c>
      <c r="T1964" s="12" t="n"/>
      <c r="U1964" s="12" t="n"/>
      <c r="V1964" s="12" t="n"/>
    </row>
    <row r="1965">
      <c r="A1965" s="12" t="n"/>
      <c r="B1965" s="12" t="n"/>
      <c r="C1965" s="12" t="n"/>
      <c r="D1965" s="13">
        <f>IF($A1965="","",TRIM($B1965&amp;" "&amp;$C1965))</f>
        <v/>
      </c>
      <c r="E1965" s="12" t="n"/>
      <c r="F1965" s="12" t="n"/>
      <c r="G1965" s="14" t="n"/>
      <c r="H1965" s="14" t="n"/>
      <c r="I1965" s="12" t="n"/>
      <c r="J1965" s="14" t="n"/>
      <c r="K1965" s="12" t="n"/>
      <c r="L1965" s="13">
        <f>IF($K1965="","",IFERROR(INDEX(Dept_Names,MATCH($K1965,Dept_Codes,0)),"NOT FOUND"))</f>
        <v/>
      </c>
      <c r="M1965" s="12" t="n"/>
      <c r="N1965" s="13">
        <f>IF($M1965="","",IFERROR(INDEX(Desig_Names,MATCH($M1965,Desig_Codes,0)),"NOT FOUND"))</f>
        <v/>
      </c>
      <c r="O1965" s="13">
        <f>IF($M1965="","",IFERROR(INDEX(Desig_Levels,MATCH($M1965,Desig_Codes,0)),""))</f>
        <v/>
      </c>
      <c r="P1965" s="12" t="n"/>
      <c r="Q1965" s="12" t="n"/>
      <c r="R1965" s="12" t="n"/>
      <c r="S1965" s="13">
        <f>IF($R1965="","",IFERROR(INDEX(Emp_Names,MATCH($R1965,Emp_Codes,0)),"NOT FOUND"))</f>
        <v/>
      </c>
      <c r="T1965" s="12" t="n"/>
      <c r="U1965" s="12" t="n"/>
      <c r="V1965" s="12" t="n"/>
    </row>
    <row r="1966">
      <c r="A1966" s="12" t="n"/>
      <c r="B1966" s="12" t="n"/>
      <c r="C1966" s="12" t="n"/>
      <c r="D1966" s="13">
        <f>IF($A1966="","",TRIM($B1966&amp;" "&amp;$C1966))</f>
        <v/>
      </c>
      <c r="E1966" s="12" t="n"/>
      <c r="F1966" s="12" t="n"/>
      <c r="G1966" s="14" t="n"/>
      <c r="H1966" s="14" t="n"/>
      <c r="I1966" s="12" t="n"/>
      <c r="J1966" s="14" t="n"/>
      <c r="K1966" s="12" t="n"/>
      <c r="L1966" s="13">
        <f>IF($K1966="","",IFERROR(INDEX(Dept_Names,MATCH($K1966,Dept_Codes,0)),"NOT FOUND"))</f>
        <v/>
      </c>
      <c r="M1966" s="12" t="n"/>
      <c r="N1966" s="13">
        <f>IF($M1966="","",IFERROR(INDEX(Desig_Names,MATCH($M1966,Desig_Codes,0)),"NOT FOUND"))</f>
        <v/>
      </c>
      <c r="O1966" s="13">
        <f>IF($M1966="","",IFERROR(INDEX(Desig_Levels,MATCH($M1966,Desig_Codes,0)),""))</f>
        <v/>
      </c>
      <c r="P1966" s="12" t="n"/>
      <c r="Q1966" s="12" t="n"/>
      <c r="R1966" s="12" t="n"/>
      <c r="S1966" s="13">
        <f>IF($R1966="","",IFERROR(INDEX(Emp_Names,MATCH($R1966,Emp_Codes,0)),"NOT FOUND"))</f>
        <v/>
      </c>
      <c r="T1966" s="12" t="n"/>
      <c r="U1966" s="12" t="n"/>
      <c r="V1966" s="12" t="n"/>
    </row>
    <row r="1967">
      <c r="A1967" s="12" t="n"/>
      <c r="B1967" s="12" t="n"/>
      <c r="C1967" s="12" t="n"/>
      <c r="D1967" s="13">
        <f>IF($A1967="","",TRIM($B1967&amp;" "&amp;$C1967))</f>
        <v/>
      </c>
      <c r="E1967" s="12" t="n"/>
      <c r="F1967" s="12" t="n"/>
      <c r="G1967" s="14" t="n"/>
      <c r="H1967" s="14" t="n"/>
      <c r="I1967" s="12" t="n"/>
      <c r="J1967" s="14" t="n"/>
      <c r="K1967" s="12" t="n"/>
      <c r="L1967" s="13">
        <f>IF($K1967="","",IFERROR(INDEX(Dept_Names,MATCH($K1967,Dept_Codes,0)),"NOT FOUND"))</f>
        <v/>
      </c>
      <c r="M1967" s="12" t="n"/>
      <c r="N1967" s="13">
        <f>IF($M1967="","",IFERROR(INDEX(Desig_Names,MATCH($M1967,Desig_Codes,0)),"NOT FOUND"))</f>
        <v/>
      </c>
      <c r="O1967" s="13">
        <f>IF($M1967="","",IFERROR(INDEX(Desig_Levels,MATCH($M1967,Desig_Codes,0)),""))</f>
        <v/>
      </c>
      <c r="P1967" s="12" t="n"/>
      <c r="Q1967" s="12" t="n"/>
      <c r="R1967" s="12" t="n"/>
      <c r="S1967" s="13">
        <f>IF($R1967="","",IFERROR(INDEX(Emp_Names,MATCH($R1967,Emp_Codes,0)),"NOT FOUND"))</f>
        <v/>
      </c>
      <c r="T1967" s="12" t="n"/>
      <c r="U1967" s="12" t="n"/>
      <c r="V1967" s="12" t="n"/>
    </row>
    <row r="1968">
      <c r="A1968" s="12" t="n"/>
      <c r="B1968" s="12" t="n"/>
      <c r="C1968" s="12" t="n"/>
      <c r="D1968" s="13">
        <f>IF($A1968="","",TRIM($B1968&amp;" "&amp;$C1968))</f>
        <v/>
      </c>
      <c r="E1968" s="12" t="n"/>
      <c r="F1968" s="12" t="n"/>
      <c r="G1968" s="14" t="n"/>
      <c r="H1968" s="14" t="n"/>
      <c r="I1968" s="12" t="n"/>
      <c r="J1968" s="14" t="n"/>
      <c r="K1968" s="12" t="n"/>
      <c r="L1968" s="13">
        <f>IF($K1968="","",IFERROR(INDEX(Dept_Names,MATCH($K1968,Dept_Codes,0)),"NOT FOUND"))</f>
        <v/>
      </c>
      <c r="M1968" s="12" t="n"/>
      <c r="N1968" s="13">
        <f>IF($M1968="","",IFERROR(INDEX(Desig_Names,MATCH($M1968,Desig_Codes,0)),"NOT FOUND"))</f>
        <v/>
      </c>
      <c r="O1968" s="13">
        <f>IF($M1968="","",IFERROR(INDEX(Desig_Levels,MATCH($M1968,Desig_Codes,0)),""))</f>
        <v/>
      </c>
      <c r="P1968" s="12" t="n"/>
      <c r="Q1968" s="12" t="n"/>
      <c r="R1968" s="12" t="n"/>
      <c r="S1968" s="13">
        <f>IF($R1968="","",IFERROR(INDEX(Emp_Names,MATCH($R1968,Emp_Codes,0)),"NOT FOUND"))</f>
        <v/>
      </c>
      <c r="T1968" s="12" t="n"/>
      <c r="U1968" s="12" t="n"/>
      <c r="V1968" s="12" t="n"/>
    </row>
    <row r="1969">
      <c r="A1969" s="12" t="n"/>
      <c r="B1969" s="12" t="n"/>
      <c r="C1969" s="12" t="n"/>
      <c r="D1969" s="13">
        <f>IF($A1969="","",TRIM($B1969&amp;" "&amp;$C1969))</f>
        <v/>
      </c>
      <c r="E1969" s="12" t="n"/>
      <c r="F1969" s="12" t="n"/>
      <c r="G1969" s="14" t="n"/>
      <c r="H1969" s="14" t="n"/>
      <c r="I1969" s="12" t="n"/>
      <c r="J1969" s="14" t="n"/>
      <c r="K1969" s="12" t="n"/>
      <c r="L1969" s="13">
        <f>IF($K1969="","",IFERROR(INDEX(Dept_Names,MATCH($K1969,Dept_Codes,0)),"NOT FOUND"))</f>
        <v/>
      </c>
      <c r="M1969" s="12" t="n"/>
      <c r="N1969" s="13">
        <f>IF($M1969="","",IFERROR(INDEX(Desig_Names,MATCH($M1969,Desig_Codes,0)),"NOT FOUND"))</f>
        <v/>
      </c>
      <c r="O1969" s="13">
        <f>IF($M1969="","",IFERROR(INDEX(Desig_Levels,MATCH($M1969,Desig_Codes,0)),""))</f>
        <v/>
      </c>
      <c r="P1969" s="12" t="n"/>
      <c r="Q1969" s="12" t="n"/>
      <c r="R1969" s="12" t="n"/>
      <c r="S1969" s="13">
        <f>IF($R1969="","",IFERROR(INDEX(Emp_Names,MATCH($R1969,Emp_Codes,0)),"NOT FOUND"))</f>
        <v/>
      </c>
      <c r="T1969" s="12" t="n"/>
      <c r="U1969" s="12" t="n"/>
      <c r="V1969" s="12" t="n"/>
    </row>
    <row r="1970">
      <c r="A1970" s="12" t="n"/>
      <c r="B1970" s="12" t="n"/>
      <c r="C1970" s="12" t="n"/>
      <c r="D1970" s="13">
        <f>IF($A1970="","",TRIM($B1970&amp;" "&amp;$C1970))</f>
        <v/>
      </c>
      <c r="E1970" s="12" t="n"/>
      <c r="F1970" s="12" t="n"/>
      <c r="G1970" s="14" t="n"/>
      <c r="H1970" s="14" t="n"/>
      <c r="I1970" s="12" t="n"/>
      <c r="J1970" s="14" t="n"/>
      <c r="K1970" s="12" t="n"/>
      <c r="L1970" s="13">
        <f>IF($K1970="","",IFERROR(INDEX(Dept_Names,MATCH($K1970,Dept_Codes,0)),"NOT FOUND"))</f>
        <v/>
      </c>
      <c r="M1970" s="12" t="n"/>
      <c r="N1970" s="13">
        <f>IF($M1970="","",IFERROR(INDEX(Desig_Names,MATCH($M1970,Desig_Codes,0)),"NOT FOUND"))</f>
        <v/>
      </c>
      <c r="O1970" s="13">
        <f>IF($M1970="","",IFERROR(INDEX(Desig_Levels,MATCH($M1970,Desig_Codes,0)),""))</f>
        <v/>
      </c>
      <c r="P1970" s="12" t="n"/>
      <c r="Q1970" s="12" t="n"/>
      <c r="R1970" s="12" t="n"/>
      <c r="S1970" s="13">
        <f>IF($R1970="","",IFERROR(INDEX(Emp_Names,MATCH($R1970,Emp_Codes,0)),"NOT FOUND"))</f>
        <v/>
      </c>
      <c r="T1970" s="12" t="n"/>
      <c r="U1970" s="12" t="n"/>
      <c r="V1970" s="12" t="n"/>
    </row>
    <row r="1971">
      <c r="A1971" s="12" t="n"/>
      <c r="B1971" s="12" t="n"/>
      <c r="C1971" s="12" t="n"/>
      <c r="D1971" s="13">
        <f>IF($A1971="","",TRIM($B1971&amp;" "&amp;$C1971))</f>
        <v/>
      </c>
      <c r="E1971" s="12" t="n"/>
      <c r="F1971" s="12" t="n"/>
      <c r="G1971" s="14" t="n"/>
      <c r="H1971" s="14" t="n"/>
      <c r="I1971" s="12" t="n"/>
      <c r="J1971" s="14" t="n"/>
      <c r="K1971" s="12" t="n"/>
      <c r="L1971" s="13">
        <f>IF($K1971="","",IFERROR(INDEX(Dept_Names,MATCH($K1971,Dept_Codes,0)),"NOT FOUND"))</f>
        <v/>
      </c>
      <c r="M1971" s="12" t="n"/>
      <c r="N1971" s="13">
        <f>IF($M1971="","",IFERROR(INDEX(Desig_Names,MATCH($M1971,Desig_Codes,0)),"NOT FOUND"))</f>
        <v/>
      </c>
      <c r="O1971" s="13">
        <f>IF($M1971="","",IFERROR(INDEX(Desig_Levels,MATCH($M1971,Desig_Codes,0)),""))</f>
        <v/>
      </c>
      <c r="P1971" s="12" t="n"/>
      <c r="Q1971" s="12" t="n"/>
      <c r="R1971" s="12" t="n"/>
      <c r="S1971" s="13">
        <f>IF($R1971="","",IFERROR(INDEX(Emp_Names,MATCH($R1971,Emp_Codes,0)),"NOT FOUND"))</f>
        <v/>
      </c>
      <c r="T1971" s="12" t="n"/>
      <c r="U1971" s="12" t="n"/>
      <c r="V1971" s="12" t="n"/>
    </row>
    <row r="1972">
      <c r="A1972" s="12" t="n"/>
      <c r="B1972" s="12" t="n"/>
      <c r="C1972" s="12" t="n"/>
      <c r="D1972" s="13">
        <f>IF($A1972="","",TRIM($B1972&amp;" "&amp;$C1972))</f>
        <v/>
      </c>
      <c r="E1972" s="12" t="n"/>
      <c r="F1972" s="12" t="n"/>
      <c r="G1972" s="14" t="n"/>
      <c r="H1972" s="14" t="n"/>
      <c r="I1972" s="12" t="n"/>
      <c r="J1972" s="14" t="n"/>
      <c r="K1972" s="12" t="n"/>
      <c r="L1972" s="13">
        <f>IF($K1972="","",IFERROR(INDEX(Dept_Names,MATCH($K1972,Dept_Codes,0)),"NOT FOUND"))</f>
        <v/>
      </c>
      <c r="M1972" s="12" t="n"/>
      <c r="N1972" s="13">
        <f>IF($M1972="","",IFERROR(INDEX(Desig_Names,MATCH($M1972,Desig_Codes,0)),"NOT FOUND"))</f>
        <v/>
      </c>
      <c r="O1972" s="13">
        <f>IF($M1972="","",IFERROR(INDEX(Desig_Levels,MATCH($M1972,Desig_Codes,0)),""))</f>
        <v/>
      </c>
      <c r="P1972" s="12" t="n"/>
      <c r="Q1972" s="12" t="n"/>
      <c r="R1972" s="12" t="n"/>
      <c r="S1972" s="13">
        <f>IF($R1972="","",IFERROR(INDEX(Emp_Names,MATCH($R1972,Emp_Codes,0)),"NOT FOUND"))</f>
        <v/>
      </c>
      <c r="T1972" s="12" t="n"/>
      <c r="U1972" s="12" t="n"/>
      <c r="V1972" s="12" t="n"/>
    </row>
    <row r="1973">
      <c r="A1973" s="12" t="n"/>
      <c r="B1973" s="12" t="n"/>
      <c r="C1973" s="12" t="n"/>
      <c r="D1973" s="13">
        <f>IF($A1973="","",TRIM($B1973&amp;" "&amp;$C1973))</f>
        <v/>
      </c>
      <c r="E1973" s="12" t="n"/>
      <c r="F1973" s="12" t="n"/>
      <c r="G1973" s="14" t="n"/>
      <c r="H1973" s="14" t="n"/>
      <c r="I1973" s="12" t="n"/>
      <c r="J1973" s="14" t="n"/>
      <c r="K1973" s="12" t="n"/>
      <c r="L1973" s="13">
        <f>IF($K1973="","",IFERROR(INDEX(Dept_Names,MATCH($K1973,Dept_Codes,0)),"NOT FOUND"))</f>
        <v/>
      </c>
      <c r="M1973" s="12" t="n"/>
      <c r="N1973" s="13">
        <f>IF($M1973="","",IFERROR(INDEX(Desig_Names,MATCH($M1973,Desig_Codes,0)),"NOT FOUND"))</f>
        <v/>
      </c>
      <c r="O1973" s="13">
        <f>IF($M1973="","",IFERROR(INDEX(Desig_Levels,MATCH($M1973,Desig_Codes,0)),""))</f>
        <v/>
      </c>
      <c r="P1973" s="12" t="n"/>
      <c r="Q1973" s="12" t="n"/>
      <c r="R1973" s="12" t="n"/>
      <c r="S1973" s="13">
        <f>IF($R1973="","",IFERROR(INDEX(Emp_Names,MATCH($R1973,Emp_Codes,0)),"NOT FOUND"))</f>
        <v/>
      </c>
      <c r="T1973" s="12" t="n"/>
      <c r="U1973" s="12" t="n"/>
      <c r="V1973" s="12" t="n"/>
    </row>
    <row r="1974">
      <c r="A1974" s="12" t="n"/>
      <c r="B1974" s="12" t="n"/>
      <c r="C1974" s="12" t="n"/>
      <c r="D1974" s="13">
        <f>IF($A1974="","",TRIM($B1974&amp;" "&amp;$C1974))</f>
        <v/>
      </c>
      <c r="E1974" s="12" t="n"/>
      <c r="F1974" s="12" t="n"/>
      <c r="G1974" s="14" t="n"/>
      <c r="H1974" s="14" t="n"/>
      <c r="I1974" s="12" t="n"/>
      <c r="J1974" s="14" t="n"/>
      <c r="K1974" s="12" t="n"/>
      <c r="L1974" s="13">
        <f>IF($K1974="","",IFERROR(INDEX(Dept_Names,MATCH($K1974,Dept_Codes,0)),"NOT FOUND"))</f>
        <v/>
      </c>
      <c r="M1974" s="12" t="n"/>
      <c r="N1974" s="13">
        <f>IF($M1974="","",IFERROR(INDEX(Desig_Names,MATCH($M1974,Desig_Codes,0)),"NOT FOUND"))</f>
        <v/>
      </c>
      <c r="O1974" s="13">
        <f>IF($M1974="","",IFERROR(INDEX(Desig_Levels,MATCH($M1974,Desig_Codes,0)),""))</f>
        <v/>
      </c>
      <c r="P1974" s="12" t="n"/>
      <c r="Q1974" s="12" t="n"/>
      <c r="R1974" s="12" t="n"/>
      <c r="S1974" s="13">
        <f>IF($R1974="","",IFERROR(INDEX(Emp_Names,MATCH($R1974,Emp_Codes,0)),"NOT FOUND"))</f>
        <v/>
      </c>
      <c r="T1974" s="12" t="n"/>
      <c r="U1974" s="12" t="n"/>
      <c r="V1974" s="12" t="n"/>
    </row>
    <row r="1975">
      <c r="A1975" s="12" t="n"/>
      <c r="B1975" s="12" t="n"/>
      <c r="C1975" s="12" t="n"/>
      <c r="D1975" s="13">
        <f>IF($A1975="","",TRIM($B1975&amp;" "&amp;$C1975))</f>
        <v/>
      </c>
      <c r="E1975" s="12" t="n"/>
      <c r="F1975" s="12" t="n"/>
      <c r="G1975" s="14" t="n"/>
      <c r="H1975" s="14" t="n"/>
      <c r="I1975" s="12" t="n"/>
      <c r="J1975" s="14" t="n"/>
      <c r="K1975" s="12" t="n"/>
      <c r="L1975" s="13">
        <f>IF($K1975="","",IFERROR(INDEX(Dept_Names,MATCH($K1975,Dept_Codes,0)),"NOT FOUND"))</f>
        <v/>
      </c>
      <c r="M1975" s="12" t="n"/>
      <c r="N1975" s="13">
        <f>IF($M1975="","",IFERROR(INDEX(Desig_Names,MATCH($M1975,Desig_Codes,0)),"NOT FOUND"))</f>
        <v/>
      </c>
      <c r="O1975" s="13">
        <f>IF($M1975="","",IFERROR(INDEX(Desig_Levels,MATCH($M1975,Desig_Codes,0)),""))</f>
        <v/>
      </c>
      <c r="P1975" s="12" t="n"/>
      <c r="Q1975" s="12" t="n"/>
      <c r="R1975" s="12" t="n"/>
      <c r="S1975" s="13">
        <f>IF($R1975="","",IFERROR(INDEX(Emp_Names,MATCH($R1975,Emp_Codes,0)),"NOT FOUND"))</f>
        <v/>
      </c>
      <c r="T1975" s="12" t="n"/>
      <c r="U1975" s="12" t="n"/>
      <c r="V1975" s="12" t="n"/>
    </row>
    <row r="1976">
      <c r="A1976" s="12" t="n"/>
      <c r="B1976" s="12" t="n"/>
      <c r="C1976" s="12" t="n"/>
      <c r="D1976" s="13">
        <f>IF($A1976="","",TRIM($B1976&amp;" "&amp;$C1976))</f>
        <v/>
      </c>
      <c r="E1976" s="12" t="n"/>
      <c r="F1976" s="12" t="n"/>
      <c r="G1976" s="14" t="n"/>
      <c r="H1976" s="14" t="n"/>
      <c r="I1976" s="12" t="n"/>
      <c r="J1976" s="14" t="n"/>
      <c r="K1976" s="12" t="n"/>
      <c r="L1976" s="13">
        <f>IF($K1976="","",IFERROR(INDEX(Dept_Names,MATCH($K1976,Dept_Codes,0)),"NOT FOUND"))</f>
        <v/>
      </c>
      <c r="M1976" s="12" t="n"/>
      <c r="N1976" s="13">
        <f>IF($M1976="","",IFERROR(INDEX(Desig_Names,MATCH($M1976,Desig_Codes,0)),"NOT FOUND"))</f>
        <v/>
      </c>
      <c r="O1976" s="13">
        <f>IF($M1976="","",IFERROR(INDEX(Desig_Levels,MATCH($M1976,Desig_Codes,0)),""))</f>
        <v/>
      </c>
      <c r="P1976" s="12" t="n"/>
      <c r="Q1976" s="12" t="n"/>
      <c r="R1976" s="12" t="n"/>
      <c r="S1976" s="13">
        <f>IF($R1976="","",IFERROR(INDEX(Emp_Names,MATCH($R1976,Emp_Codes,0)),"NOT FOUND"))</f>
        <v/>
      </c>
      <c r="T1976" s="12" t="n"/>
      <c r="U1976" s="12" t="n"/>
      <c r="V1976" s="12" t="n"/>
    </row>
    <row r="1977">
      <c r="A1977" s="12" t="n"/>
      <c r="B1977" s="12" t="n"/>
      <c r="C1977" s="12" t="n"/>
      <c r="D1977" s="13">
        <f>IF($A1977="","",TRIM($B1977&amp;" "&amp;$C1977))</f>
        <v/>
      </c>
      <c r="E1977" s="12" t="n"/>
      <c r="F1977" s="12" t="n"/>
      <c r="G1977" s="14" t="n"/>
      <c r="H1977" s="14" t="n"/>
      <c r="I1977" s="12" t="n"/>
      <c r="J1977" s="14" t="n"/>
      <c r="K1977" s="12" t="n"/>
      <c r="L1977" s="13">
        <f>IF($K1977="","",IFERROR(INDEX(Dept_Names,MATCH($K1977,Dept_Codes,0)),"NOT FOUND"))</f>
        <v/>
      </c>
      <c r="M1977" s="12" t="n"/>
      <c r="N1977" s="13">
        <f>IF($M1977="","",IFERROR(INDEX(Desig_Names,MATCH($M1977,Desig_Codes,0)),"NOT FOUND"))</f>
        <v/>
      </c>
      <c r="O1977" s="13">
        <f>IF($M1977="","",IFERROR(INDEX(Desig_Levels,MATCH($M1977,Desig_Codes,0)),""))</f>
        <v/>
      </c>
      <c r="P1977" s="12" t="n"/>
      <c r="Q1977" s="12" t="n"/>
      <c r="R1977" s="12" t="n"/>
      <c r="S1977" s="13">
        <f>IF($R1977="","",IFERROR(INDEX(Emp_Names,MATCH($R1977,Emp_Codes,0)),"NOT FOUND"))</f>
        <v/>
      </c>
      <c r="T1977" s="12" t="n"/>
      <c r="U1977" s="12" t="n"/>
      <c r="V1977" s="12" t="n"/>
    </row>
    <row r="1978">
      <c r="A1978" s="12" t="n"/>
      <c r="B1978" s="12" t="n"/>
      <c r="C1978" s="12" t="n"/>
      <c r="D1978" s="13">
        <f>IF($A1978="","",TRIM($B1978&amp;" "&amp;$C1978))</f>
        <v/>
      </c>
      <c r="E1978" s="12" t="n"/>
      <c r="F1978" s="12" t="n"/>
      <c r="G1978" s="14" t="n"/>
      <c r="H1978" s="14" t="n"/>
      <c r="I1978" s="12" t="n"/>
      <c r="J1978" s="14" t="n"/>
      <c r="K1978" s="12" t="n"/>
      <c r="L1978" s="13">
        <f>IF($K1978="","",IFERROR(INDEX(Dept_Names,MATCH($K1978,Dept_Codes,0)),"NOT FOUND"))</f>
        <v/>
      </c>
      <c r="M1978" s="12" t="n"/>
      <c r="N1978" s="13">
        <f>IF($M1978="","",IFERROR(INDEX(Desig_Names,MATCH($M1978,Desig_Codes,0)),"NOT FOUND"))</f>
        <v/>
      </c>
      <c r="O1978" s="13">
        <f>IF($M1978="","",IFERROR(INDEX(Desig_Levels,MATCH($M1978,Desig_Codes,0)),""))</f>
        <v/>
      </c>
      <c r="P1978" s="12" t="n"/>
      <c r="Q1978" s="12" t="n"/>
      <c r="R1978" s="12" t="n"/>
      <c r="S1978" s="13">
        <f>IF($R1978="","",IFERROR(INDEX(Emp_Names,MATCH($R1978,Emp_Codes,0)),"NOT FOUND"))</f>
        <v/>
      </c>
      <c r="T1978" s="12" t="n"/>
      <c r="U1978" s="12" t="n"/>
      <c r="V1978" s="12" t="n"/>
    </row>
    <row r="1979">
      <c r="A1979" s="12" t="n"/>
      <c r="B1979" s="12" t="n"/>
      <c r="C1979" s="12" t="n"/>
      <c r="D1979" s="13">
        <f>IF($A1979="","",TRIM($B1979&amp;" "&amp;$C1979))</f>
        <v/>
      </c>
      <c r="E1979" s="12" t="n"/>
      <c r="F1979" s="12" t="n"/>
      <c r="G1979" s="14" t="n"/>
      <c r="H1979" s="14" t="n"/>
      <c r="I1979" s="12" t="n"/>
      <c r="J1979" s="14" t="n"/>
      <c r="K1979" s="12" t="n"/>
      <c r="L1979" s="13">
        <f>IF($K1979="","",IFERROR(INDEX(Dept_Names,MATCH($K1979,Dept_Codes,0)),"NOT FOUND"))</f>
        <v/>
      </c>
      <c r="M1979" s="12" t="n"/>
      <c r="N1979" s="13">
        <f>IF($M1979="","",IFERROR(INDEX(Desig_Names,MATCH($M1979,Desig_Codes,0)),"NOT FOUND"))</f>
        <v/>
      </c>
      <c r="O1979" s="13">
        <f>IF($M1979="","",IFERROR(INDEX(Desig_Levels,MATCH($M1979,Desig_Codes,0)),""))</f>
        <v/>
      </c>
      <c r="P1979" s="12" t="n"/>
      <c r="Q1979" s="12" t="n"/>
      <c r="R1979" s="12" t="n"/>
      <c r="S1979" s="13">
        <f>IF($R1979="","",IFERROR(INDEX(Emp_Names,MATCH($R1979,Emp_Codes,0)),"NOT FOUND"))</f>
        <v/>
      </c>
      <c r="T1979" s="12" t="n"/>
      <c r="U1979" s="12" t="n"/>
      <c r="V1979" s="12" t="n"/>
    </row>
    <row r="1980">
      <c r="A1980" s="12" t="n"/>
      <c r="B1980" s="12" t="n"/>
      <c r="C1980" s="12" t="n"/>
      <c r="D1980" s="13">
        <f>IF($A1980="","",TRIM($B1980&amp;" "&amp;$C1980))</f>
        <v/>
      </c>
      <c r="E1980" s="12" t="n"/>
      <c r="F1980" s="12" t="n"/>
      <c r="G1980" s="14" t="n"/>
      <c r="H1980" s="14" t="n"/>
      <c r="I1980" s="12" t="n"/>
      <c r="J1980" s="14" t="n"/>
      <c r="K1980" s="12" t="n"/>
      <c r="L1980" s="13">
        <f>IF($K1980="","",IFERROR(INDEX(Dept_Names,MATCH($K1980,Dept_Codes,0)),"NOT FOUND"))</f>
        <v/>
      </c>
      <c r="M1980" s="12" t="n"/>
      <c r="N1980" s="13">
        <f>IF($M1980="","",IFERROR(INDEX(Desig_Names,MATCH($M1980,Desig_Codes,0)),"NOT FOUND"))</f>
        <v/>
      </c>
      <c r="O1980" s="13">
        <f>IF($M1980="","",IFERROR(INDEX(Desig_Levels,MATCH($M1980,Desig_Codes,0)),""))</f>
        <v/>
      </c>
      <c r="P1980" s="12" t="n"/>
      <c r="Q1980" s="12" t="n"/>
      <c r="R1980" s="12" t="n"/>
      <c r="S1980" s="13">
        <f>IF($R1980="","",IFERROR(INDEX(Emp_Names,MATCH($R1980,Emp_Codes,0)),"NOT FOUND"))</f>
        <v/>
      </c>
      <c r="T1980" s="12" t="n"/>
      <c r="U1980" s="12" t="n"/>
      <c r="V1980" s="12" t="n"/>
    </row>
    <row r="1981">
      <c r="A1981" s="12" t="n"/>
      <c r="B1981" s="12" t="n"/>
      <c r="C1981" s="12" t="n"/>
      <c r="D1981" s="13">
        <f>IF($A1981="","",TRIM($B1981&amp;" "&amp;$C1981))</f>
        <v/>
      </c>
      <c r="E1981" s="12" t="n"/>
      <c r="F1981" s="12" t="n"/>
      <c r="G1981" s="14" t="n"/>
      <c r="H1981" s="14" t="n"/>
      <c r="I1981" s="12" t="n"/>
      <c r="J1981" s="14" t="n"/>
      <c r="K1981" s="12" t="n"/>
      <c r="L1981" s="13">
        <f>IF($K1981="","",IFERROR(INDEX(Dept_Names,MATCH($K1981,Dept_Codes,0)),"NOT FOUND"))</f>
        <v/>
      </c>
      <c r="M1981" s="12" t="n"/>
      <c r="N1981" s="13">
        <f>IF($M1981="","",IFERROR(INDEX(Desig_Names,MATCH($M1981,Desig_Codes,0)),"NOT FOUND"))</f>
        <v/>
      </c>
      <c r="O1981" s="13">
        <f>IF($M1981="","",IFERROR(INDEX(Desig_Levels,MATCH($M1981,Desig_Codes,0)),""))</f>
        <v/>
      </c>
      <c r="P1981" s="12" t="n"/>
      <c r="Q1981" s="12" t="n"/>
      <c r="R1981" s="12" t="n"/>
      <c r="S1981" s="13">
        <f>IF($R1981="","",IFERROR(INDEX(Emp_Names,MATCH($R1981,Emp_Codes,0)),"NOT FOUND"))</f>
        <v/>
      </c>
      <c r="T1981" s="12" t="n"/>
      <c r="U1981" s="12" t="n"/>
      <c r="V1981" s="12" t="n"/>
    </row>
    <row r="1982">
      <c r="A1982" s="12" t="n"/>
      <c r="B1982" s="12" t="n"/>
      <c r="C1982" s="12" t="n"/>
      <c r="D1982" s="13">
        <f>IF($A1982="","",TRIM($B1982&amp;" "&amp;$C1982))</f>
        <v/>
      </c>
      <c r="E1982" s="12" t="n"/>
      <c r="F1982" s="12" t="n"/>
      <c r="G1982" s="14" t="n"/>
      <c r="H1982" s="14" t="n"/>
      <c r="I1982" s="12" t="n"/>
      <c r="J1982" s="14" t="n"/>
      <c r="K1982" s="12" t="n"/>
      <c r="L1982" s="13">
        <f>IF($K1982="","",IFERROR(INDEX(Dept_Names,MATCH($K1982,Dept_Codes,0)),"NOT FOUND"))</f>
        <v/>
      </c>
      <c r="M1982" s="12" t="n"/>
      <c r="N1982" s="13">
        <f>IF($M1982="","",IFERROR(INDEX(Desig_Names,MATCH($M1982,Desig_Codes,0)),"NOT FOUND"))</f>
        <v/>
      </c>
      <c r="O1982" s="13">
        <f>IF($M1982="","",IFERROR(INDEX(Desig_Levels,MATCH($M1982,Desig_Codes,0)),""))</f>
        <v/>
      </c>
      <c r="P1982" s="12" t="n"/>
      <c r="Q1982" s="12" t="n"/>
      <c r="R1982" s="12" t="n"/>
      <c r="S1982" s="13">
        <f>IF($R1982="","",IFERROR(INDEX(Emp_Names,MATCH($R1982,Emp_Codes,0)),"NOT FOUND"))</f>
        <v/>
      </c>
      <c r="T1982" s="12" t="n"/>
      <c r="U1982" s="12" t="n"/>
      <c r="V1982" s="12" t="n"/>
    </row>
    <row r="1983">
      <c r="A1983" s="12" t="n"/>
      <c r="B1983" s="12" t="n"/>
      <c r="C1983" s="12" t="n"/>
      <c r="D1983" s="13">
        <f>IF($A1983="","",TRIM($B1983&amp;" "&amp;$C1983))</f>
        <v/>
      </c>
      <c r="E1983" s="12" t="n"/>
      <c r="F1983" s="12" t="n"/>
      <c r="G1983" s="14" t="n"/>
      <c r="H1983" s="14" t="n"/>
      <c r="I1983" s="12" t="n"/>
      <c r="J1983" s="14" t="n"/>
      <c r="K1983" s="12" t="n"/>
      <c r="L1983" s="13">
        <f>IF($K1983="","",IFERROR(INDEX(Dept_Names,MATCH($K1983,Dept_Codes,0)),"NOT FOUND"))</f>
        <v/>
      </c>
      <c r="M1983" s="12" t="n"/>
      <c r="N1983" s="13">
        <f>IF($M1983="","",IFERROR(INDEX(Desig_Names,MATCH($M1983,Desig_Codes,0)),"NOT FOUND"))</f>
        <v/>
      </c>
      <c r="O1983" s="13">
        <f>IF($M1983="","",IFERROR(INDEX(Desig_Levels,MATCH($M1983,Desig_Codes,0)),""))</f>
        <v/>
      </c>
      <c r="P1983" s="12" t="n"/>
      <c r="Q1983" s="12" t="n"/>
      <c r="R1983" s="12" t="n"/>
      <c r="S1983" s="13">
        <f>IF($R1983="","",IFERROR(INDEX(Emp_Names,MATCH($R1983,Emp_Codes,0)),"NOT FOUND"))</f>
        <v/>
      </c>
      <c r="T1983" s="12" t="n"/>
      <c r="U1983" s="12" t="n"/>
      <c r="V1983" s="12" t="n"/>
    </row>
    <row r="1984">
      <c r="A1984" s="12" t="n"/>
      <c r="B1984" s="12" t="n"/>
      <c r="C1984" s="12" t="n"/>
      <c r="D1984" s="13">
        <f>IF($A1984="","",TRIM($B1984&amp;" "&amp;$C1984))</f>
        <v/>
      </c>
      <c r="E1984" s="12" t="n"/>
      <c r="F1984" s="12" t="n"/>
      <c r="G1984" s="14" t="n"/>
      <c r="H1984" s="14" t="n"/>
      <c r="I1984" s="12" t="n"/>
      <c r="J1984" s="14" t="n"/>
      <c r="K1984" s="12" t="n"/>
      <c r="L1984" s="13">
        <f>IF($K1984="","",IFERROR(INDEX(Dept_Names,MATCH($K1984,Dept_Codes,0)),"NOT FOUND"))</f>
        <v/>
      </c>
      <c r="M1984" s="12" t="n"/>
      <c r="N1984" s="13">
        <f>IF($M1984="","",IFERROR(INDEX(Desig_Names,MATCH($M1984,Desig_Codes,0)),"NOT FOUND"))</f>
        <v/>
      </c>
      <c r="O1984" s="13">
        <f>IF($M1984="","",IFERROR(INDEX(Desig_Levels,MATCH($M1984,Desig_Codes,0)),""))</f>
        <v/>
      </c>
      <c r="P1984" s="12" t="n"/>
      <c r="Q1984" s="12" t="n"/>
      <c r="R1984" s="12" t="n"/>
      <c r="S1984" s="13">
        <f>IF($R1984="","",IFERROR(INDEX(Emp_Names,MATCH($R1984,Emp_Codes,0)),"NOT FOUND"))</f>
        <v/>
      </c>
      <c r="T1984" s="12" t="n"/>
      <c r="U1984" s="12" t="n"/>
      <c r="V1984" s="12" t="n"/>
    </row>
    <row r="1985">
      <c r="A1985" s="12" t="n"/>
      <c r="B1985" s="12" t="n"/>
      <c r="C1985" s="12" t="n"/>
      <c r="D1985" s="13">
        <f>IF($A1985="","",TRIM($B1985&amp;" "&amp;$C1985))</f>
        <v/>
      </c>
      <c r="E1985" s="12" t="n"/>
      <c r="F1985" s="12" t="n"/>
      <c r="G1985" s="14" t="n"/>
      <c r="H1985" s="14" t="n"/>
      <c r="I1985" s="12" t="n"/>
      <c r="J1985" s="14" t="n"/>
      <c r="K1985" s="12" t="n"/>
      <c r="L1985" s="13">
        <f>IF($K1985="","",IFERROR(INDEX(Dept_Names,MATCH($K1985,Dept_Codes,0)),"NOT FOUND"))</f>
        <v/>
      </c>
      <c r="M1985" s="12" t="n"/>
      <c r="N1985" s="13">
        <f>IF($M1985="","",IFERROR(INDEX(Desig_Names,MATCH($M1985,Desig_Codes,0)),"NOT FOUND"))</f>
        <v/>
      </c>
      <c r="O1985" s="13">
        <f>IF($M1985="","",IFERROR(INDEX(Desig_Levels,MATCH($M1985,Desig_Codes,0)),""))</f>
        <v/>
      </c>
      <c r="P1985" s="12" t="n"/>
      <c r="Q1985" s="12" t="n"/>
      <c r="R1985" s="12" t="n"/>
      <c r="S1985" s="13">
        <f>IF($R1985="","",IFERROR(INDEX(Emp_Names,MATCH($R1985,Emp_Codes,0)),"NOT FOUND"))</f>
        <v/>
      </c>
      <c r="T1985" s="12" t="n"/>
      <c r="U1985" s="12" t="n"/>
      <c r="V1985" s="12" t="n"/>
    </row>
    <row r="1986">
      <c r="A1986" s="12" t="n"/>
      <c r="B1986" s="12" t="n"/>
      <c r="C1986" s="12" t="n"/>
      <c r="D1986" s="13">
        <f>IF($A1986="","",TRIM($B1986&amp;" "&amp;$C1986))</f>
        <v/>
      </c>
      <c r="E1986" s="12" t="n"/>
      <c r="F1986" s="12" t="n"/>
      <c r="G1986" s="14" t="n"/>
      <c r="H1986" s="14" t="n"/>
      <c r="I1986" s="12" t="n"/>
      <c r="J1986" s="14" t="n"/>
      <c r="K1986" s="12" t="n"/>
      <c r="L1986" s="13">
        <f>IF($K1986="","",IFERROR(INDEX(Dept_Names,MATCH($K1986,Dept_Codes,0)),"NOT FOUND"))</f>
        <v/>
      </c>
      <c r="M1986" s="12" t="n"/>
      <c r="N1986" s="13">
        <f>IF($M1986="","",IFERROR(INDEX(Desig_Names,MATCH($M1986,Desig_Codes,0)),"NOT FOUND"))</f>
        <v/>
      </c>
      <c r="O1986" s="13">
        <f>IF($M1986="","",IFERROR(INDEX(Desig_Levels,MATCH($M1986,Desig_Codes,0)),""))</f>
        <v/>
      </c>
      <c r="P1986" s="12" t="n"/>
      <c r="Q1986" s="12" t="n"/>
      <c r="R1986" s="12" t="n"/>
      <c r="S1986" s="13">
        <f>IF($R1986="","",IFERROR(INDEX(Emp_Names,MATCH($R1986,Emp_Codes,0)),"NOT FOUND"))</f>
        <v/>
      </c>
      <c r="T1986" s="12" t="n"/>
      <c r="U1986" s="12" t="n"/>
      <c r="V1986" s="12" t="n"/>
    </row>
    <row r="1987">
      <c r="A1987" s="12" t="n"/>
      <c r="B1987" s="12" t="n"/>
      <c r="C1987" s="12" t="n"/>
      <c r="D1987" s="13">
        <f>IF($A1987="","",TRIM($B1987&amp;" "&amp;$C1987))</f>
        <v/>
      </c>
      <c r="E1987" s="12" t="n"/>
      <c r="F1987" s="12" t="n"/>
      <c r="G1987" s="14" t="n"/>
      <c r="H1987" s="14" t="n"/>
      <c r="I1987" s="12" t="n"/>
      <c r="J1987" s="14" t="n"/>
      <c r="K1987" s="12" t="n"/>
      <c r="L1987" s="13">
        <f>IF($K1987="","",IFERROR(INDEX(Dept_Names,MATCH($K1987,Dept_Codes,0)),"NOT FOUND"))</f>
        <v/>
      </c>
      <c r="M1987" s="12" t="n"/>
      <c r="N1987" s="13">
        <f>IF($M1987="","",IFERROR(INDEX(Desig_Names,MATCH($M1987,Desig_Codes,0)),"NOT FOUND"))</f>
        <v/>
      </c>
      <c r="O1987" s="13">
        <f>IF($M1987="","",IFERROR(INDEX(Desig_Levels,MATCH($M1987,Desig_Codes,0)),""))</f>
        <v/>
      </c>
      <c r="P1987" s="12" t="n"/>
      <c r="Q1987" s="12" t="n"/>
      <c r="R1987" s="12" t="n"/>
      <c r="S1987" s="13">
        <f>IF($R1987="","",IFERROR(INDEX(Emp_Names,MATCH($R1987,Emp_Codes,0)),"NOT FOUND"))</f>
        <v/>
      </c>
      <c r="T1987" s="12" t="n"/>
      <c r="U1987" s="12" t="n"/>
      <c r="V1987" s="12" t="n"/>
    </row>
    <row r="1988">
      <c r="A1988" s="12" t="n"/>
      <c r="B1988" s="12" t="n"/>
      <c r="C1988" s="12" t="n"/>
      <c r="D1988" s="13">
        <f>IF($A1988="","",TRIM($B1988&amp;" "&amp;$C1988))</f>
        <v/>
      </c>
      <c r="E1988" s="12" t="n"/>
      <c r="F1988" s="12" t="n"/>
      <c r="G1988" s="14" t="n"/>
      <c r="H1988" s="14" t="n"/>
      <c r="I1988" s="12" t="n"/>
      <c r="J1988" s="14" t="n"/>
      <c r="K1988" s="12" t="n"/>
      <c r="L1988" s="13">
        <f>IF($K1988="","",IFERROR(INDEX(Dept_Names,MATCH($K1988,Dept_Codes,0)),"NOT FOUND"))</f>
        <v/>
      </c>
      <c r="M1988" s="12" t="n"/>
      <c r="N1988" s="13">
        <f>IF($M1988="","",IFERROR(INDEX(Desig_Names,MATCH($M1988,Desig_Codes,0)),"NOT FOUND"))</f>
        <v/>
      </c>
      <c r="O1988" s="13">
        <f>IF($M1988="","",IFERROR(INDEX(Desig_Levels,MATCH($M1988,Desig_Codes,0)),""))</f>
        <v/>
      </c>
      <c r="P1988" s="12" t="n"/>
      <c r="Q1988" s="12" t="n"/>
      <c r="R1988" s="12" t="n"/>
      <c r="S1988" s="13">
        <f>IF($R1988="","",IFERROR(INDEX(Emp_Names,MATCH($R1988,Emp_Codes,0)),"NOT FOUND"))</f>
        <v/>
      </c>
      <c r="T1988" s="12" t="n"/>
      <c r="U1988" s="12" t="n"/>
      <c r="V1988" s="12" t="n"/>
    </row>
    <row r="1989">
      <c r="A1989" s="12" t="n"/>
      <c r="B1989" s="12" t="n"/>
      <c r="C1989" s="12" t="n"/>
      <c r="D1989" s="13">
        <f>IF($A1989="","",TRIM($B1989&amp;" "&amp;$C1989))</f>
        <v/>
      </c>
      <c r="E1989" s="12" t="n"/>
      <c r="F1989" s="12" t="n"/>
      <c r="G1989" s="14" t="n"/>
      <c r="H1989" s="14" t="n"/>
      <c r="I1989" s="12" t="n"/>
      <c r="J1989" s="14" t="n"/>
      <c r="K1989" s="12" t="n"/>
      <c r="L1989" s="13">
        <f>IF($K1989="","",IFERROR(INDEX(Dept_Names,MATCH($K1989,Dept_Codes,0)),"NOT FOUND"))</f>
        <v/>
      </c>
      <c r="M1989" s="12" t="n"/>
      <c r="N1989" s="13">
        <f>IF($M1989="","",IFERROR(INDEX(Desig_Names,MATCH($M1989,Desig_Codes,0)),"NOT FOUND"))</f>
        <v/>
      </c>
      <c r="O1989" s="13">
        <f>IF($M1989="","",IFERROR(INDEX(Desig_Levels,MATCH($M1989,Desig_Codes,0)),""))</f>
        <v/>
      </c>
      <c r="P1989" s="12" t="n"/>
      <c r="Q1989" s="12" t="n"/>
      <c r="R1989" s="12" t="n"/>
      <c r="S1989" s="13">
        <f>IF($R1989="","",IFERROR(INDEX(Emp_Names,MATCH($R1989,Emp_Codes,0)),"NOT FOUND"))</f>
        <v/>
      </c>
      <c r="T1989" s="12" t="n"/>
      <c r="U1989" s="12" t="n"/>
      <c r="V1989" s="12" t="n"/>
    </row>
    <row r="1990">
      <c r="A1990" s="12" t="n"/>
      <c r="B1990" s="12" t="n"/>
      <c r="C1990" s="12" t="n"/>
      <c r="D1990" s="13">
        <f>IF($A1990="","",TRIM($B1990&amp;" "&amp;$C1990))</f>
        <v/>
      </c>
      <c r="E1990" s="12" t="n"/>
      <c r="F1990" s="12" t="n"/>
      <c r="G1990" s="14" t="n"/>
      <c r="H1990" s="14" t="n"/>
      <c r="I1990" s="12" t="n"/>
      <c r="J1990" s="14" t="n"/>
      <c r="K1990" s="12" t="n"/>
      <c r="L1990" s="13">
        <f>IF($K1990="","",IFERROR(INDEX(Dept_Names,MATCH($K1990,Dept_Codes,0)),"NOT FOUND"))</f>
        <v/>
      </c>
      <c r="M1990" s="12" t="n"/>
      <c r="N1990" s="13">
        <f>IF($M1990="","",IFERROR(INDEX(Desig_Names,MATCH($M1990,Desig_Codes,0)),"NOT FOUND"))</f>
        <v/>
      </c>
      <c r="O1990" s="13">
        <f>IF($M1990="","",IFERROR(INDEX(Desig_Levels,MATCH($M1990,Desig_Codes,0)),""))</f>
        <v/>
      </c>
      <c r="P1990" s="12" t="n"/>
      <c r="Q1990" s="12" t="n"/>
      <c r="R1990" s="12" t="n"/>
      <c r="S1990" s="13">
        <f>IF($R1990="","",IFERROR(INDEX(Emp_Names,MATCH($R1990,Emp_Codes,0)),"NOT FOUND"))</f>
        <v/>
      </c>
      <c r="T1990" s="12" t="n"/>
      <c r="U1990" s="12" t="n"/>
      <c r="V1990" s="12" t="n"/>
    </row>
    <row r="1991">
      <c r="A1991" s="12" t="n"/>
      <c r="B1991" s="12" t="n"/>
      <c r="C1991" s="12" t="n"/>
      <c r="D1991" s="13">
        <f>IF($A1991="","",TRIM($B1991&amp;" "&amp;$C1991))</f>
        <v/>
      </c>
      <c r="E1991" s="12" t="n"/>
      <c r="F1991" s="12" t="n"/>
      <c r="G1991" s="14" t="n"/>
      <c r="H1991" s="14" t="n"/>
      <c r="I1991" s="12" t="n"/>
      <c r="J1991" s="14" t="n"/>
      <c r="K1991" s="12" t="n"/>
      <c r="L1991" s="13">
        <f>IF($K1991="","",IFERROR(INDEX(Dept_Names,MATCH($K1991,Dept_Codes,0)),"NOT FOUND"))</f>
        <v/>
      </c>
      <c r="M1991" s="12" t="n"/>
      <c r="N1991" s="13">
        <f>IF($M1991="","",IFERROR(INDEX(Desig_Names,MATCH($M1991,Desig_Codes,0)),"NOT FOUND"))</f>
        <v/>
      </c>
      <c r="O1991" s="13">
        <f>IF($M1991="","",IFERROR(INDEX(Desig_Levels,MATCH($M1991,Desig_Codes,0)),""))</f>
        <v/>
      </c>
      <c r="P1991" s="12" t="n"/>
      <c r="Q1991" s="12" t="n"/>
      <c r="R1991" s="12" t="n"/>
      <c r="S1991" s="13">
        <f>IF($R1991="","",IFERROR(INDEX(Emp_Names,MATCH($R1991,Emp_Codes,0)),"NOT FOUND"))</f>
        <v/>
      </c>
      <c r="T1991" s="12" t="n"/>
      <c r="U1991" s="12" t="n"/>
      <c r="V1991" s="12" t="n"/>
    </row>
    <row r="1992">
      <c r="A1992" s="12" t="n"/>
      <c r="B1992" s="12" t="n"/>
      <c r="C1992" s="12" t="n"/>
      <c r="D1992" s="13">
        <f>IF($A1992="","",TRIM($B1992&amp;" "&amp;$C1992))</f>
        <v/>
      </c>
      <c r="E1992" s="12" t="n"/>
      <c r="F1992" s="12" t="n"/>
      <c r="G1992" s="14" t="n"/>
      <c r="H1992" s="14" t="n"/>
      <c r="I1992" s="12" t="n"/>
      <c r="J1992" s="14" t="n"/>
      <c r="K1992" s="12" t="n"/>
      <c r="L1992" s="13">
        <f>IF($K1992="","",IFERROR(INDEX(Dept_Names,MATCH($K1992,Dept_Codes,0)),"NOT FOUND"))</f>
        <v/>
      </c>
      <c r="M1992" s="12" t="n"/>
      <c r="N1992" s="13">
        <f>IF($M1992="","",IFERROR(INDEX(Desig_Names,MATCH($M1992,Desig_Codes,0)),"NOT FOUND"))</f>
        <v/>
      </c>
      <c r="O1992" s="13">
        <f>IF($M1992="","",IFERROR(INDEX(Desig_Levels,MATCH($M1992,Desig_Codes,0)),""))</f>
        <v/>
      </c>
      <c r="P1992" s="12" t="n"/>
      <c r="Q1992" s="12" t="n"/>
      <c r="R1992" s="12" t="n"/>
      <c r="S1992" s="13">
        <f>IF($R1992="","",IFERROR(INDEX(Emp_Names,MATCH($R1992,Emp_Codes,0)),"NOT FOUND"))</f>
        <v/>
      </c>
      <c r="T1992" s="12" t="n"/>
      <c r="U1992" s="12" t="n"/>
      <c r="V1992" s="12" t="n"/>
    </row>
    <row r="1993">
      <c r="A1993" s="12" t="n"/>
      <c r="B1993" s="12" t="n"/>
      <c r="C1993" s="12" t="n"/>
      <c r="D1993" s="13">
        <f>IF($A1993="","",TRIM($B1993&amp;" "&amp;$C1993))</f>
        <v/>
      </c>
      <c r="E1993" s="12" t="n"/>
      <c r="F1993" s="12" t="n"/>
      <c r="G1993" s="14" t="n"/>
      <c r="H1993" s="14" t="n"/>
      <c r="I1993" s="12" t="n"/>
      <c r="J1993" s="14" t="n"/>
      <c r="K1993" s="12" t="n"/>
      <c r="L1993" s="13">
        <f>IF($K1993="","",IFERROR(INDEX(Dept_Names,MATCH($K1993,Dept_Codes,0)),"NOT FOUND"))</f>
        <v/>
      </c>
      <c r="M1993" s="12" t="n"/>
      <c r="N1993" s="13">
        <f>IF($M1993="","",IFERROR(INDEX(Desig_Names,MATCH($M1993,Desig_Codes,0)),"NOT FOUND"))</f>
        <v/>
      </c>
      <c r="O1993" s="13">
        <f>IF($M1993="","",IFERROR(INDEX(Desig_Levels,MATCH($M1993,Desig_Codes,0)),""))</f>
        <v/>
      </c>
      <c r="P1993" s="12" t="n"/>
      <c r="Q1993" s="12" t="n"/>
      <c r="R1993" s="12" t="n"/>
      <c r="S1993" s="13">
        <f>IF($R1993="","",IFERROR(INDEX(Emp_Names,MATCH($R1993,Emp_Codes,0)),"NOT FOUND"))</f>
        <v/>
      </c>
      <c r="T1993" s="12" t="n"/>
      <c r="U1993" s="12" t="n"/>
      <c r="V1993" s="12" t="n"/>
    </row>
    <row r="1994">
      <c r="A1994" s="12" t="n"/>
      <c r="B1994" s="12" t="n"/>
      <c r="C1994" s="12" t="n"/>
      <c r="D1994" s="13">
        <f>IF($A1994="","",TRIM($B1994&amp;" "&amp;$C1994))</f>
        <v/>
      </c>
      <c r="E1994" s="12" t="n"/>
      <c r="F1994" s="12" t="n"/>
      <c r="G1994" s="14" t="n"/>
      <c r="H1994" s="14" t="n"/>
      <c r="I1994" s="12" t="n"/>
      <c r="J1994" s="14" t="n"/>
      <c r="K1994" s="12" t="n"/>
      <c r="L1994" s="13">
        <f>IF($K1994="","",IFERROR(INDEX(Dept_Names,MATCH($K1994,Dept_Codes,0)),"NOT FOUND"))</f>
        <v/>
      </c>
      <c r="M1994" s="12" t="n"/>
      <c r="N1994" s="13">
        <f>IF($M1994="","",IFERROR(INDEX(Desig_Names,MATCH($M1994,Desig_Codes,0)),"NOT FOUND"))</f>
        <v/>
      </c>
      <c r="O1994" s="13">
        <f>IF($M1994="","",IFERROR(INDEX(Desig_Levels,MATCH($M1994,Desig_Codes,0)),""))</f>
        <v/>
      </c>
      <c r="P1994" s="12" t="n"/>
      <c r="Q1994" s="12" t="n"/>
      <c r="R1994" s="12" t="n"/>
      <c r="S1994" s="13">
        <f>IF($R1994="","",IFERROR(INDEX(Emp_Names,MATCH($R1994,Emp_Codes,0)),"NOT FOUND"))</f>
        <v/>
      </c>
      <c r="T1994" s="12" t="n"/>
      <c r="U1994" s="12" t="n"/>
      <c r="V1994" s="12" t="n"/>
    </row>
    <row r="1995">
      <c r="A1995" s="12" t="n"/>
      <c r="B1995" s="12" t="n"/>
      <c r="C1995" s="12" t="n"/>
      <c r="D1995" s="13">
        <f>IF($A1995="","",TRIM($B1995&amp;" "&amp;$C1995))</f>
        <v/>
      </c>
      <c r="E1995" s="12" t="n"/>
      <c r="F1995" s="12" t="n"/>
      <c r="G1995" s="14" t="n"/>
      <c r="H1995" s="14" t="n"/>
      <c r="I1995" s="12" t="n"/>
      <c r="J1995" s="14" t="n"/>
      <c r="K1995" s="12" t="n"/>
      <c r="L1995" s="13">
        <f>IF($K1995="","",IFERROR(INDEX(Dept_Names,MATCH($K1995,Dept_Codes,0)),"NOT FOUND"))</f>
        <v/>
      </c>
      <c r="M1995" s="12" t="n"/>
      <c r="N1995" s="13">
        <f>IF($M1995="","",IFERROR(INDEX(Desig_Names,MATCH($M1995,Desig_Codes,0)),"NOT FOUND"))</f>
        <v/>
      </c>
      <c r="O1995" s="13">
        <f>IF($M1995="","",IFERROR(INDEX(Desig_Levels,MATCH($M1995,Desig_Codes,0)),""))</f>
        <v/>
      </c>
      <c r="P1995" s="12" t="n"/>
      <c r="Q1995" s="12" t="n"/>
      <c r="R1995" s="12" t="n"/>
      <c r="S1995" s="13">
        <f>IF($R1995="","",IFERROR(INDEX(Emp_Names,MATCH($R1995,Emp_Codes,0)),"NOT FOUND"))</f>
        <v/>
      </c>
      <c r="T1995" s="12" t="n"/>
      <c r="U1995" s="12" t="n"/>
      <c r="V1995" s="12" t="n"/>
    </row>
    <row r="1996">
      <c r="A1996" s="12" t="n"/>
      <c r="B1996" s="12" t="n"/>
      <c r="C1996" s="12" t="n"/>
      <c r="D1996" s="13">
        <f>IF($A1996="","",TRIM($B1996&amp;" "&amp;$C1996))</f>
        <v/>
      </c>
      <c r="E1996" s="12" t="n"/>
      <c r="F1996" s="12" t="n"/>
      <c r="G1996" s="14" t="n"/>
      <c r="H1996" s="14" t="n"/>
      <c r="I1996" s="12" t="n"/>
      <c r="J1996" s="14" t="n"/>
      <c r="K1996" s="12" t="n"/>
      <c r="L1996" s="13">
        <f>IF($K1996="","",IFERROR(INDEX(Dept_Names,MATCH($K1996,Dept_Codes,0)),"NOT FOUND"))</f>
        <v/>
      </c>
      <c r="M1996" s="12" t="n"/>
      <c r="N1996" s="13">
        <f>IF($M1996="","",IFERROR(INDEX(Desig_Names,MATCH($M1996,Desig_Codes,0)),"NOT FOUND"))</f>
        <v/>
      </c>
      <c r="O1996" s="13">
        <f>IF($M1996="","",IFERROR(INDEX(Desig_Levels,MATCH($M1996,Desig_Codes,0)),""))</f>
        <v/>
      </c>
      <c r="P1996" s="12" t="n"/>
      <c r="Q1996" s="12" t="n"/>
      <c r="R1996" s="12" t="n"/>
      <c r="S1996" s="13">
        <f>IF($R1996="","",IFERROR(INDEX(Emp_Names,MATCH($R1996,Emp_Codes,0)),"NOT FOUND"))</f>
        <v/>
      </c>
      <c r="T1996" s="12" t="n"/>
      <c r="U1996" s="12" t="n"/>
      <c r="V1996" s="12" t="n"/>
    </row>
    <row r="1997">
      <c r="A1997" s="12" t="n"/>
      <c r="B1997" s="12" t="n"/>
      <c r="C1997" s="12" t="n"/>
      <c r="D1997" s="13">
        <f>IF($A1997="","",TRIM($B1997&amp;" "&amp;$C1997))</f>
        <v/>
      </c>
      <c r="E1997" s="12" t="n"/>
      <c r="F1997" s="12" t="n"/>
      <c r="G1997" s="14" t="n"/>
      <c r="H1997" s="14" t="n"/>
      <c r="I1997" s="12" t="n"/>
      <c r="J1997" s="14" t="n"/>
      <c r="K1997" s="12" t="n"/>
      <c r="L1997" s="13">
        <f>IF($K1997="","",IFERROR(INDEX(Dept_Names,MATCH($K1997,Dept_Codes,0)),"NOT FOUND"))</f>
        <v/>
      </c>
      <c r="M1997" s="12" t="n"/>
      <c r="N1997" s="13">
        <f>IF($M1997="","",IFERROR(INDEX(Desig_Names,MATCH($M1997,Desig_Codes,0)),"NOT FOUND"))</f>
        <v/>
      </c>
      <c r="O1997" s="13">
        <f>IF($M1997="","",IFERROR(INDEX(Desig_Levels,MATCH($M1997,Desig_Codes,0)),""))</f>
        <v/>
      </c>
      <c r="P1997" s="12" t="n"/>
      <c r="Q1997" s="12" t="n"/>
      <c r="R1997" s="12" t="n"/>
      <c r="S1997" s="13">
        <f>IF($R1997="","",IFERROR(INDEX(Emp_Names,MATCH($R1997,Emp_Codes,0)),"NOT FOUND"))</f>
        <v/>
      </c>
      <c r="T1997" s="12" t="n"/>
      <c r="U1997" s="12" t="n"/>
      <c r="V1997" s="12" t="n"/>
    </row>
    <row r="1998">
      <c r="A1998" s="12" t="n"/>
      <c r="B1998" s="12" t="n"/>
      <c r="C1998" s="12" t="n"/>
      <c r="D1998" s="13">
        <f>IF($A1998="","",TRIM($B1998&amp;" "&amp;$C1998))</f>
        <v/>
      </c>
      <c r="E1998" s="12" t="n"/>
      <c r="F1998" s="12" t="n"/>
      <c r="G1998" s="14" t="n"/>
      <c r="H1998" s="14" t="n"/>
      <c r="I1998" s="12" t="n"/>
      <c r="J1998" s="14" t="n"/>
      <c r="K1998" s="12" t="n"/>
      <c r="L1998" s="13">
        <f>IF($K1998="","",IFERROR(INDEX(Dept_Names,MATCH($K1998,Dept_Codes,0)),"NOT FOUND"))</f>
        <v/>
      </c>
      <c r="M1998" s="12" t="n"/>
      <c r="N1998" s="13">
        <f>IF($M1998="","",IFERROR(INDEX(Desig_Names,MATCH($M1998,Desig_Codes,0)),"NOT FOUND"))</f>
        <v/>
      </c>
      <c r="O1998" s="13">
        <f>IF($M1998="","",IFERROR(INDEX(Desig_Levels,MATCH($M1998,Desig_Codes,0)),""))</f>
        <v/>
      </c>
      <c r="P1998" s="12" t="n"/>
      <c r="Q1998" s="12" t="n"/>
      <c r="R1998" s="12" t="n"/>
      <c r="S1998" s="13">
        <f>IF($R1998="","",IFERROR(INDEX(Emp_Names,MATCH($R1998,Emp_Codes,0)),"NOT FOUND"))</f>
        <v/>
      </c>
      <c r="T1998" s="12" t="n"/>
      <c r="U1998" s="12" t="n"/>
      <c r="V1998" s="12" t="n"/>
    </row>
    <row r="1999">
      <c r="A1999" s="12" t="n"/>
      <c r="B1999" s="12" t="n"/>
      <c r="C1999" s="12" t="n"/>
      <c r="D1999" s="13">
        <f>IF($A1999="","",TRIM($B1999&amp;" "&amp;$C1999))</f>
        <v/>
      </c>
      <c r="E1999" s="12" t="n"/>
      <c r="F1999" s="12" t="n"/>
      <c r="G1999" s="14" t="n"/>
      <c r="H1999" s="14" t="n"/>
      <c r="I1999" s="12" t="n"/>
      <c r="J1999" s="14" t="n"/>
      <c r="K1999" s="12" t="n"/>
      <c r="L1999" s="13">
        <f>IF($K1999="","",IFERROR(INDEX(Dept_Names,MATCH($K1999,Dept_Codes,0)),"NOT FOUND"))</f>
        <v/>
      </c>
      <c r="M1999" s="12" t="n"/>
      <c r="N1999" s="13">
        <f>IF($M1999="","",IFERROR(INDEX(Desig_Names,MATCH($M1999,Desig_Codes,0)),"NOT FOUND"))</f>
        <v/>
      </c>
      <c r="O1999" s="13">
        <f>IF($M1999="","",IFERROR(INDEX(Desig_Levels,MATCH($M1999,Desig_Codes,0)),""))</f>
        <v/>
      </c>
      <c r="P1999" s="12" t="n"/>
      <c r="Q1999" s="12" t="n"/>
      <c r="R1999" s="12" t="n"/>
      <c r="S1999" s="13">
        <f>IF($R1999="","",IFERROR(INDEX(Emp_Names,MATCH($R1999,Emp_Codes,0)),"NOT FOUND"))</f>
        <v/>
      </c>
      <c r="T1999" s="12" t="n"/>
      <c r="U1999" s="12" t="n"/>
      <c r="V1999" s="12" t="n"/>
    </row>
    <row r="2000">
      <c r="A2000" s="12" t="n"/>
      <c r="B2000" s="12" t="n"/>
      <c r="C2000" s="12" t="n"/>
      <c r="D2000" s="13">
        <f>IF($A2000="","",TRIM($B2000&amp;" "&amp;$C2000))</f>
        <v/>
      </c>
      <c r="E2000" s="12" t="n"/>
      <c r="F2000" s="12" t="n"/>
      <c r="G2000" s="14" t="n"/>
      <c r="H2000" s="14" t="n"/>
      <c r="I2000" s="12" t="n"/>
      <c r="J2000" s="14" t="n"/>
      <c r="K2000" s="12" t="n"/>
      <c r="L2000" s="13">
        <f>IF($K2000="","",IFERROR(INDEX(Dept_Names,MATCH($K2000,Dept_Codes,0)),"NOT FOUND"))</f>
        <v/>
      </c>
      <c r="M2000" s="12" t="n"/>
      <c r="N2000" s="13">
        <f>IF($M2000="","",IFERROR(INDEX(Desig_Names,MATCH($M2000,Desig_Codes,0)),"NOT FOUND"))</f>
        <v/>
      </c>
      <c r="O2000" s="13">
        <f>IF($M2000="","",IFERROR(INDEX(Desig_Levels,MATCH($M2000,Desig_Codes,0)),""))</f>
        <v/>
      </c>
      <c r="P2000" s="12" t="n"/>
      <c r="Q2000" s="12" t="n"/>
      <c r="R2000" s="12" t="n"/>
      <c r="S2000" s="13">
        <f>IF($R2000="","",IFERROR(INDEX(Emp_Names,MATCH($R2000,Emp_Codes,0)),"NOT FOUND"))</f>
        <v/>
      </c>
      <c r="T2000" s="12" t="n"/>
      <c r="U2000" s="12" t="n"/>
      <c r="V2000" s="12" t="n"/>
    </row>
    <row r="2001">
      <c r="A2001" s="12" t="n"/>
      <c r="B2001" s="12" t="n"/>
      <c r="C2001" s="12" t="n"/>
      <c r="D2001" s="13">
        <f>IF($A2001="","",TRIM($B2001&amp;" "&amp;$C2001))</f>
        <v/>
      </c>
      <c r="E2001" s="12" t="n"/>
      <c r="F2001" s="12" t="n"/>
      <c r="G2001" s="14" t="n"/>
      <c r="H2001" s="14" t="n"/>
      <c r="I2001" s="12" t="n"/>
      <c r="J2001" s="14" t="n"/>
      <c r="K2001" s="12" t="n"/>
      <c r="L2001" s="13">
        <f>IF($K2001="","",IFERROR(INDEX(Dept_Names,MATCH($K2001,Dept_Codes,0)),"NOT FOUND"))</f>
        <v/>
      </c>
      <c r="M2001" s="12" t="n"/>
      <c r="N2001" s="13">
        <f>IF($M2001="","",IFERROR(INDEX(Desig_Names,MATCH($M2001,Desig_Codes,0)),"NOT FOUND"))</f>
        <v/>
      </c>
      <c r="O2001" s="13">
        <f>IF($M2001="","",IFERROR(INDEX(Desig_Levels,MATCH($M2001,Desig_Codes,0)),""))</f>
        <v/>
      </c>
      <c r="P2001" s="12" t="n"/>
      <c r="Q2001" s="12" t="n"/>
      <c r="R2001" s="12" t="n"/>
      <c r="S2001" s="13">
        <f>IF($R2001="","",IFERROR(INDEX(Emp_Names,MATCH($R2001,Emp_Codes,0)),"NOT FOUND"))</f>
        <v/>
      </c>
      <c r="T2001" s="12" t="n"/>
      <c r="U2001" s="12" t="n"/>
      <c r="V2001" s="12" t="n"/>
    </row>
  </sheetData>
  <autoFilter ref="A1:V2001"/>
  <conditionalFormatting sqref="A2:A2001">
    <cfRule type="expression" priority="1" dxfId="0" stopIfTrue="0">
      <formula>AND($A2&lt;&gt;"",COUNTIF($A$2:$A$2001,$A2)&gt;1)</formula>
    </cfRule>
  </conditionalFormatting>
  <conditionalFormatting sqref="E2:E2001">
    <cfRule type="expression" priority="2" dxfId="0" stopIfTrue="0">
      <formula>AND($E2&lt;&gt;"",COUNTIF($E$2:$E$2001,$E2)&gt;1)</formula>
    </cfRule>
  </conditionalFormatting>
  <conditionalFormatting sqref="R2:R2001">
    <cfRule type="expression" priority="3" dxfId="0" stopIfTrue="0">
      <formula>AND($R2&lt;&gt;"",OR($R2=$A2,COUNTIF($A$2:$A$2001,$R2)=0,IFERROR(INDEX($R$2:$R$2001,MATCH($R2,$A$2:$A$2001,0)),"")=$A2))</formula>
    </cfRule>
  </conditionalFormatting>
  <conditionalFormatting sqref="J2:J2001">
    <cfRule type="expression" priority="4" dxfId="0" stopIfTrue="0">
      <formula>AND($J2&lt;&gt;"",$A2&lt;&gt;"",ISNA(MATCH($I2,{"RESIGNED","TERMINATED","RETIRED","INACTIVE"},0)))</formula>
    </cfRule>
  </conditionalFormatting>
  <conditionalFormatting sqref="I2:I2001">
    <cfRule type="expression" priority="5" dxfId="0" stopIfTrue="0">
      <formula>AND($A2&lt;&gt;"",$J2="",NOT(ISNA(MATCH($I2,{"RESIGNED","TERMINATED","RETIRED","INACTIVE"},0))))</formula>
    </cfRule>
  </conditionalFormatting>
  <conditionalFormatting sqref="U2:U2001">
    <cfRule type="expression" priority="6" dxfId="0" stopIfTrue="0">
      <formula>AND($U2&lt;&gt;"",COUNTIF($U$2:$U$2001,$U2)&gt;1)</formula>
    </cfRule>
  </conditionalFormatting>
  <dataValidations count="11">
    <dataValidation sqref="A2:A2001" showDropDown="0" showInputMessage="0" showErrorMessage="1" allowBlank="1" errorTitle="Duplicate employee code" error="This code is already used further up the sheet. Two people cannot share a code." type="custom">
      <formula1>COUNTIF($A$2:$A$2001,A2)&lt;=1</formula1>
    </dataValidation>
    <dataValidation sqref="E2:E2001" showDropDown="0" showInputMessage="0" showErrorMessage="1" allowBlank="1" errorTitle="Email address" error="That does not look like an email address. Leave it blank if they do not have one." type="custom">
      <formula1>ISNUMBER(SEARCH("@",E2))</formula1>
    </dataValidation>
    <dataValidation sqref="G2:G2001" showDropDown="0" showInputMessage="1" showErrorMessage="1" allowBlank="1" errorTitle="Date of birth" error="A real date, typed like 01-Apr-1990." promptTitle="Date" prompt="A real date, typed like 01-Apr-1990." type="date" operator="between">
      <formula1>DATE(1940,1,1)</formula1>
      <formula2>DATE(2040,12,31)</formula2>
    </dataValidation>
    <dataValidation sqref="H2:H2001" showDropDown="0" showInputMessage="1" showErrorMessage="1" allowBlank="1" errorTitle="Joining date" error="A real date, typed like 01-Apr-2020." promptTitle="Date" prompt="A real date, typed like 01-Apr-2020." type="date" operator="between">
      <formula1>DATE(1940,1,1)</formula1>
      <formula2>DATE(2040,12,31)</formula2>
    </dataValidation>
    <dataValidation sqref="I2:I2001" showDropDown="0" showInputMessage="1" showErrorMessage="1" allowBlank="0" errorTitle="Employment status" error="Pick one from the list. 'Allowed values' explains each." promptTitle="Employment status" prompt="Pick one from the list. 'Allowed values' explains each." type="list">
      <formula1>List_EmploymentStatus</formula1>
    </dataValidation>
    <dataValidation sqref="J2:J2001" showDropDown="0" showInputMessage="1" showErrorMessage="1" allowBlank="1" errorTitle="Last working day" error="A real date, typed like 31-Mar-2026. Blank for anybody still employed." promptTitle="Date" prompt="A real date, typed like 31-Mar-2026. Blank for anybody still employed." type="date" operator="between">
      <formula1>DATE(1940,1,1)</formula1>
      <formula2>DATE(2040,12,31)</formula2>
    </dataValidation>
    <dataValidation sqref="K2:K2001" showDropDown="0" showInputMessage="1" showErrorMessage="1" allowBlank="0" errorTitle="Department" error="Pick a code from sheet '1. Departments'. Add the department there first if it is missing." promptTitle="Department" prompt="Pick a code from sheet '1. Departments'. Add the department there first if it is missing." type="list">
      <formula1>Dept_Codes</formula1>
    </dataValidation>
    <dataValidation sqref="M2:M2001" showDropDown="0" showInputMessage="1" showErrorMessage="1" allowBlank="0" errorTitle="Designation" error="Pick a code from sheet '2. Designations'. Add the rung there first if it is missing." promptTitle="Designation" prompt="Pick a code from sheet '2. Designations'. Add the rung there first if it is missing." type="list">
      <formula1>Desig_Codes</formula1>
    </dataValidation>
    <dataValidation sqref="R2:R2001" showDropDown="0" showInputMessage="1" showErrorMessage="1" allowBlank="1" errorTitle="Reports to" error="Pick an Employee Code from this sheet, or leave blank for the top of the company." promptTitle="Reports to" prompt="Pick an Employee Code from this sheet, or leave blank for the top of the company." type="list">
      <formula1>Emp_Codes</formula1>
    </dataValidation>
    <dataValidation sqref="T2:T2001" showDropDown="0" showInputMessage="1" showErrorMessage="1" allowBlank="1" errorTitle="Is a manager?" error="Yes, No, or leave blank." promptTitle="Is a manager?" prompt="Yes, No, or leave blank." type="list">
      <formula1>List_YesNo</formula1>
    </dataValidation>
    <dataValidation sqref="U2:U2001" showDropDown="0" showInputMessage="0" showErrorMessage="1" allowBlank="1" errorTitle="Login email" error="That does not look like an email address. Leave blank if they have no account." type="custom">
      <formula1>ISNUMBER(SEARCH("@",U2))</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O600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16" customWidth="1" min="3" max="3"/>
    <col width="18" customWidth="1" min="4" max="4"/>
    <col width="20" customWidth="1" min="5" max="5"/>
    <col width="18" customWidth="1" min="6" max="6"/>
    <col width="20" customWidth="1" min="7" max="7"/>
    <col width="20" customWidth="1" min="8" max="8"/>
    <col width="12" customWidth="1" min="9" max="9"/>
    <col width="22" customWidth="1" min="10" max="10"/>
    <col width="34" customWidth="1" min="11" max="11"/>
    <col width="16" customWidth="1" min="12" max="12"/>
    <col width="24" customWidth="1" min="13" max="13"/>
    <col width="20" customWidth="1" min="14" max="14"/>
    <col width="30" customWidth="1" min="15" max="15"/>
  </cols>
  <sheetData>
    <row r="1" ht="40" customHeight="1">
      <c r="A1" s="9" t="inlineStr">
        <is>
          <t>Employee Code *</t>
        </is>
      </c>
      <c r="B1" s="11" t="inlineStr">
        <is>
          <t>Employee Name (auto)</t>
        </is>
      </c>
      <c r="C1" s="9" t="inlineStr">
        <is>
          <t>Effective From *</t>
        </is>
      </c>
      <c r="D1" s="9" t="inlineStr">
        <is>
          <t>Basic — per year *</t>
        </is>
      </c>
      <c r="E1" s="10" t="inlineStr">
        <is>
          <t>Allowances — per year</t>
        </is>
      </c>
      <c r="F1" s="10" t="inlineStr">
        <is>
          <t>Bonuses — per year</t>
        </is>
      </c>
      <c r="G1" s="10" t="inlineStr">
        <is>
          <t>Deductions — per year</t>
        </is>
      </c>
      <c r="H1" s="11" t="inlineStr">
        <is>
          <t>Total — per year (auto)</t>
        </is>
      </c>
      <c r="I1" s="9" t="inlineStr">
        <is>
          <t>Currency *</t>
        </is>
      </c>
      <c r="J1" s="9" t="inlineStr">
        <is>
          <t>Revision Type *</t>
        </is>
      </c>
      <c r="K1" s="10" t="inlineStr">
        <is>
          <t>Reason</t>
        </is>
      </c>
      <c r="L1" s="10" t="inlineStr">
        <is>
          <t>Decision Date</t>
        </is>
      </c>
      <c r="M1" s="10" t="inlineStr">
        <is>
          <t>Approved By</t>
        </is>
      </c>
      <c r="N1" s="9" t="inlineStr">
        <is>
          <t>Was It Actually Paid? *</t>
        </is>
      </c>
      <c r="O1" s="10" t="inlineStr">
        <is>
          <t>Notes</t>
        </is>
      </c>
    </row>
    <row r="2">
      <c r="A2" s="12" t="n"/>
      <c r="B2" s="13">
        <f>IF($A2="","",IFERROR(INDEX(Emp_Names,MATCH($A2,Emp_Codes,0)),"NOT FOUND"))</f>
        <v/>
      </c>
      <c r="C2" s="14" t="n"/>
      <c r="D2" s="15" t="n"/>
      <c r="E2" s="15" t="n"/>
      <c r="F2" s="15" t="n"/>
      <c r="G2" s="15" t="n"/>
      <c r="H2" s="16">
        <f>IF($A2="","",$D2+IF($E2="",0,$E2)+IF($F2="",0,$F2)-IF($G2="",0,$G2))</f>
        <v/>
      </c>
      <c r="I2" s="12" t="n"/>
      <c r="J2" s="12" t="n"/>
      <c r="K2" s="12" t="n"/>
      <c r="L2" s="14" t="n"/>
      <c r="M2" s="12" t="n"/>
      <c r="N2" s="12" t="n"/>
      <c r="O2" s="12" t="n"/>
    </row>
    <row r="3">
      <c r="A3" s="12" t="n"/>
      <c r="B3" s="13">
        <f>IF($A3="","",IFERROR(INDEX(Emp_Names,MATCH($A3,Emp_Codes,0)),"NOT FOUND"))</f>
        <v/>
      </c>
      <c r="C3" s="14" t="n"/>
      <c r="D3" s="15" t="n"/>
      <c r="E3" s="15" t="n"/>
      <c r="F3" s="15" t="n"/>
      <c r="G3" s="15" t="n"/>
      <c r="H3" s="16">
        <f>IF($A3="","",$D3+IF($E3="",0,$E3)+IF($F3="",0,$F3)-IF($G3="",0,$G3))</f>
        <v/>
      </c>
      <c r="I3" s="12" t="n"/>
      <c r="J3" s="12" t="n"/>
      <c r="K3" s="12" t="n"/>
      <c r="L3" s="14" t="n"/>
      <c r="M3" s="12" t="n"/>
      <c r="N3" s="12" t="n"/>
      <c r="O3" s="12" t="n"/>
    </row>
    <row r="4">
      <c r="A4" s="12" t="n"/>
      <c r="B4" s="13">
        <f>IF($A4="","",IFERROR(INDEX(Emp_Names,MATCH($A4,Emp_Codes,0)),"NOT FOUND"))</f>
        <v/>
      </c>
      <c r="C4" s="14" t="n"/>
      <c r="D4" s="15" t="n"/>
      <c r="E4" s="15" t="n"/>
      <c r="F4" s="15" t="n"/>
      <c r="G4" s="15" t="n"/>
      <c r="H4" s="16">
        <f>IF($A4="","",$D4+IF($E4="",0,$E4)+IF($F4="",0,$F4)-IF($G4="",0,$G4))</f>
        <v/>
      </c>
      <c r="I4" s="12" t="n"/>
      <c r="J4" s="12" t="n"/>
      <c r="K4" s="12" t="n"/>
      <c r="L4" s="14" t="n"/>
      <c r="M4" s="12" t="n"/>
      <c r="N4" s="12" t="n"/>
      <c r="O4" s="12" t="n"/>
    </row>
    <row r="5">
      <c r="A5" s="12" t="n"/>
      <c r="B5" s="13">
        <f>IF($A5="","",IFERROR(INDEX(Emp_Names,MATCH($A5,Emp_Codes,0)),"NOT FOUND"))</f>
        <v/>
      </c>
      <c r="C5" s="14" t="n"/>
      <c r="D5" s="15" t="n"/>
      <c r="E5" s="15" t="n"/>
      <c r="F5" s="15" t="n"/>
      <c r="G5" s="15" t="n"/>
      <c r="H5" s="16">
        <f>IF($A5="","",$D5+IF($E5="",0,$E5)+IF($F5="",0,$F5)-IF($G5="",0,$G5))</f>
        <v/>
      </c>
      <c r="I5" s="12" t="n"/>
      <c r="J5" s="12" t="n"/>
      <c r="K5" s="12" t="n"/>
      <c r="L5" s="14" t="n"/>
      <c r="M5" s="12" t="n"/>
      <c r="N5" s="12" t="n"/>
      <c r="O5" s="12" t="n"/>
    </row>
    <row r="6">
      <c r="A6" s="12" t="n"/>
      <c r="B6" s="13">
        <f>IF($A6="","",IFERROR(INDEX(Emp_Names,MATCH($A6,Emp_Codes,0)),"NOT FOUND"))</f>
        <v/>
      </c>
      <c r="C6" s="14" t="n"/>
      <c r="D6" s="15" t="n"/>
      <c r="E6" s="15" t="n"/>
      <c r="F6" s="15" t="n"/>
      <c r="G6" s="15" t="n"/>
      <c r="H6" s="16">
        <f>IF($A6="","",$D6+IF($E6="",0,$E6)+IF($F6="",0,$F6)-IF($G6="",0,$G6))</f>
        <v/>
      </c>
      <c r="I6" s="12" t="n"/>
      <c r="J6" s="12" t="n"/>
      <c r="K6" s="12" t="n"/>
      <c r="L6" s="14" t="n"/>
      <c r="M6" s="12" t="n"/>
      <c r="N6" s="12" t="n"/>
      <c r="O6" s="12" t="n"/>
    </row>
    <row r="7">
      <c r="A7" s="12" t="n"/>
      <c r="B7" s="13">
        <f>IF($A7="","",IFERROR(INDEX(Emp_Names,MATCH($A7,Emp_Codes,0)),"NOT FOUND"))</f>
        <v/>
      </c>
      <c r="C7" s="14" t="n"/>
      <c r="D7" s="15" t="n"/>
      <c r="E7" s="15" t="n"/>
      <c r="F7" s="15" t="n"/>
      <c r="G7" s="15" t="n"/>
      <c r="H7" s="16">
        <f>IF($A7="","",$D7+IF($E7="",0,$E7)+IF($F7="",0,$F7)-IF($G7="",0,$G7))</f>
        <v/>
      </c>
      <c r="I7" s="12" t="n"/>
      <c r="J7" s="12" t="n"/>
      <c r="K7" s="12" t="n"/>
      <c r="L7" s="14" t="n"/>
      <c r="M7" s="12" t="n"/>
      <c r="N7" s="12" t="n"/>
      <c r="O7" s="12" t="n"/>
    </row>
    <row r="8">
      <c r="A8" s="12" t="n"/>
      <c r="B8" s="13">
        <f>IF($A8="","",IFERROR(INDEX(Emp_Names,MATCH($A8,Emp_Codes,0)),"NOT FOUND"))</f>
        <v/>
      </c>
      <c r="C8" s="14" t="n"/>
      <c r="D8" s="15" t="n"/>
      <c r="E8" s="15" t="n"/>
      <c r="F8" s="15" t="n"/>
      <c r="G8" s="15" t="n"/>
      <c r="H8" s="16">
        <f>IF($A8="","",$D8+IF($E8="",0,$E8)+IF($F8="",0,$F8)-IF($G8="",0,$G8))</f>
        <v/>
      </c>
      <c r="I8" s="12" t="n"/>
      <c r="J8" s="12" t="n"/>
      <c r="K8" s="12" t="n"/>
      <c r="L8" s="14" t="n"/>
      <c r="M8" s="12" t="n"/>
      <c r="N8" s="12" t="n"/>
      <c r="O8" s="12" t="n"/>
    </row>
    <row r="9">
      <c r="A9" s="12" t="n"/>
      <c r="B9" s="13">
        <f>IF($A9="","",IFERROR(INDEX(Emp_Names,MATCH($A9,Emp_Codes,0)),"NOT FOUND"))</f>
        <v/>
      </c>
      <c r="C9" s="14" t="n"/>
      <c r="D9" s="15" t="n"/>
      <c r="E9" s="15" t="n"/>
      <c r="F9" s="15" t="n"/>
      <c r="G9" s="15" t="n"/>
      <c r="H9" s="16">
        <f>IF($A9="","",$D9+IF($E9="",0,$E9)+IF($F9="",0,$F9)-IF($G9="",0,$G9))</f>
        <v/>
      </c>
      <c r="I9" s="12" t="n"/>
      <c r="J9" s="12" t="n"/>
      <c r="K9" s="12" t="n"/>
      <c r="L9" s="14" t="n"/>
      <c r="M9" s="12" t="n"/>
      <c r="N9" s="12" t="n"/>
      <c r="O9" s="12" t="n"/>
    </row>
    <row r="10">
      <c r="A10" s="12" t="n"/>
      <c r="B10" s="13">
        <f>IF($A10="","",IFERROR(INDEX(Emp_Names,MATCH($A10,Emp_Codes,0)),"NOT FOUND"))</f>
        <v/>
      </c>
      <c r="C10" s="14" t="n"/>
      <c r="D10" s="15" t="n"/>
      <c r="E10" s="15" t="n"/>
      <c r="F10" s="15" t="n"/>
      <c r="G10" s="15" t="n"/>
      <c r="H10" s="16">
        <f>IF($A10="","",$D10+IF($E10="",0,$E10)+IF($F10="",0,$F10)-IF($G10="",0,$G10))</f>
        <v/>
      </c>
      <c r="I10" s="12" t="n"/>
      <c r="J10" s="12" t="n"/>
      <c r="K10" s="12" t="n"/>
      <c r="L10" s="14" t="n"/>
      <c r="M10" s="12" t="n"/>
      <c r="N10" s="12" t="n"/>
      <c r="O10" s="12" t="n"/>
    </row>
    <row r="11">
      <c r="A11" s="12" t="n"/>
      <c r="B11" s="13">
        <f>IF($A11="","",IFERROR(INDEX(Emp_Names,MATCH($A11,Emp_Codes,0)),"NOT FOUND"))</f>
        <v/>
      </c>
      <c r="C11" s="14" t="n"/>
      <c r="D11" s="15" t="n"/>
      <c r="E11" s="15" t="n"/>
      <c r="F11" s="15" t="n"/>
      <c r="G11" s="15" t="n"/>
      <c r="H11" s="16">
        <f>IF($A11="","",$D11+IF($E11="",0,$E11)+IF($F11="",0,$F11)-IF($G11="",0,$G11))</f>
        <v/>
      </c>
      <c r="I11" s="12" t="n"/>
      <c r="J11" s="12" t="n"/>
      <c r="K11" s="12" t="n"/>
      <c r="L11" s="14" t="n"/>
      <c r="M11" s="12" t="n"/>
      <c r="N11" s="12" t="n"/>
      <c r="O11" s="12" t="n"/>
    </row>
    <row r="12">
      <c r="A12" s="12" t="n"/>
      <c r="B12" s="13">
        <f>IF($A12="","",IFERROR(INDEX(Emp_Names,MATCH($A12,Emp_Codes,0)),"NOT FOUND"))</f>
        <v/>
      </c>
      <c r="C12" s="14" t="n"/>
      <c r="D12" s="15" t="n"/>
      <c r="E12" s="15" t="n"/>
      <c r="F12" s="15" t="n"/>
      <c r="G12" s="15" t="n"/>
      <c r="H12" s="16">
        <f>IF($A12="","",$D12+IF($E12="",0,$E12)+IF($F12="",0,$F12)-IF($G12="",0,$G12))</f>
        <v/>
      </c>
      <c r="I12" s="12" t="n"/>
      <c r="J12" s="12" t="n"/>
      <c r="K12" s="12" t="n"/>
      <c r="L12" s="14" t="n"/>
      <c r="M12" s="12" t="n"/>
      <c r="N12" s="12" t="n"/>
      <c r="O12" s="12" t="n"/>
    </row>
    <row r="13">
      <c r="A13" s="12" t="n"/>
      <c r="B13" s="13">
        <f>IF($A13="","",IFERROR(INDEX(Emp_Names,MATCH($A13,Emp_Codes,0)),"NOT FOUND"))</f>
        <v/>
      </c>
      <c r="C13" s="14" t="n"/>
      <c r="D13" s="15" t="n"/>
      <c r="E13" s="15" t="n"/>
      <c r="F13" s="15" t="n"/>
      <c r="G13" s="15" t="n"/>
      <c r="H13" s="16">
        <f>IF($A13="","",$D13+IF($E13="",0,$E13)+IF($F13="",0,$F13)-IF($G13="",0,$G13))</f>
        <v/>
      </c>
      <c r="I13" s="12" t="n"/>
      <c r="J13" s="12" t="n"/>
      <c r="K13" s="12" t="n"/>
      <c r="L13" s="14" t="n"/>
      <c r="M13" s="12" t="n"/>
      <c r="N13" s="12" t="n"/>
      <c r="O13" s="12" t="n"/>
    </row>
    <row r="14">
      <c r="A14" s="12" t="n"/>
      <c r="B14" s="13">
        <f>IF($A14="","",IFERROR(INDEX(Emp_Names,MATCH($A14,Emp_Codes,0)),"NOT FOUND"))</f>
        <v/>
      </c>
      <c r="C14" s="14" t="n"/>
      <c r="D14" s="15" t="n"/>
      <c r="E14" s="15" t="n"/>
      <c r="F14" s="15" t="n"/>
      <c r="G14" s="15" t="n"/>
      <c r="H14" s="16">
        <f>IF($A14="","",$D14+IF($E14="",0,$E14)+IF($F14="",0,$F14)-IF($G14="",0,$G14))</f>
        <v/>
      </c>
      <c r="I14" s="12" t="n"/>
      <c r="J14" s="12" t="n"/>
      <c r="K14" s="12" t="n"/>
      <c r="L14" s="14" t="n"/>
      <c r="M14" s="12" t="n"/>
      <c r="N14" s="12" t="n"/>
      <c r="O14" s="12" t="n"/>
    </row>
    <row r="15">
      <c r="A15" s="12" t="n"/>
      <c r="B15" s="13">
        <f>IF($A15="","",IFERROR(INDEX(Emp_Names,MATCH($A15,Emp_Codes,0)),"NOT FOUND"))</f>
        <v/>
      </c>
      <c r="C15" s="14" t="n"/>
      <c r="D15" s="15" t="n"/>
      <c r="E15" s="15" t="n"/>
      <c r="F15" s="15" t="n"/>
      <c r="G15" s="15" t="n"/>
      <c r="H15" s="16">
        <f>IF($A15="","",$D15+IF($E15="",0,$E15)+IF($F15="",0,$F15)-IF($G15="",0,$G15))</f>
        <v/>
      </c>
      <c r="I15" s="12" t="n"/>
      <c r="J15" s="12" t="n"/>
      <c r="K15" s="12" t="n"/>
      <c r="L15" s="14" t="n"/>
      <c r="M15" s="12" t="n"/>
      <c r="N15" s="12" t="n"/>
      <c r="O15" s="12" t="n"/>
    </row>
    <row r="16">
      <c r="A16" s="12" t="n"/>
      <c r="B16" s="13">
        <f>IF($A16="","",IFERROR(INDEX(Emp_Names,MATCH($A16,Emp_Codes,0)),"NOT FOUND"))</f>
        <v/>
      </c>
      <c r="C16" s="14" t="n"/>
      <c r="D16" s="15" t="n"/>
      <c r="E16" s="15" t="n"/>
      <c r="F16" s="15" t="n"/>
      <c r="G16" s="15" t="n"/>
      <c r="H16" s="16">
        <f>IF($A16="","",$D16+IF($E16="",0,$E16)+IF($F16="",0,$F16)-IF($G16="",0,$G16))</f>
        <v/>
      </c>
      <c r="I16" s="12" t="n"/>
      <c r="J16" s="12" t="n"/>
      <c r="K16" s="12" t="n"/>
      <c r="L16" s="14" t="n"/>
      <c r="M16" s="12" t="n"/>
      <c r="N16" s="12" t="n"/>
      <c r="O16" s="12" t="n"/>
    </row>
    <row r="17">
      <c r="A17" s="12" t="n"/>
      <c r="B17" s="13">
        <f>IF($A17="","",IFERROR(INDEX(Emp_Names,MATCH($A17,Emp_Codes,0)),"NOT FOUND"))</f>
        <v/>
      </c>
      <c r="C17" s="14" t="n"/>
      <c r="D17" s="15" t="n"/>
      <c r="E17" s="15" t="n"/>
      <c r="F17" s="15" t="n"/>
      <c r="G17" s="15" t="n"/>
      <c r="H17" s="16">
        <f>IF($A17="","",$D17+IF($E17="",0,$E17)+IF($F17="",0,$F17)-IF($G17="",0,$G17))</f>
        <v/>
      </c>
      <c r="I17" s="12" t="n"/>
      <c r="J17" s="12" t="n"/>
      <c r="K17" s="12" t="n"/>
      <c r="L17" s="14" t="n"/>
      <c r="M17" s="12" t="n"/>
      <c r="N17" s="12" t="n"/>
      <c r="O17" s="12" t="n"/>
    </row>
    <row r="18">
      <c r="A18" s="12" t="n"/>
      <c r="B18" s="13">
        <f>IF($A18="","",IFERROR(INDEX(Emp_Names,MATCH($A18,Emp_Codes,0)),"NOT FOUND"))</f>
        <v/>
      </c>
      <c r="C18" s="14" t="n"/>
      <c r="D18" s="15" t="n"/>
      <c r="E18" s="15" t="n"/>
      <c r="F18" s="15" t="n"/>
      <c r="G18" s="15" t="n"/>
      <c r="H18" s="16">
        <f>IF($A18="","",$D18+IF($E18="",0,$E18)+IF($F18="",0,$F18)-IF($G18="",0,$G18))</f>
        <v/>
      </c>
      <c r="I18" s="12" t="n"/>
      <c r="J18" s="12" t="n"/>
      <c r="K18" s="12" t="n"/>
      <c r="L18" s="14" t="n"/>
      <c r="M18" s="12" t="n"/>
      <c r="N18" s="12" t="n"/>
      <c r="O18" s="12" t="n"/>
    </row>
    <row r="19">
      <c r="A19" s="12" t="n"/>
      <c r="B19" s="13">
        <f>IF($A19="","",IFERROR(INDEX(Emp_Names,MATCH($A19,Emp_Codes,0)),"NOT FOUND"))</f>
        <v/>
      </c>
      <c r="C19" s="14" t="n"/>
      <c r="D19" s="15" t="n"/>
      <c r="E19" s="15" t="n"/>
      <c r="F19" s="15" t="n"/>
      <c r="G19" s="15" t="n"/>
      <c r="H19" s="16">
        <f>IF($A19="","",$D19+IF($E19="",0,$E19)+IF($F19="",0,$F19)-IF($G19="",0,$G19))</f>
        <v/>
      </c>
      <c r="I19" s="12" t="n"/>
      <c r="J19" s="12" t="n"/>
      <c r="K19" s="12" t="n"/>
      <c r="L19" s="14" t="n"/>
      <c r="M19" s="12" t="n"/>
      <c r="N19" s="12" t="n"/>
      <c r="O19" s="12" t="n"/>
    </row>
    <row r="20">
      <c r="A20" s="12" t="n"/>
      <c r="B20" s="13">
        <f>IF($A20="","",IFERROR(INDEX(Emp_Names,MATCH($A20,Emp_Codes,0)),"NOT FOUND"))</f>
        <v/>
      </c>
      <c r="C20" s="14" t="n"/>
      <c r="D20" s="15" t="n"/>
      <c r="E20" s="15" t="n"/>
      <c r="F20" s="15" t="n"/>
      <c r="G20" s="15" t="n"/>
      <c r="H20" s="16">
        <f>IF($A20="","",$D20+IF($E20="",0,$E20)+IF($F20="",0,$F20)-IF($G20="",0,$G20))</f>
        <v/>
      </c>
      <c r="I20" s="12" t="n"/>
      <c r="J20" s="12" t="n"/>
      <c r="K20" s="12" t="n"/>
      <c r="L20" s="14" t="n"/>
      <c r="M20" s="12" t="n"/>
      <c r="N20" s="12" t="n"/>
      <c r="O20" s="12" t="n"/>
    </row>
    <row r="21">
      <c r="A21" s="12" t="n"/>
      <c r="B21" s="13">
        <f>IF($A21="","",IFERROR(INDEX(Emp_Names,MATCH($A21,Emp_Codes,0)),"NOT FOUND"))</f>
        <v/>
      </c>
      <c r="C21" s="14" t="n"/>
      <c r="D21" s="15" t="n"/>
      <c r="E21" s="15" t="n"/>
      <c r="F21" s="15" t="n"/>
      <c r="G21" s="15" t="n"/>
      <c r="H21" s="16">
        <f>IF($A21="","",$D21+IF($E21="",0,$E21)+IF($F21="",0,$F21)-IF($G21="",0,$G21))</f>
        <v/>
      </c>
      <c r="I21" s="12" t="n"/>
      <c r="J21" s="12" t="n"/>
      <c r="K21" s="12" t="n"/>
      <c r="L21" s="14" t="n"/>
      <c r="M21" s="12" t="n"/>
      <c r="N21" s="12" t="n"/>
      <c r="O21" s="12" t="n"/>
    </row>
    <row r="22">
      <c r="A22" s="12" t="n"/>
      <c r="B22" s="13">
        <f>IF($A22="","",IFERROR(INDEX(Emp_Names,MATCH($A22,Emp_Codes,0)),"NOT FOUND"))</f>
        <v/>
      </c>
      <c r="C22" s="14" t="n"/>
      <c r="D22" s="15" t="n"/>
      <c r="E22" s="15" t="n"/>
      <c r="F22" s="15" t="n"/>
      <c r="G22" s="15" t="n"/>
      <c r="H22" s="16">
        <f>IF($A22="","",$D22+IF($E22="",0,$E22)+IF($F22="",0,$F22)-IF($G22="",0,$G22))</f>
        <v/>
      </c>
      <c r="I22" s="12" t="n"/>
      <c r="J22" s="12" t="n"/>
      <c r="K22" s="12" t="n"/>
      <c r="L22" s="14" t="n"/>
      <c r="M22" s="12" t="n"/>
      <c r="N22" s="12" t="n"/>
      <c r="O22" s="12" t="n"/>
    </row>
    <row r="23">
      <c r="A23" s="12" t="n"/>
      <c r="B23" s="13">
        <f>IF($A23="","",IFERROR(INDEX(Emp_Names,MATCH($A23,Emp_Codes,0)),"NOT FOUND"))</f>
        <v/>
      </c>
      <c r="C23" s="14" t="n"/>
      <c r="D23" s="15" t="n"/>
      <c r="E23" s="15" t="n"/>
      <c r="F23" s="15" t="n"/>
      <c r="G23" s="15" t="n"/>
      <c r="H23" s="16">
        <f>IF($A23="","",$D23+IF($E23="",0,$E23)+IF($F23="",0,$F23)-IF($G23="",0,$G23))</f>
        <v/>
      </c>
      <c r="I23" s="12" t="n"/>
      <c r="J23" s="12" t="n"/>
      <c r="K23" s="12" t="n"/>
      <c r="L23" s="14" t="n"/>
      <c r="M23" s="12" t="n"/>
      <c r="N23" s="12" t="n"/>
      <c r="O23" s="12" t="n"/>
    </row>
    <row r="24">
      <c r="A24" s="12" t="n"/>
      <c r="B24" s="13">
        <f>IF($A24="","",IFERROR(INDEX(Emp_Names,MATCH($A24,Emp_Codes,0)),"NOT FOUND"))</f>
        <v/>
      </c>
      <c r="C24" s="14" t="n"/>
      <c r="D24" s="15" t="n"/>
      <c r="E24" s="15" t="n"/>
      <c r="F24" s="15" t="n"/>
      <c r="G24" s="15" t="n"/>
      <c r="H24" s="16">
        <f>IF($A24="","",$D24+IF($E24="",0,$E24)+IF($F24="",0,$F24)-IF($G24="",0,$G24))</f>
        <v/>
      </c>
      <c r="I24" s="12" t="n"/>
      <c r="J24" s="12" t="n"/>
      <c r="K24" s="12" t="n"/>
      <c r="L24" s="14" t="n"/>
      <c r="M24" s="12" t="n"/>
      <c r="N24" s="12" t="n"/>
      <c r="O24" s="12" t="n"/>
    </row>
    <row r="25">
      <c r="A25" s="12" t="n"/>
      <c r="B25" s="13">
        <f>IF($A25="","",IFERROR(INDEX(Emp_Names,MATCH($A25,Emp_Codes,0)),"NOT FOUND"))</f>
        <v/>
      </c>
      <c r="C25" s="14" t="n"/>
      <c r="D25" s="15" t="n"/>
      <c r="E25" s="15" t="n"/>
      <c r="F25" s="15" t="n"/>
      <c r="G25" s="15" t="n"/>
      <c r="H25" s="16">
        <f>IF($A25="","",$D25+IF($E25="",0,$E25)+IF($F25="",0,$F25)-IF($G25="",0,$G25))</f>
        <v/>
      </c>
      <c r="I25" s="12" t="n"/>
      <c r="J25" s="12" t="n"/>
      <c r="K25" s="12" t="n"/>
      <c r="L25" s="14" t="n"/>
      <c r="M25" s="12" t="n"/>
      <c r="N25" s="12" t="n"/>
      <c r="O25" s="12" t="n"/>
    </row>
    <row r="26">
      <c r="A26" s="12" t="n"/>
      <c r="B26" s="13">
        <f>IF($A26="","",IFERROR(INDEX(Emp_Names,MATCH($A26,Emp_Codes,0)),"NOT FOUND"))</f>
        <v/>
      </c>
      <c r="C26" s="14" t="n"/>
      <c r="D26" s="15" t="n"/>
      <c r="E26" s="15" t="n"/>
      <c r="F26" s="15" t="n"/>
      <c r="G26" s="15" t="n"/>
      <c r="H26" s="16">
        <f>IF($A26="","",$D26+IF($E26="",0,$E26)+IF($F26="",0,$F26)-IF($G26="",0,$G26))</f>
        <v/>
      </c>
      <c r="I26" s="12" t="n"/>
      <c r="J26" s="12" t="n"/>
      <c r="K26" s="12" t="n"/>
      <c r="L26" s="14" t="n"/>
      <c r="M26" s="12" t="n"/>
      <c r="N26" s="12" t="n"/>
      <c r="O26" s="12" t="n"/>
    </row>
    <row r="27">
      <c r="A27" s="12" t="n"/>
      <c r="B27" s="13">
        <f>IF($A27="","",IFERROR(INDEX(Emp_Names,MATCH($A27,Emp_Codes,0)),"NOT FOUND"))</f>
        <v/>
      </c>
      <c r="C27" s="14" t="n"/>
      <c r="D27" s="15" t="n"/>
      <c r="E27" s="15" t="n"/>
      <c r="F27" s="15" t="n"/>
      <c r="G27" s="15" t="n"/>
      <c r="H27" s="16">
        <f>IF($A27="","",$D27+IF($E27="",0,$E27)+IF($F27="",0,$F27)-IF($G27="",0,$G27))</f>
        <v/>
      </c>
      <c r="I27" s="12" t="n"/>
      <c r="J27" s="12" t="n"/>
      <c r="K27" s="12" t="n"/>
      <c r="L27" s="14" t="n"/>
      <c r="M27" s="12" t="n"/>
      <c r="N27" s="12" t="n"/>
      <c r="O27" s="12" t="n"/>
    </row>
    <row r="28">
      <c r="A28" s="12" t="n"/>
      <c r="B28" s="13">
        <f>IF($A28="","",IFERROR(INDEX(Emp_Names,MATCH($A28,Emp_Codes,0)),"NOT FOUND"))</f>
        <v/>
      </c>
      <c r="C28" s="14" t="n"/>
      <c r="D28" s="15" t="n"/>
      <c r="E28" s="15" t="n"/>
      <c r="F28" s="15" t="n"/>
      <c r="G28" s="15" t="n"/>
      <c r="H28" s="16">
        <f>IF($A28="","",$D28+IF($E28="",0,$E28)+IF($F28="",0,$F28)-IF($G28="",0,$G28))</f>
        <v/>
      </c>
      <c r="I28" s="12" t="n"/>
      <c r="J28" s="12" t="n"/>
      <c r="K28" s="12" t="n"/>
      <c r="L28" s="14" t="n"/>
      <c r="M28" s="12" t="n"/>
      <c r="N28" s="12" t="n"/>
      <c r="O28" s="12" t="n"/>
    </row>
    <row r="29">
      <c r="A29" s="12" t="n"/>
      <c r="B29" s="13">
        <f>IF($A29="","",IFERROR(INDEX(Emp_Names,MATCH($A29,Emp_Codes,0)),"NOT FOUND"))</f>
        <v/>
      </c>
      <c r="C29" s="14" t="n"/>
      <c r="D29" s="15" t="n"/>
      <c r="E29" s="15" t="n"/>
      <c r="F29" s="15" t="n"/>
      <c r="G29" s="15" t="n"/>
      <c r="H29" s="16">
        <f>IF($A29="","",$D29+IF($E29="",0,$E29)+IF($F29="",0,$F29)-IF($G29="",0,$G29))</f>
        <v/>
      </c>
      <c r="I29" s="12" t="n"/>
      <c r="J29" s="12" t="n"/>
      <c r="K29" s="12" t="n"/>
      <c r="L29" s="14" t="n"/>
      <c r="M29" s="12" t="n"/>
      <c r="N29" s="12" t="n"/>
      <c r="O29" s="12" t="n"/>
    </row>
    <row r="30">
      <c r="A30" s="12" t="n"/>
      <c r="B30" s="13">
        <f>IF($A30="","",IFERROR(INDEX(Emp_Names,MATCH($A30,Emp_Codes,0)),"NOT FOUND"))</f>
        <v/>
      </c>
      <c r="C30" s="14" t="n"/>
      <c r="D30" s="15" t="n"/>
      <c r="E30" s="15" t="n"/>
      <c r="F30" s="15" t="n"/>
      <c r="G30" s="15" t="n"/>
      <c r="H30" s="16">
        <f>IF($A30="","",$D30+IF($E30="",0,$E30)+IF($F30="",0,$F30)-IF($G30="",0,$G30))</f>
        <v/>
      </c>
      <c r="I30" s="12" t="n"/>
      <c r="J30" s="12" t="n"/>
      <c r="K30" s="12" t="n"/>
      <c r="L30" s="14" t="n"/>
      <c r="M30" s="12" t="n"/>
      <c r="N30" s="12" t="n"/>
      <c r="O30" s="12" t="n"/>
    </row>
    <row r="31">
      <c r="A31" s="12" t="n"/>
      <c r="B31" s="13">
        <f>IF($A31="","",IFERROR(INDEX(Emp_Names,MATCH($A31,Emp_Codes,0)),"NOT FOUND"))</f>
        <v/>
      </c>
      <c r="C31" s="14" t="n"/>
      <c r="D31" s="15" t="n"/>
      <c r="E31" s="15" t="n"/>
      <c r="F31" s="15" t="n"/>
      <c r="G31" s="15" t="n"/>
      <c r="H31" s="16">
        <f>IF($A31="","",$D31+IF($E31="",0,$E31)+IF($F31="",0,$F31)-IF($G31="",0,$G31))</f>
        <v/>
      </c>
      <c r="I31" s="12" t="n"/>
      <c r="J31" s="12" t="n"/>
      <c r="K31" s="12" t="n"/>
      <c r="L31" s="14" t="n"/>
      <c r="M31" s="12" t="n"/>
      <c r="N31" s="12" t="n"/>
      <c r="O31" s="12" t="n"/>
    </row>
    <row r="32">
      <c r="A32" s="12" t="n"/>
      <c r="B32" s="13">
        <f>IF($A32="","",IFERROR(INDEX(Emp_Names,MATCH($A32,Emp_Codes,0)),"NOT FOUND"))</f>
        <v/>
      </c>
      <c r="C32" s="14" t="n"/>
      <c r="D32" s="15" t="n"/>
      <c r="E32" s="15" t="n"/>
      <c r="F32" s="15" t="n"/>
      <c r="G32" s="15" t="n"/>
      <c r="H32" s="16">
        <f>IF($A32="","",$D32+IF($E32="",0,$E32)+IF($F32="",0,$F32)-IF($G32="",0,$G32))</f>
        <v/>
      </c>
      <c r="I32" s="12" t="n"/>
      <c r="J32" s="12" t="n"/>
      <c r="K32" s="12" t="n"/>
      <c r="L32" s="14" t="n"/>
      <c r="M32" s="12" t="n"/>
      <c r="N32" s="12" t="n"/>
      <c r="O32" s="12" t="n"/>
    </row>
    <row r="33">
      <c r="A33" s="12" t="n"/>
      <c r="B33" s="13">
        <f>IF($A33="","",IFERROR(INDEX(Emp_Names,MATCH($A33,Emp_Codes,0)),"NOT FOUND"))</f>
        <v/>
      </c>
      <c r="C33" s="14" t="n"/>
      <c r="D33" s="15" t="n"/>
      <c r="E33" s="15" t="n"/>
      <c r="F33" s="15" t="n"/>
      <c r="G33" s="15" t="n"/>
      <c r="H33" s="16">
        <f>IF($A33="","",$D33+IF($E33="",0,$E33)+IF($F33="",0,$F33)-IF($G33="",0,$G33))</f>
        <v/>
      </c>
      <c r="I33" s="12" t="n"/>
      <c r="J33" s="12" t="n"/>
      <c r="K33" s="12" t="n"/>
      <c r="L33" s="14" t="n"/>
      <c r="M33" s="12" t="n"/>
      <c r="N33" s="12" t="n"/>
      <c r="O33" s="12" t="n"/>
    </row>
    <row r="34">
      <c r="A34" s="12" t="n"/>
      <c r="B34" s="13">
        <f>IF($A34="","",IFERROR(INDEX(Emp_Names,MATCH($A34,Emp_Codes,0)),"NOT FOUND"))</f>
        <v/>
      </c>
      <c r="C34" s="14" t="n"/>
      <c r="D34" s="15" t="n"/>
      <c r="E34" s="15" t="n"/>
      <c r="F34" s="15" t="n"/>
      <c r="G34" s="15" t="n"/>
      <c r="H34" s="16">
        <f>IF($A34="","",$D34+IF($E34="",0,$E34)+IF($F34="",0,$F34)-IF($G34="",0,$G34))</f>
        <v/>
      </c>
      <c r="I34" s="12" t="n"/>
      <c r="J34" s="12" t="n"/>
      <c r="K34" s="12" t="n"/>
      <c r="L34" s="14" t="n"/>
      <c r="M34" s="12" t="n"/>
      <c r="N34" s="12" t="n"/>
      <c r="O34" s="12" t="n"/>
    </row>
    <row r="35">
      <c r="A35" s="12" t="n"/>
      <c r="B35" s="13">
        <f>IF($A35="","",IFERROR(INDEX(Emp_Names,MATCH($A35,Emp_Codes,0)),"NOT FOUND"))</f>
        <v/>
      </c>
      <c r="C35" s="14" t="n"/>
      <c r="D35" s="15" t="n"/>
      <c r="E35" s="15" t="n"/>
      <c r="F35" s="15" t="n"/>
      <c r="G35" s="15" t="n"/>
      <c r="H35" s="16">
        <f>IF($A35="","",$D35+IF($E35="",0,$E35)+IF($F35="",0,$F35)-IF($G35="",0,$G35))</f>
        <v/>
      </c>
      <c r="I35" s="12" t="n"/>
      <c r="J35" s="12" t="n"/>
      <c r="K35" s="12" t="n"/>
      <c r="L35" s="14" t="n"/>
      <c r="M35" s="12" t="n"/>
      <c r="N35" s="12" t="n"/>
      <c r="O35" s="12" t="n"/>
    </row>
    <row r="36">
      <c r="A36" s="12" t="n"/>
      <c r="B36" s="13">
        <f>IF($A36="","",IFERROR(INDEX(Emp_Names,MATCH($A36,Emp_Codes,0)),"NOT FOUND"))</f>
        <v/>
      </c>
      <c r="C36" s="14" t="n"/>
      <c r="D36" s="15" t="n"/>
      <c r="E36" s="15" t="n"/>
      <c r="F36" s="15" t="n"/>
      <c r="G36" s="15" t="n"/>
      <c r="H36" s="16">
        <f>IF($A36="","",$D36+IF($E36="",0,$E36)+IF($F36="",0,$F36)-IF($G36="",0,$G36))</f>
        <v/>
      </c>
      <c r="I36" s="12" t="n"/>
      <c r="J36" s="12" t="n"/>
      <c r="K36" s="12" t="n"/>
      <c r="L36" s="14" t="n"/>
      <c r="M36" s="12" t="n"/>
      <c r="N36" s="12" t="n"/>
      <c r="O36" s="12" t="n"/>
    </row>
    <row r="37">
      <c r="A37" s="12" t="n"/>
      <c r="B37" s="13">
        <f>IF($A37="","",IFERROR(INDEX(Emp_Names,MATCH($A37,Emp_Codes,0)),"NOT FOUND"))</f>
        <v/>
      </c>
      <c r="C37" s="14" t="n"/>
      <c r="D37" s="15" t="n"/>
      <c r="E37" s="15" t="n"/>
      <c r="F37" s="15" t="n"/>
      <c r="G37" s="15" t="n"/>
      <c r="H37" s="16">
        <f>IF($A37="","",$D37+IF($E37="",0,$E37)+IF($F37="",0,$F37)-IF($G37="",0,$G37))</f>
        <v/>
      </c>
      <c r="I37" s="12" t="n"/>
      <c r="J37" s="12" t="n"/>
      <c r="K37" s="12" t="n"/>
      <c r="L37" s="14" t="n"/>
      <c r="M37" s="12" t="n"/>
      <c r="N37" s="12" t="n"/>
      <c r="O37" s="12" t="n"/>
    </row>
    <row r="38">
      <c r="A38" s="12" t="n"/>
      <c r="B38" s="13">
        <f>IF($A38="","",IFERROR(INDEX(Emp_Names,MATCH($A38,Emp_Codes,0)),"NOT FOUND"))</f>
        <v/>
      </c>
      <c r="C38" s="14" t="n"/>
      <c r="D38" s="15" t="n"/>
      <c r="E38" s="15" t="n"/>
      <c r="F38" s="15" t="n"/>
      <c r="G38" s="15" t="n"/>
      <c r="H38" s="16">
        <f>IF($A38="","",$D38+IF($E38="",0,$E38)+IF($F38="",0,$F38)-IF($G38="",0,$G38))</f>
        <v/>
      </c>
      <c r="I38" s="12" t="n"/>
      <c r="J38" s="12" t="n"/>
      <c r="K38" s="12" t="n"/>
      <c r="L38" s="14" t="n"/>
      <c r="M38" s="12" t="n"/>
      <c r="N38" s="12" t="n"/>
      <c r="O38" s="12" t="n"/>
    </row>
    <row r="39">
      <c r="A39" s="12" t="n"/>
      <c r="B39" s="13">
        <f>IF($A39="","",IFERROR(INDEX(Emp_Names,MATCH($A39,Emp_Codes,0)),"NOT FOUND"))</f>
        <v/>
      </c>
      <c r="C39" s="14" t="n"/>
      <c r="D39" s="15" t="n"/>
      <c r="E39" s="15" t="n"/>
      <c r="F39" s="15" t="n"/>
      <c r="G39" s="15" t="n"/>
      <c r="H39" s="16">
        <f>IF($A39="","",$D39+IF($E39="",0,$E39)+IF($F39="",0,$F39)-IF($G39="",0,$G39))</f>
        <v/>
      </c>
      <c r="I39" s="12" t="n"/>
      <c r="J39" s="12" t="n"/>
      <c r="K39" s="12" t="n"/>
      <c r="L39" s="14" t="n"/>
      <c r="M39" s="12" t="n"/>
      <c r="N39" s="12" t="n"/>
      <c r="O39" s="12" t="n"/>
    </row>
    <row r="40">
      <c r="A40" s="12" t="n"/>
      <c r="B40" s="13">
        <f>IF($A40="","",IFERROR(INDEX(Emp_Names,MATCH($A40,Emp_Codes,0)),"NOT FOUND"))</f>
        <v/>
      </c>
      <c r="C40" s="14" t="n"/>
      <c r="D40" s="15" t="n"/>
      <c r="E40" s="15" t="n"/>
      <c r="F40" s="15" t="n"/>
      <c r="G40" s="15" t="n"/>
      <c r="H40" s="16">
        <f>IF($A40="","",$D40+IF($E40="",0,$E40)+IF($F40="",0,$F40)-IF($G40="",0,$G40))</f>
        <v/>
      </c>
      <c r="I40" s="12" t="n"/>
      <c r="J40" s="12" t="n"/>
      <c r="K40" s="12" t="n"/>
      <c r="L40" s="14" t="n"/>
      <c r="M40" s="12" t="n"/>
      <c r="N40" s="12" t="n"/>
      <c r="O40" s="12" t="n"/>
    </row>
    <row r="41">
      <c r="A41" s="12" t="n"/>
      <c r="B41" s="13">
        <f>IF($A41="","",IFERROR(INDEX(Emp_Names,MATCH($A41,Emp_Codes,0)),"NOT FOUND"))</f>
        <v/>
      </c>
      <c r="C41" s="14" t="n"/>
      <c r="D41" s="15" t="n"/>
      <c r="E41" s="15" t="n"/>
      <c r="F41" s="15" t="n"/>
      <c r="G41" s="15" t="n"/>
      <c r="H41" s="16">
        <f>IF($A41="","",$D41+IF($E41="",0,$E41)+IF($F41="",0,$F41)-IF($G41="",0,$G41))</f>
        <v/>
      </c>
      <c r="I41" s="12" t="n"/>
      <c r="J41" s="12" t="n"/>
      <c r="K41" s="12" t="n"/>
      <c r="L41" s="14" t="n"/>
      <c r="M41" s="12" t="n"/>
      <c r="N41" s="12" t="n"/>
      <c r="O41" s="12" t="n"/>
    </row>
    <row r="42">
      <c r="A42" s="12" t="n"/>
      <c r="B42" s="13">
        <f>IF($A42="","",IFERROR(INDEX(Emp_Names,MATCH($A42,Emp_Codes,0)),"NOT FOUND"))</f>
        <v/>
      </c>
      <c r="C42" s="14" t="n"/>
      <c r="D42" s="15" t="n"/>
      <c r="E42" s="15" t="n"/>
      <c r="F42" s="15" t="n"/>
      <c r="G42" s="15" t="n"/>
      <c r="H42" s="16">
        <f>IF($A42="","",$D42+IF($E42="",0,$E42)+IF($F42="",0,$F42)-IF($G42="",0,$G42))</f>
        <v/>
      </c>
      <c r="I42" s="12" t="n"/>
      <c r="J42" s="12" t="n"/>
      <c r="K42" s="12" t="n"/>
      <c r="L42" s="14" t="n"/>
      <c r="M42" s="12" t="n"/>
      <c r="N42" s="12" t="n"/>
      <c r="O42" s="12" t="n"/>
    </row>
    <row r="43">
      <c r="A43" s="12" t="n"/>
      <c r="B43" s="13">
        <f>IF($A43="","",IFERROR(INDEX(Emp_Names,MATCH($A43,Emp_Codes,0)),"NOT FOUND"))</f>
        <v/>
      </c>
      <c r="C43" s="14" t="n"/>
      <c r="D43" s="15" t="n"/>
      <c r="E43" s="15" t="n"/>
      <c r="F43" s="15" t="n"/>
      <c r="G43" s="15" t="n"/>
      <c r="H43" s="16">
        <f>IF($A43="","",$D43+IF($E43="",0,$E43)+IF($F43="",0,$F43)-IF($G43="",0,$G43))</f>
        <v/>
      </c>
      <c r="I43" s="12" t="n"/>
      <c r="J43" s="12" t="n"/>
      <c r="K43" s="12" t="n"/>
      <c r="L43" s="14" t="n"/>
      <c r="M43" s="12" t="n"/>
      <c r="N43" s="12" t="n"/>
      <c r="O43" s="12" t="n"/>
    </row>
    <row r="44">
      <c r="A44" s="12" t="n"/>
      <c r="B44" s="13">
        <f>IF($A44="","",IFERROR(INDEX(Emp_Names,MATCH($A44,Emp_Codes,0)),"NOT FOUND"))</f>
        <v/>
      </c>
      <c r="C44" s="14" t="n"/>
      <c r="D44" s="15" t="n"/>
      <c r="E44" s="15" t="n"/>
      <c r="F44" s="15" t="n"/>
      <c r="G44" s="15" t="n"/>
      <c r="H44" s="16">
        <f>IF($A44="","",$D44+IF($E44="",0,$E44)+IF($F44="",0,$F44)-IF($G44="",0,$G44))</f>
        <v/>
      </c>
      <c r="I44" s="12" t="n"/>
      <c r="J44" s="12" t="n"/>
      <c r="K44" s="12" t="n"/>
      <c r="L44" s="14" t="n"/>
      <c r="M44" s="12" t="n"/>
      <c r="N44" s="12" t="n"/>
      <c r="O44" s="12" t="n"/>
    </row>
    <row r="45">
      <c r="A45" s="12" t="n"/>
      <c r="B45" s="13">
        <f>IF($A45="","",IFERROR(INDEX(Emp_Names,MATCH($A45,Emp_Codes,0)),"NOT FOUND"))</f>
        <v/>
      </c>
      <c r="C45" s="14" t="n"/>
      <c r="D45" s="15" t="n"/>
      <c r="E45" s="15" t="n"/>
      <c r="F45" s="15" t="n"/>
      <c r="G45" s="15" t="n"/>
      <c r="H45" s="16">
        <f>IF($A45="","",$D45+IF($E45="",0,$E45)+IF($F45="",0,$F45)-IF($G45="",0,$G45))</f>
        <v/>
      </c>
      <c r="I45" s="12" t="n"/>
      <c r="J45" s="12" t="n"/>
      <c r="K45" s="12" t="n"/>
      <c r="L45" s="14" t="n"/>
      <c r="M45" s="12" t="n"/>
      <c r="N45" s="12" t="n"/>
      <c r="O45" s="12" t="n"/>
    </row>
    <row r="46">
      <c r="A46" s="12" t="n"/>
      <c r="B46" s="13">
        <f>IF($A46="","",IFERROR(INDEX(Emp_Names,MATCH($A46,Emp_Codes,0)),"NOT FOUND"))</f>
        <v/>
      </c>
      <c r="C46" s="14" t="n"/>
      <c r="D46" s="15" t="n"/>
      <c r="E46" s="15" t="n"/>
      <c r="F46" s="15" t="n"/>
      <c r="G46" s="15" t="n"/>
      <c r="H46" s="16">
        <f>IF($A46="","",$D46+IF($E46="",0,$E46)+IF($F46="",0,$F46)-IF($G46="",0,$G46))</f>
        <v/>
      </c>
      <c r="I46" s="12" t="n"/>
      <c r="J46" s="12" t="n"/>
      <c r="K46" s="12" t="n"/>
      <c r="L46" s="14" t="n"/>
      <c r="M46" s="12" t="n"/>
      <c r="N46" s="12" t="n"/>
      <c r="O46" s="12" t="n"/>
    </row>
    <row r="47">
      <c r="A47" s="12" t="n"/>
      <c r="B47" s="13">
        <f>IF($A47="","",IFERROR(INDEX(Emp_Names,MATCH($A47,Emp_Codes,0)),"NOT FOUND"))</f>
        <v/>
      </c>
      <c r="C47" s="14" t="n"/>
      <c r="D47" s="15" t="n"/>
      <c r="E47" s="15" t="n"/>
      <c r="F47" s="15" t="n"/>
      <c r="G47" s="15" t="n"/>
      <c r="H47" s="16">
        <f>IF($A47="","",$D47+IF($E47="",0,$E47)+IF($F47="",0,$F47)-IF($G47="",0,$G47))</f>
        <v/>
      </c>
      <c r="I47" s="12" t="n"/>
      <c r="J47" s="12" t="n"/>
      <c r="K47" s="12" t="n"/>
      <c r="L47" s="14" t="n"/>
      <c r="M47" s="12" t="n"/>
      <c r="N47" s="12" t="n"/>
      <c r="O47" s="12" t="n"/>
    </row>
    <row r="48">
      <c r="A48" s="12" t="n"/>
      <c r="B48" s="13">
        <f>IF($A48="","",IFERROR(INDEX(Emp_Names,MATCH($A48,Emp_Codes,0)),"NOT FOUND"))</f>
        <v/>
      </c>
      <c r="C48" s="14" t="n"/>
      <c r="D48" s="15" t="n"/>
      <c r="E48" s="15" t="n"/>
      <c r="F48" s="15" t="n"/>
      <c r="G48" s="15" t="n"/>
      <c r="H48" s="16">
        <f>IF($A48="","",$D48+IF($E48="",0,$E48)+IF($F48="",0,$F48)-IF($G48="",0,$G48))</f>
        <v/>
      </c>
      <c r="I48" s="12" t="n"/>
      <c r="J48" s="12" t="n"/>
      <c r="K48" s="12" t="n"/>
      <c r="L48" s="14" t="n"/>
      <c r="M48" s="12" t="n"/>
      <c r="N48" s="12" t="n"/>
      <c r="O48" s="12" t="n"/>
    </row>
    <row r="49">
      <c r="A49" s="12" t="n"/>
      <c r="B49" s="13">
        <f>IF($A49="","",IFERROR(INDEX(Emp_Names,MATCH($A49,Emp_Codes,0)),"NOT FOUND"))</f>
        <v/>
      </c>
      <c r="C49" s="14" t="n"/>
      <c r="D49" s="15" t="n"/>
      <c r="E49" s="15" t="n"/>
      <c r="F49" s="15" t="n"/>
      <c r="G49" s="15" t="n"/>
      <c r="H49" s="16">
        <f>IF($A49="","",$D49+IF($E49="",0,$E49)+IF($F49="",0,$F49)-IF($G49="",0,$G49))</f>
        <v/>
      </c>
      <c r="I49" s="12" t="n"/>
      <c r="J49" s="12" t="n"/>
      <c r="K49" s="12" t="n"/>
      <c r="L49" s="14" t="n"/>
      <c r="M49" s="12" t="n"/>
      <c r="N49" s="12" t="n"/>
      <c r="O49" s="12" t="n"/>
    </row>
    <row r="50">
      <c r="A50" s="12" t="n"/>
      <c r="B50" s="13">
        <f>IF($A50="","",IFERROR(INDEX(Emp_Names,MATCH($A50,Emp_Codes,0)),"NOT FOUND"))</f>
        <v/>
      </c>
      <c r="C50" s="14" t="n"/>
      <c r="D50" s="15" t="n"/>
      <c r="E50" s="15" t="n"/>
      <c r="F50" s="15" t="n"/>
      <c r="G50" s="15" t="n"/>
      <c r="H50" s="16">
        <f>IF($A50="","",$D50+IF($E50="",0,$E50)+IF($F50="",0,$F50)-IF($G50="",0,$G50))</f>
        <v/>
      </c>
      <c r="I50" s="12" t="n"/>
      <c r="J50" s="12" t="n"/>
      <c r="K50" s="12" t="n"/>
      <c r="L50" s="14" t="n"/>
      <c r="M50" s="12" t="n"/>
      <c r="N50" s="12" t="n"/>
      <c r="O50" s="12" t="n"/>
    </row>
    <row r="51">
      <c r="A51" s="12" t="n"/>
      <c r="B51" s="13">
        <f>IF($A51="","",IFERROR(INDEX(Emp_Names,MATCH($A51,Emp_Codes,0)),"NOT FOUND"))</f>
        <v/>
      </c>
      <c r="C51" s="14" t="n"/>
      <c r="D51" s="15" t="n"/>
      <c r="E51" s="15" t="n"/>
      <c r="F51" s="15" t="n"/>
      <c r="G51" s="15" t="n"/>
      <c r="H51" s="16">
        <f>IF($A51="","",$D51+IF($E51="",0,$E51)+IF($F51="",0,$F51)-IF($G51="",0,$G51))</f>
        <v/>
      </c>
      <c r="I51" s="12" t="n"/>
      <c r="J51" s="12" t="n"/>
      <c r="K51" s="12" t="n"/>
      <c r="L51" s="14" t="n"/>
      <c r="M51" s="12" t="n"/>
      <c r="N51" s="12" t="n"/>
      <c r="O51" s="12" t="n"/>
    </row>
    <row r="52">
      <c r="A52" s="12" t="n"/>
      <c r="B52" s="13">
        <f>IF($A52="","",IFERROR(INDEX(Emp_Names,MATCH($A52,Emp_Codes,0)),"NOT FOUND"))</f>
        <v/>
      </c>
      <c r="C52" s="14" t="n"/>
      <c r="D52" s="15" t="n"/>
      <c r="E52" s="15" t="n"/>
      <c r="F52" s="15" t="n"/>
      <c r="G52" s="15" t="n"/>
      <c r="H52" s="16">
        <f>IF($A52="","",$D52+IF($E52="",0,$E52)+IF($F52="",0,$F52)-IF($G52="",0,$G52))</f>
        <v/>
      </c>
      <c r="I52" s="12" t="n"/>
      <c r="J52" s="12" t="n"/>
      <c r="K52" s="12" t="n"/>
      <c r="L52" s="14" t="n"/>
      <c r="M52" s="12" t="n"/>
      <c r="N52" s="12" t="n"/>
      <c r="O52" s="12" t="n"/>
    </row>
    <row r="53">
      <c r="A53" s="12" t="n"/>
      <c r="B53" s="13">
        <f>IF($A53="","",IFERROR(INDEX(Emp_Names,MATCH($A53,Emp_Codes,0)),"NOT FOUND"))</f>
        <v/>
      </c>
      <c r="C53" s="14" t="n"/>
      <c r="D53" s="15" t="n"/>
      <c r="E53" s="15" t="n"/>
      <c r="F53" s="15" t="n"/>
      <c r="G53" s="15" t="n"/>
      <c r="H53" s="16">
        <f>IF($A53="","",$D53+IF($E53="",0,$E53)+IF($F53="",0,$F53)-IF($G53="",0,$G53))</f>
        <v/>
      </c>
      <c r="I53" s="12" t="n"/>
      <c r="J53" s="12" t="n"/>
      <c r="K53" s="12" t="n"/>
      <c r="L53" s="14" t="n"/>
      <c r="M53" s="12" t="n"/>
      <c r="N53" s="12" t="n"/>
      <c r="O53" s="12" t="n"/>
    </row>
    <row r="54">
      <c r="A54" s="12" t="n"/>
      <c r="B54" s="13">
        <f>IF($A54="","",IFERROR(INDEX(Emp_Names,MATCH($A54,Emp_Codes,0)),"NOT FOUND"))</f>
        <v/>
      </c>
      <c r="C54" s="14" t="n"/>
      <c r="D54" s="15" t="n"/>
      <c r="E54" s="15" t="n"/>
      <c r="F54" s="15" t="n"/>
      <c r="G54" s="15" t="n"/>
      <c r="H54" s="16">
        <f>IF($A54="","",$D54+IF($E54="",0,$E54)+IF($F54="",0,$F54)-IF($G54="",0,$G54))</f>
        <v/>
      </c>
      <c r="I54" s="12" t="n"/>
      <c r="J54" s="12" t="n"/>
      <c r="K54" s="12" t="n"/>
      <c r="L54" s="14" t="n"/>
      <c r="M54" s="12" t="n"/>
      <c r="N54" s="12" t="n"/>
      <c r="O54" s="12" t="n"/>
    </row>
    <row r="55">
      <c r="A55" s="12" t="n"/>
      <c r="B55" s="13">
        <f>IF($A55="","",IFERROR(INDEX(Emp_Names,MATCH($A55,Emp_Codes,0)),"NOT FOUND"))</f>
        <v/>
      </c>
      <c r="C55" s="14" t="n"/>
      <c r="D55" s="15" t="n"/>
      <c r="E55" s="15" t="n"/>
      <c r="F55" s="15" t="n"/>
      <c r="G55" s="15" t="n"/>
      <c r="H55" s="16">
        <f>IF($A55="","",$D55+IF($E55="",0,$E55)+IF($F55="",0,$F55)-IF($G55="",0,$G55))</f>
        <v/>
      </c>
      <c r="I55" s="12" t="n"/>
      <c r="J55" s="12" t="n"/>
      <c r="K55" s="12" t="n"/>
      <c r="L55" s="14" t="n"/>
      <c r="M55" s="12" t="n"/>
      <c r="N55" s="12" t="n"/>
      <c r="O55" s="12" t="n"/>
    </row>
    <row r="56">
      <c r="A56" s="12" t="n"/>
      <c r="B56" s="13">
        <f>IF($A56="","",IFERROR(INDEX(Emp_Names,MATCH($A56,Emp_Codes,0)),"NOT FOUND"))</f>
        <v/>
      </c>
      <c r="C56" s="14" t="n"/>
      <c r="D56" s="15" t="n"/>
      <c r="E56" s="15" t="n"/>
      <c r="F56" s="15" t="n"/>
      <c r="G56" s="15" t="n"/>
      <c r="H56" s="16">
        <f>IF($A56="","",$D56+IF($E56="",0,$E56)+IF($F56="",0,$F56)-IF($G56="",0,$G56))</f>
        <v/>
      </c>
      <c r="I56" s="12" t="n"/>
      <c r="J56" s="12" t="n"/>
      <c r="K56" s="12" t="n"/>
      <c r="L56" s="14" t="n"/>
      <c r="M56" s="12" t="n"/>
      <c r="N56" s="12" t="n"/>
      <c r="O56" s="12" t="n"/>
    </row>
    <row r="57">
      <c r="A57" s="12" t="n"/>
      <c r="B57" s="13">
        <f>IF($A57="","",IFERROR(INDEX(Emp_Names,MATCH($A57,Emp_Codes,0)),"NOT FOUND"))</f>
        <v/>
      </c>
      <c r="C57" s="14" t="n"/>
      <c r="D57" s="15" t="n"/>
      <c r="E57" s="15" t="n"/>
      <c r="F57" s="15" t="n"/>
      <c r="G57" s="15" t="n"/>
      <c r="H57" s="16">
        <f>IF($A57="","",$D57+IF($E57="",0,$E57)+IF($F57="",0,$F57)-IF($G57="",0,$G57))</f>
        <v/>
      </c>
      <c r="I57" s="12" t="n"/>
      <c r="J57" s="12" t="n"/>
      <c r="K57" s="12" t="n"/>
      <c r="L57" s="14" t="n"/>
      <c r="M57" s="12" t="n"/>
      <c r="N57" s="12" t="n"/>
      <c r="O57" s="12" t="n"/>
    </row>
    <row r="58">
      <c r="A58" s="12" t="n"/>
      <c r="B58" s="13">
        <f>IF($A58="","",IFERROR(INDEX(Emp_Names,MATCH($A58,Emp_Codes,0)),"NOT FOUND"))</f>
        <v/>
      </c>
      <c r="C58" s="14" t="n"/>
      <c r="D58" s="15" t="n"/>
      <c r="E58" s="15" t="n"/>
      <c r="F58" s="15" t="n"/>
      <c r="G58" s="15" t="n"/>
      <c r="H58" s="16">
        <f>IF($A58="","",$D58+IF($E58="",0,$E58)+IF($F58="",0,$F58)-IF($G58="",0,$G58))</f>
        <v/>
      </c>
      <c r="I58" s="12" t="n"/>
      <c r="J58" s="12" t="n"/>
      <c r="K58" s="12" t="n"/>
      <c r="L58" s="14" t="n"/>
      <c r="M58" s="12" t="n"/>
      <c r="N58" s="12" t="n"/>
      <c r="O58" s="12" t="n"/>
    </row>
    <row r="59">
      <c r="A59" s="12" t="n"/>
      <c r="B59" s="13">
        <f>IF($A59="","",IFERROR(INDEX(Emp_Names,MATCH($A59,Emp_Codes,0)),"NOT FOUND"))</f>
        <v/>
      </c>
      <c r="C59" s="14" t="n"/>
      <c r="D59" s="15" t="n"/>
      <c r="E59" s="15" t="n"/>
      <c r="F59" s="15" t="n"/>
      <c r="G59" s="15" t="n"/>
      <c r="H59" s="16">
        <f>IF($A59="","",$D59+IF($E59="",0,$E59)+IF($F59="",0,$F59)-IF($G59="",0,$G59))</f>
        <v/>
      </c>
      <c r="I59" s="12" t="n"/>
      <c r="J59" s="12" t="n"/>
      <c r="K59" s="12" t="n"/>
      <c r="L59" s="14" t="n"/>
      <c r="M59" s="12" t="n"/>
      <c r="N59" s="12" t="n"/>
      <c r="O59" s="12" t="n"/>
    </row>
    <row r="60">
      <c r="A60" s="12" t="n"/>
      <c r="B60" s="13">
        <f>IF($A60="","",IFERROR(INDEX(Emp_Names,MATCH($A60,Emp_Codes,0)),"NOT FOUND"))</f>
        <v/>
      </c>
      <c r="C60" s="14" t="n"/>
      <c r="D60" s="15" t="n"/>
      <c r="E60" s="15" t="n"/>
      <c r="F60" s="15" t="n"/>
      <c r="G60" s="15" t="n"/>
      <c r="H60" s="16">
        <f>IF($A60="","",$D60+IF($E60="",0,$E60)+IF($F60="",0,$F60)-IF($G60="",0,$G60))</f>
        <v/>
      </c>
      <c r="I60" s="12" t="n"/>
      <c r="J60" s="12" t="n"/>
      <c r="K60" s="12" t="n"/>
      <c r="L60" s="14" t="n"/>
      <c r="M60" s="12" t="n"/>
      <c r="N60" s="12" t="n"/>
      <c r="O60" s="12" t="n"/>
    </row>
    <row r="61">
      <c r="A61" s="12" t="n"/>
      <c r="B61" s="13">
        <f>IF($A61="","",IFERROR(INDEX(Emp_Names,MATCH($A61,Emp_Codes,0)),"NOT FOUND"))</f>
        <v/>
      </c>
      <c r="C61" s="14" t="n"/>
      <c r="D61" s="15" t="n"/>
      <c r="E61" s="15" t="n"/>
      <c r="F61" s="15" t="n"/>
      <c r="G61" s="15" t="n"/>
      <c r="H61" s="16">
        <f>IF($A61="","",$D61+IF($E61="",0,$E61)+IF($F61="",0,$F61)-IF($G61="",0,$G61))</f>
        <v/>
      </c>
      <c r="I61" s="12" t="n"/>
      <c r="J61" s="12" t="n"/>
      <c r="K61" s="12" t="n"/>
      <c r="L61" s="14" t="n"/>
      <c r="M61" s="12" t="n"/>
      <c r="N61" s="12" t="n"/>
      <c r="O61" s="12" t="n"/>
    </row>
    <row r="62">
      <c r="A62" s="12" t="n"/>
      <c r="B62" s="13">
        <f>IF($A62="","",IFERROR(INDEX(Emp_Names,MATCH($A62,Emp_Codes,0)),"NOT FOUND"))</f>
        <v/>
      </c>
      <c r="C62" s="14" t="n"/>
      <c r="D62" s="15" t="n"/>
      <c r="E62" s="15" t="n"/>
      <c r="F62" s="15" t="n"/>
      <c r="G62" s="15" t="n"/>
      <c r="H62" s="16">
        <f>IF($A62="","",$D62+IF($E62="",0,$E62)+IF($F62="",0,$F62)-IF($G62="",0,$G62))</f>
        <v/>
      </c>
      <c r="I62" s="12" t="n"/>
      <c r="J62" s="12" t="n"/>
      <c r="K62" s="12" t="n"/>
      <c r="L62" s="14" t="n"/>
      <c r="M62" s="12" t="n"/>
      <c r="N62" s="12" t="n"/>
      <c r="O62" s="12" t="n"/>
    </row>
    <row r="63">
      <c r="A63" s="12" t="n"/>
      <c r="B63" s="13">
        <f>IF($A63="","",IFERROR(INDEX(Emp_Names,MATCH($A63,Emp_Codes,0)),"NOT FOUND"))</f>
        <v/>
      </c>
      <c r="C63" s="14" t="n"/>
      <c r="D63" s="15" t="n"/>
      <c r="E63" s="15" t="n"/>
      <c r="F63" s="15" t="n"/>
      <c r="G63" s="15" t="n"/>
      <c r="H63" s="16">
        <f>IF($A63="","",$D63+IF($E63="",0,$E63)+IF($F63="",0,$F63)-IF($G63="",0,$G63))</f>
        <v/>
      </c>
      <c r="I63" s="12" t="n"/>
      <c r="J63" s="12" t="n"/>
      <c r="K63" s="12" t="n"/>
      <c r="L63" s="14" t="n"/>
      <c r="M63" s="12" t="n"/>
      <c r="N63" s="12" t="n"/>
      <c r="O63" s="12" t="n"/>
    </row>
    <row r="64">
      <c r="A64" s="12" t="n"/>
      <c r="B64" s="13">
        <f>IF($A64="","",IFERROR(INDEX(Emp_Names,MATCH($A64,Emp_Codes,0)),"NOT FOUND"))</f>
        <v/>
      </c>
      <c r="C64" s="14" t="n"/>
      <c r="D64" s="15" t="n"/>
      <c r="E64" s="15" t="n"/>
      <c r="F64" s="15" t="n"/>
      <c r="G64" s="15" t="n"/>
      <c r="H64" s="16">
        <f>IF($A64="","",$D64+IF($E64="",0,$E64)+IF($F64="",0,$F64)-IF($G64="",0,$G64))</f>
        <v/>
      </c>
      <c r="I64" s="12" t="n"/>
      <c r="J64" s="12" t="n"/>
      <c r="K64" s="12" t="n"/>
      <c r="L64" s="14" t="n"/>
      <c r="M64" s="12" t="n"/>
      <c r="N64" s="12" t="n"/>
      <c r="O64" s="12" t="n"/>
    </row>
    <row r="65">
      <c r="A65" s="12" t="n"/>
      <c r="B65" s="13">
        <f>IF($A65="","",IFERROR(INDEX(Emp_Names,MATCH($A65,Emp_Codes,0)),"NOT FOUND"))</f>
        <v/>
      </c>
      <c r="C65" s="14" t="n"/>
      <c r="D65" s="15" t="n"/>
      <c r="E65" s="15" t="n"/>
      <c r="F65" s="15" t="n"/>
      <c r="G65" s="15" t="n"/>
      <c r="H65" s="16">
        <f>IF($A65="","",$D65+IF($E65="",0,$E65)+IF($F65="",0,$F65)-IF($G65="",0,$G65))</f>
        <v/>
      </c>
      <c r="I65" s="12" t="n"/>
      <c r="J65" s="12" t="n"/>
      <c r="K65" s="12" t="n"/>
      <c r="L65" s="14" t="n"/>
      <c r="M65" s="12" t="n"/>
      <c r="N65" s="12" t="n"/>
      <c r="O65" s="12" t="n"/>
    </row>
    <row r="66">
      <c r="A66" s="12" t="n"/>
      <c r="B66" s="13">
        <f>IF($A66="","",IFERROR(INDEX(Emp_Names,MATCH($A66,Emp_Codes,0)),"NOT FOUND"))</f>
        <v/>
      </c>
      <c r="C66" s="14" t="n"/>
      <c r="D66" s="15" t="n"/>
      <c r="E66" s="15" t="n"/>
      <c r="F66" s="15" t="n"/>
      <c r="G66" s="15" t="n"/>
      <c r="H66" s="16">
        <f>IF($A66="","",$D66+IF($E66="",0,$E66)+IF($F66="",0,$F66)-IF($G66="",0,$G66))</f>
        <v/>
      </c>
      <c r="I66" s="12" t="n"/>
      <c r="J66" s="12" t="n"/>
      <c r="K66" s="12" t="n"/>
      <c r="L66" s="14" t="n"/>
      <c r="M66" s="12" t="n"/>
      <c r="N66" s="12" t="n"/>
      <c r="O66" s="12" t="n"/>
    </row>
    <row r="67">
      <c r="A67" s="12" t="n"/>
      <c r="B67" s="13">
        <f>IF($A67="","",IFERROR(INDEX(Emp_Names,MATCH($A67,Emp_Codes,0)),"NOT FOUND"))</f>
        <v/>
      </c>
      <c r="C67" s="14" t="n"/>
      <c r="D67" s="15" t="n"/>
      <c r="E67" s="15" t="n"/>
      <c r="F67" s="15" t="n"/>
      <c r="G67" s="15" t="n"/>
      <c r="H67" s="16">
        <f>IF($A67="","",$D67+IF($E67="",0,$E67)+IF($F67="",0,$F67)-IF($G67="",0,$G67))</f>
        <v/>
      </c>
      <c r="I67" s="12" t="n"/>
      <c r="J67" s="12" t="n"/>
      <c r="K67" s="12" t="n"/>
      <c r="L67" s="14" t="n"/>
      <c r="M67" s="12" t="n"/>
      <c r="N67" s="12" t="n"/>
      <c r="O67" s="12" t="n"/>
    </row>
    <row r="68">
      <c r="A68" s="12" t="n"/>
      <c r="B68" s="13">
        <f>IF($A68="","",IFERROR(INDEX(Emp_Names,MATCH($A68,Emp_Codes,0)),"NOT FOUND"))</f>
        <v/>
      </c>
      <c r="C68" s="14" t="n"/>
      <c r="D68" s="15" t="n"/>
      <c r="E68" s="15" t="n"/>
      <c r="F68" s="15" t="n"/>
      <c r="G68" s="15" t="n"/>
      <c r="H68" s="16">
        <f>IF($A68="","",$D68+IF($E68="",0,$E68)+IF($F68="",0,$F68)-IF($G68="",0,$G68))</f>
        <v/>
      </c>
      <c r="I68" s="12" t="n"/>
      <c r="J68" s="12" t="n"/>
      <c r="K68" s="12" t="n"/>
      <c r="L68" s="14" t="n"/>
      <c r="M68" s="12" t="n"/>
      <c r="N68" s="12" t="n"/>
      <c r="O68" s="12" t="n"/>
    </row>
    <row r="69">
      <c r="A69" s="12" t="n"/>
      <c r="B69" s="13">
        <f>IF($A69="","",IFERROR(INDEX(Emp_Names,MATCH($A69,Emp_Codes,0)),"NOT FOUND"))</f>
        <v/>
      </c>
      <c r="C69" s="14" t="n"/>
      <c r="D69" s="15" t="n"/>
      <c r="E69" s="15" t="n"/>
      <c r="F69" s="15" t="n"/>
      <c r="G69" s="15" t="n"/>
      <c r="H69" s="16">
        <f>IF($A69="","",$D69+IF($E69="",0,$E69)+IF($F69="",0,$F69)-IF($G69="",0,$G69))</f>
        <v/>
      </c>
      <c r="I69" s="12" t="n"/>
      <c r="J69" s="12" t="n"/>
      <c r="K69" s="12" t="n"/>
      <c r="L69" s="14" t="n"/>
      <c r="M69" s="12" t="n"/>
      <c r="N69" s="12" t="n"/>
      <c r="O69" s="12" t="n"/>
    </row>
    <row r="70">
      <c r="A70" s="12" t="n"/>
      <c r="B70" s="13">
        <f>IF($A70="","",IFERROR(INDEX(Emp_Names,MATCH($A70,Emp_Codes,0)),"NOT FOUND"))</f>
        <v/>
      </c>
      <c r="C70" s="14" t="n"/>
      <c r="D70" s="15" t="n"/>
      <c r="E70" s="15" t="n"/>
      <c r="F70" s="15" t="n"/>
      <c r="G70" s="15" t="n"/>
      <c r="H70" s="16">
        <f>IF($A70="","",$D70+IF($E70="",0,$E70)+IF($F70="",0,$F70)-IF($G70="",0,$G70))</f>
        <v/>
      </c>
      <c r="I70" s="12" t="n"/>
      <c r="J70" s="12" t="n"/>
      <c r="K70" s="12" t="n"/>
      <c r="L70" s="14" t="n"/>
      <c r="M70" s="12" t="n"/>
      <c r="N70" s="12" t="n"/>
      <c r="O70" s="12" t="n"/>
    </row>
    <row r="71">
      <c r="A71" s="12" t="n"/>
      <c r="B71" s="13">
        <f>IF($A71="","",IFERROR(INDEX(Emp_Names,MATCH($A71,Emp_Codes,0)),"NOT FOUND"))</f>
        <v/>
      </c>
      <c r="C71" s="14" t="n"/>
      <c r="D71" s="15" t="n"/>
      <c r="E71" s="15" t="n"/>
      <c r="F71" s="15" t="n"/>
      <c r="G71" s="15" t="n"/>
      <c r="H71" s="16">
        <f>IF($A71="","",$D71+IF($E71="",0,$E71)+IF($F71="",0,$F71)-IF($G71="",0,$G71))</f>
        <v/>
      </c>
      <c r="I71" s="12" t="n"/>
      <c r="J71" s="12" t="n"/>
      <c r="K71" s="12" t="n"/>
      <c r="L71" s="14" t="n"/>
      <c r="M71" s="12" t="n"/>
      <c r="N71" s="12" t="n"/>
      <c r="O71" s="12" t="n"/>
    </row>
    <row r="72">
      <c r="A72" s="12" t="n"/>
      <c r="B72" s="13">
        <f>IF($A72="","",IFERROR(INDEX(Emp_Names,MATCH($A72,Emp_Codes,0)),"NOT FOUND"))</f>
        <v/>
      </c>
      <c r="C72" s="14" t="n"/>
      <c r="D72" s="15" t="n"/>
      <c r="E72" s="15" t="n"/>
      <c r="F72" s="15" t="n"/>
      <c r="G72" s="15" t="n"/>
      <c r="H72" s="16">
        <f>IF($A72="","",$D72+IF($E72="",0,$E72)+IF($F72="",0,$F72)-IF($G72="",0,$G72))</f>
        <v/>
      </c>
      <c r="I72" s="12" t="n"/>
      <c r="J72" s="12" t="n"/>
      <c r="K72" s="12" t="n"/>
      <c r="L72" s="14" t="n"/>
      <c r="M72" s="12" t="n"/>
      <c r="N72" s="12" t="n"/>
      <c r="O72" s="12" t="n"/>
    </row>
    <row r="73">
      <c r="A73" s="12" t="n"/>
      <c r="B73" s="13">
        <f>IF($A73="","",IFERROR(INDEX(Emp_Names,MATCH($A73,Emp_Codes,0)),"NOT FOUND"))</f>
        <v/>
      </c>
      <c r="C73" s="14" t="n"/>
      <c r="D73" s="15" t="n"/>
      <c r="E73" s="15" t="n"/>
      <c r="F73" s="15" t="n"/>
      <c r="G73" s="15" t="n"/>
      <c r="H73" s="16">
        <f>IF($A73="","",$D73+IF($E73="",0,$E73)+IF($F73="",0,$F73)-IF($G73="",0,$G73))</f>
        <v/>
      </c>
      <c r="I73" s="12" t="n"/>
      <c r="J73" s="12" t="n"/>
      <c r="K73" s="12" t="n"/>
      <c r="L73" s="14" t="n"/>
      <c r="M73" s="12" t="n"/>
      <c r="N73" s="12" t="n"/>
      <c r="O73" s="12" t="n"/>
    </row>
    <row r="74">
      <c r="A74" s="12" t="n"/>
      <c r="B74" s="13">
        <f>IF($A74="","",IFERROR(INDEX(Emp_Names,MATCH($A74,Emp_Codes,0)),"NOT FOUND"))</f>
        <v/>
      </c>
      <c r="C74" s="14" t="n"/>
      <c r="D74" s="15" t="n"/>
      <c r="E74" s="15" t="n"/>
      <c r="F74" s="15" t="n"/>
      <c r="G74" s="15" t="n"/>
      <c r="H74" s="16">
        <f>IF($A74="","",$D74+IF($E74="",0,$E74)+IF($F74="",0,$F74)-IF($G74="",0,$G74))</f>
        <v/>
      </c>
      <c r="I74" s="12" t="n"/>
      <c r="J74" s="12" t="n"/>
      <c r="K74" s="12" t="n"/>
      <c r="L74" s="14" t="n"/>
      <c r="M74" s="12" t="n"/>
      <c r="N74" s="12" t="n"/>
      <c r="O74" s="12" t="n"/>
    </row>
    <row r="75">
      <c r="A75" s="12" t="n"/>
      <c r="B75" s="13">
        <f>IF($A75="","",IFERROR(INDEX(Emp_Names,MATCH($A75,Emp_Codes,0)),"NOT FOUND"))</f>
        <v/>
      </c>
      <c r="C75" s="14" t="n"/>
      <c r="D75" s="15" t="n"/>
      <c r="E75" s="15" t="n"/>
      <c r="F75" s="15" t="n"/>
      <c r="G75" s="15" t="n"/>
      <c r="H75" s="16">
        <f>IF($A75="","",$D75+IF($E75="",0,$E75)+IF($F75="",0,$F75)-IF($G75="",0,$G75))</f>
        <v/>
      </c>
      <c r="I75" s="12" t="n"/>
      <c r="J75" s="12" t="n"/>
      <c r="K75" s="12" t="n"/>
      <c r="L75" s="14" t="n"/>
      <c r="M75" s="12" t="n"/>
      <c r="N75" s="12" t="n"/>
      <c r="O75" s="12" t="n"/>
    </row>
    <row r="76">
      <c r="A76" s="12" t="n"/>
      <c r="B76" s="13">
        <f>IF($A76="","",IFERROR(INDEX(Emp_Names,MATCH($A76,Emp_Codes,0)),"NOT FOUND"))</f>
        <v/>
      </c>
      <c r="C76" s="14" t="n"/>
      <c r="D76" s="15" t="n"/>
      <c r="E76" s="15" t="n"/>
      <c r="F76" s="15" t="n"/>
      <c r="G76" s="15" t="n"/>
      <c r="H76" s="16">
        <f>IF($A76="","",$D76+IF($E76="",0,$E76)+IF($F76="",0,$F76)-IF($G76="",0,$G76))</f>
        <v/>
      </c>
      <c r="I76" s="12" t="n"/>
      <c r="J76" s="12" t="n"/>
      <c r="K76" s="12" t="n"/>
      <c r="L76" s="14" t="n"/>
      <c r="M76" s="12" t="n"/>
      <c r="N76" s="12" t="n"/>
      <c r="O76" s="12" t="n"/>
    </row>
    <row r="77">
      <c r="A77" s="12" t="n"/>
      <c r="B77" s="13">
        <f>IF($A77="","",IFERROR(INDEX(Emp_Names,MATCH($A77,Emp_Codes,0)),"NOT FOUND"))</f>
        <v/>
      </c>
      <c r="C77" s="14" t="n"/>
      <c r="D77" s="15" t="n"/>
      <c r="E77" s="15" t="n"/>
      <c r="F77" s="15" t="n"/>
      <c r="G77" s="15" t="n"/>
      <c r="H77" s="16">
        <f>IF($A77="","",$D77+IF($E77="",0,$E77)+IF($F77="",0,$F77)-IF($G77="",0,$G77))</f>
        <v/>
      </c>
      <c r="I77" s="12" t="n"/>
      <c r="J77" s="12" t="n"/>
      <c r="K77" s="12" t="n"/>
      <c r="L77" s="14" t="n"/>
      <c r="M77" s="12" t="n"/>
      <c r="N77" s="12" t="n"/>
      <c r="O77" s="12" t="n"/>
    </row>
    <row r="78">
      <c r="A78" s="12" t="n"/>
      <c r="B78" s="13">
        <f>IF($A78="","",IFERROR(INDEX(Emp_Names,MATCH($A78,Emp_Codes,0)),"NOT FOUND"))</f>
        <v/>
      </c>
      <c r="C78" s="14" t="n"/>
      <c r="D78" s="15" t="n"/>
      <c r="E78" s="15" t="n"/>
      <c r="F78" s="15" t="n"/>
      <c r="G78" s="15" t="n"/>
      <c r="H78" s="16">
        <f>IF($A78="","",$D78+IF($E78="",0,$E78)+IF($F78="",0,$F78)-IF($G78="",0,$G78))</f>
        <v/>
      </c>
      <c r="I78" s="12" t="n"/>
      <c r="J78" s="12" t="n"/>
      <c r="K78" s="12" t="n"/>
      <c r="L78" s="14" t="n"/>
      <c r="M78" s="12" t="n"/>
      <c r="N78" s="12" t="n"/>
      <c r="O78" s="12" t="n"/>
    </row>
    <row r="79">
      <c r="A79" s="12" t="n"/>
      <c r="B79" s="13">
        <f>IF($A79="","",IFERROR(INDEX(Emp_Names,MATCH($A79,Emp_Codes,0)),"NOT FOUND"))</f>
        <v/>
      </c>
      <c r="C79" s="14" t="n"/>
      <c r="D79" s="15" t="n"/>
      <c r="E79" s="15" t="n"/>
      <c r="F79" s="15" t="n"/>
      <c r="G79" s="15" t="n"/>
      <c r="H79" s="16">
        <f>IF($A79="","",$D79+IF($E79="",0,$E79)+IF($F79="",0,$F79)-IF($G79="",0,$G79))</f>
        <v/>
      </c>
      <c r="I79" s="12" t="n"/>
      <c r="J79" s="12" t="n"/>
      <c r="K79" s="12" t="n"/>
      <c r="L79" s="14" t="n"/>
      <c r="M79" s="12" t="n"/>
      <c r="N79" s="12" t="n"/>
      <c r="O79" s="12" t="n"/>
    </row>
    <row r="80">
      <c r="A80" s="12" t="n"/>
      <c r="B80" s="13">
        <f>IF($A80="","",IFERROR(INDEX(Emp_Names,MATCH($A80,Emp_Codes,0)),"NOT FOUND"))</f>
        <v/>
      </c>
      <c r="C80" s="14" t="n"/>
      <c r="D80" s="15" t="n"/>
      <c r="E80" s="15" t="n"/>
      <c r="F80" s="15" t="n"/>
      <c r="G80" s="15" t="n"/>
      <c r="H80" s="16">
        <f>IF($A80="","",$D80+IF($E80="",0,$E80)+IF($F80="",0,$F80)-IF($G80="",0,$G80))</f>
        <v/>
      </c>
      <c r="I80" s="12" t="n"/>
      <c r="J80" s="12" t="n"/>
      <c r="K80" s="12" t="n"/>
      <c r="L80" s="14" t="n"/>
      <c r="M80" s="12" t="n"/>
      <c r="N80" s="12" t="n"/>
      <c r="O80" s="12" t="n"/>
    </row>
    <row r="81">
      <c r="A81" s="12" t="n"/>
      <c r="B81" s="13">
        <f>IF($A81="","",IFERROR(INDEX(Emp_Names,MATCH($A81,Emp_Codes,0)),"NOT FOUND"))</f>
        <v/>
      </c>
      <c r="C81" s="14" t="n"/>
      <c r="D81" s="15" t="n"/>
      <c r="E81" s="15" t="n"/>
      <c r="F81" s="15" t="n"/>
      <c r="G81" s="15" t="n"/>
      <c r="H81" s="16">
        <f>IF($A81="","",$D81+IF($E81="",0,$E81)+IF($F81="",0,$F81)-IF($G81="",0,$G81))</f>
        <v/>
      </c>
      <c r="I81" s="12" t="n"/>
      <c r="J81" s="12" t="n"/>
      <c r="K81" s="12" t="n"/>
      <c r="L81" s="14" t="n"/>
      <c r="M81" s="12" t="n"/>
      <c r="N81" s="12" t="n"/>
      <c r="O81" s="12" t="n"/>
    </row>
    <row r="82">
      <c r="A82" s="12" t="n"/>
      <c r="B82" s="13">
        <f>IF($A82="","",IFERROR(INDEX(Emp_Names,MATCH($A82,Emp_Codes,0)),"NOT FOUND"))</f>
        <v/>
      </c>
      <c r="C82" s="14" t="n"/>
      <c r="D82" s="15" t="n"/>
      <c r="E82" s="15" t="n"/>
      <c r="F82" s="15" t="n"/>
      <c r="G82" s="15" t="n"/>
      <c r="H82" s="16">
        <f>IF($A82="","",$D82+IF($E82="",0,$E82)+IF($F82="",0,$F82)-IF($G82="",0,$G82))</f>
        <v/>
      </c>
      <c r="I82" s="12" t="n"/>
      <c r="J82" s="12" t="n"/>
      <c r="K82" s="12" t="n"/>
      <c r="L82" s="14" t="n"/>
      <c r="M82" s="12" t="n"/>
      <c r="N82" s="12" t="n"/>
      <c r="O82" s="12" t="n"/>
    </row>
    <row r="83">
      <c r="A83" s="12" t="n"/>
      <c r="B83" s="13">
        <f>IF($A83="","",IFERROR(INDEX(Emp_Names,MATCH($A83,Emp_Codes,0)),"NOT FOUND"))</f>
        <v/>
      </c>
      <c r="C83" s="14" t="n"/>
      <c r="D83" s="15" t="n"/>
      <c r="E83" s="15" t="n"/>
      <c r="F83" s="15" t="n"/>
      <c r="G83" s="15" t="n"/>
      <c r="H83" s="16">
        <f>IF($A83="","",$D83+IF($E83="",0,$E83)+IF($F83="",0,$F83)-IF($G83="",0,$G83))</f>
        <v/>
      </c>
      <c r="I83" s="12" t="n"/>
      <c r="J83" s="12" t="n"/>
      <c r="K83" s="12" t="n"/>
      <c r="L83" s="14" t="n"/>
      <c r="M83" s="12" t="n"/>
      <c r="N83" s="12" t="n"/>
      <c r="O83" s="12" t="n"/>
    </row>
    <row r="84">
      <c r="A84" s="12" t="n"/>
      <c r="B84" s="13">
        <f>IF($A84="","",IFERROR(INDEX(Emp_Names,MATCH($A84,Emp_Codes,0)),"NOT FOUND"))</f>
        <v/>
      </c>
      <c r="C84" s="14" t="n"/>
      <c r="D84" s="15" t="n"/>
      <c r="E84" s="15" t="n"/>
      <c r="F84" s="15" t="n"/>
      <c r="G84" s="15" t="n"/>
      <c r="H84" s="16">
        <f>IF($A84="","",$D84+IF($E84="",0,$E84)+IF($F84="",0,$F84)-IF($G84="",0,$G84))</f>
        <v/>
      </c>
      <c r="I84" s="12" t="n"/>
      <c r="J84" s="12" t="n"/>
      <c r="K84" s="12" t="n"/>
      <c r="L84" s="14" t="n"/>
      <c r="M84" s="12" t="n"/>
      <c r="N84" s="12" t="n"/>
      <c r="O84" s="12" t="n"/>
    </row>
    <row r="85">
      <c r="A85" s="12" t="n"/>
      <c r="B85" s="13">
        <f>IF($A85="","",IFERROR(INDEX(Emp_Names,MATCH($A85,Emp_Codes,0)),"NOT FOUND"))</f>
        <v/>
      </c>
      <c r="C85" s="14" t="n"/>
      <c r="D85" s="15" t="n"/>
      <c r="E85" s="15" t="n"/>
      <c r="F85" s="15" t="n"/>
      <c r="G85" s="15" t="n"/>
      <c r="H85" s="16">
        <f>IF($A85="","",$D85+IF($E85="",0,$E85)+IF($F85="",0,$F85)-IF($G85="",0,$G85))</f>
        <v/>
      </c>
      <c r="I85" s="12" t="n"/>
      <c r="J85" s="12" t="n"/>
      <c r="K85" s="12" t="n"/>
      <c r="L85" s="14" t="n"/>
      <c r="M85" s="12" t="n"/>
      <c r="N85" s="12" t="n"/>
      <c r="O85" s="12" t="n"/>
    </row>
    <row r="86">
      <c r="A86" s="12" t="n"/>
      <c r="B86" s="13">
        <f>IF($A86="","",IFERROR(INDEX(Emp_Names,MATCH($A86,Emp_Codes,0)),"NOT FOUND"))</f>
        <v/>
      </c>
      <c r="C86" s="14" t="n"/>
      <c r="D86" s="15" t="n"/>
      <c r="E86" s="15" t="n"/>
      <c r="F86" s="15" t="n"/>
      <c r="G86" s="15" t="n"/>
      <c r="H86" s="16">
        <f>IF($A86="","",$D86+IF($E86="",0,$E86)+IF($F86="",0,$F86)-IF($G86="",0,$G86))</f>
        <v/>
      </c>
      <c r="I86" s="12" t="n"/>
      <c r="J86" s="12" t="n"/>
      <c r="K86" s="12" t="n"/>
      <c r="L86" s="14" t="n"/>
      <c r="M86" s="12" t="n"/>
      <c r="N86" s="12" t="n"/>
      <c r="O86" s="12" t="n"/>
    </row>
    <row r="87">
      <c r="A87" s="12" t="n"/>
      <c r="B87" s="13">
        <f>IF($A87="","",IFERROR(INDEX(Emp_Names,MATCH($A87,Emp_Codes,0)),"NOT FOUND"))</f>
        <v/>
      </c>
      <c r="C87" s="14" t="n"/>
      <c r="D87" s="15" t="n"/>
      <c r="E87" s="15" t="n"/>
      <c r="F87" s="15" t="n"/>
      <c r="G87" s="15" t="n"/>
      <c r="H87" s="16">
        <f>IF($A87="","",$D87+IF($E87="",0,$E87)+IF($F87="",0,$F87)-IF($G87="",0,$G87))</f>
        <v/>
      </c>
      <c r="I87" s="12" t="n"/>
      <c r="J87" s="12" t="n"/>
      <c r="K87" s="12" t="n"/>
      <c r="L87" s="14" t="n"/>
      <c r="M87" s="12" t="n"/>
      <c r="N87" s="12" t="n"/>
      <c r="O87" s="12" t="n"/>
    </row>
    <row r="88">
      <c r="A88" s="12" t="n"/>
      <c r="B88" s="13">
        <f>IF($A88="","",IFERROR(INDEX(Emp_Names,MATCH($A88,Emp_Codes,0)),"NOT FOUND"))</f>
        <v/>
      </c>
      <c r="C88" s="14" t="n"/>
      <c r="D88" s="15" t="n"/>
      <c r="E88" s="15" t="n"/>
      <c r="F88" s="15" t="n"/>
      <c r="G88" s="15" t="n"/>
      <c r="H88" s="16">
        <f>IF($A88="","",$D88+IF($E88="",0,$E88)+IF($F88="",0,$F88)-IF($G88="",0,$G88))</f>
        <v/>
      </c>
      <c r="I88" s="12" t="n"/>
      <c r="J88" s="12" t="n"/>
      <c r="K88" s="12" t="n"/>
      <c r="L88" s="14" t="n"/>
      <c r="M88" s="12" t="n"/>
      <c r="N88" s="12" t="n"/>
      <c r="O88" s="12" t="n"/>
    </row>
    <row r="89">
      <c r="A89" s="12" t="n"/>
      <c r="B89" s="13">
        <f>IF($A89="","",IFERROR(INDEX(Emp_Names,MATCH($A89,Emp_Codes,0)),"NOT FOUND"))</f>
        <v/>
      </c>
      <c r="C89" s="14" t="n"/>
      <c r="D89" s="15" t="n"/>
      <c r="E89" s="15" t="n"/>
      <c r="F89" s="15" t="n"/>
      <c r="G89" s="15" t="n"/>
      <c r="H89" s="16">
        <f>IF($A89="","",$D89+IF($E89="",0,$E89)+IF($F89="",0,$F89)-IF($G89="",0,$G89))</f>
        <v/>
      </c>
      <c r="I89" s="12" t="n"/>
      <c r="J89" s="12" t="n"/>
      <c r="K89" s="12" t="n"/>
      <c r="L89" s="14" t="n"/>
      <c r="M89" s="12" t="n"/>
      <c r="N89" s="12" t="n"/>
      <c r="O89" s="12" t="n"/>
    </row>
    <row r="90">
      <c r="A90" s="12" t="n"/>
      <c r="B90" s="13">
        <f>IF($A90="","",IFERROR(INDEX(Emp_Names,MATCH($A90,Emp_Codes,0)),"NOT FOUND"))</f>
        <v/>
      </c>
      <c r="C90" s="14" t="n"/>
      <c r="D90" s="15" t="n"/>
      <c r="E90" s="15" t="n"/>
      <c r="F90" s="15" t="n"/>
      <c r="G90" s="15" t="n"/>
      <c r="H90" s="16">
        <f>IF($A90="","",$D90+IF($E90="",0,$E90)+IF($F90="",0,$F90)-IF($G90="",0,$G90))</f>
        <v/>
      </c>
      <c r="I90" s="12" t="n"/>
      <c r="J90" s="12" t="n"/>
      <c r="K90" s="12" t="n"/>
      <c r="L90" s="14" t="n"/>
      <c r="M90" s="12" t="n"/>
      <c r="N90" s="12" t="n"/>
      <c r="O90" s="12" t="n"/>
    </row>
    <row r="91">
      <c r="A91" s="12" t="n"/>
      <c r="B91" s="13">
        <f>IF($A91="","",IFERROR(INDEX(Emp_Names,MATCH($A91,Emp_Codes,0)),"NOT FOUND"))</f>
        <v/>
      </c>
      <c r="C91" s="14" t="n"/>
      <c r="D91" s="15" t="n"/>
      <c r="E91" s="15" t="n"/>
      <c r="F91" s="15" t="n"/>
      <c r="G91" s="15" t="n"/>
      <c r="H91" s="16">
        <f>IF($A91="","",$D91+IF($E91="",0,$E91)+IF($F91="",0,$F91)-IF($G91="",0,$G91))</f>
        <v/>
      </c>
      <c r="I91" s="12" t="n"/>
      <c r="J91" s="12" t="n"/>
      <c r="K91" s="12" t="n"/>
      <c r="L91" s="14" t="n"/>
      <c r="M91" s="12" t="n"/>
      <c r="N91" s="12" t="n"/>
      <c r="O91" s="12" t="n"/>
    </row>
    <row r="92">
      <c r="A92" s="12" t="n"/>
      <c r="B92" s="13">
        <f>IF($A92="","",IFERROR(INDEX(Emp_Names,MATCH($A92,Emp_Codes,0)),"NOT FOUND"))</f>
        <v/>
      </c>
      <c r="C92" s="14" t="n"/>
      <c r="D92" s="15" t="n"/>
      <c r="E92" s="15" t="n"/>
      <c r="F92" s="15" t="n"/>
      <c r="G92" s="15" t="n"/>
      <c r="H92" s="16">
        <f>IF($A92="","",$D92+IF($E92="",0,$E92)+IF($F92="",0,$F92)-IF($G92="",0,$G92))</f>
        <v/>
      </c>
      <c r="I92" s="12" t="n"/>
      <c r="J92" s="12" t="n"/>
      <c r="K92" s="12" t="n"/>
      <c r="L92" s="14" t="n"/>
      <c r="M92" s="12" t="n"/>
      <c r="N92" s="12" t="n"/>
      <c r="O92" s="12" t="n"/>
    </row>
    <row r="93">
      <c r="A93" s="12" t="n"/>
      <c r="B93" s="13">
        <f>IF($A93="","",IFERROR(INDEX(Emp_Names,MATCH($A93,Emp_Codes,0)),"NOT FOUND"))</f>
        <v/>
      </c>
      <c r="C93" s="14" t="n"/>
      <c r="D93" s="15" t="n"/>
      <c r="E93" s="15" t="n"/>
      <c r="F93" s="15" t="n"/>
      <c r="G93" s="15" t="n"/>
      <c r="H93" s="16">
        <f>IF($A93="","",$D93+IF($E93="",0,$E93)+IF($F93="",0,$F93)-IF($G93="",0,$G93))</f>
        <v/>
      </c>
      <c r="I93" s="12" t="n"/>
      <c r="J93" s="12" t="n"/>
      <c r="K93" s="12" t="n"/>
      <c r="L93" s="14" t="n"/>
      <c r="M93" s="12" t="n"/>
      <c r="N93" s="12" t="n"/>
      <c r="O93" s="12" t="n"/>
    </row>
    <row r="94">
      <c r="A94" s="12" t="n"/>
      <c r="B94" s="13">
        <f>IF($A94="","",IFERROR(INDEX(Emp_Names,MATCH($A94,Emp_Codes,0)),"NOT FOUND"))</f>
        <v/>
      </c>
      <c r="C94" s="14" t="n"/>
      <c r="D94" s="15" t="n"/>
      <c r="E94" s="15" t="n"/>
      <c r="F94" s="15" t="n"/>
      <c r="G94" s="15" t="n"/>
      <c r="H94" s="16">
        <f>IF($A94="","",$D94+IF($E94="",0,$E94)+IF($F94="",0,$F94)-IF($G94="",0,$G94))</f>
        <v/>
      </c>
      <c r="I94" s="12" t="n"/>
      <c r="J94" s="12" t="n"/>
      <c r="K94" s="12" t="n"/>
      <c r="L94" s="14" t="n"/>
      <c r="M94" s="12" t="n"/>
      <c r="N94" s="12" t="n"/>
      <c r="O94" s="12" t="n"/>
    </row>
    <row r="95">
      <c r="A95" s="12" t="n"/>
      <c r="B95" s="13">
        <f>IF($A95="","",IFERROR(INDEX(Emp_Names,MATCH($A95,Emp_Codes,0)),"NOT FOUND"))</f>
        <v/>
      </c>
      <c r="C95" s="14" t="n"/>
      <c r="D95" s="15" t="n"/>
      <c r="E95" s="15" t="n"/>
      <c r="F95" s="15" t="n"/>
      <c r="G95" s="15" t="n"/>
      <c r="H95" s="16">
        <f>IF($A95="","",$D95+IF($E95="",0,$E95)+IF($F95="",0,$F95)-IF($G95="",0,$G95))</f>
        <v/>
      </c>
      <c r="I95" s="12" t="n"/>
      <c r="J95" s="12" t="n"/>
      <c r="K95" s="12" t="n"/>
      <c r="L95" s="14" t="n"/>
      <c r="M95" s="12" t="n"/>
      <c r="N95" s="12" t="n"/>
      <c r="O95" s="12" t="n"/>
    </row>
    <row r="96">
      <c r="A96" s="12" t="n"/>
      <c r="B96" s="13">
        <f>IF($A96="","",IFERROR(INDEX(Emp_Names,MATCH($A96,Emp_Codes,0)),"NOT FOUND"))</f>
        <v/>
      </c>
      <c r="C96" s="14" t="n"/>
      <c r="D96" s="15" t="n"/>
      <c r="E96" s="15" t="n"/>
      <c r="F96" s="15" t="n"/>
      <c r="G96" s="15" t="n"/>
      <c r="H96" s="16">
        <f>IF($A96="","",$D96+IF($E96="",0,$E96)+IF($F96="",0,$F96)-IF($G96="",0,$G96))</f>
        <v/>
      </c>
      <c r="I96" s="12" t="n"/>
      <c r="J96" s="12" t="n"/>
      <c r="K96" s="12" t="n"/>
      <c r="L96" s="14" t="n"/>
      <c r="M96" s="12" t="n"/>
      <c r="N96" s="12" t="n"/>
      <c r="O96" s="12" t="n"/>
    </row>
    <row r="97">
      <c r="A97" s="12" t="n"/>
      <c r="B97" s="13">
        <f>IF($A97="","",IFERROR(INDEX(Emp_Names,MATCH($A97,Emp_Codes,0)),"NOT FOUND"))</f>
        <v/>
      </c>
      <c r="C97" s="14" t="n"/>
      <c r="D97" s="15" t="n"/>
      <c r="E97" s="15" t="n"/>
      <c r="F97" s="15" t="n"/>
      <c r="G97" s="15" t="n"/>
      <c r="H97" s="16">
        <f>IF($A97="","",$D97+IF($E97="",0,$E97)+IF($F97="",0,$F97)-IF($G97="",0,$G97))</f>
        <v/>
      </c>
      <c r="I97" s="12" t="n"/>
      <c r="J97" s="12" t="n"/>
      <c r="K97" s="12" t="n"/>
      <c r="L97" s="14" t="n"/>
      <c r="M97" s="12" t="n"/>
      <c r="N97" s="12" t="n"/>
      <c r="O97" s="12" t="n"/>
    </row>
    <row r="98">
      <c r="A98" s="12" t="n"/>
      <c r="B98" s="13">
        <f>IF($A98="","",IFERROR(INDEX(Emp_Names,MATCH($A98,Emp_Codes,0)),"NOT FOUND"))</f>
        <v/>
      </c>
      <c r="C98" s="14" t="n"/>
      <c r="D98" s="15" t="n"/>
      <c r="E98" s="15" t="n"/>
      <c r="F98" s="15" t="n"/>
      <c r="G98" s="15" t="n"/>
      <c r="H98" s="16">
        <f>IF($A98="","",$D98+IF($E98="",0,$E98)+IF($F98="",0,$F98)-IF($G98="",0,$G98))</f>
        <v/>
      </c>
      <c r="I98" s="12" t="n"/>
      <c r="J98" s="12" t="n"/>
      <c r="K98" s="12" t="n"/>
      <c r="L98" s="14" t="n"/>
      <c r="M98" s="12" t="n"/>
      <c r="N98" s="12" t="n"/>
      <c r="O98" s="12" t="n"/>
    </row>
    <row r="99">
      <c r="A99" s="12" t="n"/>
      <c r="B99" s="13">
        <f>IF($A99="","",IFERROR(INDEX(Emp_Names,MATCH($A99,Emp_Codes,0)),"NOT FOUND"))</f>
        <v/>
      </c>
      <c r="C99" s="14" t="n"/>
      <c r="D99" s="15" t="n"/>
      <c r="E99" s="15" t="n"/>
      <c r="F99" s="15" t="n"/>
      <c r="G99" s="15" t="n"/>
      <c r="H99" s="16">
        <f>IF($A99="","",$D99+IF($E99="",0,$E99)+IF($F99="",0,$F99)-IF($G99="",0,$G99))</f>
        <v/>
      </c>
      <c r="I99" s="12" t="n"/>
      <c r="J99" s="12" t="n"/>
      <c r="K99" s="12" t="n"/>
      <c r="L99" s="14" t="n"/>
      <c r="M99" s="12" t="n"/>
      <c r="N99" s="12" t="n"/>
      <c r="O99" s="12" t="n"/>
    </row>
    <row r="100">
      <c r="A100" s="12" t="n"/>
      <c r="B100" s="13">
        <f>IF($A100="","",IFERROR(INDEX(Emp_Names,MATCH($A100,Emp_Codes,0)),"NOT FOUND"))</f>
        <v/>
      </c>
      <c r="C100" s="14" t="n"/>
      <c r="D100" s="15" t="n"/>
      <c r="E100" s="15" t="n"/>
      <c r="F100" s="15" t="n"/>
      <c r="G100" s="15" t="n"/>
      <c r="H100" s="16">
        <f>IF($A100="","",$D100+IF($E100="",0,$E100)+IF($F100="",0,$F100)-IF($G100="",0,$G100))</f>
        <v/>
      </c>
      <c r="I100" s="12" t="n"/>
      <c r="J100" s="12" t="n"/>
      <c r="K100" s="12" t="n"/>
      <c r="L100" s="14" t="n"/>
      <c r="M100" s="12" t="n"/>
      <c r="N100" s="12" t="n"/>
      <c r="O100" s="12" t="n"/>
    </row>
    <row r="101">
      <c r="A101" s="12" t="n"/>
      <c r="B101" s="13">
        <f>IF($A101="","",IFERROR(INDEX(Emp_Names,MATCH($A101,Emp_Codes,0)),"NOT FOUND"))</f>
        <v/>
      </c>
      <c r="C101" s="14" t="n"/>
      <c r="D101" s="15" t="n"/>
      <c r="E101" s="15" t="n"/>
      <c r="F101" s="15" t="n"/>
      <c r="G101" s="15" t="n"/>
      <c r="H101" s="16">
        <f>IF($A101="","",$D101+IF($E101="",0,$E101)+IF($F101="",0,$F101)-IF($G101="",0,$G101))</f>
        <v/>
      </c>
      <c r="I101" s="12" t="n"/>
      <c r="J101" s="12" t="n"/>
      <c r="K101" s="12" t="n"/>
      <c r="L101" s="14" t="n"/>
      <c r="M101" s="12" t="n"/>
      <c r="N101" s="12" t="n"/>
      <c r="O101" s="12" t="n"/>
    </row>
    <row r="102">
      <c r="A102" s="12" t="n"/>
      <c r="B102" s="13">
        <f>IF($A102="","",IFERROR(INDEX(Emp_Names,MATCH($A102,Emp_Codes,0)),"NOT FOUND"))</f>
        <v/>
      </c>
      <c r="C102" s="14" t="n"/>
      <c r="D102" s="15" t="n"/>
      <c r="E102" s="15" t="n"/>
      <c r="F102" s="15" t="n"/>
      <c r="G102" s="15" t="n"/>
      <c r="H102" s="16">
        <f>IF($A102="","",$D102+IF($E102="",0,$E102)+IF($F102="",0,$F102)-IF($G102="",0,$G102))</f>
        <v/>
      </c>
      <c r="I102" s="12" t="n"/>
      <c r="J102" s="12" t="n"/>
      <c r="K102" s="12" t="n"/>
      <c r="L102" s="14" t="n"/>
      <c r="M102" s="12" t="n"/>
      <c r="N102" s="12" t="n"/>
      <c r="O102" s="12" t="n"/>
    </row>
    <row r="103">
      <c r="A103" s="12" t="n"/>
      <c r="B103" s="13">
        <f>IF($A103="","",IFERROR(INDEX(Emp_Names,MATCH($A103,Emp_Codes,0)),"NOT FOUND"))</f>
        <v/>
      </c>
      <c r="C103" s="14" t="n"/>
      <c r="D103" s="15" t="n"/>
      <c r="E103" s="15" t="n"/>
      <c r="F103" s="15" t="n"/>
      <c r="G103" s="15" t="n"/>
      <c r="H103" s="16">
        <f>IF($A103="","",$D103+IF($E103="",0,$E103)+IF($F103="",0,$F103)-IF($G103="",0,$G103))</f>
        <v/>
      </c>
      <c r="I103" s="12" t="n"/>
      <c r="J103" s="12" t="n"/>
      <c r="K103" s="12" t="n"/>
      <c r="L103" s="14" t="n"/>
      <c r="M103" s="12" t="n"/>
      <c r="N103" s="12" t="n"/>
      <c r="O103" s="12" t="n"/>
    </row>
    <row r="104">
      <c r="A104" s="12" t="n"/>
      <c r="B104" s="13">
        <f>IF($A104="","",IFERROR(INDEX(Emp_Names,MATCH($A104,Emp_Codes,0)),"NOT FOUND"))</f>
        <v/>
      </c>
      <c r="C104" s="14" t="n"/>
      <c r="D104" s="15" t="n"/>
      <c r="E104" s="15" t="n"/>
      <c r="F104" s="15" t="n"/>
      <c r="G104" s="15" t="n"/>
      <c r="H104" s="16">
        <f>IF($A104="","",$D104+IF($E104="",0,$E104)+IF($F104="",0,$F104)-IF($G104="",0,$G104))</f>
        <v/>
      </c>
      <c r="I104" s="12" t="n"/>
      <c r="J104" s="12" t="n"/>
      <c r="K104" s="12" t="n"/>
      <c r="L104" s="14" t="n"/>
      <c r="M104" s="12" t="n"/>
      <c r="N104" s="12" t="n"/>
      <c r="O104" s="12" t="n"/>
    </row>
    <row r="105">
      <c r="A105" s="12" t="n"/>
      <c r="B105" s="13">
        <f>IF($A105="","",IFERROR(INDEX(Emp_Names,MATCH($A105,Emp_Codes,0)),"NOT FOUND"))</f>
        <v/>
      </c>
      <c r="C105" s="14" t="n"/>
      <c r="D105" s="15" t="n"/>
      <c r="E105" s="15" t="n"/>
      <c r="F105" s="15" t="n"/>
      <c r="G105" s="15" t="n"/>
      <c r="H105" s="16">
        <f>IF($A105="","",$D105+IF($E105="",0,$E105)+IF($F105="",0,$F105)-IF($G105="",0,$G105))</f>
        <v/>
      </c>
      <c r="I105" s="12" t="n"/>
      <c r="J105" s="12" t="n"/>
      <c r="K105" s="12" t="n"/>
      <c r="L105" s="14" t="n"/>
      <c r="M105" s="12" t="n"/>
      <c r="N105" s="12" t="n"/>
      <c r="O105" s="12" t="n"/>
    </row>
    <row r="106">
      <c r="A106" s="12" t="n"/>
      <c r="B106" s="13">
        <f>IF($A106="","",IFERROR(INDEX(Emp_Names,MATCH($A106,Emp_Codes,0)),"NOT FOUND"))</f>
        <v/>
      </c>
      <c r="C106" s="14" t="n"/>
      <c r="D106" s="15" t="n"/>
      <c r="E106" s="15" t="n"/>
      <c r="F106" s="15" t="n"/>
      <c r="G106" s="15" t="n"/>
      <c r="H106" s="16">
        <f>IF($A106="","",$D106+IF($E106="",0,$E106)+IF($F106="",0,$F106)-IF($G106="",0,$G106))</f>
        <v/>
      </c>
      <c r="I106" s="12" t="n"/>
      <c r="J106" s="12" t="n"/>
      <c r="K106" s="12" t="n"/>
      <c r="L106" s="14" t="n"/>
      <c r="M106" s="12" t="n"/>
      <c r="N106" s="12" t="n"/>
      <c r="O106" s="12" t="n"/>
    </row>
    <row r="107">
      <c r="A107" s="12" t="n"/>
      <c r="B107" s="13">
        <f>IF($A107="","",IFERROR(INDEX(Emp_Names,MATCH($A107,Emp_Codes,0)),"NOT FOUND"))</f>
        <v/>
      </c>
      <c r="C107" s="14" t="n"/>
      <c r="D107" s="15" t="n"/>
      <c r="E107" s="15" t="n"/>
      <c r="F107" s="15" t="n"/>
      <c r="G107" s="15" t="n"/>
      <c r="H107" s="16">
        <f>IF($A107="","",$D107+IF($E107="",0,$E107)+IF($F107="",0,$F107)-IF($G107="",0,$G107))</f>
        <v/>
      </c>
      <c r="I107" s="12" t="n"/>
      <c r="J107" s="12" t="n"/>
      <c r="K107" s="12" t="n"/>
      <c r="L107" s="14" t="n"/>
      <c r="M107" s="12" t="n"/>
      <c r="N107" s="12" t="n"/>
      <c r="O107" s="12" t="n"/>
    </row>
    <row r="108">
      <c r="A108" s="12" t="n"/>
      <c r="B108" s="13">
        <f>IF($A108="","",IFERROR(INDEX(Emp_Names,MATCH($A108,Emp_Codes,0)),"NOT FOUND"))</f>
        <v/>
      </c>
      <c r="C108" s="14" t="n"/>
      <c r="D108" s="15" t="n"/>
      <c r="E108" s="15" t="n"/>
      <c r="F108" s="15" t="n"/>
      <c r="G108" s="15" t="n"/>
      <c r="H108" s="16">
        <f>IF($A108="","",$D108+IF($E108="",0,$E108)+IF($F108="",0,$F108)-IF($G108="",0,$G108))</f>
        <v/>
      </c>
      <c r="I108" s="12" t="n"/>
      <c r="J108" s="12" t="n"/>
      <c r="K108" s="12" t="n"/>
      <c r="L108" s="14" t="n"/>
      <c r="M108" s="12" t="n"/>
      <c r="N108" s="12" t="n"/>
      <c r="O108" s="12" t="n"/>
    </row>
    <row r="109">
      <c r="A109" s="12" t="n"/>
      <c r="B109" s="13">
        <f>IF($A109="","",IFERROR(INDEX(Emp_Names,MATCH($A109,Emp_Codes,0)),"NOT FOUND"))</f>
        <v/>
      </c>
      <c r="C109" s="14" t="n"/>
      <c r="D109" s="15" t="n"/>
      <c r="E109" s="15" t="n"/>
      <c r="F109" s="15" t="n"/>
      <c r="G109" s="15" t="n"/>
      <c r="H109" s="16">
        <f>IF($A109="","",$D109+IF($E109="",0,$E109)+IF($F109="",0,$F109)-IF($G109="",0,$G109))</f>
        <v/>
      </c>
      <c r="I109" s="12" t="n"/>
      <c r="J109" s="12" t="n"/>
      <c r="K109" s="12" t="n"/>
      <c r="L109" s="14" t="n"/>
      <c r="M109" s="12" t="n"/>
      <c r="N109" s="12" t="n"/>
      <c r="O109" s="12" t="n"/>
    </row>
    <row r="110">
      <c r="A110" s="12" t="n"/>
      <c r="B110" s="13">
        <f>IF($A110="","",IFERROR(INDEX(Emp_Names,MATCH($A110,Emp_Codes,0)),"NOT FOUND"))</f>
        <v/>
      </c>
      <c r="C110" s="14" t="n"/>
      <c r="D110" s="15" t="n"/>
      <c r="E110" s="15" t="n"/>
      <c r="F110" s="15" t="n"/>
      <c r="G110" s="15" t="n"/>
      <c r="H110" s="16">
        <f>IF($A110="","",$D110+IF($E110="",0,$E110)+IF($F110="",0,$F110)-IF($G110="",0,$G110))</f>
        <v/>
      </c>
      <c r="I110" s="12" t="n"/>
      <c r="J110" s="12" t="n"/>
      <c r="K110" s="12" t="n"/>
      <c r="L110" s="14" t="n"/>
      <c r="M110" s="12" t="n"/>
      <c r="N110" s="12" t="n"/>
      <c r="O110" s="12" t="n"/>
    </row>
    <row r="111">
      <c r="A111" s="12" t="n"/>
      <c r="B111" s="13">
        <f>IF($A111="","",IFERROR(INDEX(Emp_Names,MATCH($A111,Emp_Codes,0)),"NOT FOUND"))</f>
        <v/>
      </c>
      <c r="C111" s="14" t="n"/>
      <c r="D111" s="15" t="n"/>
      <c r="E111" s="15" t="n"/>
      <c r="F111" s="15" t="n"/>
      <c r="G111" s="15" t="n"/>
      <c r="H111" s="16">
        <f>IF($A111="","",$D111+IF($E111="",0,$E111)+IF($F111="",0,$F111)-IF($G111="",0,$G111))</f>
        <v/>
      </c>
      <c r="I111" s="12" t="n"/>
      <c r="J111" s="12" t="n"/>
      <c r="K111" s="12" t="n"/>
      <c r="L111" s="14" t="n"/>
      <c r="M111" s="12" t="n"/>
      <c r="N111" s="12" t="n"/>
      <c r="O111" s="12" t="n"/>
    </row>
    <row r="112">
      <c r="A112" s="12" t="n"/>
      <c r="B112" s="13">
        <f>IF($A112="","",IFERROR(INDEX(Emp_Names,MATCH($A112,Emp_Codes,0)),"NOT FOUND"))</f>
        <v/>
      </c>
      <c r="C112" s="14" t="n"/>
      <c r="D112" s="15" t="n"/>
      <c r="E112" s="15" t="n"/>
      <c r="F112" s="15" t="n"/>
      <c r="G112" s="15" t="n"/>
      <c r="H112" s="16">
        <f>IF($A112="","",$D112+IF($E112="",0,$E112)+IF($F112="",0,$F112)-IF($G112="",0,$G112))</f>
        <v/>
      </c>
      <c r="I112" s="12" t="n"/>
      <c r="J112" s="12" t="n"/>
      <c r="K112" s="12" t="n"/>
      <c r="L112" s="14" t="n"/>
      <c r="M112" s="12" t="n"/>
      <c r="N112" s="12" t="n"/>
      <c r="O112" s="12" t="n"/>
    </row>
    <row r="113">
      <c r="A113" s="12" t="n"/>
      <c r="B113" s="13">
        <f>IF($A113="","",IFERROR(INDEX(Emp_Names,MATCH($A113,Emp_Codes,0)),"NOT FOUND"))</f>
        <v/>
      </c>
      <c r="C113" s="14" t="n"/>
      <c r="D113" s="15" t="n"/>
      <c r="E113" s="15" t="n"/>
      <c r="F113" s="15" t="n"/>
      <c r="G113" s="15" t="n"/>
      <c r="H113" s="16">
        <f>IF($A113="","",$D113+IF($E113="",0,$E113)+IF($F113="",0,$F113)-IF($G113="",0,$G113))</f>
        <v/>
      </c>
      <c r="I113" s="12" t="n"/>
      <c r="J113" s="12" t="n"/>
      <c r="K113" s="12" t="n"/>
      <c r="L113" s="14" t="n"/>
      <c r="M113" s="12" t="n"/>
      <c r="N113" s="12" t="n"/>
      <c r="O113" s="12" t="n"/>
    </row>
    <row r="114">
      <c r="A114" s="12" t="n"/>
      <c r="B114" s="13">
        <f>IF($A114="","",IFERROR(INDEX(Emp_Names,MATCH($A114,Emp_Codes,0)),"NOT FOUND"))</f>
        <v/>
      </c>
      <c r="C114" s="14" t="n"/>
      <c r="D114" s="15" t="n"/>
      <c r="E114" s="15" t="n"/>
      <c r="F114" s="15" t="n"/>
      <c r="G114" s="15" t="n"/>
      <c r="H114" s="16">
        <f>IF($A114="","",$D114+IF($E114="",0,$E114)+IF($F114="",0,$F114)-IF($G114="",0,$G114))</f>
        <v/>
      </c>
      <c r="I114" s="12" t="n"/>
      <c r="J114" s="12" t="n"/>
      <c r="K114" s="12" t="n"/>
      <c r="L114" s="14" t="n"/>
      <c r="M114" s="12" t="n"/>
      <c r="N114" s="12" t="n"/>
      <c r="O114" s="12" t="n"/>
    </row>
    <row r="115">
      <c r="A115" s="12" t="n"/>
      <c r="B115" s="13">
        <f>IF($A115="","",IFERROR(INDEX(Emp_Names,MATCH($A115,Emp_Codes,0)),"NOT FOUND"))</f>
        <v/>
      </c>
      <c r="C115" s="14" t="n"/>
      <c r="D115" s="15" t="n"/>
      <c r="E115" s="15" t="n"/>
      <c r="F115" s="15" t="n"/>
      <c r="G115" s="15" t="n"/>
      <c r="H115" s="16">
        <f>IF($A115="","",$D115+IF($E115="",0,$E115)+IF($F115="",0,$F115)-IF($G115="",0,$G115))</f>
        <v/>
      </c>
      <c r="I115" s="12" t="n"/>
      <c r="J115" s="12" t="n"/>
      <c r="K115" s="12" t="n"/>
      <c r="L115" s="14" t="n"/>
      <c r="M115" s="12" t="n"/>
      <c r="N115" s="12" t="n"/>
      <c r="O115" s="12" t="n"/>
    </row>
    <row r="116">
      <c r="A116" s="12" t="n"/>
      <c r="B116" s="13">
        <f>IF($A116="","",IFERROR(INDEX(Emp_Names,MATCH($A116,Emp_Codes,0)),"NOT FOUND"))</f>
        <v/>
      </c>
      <c r="C116" s="14" t="n"/>
      <c r="D116" s="15" t="n"/>
      <c r="E116" s="15" t="n"/>
      <c r="F116" s="15" t="n"/>
      <c r="G116" s="15" t="n"/>
      <c r="H116" s="16">
        <f>IF($A116="","",$D116+IF($E116="",0,$E116)+IF($F116="",0,$F116)-IF($G116="",0,$G116))</f>
        <v/>
      </c>
      <c r="I116" s="12" t="n"/>
      <c r="J116" s="12" t="n"/>
      <c r="K116" s="12" t="n"/>
      <c r="L116" s="14" t="n"/>
      <c r="M116" s="12" t="n"/>
      <c r="N116" s="12" t="n"/>
      <c r="O116" s="12" t="n"/>
    </row>
    <row r="117">
      <c r="A117" s="12" t="n"/>
      <c r="B117" s="13">
        <f>IF($A117="","",IFERROR(INDEX(Emp_Names,MATCH($A117,Emp_Codes,0)),"NOT FOUND"))</f>
        <v/>
      </c>
      <c r="C117" s="14" t="n"/>
      <c r="D117" s="15" t="n"/>
      <c r="E117" s="15" t="n"/>
      <c r="F117" s="15" t="n"/>
      <c r="G117" s="15" t="n"/>
      <c r="H117" s="16">
        <f>IF($A117="","",$D117+IF($E117="",0,$E117)+IF($F117="",0,$F117)-IF($G117="",0,$G117))</f>
        <v/>
      </c>
      <c r="I117" s="12" t="n"/>
      <c r="J117" s="12" t="n"/>
      <c r="K117" s="12" t="n"/>
      <c r="L117" s="14" t="n"/>
      <c r="M117" s="12" t="n"/>
      <c r="N117" s="12" t="n"/>
      <c r="O117" s="12" t="n"/>
    </row>
    <row r="118">
      <c r="A118" s="12" t="n"/>
      <c r="B118" s="13">
        <f>IF($A118="","",IFERROR(INDEX(Emp_Names,MATCH($A118,Emp_Codes,0)),"NOT FOUND"))</f>
        <v/>
      </c>
      <c r="C118" s="14" t="n"/>
      <c r="D118" s="15" t="n"/>
      <c r="E118" s="15" t="n"/>
      <c r="F118" s="15" t="n"/>
      <c r="G118" s="15" t="n"/>
      <c r="H118" s="16">
        <f>IF($A118="","",$D118+IF($E118="",0,$E118)+IF($F118="",0,$F118)-IF($G118="",0,$G118))</f>
        <v/>
      </c>
      <c r="I118" s="12" t="n"/>
      <c r="J118" s="12" t="n"/>
      <c r="K118" s="12" t="n"/>
      <c r="L118" s="14" t="n"/>
      <c r="M118" s="12" t="n"/>
      <c r="N118" s="12" t="n"/>
      <c r="O118" s="12" t="n"/>
    </row>
    <row r="119">
      <c r="A119" s="12" t="n"/>
      <c r="B119" s="13">
        <f>IF($A119="","",IFERROR(INDEX(Emp_Names,MATCH($A119,Emp_Codes,0)),"NOT FOUND"))</f>
        <v/>
      </c>
      <c r="C119" s="14" t="n"/>
      <c r="D119" s="15" t="n"/>
      <c r="E119" s="15" t="n"/>
      <c r="F119" s="15" t="n"/>
      <c r="G119" s="15" t="n"/>
      <c r="H119" s="16">
        <f>IF($A119="","",$D119+IF($E119="",0,$E119)+IF($F119="",0,$F119)-IF($G119="",0,$G119))</f>
        <v/>
      </c>
      <c r="I119" s="12" t="n"/>
      <c r="J119" s="12" t="n"/>
      <c r="K119" s="12" t="n"/>
      <c r="L119" s="14" t="n"/>
      <c r="M119" s="12" t="n"/>
      <c r="N119" s="12" t="n"/>
      <c r="O119" s="12" t="n"/>
    </row>
    <row r="120">
      <c r="A120" s="12" t="n"/>
      <c r="B120" s="13">
        <f>IF($A120="","",IFERROR(INDEX(Emp_Names,MATCH($A120,Emp_Codes,0)),"NOT FOUND"))</f>
        <v/>
      </c>
      <c r="C120" s="14" t="n"/>
      <c r="D120" s="15" t="n"/>
      <c r="E120" s="15" t="n"/>
      <c r="F120" s="15" t="n"/>
      <c r="G120" s="15" t="n"/>
      <c r="H120" s="16">
        <f>IF($A120="","",$D120+IF($E120="",0,$E120)+IF($F120="",0,$F120)-IF($G120="",0,$G120))</f>
        <v/>
      </c>
      <c r="I120" s="12" t="n"/>
      <c r="J120" s="12" t="n"/>
      <c r="K120" s="12" t="n"/>
      <c r="L120" s="14" t="n"/>
      <c r="M120" s="12" t="n"/>
      <c r="N120" s="12" t="n"/>
      <c r="O120" s="12" t="n"/>
    </row>
    <row r="121">
      <c r="A121" s="12" t="n"/>
      <c r="B121" s="13">
        <f>IF($A121="","",IFERROR(INDEX(Emp_Names,MATCH($A121,Emp_Codes,0)),"NOT FOUND"))</f>
        <v/>
      </c>
      <c r="C121" s="14" t="n"/>
      <c r="D121" s="15" t="n"/>
      <c r="E121" s="15" t="n"/>
      <c r="F121" s="15" t="n"/>
      <c r="G121" s="15" t="n"/>
      <c r="H121" s="16">
        <f>IF($A121="","",$D121+IF($E121="",0,$E121)+IF($F121="",0,$F121)-IF($G121="",0,$G121))</f>
        <v/>
      </c>
      <c r="I121" s="12" t="n"/>
      <c r="J121" s="12" t="n"/>
      <c r="K121" s="12" t="n"/>
      <c r="L121" s="14" t="n"/>
      <c r="M121" s="12" t="n"/>
      <c r="N121" s="12" t="n"/>
      <c r="O121" s="12" t="n"/>
    </row>
    <row r="122">
      <c r="A122" s="12" t="n"/>
      <c r="B122" s="13">
        <f>IF($A122="","",IFERROR(INDEX(Emp_Names,MATCH($A122,Emp_Codes,0)),"NOT FOUND"))</f>
        <v/>
      </c>
      <c r="C122" s="14" t="n"/>
      <c r="D122" s="15" t="n"/>
      <c r="E122" s="15" t="n"/>
      <c r="F122" s="15" t="n"/>
      <c r="G122" s="15" t="n"/>
      <c r="H122" s="16">
        <f>IF($A122="","",$D122+IF($E122="",0,$E122)+IF($F122="",0,$F122)-IF($G122="",0,$G122))</f>
        <v/>
      </c>
      <c r="I122" s="12" t="n"/>
      <c r="J122" s="12" t="n"/>
      <c r="K122" s="12" t="n"/>
      <c r="L122" s="14" t="n"/>
      <c r="M122" s="12" t="n"/>
      <c r="N122" s="12" t="n"/>
      <c r="O122" s="12" t="n"/>
    </row>
    <row r="123">
      <c r="A123" s="12" t="n"/>
      <c r="B123" s="13">
        <f>IF($A123="","",IFERROR(INDEX(Emp_Names,MATCH($A123,Emp_Codes,0)),"NOT FOUND"))</f>
        <v/>
      </c>
      <c r="C123" s="14" t="n"/>
      <c r="D123" s="15" t="n"/>
      <c r="E123" s="15" t="n"/>
      <c r="F123" s="15" t="n"/>
      <c r="G123" s="15" t="n"/>
      <c r="H123" s="16">
        <f>IF($A123="","",$D123+IF($E123="",0,$E123)+IF($F123="",0,$F123)-IF($G123="",0,$G123))</f>
        <v/>
      </c>
      <c r="I123" s="12" t="n"/>
      <c r="J123" s="12" t="n"/>
      <c r="K123" s="12" t="n"/>
      <c r="L123" s="14" t="n"/>
      <c r="M123" s="12" t="n"/>
      <c r="N123" s="12" t="n"/>
      <c r="O123" s="12" t="n"/>
    </row>
    <row r="124">
      <c r="A124" s="12" t="n"/>
      <c r="B124" s="13">
        <f>IF($A124="","",IFERROR(INDEX(Emp_Names,MATCH($A124,Emp_Codes,0)),"NOT FOUND"))</f>
        <v/>
      </c>
      <c r="C124" s="14" t="n"/>
      <c r="D124" s="15" t="n"/>
      <c r="E124" s="15" t="n"/>
      <c r="F124" s="15" t="n"/>
      <c r="G124" s="15" t="n"/>
      <c r="H124" s="16">
        <f>IF($A124="","",$D124+IF($E124="",0,$E124)+IF($F124="",0,$F124)-IF($G124="",0,$G124))</f>
        <v/>
      </c>
      <c r="I124" s="12" t="n"/>
      <c r="J124" s="12" t="n"/>
      <c r="K124" s="12" t="n"/>
      <c r="L124" s="14" t="n"/>
      <c r="M124" s="12" t="n"/>
      <c r="N124" s="12" t="n"/>
      <c r="O124" s="12" t="n"/>
    </row>
    <row r="125">
      <c r="A125" s="12" t="n"/>
      <c r="B125" s="13">
        <f>IF($A125="","",IFERROR(INDEX(Emp_Names,MATCH($A125,Emp_Codes,0)),"NOT FOUND"))</f>
        <v/>
      </c>
      <c r="C125" s="14" t="n"/>
      <c r="D125" s="15" t="n"/>
      <c r="E125" s="15" t="n"/>
      <c r="F125" s="15" t="n"/>
      <c r="G125" s="15" t="n"/>
      <c r="H125" s="16">
        <f>IF($A125="","",$D125+IF($E125="",0,$E125)+IF($F125="",0,$F125)-IF($G125="",0,$G125))</f>
        <v/>
      </c>
      <c r="I125" s="12" t="n"/>
      <c r="J125" s="12" t="n"/>
      <c r="K125" s="12" t="n"/>
      <c r="L125" s="14" t="n"/>
      <c r="M125" s="12" t="n"/>
      <c r="N125" s="12" t="n"/>
      <c r="O125" s="12" t="n"/>
    </row>
    <row r="126">
      <c r="A126" s="12" t="n"/>
      <c r="B126" s="13">
        <f>IF($A126="","",IFERROR(INDEX(Emp_Names,MATCH($A126,Emp_Codes,0)),"NOT FOUND"))</f>
        <v/>
      </c>
      <c r="C126" s="14" t="n"/>
      <c r="D126" s="15" t="n"/>
      <c r="E126" s="15" t="n"/>
      <c r="F126" s="15" t="n"/>
      <c r="G126" s="15" t="n"/>
      <c r="H126" s="16">
        <f>IF($A126="","",$D126+IF($E126="",0,$E126)+IF($F126="",0,$F126)-IF($G126="",0,$G126))</f>
        <v/>
      </c>
      <c r="I126" s="12" t="n"/>
      <c r="J126" s="12" t="n"/>
      <c r="K126" s="12" t="n"/>
      <c r="L126" s="14" t="n"/>
      <c r="M126" s="12" t="n"/>
      <c r="N126" s="12" t="n"/>
      <c r="O126" s="12" t="n"/>
    </row>
    <row r="127">
      <c r="A127" s="12" t="n"/>
      <c r="B127" s="13">
        <f>IF($A127="","",IFERROR(INDEX(Emp_Names,MATCH($A127,Emp_Codes,0)),"NOT FOUND"))</f>
        <v/>
      </c>
      <c r="C127" s="14" t="n"/>
      <c r="D127" s="15" t="n"/>
      <c r="E127" s="15" t="n"/>
      <c r="F127" s="15" t="n"/>
      <c r="G127" s="15" t="n"/>
      <c r="H127" s="16">
        <f>IF($A127="","",$D127+IF($E127="",0,$E127)+IF($F127="",0,$F127)-IF($G127="",0,$G127))</f>
        <v/>
      </c>
      <c r="I127" s="12" t="n"/>
      <c r="J127" s="12" t="n"/>
      <c r="K127" s="12" t="n"/>
      <c r="L127" s="14" t="n"/>
      <c r="M127" s="12" t="n"/>
      <c r="N127" s="12" t="n"/>
      <c r="O127" s="12" t="n"/>
    </row>
    <row r="128">
      <c r="A128" s="12" t="n"/>
      <c r="B128" s="13">
        <f>IF($A128="","",IFERROR(INDEX(Emp_Names,MATCH($A128,Emp_Codes,0)),"NOT FOUND"))</f>
        <v/>
      </c>
      <c r="C128" s="14" t="n"/>
      <c r="D128" s="15" t="n"/>
      <c r="E128" s="15" t="n"/>
      <c r="F128" s="15" t="n"/>
      <c r="G128" s="15" t="n"/>
      <c r="H128" s="16">
        <f>IF($A128="","",$D128+IF($E128="",0,$E128)+IF($F128="",0,$F128)-IF($G128="",0,$G128))</f>
        <v/>
      </c>
      <c r="I128" s="12" t="n"/>
      <c r="J128" s="12" t="n"/>
      <c r="K128" s="12" t="n"/>
      <c r="L128" s="14" t="n"/>
      <c r="M128" s="12" t="n"/>
      <c r="N128" s="12" t="n"/>
      <c r="O128" s="12" t="n"/>
    </row>
    <row r="129">
      <c r="A129" s="12" t="n"/>
      <c r="B129" s="13">
        <f>IF($A129="","",IFERROR(INDEX(Emp_Names,MATCH($A129,Emp_Codes,0)),"NOT FOUND"))</f>
        <v/>
      </c>
      <c r="C129" s="14" t="n"/>
      <c r="D129" s="15" t="n"/>
      <c r="E129" s="15" t="n"/>
      <c r="F129" s="15" t="n"/>
      <c r="G129" s="15" t="n"/>
      <c r="H129" s="16">
        <f>IF($A129="","",$D129+IF($E129="",0,$E129)+IF($F129="",0,$F129)-IF($G129="",0,$G129))</f>
        <v/>
      </c>
      <c r="I129" s="12" t="n"/>
      <c r="J129" s="12" t="n"/>
      <c r="K129" s="12" t="n"/>
      <c r="L129" s="14" t="n"/>
      <c r="M129" s="12" t="n"/>
      <c r="N129" s="12" t="n"/>
      <c r="O129" s="12" t="n"/>
    </row>
    <row r="130">
      <c r="A130" s="12" t="n"/>
      <c r="B130" s="13">
        <f>IF($A130="","",IFERROR(INDEX(Emp_Names,MATCH($A130,Emp_Codes,0)),"NOT FOUND"))</f>
        <v/>
      </c>
      <c r="C130" s="14" t="n"/>
      <c r="D130" s="15" t="n"/>
      <c r="E130" s="15" t="n"/>
      <c r="F130" s="15" t="n"/>
      <c r="G130" s="15" t="n"/>
      <c r="H130" s="16">
        <f>IF($A130="","",$D130+IF($E130="",0,$E130)+IF($F130="",0,$F130)-IF($G130="",0,$G130))</f>
        <v/>
      </c>
      <c r="I130" s="12" t="n"/>
      <c r="J130" s="12" t="n"/>
      <c r="K130" s="12" t="n"/>
      <c r="L130" s="14" t="n"/>
      <c r="M130" s="12" t="n"/>
      <c r="N130" s="12" t="n"/>
      <c r="O130" s="12" t="n"/>
    </row>
    <row r="131">
      <c r="A131" s="12" t="n"/>
      <c r="B131" s="13">
        <f>IF($A131="","",IFERROR(INDEX(Emp_Names,MATCH($A131,Emp_Codes,0)),"NOT FOUND"))</f>
        <v/>
      </c>
      <c r="C131" s="14" t="n"/>
      <c r="D131" s="15" t="n"/>
      <c r="E131" s="15" t="n"/>
      <c r="F131" s="15" t="n"/>
      <c r="G131" s="15" t="n"/>
      <c r="H131" s="16">
        <f>IF($A131="","",$D131+IF($E131="",0,$E131)+IF($F131="",0,$F131)-IF($G131="",0,$G131))</f>
        <v/>
      </c>
      <c r="I131" s="12" t="n"/>
      <c r="J131" s="12" t="n"/>
      <c r="K131" s="12" t="n"/>
      <c r="L131" s="14" t="n"/>
      <c r="M131" s="12" t="n"/>
      <c r="N131" s="12" t="n"/>
      <c r="O131" s="12" t="n"/>
    </row>
    <row r="132">
      <c r="A132" s="12" t="n"/>
      <c r="B132" s="13">
        <f>IF($A132="","",IFERROR(INDEX(Emp_Names,MATCH($A132,Emp_Codes,0)),"NOT FOUND"))</f>
        <v/>
      </c>
      <c r="C132" s="14" t="n"/>
      <c r="D132" s="15" t="n"/>
      <c r="E132" s="15" t="n"/>
      <c r="F132" s="15" t="n"/>
      <c r="G132" s="15" t="n"/>
      <c r="H132" s="16">
        <f>IF($A132="","",$D132+IF($E132="",0,$E132)+IF($F132="",0,$F132)-IF($G132="",0,$G132))</f>
        <v/>
      </c>
      <c r="I132" s="12" t="n"/>
      <c r="J132" s="12" t="n"/>
      <c r="K132" s="12" t="n"/>
      <c r="L132" s="14" t="n"/>
      <c r="M132" s="12" t="n"/>
      <c r="N132" s="12" t="n"/>
      <c r="O132" s="12" t="n"/>
    </row>
    <row r="133">
      <c r="A133" s="12" t="n"/>
      <c r="B133" s="13">
        <f>IF($A133="","",IFERROR(INDEX(Emp_Names,MATCH($A133,Emp_Codes,0)),"NOT FOUND"))</f>
        <v/>
      </c>
      <c r="C133" s="14" t="n"/>
      <c r="D133" s="15" t="n"/>
      <c r="E133" s="15" t="n"/>
      <c r="F133" s="15" t="n"/>
      <c r="G133" s="15" t="n"/>
      <c r="H133" s="16">
        <f>IF($A133="","",$D133+IF($E133="",0,$E133)+IF($F133="",0,$F133)-IF($G133="",0,$G133))</f>
        <v/>
      </c>
      <c r="I133" s="12" t="n"/>
      <c r="J133" s="12" t="n"/>
      <c r="K133" s="12" t="n"/>
      <c r="L133" s="14" t="n"/>
      <c r="M133" s="12" t="n"/>
      <c r="N133" s="12" t="n"/>
      <c r="O133" s="12" t="n"/>
    </row>
    <row r="134">
      <c r="A134" s="12" t="n"/>
      <c r="B134" s="13">
        <f>IF($A134="","",IFERROR(INDEX(Emp_Names,MATCH($A134,Emp_Codes,0)),"NOT FOUND"))</f>
        <v/>
      </c>
      <c r="C134" s="14" t="n"/>
      <c r="D134" s="15" t="n"/>
      <c r="E134" s="15" t="n"/>
      <c r="F134" s="15" t="n"/>
      <c r="G134" s="15" t="n"/>
      <c r="H134" s="16">
        <f>IF($A134="","",$D134+IF($E134="",0,$E134)+IF($F134="",0,$F134)-IF($G134="",0,$G134))</f>
        <v/>
      </c>
      <c r="I134" s="12" t="n"/>
      <c r="J134" s="12" t="n"/>
      <c r="K134" s="12" t="n"/>
      <c r="L134" s="14" t="n"/>
      <c r="M134" s="12" t="n"/>
      <c r="N134" s="12" t="n"/>
      <c r="O134" s="12" t="n"/>
    </row>
    <row r="135">
      <c r="A135" s="12" t="n"/>
      <c r="B135" s="13">
        <f>IF($A135="","",IFERROR(INDEX(Emp_Names,MATCH($A135,Emp_Codes,0)),"NOT FOUND"))</f>
        <v/>
      </c>
      <c r="C135" s="14" t="n"/>
      <c r="D135" s="15" t="n"/>
      <c r="E135" s="15" t="n"/>
      <c r="F135" s="15" t="n"/>
      <c r="G135" s="15" t="n"/>
      <c r="H135" s="16">
        <f>IF($A135="","",$D135+IF($E135="",0,$E135)+IF($F135="",0,$F135)-IF($G135="",0,$G135))</f>
        <v/>
      </c>
      <c r="I135" s="12" t="n"/>
      <c r="J135" s="12" t="n"/>
      <c r="K135" s="12" t="n"/>
      <c r="L135" s="14" t="n"/>
      <c r="M135" s="12" t="n"/>
      <c r="N135" s="12" t="n"/>
      <c r="O135" s="12" t="n"/>
    </row>
    <row r="136">
      <c r="A136" s="12" t="n"/>
      <c r="B136" s="13">
        <f>IF($A136="","",IFERROR(INDEX(Emp_Names,MATCH($A136,Emp_Codes,0)),"NOT FOUND"))</f>
        <v/>
      </c>
      <c r="C136" s="14" t="n"/>
      <c r="D136" s="15" t="n"/>
      <c r="E136" s="15" t="n"/>
      <c r="F136" s="15" t="n"/>
      <c r="G136" s="15" t="n"/>
      <c r="H136" s="16">
        <f>IF($A136="","",$D136+IF($E136="",0,$E136)+IF($F136="",0,$F136)-IF($G136="",0,$G136))</f>
        <v/>
      </c>
      <c r="I136" s="12" t="n"/>
      <c r="J136" s="12" t="n"/>
      <c r="K136" s="12" t="n"/>
      <c r="L136" s="14" t="n"/>
      <c r="M136" s="12" t="n"/>
      <c r="N136" s="12" t="n"/>
      <c r="O136" s="12" t="n"/>
    </row>
    <row r="137">
      <c r="A137" s="12" t="n"/>
      <c r="B137" s="13">
        <f>IF($A137="","",IFERROR(INDEX(Emp_Names,MATCH($A137,Emp_Codes,0)),"NOT FOUND"))</f>
        <v/>
      </c>
      <c r="C137" s="14" t="n"/>
      <c r="D137" s="15" t="n"/>
      <c r="E137" s="15" t="n"/>
      <c r="F137" s="15" t="n"/>
      <c r="G137" s="15" t="n"/>
      <c r="H137" s="16">
        <f>IF($A137="","",$D137+IF($E137="",0,$E137)+IF($F137="",0,$F137)-IF($G137="",0,$G137))</f>
        <v/>
      </c>
      <c r="I137" s="12" t="n"/>
      <c r="J137" s="12" t="n"/>
      <c r="K137" s="12" t="n"/>
      <c r="L137" s="14" t="n"/>
      <c r="M137" s="12" t="n"/>
      <c r="N137" s="12" t="n"/>
      <c r="O137" s="12" t="n"/>
    </row>
    <row r="138">
      <c r="A138" s="12" t="n"/>
      <c r="B138" s="13">
        <f>IF($A138="","",IFERROR(INDEX(Emp_Names,MATCH($A138,Emp_Codes,0)),"NOT FOUND"))</f>
        <v/>
      </c>
      <c r="C138" s="14" t="n"/>
      <c r="D138" s="15" t="n"/>
      <c r="E138" s="15" t="n"/>
      <c r="F138" s="15" t="n"/>
      <c r="G138" s="15" t="n"/>
      <c r="H138" s="16">
        <f>IF($A138="","",$D138+IF($E138="",0,$E138)+IF($F138="",0,$F138)-IF($G138="",0,$G138))</f>
        <v/>
      </c>
      <c r="I138" s="12" t="n"/>
      <c r="J138" s="12" t="n"/>
      <c r="K138" s="12" t="n"/>
      <c r="L138" s="14" t="n"/>
      <c r="M138" s="12" t="n"/>
      <c r="N138" s="12" t="n"/>
      <c r="O138" s="12" t="n"/>
    </row>
    <row r="139">
      <c r="A139" s="12" t="n"/>
      <c r="B139" s="13">
        <f>IF($A139="","",IFERROR(INDEX(Emp_Names,MATCH($A139,Emp_Codes,0)),"NOT FOUND"))</f>
        <v/>
      </c>
      <c r="C139" s="14" t="n"/>
      <c r="D139" s="15" t="n"/>
      <c r="E139" s="15" t="n"/>
      <c r="F139" s="15" t="n"/>
      <c r="G139" s="15" t="n"/>
      <c r="H139" s="16">
        <f>IF($A139="","",$D139+IF($E139="",0,$E139)+IF($F139="",0,$F139)-IF($G139="",0,$G139))</f>
        <v/>
      </c>
      <c r="I139" s="12" t="n"/>
      <c r="J139" s="12" t="n"/>
      <c r="K139" s="12" t="n"/>
      <c r="L139" s="14" t="n"/>
      <c r="M139" s="12" t="n"/>
      <c r="N139" s="12" t="n"/>
      <c r="O139" s="12" t="n"/>
    </row>
    <row r="140">
      <c r="A140" s="12" t="n"/>
      <c r="B140" s="13">
        <f>IF($A140="","",IFERROR(INDEX(Emp_Names,MATCH($A140,Emp_Codes,0)),"NOT FOUND"))</f>
        <v/>
      </c>
      <c r="C140" s="14" t="n"/>
      <c r="D140" s="15" t="n"/>
      <c r="E140" s="15" t="n"/>
      <c r="F140" s="15" t="n"/>
      <c r="G140" s="15" t="n"/>
      <c r="H140" s="16">
        <f>IF($A140="","",$D140+IF($E140="",0,$E140)+IF($F140="",0,$F140)-IF($G140="",0,$G140))</f>
        <v/>
      </c>
      <c r="I140" s="12" t="n"/>
      <c r="J140" s="12" t="n"/>
      <c r="K140" s="12" t="n"/>
      <c r="L140" s="14" t="n"/>
      <c r="M140" s="12" t="n"/>
      <c r="N140" s="12" t="n"/>
      <c r="O140" s="12" t="n"/>
    </row>
    <row r="141">
      <c r="A141" s="12" t="n"/>
      <c r="B141" s="13">
        <f>IF($A141="","",IFERROR(INDEX(Emp_Names,MATCH($A141,Emp_Codes,0)),"NOT FOUND"))</f>
        <v/>
      </c>
      <c r="C141" s="14" t="n"/>
      <c r="D141" s="15" t="n"/>
      <c r="E141" s="15" t="n"/>
      <c r="F141" s="15" t="n"/>
      <c r="G141" s="15" t="n"/>
      <c r="H141" s="16">
        <f>IF($A141="","",$D141+IF($E141="",0,$E141)+IF($F141="",0,$F141)-IF($G141="",0,$G141))</f>
        <v/>
      </c>
      <c r="I141" s="12" t="n"/>
      <c r="J141" s="12" t="n"/>
      <c r="K141" s="12" t="n"/>
      <c r="L141" s="14" t="n"/>
      <c r="M141" s="12" t="n"/>
      <c r="N141" s="12" t="n"/>
      <c r="O141" s="12" t="n"/>
    </row>
    <row r="142">
      <c r="A142" s="12" t="n"/>
      <c r="B142" s="13">
        <f>IF($A142="","",IFERROR(INDEX(Emp_Names,MATCH($A142,Emp_Codes,0)),"NOT FOUND"))</f>
        <v/>
      </c>
      <c r="C142" s="14" t="n"/>
      <c r="D142" s="15" t="n"/>
      <c r="E142" s="15" t="n"/>
      <c r="F142" s="15" t="n"/>
      <c r="G142" s="15" t="n"/>
      <c r="H142" s="16">
        <f>IF($A142="","",$D142+IF($E142="",0,$E142)+IF($F142="",0,$F142)-IF($G142="",0,$G142))</f>
        <v/>
      </c>
      <c r="I142" s="12" t="n"/>
      <c r="J142" s="12" t="n"/>
      <c r="K142" s="12" t="n"/>
      <c r="L142" s="14" t="n"/>
      <c r="M142" s="12" t="n"/>
      <c r="N142" s="12" t="n"/>
      <c r="O142" s="12" t="n"/>
    </row>
    <row r="143">
      <c r="A143" s="12" t="n"/>
      <c r="B143" s="13">
        <f>IF($A143="","",IFERROR(INDEX(Emp_Names,MATCH($A143,Emp_Codes,0)),"NOT FOUND"))</f>
        <v/>
      </c>
      <c r="C143" s="14" t="n"/>
      <c r="D143" s="15" t="n"/>
      <c r="E143" s="15" t="n"/>
      <c r="F143" s="15" t="n"/>
      <c r="G143" s="15" t="n"/>
      <c r="H143" s="16">
        <f>IF($A143="","",$D143+IF($E143="",0,$E143)+IF($F143="",0,$F143)-IF($G143="",0,$G143))</f>
        <v/>
      </c>
      <c r="I143" s="12" t="n"/>
      <c r="J143" s="12" t="n"/>
      <c r="K143" s="12" t="n"/>
      <c r="L143" s="14" t="n"/>
      <c r="M143" s="12" t="n"/>
      <c r="N143" s="12" t="n"/>
      <c r="O143" s="12" t="n"/>
    </row>
    <row r="144">
      <c r="A144" s="12" t="n"/>
      <c r="B144" s="13">
        <f>IF($A144="","",IFERROR(INDEX(Emp_Names,MATCH($A144,Emp_Codes,0)),"NOT FOUND"))</f>
        <v/>
      </c>
      <c r="C144" s="14" t="n"/>
      <c r="D144" s="15" t="n"/>
      <c r="E144" s="15" t="n"/>
      <c r="F144" s="15" t="n"/>
      <c r="G144" s="15" t="n"/>
      <c r="H144" s="16">
        <f>IF($A144="","",$D144+IF($E144="",0,$E144)+IF($F144="",0,$F144)-IF($G144="",0,$G144))</f>
        <v/>
      </c>
      <c r="I144" s="12" t="n"/>
      <c r="J144" s="12" t="n"/>
      <c r="K144" s="12" t="n"/>
      <c r="L144" s="14" t="n"/>
      <c r="M144" s="12" t="n"/>
      <c r="N144" s="12" t="n"/>
      <c r="O144" s="12" t="n"/>
    </row>
    <row r="145">
      <c r="A145" s="12" t="n"/>
      <c r="B145" s="13">
        <f>IF($A145="","",IFERROR(INDEX(Emp_Names,MATCH($A145,Emp_Codes,0)),"NOT FOUND"))</f>
        <v/>
      </c>
      <c r="C145" s="14" t="n"/>
      <c r="D145" s="15" t="n"/>
      <c r="E145" s="15" t="n"/>
      <c r="F145" s="15" t="n"/>
      <c r="G145" s="15" t="n"/>
      <c r="H145" s="16">
        <f>IF($A145="","",$D145+IF($E145="",0,$E145)+IF($F145="",0,$F145)-IF($G145="",0,$G145))</f>
        <v/>
      </c>
      <c r="I145" s="12" t="n"/>
      <c r="J145" s="12" t="n"/>
      <c r="K145" s="12" t="n"/>
      <c r="L145" s="14" t="n"/>
      <c r="M145" s="12" t="n"/>
      <c r="N145" s="12" t="n"/>
      <c r="O145" s="12" t="n"/>
    </row>
    <row r="146">
      <c r="A146" s="12" t="n"/>
      <c r="B146" s="13">
        <f>IF($A146="","",IFERROR(INDEX(Emp_Names,MATCH($A146,Emp_Codes,0)),"NOT FOUND"))</f>
        <v/>
      </c>
      <c r="C146" s="14" t="n"/>
      <c r="D146" s="15" t="n"/>
      <c r="E146" s="15" t="n"/>
      <c r="F146" s="15" t="n"/>
      <c r="G146" s="15" t="n"/>
      <c r="H146" s="16">
        <f>IF($A146="","",$D146+IF($E146="",0,$E146)+IF($F146="",0,$F146)-IF($G146="",0,$G146))</f>
        <v/>
      </c>
      <c r="I146" s="12" t="n"/>
      <c r="J146" s="12" t="n"/>
      <c r="K146" s="12" t="n"/>
      <c r="L146" s="14" t="n"/>
      <c r="M146" s="12" t="n"/>
      <c r="N146" s="12" t="n"/>
      <c r="O146" s="12" t="n"/>
    </row>
    <row r="147">
      <c r="A147" s="12" t="n"/>
      <c r="B147" s="13">
        <f>IF($A147="","",IFERROR(INDEX(Emp_Names,MATCH($A147,Emp_Codes,0)),"NOT FOUND"))</f>
        <v/>
      </c>
      <c r="C147" s="14" t="n"/>
      <c r="D147" s="15" t="n"/>
      <c r="E147" s="15" t="n"/>
      <c r="F147" s="15" t="n"/>
      <c r="G147" s="15" t="n"/>
      <c r="H147" s="16">
        <f>IF($A147="","",$D147+IF($E147="",0,$E147)+IF($F147="",0,$F147)-IF($G147="",0,$G147))</f>
        <v/>
      </c>
      <c r="I147" s="12" t="n"/>
      <c r="J147" s="12" t="n"/>
      <c r="K147" s="12" t="n"/>
      <c r="L147" s="14" t="n"/>
      <c r="M147" s="12" t="n"/>
      <c r="N147" s="12" t="n"/>
      <c r="O147" s="12" t="n"/>
    </row>
    <row r="148">
      <c r="A148" s="12" t="n"/>
      <c r="B148" s="13">
        <f>IF($A148="","",IFERROR(INDEX(Emp_Names,MATCH($A148,Emp_Codes,0)),"NOT FOUND"))</f>
        <v/>
      </c>
      <c r="C148" s="14" t="n"/>
      <c r="D148" s="15" t="n"/>
      <c r="E148" s="15" t="n"/>
      <c r="F148" s="15" t="n"/>
      <c r="G148" s="15" t="n"/>
      <c r="H148" s="16">
        <f>IF($A148="","",$D148+IF($E148="",0,$E148)+IF($F148="",0,$F148)-IF($G148="",0,$G148))</f>
        <v/>
      </c>
      <c r="I148" s="12" t="n"/>
      <c r="J148" s="12" t="n"/>
      <c r="K148" s="12" t="n"/>
      <c r="L148" s="14" t="n"/>
      <c r="M148" s="12" t="n"/>
      <c r="N148" s="12" t="n"/>
      <c r="O148" s="12" t="n"/>
    </row>
    <row r="149">
      <c r="A149" s="12" t="n"/>
      <c r="B149" s="13">
        <f>IF($A149="","",IFERROR(INDEX(Emp_Names,MATCH($A149,Emp_Codes,0)),"NOT FOUND"))</f>
        <v/>
      </c>
      <c r="C149" s="14" t="n"/>
      <c r="D149" s="15" t="n"/>
      <c r="E149" s="15" t="n"/>
      <c r="F149" s="15" t="n"/>
      <c r="G149" s="15" t="n"/>
      <c r="H149" s="16">
        <f>IF($A149="","",$D149+IF($E149="",0,$E149)+IF($F149="",0,$F149)-IF($G149="",0,$G149))</f>
        <v/>
      </c>
      <c r="I149" s="12" t="n"/>
      <c r="J149" s="12" t="n"/>
      <c r="K149" s="12" t="n"/>
      <c r="L149" s="14" t="n"/>
      <c r="M149" s="12" t="n"/>
      <c r="N149" s="12" t="n"/>
      <c r="O149" s="12" t="n"/>
    </row>
    <row r="150">
      <c r="A150" s="12" t="n"/>
      <c r="B150" s="13">
        <f>IF($A150="","",IFERROR(INDEX(Emp_Names,MATCH($A150,Emp_Codes,0)),"NOT FOUND"))</f>
        <v/>
      </c>
      <c r="C150" s="14" t="n"/>
      <c r="D150" s="15" t="n"/>
      <c r="E150" s="15" t="n"/>
      <c r="F150" s="15" t="n"/>
      <c r="G150" s="15" t="n"/>
      <c r="H150" s="16">
        <f>IF($A150="","",$D150+IF($E150="",0,$E150)+IF($F150="",0,$F150)-IF($G150="",0,$G150))</f>
        <v/>
      </c>
      <c r="I150" s="12" t="n"/>
      <c r="J150" s="12" t="n"/>
      <c r="K150" s="12" t="n"/>
      <c r="L150" s="14" t="n"/>
      <c r="M150" s="12" t="n"/>
      <c r="N150" s="12" t="n"/>
      <c r="O150" s="12" t="n"/>
    </row>
    <row r="151">
      <c r="A151" s="12" t="n"/>
      <c r="B151" s="13">
        <f>IF($A151="","",IFERROR(INDEX(Emp_Names,MATCH($A151,Emp_Codes,0)),"NOT FOUND"))</f>
        <v/>
      </c>
      <c r="C151" s="14" t="n"/>
      <c r="D151" s="15" t="n"/>
      <c r="E151" s="15" t="n"/>
      <c r="F151" s="15" t="n"/>
      <c r="G151" s="15" t="n"/>
      <c r="H151" s="16">
        <f>IF($A151="","",$D151+IF($E151="",0,$E151)+IF($F151="",0,$F151)-IF($G151="",0,$G151))</f>
        <v/>
      </c>
      <c r="I151" s="12" t="n"/>
      <c r="J151" s="12" t="n"/>
      <c r="K151" s="12" t="n"/>
      <c r="L151" s="14" t="n"/>
      <c r="M151" s="12" t="n"/>
      <c r="N151" s="12" t="n"/>
      <c r="O151" s="12" t="n"/>
    </row>
    <row r="152">
      <c r="A152" s="12" t="n"/>
      <c r="B152" s="13">
        <f>IF($A152="","",IFERROR(INDEX(Emp_Names,MATCH($A152,Emp_Codes,0)),"NOT FOUND"))</f>
        <v/>
      </c>
      <c r="C152" s="14" t="n"/>
      <c r="D152" s="15" t="n"/>
      <c r="E152" s="15" t="n"/>
      <c r="F152" s="15" t="n"/>
      <c r="G152" s="15" t="n"/>
      <c r="H152" s="16">
        <f>IF($A152="","",$D152+IF($E152="",0,$E152)+IF($F152="",0,$F152)-IF($G152="",0,$G152))</f>
        <v/>
      </c>
      <c r="I152" s="12" t="n"/>
      <c r="J152" s="12" t="n"/>
      <c r="K152" s="12" t="n"/>
      <c r="L152" s="14" t="n"/>
      <c r="M152" s="12" t="n"/>
      <c r="N152" s="12" t="n"/>
      <c r="O152" s="12" t="n"/>
    </row>
    <row r="153">
      <c r="A153" s="12" t="n"/>
      <c r="B153" s="13">
        <f>IF($A153="","",IFERROR(INDEX(Emp_Names,MATCH($A153,Emp_Codes,0)),"NOT FOUND"))</f>
        <v/>
      </c>
      <c r="C153" s="14" t="n"/>
      <c r="D153" s="15" t="n"/>
      <c r="E153" s="15" t="n"/>
      <c r="F153" s="15" t="n"/>
      <c r="G153" s="15" t="n"/>
      <c r="H153" s="16">
        <f>IF($A153="","",$D153+IF($E153="",0,$E153)+IF($F153="",0,$F153)-IF($G153="",0,$G153))</f>
        <v/>
      </c>
      <c r="I153" s="12" t="n"/>
      <c r="J153" s="12" t="n"/>
      <c r="K153" s="12" t="n"/>
      <c r="L153" s="14" t="n"/>
      <c r="M153" s="12" t="n"/>
      <c r="N153" s="12" t="n"/>
      <c r="O153" s="12" t="n"/>
    </row>
    <row r="154">
      <c r="A154" s="12" t="n"/>
      <c r="B154" s="13">
        <f>IF($A154="","",IFERROR(INDEX(Emp_Names,MATCH($A154,Emp_Codes,0)),"NOT FOUND"))</f>
        <v/>
      </c>
      <c r="C154" s="14" t="n"/>
      <c r="D154" s="15" t="n"/>
      <c r="E154" s="15" t="n"/>
      <c r="F154" s="15" t="n"/>
      <c r="G154" s="15" t="n"/>
      <c r="H154" s="16">
        <f>IF($A154="","",$D154+IF($E154="",0,$E154)+IF($F154="",0,$F154)-IF($G154="",0,$G154))</f>
        <v/>
      </c>
      <c r="I154" s="12" t="n"/>
      <c r="J154" s="12" t="n"/>
      <c r="K154" s="12" t="n"/>
      <c r="L154" s="14" t="n"/>
      <c r="M154" s="12" t="n"/>
      <c r="N154" s="12" t="n"/>
      <c r="O154" s="12" t="n"/>
    </row>
    <row r="155">
      <c r="A155" s="12" t="n"/>
      <c r="B155" s="13">
        <f>IF($A155="","",IFERROR(INDEX(Emp_Names,MATCH($A155,Emp_Codes,0)),"NOT FOUND"))</f>
        <v/>
      </c>
      <c r="C155" s="14" t="n"/>
      <c r="D155" s="15" t="n"/>
      <c r="E155" s="15" t="n"/>
      <c r="F155" s="15" t="n"/>
      <c r="G155" s="15" t="n"/>
      <c r="H155" s="16">
        <f>IF($A155="","",$D155+IF($E155="",0,$E155)+IF($F155="",0,$F155)-IF($G155="",0,$G155))</f>
        <v/>
      </c>
      <c r="I155" s="12" t="n"/>
      <c r="J155" s="12" t="n"/>
      <c r="K155" s="12" t="n"/>
      <c r="L155" s="14" t="n"/>
      <c r="M155" s="12" t="n"/>
      <c r="N155" s="12" t="n"/>
      <c r="O155" s="12" t="n"/>
    </row>
    <row r="156">
      <c r="A156" s="12" t="n"/>
      <c r="B156" s="13">
        <f>IF($A156="","",IFERROR(INDEX(Emp_Names,MATCH($A156,Emp_Codes,0)),"NOT FOUND"))</f>
        <v/>
      </c>
      <c r="C156" s="14" t="n"/>
      <c r="D156" s="15" t="n"/>
      <c r="E156" s="15" t="n"/>
      <c r="F156" s="15" t="n"/>
      <c r="G156" s="15" t="n"/>
      <c r="H156" s="16">
        <f>IF($A156="","",$D156+IF($E156="",0,$E156)+IF($F156="",0,$F156)-IF($G156="",0,$G156))</f>
        <v/>
      </c>
      <c r="I156" s="12" t="n"/>
      <c r="J156" s="12" t="n"/>
      <c r="K156" s="12" t="n"/>
      <c r="L156" s="14" t="n"/>
      <c r="M156" s="12" t="n"/>
      <c r="N156" s="12" t="n"/>
      <c r="O156" s="12" t="n"/>
    </row>
    <row r="157">
      <c r="A157" s="12" t="n"/>
      <c r="B157" s="13">
        <f>IF($A157="","",IFERROR(INDEX(Emp_Names,MATCH($A157,Emp_Codes,0)),"NOT FOUND"))</f>
        <v/>
      </c>
      <c r="C157" s="14" t="n"/>
      <c r="D157" s="15" t="n"/>
      <c r="E157" s="15" t="n"/>
      <c r="F157" s="15" t="n"/>
      <c r="G157" s="15" t="n"/>
      <c r="H157" s="16">
        <f>IF($A157="","",$D157+IF($E157="",0,$E157)+IF($F157="",0,$F157)-IF($G157="",0,$G157))</f>
        <v/>
      </c>
      <c r="I157" s="12" t="n"/>
      <c r="J157" s="12" t="n"/>
      <c r="K157" s="12" t="n"/>
      <c r="L157" s="14" t="n"/>
      <c r="M157" s="12" t="n"/>
      <c r="N157" s="12" t="n"/>
      <c r="O157" s="12" t="n"/>
    </row>
    <row r="158">
      <c r="A158" s="12" t="n"/>
      <c r="B158" s="13">
        <f>IF($A158="","",IFERROR(INDEX(Emp_Names,MATCH($A158,Emp_Codes,0)),"NOT FOUND"))</f>
        <v/>
      </c>
      <c r="C158" s="14" t="n"/>
      <c r="D158" s="15" t="n"/>
      <c r="E158" s="15" t="n"/>
      <c r="F158" s="15" t="n"/>
      <c r="G158" s="15" t="n"/>
      <c r="H158" s="16">
        <f>IF($A158="","",$D158+IF($E158="",0,$E158)+IF($F158="",0,$F158)-IF($G158="",0,$G158))</f>
        <v/>
      </c>
      <c r="I158" s="12" t="n"/>
      <c r="J158" s="12" t="n"/>
      <c r="K158" s="12" t="n"/>
      <c r="L158" s="14" t="n"/>
      <c r="M158" s="12" t="n"/>
      <c r="N158" s="12" t="n"/>
      <c r="O158" s="12" t="n"/>
    </row>
    <row r="159">
      <c r="A159" s="12" t="n"/>
      <c r="B159" s="13">
        <f>IF($A159="","",IFERROR(INDEX(Emp_Names,MATCH($A159,Emp_Codes,0)),"NOT FOUND"))</f>
        <v/>
      </c>
      <c r="C159" s="14" t="n"/>
      <c r="D159" s="15" t="n"/>
      <c r="E159" s="15" t="n"/>
      <c r="F159" s="15" t="n"/>
      <c r="G159" s="15" t="n"/>
      <c r="H159" s="16">
        <f>IF($A159="","",$D159+IF($E159="",0,$E159)+IF($F159="",0,$F159)-IF($G159="",0,$G159))</f>
        <v/>
      </c>
      <c r="I159" s="12" t="n"/>
      <c r="J159" s="12" t="n"/>
      <c r="K159" s="12" t="n"/>
      <c r="L159" s="14" t="n"/>
      <c r="M159" s="12" t="n"/>
      <c r="N159" s="12" t="n"/>
      <c r="O159" s="12" t="n"/>
    </row>
    <row r="160">
      <c r="A160" s="12" t="n"/>
      <c r="B160" s="13">
        <f>IF($A160="","",IFERROR(INDEX(Emp_Names,MATCH($A160,Emp_Codes,0)),"NOT FOUND"))</f>
        <v/>
      </c>
      <c r="C160" s="14" t="n"/>
      <c r="D160" s="15" t="n"/>
      <c r="E160" s="15" t="n"/>
      <c r="F160" s="15" t="n"/>
      <c r="G160" s="15" t="n"/>
      <c r="H160" s="16">
        <f>IF($A160="","",$D160+IF($E160="",0,$E160)+IF($F160="",0,$F160)-IF($G160="",0,$G160))</f>
        <v/>
      </c>
      <c r="I160" s="12" t="n"/>
      <c r="J160" s="12" t="n"/>
      <c r="K160" s="12" t="n"/>
      <c r="L160" s="14" t="n"/>
      <c r="M160" s="12" t="n"/>
      <c r="N160" s="12" t="n"/>
      <c r="O160" s="12" t="n"/>
    </row>
    <row r="161">
      <c r="A161" s="12" t="n"/>
      <c r="B161" s="13">
        <f>IF($A161="","",IFERROR(INDEX(Emp_Names,MATCH($A161,Emp_Codes,0)),"NOT FOUND"))</f>
        <v/>
      </c>
      <c r="C161" s="14" t="n"/>
      <c r="D161" s="15" t="n"/>
      <c r="E161" s="15" t="n"/>
      <c r="F161" s="15" t="n"/>
      <c r="G161" s="15" t="n"/>
      <c r="H161" s="16">
        <f>IF($A161="","",$D161+IF($E161="",0,$E161)+IF($F161="",0,$F161)-IF($G161="",0,$G161))</f>
        <v/>
      </c>
      <c r="I161" s="12" t="n"/>
      <c r="J161" s="12" t="n"/>
      <c r="K161" s="12" t="n"/>
      <c r="L161" s="14" t="n"/>
      <c r="M161" s="12" t="n"/>
      <c r="N161" s="12" t="n"/>
      <c r="O161" s="12" t="n"/>
    </row>
    <row r="162">
      <c r="A162" s="12" t="n"/>
      <c r="B162" s="13">
        <f>IF($A162="","",IFERROR(INDEX(Emp_Names,MATCH($A162,Emp_Codes,0)),"NOT FOUND"))</f>
        <v/>
      </c>
      <c r="C162" s="14" t="n"/>
      <c r="D162" s="15" t="n"/>
      <c r="E162" s="15" t="n"/>
      <c r="F162" s="15" t="n"/>
      <c r="G162" s="15" t="n"/>
      <c r="H162" s="16">
        <f>IF($A162="","",$D162+IF($E162="",0,$E162)+IF($F162="",0,$F162)-IF($G162="",0,$G162))</f>
        <v/>
      </c>
      <c r="I162" s="12" t="n"/>
      <c r="J162" s="12" t="n"/>
      <c r="K162" s="12" t="n"/>
      <c r="L162" s="14" t="n"/>
      <c r="M162" s="12" t="n"/>
      <c r="N162" s="12" t="n"/>
      <c r="O162" s="12" t="n"/>
    </row>
    <row r="163">
      <c r="A163" s="12" t="n"/>
      <c r="B163" s="13">
        <f>IF($A163="","",IFERROR(INDEX(Emp_Names,MATCH($A163,Emp_Codes,0)),"NOT FOUND"))</f>
        <v/>
      </c>
      <c r="C163" s="14" t="n"/>
      <c r="D163" s="15" t="n"/>
      <c r="E163" s="15" t="n"/>
      <c r="F163" s="15" t="n"/>
      <c r="G163" s="15" t="n"/>
      <c r="H163" s="16">
        <f>IF($A163="","",$D163+IF($E163="",0,$E163)+IF($F163="",0,$F163)-IF($G163="",0,$G163))</f>
        <v/>
      </c>
      <c r="I163" s="12" t="n"/>
      <c r="J163" s="12" t="n"/>
      <c r="K163" s="12" t="n"/>
      <c r="L163" s="14" t="n"/>
      <c r="M163" s="12" t="n"/>
      <c r="N163" s="12" t="n"/>
      <c r="O163" s="12" t="n"/>
    </row>
    <row r="164">
      <c r="A164" s="12" t="n"/>
      <c r="B164" s="13">
        <f>IF($A164="","",IFERROR(INDEX(Emp_Names,MATCH($A164,Emp_Codes,0)),"NOT FOUND"))</f>
        <v/>
      </c>
      <c r="C164" s="14" t="n"/>
      <c r="D164" s="15" t="n"/>
      <c r="E164" s="15" t="n"/>
      <c r="F164" s="15" t="n"/>
      <c r="G164" s="15" t="n"/>
      <c r="H164" s="16">
        <f>IF($A164="","",$D164+IF($E164="",0,$E164)+IF($F164="",0,$F164)-IF($G164="",0,$G164))</f>
        <v/>
      </c>
      <c r="I164" s="12" t="n"/>
      <c r="J164" s="12" t="n"/>
      <c r="K164" s="12" t="n"/>
      <c r="L164" s="14" t="n"/>
      <c r="M164" s="12" t="n"/>
      <c r="N164" s="12" t="n"/>
      <c r="O164" s="12" t="n"/>
    </row>
    <row r="165">
      <c r="A165" s="12" t="n"/>
      <c r="B165" s="13">
        <f>IF($A165="","",IFERROR(INDEX(Emp_Names,MATCH($A165,Emp_Codes,0)),"NOT FOUND"))</f>
        <v/>
      </c>
      <c r="C165" s="14" t="n"/>
      <c r="D165" s="15" t="n"/>
      <c r="E165" s="15" t="n"/>
      <c r="F165" s="15" t="n"/>
      <c r="G165" s="15" t="n"/>
      <c r="H165" s="16">
        <f>IF($A165="","",$D165+IF($E165="",0,$E165)+IF($F165="",0,$F165)-IF($G165="",0,$G165))</f>
        <v/>
      </c>
      <c r="I165" s="12" t="n"/>
      <c r="J165" s="12" t="n"/>
      <c r="K165" s="12" t="n"/>
      <c r="L165" s="14" t="n"/>
      <c r="M165" s="12" t="n"/>
      <c r="N165" s="12" t="n"/>
      <c r="O165" s="12" t="n"/>
    </row>
    <row r="166">
      <c r="A166" s="12" t="n"/>
      <c r="B166" s="13">
        <f>IF($A166="","",IFERROR(INDEX(Emp_Names,MATCH($A166,Emp_Codes,0)),"NOT FOUND"))</f>
        <v/>
      </c>
      <c r="C166" s="14" t="n"/>
      <c r="D166" s="15" t="n"/>
      <c r="E166" s="15" t="n"/>
      <c r="F166" s="15" t="n"/>
      <c r="G166" s="15" t="n"/>
      <c r="H166" s="16">
        <f>IF($A166="","",$D166+IF($E166="",0,$E166)+IF($F166="",0,$F166)-IF($G166="",0,$G166))</f>
        <v/>
      </c>
      <c r="I166" s="12" t="n"/>
      <c r="J166" s="12" t="n"/>
      <c r="K166" s="12" t="n"/>
      <c r="L166" s="14" t="n"/>
      <c r="M166" s="12" t="n"/>
      <c r="N166" s="12" t="n"/>
      <c r="O166" s="12" t="n"/>
    </row>
    <row r="167">
      <c r="A167" s="12" t="n"/>
      <c r="B167" s="13">
        <f>IF($A167="","",IFERROR(INDEX(Emp_Names,MATCH($A167,Emp_Codes,0)),"NOT FOUND"))</f>
        <v/>
      </c>
      <c r="C167" s="14" t="n"/>
      <c r="D167" s="15" t="n"/>
      <c r="E167" s="15" t="n"/>
      <c r="F167" s="15" t="n"/>
      <c r="G167" s="15" t="n"/>
      <c r="H167" s="16">
        <f>IF($A167="","",$D167+IF($E167="",0,$E167)+IF($F167="",0,$F167)-IF($G167="",0,$G167))</f>
        <v/>
      </c>
      <c r="I167" s="12" t="n"/>
      <c r="J167" s="12" t="n"/>
      <c r="K167" s="12" t="n"/>
      <c r="L167" s="14" t="n"/>
      <c r="M167" s="12" t="n"/>
      <c r="N167" s="12" t="n"/>
      <c r="O167" s="12" t="n"/>
    </row>
    <row r="168">
      <c r="A168" s="12" t="n"/>
      <c r="B168" s="13">
        <f>IF($A168="","",IFERROR(INDEX(Emp_Names,MATCH($A168,Emp_Codes,0)),"NOT FOUND"))</f>
        <v/>
      </c>
      <c r="C168" s="14" t="n"/>
      <c r="D168" s="15" t="n"/>
      <c r="E168" s="15" t="n"/>
      <c r="F168" s="15" t="n"/>
      <c r="G168" s="15" t="n"/>
      <c r="H168" s="16">
        <f>IF($A168="","",$D168+IF($E168="",0,$E168)+IF($F168="",0,$F168)-IF($G168="",0,$G168))</f>
        <v/>
      </c>
      <c r="I168" s="12" t="n"/>
      <c r="J168" s="12" t="n"/>
      <c r="K168" s="12" t="n"/>
      <c r="L168" s="14" t="n"/>
      <c r="M168" s="12" t="n"/>
      <c r="N168" s="12" t="n"/>
      <c r="O168" s="12" t="n"/>
    </row>
    <row r="169">
      <c r="A169" s="12" t="n"/>
      <c r="B169" s="13">
        <f>IF($A169="","",IFERROR(INDEX(Emp_Names,MATCH($A169,Emp_Codes,0)),"NOT FOUND"))</f>
        <v/>
      </c>
      <c r="C169" s="14" t="n"/>
      <c r="D169" s="15" t="n"/>
      <c r="E169" s="15" t="n"/>
      <c r="F169" s="15" t="n"/>
      <c r="G169" s="15" t="n"/>
      <c r="H169" s="16">
        <f>IF($A169="","",$D169+IF($E169="",0,$E169)+IF($F169="",0,$F169)-IF($G169="",0,$G169))</f>
        <v/>
      </c>
      <c r="I169" s="12" t="n"/>
      <c r="J169" s="12" t="n"/>
      <c r="K169" s="12" t="n"/>
      <c r="L169" s="14" t="n"/>
      <c r="M169" s="12" t="n"/>
      <c r="N169" s="12" t="n"/>
      <c r="O169" s="12" t="n"/>
    </row>
    <row r="170">
      <c r="A170" s="12" t="n"/>
      <c r="B170" s="13">
        <f>IF($A170="","",IFERROR(INDEX(Emp_Names,MATCH($A170,Emp_Codes,0)),"NOT FOUND"))</f>
        <v/>
      </c>
      <c r="C170" s="14" t="n"/>
      <c r="D170" s="15" t="n"/>
      <c r="E170" s="15" t="n"/>
      <c r="F170" s="15" t="n"/>
      <c r="G170" s="15" t="n"/>
      <c r="H170" s="16">
        <f>IF($A170="","",$D170+IF($E170="",0,$E170)+IF($F170="",0,$F170)-IF($G170="",0,$G170))</f>
        <v/>
      </c>
      <c r="I170" s="12" t="n"/>
      <c r="J170" s="12" t="n"/>
      <c r="K170" s="12" t="n"/>
      <c r="L170" s="14" t="n"/>
      <c r="M170" s="12" t="n"/>
      <c r="N170" s="12" t="n"/>
      <c r="O170" s="12" t="n"/>
    </row>
    <row r="171">
      <c r="A171" s="12" t="n"/>
      <c r="B171" s="13">
        <f>IF($A171="","",IFERROR(INDEX(Emp_Names,MATCH($A171,Emp_Codes,0)),"NOT FOUND"))</f>
        <v/>
      </c>
      <c r="C171" s="14" t="n"/>
      <c r="D171" s="15" t="n"/>
      <c r="E171" s="15" t="n"/>
      <c r="F171" s="15" t="n"/>
      <c r="G171" s="15" t="n"/>
      <c r="H171" s="16">
        <f>IF($A171="","",$D171+IF($E171="",0,$E171)+IF($F171="",0,$F171)-IF($G171="",0,$G171))</f>
        <v/>
      </c>
      <c r="I171" s="12" t="n"/>
      <c r="J171" s="12" t="n"/>
      <c r="K171" s="12" t="n"/>
      <c r="L171" s="14" t="n"/>
      <c r="M171" s="12" t="n"/>
      <c r="N171" s="12" t="n"/>
      <c r="O171" s="12" t="n"/>
    </row>
    <row r="172">
      <c r="A172" s="12" t="n"/>
      <c r="B172" s="13">
        <f>IF($A172="","",IFERROR(INDEX(Emp_Names,MATCH($A172,Emp_Codes,0)),"NOT FOUND"))</f>
        <v/>
      </c>
      <c r="C172" s="14" t="n"/>
      <c r="D172" s="15" t="n"/>
      <c r="E172" s="15" t="n"/>
      <c r="F172" s="15" t="n"/>
      <c r="G172" s="15" t="n"/>
      <c r="H172" s="16">
        <f>IF($A172="","",$D172+IF($E172="",0,$E172)+IF($F172="",0,$F172)-IF($G172="",0,$G172))</f>
        <v/>
      </c>
      <c r="I172" s="12" t="n"/>
      <c r="J172" s="12" t="n"/>
      <c r="K172" s="12" t="n"/>
      <c r="L172" s="14" t="n"/>
      <c r="M172" s="12" t="n"/>
      <c r="N172" s="12" t="n"/>
      <c r="O172" s="12" t="n"/>
    </row>
    <row r="173">
      <c r="A173" s="12" t="n"/>
      <c r="B173" s="13">
        <f>IF($A173="","",IFERROR(INDEX(Emp_Names,MATCH($A173,Emp_Codes,0)),"NOT FOUND"))</f>
        <v/>
      </c>
      <c r="C173" s="14" t="n"/>
      <c r="D173" s="15" t="n"/>
      <c r="E173" s="15" t="n"/>
      <c r="F173" s="15" t="n"/>
      <c r="G173" s="15" t="n"/>
      <c r="H173" s="16">
        <f>IF($A173="","",$D173+IF($E173="",0,$E173)+IF($F173="",0,$F173)-IF($G173="",0,$G173))</f>
        <v/>
      </c>
      <c r="I173" s="12" t="n"/>
      <c r="J173" s="12" t="n"/>
      <c r="K173" s="12" t="n"/>
      <c r="L173" s="14" t="n"/>
      <c r="M173" s="12" t="n"/>
      <c r="N173" s="12" t="n"/>
      <c r="O173" s="12" t="n"/>
    </row>
    <row r="174">
      <c r="A174" s="12" t="n"/>
      <c r="B174" s="13">
        <f>IF($A174="","",IFERROR(INDEX(Emp_Names,MATCH($A174,Emp_Codes,0)),"NOT FOUND"))</f>
        <v/>
      </c>
      <c r="C174" s="14" t="n"/>
      <c r="D174" s="15" t="n"/>
      <c r="E174" s="15" t="n"/>
      <c r="F174" s="15" t="n"/>
      <c r="G174" s="15" t="n"/>
      <c r="H174" s="16">
        <f>IF($A174="","",$D174+IF($E174="",0,$E174)+IF($F174="",0,$F174)-IF($G174="",0,$G174))</f>
        <v/>
      </c>
      <c r="I174" s="12" t="n"/>
      <c r="J174" s="12" t="n"/>
      <c r="K174" s="12" t="n"/>
      <c r="L174" s="14" t="n"/>
      <c r="M174" s="12" t="n"/>
      <c r="N174" s="12" t="n"/>
      <c r="O174" s="12" t="n"/>
    </row>
    <row r="175">
      <c r="A175" s="12" t="n"/>
      <c r="B175" s="13">
        <f>IF($A175="","",IFERROR(INDEX(Emp_Names,MATCH($A175,Emp_Codes,0)),"NOT FOUND"))</f>
        <v/>
      </c>
      <c r="C175" s="14" t="n"/>
      <c r="D175" s="15" t="n"/>
      <c r="E175" s="15" t="n"/>
      <c r="F175" s="15" t="n"/>
      <c r="G175" s="15" t="n"/>
      <c r="H175" s="16">
        <f>IF($A175="","",$D175+IF($E175="",0,$E175)+IF($F175="",0,$F175)-IF($G175="",0,$G175))</f>
        <v/>
      </c>
      <c r="I175" s="12" t="n"/>
      <c r="J175" s="12" t="n"/>
      <c r="K175" s="12" t="n"/>
      <c r="L175" s="14" t="n"/>
      <c r="M175" s="12" t="n"/>
      <c r="N175" s="12" t="n"/>
      <c r="O175" s="12" t="n"/>
    </row>
    <row r="176">
      <c r="A176" s="12" t="n"/>
      <c r="B176" s="13">
        <f>IF($A176="","",IFERROR(INDEX(Emp_Names,MATCH($A176,Emp_Codes,0)),"NOT FOUND"))</f>
        <v/>
      </c>
      <c r="C176" s="14" t="n"/>
      <c r="D176" s="15" t="n"/>
      <c r="E176" s="15" t="n"/>
      <c r="F176" s="15" t="n"/>
      <c r="G176" s="15" t="n"/>
      <c r="H176" s="16">
        <f>IF($A176="","",$D176+IF($E176="",0,$E176)+IF($F176="",0,$F176)-IF($G176="",0,$G176))</f>
        <v/>
      </c>
      <c r="I176" s="12" t="n"/>
      <c r="J176" s="12" t="n"/>
      <c r="K176" s="12" t="n"/>
      <c r="L176" s="14" t="n"/>
      <c r="M176" s="12" t="n"/>
      <c r="N176" s="12" t="n"/>
      <c r="O176" s="12" t="n"/>
    </row>
    <row r="177">
      <c r="A177" s="12" t="n"/>
      <c r="B177" s="13">
        <f>IF($A177="","",IFERROR(INDEX(Emp_Names,MATCH($A177,Emp_Codes,0)),"NOT FOUND"))</f>
        <v/>
      </c>
      <c r="C177" s="14" t="n"/>
      <c r="D177" s="15" t="n"/>
      <c r="E177" s="15" t="n"/>
      <c r="F177" s="15" t="n"/>
      <c r="G177" s="15" t="n"/>
      <c r="H177" s="16">
        <f>IF($A177="","",$D177+IF($E177="",0,$E177)+IF($F177="",0,$F177)-IF($G177="",0,$G177))</f>
        <v/>
      </c>
      <c r="I177" s="12" t="n"/>
      <c r="J177" s="12" t="n"/>
      <c r="K177" s="12" t="n"/>
      <c r="L177" s="14" t="n"/>
      <c r="M177" s="12" t="n"/>
      <c r="N177" s="12" t="n"/>
      <c r="O177" s="12" t="n"/>
    </row>
    <row r="178">
      <c r="A178" s="12" t="n"/>
      <c r="B178" s="13">
        <f>IF($A178="","",IFERROR(INDEX(Emp_Names,MATCH($A178,Emp_Codes,0)),"NOT FOUND"))</f>
        <v/>
      </c>
      <c r="C178" s="14" t="n"/>
      <c r="D178" s="15" t="n"/>
      <c r="E178" s="15" t="n"/>
      <c r="F178" s="15" t="n"/>
      <c r="G178" s="15" t="n"/>
      <c r="H178" s="16">
        <f>IF($A178="","",$D178+IF($E178="",0,$E178)+IF($F178="",0,$F178)-IF($G178="",0,$G178))</f>
        <v/>
      </c>
      <c r="I178" s="12" t="n"/>
      <c r="J178" s="12" t="n"/>
      <c r="K178" s="12" t="n"/>
      <c r="L178" s="14" t="n"/>
      <c r="M178" s="12" t="n"/>
      <c r="N178" s="12" t="n"/>
      <c r="O178" s="12" t="n"/>
    </row>
    <row r="179">
      <c r="A179" s="12" t="n"/>
      <c r="B179" s="13">
        <f>IF($A179="","",IFERROR(INDEX(Emp_Names,MATCH($A179,Emp_Codes,0)),"NOT FOUND"))</f>
        <v/>
      </c>
      <c r="C179" s="14" t="n"/>
      <c r="D179" s="15" t="n"/>
      <c r="E179" s="15" t="n"/>
      <c r="F179" s="15" t="n"/>
      <c r="G179" s="15" t="n"/>
      <c r="H179" s="16">
        <f>IF($A179="","",$D179+IF($E179="",0,$E179)+IF($F179="",0,$F179)-IF($G179="",0,$G179))</f>
        <v/>
      </c>
      <c r="I179" s="12" t="n"/>
      <c r="J179" s="12" t="n"/>
      <c r="K179" s="12" t="n"/>
      <c r="L179" s="14" t="n"/>
      <c r="M179" s="12" t="n"/>
      <c r="N179" s="12" t="n"/>
      <c r="O179" s="12" t="n"/>
    </row>
    <row r="180">
      <c r="A180" s="12" t="n"/>
      <c r="B180" s="13">
        <f>IF($A180="","",IFERROR(INDEX(Emp_Names,MATCH($A180,Emp_Codes,0)),"NOT FOUND"))</f>
        <v/>
      </c>
      <c r="C180" s="14" t="n"/>
      <c r="D180" s="15" t="n"/>
      <c r="E180" s="15" t="n"/>
      <c r="F180" s="15" t="n"/>
      <c r="G180" s="15" t="n"/>
      <c r="H180" s="16">
        <f>IF($A180="","",$D180+IF($E180="",0,$E180)+IF($F180="",0,$F180)-IF($G180="",0,$G180))</f>
        <v/>
      </c>
      <c r="I180" s="12" t="n"/>
      <c r="J180" s="12" t="n"/>
      <c r="K180" s="12" t="n"/>
      <c r="L180" s="14" t="n"/>
      <c r="M180" s="12" t="n"/>
      <c r="N180" s="12" t="n"/>
      <c r="O180" s="12" t="n"/>
    </row>
    <row r="181">
      <c r="A181" s="12" t="n"/>
      <c r="B181" s="13">
        <f>IF($A181="","",IFERROR(INDEX(Emp_Names,MATCH($A181,Emp_Codes,0)),"NOT FOUND"))</f>
        <v/>
      </c>
      <c r="C181" s="14" t="n"/>
      <c r="D181" s="15" t="n"/>
      <c r="E181" s="15" t="n"/>
      <c r="F181" s="15" t="n"/>
      <c r="G181" s="15" t="n"/>
      <c r="H181" s="16">
        <f>IF($A181="","",$D181+IF($E181="",0,$E181)+IF($F181="",0,$F181)-IF($G181="",0,$G181))</f>
        <v/>
      </c>
      <c r="I181" s="12" t="n"/>
      <c r="J181" s="12" t="n"/>
      <c r="K181" s="12" t="n"/>
      <c r="L181" s="14" t="n"/>
      <c r="M181" s="12" t="n"/>
      <c r="N181" s="12" t="n"/>
      <c r="O181" s="12" t="n"/>
    </row>
    <row r="182">
      <c r="A182" s="12" t="n"/>
      <c r="B182" s="13">
        <f>IF($A182="","",IFERROR(INDEX(Emp_Names,MATCH($A182,Emp_Codes,0)),"NOT FOUND"))</f>
        <v/>
      </c>
      <c r="C182" s="14" t="n"/>
      <c r="D182" s="15" t="n"/>
      <c r="E182" s="15" t="n"/>
      <c r="F182" s="15" t="n"/>
      <c r="G182" s="15" t="n"/>
      <c r="H182" s="16">
        <f>IF($A182="","",$D182+IF($E182="",0,$E182)+IF($F182="",0,$F182)-IF($G182="",0,$G182))</f>
        <v/>
      </c>
      <c r="I182" s="12" t="n"/>
      <c r="J182" s="12" t="n"/>
      <c r="K182" s="12" t="n"/>
      <c r="L182" s="14" t="n"/>
      <c r="M182" s="12" t="n"/>
      <c r="N182" s="12" t="n"/>
      <c r="O182" s="12" t="n"/>
    </row>
    <row r="183">
      <c r="A183" s="12" t="n"/>
      <c r="B183" s="13">
        <f>IF($A183="","",IFERROR(INDEX(Emp_Names,MATCH($A183,Emp_Codes,0)),"NOT FOUND"))</f>
        <v/>
      </c>
      <c r="C183" s="14" t="n"/>
      <c r="D183" s="15" t="n"/>
      <c r="E183" s="15" t="n"/>
      <c r="F183" s="15" t="n"/>
      <c r="G183" s="15" t="n"/>
      <c r="H183" s="16">
        <f>IF($A183="","",$D183+IF($E183="",0,$E183)+IF($F183="",0,$F183)-IF($G183="",0,$G183))</f>
        <v/>
      </c>
      <c r="I183" s="12" t="n"/>
      <c r="J183" s="12" t="n"/>
      <c r="K183" s="12" t="n"/>
      <c r="L183" s="14" t="n"/>
      <c r="M183" s="12" t="n"/>
      <c r="N183" s="12" t="n"/>
      <c r="O183" s="12" t="n"/>
    </row>
    <row r="184">
      <c r="A184" s="12" t="n"/>
      <c r="B184" s="13">
        <f>IF($A184="","",IFERROR(INDEX(Emp_Names,MATCH($A184,Emp_Codes,0)),"NOT FOUND"))</f>
        <v/>
      </c>
      <c r="C184" s="14" t="n"/>
      <c r="D184" s="15" t="n"/>
      <c r="E184" s="15" t="n"/>
      <c r="F184" s="15" t="n"/>
      <c r="G184" s="15" t="n"/>
      <c r="H184" s="16">
        <f>IF($A184="","",$D184+IF($E184="",0,$E184)+IF($F184="",0,$F184)-IF($G184="",0,$G184))</f>
        <v/>
      </c>
      <c r="I184" s="12" t="n"/>
      <c r="J184" s="12" t="n"/>
      <c r="K184" s="12" t="n"/>
      <c r="L184" s="14" t="n"/>
      <c r="M184" s="12" t="n"/>
      <c r="N184" s="12" t="n"/>
      <c r="O184" s="12" t="n"/>
    </row>
    <row r="185">
      <c r="A185" s="12" t="n"/>
      <c r="B185" s="13">
        <f>IF($A185="","",IFERROR(INDEX(Emp_Names,MATCH($A185,Emp_Codes,0)),"NOT FOUND"))</f>
        <v/>
      </c>
      <c r="C185" s="14" t="n"/>
      <c r="D185" s="15" t="n"/>
      <c r="E185" s="15" t="n"/>
      <c r="F185" s="15" t="n"/>
      <c r="G185" s="15" t="n"/>
      <c r="H185" s="16">
        <f>IF($A185="","",$D185+IF($E185="",0,$E185)+IF($F185="",0,$F185)-IF($G185="",0,$G185))</f>
        <v/>
      </c>
      <c r="I185" s="12" t="n"/>
      <c r="J185" s="12" t="n"/>
      <c r="K185" s="12" t="n"/>
      <c r="L185" s="14" t="n"/>
      <c r="M185" s="12" t="n"/>
      <c r="N185" s="12" t="n"/>
      <c r="O185" s="12" t="n"/>
    </row>
    <row r="186">
      <c r="A186" s="12" t="n"/>
      <c r="B186" s="13">
        <f>IF($A186="","",IFERROR(INDEX(Emp_Names,MATCH($A186,Emp_Codes,0)),"NOT FOUND"))</f>
        <v/>
      </c>
      <c r="C186" s="14" t="n"/>
      <c r="D186" s="15" t="n"/>
      <c r="E186" s="15" t="n"/>
      <c r="F186" s="15" t="n"/>
      <c r="G186" s="15" t="n"/>
      <c r="H186" s="16">
        <f>IF($A186="","",$D186+IF($E186="",0,$E186)+IF($F186="",0,$F186)-IF($G186="",0,$G186))</f>
        <v/>
      </c>
      <c r="I186" s="12" t="n"/>
      <c r="J186" s="12" t="n"/>
      <c r="K186" s="12" t="n"/>
      <c r="L186" s="14" t="n"/>
      <c r="M186" s="12" t="n"/>
      <c r="N186" s="12" t="n"/>
      <c r="O186" s="12" t="n"/>
    </row>
    <row r="187">
      <c r="A187" s="12" t="n"/>
      <c r="B187" s="13">
        <f>IF($A187="","",IFERROR(INDEX(Emp_Names,MATCH($A187,Emp_Codes,0)),"NOT FOUND"))</f>
        <v/>
      </c>
      <c r="C187" s="14" t="n"/>
      <c r="D187" s="15" t="n"/>
      <c r="E187" s="15" t="n"/>
      <c r="F187" s="15" t="n"/>
      <c r="G187" s="15" t="n"/>
      <c r="H187" s="16">
        <f>IF($A187="","",$D187+IF($E187="",0,$E187)+IF($F187="",0,$F187)-IF($G187="",0,$G187))</f>
        <v/>
      </c>
      <c r="I187" s="12" t="n"/>
      <c r="J187" s="12" t="n"/>
      <c r="K187" s="12" t="n"/>
      <c r="L187" s="14" t="n"/>
      <c r="M187" s="12" t="n"/>
      <c r="N187" s="12" t="n"/>
      <c r="O187" s="12" t="n"/>
    </row>
    <row r="188">
      <c r="A188" s="12" t="n"/>
      <c r="B188" s="13">
        <f>IF($A188="","",IFERROR(INDEX(Emp_Names,MATCH($A188,Emp_Codes,0)),"NOT FOUND"))</f>
        <v/>
      </c>
      <c r="C188" s="14" t="n"/>
      <c r="D188" s="15" t="n"/>
      <c r="E188" s="15" t="n"/>
      <c r="F188" s="15" t="n"/>
      <c r="G188" s="15" t="n"/>
      <c r="H188" s="16">
        <f>IF($A188="","",$D188+IF($E188="",0,$E188)+IF($F188="",0,$F188)-IF($G188="",0,$G188))</f>
        <v/>
      </c>
      <c r="I188" s="12" t="n"/>
      <c r="J188" s="12" t="n"/>
      <c r="K188" s="12" t="n"/>
      <c r="L188" s="14" t="n"/>
      <c r="M188" s="12" t="n"/>
      <c r="N188" s="12" t="n"/>
      <c r="O188" s="12" t="n"/>
    </row>
    <row r="189">
      <c r="A189" s="12" t="n"/>
      <c r="B189" s="13">
        <f>IF($A189="","",IFERROR(INDEX(Emp_Names,MATCH($A189,Emp_Codes,0)),"NOT FOUND"))</f>
        <v/>
      </c>
      <c r="C189" s="14" t="n"/>
      <c r="D189" s="15" t="n"/>
      <c r="E189" s="15" t="n"/>
      <c r="F189" s="15" t="n"/>
      <c r="G189" s="15" t="n"/>
      <c r="H189" s="16">
        <f>IF($A189="","",$D189+IF($E189="",0,$E189)+IF($F189="",0,$F189)-IF($G189="",0,$G189))</f>
        <v/>
      </c>
      <c r="I189" s="12" t="n"/>
      <c r="J189" s="12" t="n"/>
      <c r="K189" s="12" t="n"/>
      <c r="L189" s="14" t="n"/>
      <c r="M189" s="12" t="n"/>
      <c r="N189" s="12" t="n"/>
      <c r="O189" s="12" t="n"/>
    </row>
    <row r="190">
      <c r="A190" s="12" t="n"/>
      <c r="B190" s="13">
        <f>IF($A190="","",IFERROR(INDEX(Emp_Names,MATCH($A190,Emp_Codes,0)),"NOT FOUND"))</f>
        <v/>
      </c>
      <c r="C190" s="14" t="n"/>
      <c r="D190" s="15" t="n"/>
      <c r="E190" s="15" t="n"/>
      <c r="F190" s="15" t="n"/>
      <c r="G190" s="15" t="n"/>
      <c r="H190" s="16">
        <f>IF($A190="","",$D190+IF($E190="",0,$E190)+IF($F190="",0,$F190)-IF($G190="",0,$G190))</f>
        <v/>
      </c>
      <c r="I190" s="12" t="n"/>
      <c r="J190" s="12" t="n"/>
      <c r="K190" s="12" t="n"/>
      <c r="L190" s="14" t="n"/>
      <c r="M190" s="12" t="n"/>
      <c r="N190" s="12" t="n"/>
      <c r="O190" s="12" t="n"/>
    </row>
    <row r="191">
      <c r="A191" s="12" t="n"/>
      <c r="B191" s="13">
        <f>IF($A191="","",IFERROR(INDEX(Emp_Names,MATCH($A191,Emp_Codes,0)),"NOT FOUND"))</f>
        <v/>
      </c>
      <c r="C191" s="14" t="n"/>
      <c r="D191" s="15" t="n"/>
      <c r="E191" s="15" t="n"/>
      <c r="F191" s="15" t="n"/>
      <c r="G191" s="15" t="n"/>
      <c r="H191" s="16">
        <f>IF($A191="","",$D191+IF($E191="",0,$E191)+IF($F191="",0,$F191)-IF($G191="",0,$G191))</f>
        <v/>
      </c>
      <c r="I191" s="12" t="n"/>
      <c r="J191" s="12" t="n"/>
      <c r="K191" s="12" t="n"/>
      <c r="L191" s="14" t="n"/>
      <c r="M191" s="12" t="n"/>
      <c r="N191" s="12" t="n"/>
      <c r="O191" s="12" t="n"/>
    </row>
    <row r="192">
      <c r="A192" s="12" t="n"/>
      <c r="B192" s="13">
        <f>IF($A192="","",IFERROR(INDEX(Emp_Names,MATCH($A192,Emp_Codes,0)),"NOT FOUND"))</f>
        <v/>
      </c>
      <c r="C192" s="14" t="n"/>
      <c r="D192" s="15" t="n"/>
      <c r="E192" s="15" t="n"/>
      <c r="F192" s="15" t="n"/>
      <c r="G192" s="15" t="n"/>
      <c r="H192" s="16">
        <f>IF($A192="","",$D192+IF($E192="",0,$E192)+IF($F192="",0,$F192)-IF($G192="",0,$G192))</f>
        <v/>
      </c>
      <c r="I192" s="12" t="n"/>
      <c r="J192" s="12" t="n"/>
      <c r="K192" s="12" t="n"/>
      <c r="L192" s="14" t="n"/>
      <c r="M192" s="12" t="n"/>
      <c r="N192" s="12" t="n"/>
      <c r="O192" s="12" t="n"/>
    </row>
    <row r="193">
      <c r="A193" s="12" t="n"/>
      <c r="B193" s="13">
        <f>IF($A193="","",IFERROR(INDEX(Emp_Names,MATCH($A193,Emp_Codes,0)),"NOT FOUND"))</f>
        <v/>
      </c>
      <c r="C193" s="14" t="n"/>
      <c r="D193" s="15" t="n"/>
      <c r="E193" s="15" t="n"/>
      <c r="F193" s="15" t="n"/>
      <c r="G193" s="15" t="n"/>
      <c r="H193" s="16">
        <f>IF($A193="","",$D193+IF($E193="",0,$E193)+IF($F193="",0,$F193)-IF($G193="",0,$G193))</f>
        <v/>
      </c>
      <c r="I193" s="12" t="n"/>
      <c r="J193" s="12" t="n"/>
      <c r="K193" s="12" t="n"/>
      <c r="L193" s="14" t="n"/>
      <c r="M193" s="12" t="n"/>
      <c r="N193" s="12" t="n"/>
      <c r="O193" s="12" t="n"/>
    </row>
    <row r="194">
      <c r="A194" s="12" t="n"/>
      <c r="B194" s="13">
        <f>IF($A194="","",IFERROR(INDEX(Emp_Names,MATCH($A194,Emp_Codes,0)),"NOT FOUND"))</f>
        <v/>
      </c>
      <c r="C194" s="14" t="n"/>
      <c r="D194" s="15" t="n"/>
      <c r="E194" s="15" t="n"/>
      <c r="F194" s="15" t="n"/>
      <c r="G194" s="15" t="n"/>
      <c r="H194" s="16">
        <f>IF($A194="","",$D194+IF($E194="",0,$E194)+IF($F194="",0,$F194)-IF($G194="",0,$G194))</f>
        <v/>
      </c>
      <c r="I194" s="12" t="n"/>
      <c r="J194" s="12" t="n"/>
      <c r="K194" s="12" t="n"/>
      <c r="L194" s="14" t="n"/>
      <c r="M194" s="12" t="n"/>
      <c r="N194" s="12" t="n"/>
      <c r="O194" s="12" t="n"/>
    </row>
    <row r="195">
      <c r="A195" s="12" t="n"/>
      <c r="B195" s="13">
        <f>IF($A195="","",IFERROR(INDEX(Emp_Names,MATCH($A195,Emp_Codes,0)),"NOT FOUND"))</f>
        <v/>
      </c>
      <c r="C195" s="14" t="n"/>
      <c r="D195" s="15" t="n"/>
      <c r="E195" s="15" t="n"/>
      <c r="F195" s="15" t="n"/>
      <c r="G195" s="15" t="n"/>
      <c r="H195" s="16">
        <f>IF($A195="","",$D195+IF($E195="",0,$E195)+IF($F195="",0,$F195)-IF($G195="",0,$G195))</f>
        <v/>
      </c>
      <c r="I195" s="12" t="n"/>
      <c r="J195" s="12" t="n"/>
      <c r="K195" s="12" t="n"/>
      <c r="L195" s="14" t="n"/>
      <c r="M195" s="12" t="n"/>
      <c r="N195" s="12" t="n"/>
      <c r="O195" s="12" t="n"/>
    </row>
    <row r="196">
      <c r="A196" s="12" t="n"/>
      <c r="B196" s="13">
        <f>IF($A196="","",IFERROR(INDEX(Emp_Names,MATCH($A196,Emp_Codes,0)),"NOT FOUND"))</f>
        <v/>
      </c>
      <c r="C196" s="14" t="n"/>
      <c r="D196" s="15" t="n"/>
      <c r="E196" s="15" t="n"/>
      <c r="F196" s="15" t="n"/>
      <c r="G196" s="15" t="n"/>
      <c r="H196" s="16">
        <f>IF($A196="","",$D196+IF($E196="",0,$E196)+IF($F196="",0,$F196)-IF($G196="",0,$G196))</f>
        <v/>
      </c>
      <c r="I196" s="12" t="n"/>
      <c r="J196" s="12" t="n"/>
      <c r="K196" s="12" t="n"/>
      <c r="L196" s="14" t="n"/>
      <c r="M196" s="12" t="n"/>
      <c r="N196" s="12" t="n"/>
      <c r="O196" s="12" t="n"/>
    </row>
    <row r="197">
      <c r="A197" s="12" t="n"/>
      <c r="B197" s="13">
        <f>IF($A197="","",IFERROR(INDEX(Emp_Names,MATCH($A197,Emp_Codes,0)),"NOT FOUND"))</f>
        <v/>
      </c>
      <c r="C197" s="14" t="n"/>
      <c r="D197" s="15" t="n"/>
      <c r="E197" s="15" t="n"/>
      <c r="F197" s="15" t="n"/>
      <c r="G197" s="15" t="n"/>
      <c r="H197" s="16">
        <f>IF($A197="","",$D197+IF($E197="",0,$E197)+IF($F197="",0,$F197)-IF($G197="",0,$G197))</f>
        <v/>
      </c>
      <c r="I197" s="12" t="n"/>
      <c r="J197" s="12" t="n"/>
      <c r="K197" s="12" t="n"/>
      <c r="L197" s="14" t="n"/>
      <c r="M197" s="12" t="n"/>
      <c r="N197" s="12" t="n"/>
      <c r="O197" s="12" t="n"/>
    </row>
    <row r="198">
      <c r="A198" s="12" t="n"/>
      <c r="B198" s="13">
        <f>IF($A198="","",IFERROR(INDEX(Emp_Names,MATCH($A198,Emp_Codes,0)),"NOT FOUND"))</f>
        <v/>
      </c>
      <c r="C198" s="14" t="n"/>
      <c r="D198" s="15" t="n"/>
      <c r="E198" s="15" t="n"/>
      <c r="F198" s="15" t="n"/>
      <c r="G198" s="15" t="n"/>
      <c r="H198" s="16">
        <f>IF($A198="","",$D198+IF($E198="",0,$E198)+IF($F198="",0,$F198)-IF($G198="",0,$G198))</f>
        <v/>
      </c>
      <c r="I198" s="12" t="n"/>
      <c r="J198" s="12" t="n"/>
      <c r="K198" s="12" t="n"/>
      <c r="L198" s="14" t="n"/>
      <c r="M198" s="12" t="n"/>
      <c r="N198" s="12" t="n"/>
      <c r="O198" s="12" t="n"/>
    </row>
    <row r="199">
      <c r="A199" s="12" t="n"/>
      <c r="B199" s="13">
        <f>IF($A199="","",IFERROR(INDEX(Emp_Names,MATCH($A199,Emp_Codes,0)),"NOT FOUND"))</f>
        <v/>
      </c>
      <c r="C199" s="14" t="n"/>
      <c r="D199" s="15" t="n"/>
      <c r="E199" s="15" t="n"/>
      <c r="F199" s="15" t="n"/>
      <c r="G199" s="15" t="n"/>
      <c r="H199" s="16">
        <f>IF($A199="","",$D199+IF($E199="",0,$E199)+IF($F199="",0,$F199)-IF($G199="",0,$G199))</f>
        <v/>
      </c>
      <c r="I199" s="12" t="n"/>
      <c r="J199" s="12" t="n"/>
      <c r="K199" s="12" t="n"/>
      <c r="L199" s="14" t="n"/>
      <c r="M199" s="12" t="n"/>
      <c r="N199" s="12" t="n"/>
      <c r="O199" s="12" t="n"/>
    </row>
    <row r="200">
      <c r="A200" s="12" t="n"/>
      <c r="B200" s="13">
        <f>IF($A200="","",IFERROR(INDEX(Emp_Names,MATCH($A200,Emp_Codes,0)),"NOT FOUND"))</f>
        <v/>
      </c>
      <c r="C200" s="14" t="n"/>
      <c r="D200" s="15" t="n"/>
      <c r="E200" s="15" t="n"/>
      <c r="F200" s="15" t="n"/>
      <c r="G200" s="15" t="n"/>
      <c r="H200" s="16">
        <f>IF($A200="","",$D200+IF($E200="",0,$E200)+IF($F200="",0,$F200)-IF($G200="",0,$G200))</f>
        <v/>
      </c>
      <c r="I200" s="12" t="n"/>
      <c r="J200" s="12" t="n"/>
      <c r="K200" s="12" t="n"/>
      <c r="L200" s="14" t="n"/>
      <c r="M200" s="12" t="n"/>
      <c r="N200" s="12" t="n"/>
      <c r="O200" s="12" t="n"/>
    </row>
    <row r="201">
      <c r="A201" s="12" t="n"/>
      <c r="B201" s="13">
        <f>IF($A201="","",IFERROR(INDEX(Emp_Names,MATCH($A201,Emp_Codes,0)),"NOT FOUND"))</f>
        <v/>
      </c>
      <c r="C201" s="14" t="n"/>
      <c r="D201" s="15" t="n"/>
      <c r="E201" s="15" t="n"/>
      <c r="F201" s="15" t="n"/>
      <c r="G201" s="15" t="n"/>
      <c r="H201" s="16">
        <f>IF($A201="","",$D201+IF($E201="",0,$E201)+IF($F201="",0,$F201)-IF($G201="",0,$G201))</f>
        <v/>
      </c>
      <c r="I201" s="12" t="n"/>
      <c r="J201" s="12" t="n"/>
      <c r="K201" s="12" t="n"/>
      <c r="L201" s="14" t="n"/>
      <c r="M201" s="12" t="n"/>
      <c r="N201" s="12" t="n"/>
      <c r="O201" s="12" t="n"/>
    </row>
    <row r="202">
      <c r="A202" s="12" t="n"/>
      <c r="B202" s="13">
        <f>IF($A202="","",IFERROR(INDEX(Emp_Names,MATCH($A202,Emp_Codes,0)),"NOT FOUND"))</f>
        <v/>
      </c>
      <c r="C202" s="14" t="n"/>
      <c r="D202" s="15" t="n"/>
      <c r="E202" s="15" t="n"/>
      <c r="F202" s="15" t="n"/>
      <c r="G202" s="15" t="n"/>
      <c r="H202" s="16">
        <f>IF($A202="","",$D202+IF($E202="",0,$E202)+IF($F202="",0,$F202)-IF($G202="",0,$G202))</f>
        <v/>
      </c>
      <c r="I202" s="12" t="n"/>
      <c r="J202" s="12" t="n"/>
      <c r="K202" s="12" t="n"/>
      <c r="L202" s="14" t="n"/>
      <c r="M202" s="12" t="n"/>
      <c r="N202" s="12" t="n"/>
      <c r="O202" s="12" t="n"/>
    </row>
    <row r="203">
      <c r="A203" s="12" t="n"/>
      <c r="B203" s="13">
        <f>IF($A203="","",IFERROR(INDEX(Emp_Names,MATCH($A203,Emp_Codes,0)),"NOT FOUND"))</f>
        <v/>
      </c>
      <c r="C203" s="14" t="n"/>
      <c r="D203" s="15" t="n"/>
      <c r="E203" s="15" t="n"/>
      <c r="F203" s="15" t="n"/>
      <c r="G203" s="15" t="n"/>
      <c r="H203" s="16">
        <f>IF($A203="","",$D203+IF($E203="",0,$E203)+IF($F203="",0,$F203)-IF($G203="",0,$G203))</f>
        <v/>
      </c>
      <c r="I203" s="12" t="n"/>
      <c r="J203" s="12" t="n"/>
      <c r="K203" s="12" t="n"/>
      <c r="L203" s="14" t="n"/>
      <c r="M203" s="12" t="n"/>
      <c r="N203" s="12" t="n"/>
      <c r="O203" s="12" t="n"/>
    </row>
    <row r="204">
      <c r="A204" s="12" t="n"/>
      <c r="B204" s="13">
        <f>IF($A204="","",IFERROR(INDEX(Emp_Names,MATCH($A204,Emp_Codes,0)),"NOT FOUND"))</f>
        <v/>
      </c>
      <c r="C204" s="14" t="n"/>
      <c r="D204" s="15" t="n"/>
      <c r="E204" s="15" t="n"/>
      <c r="F204" s="15" t="n"/>
      <c r="G204" s="15" t="n"/>
      <c r="H204" s="16">
        <f>IF($A204="","",$D204+IF($E204="",0,$E204)+IF($F204="",0,$F204)-IF($G204="",0,$G204))</f>
        <v/>
      </c>
      <c r="I204" s="12" t="n"/>
      <c r="J204" s="12" t="n"/>
      <c r="K204" s="12" t="n"/>
      <c r="L204" s="14" t="n"/>
      <c r="M204" s="12" t="n"/>
      <c r="N204" s="12" t="n"/>
      <c r="O204" s="12" t="n"/>
    </row>
    <row r="205">
      <c r="A205" s="12" t="n"/>
      <c r="B205" s="13">
        <f>IF($A205="","",IFERROR(INDEX(Emp_Names,MATCH($A205,Emp_Codes,0)),"NOT FOUND"))</f>
        <v/>
      </c>
      <c r="C205" s="14" t="n"/>
      <c r="D205" s="15" t="n"/>
      <c r="E205" s="15" t="n"/>
      <c r="F205" s="15" t="n"/>
      <c r="G205" s="15" t="n"/>
      <c r="H205" s="16">
        <f>IF($A205="","",$D205+IF($E205="",0,$E205)+IF($F205="",0,$F205)-IF($G205="",0,$G205))</f>
        <v/>
      </c>
      <c r="I205" s="12" t="n"/>
      <c r="J205" s="12" t="n"/>
      <c r="K205" s="12" t="n"/>
      <c r="L205" s="14" t="n"/>
      <c r="M205" s="12" t="n"/>
      <c r="N205" s="12" t="n"/>
      <c r="O205" s="12" t="n"/>
    </row>
    <row r="206">
      <c r="A206" s="12" t="n"/>
      <c r="B206" s="13">
        <f>IF($A206="","",IFERROR(INDEX(Emp_Names,MATCH($A206,Emp_Codes,0)),"NOT FOUND"))</f>
        <v/>
      </c>
      <c r="C206" s="14" t="n"/>
      <c r="D206" s="15" t="n"/>
      <c r="E206" s="15" t="n"/>
      <c r="F206" s="15" t="n"/>
      <c r="G206" s="15" t="n"/>
      <c r="H206" s="16">
        <f>IF($A206="","",$D206+IF($E206="",0,$E206)+IF($F206="",0,$F206)-IF($G206="",0,$G206))</f>
        <v/>
      </c>
      <c r="I206" s="12" t="n"/>
      <c r="J206" s="12" t="n"/>
      <c r="K206" s="12" t="n"/>
      <c r="L206" s="14" t="n"/>
      <c r="M206" s="12" t="n"/>
      <c r="N206" s="12" t="n"/>
      <c r="O206" s="12" t="n"/>
    </row>
    <row r="207">
      <c r="A207" s="12" t="n"/>
      <c r="B207" s="13">
        <f>IF($A207="","",IFERROR(INDEX(Emp_Names,MATCH($A207,Emp_Codes,0)),"NOT FOUND"))</f>
        <v/>
      </c>
      <c r="C207" s="14" t="n"/>
      <c r="D207" s="15" t="n"/>
      <c r="E207" s="15" t="n"/>
      <c r="F207" s="15" t="n"/>
      <c r="G207" s="15" t="n"/>
      <c r="H207" s="16">
        <f>IF($A207="","",$D207+IF($E207="",0,$E207)+IF($F207="",0,$F207)-IF($G207="",0,$G207))</f>
        <v/>
      </c>
      <c r="I207" s="12" t="n"/>
      <c r="J207" s="12" t="n"/>
      <c r="K207" s="12" t="n"/>
      <c r="L207" s="14" t="n"/>
      <c r="M207" s="12" t="n"/>
      <c r="N207" s="12" t="n"/>
      <c r="O207" s="12" t="n"/>
    </row>
    <row r="208">
      <c r="A208" s="12" t="n"/>
      <c r="B208" s="13">
        <f>IF($A208="","",IFERROR(INDEX(Emp_Names,MATCH($A208,Emp_Codes,0)),"NOT FOUND"))</f>
        <v/>
      </c>
      <c r="C208" s="14" t="n"/>
      <c r="D208" s="15" t="n"/>
      <c r="E208" s="15" t="n"/>
      <c r="F208" s="15" t="n"/>
      <c r="G208" s="15" t="n"/>
      <c r="H208" s="16">
        <f>IF($A208="","",$D208+IF($E208="",0,$E208)+IF($F208="",0,$F208)-IF($G208="",0,$G208))</f>
        <v/>
      </c>
      <c r="I208" s="12" t="n"/>
      <c r="J208" s="12" t="n"/>
      <c r="K208" s="12" t="n"/>
      <c r="L208" s="14" t="n"/>
      <c r="M208" s="12" t="n"/>
      <c r="N208" s="12" t="n"/>
      <c r="O208" s="12" t="n"/>
    </row>
    <row r="209">
      <c r="A209" s="12" t="n"/>
      <c r="B209" s="13">
        <f>IF($A209="","",IFERROR(INDEX(Emp_Names,MATCH($A209,Emp_Codes,0)),"NOT FOUND"))</f>
        <v/>
      </c>
      <c r="C209" s="14" t="n"/>
      <c r="D209" s="15" t="n"/>
      <c r="E209" s="15" t="n"/>
      <c r="F209" s="15" t="n"/>
      <c r="G209" s="15" t="n"/>
      <c r="H209" s="16">
        <f>IF($A209="","",$D209+IF($E209="",0,$E209)+IF($F209="",0,$F209)-IF($G209="",0,$G209))</f>
        <v/>
      </c>
      <c r="I209" s="12" t="n"/>
      <c r="J209" s="12" t="n"/>
      <c r="K209" s="12" t="n"/>
      <c r="L209" s="14" t="n"/>
      <c r="M209" s="12" t="n"/>
      <c r="N209" s="12" t="n"/>
      <c r="O209" s="12" t="n"/>
    </row>
    <row r="210">
      <c r="A210" s="12" t="n"/>
      <c r="B210" s="13">
        <f>IF($A210="","",IFERROR(INDEX(Emp_Names,MATCH($A210,Emp_Codes,0)),"NOT FOUND"))</f>
        <v/>
      </c>
      <c r="C210" s="14" t="n"/>
      <c r="D210" s="15" t="n"/>
      <c r="E210" s="15" t="n"/>
      <c r="F210" s="15" t="n"/>
      <c r="G210" s="15" t="n"/>
      <c r="H210" s="16">
        <f>IF($A210="","",$D210+IF($E210="",0,$E210)+IF($F210="",0,$F210)-IF($G210="",0,$G210))</f>
        <v/>
      </c>
      <c r="I210" s="12" t="n"/>
      <c r="J210" s="12" t="n"/>
      <c r="K210" s="12" t="n"/>
      <c r="L210" s="14" t="n"/>
      <c r="M210" s="12" t="n"/>
      <c r="N210" s="12" t="n"/>
      <c r="O210" s="12" t="n"/>
    </row>
    <row r="211">
      <c r="A211" s="12" t="n"/>
      <c r="B211" s="13">
        <f>IF($A211="","",IFERROR(INDEX(Emp_Names,MATCH($A211,Emp_Codes,0)),"NOT FOUND"))</f>
        <v/>
      </c>
      <c r="C211" s="14" t="n"/>
      <c r="D211" s="15" t="n"/>
      <c r="E211" s="15" t="n"/>
      <c r="F211" s="15" t="n"/>
      <c r="G211" s="15" t="n"/>
      <c r="H211" s="16">
        <f>IF($A211="","",$D211+IF($E211="",0,$E211)+IF($F211="",0,$F211)-IF($G211="",0,$G211))</f>
        <v/>
      </c>
      <c r="I211" s="12" t="n"/>
      <c r="J211" s="12" t="n"/>
      <c r="K211" s="12" t="n"/>
      <c r="L211" s="14" t="n"/>
      <c r="M211" s="12" t="n"/>
      <c r="N211" s="12" t="n"/>
      <c r="O211" s="12" t="n"/>
    </row>
    <row r="212">
      <c r="A212" s="12" t="n"/>
      <c r="B212" s="13">
        <f>IF($A212="","",IFERROR(INDEX(Emp_Names,MATCH($A212,Emp_Codes,0)),"NOT FOUND"))</f>
        <v/>
      </c>
      <c r="C212" s="14" t="n"/>
      <c r="D212" s="15" t="n"/>
      <c r="E212" s="15" t="n"/>
      <c r="F212" s="15" t="n"/>
      <c r="G212" s="15" t="n"/>
      <c r="H212" s="16">
        <f>IF($A212="","",$D212+IF($E212="",0,$E212)+IF($F212="",0,$F212)-IF($G212="",0,$G212))</f>
        <v/>
      </c>
      <c r="I212" s="12" t="n"/>
      <c r="J212" s="12" t="n"/>
      <c r="K212" s="12" t="n"/>
      <c r="L212" s="14" t="n"/>
      <c r="M212" s="12" t="n"/>
      <c r="N212" s="12" t="n"/>
      <c r="O212" s="12" t="n"/>
    </row>
    <row r="213">
      <c r="A213" s="12" t="n"/>
      <c r="B213" s="13">
        <f>IF($A213="","",IFERROR(INDEX(Emp_Names,MATCH($A213,Emp_Codes,0)),"NOT FOUND"))</f>
        <v/>
      </c>
      <c r="C213" s="14" t="n"/>
      <c r="D213" s="15" t="n"/>
      <c r="E213" s="15" t="n"/>
      <c r="F213" s="15" t="n"/>
      <c r="G213" s="15" t="n"/>
      <c r="H213" s="16">
        <f>IF($A213="","",$D213+IF($E213="",0,$E213)+IF($F213="",0,$F213)-IF($G213="",0,$G213))</f>
        <v/>
      </c>
      <c r="I213" s="12" t="n"/>
      <c r="J213" s="12" t="n"/>
      <c r="K213" s="12" t="n"/>
      <c r="L213" s="14" t="n"/>
      <c r="M213" s="12" t="n"/>
      <c r="N213" s="12" t="n"/>
      <c r="O213" s="12" t="n"/>
    </row>
    <row r="214">
      <c r="A214" s="12" t="n"/>
      <c r="B214" s="13">
        <f>IF($A214="","",IFERROR(INDEX(Emp_Names,MATCH($A214,Emp_Codes,0)),"NOT FOUND"))</f>
        <v/>
      </c>
      <c r="C214" s="14" t="n"/>
      <c r="D214" s="15" t="n"/>
      <c r="E214" s="15" t="n"/>
      <c r="F214" s="15" t="n"/>
      <c r="G214" s="15" t="n"/>
      <c r="H214" s="16">
        <f>IF($A214="","",$D214+IF($E214="",0,$E214)+IF($F214="",0,$F214)-IF($G214="",0,$G214))</f>
        <v/>
      </c>
      <c r="I214" s="12" t="n"/>
      <c r="J214" s="12" t="n"/>
      <c r="K214" s="12" t="n"/>
      <c r="L214" s="14" t="n"/>
      <c r="M214" s="12" t="n"/>
      <c r="N214" s="12" t="n"/>
      <c r="O214" s="12" t="n"/>
    </row>
    <row r="215">
      <c r="A215" s="12" t="n"/>
      <c r="B215" s="13">
        <f>IF($A215="","",IFERROR(INDEX(Emp_Names,MATCH($A215,Emp_Codes,0)),"NOT FOUND"))</f>
        <v/>
      </c>
      <c r="C215" s="14" t="n"/>
      <c r="D215" s="15" t="n"/>
      <c r="E215" s="15" t="n"/>
      <c r="F215" s="15" t="n"/>
      <c r="G215" s="15" t="n"/>
      <c r="H215" s="16">
        <f>IF($A215="","",$D215+IF($E215="",0,$E215)+IF($F215="",0,$F215)-IF($G215="",0,$G215))</f>
        <v/>
      </c>
      <c r="I215" s="12" t="n"/>
      <c r="J215" s="12" t="n"/>
      <c r="K215" s="12" t="n"/>
      <c r="L215" s="14" t="n"/>
      <c r="M215" s="12" t="n"/>
      <c r="N215" s="12" t="n"/>
      <c r="O215" s="12" t="n"/>
    </row>
    <row r="216">
      <c r="A216" s="12" t="n"/>
      <c r="B216" s="13">
        <f>IF($A216="","",IFERROR(INDEX(Emp_Names,MATCH($A216,Emp_Codes,0)),"NOT FOUND"))</f>
        <v/>
      </c>
      <c r="C216" s="14" t="n"/>
      <c r="D216" s="15" t="n"/>
      <c r="E216" s="15" t="n"/>
      <c r="F216" s="15" t="n"/>
      <c r="G216" s="15" t="n"/>
      <c r="H216" s="16">
        <f>IF($A216="","",$D216+IF($E216="",0,$E216)+IF($F216="",0,$F216)-IF($G216="",0,$G216))</f>
        <v/>
      </c>
      <c r="I216" s="12" t="n"/>
      <c r="J216" s="12" t="n"/>
      <c r="K216" s="12" t="n"/>
      <c r="L216" s="14" t="n"/>
      <c r="M216" s="12" t="n"/>
      <c r="N216" s="12" t="n"/>
      <c r="O216" s="12" t="n"/>
    </row>
    <row r="217">
      <c r="A217" s="12" t="n"/>
      <c r="B217" s="13">
        <f>IF($A217="","",IFERROR(INDEX(Emp_Names,MATCH($A217,Emp_Codes,0)),"NOT FOUND"))</f>
        <v/>
      </c>
      <c r="C217" s="14" t="n"/>
      <c r="D217" s="15" t="n"/>
      <c r="E217" s="15" t="n"/>
      <c r="F217" s="15" t="n"/>
      <c r="G217" s="15" t="n"/>
      <c r="H217" s="16">
        <f>IF($A217="","",$D217+IF($E217="",0,$E217)+IF($F217="",0,$F217)-IF($G217="",0,$G217))</f>
        <v/>
      </c>
      <c r="I217" s="12" t="n"/>
      <c r="J217" s="12" t="n"/>
      <c r="K217" s="12" t="n"/>
      <c r="L217" s="14" t="n"/>
      <c r="M217" s="12" t="n"/>
      <c r="N217" s="12" t="n"/>
      <c r="O217" s="12" t="n"/>
    </row>
    <row r="218">
      <c r="A218" s="12" t="n"/>
      <c r="B218" s="13">
        <f>IF($A218="","",IFERROR(INDEX(Emp_Names,MATCH($A218,Emp_Codes,0)),"NOT FOUND"))</f>
        <v/>
      </c>
      <c r="C218" s="14" t="n"/>
      <c r="D218" s="15" t="n"/>
      <c r="E218" s="15" t="n"/>
      <c r="F218" s="15" t="n"/>
      <c r="G218" s="15" t="n"/>
      <c r="H218" s="16">
        <f>IF($A218="","",$D218+IF($E218="",0,$E218)+IF($F218="",0,$F218)-IF($G218="",0,$G218))</f>
        <v/>
      </c>
      <c r="I218" s="12" t="n"/>
      <c r="J218" s="12" t="n"/>
      <c r="K218" s="12" t="n"/>
      <c r="L218" s="14" t="n"/>
      <c r="M218" s="12" t="n"/>
      <c r="N218" s="12" t="n"/>
      <c r="O218" s="12" t="n"/>
    </row>
    <row r="219">
      <c r="A219" s="12" t="n"/>
      <c r="B219" s="13">
        <f>IF($A219="","",IFERROR(INDEX(Emp_Names,MATCH($A219,Emp_Codes,0)),"NOT FOUND"))</f>
        <v/>
      </c>
      <c r="C219" s="14" t="n"/>
      <c r="D219" s="15" t="n"/>
      <c r="E219" s="15" t="n"/>
      <c r="F219" s="15" t="n"/>
      <c r="G219" s="15" t="n"/>
      <c r="H219" s="16">
        <f>IF($A219="","",$D219+IF($E219="",0,$E219)+IF($F219="",0,$F219)-IF($G219="",0,$G219))</f>
        <v/>
      </c>
      <c r="I219" s="12" t="n"/>
      <c r="J219" s="12" t="n"/>
      <c r="K219" s="12" t="n"/>
      <c r="L219" s="14" t="n"/>
      <c r="M219" s="12" t="n"/>
      <c r="N219" s="12" t="n"/>
      <c r="O219" s="12" t="n"/>
    </row>
    <row r="220">
      <c r="A220" s="12" t="n"/>
      <c r="B220" s="13">
        <f>IF($A220="","",IFERROR(INDEX(Emp_Names,MATCH($A220,Emp_Codes,0)),"NOT FOUND"))</f>
        <v/>
      </c>
      <c r="C220" s="14" t="n"/>
      <c r="D220" s="15" t="n"/>
      <c r="E220" s="15" t="n"/>
      <c r="F220" s="15" t="n"/>
      <c r="G220" s="15" t="n"/>
      <c r="H220" s="16">
        <f>IF($A220="","",$D220+IF($E220="",0,$E220)+IF($F220="",0,$F220)-IF($G220="",0,$G220))</f>
        <v/>
      </c>
      <c r="I220" s="12" t="n"/>
      <c r="J220" s="12" t="n"/>
      <c r="K220" s="12" t="n"/>
      <c r="L220" s="14" t="n"/>
      <c r="M220" s="12" t="n"/>
      <c r="N220" s="12" t="n"/>
      <c r="O220" s="12" t="n"/>
    </row>
    <row r="221">
      <c r="A221" s="12" t="n"/>
      <c r="B221" s="13">
        <f>IF($A221="","",IFERROR(INDEX(Emp_Names,MATCH($A221,Emp_Codes,0)),"NOT FOUND"))</f>
        <v/>
      </c>
      <c r="C221" s="14" t="n"/>
      <c r="D221" s="15" t="n"/>
      <c r="E221" s="15" t="n"/>
      <c r="F221" s="15" t="n"/>
      <c r="G221" s="15" t="n"/>
      <c r="H221" s="16">
        <f>IF($A221="","",$D221+IF($E221="",0,$E221)+IF($F221="",0,$F221)-IF($G221="",0,$G221))</f>
        <v/>
      </c>
      <c r="I221" s="12" t="n"/>
      <c r="J221" s="12" t="n"/>
      <c r="K221" s="12" t="n"/>
      <c r="L221" s="14" t="n"/>
      <c r="M221" s="12" t="n"/>
      <c r="N221" s="12" t="n"/>
      <c r="O221" s="12" t="n"/>
    </row>
    <row r="222">
      <c r="A222" s="12" t="n"/>
      <c r="B222" s="13">
        <f>IF($A222="","",IFERROR(INDEX(Emp_Names,MATCH($A222,Emp_Codes,0)),"NOT FOUND"))</f>
        <v/>
      </c>
      <c r="C222" s="14" t="n"/>
      <c r="D222" s="15" t="n"/>
      <c r="E222" s="15" t="n"/>
      <c r="F222" s="15" t="n"/>
      <c r="G222" s="15" t="n"/>
      <c r="H222" s="16">
        <f>IF($A222="","",$D222+IF($E222="",0,$E222)+IF($F222="",0,$F222)-IF($G222="",0,$G222))</f>
        <v/>
      </c>
      <c r="I222" s="12" t="n"/>
      <c r="J222" s="12" t="n"/>
      <c r="K222" s="12" t="n"/>
      <c r="L222" s="14" t="n"/>
      <c r="M222" s="12" t="n"/>
      <c r="N222" s="12" t="n"/>
      <c r="O222" s="12" t="n"/>
    </row>
    <row r="223">
      <c r="A223" s="12" t="n"/>
      <c r="B223" s="13">
        <f>IF($A223="","",IFERROR(INDEX(Emp_Names,MATCH($A223,Emp_Codes,0)),"NOT FOUND"))</f>
        <v/>
      </c>
      <c r="C223" s="14" t="n"/>
      <c r="D223" s="15" t="n"/>
      <c r="E223" s="15" t="n"/>
      <c r="F223" s="15" t="n"/>
      <c r="G223" s="15" t="n"/>
      <c r="H223" s="16">
        <f>IF($A223="","",$D223+IF($E223="",0,$E223)+IF($F223="",0,$F223)-IF($G223="",0,$G223))</f>
        <v/>
      </c>
      <c r="I223" s="12" t="n"/>
      <c r="J223" s="12" t="n"/>
      <c r="K223" s="12" t="n"/>
      <c r="L223" s="14" t="n"/>
      <c r="M223" s="12" t="n"/>
      <c r="N223" s="12" t="n"/>
      <c r="O223" s="12" t="n"/>
    </row>
    <row r="224">
      <c r="A224" s="12" t="n"/>
      <c r="B224" s="13">
        <f>IF($A224="","",IFERROR(INDEX(Emp_Names,MATCH($A224,Emp_Codes,0)),"NOT FOUND"))</f>
        <v/>
      </c>
      <c r="C224" s="14" t="n"/>
      <c r="D224" s="15" t="n"/>
      <c r="E224" s="15" t="n"/>
      <c r="F224" s="15" t="n"/>
      <c r="G224" s="15" t="n"/>
      <c r="H224" s="16">
        <f>IF($A224="","",$D224+IF($E224="",0,$E224)+IF($F224="",0,$F224)-IF($G224="",0,$G224))</f>
        <v/>
      </c>
      <c r="I224" s="12" t="n"/>
      <c r="J224" s="12" t="n"/>
      <c r="K224" s="12" t="n"/>
      <c r="L224" s="14" t="n"/>
      <c r="M224" s="12" t="n"/>
      <c r="N224" s="12" t="n"/>
      <c r="O224" s="12" t="n"/>
    </row>
    <row r="225">
      <c r="A225" s="12" t="n"/>
      <c r="B225" s="13">
        <f>IF($A225="","",IFERROR(INDEX(Emp_Names,MATCH($A225,Emp_Codes,0)),"NOT FOUND"))</f>
        <v/>
      </c>
      <c r="C225" s="14" t="n"/>
      <c r="D225" s="15" t="n"/>
      <c r="E225" s="15" t="n"/>
      <c r="F225" s="15" t="n"/>
      <c r="G225" s="15" t="n"/>
      <c r="H225" s="16">
        <f>IF($A225="","",$D225+IF($E225="",0,$E225)+IF($F225="",0,$F225)-IF($G225="",0,$G225))</f>
        <v/>
      </c>
      <c r="I225" s="12" t="n"/>
      <c r="J225" s="12" t="n"/>
      <c r="K225" s="12" t="n"/>
      <c r="L225" s="14" t="n"/>
      <c r="M225" s="12" t="n"/>
      <c r="N225" s="12" t="n"/>
      <c r="O225" s="12" t="n"/>
    </row>
    <row r="226">
      <c r="A226" s="12" t="n"/>
      <c r="B226" s="13">
        <f>IF($A226="","",IFERROR(INDEX(Emp_Names,MATCH($A226,Emp_Codes,0)),"NOT FOUND"))</f>
        <v/>
      </c>
      <c r="C226" s="14" t="n"/>
      <c r="D226" s="15" t="n"/>
      <c r="E226" s="15" t="n"/>
      <c r="F226" s="15" t="n"/>
      <c r="G226" s="15" t="n"/>
      <c r="H226" s="16">
        <f>IF($A226="","",$D226+IF($E226="",0,$E226)+IF($F226="",0,$F226)-IF($G226="",0,$G226))</f>
        <v/>
      </c>
      <c r="I226" s="12" t="n"/>
      <c r="J226" s="12" t="n"/>
      <c r="K226" s="12" t="n"/>
      <c r="L226" s="14" t="n"/>
      <c r="M226" s="12" t="n"/>
      <c r="N226" s="12" t="n"/>
      <c r="O226" s="12" t="n"/>
    </row>
    <row r="227">
      <c r="A227" s="12" t="n"/>
      <c r="B227" s="13">
        <f>IF($A227="","",IFERROR(INDEX(Emp_Names,MATCH($A227,Emp_Codes,0)),"NOT FOUND"))</f>
        <v/>
      </c>
      <c r="C227" s="14" t="n"/>
      <c r="D227" s="15" t="n"/>
      <c r="E227" s="15" t="n"/>
      <c r="F227" s="15" t="n"/>
      <c r="G227" s="15" t="n"/>
      <c r="H227" s="16">
        <f>IF($A227="","",$D227+IF($E227="",0,$E227)+IF($F227="",0,$F227)-IF($G227="",0,$G227))</f>
        <v/>
      </c>
      <c r="I227" s="12" t="n"/>
      <c r="J227" s="12" t="n"/>
      <c r="K227" s="12" t="n"/>
      <c r="L227" s="14" t="n"/>
      <c r="M227" s="12" t="n"/>
      <c r="N227" s="12" t="n"/>
      <c r="O227" s="12" t="n"/>
    </row>
    <row r="228">
      <c r="A228" s="12" t="n"/>
      <c r="B228" s="13">
        <f>IF($A228="","",IFERROR(INDEX(Emp_Names,MATCH($A228,Emp_Codes,0)),"NOT FOUND"))</f>
        <v/>
      </c>
      <c r="C228" s="14" t="n"/>
      <c r="D228" s="15" t="n"/>
      <c r="E228" s="15" t="n"/>
      <c r="F228" s="15" t="n"/>
      <c r="G228" s="15" t="n"/>
      <c r="H228" s="16">
        <f>IF($A228="","",$D228+IF($E228="",0,$E228)+IF($F228="",0,$F228)-IF($G228="",0,$G228))</f>
        <v/>
      </c>
      <c r="I228" s="12" t="n"/>
      <c r="J228" s="12" t="n"/>
      <c r="K228" s="12" t="n"/>
      <c r="L228" s="14" t="n"/>
      <c r="M228" s="12" t="n"/>
      <c r="N228" s="12" t="n"/>
      <c r="O228" s="12" t="n"/>
    </row>
    <row r="229">
      <c r="A229" s="12" t="n"/>
      <c r="B229" s="13">
        <f>IF($A229="","",IFERROR(INDEX(Emp_Names,MATCH($A229,Emp_Codes,0)),"NOT FOUND"))</f>
        <v/>
      </c>
      <c r="C229" s="14" t="n"/>
      <c r="D229" s="15" t="n"/>
      <c r="E229" s="15" t="n"/>
      <c r="F229" s="15" t="n"/>
      <c r="G229" s="15" t="n"/>
      <c r="H229" s="16">
        <f>IF($A229="","",$D229+IF($E229="",0,$E229)+IF($F229="",0,$F229)-IF($G229="",0,$G229))</f>
        <v/>
      </c>
      <c r="I229" s="12" t="n"/>
      <c r="J229" s="12" t="n"/>
      <c r="K229" s="12" t="n"/>
      <c r="L229" s="14" t="n"/>
      <c r="M229" s="12" t="n"/>
      <c r="N229" s="12" t="n"/>
      <c r="O229" s="12" t="n"/>
    </row>
    <row r="230">
      <c r="A230" s="12" t="n"/>
      <c r="B230" s="13">
        <f>IF($A230="","",IFERROR(INDEX(Emp_Names,MATCH($A230,Emp_Codes,0)),"NOT FOUND"))</f>
        <v/>
      </c>
      <c r="C230" s="14" t="n"/>
      <c r="D230" s="15" t="n"/>
      <c r="E230" s="15" t="n"/>
      <c r="F230" s="15" t="n"/>
      <c r="G230" s="15" t="n"/>
      <c r="H230" s="16">
        <f>IF($A230="","",$D230+IF($E230="",0,$E230)+IF($F230="",0,$F230)-IF($G230="",0,$G230))</f>
        <v/>
      </c>
      <c r="I230" s="12" t="n"/>
      <c r="J230" s="12" t="n"/>
      <c r="K230" s="12" t="n"/>
      <c r="L230" s="14" t="n"/>
      <c r="M230" s="12" t="n"/>
      <c r="N230" s="12" t="n"/>
      <c r="O230" s="12" t="n"/>
    </row>
    <row r="231">
      <c r="A231" s="12" t="n"/>
      <c r="B231" s="13">
        <f>IF($A231="","",IFERROR(INDEX(Emp_Names,MATCH($A231,Emp_Codes,0)),"NOT FOUND"))</f>
        <v/>
      </c>
      <c r="C231" s="14" t="n"/>
      <c r="D231" s="15" t="n"/>
      <c r="E231" s="15" t="n"/>
      <c r="F231" s="15" t="n"/>
      <c r="G231" s="15" t="n"/>
      <c r="H231" s="16">
        <f>IF($A231="","",$D231+IF($E231="",0,$E231)+IF($F231="",0,$F231)-IF($G231="",0,$G231))</f>
        <v/>
      </c>
      <c r="I231" s="12" t="n"/>
      <c r="J231" s="12" t="n"/>
      <c r="K231" s="12" t="n"/>
      <c r="L231" s="14" t="n"/>
      <c r="M231" s="12" t="n"/>
      <c r="N231" s="12" t="n"/>
      <c r="O231" s="12" t="n"/>
    </row>
    <row r="232">
      <c r="A232" s="12" t="n"/>
      <c r="B232" s="13">
        <f>IF($A232="","",IFERROR(INDEX(Emp_Names,MATCH($A232,Emp_Codes,0)),"NOT FOUND"))</f>
        <v/>
      </c>
      <c r="C232" s="14" t="n"/>
      <c r="D232" s="15" t="n"/>
      <c r="E232" s="15" t="n"/>
      <c r="F232" s="15" t="n"/>
      <c r="G232" s="15" t="n"/>
      <c r="H232" s="16">
        <f>IF($A232="","",$D232+IF($E232="",0,$E232)+IF($F232="",0,$F232)-IF($G232="",0,$G232))</f>
        <v/>
      </c>
      <c r="I232" s="12" t="n"/>
      <c r="J232" s="12" t="n"/>
      <c r="K232" s="12" t="n"/>
      <c r="L232" s="14" t="n"/>
      <c r="M232" s="12" t="n"/>
      <c r="N232" s="12" t="n"/>
      <c r="O232" s="12" t="n"/>
    </row>
    <row r="233">
      <c r="A233" s="12" t="n"/>
      <c r="B233" s="13">
        <f>IF($A233="","",IFERROR(INDEX(Emp_Names,MATCH($A233,Emp_Codes,0)),"NOT FOUND"))</f>
        <v/>
      </c>
      <c r="C233" s="14" t="n"/>
      <c r="D233" s="15" t="n"/>
      <c r="E233" s="15" t="n"/>
      <c r="F233" s="15" t="n"/>
      <c r="G233" s="15" t="n"/>
      <c r="H233" s="16">
        <f>IF($A233="","",$D233+IF($E233="",0,$E233)+IF($F233="",0,$F233)-IF($G233="",0,$G233))</f>
        <v/>
      </c>
      <c r="I233" s="12" t="n"/>
      <c r="J233" s="12" t="n"/>
      <c r="K233" s="12" t="n"/>
      <c r="L233" s="14" t="n"/>
      <c r="M233" s="12" t="n"/>
      <c r="N233" s="12" t="n"/>
      <c r="O233" s="12" t="n"/>
    </row>
    <row r="234">
      <c r="A234" s="12" t="n"/>
      <c r="B234" s="13">
        <f>IF($A234="","",IFERROR(INDEX(Emp_Names,MATCH($A234,Emp_Codes,0)),"NOT FOUND"))</f>
        <v/>
      </c>
      <c r="C234" s="14" t="n"/>
      <c r="D234" s="15" t="n"/>
      <c r="E234" s="15" t="n"/>
      <c r="F234" s="15" t="n"/>
      <c r="G234" s="15" t="n"/>
      <c r="H234" s="16">
        <f>IF($A234="","",$D234+IF($E234="",0,$E234)+IF($F234="",0,$F234)-IF($G234="",0,$G234))</f>
        <v/>
      </c>
      <c r="I234" s="12" t="n"/>
      <c r="J234" s="12" t="n"/>
      <c r="K234" s="12" t="n"/>
      <c r="L234" s="14" t="n"/>
      <c r="M234" s="12" t="n"/>
      <c r="N234" s="12" t="n"/>
      <c r="O234" s="12" t="n"/>
    </row>
    <row r="235">
      <c r="A235" s="12" t="n"/>
      <c r="B235" s="13">
        <f>IF($A235="","",IFERROR(INDEX(Emp_Names,MATCH($A235,Emp_Codes,0)),"NOT FOUND"))</f>
        <v/>
      </c>
      <c r="C235" s="14" t="n"/>
      <c r="D235" s="15" t="n"/>
      <c r="E235" s="15" t="n"/>
      <c r="F235" s="15" t="n"/>
      <c r="G235" s="15" t="n"/>
      <c r="H235" s="16">
        <f>IF($A235="","",$D235+IF($E235="",0,$E235)+IF($F235="",0,$F235)-IF($G235="",0,$G235))</f>
        <v/>
      </c>
      <c r="I235" s="12" t="n"/>
      <c r="J235" s="12" t="n"/>
      <c r="K235" s="12" t="n"/>
      <c r="L235" s="14" t="n"/>
      <c r="M235" s="12" t="n"/>
      <c r="N235" s="12" t="n"/>
      <c r="O235" s="12" t="n"/>
    </row>
    <row r="236">
      <c r="A236" s="12" t="n"/>
      <c r="B236" s="13">
        <f>IF($A236="","",IFERROR(INDEX(Emp_Names,MATCH($A236,Emp_Codes,0)),"NOT FOUND"))</f>
        <v/>
      </c>
      <c r="C236" s="14" t="n"/>
      <c r="D236" s="15" t="n"/>
      <c r="E236" s="15" t="n"/>
      <c r="F236" s="15" t="n"/>
      <c r="G236" s="15" t="n"/>
      <c r="H236" s="16">
        <f>IF($A236="","",$D236+IF($E236="",0,$E236)+IF($F236="",0,$F236)-IF($G236="",0,$G236))</f>
        <v/>
      </c>
      <c r="I236" s="12" t="n"/>
      <c r="J236" s="12" t="n"/>
      <c r="K236" s="12" t="n"/>
      <c r="L236" s="14" t="n"/>
      <c r="M236" s="12" t="n"/>
      <c r="N236" s="12" t="n"/>
      <c r="O236" s="12" t="n"/>
    </row>
    <row r="237">
      <c r="A237" s="12" t="n"/>
      <c r="B237" s="13">
        <f>IF($A237="","",IFERROR(INDEX(Emp_Names,MATCH($A237,Emp_Codes,0)),"NOT FOUND"))</f>
        <v/>
      </c>
      <c r="C237" s="14" t="n"/>
      <c r="D237" s="15" t="n"/>
      <c r="E237" s="15" t="n"/>
      <c r="F237" s="15" t="n"/>
      <c r="G237" s="15" t="n"/>
      <c r="H237" s="16">
        <f>IF($A237="","",$D237+IF($E237="",0,$E237)+IF($F237="",0,$F237)-IF($G237="",0,$G237))</f>
        <v/>
      </c>
      <c r="I237" s="12" t="n"/>
      <c r="J237" s="12" t="n"/>
      <c r="K237" s="12" t="n"/>
      <c r="L237" s="14" t="n"/>
      <c r="M237" s="12" t="n"/>
      <c r="N237" s="12" t="n"/>
      <c r="O237" s="12" t="n"/>
    </row>
    <row r="238">
      <c r="A238" s="12" t="n"/>
      <c r="B238" s="13">
        <f>IF($A238="","",IFERROR(INDEX(Emp_Names,MATCH($A238,Emp_Codes,0)),"NOT FOUND"))</f>
        <v/>
      </c>
      <c r="C238" s="14" t="n"/>
      <c r="D238" s="15" t="n"/>
      <c r="E238" s="15" t="n"/>
      <c r="F238" s="15" t="n"/>
      <c r="G238" s="15" t="n"/>
      <c r="H238" s="16">
        <f>IF($A238="","",$D238+IF($E238="",0,$E238)+IF($F238="",0,$F238)-IF($G238="",0,$G238))</f>
        <v/>
      </c>
      <c r="I238" s="12" t="n"/>
      <c r="J238" s="12" t="n"/>
      <c r="K238" s="12" t="n"/>
      <c r="L238" s="14" t="n"/>
      <c r="M238" s="12" t="n"/>
      <c r="N238" s="12" t="n"/>
      <c r="O238" s="12" t="n"/>
    </row>
    <row r="239">
      <c r="A239" s="12" t="n"/>
      <c r="B239" s="13">
        <f>IF($A239="","",IFERROR(INDEX(Emp_Names,MATCH($A239,Emp_Codes,0)),"NOT FOUND"))</f>
        <v/>
      </c>
      <c r="C239" s="14" t="n"/>
      <c r="D239" s="15" t="n"/>
      <c r="E239" s="15" t="n"/>
      <c r="F239" s="15" t="n"/>
      <c r="G239" s="15" t="n"/>
      <c r="H239" s="16">
        <f>IF($A239="","",$D239+IF($E239="",0,$E239)+IF($F239="",0,$F239)-IF($G239="",0,$G239))</f>
        <v/>
      </c>
      <c r="I239" s="12" t="n"/>
      <c r="J239" s="12" t="n"/>
      <c r="K239" s="12" t="n"/>
      <c r="L239" s="14" t="n"/>
      <c r="M239" s="12" t="n"/>
      <c r="N239" s="12" t="n"/>
      <c r="O239" s="12" t="n"/>
    </row>
    <row r="240">
      <c r="A240" s="12" t="n"/>
      <c r="B240" s="13">
        <f>IF($A240="","",IFERROR(INDEX(Emp_Names,MATCH($A240,Emp_Codes,0)),"NOT FOUND"))</f>
        <v/>
      </c>
      <c r="C240" s="14" t="n"/>
      <c r="D240" s="15" t="n"/>
      <c r="E240" s="15" t="n"/>
      <c r="F240" s="15" t="n"/>
      <c r="G240" s="15" t="n"/>
      <c r="H240" s="16">
        <f>IF($A240="","",$D240+IF($E240="",0,$E240)+IF($F240="",0,$F240)-IF($G240="",0,$G240))</f>
        <v/>
      </c>
      <c r="I240" s="12" t="n"/>
      <c r="J240" s="12" t="n"/>
      <c r="K240" s="12" t="n"/>
      <c r="L240" s="14" t="n"/>
      <c r="M240" s="12" t="n"/>
      <c r="N240" s="12" t="n"/>
      <c r="O240" s="12" t="n"/>
    </row>
    <row r="241">
      <c r="A241" s="12" t="n"/>
      <c r="B241" s="13">
        <f>IF($A241="","",IFERROR(INDEX(Emp_Names,MATCH($A241,Emp_Codes,0)),"NOT FOUND"))</f>
        <v/>
      </c>
      <c r="C241" s="14" t="n"/>
      <c r="D241" s="15" t="n"/>
      <c r="E241" s="15" t="n"/>
      <c r="F241" s="15" t="n"/>
      <c r="G241" s="15" t="n"/>
      <c r="H241" s="16">
        <f>IF($A241="","",$D241+IF($E241="",0,$E241)+IF($F241="",0,$F241)-IF($G241="",0,$G241))</f>
        <v/>
      </c>
      <c r="I241" s="12" t="n"/>
      <c r="J241" s="12" t="n"/>
      <c r="K241" s="12" t="n"/>
      <c r="L241" s="14" t="n"/>
      <c r="M241" s="12" t="n"/>
      <c r="N241" s="12" t="n"/>
      <c r="O241" s="12" t="n"/>
    </row>
    <row r="242">
      <c r="A242" s="12" t="n"/>
      <c r="B242" s="13">
        <f>IF($A242="","",IFERROR(INDEX(Emp_Names,MATCH($A242,Emp_Codes,0)),"NOT FOUND"))</f>
        <v/>
      </c>
      <c r="C242" s="14" t="n"/>
      <c r="D242" s="15" t="n"/>
      <c r="E242" s="15" t="n"/>
      <c r="F242" s="15" t="n"/>
      <c r="G242" s="15" t="n"/>
      <c r="H242" s="16">
        <f>IF($A242="","",$D242+IF($E242="",0,$E242)+IF($F242="",0,$F242)-IF($G242="",0,$G242))</f>
        <v/>
      </c>
      <c r="I242" s="12" t="n"/>
      <c r="J242" s="12" t="n"/>
      <c r="K242" s="12" t="n"/>
      <c r="L242" s="14" t="n"/>
      <c r="M242" s="12" t="n"/>
      <c r="N242" s="12" t="n"/>
      <c r="O242" s="12" t="n"/>
    </row>
    <row r="243">
      <c r="A243" s="12" t="n"/>
      <c r="B243" s="13">
        <f>IF($A243="","",IFERROR(INDEX(Emp_Names,MATCH($A243,Emp_Codes,0)),"NOT FOUND"))</f>
        <v/>
      </c>
      <c r="C243" s="14" t="n"/>
      <c r="D243" s="15" t="n"/>
      <c r="E243" s="15" t="n"/>
      <c r="F243" s="15" t="n"/>
      <c r="G243" s="15" t="n"/>
      <c r="H243" s="16">
        <f>IF($A243="","",$D243+IF($E243="",0,$E243)+IF($F243="",0,$F243)-IF($G243="",0,$G243))</f>
        <v/>
      </c>
      <c r="I243" s="12" t="n"/>
      <c r="J243" s="12" t="n"/>
      <c r="K243" s="12" t="n"/>
      <c r="L243" s="14" t="n"/>
      <c r="M243" s="12" t="n"/>
      <c r="N243" s="12" t="n"/>
      <c r="O243" s="12" t="n"/>
    </row>
    <row r="244">
      <c r="A244" s="12" t="n"/>
      <c r="B244" s="13">
        <f>IF($A244="","",IFERROR(INDEX(Emp_Names,MATCH($A244,Emp_Codes,0)),"NOT FOUND"))</f>
        <v/>
      </c>
      <c r="C244" s="14" t="n"/>
      <c r="D244" s="15" t="n"/>
      <c r="E244" s="15" t="n"/>
      <c r="F244" s="15" t="n"/>
      <c r="G244" s="15" t="n"/>
      <c r="H244" s="16">
        <f>IF($A244="","",$D244+IF($E244="",0,$E244)+IF($F244="",0,$F244)-IF($G244="",0,$G244))</f>
        <v/>
      </c>
      <c r="I244" s="12" t="n"/>
      <c r="J244" s="12" t="n"/>
      <c r="K244" s="12" t="n"/>
      <c r="L244" s="14" t="n"/>
      <c r="M244" s="12" t="n"/>
      <c r="N244" s="12" t="n"/>
      <c r="O244" s="12" t="n"/>
    </row>
    <row r="245">
      <c r="A245" s="12" t="n"/>
      <c r="B245" s="13">
        <f>IF($A245="","",IFERROR(INDEX(Emp_Names,MATCH($A245,Emp_Codes,0)),"NOT FOUND"))</f>
        <v/>
      </c>
      <c r="C245" s="14" t="n"/>
      <c r="D245" s="15" t="n"/>
      <c r="E245" s="15" t="n"/>
      <c r="F245" s="15" t="n"/>
      <c r="G245" s="15" t="n"/>
      <c r="H245" s="16">
        <f>IF($A245="","",$D245+IF($E245="",0,$E245)+IF($F245="",0,$F245)-IF($G245="",0,$G245))</f>
        <v/>
      </c>
      <c r="I245" s="12" t="n"/>
      <c r="J245" s="12" t="n"/>
      <c r="K245" s="12" t="n"/>
      <c r="L245" s="14" t="n"/>
      <c r="M245" s="12" t="n"/>
      <c r="N245" s="12" t="n"/>
      <c r="O245" s="12" t="n"/>
    </row>
    <row r="246">
      <c r="A246" s="12" t="n"/>
      <c r="B246" s="13">
        <f>IF($A246="","",IFERROR(INDEX(Emp_Names,MATCH($A246,Emp_Codes,0)),"NOT FOUND"))</f>
        <v/>
      </c>
      <c r="C246" s="14" t="n"/>
      <c r="D246" s="15" t="n"/>
      <c r="E246" s="15" t="n"/>
      <c r="F246" s="15" t="n"/>
      <c r="G246" s="15" t="n"/>
      <c r="H246" s="16">
        <f>IF($A246="","",$D246+IF($E246="",0,$E246)+IF($F246="",0,$F246)-IF($G246="",0,$G246))</f>
        <v/>
      </c>
      <c r="I246" s="12" t="n"/>
      <c r="J246" s="12" t="n"/>
      <c r="K246" s="12" t="n"/>
      <c r="L246" s="14" t="n"/>
      <c r="M246" s="12" t="n"/>
      <c r="N246" s="12" t="n"/>
      <c r="O246" s="12" t="n"/>
    </row>
    <row r="247">
      <c r="A247" s="12" t="n"/>
      <c r="B247" s="13">
        <f>IF($A247="","",IFERROR(INDEX(Emp_Names,MATCH($A247,Emp_Codes,0)),"NOT FOUND"))</f>
        <v/>
      </c>
      <c r="C247" s="14" t="n"/>
      <c r="D247" s="15" t="n"/>
      <c r="E247" s="15" t="n"/>
      <c r="F247" s="15" t="n"/>
      <c r="G247" s="15" t="n"/>
      <c r="H247" s="16">
        <f>IF($A247="","",$D247+IF($E247="",0,$E247)+IF($F247="",0,$F247)-IF($G247="",0,$G247))</f>
        <v/>
      </c>
      <c r="I247" s="12" t="n"/>
      <c r="J247" s="12" t="n"/>
      <c r="K247" s="12" t="n"/>
      <c r="L247" s="14" t="n"/>
      <c r="M247" s="12" t="n"/>
      <c r="N247" s="12" t="n"/>
      <c r="O247" s="12" t="n"/>
    </row>
    <row r="248">
      <c r="A248" s="12" t="n"/>
      <c r="B248" s="13">
        <f>IF($A248="","",IFERROR(INDEX(Emp_Names,MATCH($A248,Emp_Codes,0)),"NOT FOUND"))</f>
        <v/>
      </c>
      <c r="C248" s="14" t="n"/>
      <c r="D248" s="15" t="n"/>
      <c r="E248" s="15" t="n"/>
      <c r="F248" s="15" t="n"/>
      <c r="G248" s="15" t="n"/>
      <c r="H248" s="16">
        <f>IF($A248="","",$D248+IF($E248="",0,$E248)+IF($F248="",0,$F248)-IF($G248="",0,$G248))</f>
        <v/>
      </c>
      <c r="I248" s="12" t="n"/>
      <c r="J248" s="12" t="n"/>
      <c r="K248" s="12" t="n"/>
      <c r="L248" s="14" t="n"/>
      <c r="M248" s="12" t="n"/>
      <c r="N248" s="12" t="n"/>
      <c r="O248" s="12" t="n"/>
    </row>
    <row r="249">
      <c r="A249" s="12" t="n"/>
      <c r="B249" s="13">
        <f>IF($A249="","",IFERROR(INDEX(Emp_Names,MATCH($A249,Emp_Codes,0)),"NOT FOUND"))</f>
        <v/>
      </c>
      <c r="C249" s="14" t="n"/>
      <c r="D249" s="15" t="n"/>
      <c r="E249" s="15" t="n"/>
      <c r="F249" s="15" t="n"/>
      <c r="G249" s="15" t="n"/>
      <c r="H249" s="16">
        <f>IF($A249="","",$D249+IF($E249="",0,$E249)+IF($F249="",0,$F249)-IF($G249="",0,$G249))</f>
        <v/>
      </c>
      <c r="I249" s="12" t="n"/>
      <c r="J249" s="12" t="n"/>
      <c r="K249" s="12" t="n"/>
      <c r="L249" s="14" t="n"/>
      <c r="M249" s="12" t="n"/>
      <c r="N249" s="12" t="n"/>
      <c r="O249" s="12" t="n"/>
    </row>
    <row r="250">
      <c r="A250" s="12" t="n"/>
      <c r="B250" s="13">
        <f>IF($A250="","",IFERROR(INDEX(Emp_Names,MATCH($A250,Emp_Codes,0)),"NOT FOUND"))</f>
        <v/>
      </c>
      <c r="C250" s="14" t="n"/>
      <c r="D250" s="15" t="n"/>
      <c r="E250" s="15" t="n"/>
      <c r="F250" s="15" t="n"/>
      <c r="G250" s="15" t="n"/>
      <c r="H250" s="16">
        <f>IF($A250="","",$D250+IF($E250="",0,$E250)+IF($F250="",0,$F250)-IF($G250="",0,$G250))</f>
        <v/>
      </c>
      <c r="I250" s="12" t="n"/>
      <c r="J250" s="12" t="n"/>
      <c r="K250" s="12" t="n"/>
      <c r="L250" s="14" t="n"/>
      <c r="M250" s="12" t="n"/>
      <c r="N250" s="12" t="n"/>
      <c r="O250" s="12" t="n"/>
    </row>
    <row r="251">
      <c r="A251" s="12" t="n"/>
      <c r="B251" s="13">
        <f>IF($A251="","",IFERROR(INDEX(Emp_Names,MATCH($A251,Emp_Codes,0)),"NOT FOUND"))</f>
        <v/>
      </c>
      <c r="C251" s="14" t="n"/>
      <c r="D251" s="15" t="n"/>
      <c r="E251" s="15" t="n"/>
      <c r="F251" s="15" t="n"/>
      <c r="G251" s="15" t="n"/>
      <c r="H251" s="16">
        <f>IF($A251="","",$D251+IF($E251="",0,$E251)+IF($F251="",0,$F251)-IF($G251="",0,$G251))</f>
        <v/>
      </c>
      <c r="I251" s="12" t="n"/>
      <c r="J251" s="12" t="n"/>
      <c r="K251" s="12" t="n"/>
      <c r="L251" s="14" t="n"/>
      <c r="M251" s="12" t="n"/>
      <c r="N251" s="12" t="n"/>
      <c r="O251" s="12" t="n"/>
    </row>
    <row r="252">
      <c r="A252" s="12" t="n"/>
      <c r="B252" s="13">
        <f>IF($A252="","",IFERROR(INDEX(Emp_Names,MATCH($A252,Emp_Codes,0)),"NOT FOUND"))</f>
        <v/>
      </c>
      <c r="C252" s="14" t="n"/>
      <c r="D252" s="15" t="n"/>
      <c r="E252" s="15" t="n"/>
      <c r="F252" s="15" t="n"/>
      <c r="G252" s="15" t="n"/>
      <c r="H252" s="16">
        <f>IF($A252="","",$D252+IF($E252="",0,$E252)+IF($F252="",0,$F252)-IF($G252="",0,$G252))</f>
        <v/>
      </c>
      <c r="I252" s="12" t="n"/>
      <c r="J252" s="12" t="n"/>
      <c r="K252" s="12" t="n"/>
      <c r="L252" s="14" t="n"/>
      <c r="M252" s="12" t="n"/>
      <c r="N252" s="12" t="n"/>
      <c r="O252" s="12" t="n"/>
    </row>
    <row r="253">
      <c r="A253" s="12" t="n"/>
      <c r="B253" s="13">
        <f>IF($A253="","",IFERROR(INDEX(Emp_Names,MATCH($A253,Emp_Codes,0)),"NOT FOUND"))</f>
        <v/>
      </c>
      <c r="C253" s="14" t="n"/>
      <c r="D253" s="15" t="n"/>
      <c r="E253" s="15" t="n"/>
      <c r="F253" s="15" t="n"/>
      <c r="G253" s="15" t="n"/>
      <c r="H253" s="16">
        <f>IF($A253="","",$D253+IF($E253="",0,$E253)+IF($F253="",0,$F253)-IF($G253="",0,$G253))</f>
        <v/>
      </c>
      <c r="I253" s="12" t="n"/>
      <c r="J253" s="12" t="n"/>
      <c r="K253" s="12" t="n"/>
      <c r="L253" s="14" t="n"/>
      <c r="M253" s="12" t="n"/>
      <c r="N253" s="12" t="n"/>
      <c r="O253" s="12" t="n"/>
    </row>
    <row r="254">
      <c r="A254" s="12" t="n"/>
      <c r="B254" s="13">
        <f>IF($A254="","",IFERROR(INDEX(Emp_Names,MATCH($A254,Emp_Codes,0)),"NOT FOUND"))</f>
        <v/>
      </c>
      <c r="C254" s="14" t="n"/>
      <c r="D254" s="15" t="n"/>
      <c r="E254" s="15" t="n"/>
      <c r="F254" s="15" t="n"/>
      <c r="G254" s="15" t="n"/>
      <c r="H254" s="16">
        <f>IF($A254="","",$D254+IF($E254="",0,$E254)+IF($F254="",0,$F254)-IF($G254="",0,$G254))</f>
        <v/>
      </c>
      <c r="I254" s="12" t="n"/>
      <c r="J254" s="12" t="n"/>
      <c r="K254" s="12" t="n"/>
      <c r="L254" s="14" t="n"/>
      <c r="M254" s="12" t="n"/>
      <c r="N254" s="12" t="n"/>
      <c r="O254" s="12" t="n"/>
    </row>
    <row r="255">
      <c r="A255" s="12" t="n"/>
      <c r="B255" s="13">
        <f>IF($A255="","",IFERROR(INDEX(Emp_Names,MATCH($A255,Emp_Codes,0)),"NOT FOUND"))</f>
        <v/>
      </c>
      <c r="C255" s="14" t="n"/>
      <c r="D255" s="15" t="n"/>
      <c r="E255" s="15" t="n"/>
      <c r="F255" s="15" t="n"/>
      <c r="G255" s="15" t="n"/>
      <c r="H255" s="16">
        <f>IF($A255="","",$D255+IF($E255="",0,$E255)+IF($F255="",0,$F255)-IF($G255="",0,$G255))</f>
        <v/>
      </c>
      <c r="I255" s="12" t="n"/>
      <c r="J255" s="12" t="n"/>
      <c r="K255" s="12" t="n"/>
      <c r="L255" s="14" t="n"/>
      <c r="M255" s="12" t="n"/>
      <c r="N255" s="12" t="n"/>
      <c r="O255" s="12" t="n"/>
    </row>
    <row r="256">
      <c r="A256" s="12" t="n"/>
      <c r="B256" s="13">
        <f>IF($A256="","",IFERROR(INDEX(Emp_Names,MATCH($A256,Emp_Codes,0)),"NOT FOUND"))</f>
        <v/>
      </c>
      <c r="C256" s="14" t="n"/>
      <c r="D256" s="15" t="n"/>
      <c r="E256" s="15" t="n"/>
      <c r="F256" s="15" t="n"/>
      <c r="G256" s="15" t="n"/>
      <c r="H256" s="16">
        <f>IF($A256="","",$D256+IF($E256="",0,$E256)+IF($F256="",0,$F256)-IF($G256="",0,$G256))</f>
        <v/>
      </c>
      <c r="I256" s="12" t="n"/>
      <c r="J256" s="12" t="n"/>
      <c r="K256" s="12" t="n"/>
      <c r="L256" s="14" t="n"/>
      <c r="M256" s="12" t="n"/>
      <c r="N256" s="12" t="n"/>
      <c r="O256" s="12" t="n"/>
    </row>
    <row r="257">
      <c r="A257" s="12" t="n"/>
      <c r="B257" s="13">
        <f>IF($A257="","",IFERROR(INDEX(Emp_Names,MATCH($A257,Emp_Codes,0)),"NOT FOUND"))</f>
        <v/>
      </c>
      <c r="C257" s="14" t="n"/>
      <c r="D257" s="15" t="n"/>
      <c r="E257" s="15" t="n"/>
      <c r="F257" s="15" t="n"/>
      <c r="G257" s="15" t="n"/>
      <c r="H257" s="16">
        <f>IF($A257="","",$D257+IF($E257="",0,$E257)+IF($F257="",0,$F257)-IF($G257="",0,$G257))</f>
        <v/>
      </c>
      <c r="I257" s="12" t="n"/>
      <c r="J257" s="12" t="n"/>
      <c r="K257" s="12" t="n"/>
      <c r="L257" s="14" t="n"/>
      <c r="M257" s="12" t="n"/>
      <c r="N257" s="12" t="n"/>
      <c r="O257" s="12" t="n"/>
    </row>
    <row r="258">
      <c r="A258" s="12" t="n"/>
      <c r="B258" s="13">
        <f>IF($A258="","",IFERROR(INDEX(Emp_Names,MATCH($A258,Emp_Codes,0)),"NOT FOUND"))</f>
        <v/>
      </c>
      <c r="C258" s="14" t="n"/>
      <c r="D258" s="15" t="n"/>
      <c r="E258" s="15" t="n"/>
      <c r="F258" s="15" t="n"/>
      <c r="G258" s="15" t="n"/>
      <c r="H258" s="16">
        <f>IF($A258="","",$D258+IF($E258="",0,$E258)+IF($F258="",0,$F258)-IF($G258="",0,$G258))</f>
        <v/>
      </c>
      <c r="I258" s="12" t="n"/>
      <c r="J258" s="12" t="n"/>
      <c r="K258" s="12" t="n"/>
      <c r="L258" s="14" t="n"/>
      <c r="M258" s="12" t="n"/>
      <c r="N258" s="12" t="n"/>
      <c r="O258" s="12" t="n"/>
    </row>
    <row r="259">
      <c r="A259" s="12" t="n"/>
      <c r="B259" s="13">
        <f>IF($A259="","",IFERROR(INDEX(Emp_Names,MATCH($A259,Emp_Codes,0)),"NOT FOUND"))</f>
        <v/>
      </c>
      <c r="C259" s="14" t="n"/>
      <c r="D259" s="15" t="n"/>
      <c r="E259" s="15" t="n"/>
      <c r="F259" s="15" t="n"/>
      <c r="G259" s="15" t="n"/>
      <c r="H259" s="16">
        <f>IF($A259="","",$D259+IF($E259="",0,$E259)+IF($F259="",0,$F259)-IF($G259="",0,$G259))</f>
        <v/>
      </c>
      <c r="I259" s="12" t="n"/>
      <c r="J259" s="12" t="n"/>
      <c r="K259" s="12" t="n"/>
      <c r="L259" s="14" t="n"/>
      <c r="M259" s="12" t="n"/>
      <c r="N259" s="12" t="n"/>
      <c r="O259" s="12" t="n"/>
    </row>
    <row r="260">
      <c r="A260" s="12" t="n"/>
      <c r="B260" s="13">
        <f>IF($A260="","",IFERROR(INDEX(Emp_Names,MATCH($A260,Emp_Codes,0)),"NOT FOUND"))</f>
        <v/>
      </c>
      <c r="C260" s="14" t="n"/>
      <c r="D260" s="15" t="n"/>
      <c r="E260" s="15" t="n"/>
      <c r="F260" s="15" t="n"/>
      <c r="G260" s="15" t="n"/>
      <c r="H260" s="16">
        <f>IF($A260="","",$D260+IF($E260="",0,$E260)+IF($F260="",0,$F260)-IF($G260="",0,$G260))</f>
        <v/>
      </c>
      <c r="I260" s="12" t="n"/>
      <c r="J260" s="12" t="n"/>
      <c r="K260" s="12" t="n"/>
      <c r="L260" s="14" t="n"/>
      <c r="M260" s="12" t="n"/>
      <c r="N260" s="12" t="n"/>
      <c r="O260" s="12" t="n"/>
    </row>
    <row r="261">
      <c r="A261" s="12" t="n"/>
      <c r="B261" s="13">
        <f>IF($A261="","",IFERROR(INDEX(Emp_Names,MATCH($A261,Emp_Codes,0)),"NOT FOUND"))</f>
        <v/>
      </c>
      <c r="C261" s="14" t="n"/>
      <c r="D261" s="15" t="n"/>
      <c r="E261" s="15" t="n"/>
      <c r="F261" s="15" t="n"/>
      <c r="G261" s="15" t="n"/>
      <c r="H261" s="16">
        <f>IF($A261="","",$D261+IF($E261="",0,$E261)+IF($F261="",0,$F261)-IF($G261="",0,$G261))</f>
        <v/>
      </c>
      <c r="I261" s="12" t="n"/>
      <c r="J261" s="12" t="n"/>
      <c r="K261" s="12" t="n"/>
      <c r="L261" s="14" t="n"/>
      <c r="M261" s="12" t="n"/>
      <c r="N261" s="12" t="n"/>
      <c r="O261" s="12" t="n"/>
    </row>
    <row r="262">
      <c r="A262" s="12" t="n"/>
      <c r="B262" s="13">
        <f>IF($A262="","",IFERROR(INDEX(Emp_Names,MATCH($A262,Emp_Codes,0)),"NOT FOUND"))</f>
        <v/>
      </c>
      <c r="C262" s="14" t="n"/>
      <c r="D262" s="15" t="n"/>
      <c r="E262" s="15" t="n"/>
      <c r="F262" s="15" t="n"/>
      <c r="G262" s="15" t="n"/>
      <c r="H262" s="16">
        <f>IF($A262="","",$D262+IF($E262="",0,$E262)+IF($F262="",0,$F262)-IF($G262="",0,$G262))</f>
        <v/>
      </c>
      <c r="I262" s="12" t="n"/>
      <c r="J262" s="12" t="n"/>
      <c r="K262" s="12" t="n"/>
      <c r="L262" s="14" t="n"/>
      <c r="M262" s="12" t="n"/>
      <c r="N262" s="12" t="n"/>
      <c r="O262" s="12" t="n"/>
    </row>
    <row r="263">
      <c r="A263" s="12" t="n"/>
      <c r="B263" s="13">
        <f>IF($A263="","",IFERROR(INDEX(Emp_Names,MATCH($A263,Emp_Codes,0)),"NOT FOUND"))</f>
        <v/>
      </c>
      <c r="C263" s="14" t="n"/>
      <c r="D263" s="15" t="n"/>
      <c r="E263" s="15" t="n"/>
      <c r="F263" s="15" t="n"/>
      <c r="G263" s="15" t="n"/>
      <c r="H263" s="16">
        <f>IF($A263="","",$D263+IF($E263="",0,$E263)+IF($F263="",0,$F263)-IF($G263="",0,$G263))</f>
        <v/>
      </c>
      <c r="I263" s="12" t="n"/>
      <c r="J263" s="12" t="n"/>
      <c r="K263" s="12" t="n"/>
      <c r="L263" s="14" t="n"/>
      <c r="M263" s="12" t="n"/>
      <c r="N263" s="12" t="n"/>
      <c r="O263" s="12" t="n"/>
    </row>
    <row r="264">
      <c r="A264" s="12" t="n"/>
      <c r="B264" s="13">
        <f>IF($A264="","",IFERROR(INDEX(Emp_Names,MATCH($A264,Emp_Codes,0)),"NOT FOUND"))</f>
        <v/>
      </c>
      <c r="C264" s="14" t="n"/>
      <c r="D264" s="15" t="n"/>
      <c r="E264" s="15" t="n"/>
      <c r="F264" s="15" t="n"/>
      <c r="G264" s="15" t="n"/>
      <c r="H264" s="16">
        <f>IF($A264="","",$D264+IF($E264="",0,$E264)+IF($F264="",0,$F264)-IF($G264="",0,$G264))</f>
        <v/>
      </c>
      <c r="I264" s="12" t="n"/>
      <c r="J264" s="12" t="n"/>
      <c r="K264" s="12" t="n"/>
      <c r="L264" s="14" t="n"/>
      <c r="M264" s="12" t="n"/>
      <c r="N264" s="12" t="n"/>
      <c r="O264" s="12" t="n"/>
    </row>
    <row r="265">
      <c r="A265" s="12" t="n"/>
      <c r="B265" s="13">
        <f>IF($A265="","",IFERROR(INDEX(Emp_Names,MATCH($A265,Emp_Codes,0)),"NOT FOUND"))</f>
        <v/>
      </c>
      <c r="C265" s="14" t="n"/>
      <c r="D265" s="15" t="n"/>
      <c r="E265" s="15" t="n"/>
      <c r="F265" s="15" t="n"/>
      <c r="G265" s="15" t="n"/>
      <c r="H265" s="16">
        <f>IF($A265="","",$D265+IF($E265="",0,$E265)+IF($F265="",0,$F265)-IF($G265="",0,$G265))</f>
        <v/>
      </c>
      <c r="I265" s="12" t="n"/>
      <c r="J265" s="12" t="n"/>
      <c r="K265" s="12" t="n"/>
      <c r="L265" s="14" t="n"/>
      <c r="M265" s="12" t="n"/>
      <c r="N265" s="12" t="n"/>
      <c r="O265" s="12" t="n"/>
    </row>
    <row r="266">
      <c r="A266" s="12" t="n"/>
      <c r="B266" s="13">
        <f>IF($A266="","",IFERROR(INDEX(Emp_Names,MATCH($A266,Emp_Codes,0)),"NOT FOUND"))</f>
        <v/>
      </c>
      <c r="C266" s="14" t="n"/>
      <c r="D266" s="15" t="n"/>
      <c r="E266" s="15" t="n"/>
      <c r="F266" s="15" t="n"/>
      <c r="G266" s="15" t="n"/>
      <c r="H266" s="16">
        <f>IF($A266="","",$D266+IF($E266="",0,$E266)+IF($F266="",0,$F266)-IF($G266="",0,$G266))</f>
        <v/>
      </c>
      <c r="I266" s="12" t="n"/>
      <c r="J266" s="12" t="n"/>
      <c r="K266" s="12" t="n"/>
      <c r="L266" s="14" t="n"/>
      <c r="M266" s="12" t="n"/>
      <c r="N266" s="12" t="n"/>
      <c r="O266" s="12" t="n"/>
    </row>
    <row r="267">
      <c r="A267" s="12" t="n"/>
      <c r="B267" s="13">
        <f>IF($A267="","",IFERROR(INDEX(Emp_Names,MATCH($A267,Emp_Codes,0)),"NOT FOUND"))</f>
        <v/>
      </c>
      <c r="C267" s="14" t="n"/>
      <c r="D267" s="15" t="n"/>
      <c r="E267" s="15" t="n"/>
      <c r="F267" s="15" t="n"/>
      <c r="G267" s="15" t="n"/>
      <c r="H267" s="16">
        <f>IF($A267="","",$D267+IF($E267="",0,$E267)+IF($F267="",0,$F267)-IF($G267="",0,$G267))</f>
        <v/>
      </c>
      <c r="I267" s="12" t="n"/>
      <c r="J267" s="12" t="n"/>
      <c r="K267" s="12" t="n"/>
      <c r="L267" s="14" t="n"/>
      <c r="M267" s="12" t="n"/>
      <c r="N267" s="12" t="n"/>
      <c r="O267" s="12" t="n"/>
    </row>
    <row r="268">
      <c r="A268" s="12" t="n"/>
      <c r="B268" s="13">
        <f>IF($A268="","",IFERROR(INDEX(Emp_Names,MATCH($A268,Emp_Codes,0)),"NOT FOUND"))</f>
        <v/>
      </c>
      <c r="C268" s="14" t="n"/>
      <c r="D268" s="15" t="n"/>
      <c r="E268" s="15" t="n"/>
      <c r="F268" s="15" t="n"/>
      <c r="G268" s="15" t="n"/>
      <c r="H268" s="16">
        <f>IF($A268="","",$D268+IF($E268="",0,$E268)+IF($F268="",0,$F268)-IF($G268="",0,$G268))</f>
        <v/>
      </c>
      <c r="I268" s="12" t="n"/>
      <c r="J268" s="12" t="n"/>
      <c r="K268" s="12" t="n"/>
      <c r="L268" s="14" t="n"/>
      <c r="M268" s="12" t="n"/>
      <c r="N268" s="12" t="n"/>
      <c r="O268" s="12" t="n"/>
    </row>
    <row r="269">
      <c r="A269" s="12" t="n"/>
      <c r="B269" s="13">
        <f>IF($A269="","",IFERROR(INDEX(Emp_Names,MATCH($A269,Emp_Codes,0)),"NOT FOUND"))</f>
        <v/>
      </c>
      <c r="C269" s="14" t="n"/>
      <c r="D269" s="15" t="n"/>
      <c r="E269" s="15" t="n"/>
      <c r="F269" s="15" t="n"/>
      <c r="G269" s="15" t="n"/>
      <c r="H269" s="16">
        <f>IF($A269="","",$D269+IF($E269="",0,$E269)+IF($F269="",0,$F269)-IF($G269="",0,$G269))</f>
        <v/>
      </c>
      <c r="I269" s="12" t="n"/>
      <c r="J269" s="12" t="n"/>
      <c r="K269" s="12" t="n"/>
      <c r="L269" s="14" t="n"/>
      <c r="M269" s="12" t="n"/>
      <c r="N269" s="12" t="n"/>
      <c r="O269" s="12" t="n"/>
    </row>
    <row r="270">
      <c r="A270" s="12" t="n"/>
      <c r="B270" s="13">
        <f>IF($A270="","",IFERROR(INDEX(Emp_Names,MATCH($A270,Emp_Codes,0)),"NOT FOUND"))</f>
        <v/>
      </c>
      <c r="C270" s="14" t="n"/>
      <c r="D270" s="15" t="n"/>
      <c r="E270" s="15" t="n"/>
      <c r="F270" s="15" t="n"/>
      <c r="G270" s="15" t="n"/>
      <c r="H270" s="16">
        <f>IF($A270="","",$D270+IF($E270="",0,$E270)+IF($F270="",0,$F270)-IF($G270="",0,$G270))</f>
        <v/>
      </c>
      <c r="I270" s="12" t="n"/>
      <c r="J270" s="12" t="n"/>
      <c r="K270" s="12" t="n"/>
      <c r="L270" s="14" t="n"/>
      <c r="M270" s="12" t="n"/>
      <c r="N270" s="12" t="n"/>
      <c r="O270" s="12" t="n"/>
    </row>
    <row r="271">
      <c r="A271" s="12" t="n"/>
      <c r="B271" s="13">
        <f>IF($A271="","",IFERROR(INDEX(Emp_Names,MATCH($A271,Emp_Codes,0)),"NOT FOUND"))</f>
        <v/>
      </c>
      <c r="C271" s="14" t="n"/>
      <c r="D271" s="15" t="n"/>
      <c r="E271" s="15" t="n"/>
      <c r="F271" s="15" t="n"/>
      <c r="G271" s="15" t="n"/>
      <c r="H271" s="16">
        <f>IF($A271="","",$D271+IF($E271="",0,$E271)+IF($F271="",0,$F271)-IF($G271="",0,$G271))</f>
        <v/>
      </c>
      <c r="I271" s="12" t="n"/>
      <c r="J271" s="12" t="n"/>
      <c r="K271" s="12" t="n"/>
      <c r="L271" s="14" t="n"/>
      <c r="M271" s="12" t="n"/>
      <c r="N271" s="12" t="n"/>
      <c r="O271" s="12" t="n"/>
    </row>
    <row r="272">
      <c r="A272" s="12" t="n"/>
      <c r="B272" s="13">
        <f>IF($A272="","",IFERROR(INDEX(Emp_Names,MATCH($A272,Emp_Codes,0)),"NOT FOUND"))</f>
        <v/>
      </c>
      <c r="C272" s="14" t="n"/>
      <c r="D272" s="15" t="n"/>
      <c r="E272" s="15" t="n"/>
      <c r="F272" s="15" t="n"/>
      <c r="G272" s="15" t="n"/>
      <c r="H272" s="16">
        <f>IF($A272="","",$D272+IF($E272="",0,$E272)+IF($F272="",0,$F272)-IF($G272="",0,$G272))</f>
        <v/>
      </c>
      <c r="I272" s="12" t="n"/>
      <c r="J272" s="12" t="n"/>
      <c r="K272" s="12" t="n"/>
      <c r="L272" s="14" t="n"/>
      <c r="M272" s="12" t="n"/>
      <c r="N272" s="12" t="n"/>
      <c r="O272" s="12" t="n"/>
    </row>
    <row r="273">
      <c r="A273" s="12" t="n"/>
      <c r="B273" s="13">
        <f>IF($A273="","",IFERROR(INDEX(Emp_Names,MATCH($A273,Emp_Codes,0)),"NOT FOUND"))</f>
        <v/>
      </c>
      <c r="C273" s="14" t="n"/>
      <c r="D273" s="15" t="n"/>
      <c r="E273" s="15" t="n"/>
      <c r="F273" s="15" t="n"/>
      <c r="G273" s="15" t="n"/>
      <c r="H273" s="16">
        <f>IF($A273="","",$D273+IF($E273="",0,$E273)+IF($F273="",0,$F273)-IF($G273="",0,$G273))</f>
        <v/>
      </c>
      <c r="I273" s="12" t="n"/>
      <c r="J273" s="12" t="n"/>
      <c r="K273" s="12" t="n"/>
      <c r="L273" s="14" t="n"/>
      <c r="M273" s="12" t="n"/>
      <c r="N273" s="12" t="n"/>
      <c r="O273" s="12" t="n"/>
    </row>
    <row r="274">
      <c r="A274" s="12" t="n"/>
      <c r="B274" s="13">
        <f>IF($A274="","",IFERROR(INDEX(Emp_Names,MATCH($A274,Emp_Codes,0)),"NOT FOUND"))</f>
        <v/>
      </c>
      <c r="C274" s="14" t="n"/>
      <c r="D274" s="15" t="n"/>
      <c r="E274" s="15" t="n"/>
      <c r="F274" s="15" t="n"/>
      <c r="G274" s="15" t="n"/>
      <c r="H274" s="16">
        <f>IF($A274="","",$D274+IF($E274="",0,$E274)+IF($F274="",0,$F274)-IF($G274="",0,$G274))</f>
        <v/>
      </c>
      <c r="I274" s="12" t="n"/>
      <c r="J274" s="12" t="n"/>
      <c r="K274" s="12" t="n"/>
      <c r="L274" s="14" t="n"/>
      <c r="M274" s="12" t="n"/>
      <c r="N274" s="12" t="n"/>
      <c r="O274" s="12" t="n"/>
    </row>
    <row r="275">
      <c r="A275" s="12" t="n"/>
      <c r="B275" s="13">
        <f>IF($A275="","",IFERROR(INDEX(Emp_Names,MATCH($A275,Emp_Codes,0)),"NOT FOUND"))</f>
        <v/>
      </c>
      <c r="C275" s="14" t="n"/>
      <c r="D275" s="15" t="n"/>
      <c r="E275" s="15" t="n"/>
      <c r="F275" s="15" t="n"/>
      <c r="G275" s="15" t="n"/>
      <c r="H275" s="16">
        <f>IF($A275="","",$D275+IF($E275="",0,$E275)+IF($F275="",0,$F275)-IF($G275="",0,$G275))</f>
        <v/>
      </c>
      <c r="I275" s="12" t="n"/>
      <c r="J275" s="12" t="n"/>
      <c r="K275" s="12" t="n"/>
      <c r="L275" s="14" t="n"/>
      <c r="M275" s="12" t="n"/>
      <c r="N275" s="12" t="n"/>
      <c r="O275" s="12" t="n"/>
    </row>
    <row r="276">
      <c r="A276" s="12" t="n"/>
      <c r="B276" s="13">
        <f>IF($A276="","",IFERROR(INDEX(Emp_Names,MATCH($A276,Emp_Codes,0)),"NOT FOUND"))</f>
        <v/>
      </c>
      <c r="C276" s="14" t="n"/>
      <c r="D276" s="15" t="n"/>
      <c r="E276" s="15" t="n"/>
      <c r="F276" s="15" t="n"/>
      <c r="G276" s="15" t="n"/>
      <c r="H276" s="16">
        <f>IF($A276="","",$D276+IF($E276="",0,$E276)+IF($F276="",0,$F276)-IF($G276="",0,$G276))</f>
        <v/>
      </c>
      <c r="I276" s="12" t="n"/>
      <c r="J276" s="12" t="n"/>
      <c r="K276" s="12" t="n"/>
      <c r="L276" s="14" t="n"/>
      <c r="M276" s="12" t="n"/>
      <c r="N276" s="12" t="n"/>
      <c r="O276" s="12" t="n"/>
    </row>
    <row r="277">
      <c r="A277" s="12" t="n"/>
      <c r="B277" s="13">
        <f>IF($A277="","",IFERROR(INDEX(Emp_Names,MATCH($A277,Emp_Codes,0)),"NOT FOUND"))</f>
        <v/>
      </c>
      <c r="C277" s="14" t="n"/>
      <c r="D277" s="15" t="n"/>
      <c r="E277" s="15" t="n"/>
      <c r="F277" s="15" t="n"/>
      <c r="G277" s="15" t="n"/>
      <c r="H277" s="16">
        <f>IF($A277="","",$D277+IF($E277="",0,$E277)+IF($F277="",0,$F277)-IF($G277="",0,$G277))</f>
        <v/>
      </c>
      <c r="I277" s="12" t="n"/>
      <c r="J277" s="12" t="n"/>
      <c r="K277" s="12" t="n"/>
      <c r="L277" s="14" t="n"/>
      <c r="M277" s="12" t="n"/>
      <c r="N277" s="12" t="n"/>
      <c r="O277" s="12" t="n"/>
    </row>
    <row r="278">
      <c r="A278" s="12" t="n"/>
      <c r="B278" s="13">
        <f>IF($A278="","",IFERROR(INDEX(Emp_Names,MATCH($A278,Emp_Codes,0)),"NOT FOUND"))</f>
        <v/>
      </c>
      <c r="C278" s="14" t="n"/>
      <c r="D278" s="15" t="n"/>
      <c r="E278" s="15" t="n"/>
      <c r="F278" s="15" t="n"/>
      <c r="G278" s="15" t="n"/>
      <c r="H278" s="16">
        <f>IF($A278="","",$D278+IF($E278="",0,$E278)+IF($F278="",0,$F278)-IF($G278="",0,$G278))</f>
        <v/>
      </c>
      <c r="I278" s="12" t="n"/>
      <c r="J278" s="12" t="n"/>
      <c r="K278" s="12" t="n"/>
      <c r="L278" s="14" t="n"/>
      <c r="M278" s="12" t="n"/>
      <c r="N278" s="12" t="n"/>
      <c r="O278" s="12" t="n"/>
    </row>
    <row r="279">
      <c r="A279" s="12" t="n"/>
      <c r="B279" s="13">
        <f>IF($A279="","",IFERROR(INDEX(Emp_Names,MATCH($A279,Emp_Codes,0)),"NOT FOUND"))</f>
        <v/>
      </c>
      <c r="C279" s="14" t="n"/>
      <c r="D279" s="15" t="n"/>
      <c r="E279" s="15" t="n"/>
      <c r="F279" s="15" t="n"/>
      <c r="G279" s="15" t="n"/>
      <c r="H279" s="16">
        <f>IF($A279="","",$D279+IF($E279="",0,$E279)+IF($F279="",0,$F279)-IF($G279="",0,$G279))</f>
        <v/>
      </c>
      <c r="I279" s="12" t="n"/>
      <c r="J279" s="12" t="n"/>
      <c r="K279" s="12" t="n"/>
      <c r="L279" s="14" t="n"/>
      <c r="M279" s="12" t="n"/>
      <c r="N279" s="12" t="n"/>
      <c r="O279" s="12" t="n"/>
    </row>
    <row r="280">
      <c r="A280" s="12" t="n"/>
      <c r="B280" s="13">
        <f>IF($A280="","",IFERROR(INDEX(Emp_Names,MATCH($A280,Emp_Codes,0)),"NOT FOUND"))</f>
        <v/>
      </c>
      <c r="C280" s="14" t="n"/>
      <c r="D280" s="15" t="n"/>
      <c r="E280" s="15" t="n"/>
      <c r="F280" s="15" t="n"/>
      <c r="G280" s="15" t="n"/>
      <c r="H280" s="16">
        <f>IF($A280="","",$D280+IF($E280="",0,$E280)+IF($F280="",0,$F280)-IF($G280="",0,$G280))</f>
        <v/>
      </c>
      <c r="I280" s="12" t="n"/>
      <c r="J280" s="12" t="n"/>
      <c r="K280" s="12" t="n"/>
      <c r="L280" s="14" t="n"/>
      <c r="M280" s="12" t="n"/>
      <c r="N280" s="12" t="n"/>
      <c r="O280" s="12" t="n"/>
    </row>
    <row r="281">
      <c r="A281" s="12" t="n"/>
      <c r="B281" s="13">
        <f>IF($A281="","",IFERROR(INDEX(Emp_Names,MATCH($A281,Emp_Codes,0)),"NOT FOUND"))</f>
        <v/>
      </c>
      <c r="C281" s="14" t="n"/>
      <c r="D281" s="15" t="n"/>
      <c r="E281" s="15" t="n"/>
      <c r="F281" s="15" t="n"/>
      <c r="G281" s="15" t="n"/>
      <c r="H281" s="16">
        <f>IF($A281="","",$D281+IF($E281="",0,$E281)+IF($F281="",0,$F281)-IF($G281="",0,$G281))</f>
        <v/>
      </c>
      <c r="I281" s="12" t="n"/>
      <c r="J281" s="12" t="n"/>
      <c r="K281" s="12" t="n"/>
      <c r="L281" s="14" t="n"/>
      <c r="M281" s="12" t="n"/>
      <c r="N281" s="12" t="n"/>
      <c r="O281" s="12" t="n"/>
    </row>
    <row r="282">
      <c r="A282" s="12" t="n"/>
      <c r="B282" s="13">
        <f>IF($A282="","",IFERROR(INDEX(Emp_Names,MATCH($A282,Emp_Codes,0)),"NOT FOUND"))</f>
        <v/>
      </c>
      <c r="C282" s="14" t="n"/>
      <c r="D282" s="15" t="n"/>
      <c r="E282" s="15" t="n"/>
      <c r="F282" s="15" t="n"/>
      <c r="G282" s="15" t="n"/>
      <c r="H282" s="16">
        <f>IF($A282="","",$D282+IF($E282="",0,$E282)+IF($F282="",0,$F282)-IF($G282="",0,$G282))</f>
        <v/>
      </c>
      <c r="I282" s="12" t="n"/>
      <c r="J282" s="12" t="n"/>
      <c r="K282" s="12" t="n"/>
      <c r="L282" s="14" t="n"/>
      <c r="M282" s="12" t="n"/>
      <c r="N282" s="12" t="n"/>
      <c r="O282" s="12" t="n"/>
    </row>
    <row r="283">
      <c r="A283" s="12" t="n"/>
      <c r="B283" s="13">
        <f>IF($A283="","",IFERROR(INDEX(Emp_Names,MATCH($A283,Emp_Codes,0)),"NOT FOUND"))</f>
        <v/>
      </c>
      <c r="C283" s="14" t="n"/>
      <c r="D283" s="15" t="n"/>
      <c r="E283" s="15" t="n"/>
      <c r="F283" s="15" t="n"/>
      <c r="G283" s="15" t="n"/>
      <c r="H283" s="16">
        <f>IF($A283="","",$D283+IF($E283="",0,$E283)+IF($F283="",0,$F283)-IF($G283="",0,$G283))</f>
        <v/>
      </c>
      <c r="I283" s="12" t="n"/>
      <c r="J283" s="12" t="n"/>
      <c r="K283" s="12" t="n"/>
      <c r="L283" s="14" t="n"/>
      <c r="M283" s="12" t="n"/>
      <c r="N283" s="12" t="n"/>
      <c r="O283" s="12" t="n"/>
    </row>
    <row r="284">
      <c r="A284" s="12" t="n"/>
      <c r="B284" s="13">
        <f>IF($A284="","",IFERROR(INDEX(Emp_Names,MATCH($A284,Emp_Codes,0)),"NOT FOUND"))</f>
        <v/>
      </c>
      <c r="C284" s="14" t="n"/>
      <c r="D284" s="15" t="n"/>
      <c r="E284" s="15" t="n"/>
      <c r="F284" s="15" t="n"/>
      <c r="G284" s="15" t="n"/>
      <c r="H284" s="16">
        <f>IF($A284="","",$D284+IF($E284="",0,$E284)+IF($F284="",0,$F284)-IF($G284="",0,$G284))</f>
        <v/>
      </c>
      <c r="I284" s="12" t="n"/>
      <c r="J284" s="12" t="n"/>
      <c r="K284" s="12" t="n"/>
      <c r="L284" s="14" t="n"/>
      <c r="M284" s="12" t="n"/>
      <c r="N284" s="12" t="n"/>
      <c r="O284" s="12" t="n"/>
    </row>
    <row r="285">
      <c r="A285" s="12" t="n"/>
      <c r="B285" s="13">
        <f>IF($A285="","",IFERROR(INDEX(Emp_Names,MATCH($A285,Emp_Codes,0)),"NOT FOUND"))</f>
        <v/>
      </c>
      <c r="C285" s="14" t="n"/>
      <c r="D285" s="15" t="n"/>
      <c r="E285" s="15" t="n"/>
      <c r="F285" s="15" t="n"/>
      <c r="G285" s="15" t="n"/>
      <c r="H285" s="16">
        <f>IF($A285="","",$D285+IF($E285="",0,$E285)+IF($F285="",0,$F285)-IF($G285="",0,$G285))</f>
        <v/>
      </c>
      <c r="I285" s="12" t="n"/>
      <c r="J285" s="12" t="n"/>
      <c r="K285" s="12" t="n"/>
      <c r="L285" s="14" t="n"/>
      <c r="M285" s="12" t="n"/>
      <c r="N285" s="12" t="n"/>
      <c r="O285" s="12" t="n"/>
    </row>
    <row r="286">
      <c r="A286" s="12" t="n"/>
      <c r="B286" s="13">
        <f>IF($A286="","",IFERROR(INDEX(Emp_Names,MATCH($A286,Emp_Codes,0)),"NOT FOUND"))</f>
        <v/>
      </c>
      <c r="C286" s="14" t="n"/>
      <c r="D286" s="15" t="n"/>
      <c r="E286" s="15" t="n"/>
      <c r="F286" s="15" t="n"/>
      <c r="G286" s="15" t="n"/>
      <c r="H286" s="16">
        <f>IF($A286="","",$D286+IF($E286="",0,$E286)+IF($F286="",0,$F286)-IF($G286="",0,$G286))</f>
        <v/>
      </c>
      <c r="I286" s="12" t="n"/>
      <c r="J286" s="12" t="n"/>
      <c r="K286" s="12" t="n"/>
      <c r="L286" s="14" t="n"/>
      <c r="M286" s="12" t="n"/>
      <c r="N286" s="12" t="n"/>
      <c r="O286" s="12" t="n"/>
    </row>
    <row r="287">
      <c r="A287" s="12" t="n"/>
      <c r="B287" s="13">
        <f>IF($A287="","",IFERROR(INDEX(Emp_Names,MATCH($A287,Emp_Codes,0)),"NOT FOUND"))</f>
        <v/>
      </c>
      <c r="C287" s="14" t="n"/>
      <c r="D287" s="15" t="n"/>
      <c r="E287" s="15" t="n"/>
      <c r="F287" s="15" t="n"/>
      <c r="G287" s="15" t="n"/>
      <c r="H287" s="16">
        <f>IF($A287="","",$D287+IF($E287="",0,$E287)+IF($F287="",0,$F287)-IF($G287="",0,$G287))</f>
        <v/>
      </c>
      <c r="I287" s="12" t="n"/>
      <c r="J287" s="12" t="n"/>
      <c r="K287" s="12" t="n"/>
      <c r="L287" s="14" t="n"/>
      <c r="M287" s="12" t="n"/>
      <c r="N287" s="12" t="n"/>
      <c r="O287" s="12" t="n"/>
    </row>
    <row r="288">
      <c r="A288" s="12" t="n"/>
      <c r="B288" s="13">
        <f>IF($A288="","",IFERROR(INDEX(Emp_Names,MATCH($A288,Emp_Codes,0)),"NOT FOUND"))</f>
        <v/>
      </c>
      <c r="C288" s="14" t="n"/>
      <c r="D288" s="15" t="n"/>
      <c r="E288" s="15" t="n"/>
      <c r="F288" s="15" t="n"/>
      <c r="G288" s="15" t="n"/>
      <c r="H288" s="16">
        <f>IF($A288="","",$D288+IF($E288="",0,$E288)+IF($F288="",0,$F288)-IF($G288="",0,$G288))</f>
        <v/>
      </c>
      <c r="I288" s="12" t="n"/>
      <c r="J288" s="12" t="n"/>
      <c r="K288" s="12" t="n"/>
      <c r="L288" s="14" t="n"/>
      <c r="M288" s="12" t="n"/>
      <c r="N288" s="12" t="n"/>
      <c r="O288" s="12" t="n"/>
    </row>
    <row r="289">
      <c r="A289" s="12" t="n"/>
      <c r="B289" s="13">
        <f>IF($A289="","",IFERROR(INDEX(Emp_Names,MATCH($A289,Emp_Codes,0)),"NOT FOUND"))</f>
        <v/>
      </c>
      <c r="C289" s="14" t="n"/>
      <c r="D289" s="15" t="n"/>
      <c r="E289" s="15" t="n"/>
      <c r="F289" s="15" t="n"/>
      <c r="G289" s="15" t="n"/>
      <c r="H289" s="16">
        <f>IF($A289="","",$D289+IF($E289="",0,$E289)+IF($F289="",0,$F289)-IF($G289="",0,$G289))</f>
        <v/>
      </c>
      <c r="I289" s="12" t="n"/>
      <c r="J289" s="12" t="n"/>
      <c r="K289" s="12" t="n"/>
      <c r="L289" s="14" t="n"/>
      <c r="M289" s="12" t="n"/>
      <c r="N289" s="12" t="n"/>
      <c r="O289" s="12" t="n"/>
    </row>
    <row r="290">
      <c r="A290" s="12" t="n"/>
      <c r="B290" s="13">
        <f>IF($A290="","",IFERROR(INDEX(Emp_Names,MATCH($A290,Emp_Codes,0)),"NOT FOUND"))</f>
        <v/>
      </c>
      <c r="C290" s="14" t="n"/>
      <c r="D290" s="15" t="n"/>
      <c r="E290" s="15" t="n"/>
      <c r="F290" s="15" t="n"/>
      <c r="G290" s="15" t="n"/>
      <c r="H290" s="16">
        <f>IF($A290="","",$D290+IF($E290="",0,$E290)+IF($F290="",0,$F290)-IF($G290="",0,$G290))</f>
        <v/>
      </c>
      <c r="I290" s="12" t="n"/>
      <c r="J290" s="12" t="n"/>
      <c r="K290" s="12" t="n"/>
      <c r="L290" s="14" t="n"/>
      <c r="M290" s="12" t="n"/>
      <c r="N290" s="12" t="n"/>
      <c r="O290" s="12" t="n"/>
    </row>
    <row r="291">
      <c r="A291" s="12" t="n"/>
      <c r="B291" s="13">
        <f>IF($A291="","",IFERROR(INDEX(Emp_Names,MATCH($A291,Emp_Codes,0)),"NOT FOUND"))</f>
        <v/>
      </c>
      <c r="C291" s="14" t="n"/>
      <c r="D291" s="15" t="n"/>
      <c r="E291" s="15" t="n"/>
      <c r="F291" s="15" t="n"/>
      <c r="G291" s="15" t="n"/>
      <c r="H291" s="16">
        <f>IF($A291="","",$D291+IF($E291="",0,$E291)+IF($F291="",0,$F291)-IF($G291="",0,$G291))</f>
        <v/>
      </c>
      <c r="I291" s="12" t="n"/>
      <c r="J291" s="12" t="n"/>
      <c r="K291" s="12" t="n"/>
      <c r="L291" s="14" t="n"/>
      <c r="M291" s="12" t="n"/>
      <c r="N291" s="12" t="n"/>
      <c r="O291" s="12" t="n"/>
    </row>
    <row r="292">
      <c r="A292" s="12" t="n"/>
      <c r="B292" s="13">
        <f>IF($A292="","",IFERROR(INDEX(Emp_Names,MATCH($A292,Emp_Codes,0)),"NOT FOUND"))</f>
        <v/>
      </c>
      <c r="C292" s="14" t="n"/>
      <c r="D292" s="15" t="n"/>
      <c r="E292" s="15" t="n"/>
      <c r="F292" s="15" t="n"/>
      <c r="G292" s="15" t="n"/>
      <c r="H292" s="16">
        <f>IF($A292="","",$D292+IF($E292="",0,$E292)+IF($F292="",0,$F292)-IF($G292="",0,$G292))</f>
        <v/>
      </c>
      <c r="I292" s="12" t="n"/>
      <c r="J292" s="12" t="n"/>
      <c r="K292" s="12" t="n"/>
      <c r="L292" s="14" t="n"/>
      <c r="M292" s="12" t="n"/>
      <c r="N292" s="12" t="n"/>
      <c r="O292" s="12" t="n"/>
    </row>
    <row r="293">
      <c r="A293" s="12" t="n"/>
      <c r="B293" s="13">
        <f>IF($A293="","",IFERROR(INDEX(Emp_Names,MATCH($A293,Emp_Codes,0)),"NOT FOUND"))</f>
        <v/>
      </c>
      <c r="C293" s="14" t="n"/>
      <c r="D293" s="15" t="n"/>
      <c r="E293" s="15" t="n"/>
      <c r="F293" s="15" t="n"/>
      <c r="G293" s="15" t="n"/>
      <c r="H293" s="16">
        <f>IF($A293="","",$D293+IF($E293="",0,$E293)+IF($F293="",0,$F293)-IF($G293="",0,$G293))</f>
        <v/>
      </c>
      <c r="I293" s="12" t="n"/>
      <c r="J293" s="12" t="n"/>
      <c r="K293" s="12" t="n"/>
      <c r="L293" s="14" t="n"/>
      <c r="M293" s="12" t="n"/>
      <c r="N293" s="12" t="n"/>
      <c r="O293" s="12" t="n"/>
    </row>
    <row r="294">
      <c r="A294" s="12" t="n"/>
      <c r="B294" s="13">
        <f>IF($A294="","",IFERROR(INDEX(Emp_Names,MATCH($A294,Emp_Codes,0)),"NOT FOUND"))</f>
        <v/>
      </c>
      <c r="C294" s="14" t="n"/>
      <c r="D294" s="15" t="n"/>
      <c r="E294" s="15" t="n"/>
      <c r="F294" s="15" t="n"/>
      <c r="G294" s="15" t="n"/>
      <c r="H294" s="16">
        <f>IF($A294="","",$D294+IF($E294="",0,$E294)+IF($F294="",0,$F294)-IF($G294="",0,$G294))</f>
        <v/>
      </c>
      <c r="I294" s="12" t="n"/>
      <c r="J294" s="12" t="n"/>
      <c r="K294" s="12" t="n"/>
      <c r="L294" s="14" t="n"/>
      <c r="M294" s="12" t="n"/>
      <c r="N294" s="12" t="n"/>
      <c r="O294" s="12" t="n"/>
    </row>
    <row r="295">
      <c r="A295" s="12" t="n"/>
      <c r="B295" s="13">
        <f>IF($A295="","",IFERROR(INDEX(Emp_Names,MATCH($A295,Emp_Codes,0)),"NOT FOUND"))</f>
        <v/>
      </c>
      <c r="C295" s="14" t="n"/>
      <c r="D295" s="15" t="n"/>
      <c r="E295" s="15" t="n"/>
      <c r="F295" s="15" t="n"/>
      <c r="G295" s="15" t="n"/>
      <c r="H295" s="16">
        <f>IF($A295="","",$D295+IF($E295="",0,$E295)+IF($F295="",0,$F295)-IF($G295="",0,$G295))</f>
        <v/>
      </c>
      <c r="I295" s="12" t="n"/>
      <c r="J295" s="12" t="n"/>
      <c r="K295" s="12" t="n"/>
      <c r="L295" s="14" t="n"/>
      <c r="M295" s="12" t="n"/>
      <c r="N295" s="12" t="n"/>
      <c r="O295" s="12" t="n"/>
    </row>
    <row r="296">
      <c r="A296" s="12" t="n"/>
      <c r="B296" s="13">
        <f>IF($A296="","",IFERROR(INDEX(Emp_Names,MATCH($A296,Emp_Codes,0)),"NOT FOUND"))</f>
        <v/>
      </c>
      <c r="C296" s="14" t="n"/>
      <c r="D296" s="15" t="n"/>
      <c r="E296" s="15" t="n"/>
      <c r="F296" s="15" t="n"/>
      <c r="G296" s="15" t="n"/>
      <c r="H296" s="16">
        <f>IF($A296="","",$D296+IF($E296="",0,$E296)+IF($F296="",0,$F296)-IF($G296="",0,$G296))</f>
        <v/>
      </c>
      <c r="I296" s="12" t="n"/>
      <c r="J296" s="12" t="n"/>
      <c r="K296" s="12" t="n"/>
      <c r="L296" s="14" t="n"/>
      <c r="M296" s="12" t="n"/>
      <c r="N296" s="12" t="n"/>
      <c r="O296" s="12" t="n"/>
    </row>
    <row r="297">
      <c r="A297" s="12" t="n"/>
      <c r="B297" s="13">
        <f>IF($A297="","",IFERROR(INDEX(Emp_Names,MATCH($A297,Emp_Codes,0)),"NOT FOUND"))</f>
        <v/>
      </c>
      <c r="C297" s="14" t="n"/>
      <c r="D297" s="15" t="n"/>
      <c r="E297" s="15" t="n"/>
      <c r="F297" s="15" t="n"/>
      <c r="G297" s="15" t="n"/>
      <c r="H297" s="16">
        <f>IF($A297="","",$D297+IF($E297="",0,$E297)+IF($F297="",0,$F297)-IF($G297="",0,$G297))</f>
        <v/>
      </c>
      <c r="I297" s="12" t="n"/>
      <c r="J297" s="12" t="n"/>
      <c r="K297" s="12" t="n"/>
      <c r="L297" s="14" t="n"/>
      <c r="M297" s="12" t="n"/>
      <c r="N297" s="12" t="n"/>
      <c r="O297" s="12" t="n"/>
    </row>
    <row r="298">
      <c r="A298" s="12" t="n"/>
      <c r="B298" s="13">
        <f>IF($A298="","",IFERROR(INDEX(Emp_Names,MATCH($A298,Emp_Codes,0)),"NOT FOUND"))</f>
        <v/>
      </c>
      <c r="C298" s="14" t="n"/>
      <c r="D298" s="15" t="n"/>
      <c r="E298" s="15" t="n"/>
      <c r="F298" s="15" t="n"/>
      <c r="G298" s="15" t="n"/>
      <c r="H298" s="16">
        <f>IF($A298="","",$D298+IF($E298="",0,$E298)+IF($F298="",0,$F298)-IF($G298="",0,$G298))</f>
        <v/>
      </c>
      <c r="I298" s="12" t="n"/>
      <c r="J298" s="12" t="n"/>
      <c r="K298" s="12" t="n"/>
      <c r="L298" s="14" t="n"/>
      <c r="M298" s="12" t="n"/>
      <c r="N298" s="12" t="n"/>
      <c r="O298" s="12" t="n"/>
    </row>
    <row r="299">
      <c r="A299" s="12" t="n"/>
      <c r="B299" s="13">
        <f>IF($A299="","",IFERROR(INDEX(Emp_Names,MATCH($A299,Emp_Codes,0)),"NOT FOUND"))</f>
        <v/>
      </c>
      <c r="C299" s="14" t="n"/>
      <c r="D299" s="15" t="n"/>
      <c r="E299" s="15" t="n"/>
      <c r="F299" s="15" t="n"/>
      <c r="G299" s="15" t="n"/>
      <c r="H299" s="16">
        <f>IF($A299="","",$D299+IF($E299="",0,$E299)+IF($F299="",0,$F299)-IF($G299="",0,$G299))</f>
        <v/>
      </c>
      <c r="I299" s="12" t="n"/>
      <c r="J299" s="12" t="n"/>
      <c r="K299" s="12" t="n"/>
      <c r="L299" s="14" t="n"/>
      <c r="M299" s="12" t="n"/>
      <c r="N299" s="12" t="n"/>
      <c r="O299" s="12" t="n"/>
    </row>
    <row r="300">
      <c r="A300" s="12" t="n"/>
      <c r="B300" s="13">
        <f>IF($A300="","",IFERROR(INDEX(Emp_Names,MATCH($A300,Emp_Codes,0)),"NOT FOUND"))</f>
        <v/>
      </c>
      <c r="C300" s="14" t="n"/>
      <c r="D300" s="15" t="n"/>
      <c r="E300" s="15" t="n"/>
      <c r="F300" s="15" t="n"/>
      <c r="G300" s="15" t="n"/>
      <c r="H300" s="16">
        <f>IF($A300="","",$D300+IF($E300="",0,$E300)+IF($F300="",0,$F300)-IF($G300="",0,$G300))</f>
        <v/>
      </c>
      <c r="I300" s="12" t="n"/>
      <c r="J300" s="12" t="n"/>
      <c r="K300" s="12" t="n"/>
      <c r="L300" s="14" t="n"/>
      <c r="M300" s="12" t="n"/>
      <c r="N300" s="12" t="n"/>
      <c r="O300" s="12" t="n"/>
    </row>
    <row r="301">
      <c r="A301" s="12" t="n"/>
      <c r="B301" s="13">
        <f>IF($A301="","",IFERROR(INDEX(Emp_Names,MATCH($A301,Emp_Codes,0)),"NOT FOUND"))</f>
        <v/>
      </c>
      <c r="C301" s="14" t="n"/>
      <c r="D301" s="15" t="n"/>
      <c r="E301" s="15" t="n"/>
      <c r="F301" s="15" t="n"/>
      <c r="G301" s="15" t="n"/>
      <c r="H301" s="16">
        <f>IF($A301="","",$D301+IF($E301="",0,$E301)+IF($F301="",0,$F301)-IF($G301="",0,$G301))</f>
        <v/>
      </c>
      <c r="I301" s="12" t="n"/>
      <c r="J301" s="12" t="n"/>
      <c r="K301" s="12" t="n"/>
      <c r="L301" s="14" t="n"/>
      <c r="M301" s="12" t="n"/>
      <c r="N301" s="12" t="n"/>
      <c r="O301" s="12" t="n"/>
    </row>
    <row r="302">
      <c r="A302" s="12" t="n"/>
      <c r="B302" s="13">
        <f>IF($A302="","",IFERROR(INDEX(Emp_Names,MATCH($A302,Emp_Codes,0)),"NOT FOUND"))</f>
        <v/>
      </c>
      <c r="C302" s="14" t="n"/>
      <c r="D302" s="15" t="n"/>
      <c r="E302" s="15" t="n"/>
      <c r="F302" s="15" t="n"/>
      <c r="G302" s="15" t="n"/>
      <c r="H302" s="16">
        <f>IF($A302="","",$D302+IF($E302="",0,$E302)+IF($F302="",0,$F302)-IF($G302="",0,$G302))</f>
        <v/>
      </c>
      <c r="I302" s="12" t="n"/>
      <c r="J302" s="12" t="n"/>
      <c r="K302" s="12" t="n"/>
      <c r="L302" s="14" t="n"/>
      <c r="M302" s="12" t="n"/>
      <c r="N302" s="12" t="n"/>
      <c r="O302" s="12" t="n"/>
    </row>
    <row r="303">
      <c r="A303" s="12" t="n"/>
      <c r="B303" s="13">
        <f>IF($A303="","",IFERROR(INDEX(Emp_Names,MATCH($A303,Emp_Codes,0)),"NOT FOUND"))</f>
        <v/>
      </c>
      <c r="C303" s="14" t="n"/>
      <c r="D303" s="15" t="n"/>
      <c r="E303" s="15" t="n"/>
      <c r="F303" s="15" t="n"/>
      <c r="G303" s="15" t="n"/>
      <c r="H303" s="16">
        <f>IF($A303="","",$D303+IF($E303="",0,$E303)+IF($F303="",0,$F303)-IF($G303="",0,$G303))</f>
        <v/>
      </c>
      <c r="I303" s="12" t="n"/>
      <c r="J303" s="12" t="n"/>
      <c r="K303" s="12" t="n"/>
      <c r="L303" s="14" t="n"/>
      <c r="M303" s="12" t="n"/>
      <c r="N303" s="12" t="n"/>
      <c r="O303" s="12" t="n"/>
    </row>
    <row r="304">
      <c r="A304" s="12" t="n"/>
      <c r="B304" s="13">
        <f>IF($A304="","",IFERROR(INDEX(Emp_Names,MATCH($A304,Emp_Codes,0)),"NOT FOUND"))</f>
        <v/>
      </c>
      <c r="C304" s="14" t="n"/>
      <c r="D304" s="15" t="n"/>
      <c r="E304" s="15" t="n"/>
      <c r="F304" s="15" t="n"/>
      <c r="G304" s="15" t="n"/>
      <c r="H304" s="16">
        <f>IF($A304="","",$D304+IF($E304="",0,$E304)+IF($F304="",0,$F304)-IF($G304="",0,$G304))</f>
        <v/>
      </c>
      <c r="I304" s="12" t="n"/>
      <c r="J304" s="12" t="n"/>
      <c r="K304" s="12" t="n"/>
      <c r="L304" s="14" t="n"/>
      <c r="M304" s="12" t="n"/>
      <c r="N304" s="12" t="n"/>
      <c r="O304" s="12" t="n"/>
    </row>
    <row r="305">
      <c r="A305" s="12" t="n"/>
      <c r="B305" s="13">
        <f>IF($A305="","",IFERROR(INDEX(Emp_Names,MATCH($A305,Emp_Codes,0)),"NOT FOUND"))</f>
        <v/>
      </c>
      <c r="C305" s="14" t="n"/>
      <c r="D305" s="15" t="n"/>
      <c r="E305" s="15" t="n"/>
      <c r="F305" s="15" t="n"/>
      <c r="G305" s="15" t="n"/>
      <c r="H305" s="16">
        <f>IF($A305="","",$D305+IF($E305="",0,$E305)+IF($F305="",0,$F305)-IF($G305="",0,$G305))</f>
        <v/>
      </c>
      <c r="I305" s="12" t="n"/>
      <c r="J305" s="12" t="n"/>
      <c r="K305" s="12" t="n"/>
      <c r="L305" s="14" t="n"/>
      <c r="M305" s="12" t="n"/>
      <c r="N305" s="12" t="n"/>
      <c r="O305" s="12" t="n"/>
    </row>
    <row r="306">
      <c r="A306" s="12" t="n"/>
      <c r="B306" s="13">
        <f>IF($A306="","",IFERROR(INDEX(Emp_Names,MATCH($A306,Emp_Codes,0)),"NOT FOUND"))</f>
        <v/>
      </c>
      <c r="C306" s="14" t="n"/>
      <c r="D306" s="15" t="n"/>
      <c r="E306" s="15" t="n"/>
      <c r="F306" s="15" t="n"/>
      <c r="G306" s="15" t="n"/>
      <c r="H306" s="16">
        <f>IF($A306="","",$D306+IF($E306="",0,$E306)+IF($F306="",0,$F306)-IF($G306="",0,$G306))</f>
        <v/>
      </c>
      <c r="I306" s="12" t="n"/>
      <c r="J306" s="12" t="n"/>
      <c r="K306" s="12" t="n"/>
      <c r="L306" s="14" t="n"/>
      <c r="M306" s="12" t="n"/>
      <c r="N306" s="12" t="n"/>
      <c r="O306" s="12" t="n"/>
    </row>
    <row r="307">
      <c r="A307" s="12" t="n"/>
      <c r="B307" s="13">
        <f>IF($A307="","",IFERROR(INDEX(Emp_Names,MATCH($A307,Emp_Codes,0)),"NOT FOUND"))</f>
        <v/>
      </c>
      <c r="C307" s="14" t="n"/>
      <c r="D307" s="15" t="n"/>
      <c r="E307" s="15" t="n"/>
      <c r="F307" s="15" t="n"/>
      <c r="G307" s="15" t="n"/>
      <c r="H307" s="16">
        <f>IF($A307="","",$D307+IF($E307="",0,$E307)+IF($F307="",0,$F307)-IF($G307="",0,$G307))</f>
        <v/>
      </c>
      <c r="I307" s="12" t="n"/>
      <c r="J307" s="12" t="n"/>
      <c r="K307" s="12" t="n"/>
      <c r="L307" s="14" t="n"/>
      <c r="M307" s="12" t="n"/>
      <c r="N307" s="12" t="n"/>
      <c r="O307" s="12" t="n"/>
    </row>
    <row r="308">
      <c r="A308" s="12" t="n"/>
      <c r="B308" s="13">
        <f>IF($A308="","",IFERROR(INDEX(Emp_Names,MATCH($A308,Emp_Codes,0)),"NOT FOUND"))</f>
        <v/>
      </c>
      <c r="C308" s="14" t="n"/>
      <c r="D308" s="15" t="n"/>
      <c r="E308" s="15" t="n"/>
      <c r="F308" s="15" t="n"/>
      <c r="G308" s="15" t="n"/>
      <c r="H308" s="16">
        <f>IF($A308="","",$D308+IF($E308="",0,$E308)+IF($F308="",0,$F308)-IF($G308="",0,$G308))</f>
        <v/>
      </c>
      <c r="I308" s="12" t="n"/>
      <c r="J308" s="12" t="n"/>
      <c r="K308" s="12" t="n"/>
      <c r="L308" s="14" t="n"/>
      <c r="M308" s="12" t="n"/>
      <c r="N308" s="12" t="n"/>
      <c r="O308" s="12" t="n"/>
    </row>
    <row r="309">
      <c r="A309" s="12" t="n"/>
      <c r="B309" s="13">
        <f>IF($A309="","",IFERROR(INDEX(Emp_Names,MATCH($A309,Emp_Codes,0)),"NOT FOUND"))</f>
        <v/>
      </c>
      <c r="C309" s="14" t="n"/>
      <c r="D309" s="15" t="n"/>
      <c r="E309" s="15" t="n"/>
      <c r="F309" s="15" t="n"/>
      <c r="G309" s="15" t="n"/>
      <c r="H309" s="16">
        <f>IF($A309="","",$D309+IF($E309="",0,$E309)+IF($F309="",0,$F309)-IF($G309="",0,$G309))</f>
        <v/>
      </c>
      <c r="I309" s="12" t="n"/>
      <c r="J309" s="12" t="n"/>
      <c r="K309" s="12" t="n"/>
      <c r="L309" s="14" t="n"/>
      <c r="M309" s="12" t="n"/>
      <c r="N309" s="12" t="n"/>
      <c r="O309" s="12" t="n"/>
    </row>
    <row r="310">
      <c r="A310" s="12" t="n"/>
      <c r="B310" s="13">
        <f>IF($A310="","",IFERROR(INDEX(Emp_Names,MATCH($A310,Emp_Codes,0)),"NOT FOUND"))</f>
        <v/>
      </c>
      <c r="C310" s="14" t="n"/>
      <c r="D310" s="15" t="n"/>
      <c r="E310" s="15" t="n"/>
      <c r="F310" s="15" t="n"/>
      <c r="G310" s="15" t="n"/>
      <c r="H310" s="16">
        <f>IF($A310="","",$D310+IF($E310="",0,$E310)+IF($F310="",0,$F310)-IF($G310="",0,$G310))</f>
        <v/>
      </c>
      <c r="I310" s="12" t="n"/>
      <c r="J310" s="12" t="n"/>
      <c r="K310" s="12" t="n"/>
      <c r="L310" s="14" t="n"/>
      <c r="M310" s="12" t="n"/>
      <c r="N310" s="12" t="n"/>
      <c r="O310" s="12" t="n"/>
    </row>
    <row r="311">
      <c r="A311" s="12" t="n"/>
      <c r="B311" s="13">
        <f>IF($A311="","",IFERROR(INDEX(Emp_Names,MATCH($A311,Emp_Codes,0)),"NOT FOUND"))</f>
        <v/>
      </c>
      <c r="C311" s="14" t="n"/>
      <c r="D311" s="15" t="n"/>
      <c r="E311" s="15" t="n"/>
      <c r="F311" s="15" t="n"/>
      <c r="G311" s="15" t="n"/>
      <c r="H311" s="16">
        <f>IF($A311="","",$D311+IF($E311="",0,$E311)+IF($F311="",0,$F311)-IF($G311="",0,$G311))</f>
        <v/>
      </c>
      <c r="I311" s="12" t="n"/>
      <c r="J311" s="12" t="n"/>
      <c r="K311" s="12" t="n"/>
      <c r="L311" s="14" t="n"/>
      <c r="M311" s="12" t="n"/>
      <c r="N311" s="12" t="n"/>
      <c r="O311" s="12" t="n"/>
    </row>
    <row r="312">
      <c r="A312" s="12" t="n"/>
      <c r="B312" s="13">
        <f>IF($A312="","",IFERROR(INDEX(Emp_Names,MATCH($A312,Emp_Codes,0)),"NOT FOUND"))</f>
        <v/>
      </c>
      <c r="C312" s="14" t="n"/>
      <c r="D312" s="15" t="n"/>
      <c r="E312" s="15" t="n"/>
      <c r="F312" s="15" t="n"/>
      <c r="G312" s="15" t="n"/>
      <c r="H312" s="16">
        <f>IF($A312="","",$D312+IF($E312="",0,$E312)+IF($F312="",0,$F312)-IF($G312="",0,$G312))</f>
        <v/>
      </c>
      <c r="I312" s="12" t="n"/>
      <c r="J312" s="12" t="n"/>
      <c r="K312" s="12" t="n"/>
      <c r="L312" s="14" t="n"/>
      <c r="M312" s="12" t="n"/>
      <c r="N312" s="12" t="n"/>
      <c r="O312" s="12" t="n"/>
    </row>
    <row r="313">
      <c r="A313" s="12" t="n"/>
      <c r="B313" s="13">
        <f>IF($A313="","",IFERROR(INDEX(Emp_Names,MATCH($A313,Emp_Codes,0)),"NOT FOUND"))</f>
        <v/>
      </c>
      <c r="C313" s="14" t="n"/>
      <c r="D313" s="15" t="n"/>
      <c r="E313" s="15" t="n"/>
      <c r="F313" s="15" t="n"/>
      <c r="G313" s="15" t="n"/>
      <c r="H313" s="16">
        <f>IF($A313="","",$D313+IF($E313="",0,$E313)+IF($F313="",0,$F313)-IF($G313="",0,$G313))</f>
        <v/>
      </c>
      <c r="I313" s="12" t="n"/>
      <c r="J313" s="12" t="n"/>
      <c r="K313" s="12" t="n"/>
      <c r="L313" s="14" t="n"/>
      <c r="M313" s="12" t="n"/>
      <c r="N313" s="12" t="n"/>
      <c r="O313" s="12" t="n"/>
    </row>
    <row r="314">
      <c r="A314" s="12" t="n"/>
      <c r="B314" s="13">
        <f>IF($A314="","",IFERROR(INDEX(Emp_Names,MATCH($A314,Emp_Codes,0)),"NOT FOUND"))</f>
        <v/>
      </c>
      <c r="C314" s="14" t="n"/>
      <c r="D314" s="15" t="n"/>
      <c r="E314" s="15" t="n"/>
      <c r="F314" s="15" t="n"/>
      <c r="G314" s="15" t="n"/>
      <c r="H314" s="16">
        <f>IF($A314="","",$D314+IF($E314="",0,$E314)+IF($F314="",0,$F314)-IF($G314="",0,$G314))</f>
        <v/>
      </c>
      <c r="I314" s="12" t="n"/>
      <c r="J314" s="12" t="n"/>
      <c r="K314" s="12" t="n"/>
      <c r="L314" s="14" t="n"/>
      <c r="M314" s="12" t="n"/>
      <c r="N314" s="12" t="n"/>
      <c r="O314" s="12" t="n"/>
    </row>
    <row r="315">
      <c r="A315" s="12" t="n"/>
      <c r="B315" s="13">
        <f>IF($A315="","",IFERROR(INDEX(Emp_Names,MATCH($A315,Emp_Codes,0)),"NOT FOUND"))</f>
        <v/>
      </c>
      <c r="C315" s="14" t="n"/>
      <c r="D315" s="15" t="n"/>
      <c r="E315" s="15" t="n"/>
      <c r="F315" s="15" t="n"/>
      <c r="G315" s="15" t="n"/>
      <c r="H315" s="16">
        <f>IF($A315="","",$D315+IF($E315="",0,$E315)+IF($F315="",0,$F315)-IF($G315="",0,$G315))</f>
        <v/>
      </c>
      <c r="I315" s="12" t="n"/>
      <c r="J315" s="12" t="n"/>
      <c r="K315" s="12" t="n"/>
      <c r="L315" s="14" t="n"/>
      <c r="M315" s="12" t="n"/>
      <c r="N315" s="12" t="n"/>
      <c r="O315" s="12" t="n"/>
    </row>
    <row r="316">
      <c r="A316" s="12" t="n"/>
      <c r="B316" s="13">
        <f>IF($A316="","",IFERROR(INDEX(Emp_Names,MATCH($A316,Emp_Codes,0)),"NOT FOUND"))</f>
        <v/>
      </c>
      <c r="C316" s="14" t="n"/>
      <c r="D316" s="15" t="n"/>
      <c r="E316" s="15" t="n"/>
      <c r="F316" s="15" t="n"/>
      <c r="G316" s="15" t="n"/>
      <c r="H316" s="16">
        <f>IF($A316="","",$D316+IF($E316="",0,$E316)+IF($F316="",0,$F316)-IF($G316="",0,$G316))</f>
        <v/>
      </c>
      <c r="I316" s="12" t="n"/>
      <c r="J316" s="12" t="n"/>
      <c r="K316" s="12" t="n"/>
      <c r="L316" s="14" t="n"/>
      <c r="M316" s="12" t="n"/>
      <c r="N316" s="12" t="n"/>
      <c r="O316" s="12" t="n"/>
    </row>
    <row r="317">
      <c r="A317" s="12" t="n"/>
      <c r="B317" s="13">
        <f>IF($A317="","",IFERROR(INDEX(Emp_Names,MATCH($A317,Emp_Codes,0)),"NOT FOUND"))</f>
        <v/>
      </c>
      <c r="C317" s="14" t="n"/>
      <c r="D317" s="15" t="n"/>
      <c r="E317" s="15" t="n"/>
      <c r="F317" s="15" t="n"/>
      <c r="G317" s="15" t="n"/>
      <c r="H317" s="16">
        <f>IF($A317="","",$D317+IF($E317="",0,$E317)+IF($F317="",0,$F317)-IF($G317="",0,$G317))</f>
        <v/>
      </c>
      <c r="I317" s="12" t="n"/>
      <c r="J317" s="12" t="n"/>
      <c r="K317" s="12" t="n"/>
      <c r="L317" s="14" t="n"/>
      <c r="M317" s="12" t="n"/>
      <c r="N317" s="12" t="n"/>
      <c r="O317" s="12" t="n"/>
    </row>
    <row r="318">
      <c r="A318" s="12" t="n"/>
      <c r="B318" s="13">
        <f>IF($A318="","",IFERROR(INDEX(Emp_Names,MATCH($A318,Emp_Codes,0)),"NOT FOUND"))</f>
        <v/>
      </c>
      <c r="C318" s="14" t="n"/>
      <c r="D318" s="15" t="n"/>
      <c r="E318" s="15" t="n"/>
      <c r="F318" s="15" t="n"/>
      <c r="G318" s="15" t="n"/>
      <c r="H318" s="16">
        <f>IF($A318="","",$D318+IF($E318="",0,$E318)+IF($F318="",0,$F318)-IF($G318="",0,$G318))</f>
        <v/>
      </c>
      <c r="I318" s="12" t="n"/>
      <c r="J318" s="12" t="n"/>
      <c r="K318" s="12" t="n"/>
      <c r="L318" s="14" t="n"/>
      <c r="M318" s="12" t="n"/>
      <c r="N318" s="12" t="n"/>
      <c r="O318" s="12" t="n"/>
    </row>
    <row r="319">
      <c r="A319" s="12" t="n"/>
      <c r="B319" s="13">
        <f>IF($A319="","",IFERROR(INDEX(Emp_Names,MATCH($A319,Emp_Codes,0)),"NOT FOUND"))</f>
        <v/>
      </c>
      <c r="C319" s="14" t="n"/>
      <c r="D319" s="15" t="n"/>
      <c r="E319" s="15" t="n"/>
      <c r="F319" s="15" t="n"/>
      <c r="G319" s="15" t="n"/>
      <c r="H319" s="16">
        <f>IF($A319="","",$D319+IF($E319="",0,$E319)+IF($F319="",0,$F319)-IF($G319="",0,$G319))</f>
        <v/>
      </c>
      <c r="I319" s="12" t="n"/>
      <c r="J319" s="12" t="n"/>
      <c r="K319" s="12" t="n"/>
      <c r="L319" s="14" t="n"/>
      <c r="M319" s="12" t="n"/>
      <c r="N319" s="12" t="n"/>
      <c r="O319" s="12" t="n"/>
    </row>
    <row r="320">
      <c r="A320" s="12" t="n"/>
      <c r="B320" s="13">
        <f>IF($A320="","",IFERROR(INDEX(Emp_Names,MATCH($A320,Emp_Codes,0)),"NOT FOUND"))</f>
        <v/>
      </c>
      <c r="C320" s="14" t="n"/>
      <c r="D320" s="15" t="n"/>
      <c r="E320" s="15" t="n"/>
      <c r="F320" s="15" t="n"/>
      <c r="G320" s="15" t="n"/>
      <c r="H320" s="16">
        <f>IF($A320="","",$D320+IF($E320="",0,$E320)+IF($F320="",0,$F320)-IF($G320="",0,$G320))</f>
        <v/>
      </c>
      <c r="I320" s="12" t="n"/>
      <c r="J320" s="12" t="n"/>
      <c r="K320" s="12" t="n"/>
      <c r="L320" s="14" t="n"/>
      <c r="M320" s="12" t="n"/>
      <c r="N320" s="12" t="n"/>
      <c r="O320" s="12" t="n"/>
    </row>
    <row r="321">
      <c r="A321" s="12" t="n"/>
      <c r="B321" s="13">
        <f>IF($A321="","",IFERROR(INDEX(Emp_Names,MATCH($A321,Emp_Codes,0)),"NOT FOUND"))</f>
        <v/>
      </c>
      <c r="C321" s="14" t="n"/>
      <c r="D321" s="15" t="n"/>
      <c r="E321" s="15" t="n"/>
      <c r="F321" s="15" t="n"/>
      <c r="G321" s="15" t="n"/>
      <c r="H321" s="16">
        <f>IF($A321="","",$D321+IF($E321="",0,$E321)+IF($F321="",0,$F321)-IF($G321="",0,$G321))</f>
        <v/>
      </c>
      <c r="I321" s="12" t="n"/>
      <c r="J321" s="12" t="n"/>
      <c r="K321" s="12" t="n"/>
      <c r="L321" s="14" t="n"/>
      <c r="M321" s="12" t="n"/>
      <c r="N321" s="12" t="n"/>
      <c r="O321" s="12" t="n"/>
    </row>
    <row r="322">
      <c r="A322" s="12" t="n"/>
      <c r="B322" s="13">
        <f>IF($A322="","",IFERROR(INDEX(Emp_Names,MATCH($A322,Emp_Codes,0)),"NOT FOUND"))</f>
        <v/>
      </c>
      <c r="C322" s="14" t="n"/>
      <c r="D322" s="15" t="n"/>
      <c r="E322" s="15" t="n"/>
      <c r="F322" s="15" t="n"/>
      <c r="G322" s="15" t="n"/>
      <c r="H322" s="16">
        <f>IF($A322="","",$D322+IF($E322="",0,$E322)+IF($F322="",0,$F322)-IF($G322="",0,$G322))</f>
        <v/>
      </c>
      <c r="I322" s="12" t="n"/>
      <c r="J322" s="12" t="n"/>
      <c r="K322" s="12" t="n"/>
      <c r="L322" s="14" t="n"/>
      <c r="M322" s="12" t="n"/>
      <c r="N322" s="12" t="n"/>
      <c r="O322" s="12" t="n"/>
    </row>
    <row r="323">
      <c r="A323" s="12" t="n"/>
      <c r="B323" s="13">
        <f>IF($A323="","",IFERROR(INDEX(Emp_Names,MATCH($A323,Emp_Codes,0)),"NOT FOUND"))</f>
        <v/>
      </c>
      <c r="C323" s="14" t="n"/>
      <c r="D323" s="15" t="n"/>
      <c r="E323" s="15" t="n"/>
      <c r="F323" s="15" t="n"/>
      <c r="G323" s="15" t="n"/>
      <c r="H323" s="16">
        <f>IF($A323="","",$D323+IF($E323="",0,$E323)+IF($F323="",0,$F323)-IF($G323="",0,$G323))</f>
        <v/>
      </c>
      <c r="I323" s="12" t="n"/>
      <c r="J323" s="12" t="n"/>
      <c r="K323" s="12" t="n"/>
      <c r="L323" s="14" t="n"/>
      <c r="M323" s="12" t="n"/>
      <c r="N323" s="12" t="n"/>
      <c r="O323" s="12" t="n"/>
    </row>
    <row r="324">
      <c r="A324" s="12" t="n"/>
      <c r="B324" s="13">
        <f>IF($A324="","",IFERROR(INDEX(Emp_Names,MATCH($A324,Emp_Codes,0)),"NOT FOUND"))</f>
        <v/>
      </c>
      <c r="C324" s="14" t="n"/>
      <c r="D324" s="15" t="n"/>
      <c r="E324" s="15" t="n"/>
      <c r="F324" s="15" t="n"/>
      <c r="G324" s="15" t="n"/>
      <c r="H324" s="16">
        <f>IF($A324="","",$D324+IF($E324="",0,$E324)+IF($F324="",0,$F324)-IF($G324="",0,$G324))</f>
        <v/>
      </c>
      <c r="I324" s="12" t="n"/>
      <c r="J324" s="12" t="n"/>
      <c r="K324" s="12" t="n"/>
      <c r="L324" s="14" t="n"/>
      <c r="M324" s="12" t="n"/>
      <c r="N324" s="12" t="n"/>
      <c r="O324" s="12" t="n"/>
    </row>
    <row r="325">
      <c r="A325" s="12" t="n"/>
      <c r="B325" s="13">
        <f>IF($A325="","",IFERROR(INDEX(Emp_Names,MATCH($A325,Emp_Codes,0)),"NOT FOUND"))</f>
        <v/>
      </c>
      <c r="C325" s="14" t="n"/>
      <c r="D325" s="15" t="n"/>
      <c r="E325" s="15" t="n"/>
      <c r="F325" s="15" t="n"/>
      <c r="G325" s="15" t="n"/>
      <c r="H325" s="16">
        <f>IF($A325="","",$D325+IF($E325="",0,$E325)+IF($F325="",0,$F325)-IF($G325="",0,$G325))</f>
        <v/>
      </c>
      <c r="I325" s="12" t="n"/>
      <c r="J325" s="12" t="n"/>
      <c r="K325" s="12" t="n"/>
      <c r="L325" s="14" t="n"/>
      <c r="M325" s="12" t="n"/>
      <c r="N325" s="12" t="n"/>
      <c r="O325" s="12" t="n"/>
    </row>
    <row r="326">
      <c r="A326" s="12" t="n"/>
      <c r="B326" s="13">
        <f>IF($A326="","",IFERROR(INDEX(Emp_Names,MATCH($A326,Emp_Codes,0)),"NOT FOUND"))</f>
        <v/>
      </c>
      <c r="C326" s="14" t="n"/>
      <c r="D326" s="15" t="n"/>
      <c r="E326" s="15" t="n"/>
      <c r="F326" s="15" t="n"/>
      <c r="G326" s="15" t="n"/>
      <c r="H326" s="16">
        <f>IF($A326="","",$D326+IF($E326="",0,$E326)+IF($F326="",0,$F326)-IF($G326="",0,$G326))</f>
        <v/>
      </c>
      <c r="I326" s="12" t="n"/>
      <c r="J326" s="12" t="n"/>
      <c r="K326" s="12" t="n"/>
      <c r="L326" s="14" t="n"/>
      <c r="M326" s="12" t="n"/>
      <c r="N326" s="12" t="n"/>
      <c r="O326" s="12" t="n"/>
    </row>
    <row r="327">
      <c r="A327" s="12" t="n"/>
      <c r="B327" s="13">
        <f>IF($A327="","",IFERROR(INDEX(Emp_Names,MATCH($A327,Emp_Codes,0)),"NOT FOUND"))</f>
        <v/>
      </c>
      <c r="C327" s="14" t="n"/>
      <c r="D327" s="15" t="n"/>
      <c r="E327" s="15" t="n"/>
      <c r="F327" s="15" t="n"/>
      <c r="G327" s="15" t="n"/>
      <c r="H327" s="16">
        <f>IF($A327="","",$D327+IF($E327="",0,$E327)+IF($F327="",0,$F327)-IF($G327="",0,$G327))</f>
        <v/>
      </c>
      <c r="I327" s="12" t="n"/>
      <c r="J327" s="12" t="n"/>
      <c r="K327" s="12" t="n"/>
      <c r="L327" s="14" t="n"/>
      <c r="M327" s="12" t="n"/>
      <c r="N327" s="12" t="n"/>
      <c r="O327" s="12" t="n"/>
    </row>
    <row r="328">
      <c r="A328" s="12" t="n"/>
      <c r="B328" s="13">
        <f>IF($A328="","",IFERROR(INDEX(Emp_Names,MATCH($A328,Emp_Codes,0)),"NOT FOUND"))</f>
        <v/>
      </c>
      <c r="C328" s="14" t="n"/>
      <c r="D328" s="15" t="n"/>
      <c r="E328" s="15" t="n"/>
      <c r="F328" s="15" t="n"/>
      <c r="G328" s="15" t="n"/>
      <c r="H328" s="16">
        <f>IF($A328="","",$D328+IF($E328="",0,$E328)+IF($F328="",0,$F328)-IF($G328="",0,$G328))</f>
        <v/>
      </c>
      <c r="I328" s="12" t="n"/>
      <c r="J328" s="12" t="n"/>
      <c r="K328" s="12" t="n"/>
      <c r="L328" s="14" t="n"/>
      <c r="M328" s="12" t="n"/>
      <c r="N328" s="12" t="n"/>
      <c r="O328" s="12" t="n"/>
    </row>
    <row r="329">
      <c r="A329" s="12" t="n"/>
      <c r="B329" s="13">
        <f>IF($A329="","",IFERROR(INDEX(Emp_Names,MATCH($A329,Emp_Codes,0)),"NOT FOUND"))</f>
        <v/>
      </c>
      <c r="C329" s="14" t="n"/>
      <c r="D329" s="15" t="n"/>
      <c r="E329" s="15" t="n"/>
      <c r="F329" s="15" t="n"/>
      <c r="G329" s="15" t="n"/>
      <c r="H329" s="16">
        <f>IF($A329="","",$D329+IF($E329="",0,$E329)+IF($F329="",0,$F329)-IF($G329="",0,$G329))</f>
        <v/>
      </c>
      <c r="I329" s="12" t="n"/>
      <c r="J329" s="12" t="n"/>
      <c r="K329" s="12" t="n"/>
      <c r="L329" s="14" t="n"/>
      <c r="M329" s="12" t="n"/>
      <c r="N329" s="12" t="n"/>
      <c r="O329" s="12" t="n"/>
    </row>
    <row r="330">
      <c r="A330" s="12" t="n"/>
      <c r="B330" s="13">
        <f>IF($A330="","",IFERROR(INDEX(Emp_Names,MATCH($A330,Emp_Codes,0)),"NOT FOUND"))</f>
        <v/>
      </c>
      <c r="C330" s="14" t="n"/>
      <c r="D330" s="15" t="n"/>
      <c r="E330" s="15" t="n"/>
      <c r="F330" s="15" t="n"/>
      <c r="G330" s="15" t="n"/>
      <c r="H330" s="16">
        <f>IF($A330="","",$D330+IF($E330="",0,$E330)+IF($F330="",0,$F330)-IF($G330="",0,$G330))</f>
        <v/>
      </c>
      <c r="I330" s="12" t="n"/>
      <c r="J330" s="12" t="n"/>
      <c r="K330" s="12" t="n"/>
      <c r="L330" s="14" t="n"/>
      <c r="M330" s="12" t="n"/>
      <c r="N330" s="12" t="n"/>
      <c r="O330" s="12" t="n"/>
    </row>
    <row r="331">
      <c r="A331" s="12" t="n"/>
      <c r="B331" s="13">
        <f>IF($A331="","",IFERROR(INDEX(Emp_Names,MATCH($A331,Emp_Codes,0)),"NOT FOUND"))</f>
        <v/>
      </c>
      <c r="C331" s="14" t="n"/>
      <c r="D331" s="15" t="n"/>
      <c r="E331" s="15" t="n"/>
      <c r="F331" s="15" t="n"/>
      <c r="G331" s="15" t="n"/>
      <c r="H331" s="16">
        <f>IF($A331="","",$D331+IF($E331="",0,$E331)+IF($F331="",0,$F331)-IF($G331="",0,$G331))</f>
        <v/>
      </c>
      <c r="I331" s="12" t="n"/>
      <c r="J331" s="12" t="n"/>
      <c r="K331" s="12" t="n"/>
      <c r="L331" s="14" t="n"/>
      <c r="M331" s="12" t="n"/>
      <c r="N331" s="12" t="n"/>
      <c r="O331" s="12" t="n"/>
    </row>
    <row r="332">
      <c r="A332" s="12" t="n"/>
      <c r="B332" s="13">
        <f>IF($A332="","",IFERROR(INDEX(Emp_Names,MATCH($A332,Emp_Codes,0)),"NOT FOUND"))</f>
        <v/>
      </c>
      <c r="C332" s="14" t="n"/>
      <c r="D332" s="15" t="n"/>
      <c r="E332" s="15" t="n"/>
      <c r="F332" s="15" t="n"/>
      <c r="G332" s="15" t="n"/>
      <c r="H332" s="16">
        <f>IF($A332="","",$D332+IF($E332="",0,$E332)+IF($F332="",0,$F332)-IF($G332="",0,$G332))</f>
        <v/>
      </c>
      <c r="I332" s="12" t="n"/>
      <c r="J332" s="12" t="n"/>
      <c r="K332" s="12" t="n"/>
      <c r="L332" s="14" t="n"/>
      <c r="M332" s="12" t="n"/>
      <c r="N332" s="12" t="n"/>
      <c r="O332" s="12" t="n"/>
    </row>
    <row r="333">
      <c r="A333" s="12" t="n"/>
      <c r="B333" s="13">
        <f>IF($A333="","",IFERROR(INDEX(Emp_Names,MATCH($A333,Emp_Codes,0)),"NOT FOUND"))</f>
        <v/>
      </c>
      <c r="C333" s="14" t="n"/>
      <c r="D333" s="15" t="n"/>
      <c r="E333" s="15" t="n"/>
      <c r="F333" s="15" t="n"/>
      <c r="G333" s="15" t="n"/>
      <c r="H333" s="16">
        <f>IF($A333="","",$D333+IF($E333="",0,$E333)+IF($F333="",0,$F333)-IF($G333="",0,$G333))</f>
        <v/>
      </c>
      <c r="I333" s="12" t="n"/>
      <c r="J333" s="12" t="n"/>
      <c r="K333" s="12" t="n"/>
      <c r="L333" s="14" t="n"/>
      <c r="M333" s="12" t="n"/>
      <c r="N333" s="12" t="n"/>
      <c r="O333" s="12" t="n"/>
    </row>
    <row r="334">
      <c r="A334" s="12" t="n"/>
      <c r="B334" s="13">
        <f>IF($A334="","",IFERROR(INDEX(Emp_Names,MATCH($A334,Emp_Codes,0)),"NOT FOUND"))</f>
        <v/>
      </c>
      <c r="C334" s="14" t="n"/>
      <c r="D334" s="15" t="n"/>
      <c r="E334" s="15" t="n"/>
      <c r="F334" s="15" t="n"/>
      <c r="G334" s="15" t="n"/>
      <c r="H334" s="16">
        <f>IF($A334="","",$D334+IF($E334="",0,$E334)+IF($F334="",0,$F334)-IF($G334="",0,$G334))</f>
        <v/>
      </c>
      <c r="I334" s="12" t="n"/>
      <c r="J334" s="12" t="n"/>
      <c r="K334" s="12" t="n"/>
      <c r="L334" s="14" t="n"/>
      <c r="M334" s="12" t="n"/>
      <c r="N334" s="12" t="n"/>
      <c r="O334" s="12" t="n"/>
    </row>
    <row r="335">
      <c r="A335" s="12" t="n"/>
      <c r="B335" s="13">
        <f>IF($A335="","",IFERROR(INDEX(Emp_Names,MATCH($A335,Emp_Codes,0)),"NOT FOUND"))</f>
        <v/>
      </c>
      <c r="C335" s="14" t="n"/>
      <c r="D335" s="15" t="n"/>
      <c r="E335" s="15" t="n"/>
      <c r="F335" s="15" t="n"/>
      <c r="G335" s="15" t="n"/>
      <c r="H335" s="16">
        <f>IF($A335="","",$D335+IF($E335="",0,$E335)+IF($F335="",0,$F335)-IF($G335="",0,$G335))</f>
        <v/>
      </c>
      <c r="I335" s="12" t="n"/>
      <c r="J335" s="12" t="n"/>
      <c r="K335" s="12" t="n"/>
      <c r="L335" s="14" t="n"/>
      <c r="M335" s="12" t="n"/>
      <c r="N335" s="12" t="n"/>
      <c r="O335" s="12" t="n"/>
    </row>
    <row r="336">
      <c r="A336" s="12" t="n"/>
      <c r="B336" s="13">
        <f>IF($A336="","",IFERROR(INDEX(Emp_Names,MATCH($A336,Emp_Codes,0)),"NOT FOUND"))</f>
        <v/>
      </c>
      <c r="C336" s="14" t="n"/>
      <c r="D336" s="15" t="n"/>
      <c r="E336" s="15" t="n"/>
      <c r="F336" s="15" t="n"/>
      <c r="G336" s="15" t="n"/>
      <c r="H336" s="16">
        <f>IF($A336="","",$D336+IF($E336="",0,$E336)+IF($F336="",0,$F336)-IF($G336="",0,$G336))</f>
        <v/>
      </c>
      <c r="I336" s="12" t="n"/>
      <c r="J336" s="12" t="n"/>
      <c r="K336" s="12" t="n"/>
      <c r="L336" s="14" t="n"/>
      <c r="M336" s="12" t="n"/>
      <c r="N336" s="12" t="n"/>
      <c r="O336" s="12" t="n"/>
    </row>
    <row r="337">
      <c r="A337" s="12" t="n"/>
      <c r="B337" s="13">
        <f>IF($A337="","",IFERROR(INDEX(Emp_Names,MATCH($A337,Emp_Codes,0)),"NOT FOUND"))</f>
        <v/>
      </c>
      <c r="C337" s="14" t="n"/>
      <c r="D337" s="15" t="n"/>
      <c r="E337" s="15" t="n"/>
      <c r="F337" s="15" t="n"/>
      <c r="G337" s="15" t="n"/>
      <c r="H337" s="16">
        <f>IF($A337="","",$D337+IF($E337="",0,$E337)+IF($F337="",0,$F337)-IF($G337="",0,$G337))</f>
        <v/>
      </c>
      <c r="I337" s="12" t="n"/>
      <c r="J337" s="12" t="n"/>
      <c r="K337" s="12" t="n"/>
      <c r="L337" s="14" t="n"/>
      <c r="M337" s="12" t="n"/>
      <c r="N337" s="12" t="n"/>
      <c r="O337" s="12" t="n"/>
    </row>
    <row r="338">
      <c r="A338" s="12" t="n"/>
      <c r="B338" s="13">
        <f>IF($A338="","",IFERROR(INDEX(Emp_Names,MATCH($A338,Emp_Codes,0)),"NOT FOUND"))</f>
        <v/>
      </c>
      <c r="C338" s="14" t="n"/>
      <c r="D338" s="15" t="n"/>
      <c r="E338" s="15" t="n"/>
      <c r="F338" s="15" t="n"/>
      <c r="G338" s="15" t="n"/>
      <c r="H338" s="16">
        <f>IF($A338="","",$D338+IF($E338="",0,$E338)+IF($F338="",0,$F338)-IF($G338="",0,$G338))</f>
        <v/>
      </c>
      <c r="I338" s="12" t="n"/>
      <c r="J338" s="12" t="n"/>
      <c r="K338" s="12" t="n"/>
      <c r="L338" s="14" t="n"/>
      <c r="M338" s="12" t="n"/>
      <c r="N338" s="12" t="n"/>
      <c r="O338" s="12" t="n"/>
    </row>
    <row r="339">
      <c r="A339" s="12" t="n"/>
      <c r="B339" s="13">
        <f>IF($A339="","",IFERROR(INDEX(Emp_Names,MATCH($A339,Emp_Codes,0)),"NOT FOUND"))</f>
        <v/>
      </c>
      <c r="C339" s="14" t="n"/>
      <c r="D339" s="15" t="n"/>
      <c r="E339" s="15" t="n"/>
      <c r="F339" s="15" t="n"/>
      <c r="G339" s="15" t="n"/>
      <c r="H339" s="16">
        <f>IF($A339="","",$D339+IF($E339="",0,$E339)+IF($F339="",0,$F339)-IF($G339="",0,$G339))</f>
        <v/>
      </c>
      <c r="I339" s="12" t="n"/>
      <c r="J339" s="12" t="n"/>
      <c r="K339" s="12" t="n"/>
      <c r="L339" s="14" t="n"/>
      <c r="M339" s="12" t="n"/>
      <c r="N339" s="12" t="n"/>
      <c r="O339" s="12" t="n"/>
    </row>
    <row r="340">
      <c r="A340" s="12" t="n"/>
      <c r="B340" s="13">
        <f>IF($A340="","",IFERROR(INDEX(Emp_Names,MATCH($A340,Emp_Codes,0)),"NOT FOUND"))</f>
        <v/>
      </c>
      <c r="C340" s="14" t="n"/>
      <c r="D340" s="15" t="n"/>
      <c r="E340" s="15" t="n"/>
      <c r="F340" s="15" t="n"/>
      <c r="G340" s="15" t="n"/>
      <c r="H340" s="16">
        <f>IF($A340="","",$D340+IF($E340="",0,$E340)+IF($F340="",0,$F340)-IF($G340="",0,$G340))</f>
        <v/>
      </c>
      <c r="I340" s="12" t="n"/>
      <c r="J340" s="12" t="n"/>
      <c r="K340" s="12" t="n"/>
      <c r="L340" s="14" t="n"/>
      <c r="M340" s="12" t="n"/>
      <c r="N340" s="12" t="n"/>
      <c r="O340" s="12" t="n"/>
    </row>
    <row r="341">
      <c r="A341" s="12" t="n"/>
      <c r="B341" s="13">
        <f>IF($A341="","",IFERROR(INDEX(Emp_Names,MATCH($A341,Emp_Codes,0)),"NOT FOUND"))</f>
        <v/>
      </c>
      <c r="C341" s="14" t="n"/>
      <c r="D341" s="15" t="n"/>
      <c r="E341" s="15" t="n"/>
      <c r="F341" s="15" t="n"/>
      <c r="G341" s="15" t="n"/>
      <c r="H341" s="16">
        <f>IF($A341="","",$D341+IF($E341="",0,$E341)+IF($F341="",0,$F341)-IF($G341="",0,$G341))</f>
        <v/>
      </c>
      <c r="I341" s="12" t="n"/>
      <c r="J341" s="12" t="n"/>
      <c r="K341" s="12" t="n"/>
      <c r="L341" s="14" t="n"/>
      <c r="M341" s="12" t="n"/>
      <c r="N341" s="12" t="n"/>
      <c r="O341" s="12" t="n"/>
    </row>
    <row r="342">
      <c r="A342" s="12" t="n"/>
      <c r="B342" s="13">
        <f>IF($A342="","",IFERROR(INDEX(Emp_Names,MATCH($A342,Emp_Codes,0)),"NOT FOUND"))</f>
        <v/>
      </c>
      <c r="C342" s="14" t="n"/>
      <c r="D342" s="15" t="n"/>
      <c r="E342" s="15" t="n"/>
      <c r="F342" s="15" t="n"/>
      <c r="G342" s="15" t="n"/>
      <c r="H342" s="16">
        <f>IF($A342="","",$D342+IF($E342="",0,$E342)+IF($F342="",0,$F342)-IF($G342="",0,$G342))</f>
        <v/>
      </c>
      <c r="I342" s="12" t="n"/>
      <c r="J342" s="12" t="n"/>
      <c r="K342" s="12" t="n"/>
      <c r="L342" s="14" t="n"/>
      <c r="M342" s="12" t="n"/>
      <c r="N342" s="12" t="n"/>
      <c r="O342" s="12" t="n"/>
    </row>
    <row r="343">
      <c r="A343" s="12" t="n"/>
      <c r="B343" s="13">
        <f>IF($A343="","",IFERROR(INDEX(Emp_Names,MATCH($A343,Emp_Codes,0)),"NOT FOUND"))</f>
        <v/>
      </c>
      <c r="C343" s="14" t="n"/>
      <c r="D343" s="15" t="n"/>
      <c r="E343" s="15" t="n"/>
      <c r="F343" s="15" t="n"/>
      <c r="G343" s="15" t="n"/>
      <c r="H343" s="16">
        <f>IF($A343="","",$D343+IF($E343="",0,$E343)+IF($F343="",0,$F343)-IF($G343="",0,$G343))</f>
        <v/>
      </c>
      <c r="I343" s="12" t="n"/>
      <c r="J343" s="12" t="n"/>
      <c r="K343" s="12" t="n"/>
      <c r="L343" s="14" t="n"/>
      <c r="M343" s="12" t="n"/>
      <c r="N343" s="12" t="n"/>
      <c r="O343" s="12" t="n"/>
    </row>
    <row r="344">
      <c r="A344" s="12" t="n"/>
      <c r="B344" s="13">
        <f>IF($A344="","",IFERROR(INDEX(Emp_Names,MATCH($A344,Emp_Codes,0)),"NOT FOUND"))</f>
        <v/>
      </c>
      <c r="C344" s="14" t="n"/>
      <c r="D344" s="15" t="n"/>
      <c r="E344" s="15" t="n"/>
      <c r="F344" s="15" t="n"/>
      <c r="G344" s="15" t="n"/>
      <c r="H344" s="16">
        <f>IF($A344="","",$D344+IF($E344="",0,$E344)+IF($F344="",0,$F344)-IF($G344="",0,$G344))</f>
        <v/>
      </c>
      <c r="I344" s="12" t="n"/>
      <c r="J344" s="12" t="n"/>
      <c r="K344" s="12" t="n"/>
      <c r="L344" s="14" t="n"/>
      <c r="M344" s="12" t="n"/>
      <c r="N344" s="12" t="n"/>
      <c r="O344" s="12" t="n"/>
    </row>
    <row r="345">
      <c r="A345" s="12" t="n"/>
      <c r="B345" s="13">
        <f>IF($A345="","",IFERROR(INDEX(Emp_Names,MATCH($A345,Emp_Codes,0)),"NOT FOUND"))</f>
        <v/>
      </c>
      <c r="C345" s="14" t="n"/>
      <c r="D345" s="15" t="n"/>
      <c r="E345" s="15" t="n"/>
      <c r="F345" s="15" t="n"/>
      <c r="G345" s="15" t="n"/>
      <c r="H345" s="16">
        <f>IF($A345="","",$D345+IF($E345="",0,$E345)+IF($F345="",0,$F345)-IF($G345="",0,$G345))</f>
        <v/>
      </c>
      <c r="I345" s="12" t="n"/>
      <c r="J345" s="12" t="n"/>
      <c r="K345" s="12" t="n"/>
      <c r="L345" s="14" t="n"/>
      <c r="M345" s="12" t="n"/>
      <c r="N345" s="12" t="n"/>
      <c r="O345" s="12" t="n"/>
    </row>
    <row r="346">
      <c r="A346" s="12" t="n"/>
      <c r="B346" s="13">
        <f>IF($A346="","",IFERROR(INDEX(Emp_Names,MATCH($A346,Emp_Codes,0)),"NOT FOUND"))</f>
        <v/>
      </c>
      <c r="C346" s="14" t="n"/>
      <c r="D346" s="15" t="n"/>
      <c r="E346" s="15" t="n"/>
      <c r="F346" s="15" t="n"/>
      <c r="G346" s="15" t="n"/>
      <c r="H346" s="16">
        <f>IF($A346="","",$D346+IF($E346="",0,$E346)+IF($F346="",0,$F346)-IF($G346="",0,$G346))</f>
        <v/>
      </c>
      <c r="I346" s="12" t="n"/>
      <c r="J346" s="12" t="n"/>
      <c r="K346" s="12" t="n"/>
      <c r="L346" s="14" t="n"/>
      <c r="M346" s="12" t="n"/>
      <c r="N346" s="12" t="n"/>
      <c r="O346" s="12" t="n"/>
    </row>
    <row r="347">
      <c r="A347" s="12" t="n"/>
      <c r="B347" s="13">
        <f>IF($A347="","",IFERROR(INDEX(Emp_Names,MATCH($A347,Emp_Codes,0)),"NOT FOUND"))</f>
        <v/>
      </c>
      <c r="C347" s="14" t="n"/>
      <c r="D347" s="15" t="n"/>
      <c r="E347" s="15" t="n"/>
      <c r="F347" s="15" t="n"/>
      <c r="G347" s="15" t="n"/>
      <c r="H347" s="16">
        <f>IF($A347="","",$D347+IF($E347="",0,$E347)+IF($F347="",0,$F347)-IF($G347="",0,$G347))</f>
        <v/>
      </c>
      <c r="I347" s="12" t="n"/>
      <c r="J347" s="12" t="n"/>
      <c r="K347" s="12" t="n"/>
      <c r="L347" s="14" t="n"/>
      <c r="M347" s="12" t="n"/>
      <c r="N347" s="12" t="n"/>
      <c r="O347" s="12" t="n"/>
    </row>
    <row r="348">
      <c r="A348" s="12" t="n"/>
      <c r="B348" s="13">
        <f>IF($A348="","",IFERROR(INDEX(Emp_Names,MATCH($A348,Emp_Codes,0)),"NOT FOUND"))</f>
        <v/>
      </c>
      <c r="C348" s="14" t="n"/>
      <c r="D348" s="15" t="n"/>
      <c r="E348" s="15" t="n"/>
      <c r="F348" s="15" t="n"/>
      <c r="G348" s="15" t="n"/>
      <c r="H348" s="16">
        <f>IF($A348="","",$D348+IF($E348="",0,$E348)+IF($F348="",0,$F348)-IF($G348="",0,$G348))</f>
        <v/>
      </c>
      <c r="I348" s="12" t="n"/>
      <c r="J348" s="12" t="n"/>
      <c r="K348" s="12" t="n"/>
      <c r="L348" s="14" t="n"/>
      <c r="M348" s="12" t="n"/>
      <c r="N348" s="12" t="n"/>
      <c r="O348" s="12" t="n"/>
    </row>
    <row r="349">
      <c r="A349" s="12" t="n"/>
      <c r="B349" s="13">
        <f>IF($A349="","",IFERROR(INDEX(Emp_Names,MATCH($A349,Emp_Codes,0)),"NOT FOUND"))</f>
        <v/>
      </c>
      <c r="C349" s="14" t="n"/>
      <c r="D349" s="15" t="n"/>
      <c r="E349" s="15" t="n"/>
      <c r="F349" s="15" t="n"/>
      <c r="G349" s="15" t="n"/>
      <c r="H349" s="16">
        <f>IF($A349="","",$D349+IF($E349="",0,$E349)+IF($F349="",0,$F349)-IF($G349="",0,$G349))</f>
        <v/>
      </c>
      <c r="I349" s="12" t="n"/>
      <c r="J349" s="12" t="n"/>
      <c r="K349" s="12" t="n"/>
      <c r="L349" s="14" t="n"/>
      <c r="M349" s="12" t="n"/>
      <c r="N349" s="12" t="n"/>
      <c r="O349" s="12" t="n"/>
    </row>
    <row r="350">
      <c r="A350" s="12" t="n"/>
      <c r="B350" s="13">
        <f>IF($A350="","",IFERROR(INDEX(Emp_Names,MATCH($A350,Emp_Codes,0)),"NOT FOUND"))</f>
        <v/>
      </c>
      <c r="C350" s="14" t="n"/>
      <c r="D350" s="15" t="n"/>
      <c r="E350" s="15" t="n"/>
      <c r="F350" s="15" t="n"/>
      <c r="G350" s="15" t="n"/>
      <c r="H350" s="16">
        <f>IF($A350="","",$D350+IF($E350="",0,$E350)+IF($F350="",0,$F350)-IF($G350="",0,$G350))</f>
        <v/>
      </c>
      <c r="I350" s="12" t="n"/>
      <c r="J350" s="12" t="n"/>
      <c r="K350" s="12" t="n"/>
      <c r="L350" s="14" t="n"/>
      <c r="M350" s="12" t="n"/>
      <c r="N350" s="12" t="n"/>
      <c r="O350" s="12" t="n"/>
    </row>
    <row r="351">
      <c r="A351" s="12" t="n"/>
      <c r="B351" s="13">
        <f>IF($A351="","",IFERROR(INDEX(Emp_Names,MATCH($A351,Emp_Codes,0)),"NOT FOUND"))</f>
        <v/>
      </c>
      <c r="C351" s="14" t="n"/>
      <c r="D351" s="15" t="n"/>
      <c r="E351" s="15" t="n"/>
      <c r="F351" s="15" t="n"/>
      <c r="G351" s="15" t="n"/>
      <c r="H351" s="16">
        <f>IF($A351="","",$D351+IF($E351="",0,$E351)+IF($F351="",0,$F351)-IF($G351="",0,$G351))</f>
        <v/>
      </c>
      <c r="I351" s="12" t="n"/>
      <c r="J351" s="12" t="n"/>
      <c r="K351" s="12" t="n"/>
      <c r="L351" s="14" t="n"/>
      <c r="M351" s="12" t="n"/>
      <c r="N351" s="12" t="n"/>
      <c r="O351" s="12" t="n"/>
    </row>
    <row r="352">
      <c r="A352" s="12" t="n"/>
      <c r="B352" s="13">
        <f>IF($A352="","",IFERROR(INDEX(Emp_Names,MATCH($A352,Emp_Codes,0)),"NOT FOUND"))</f>
        <v/>
      </c>
      <c r="C352" s="14" t="n"/>
      <c r="D352" s="15" t="n"/>
      <c r="E352" s="15" t="n"/>
      <c r="F352" s="15" t="n"/>
      <c r="G352" s="15" t="n"/>
      <c r="H352" s="16">
        <f>IF($A352="","",$D352+IF($E352="",0,$E352)+IF($F352="",0,$F352)-IF($G352="",0,$G352))</f>
        <v/>
      </c>
      <c r="I352" s="12" t="n"/>
      <c r="J352" s="12" t="n"/>
      <c r="K352" s="12" t="n"/>
      <c r="L352" s="14" t="n"/>
      <c r="M352" s="12" t="n"/>
      <c r="N352" s="12" t="n"/>
      <c r="O352" s="12" t="n"/>
    </row>
    <row r="353">
      <c r="A353" s="12" t="n"/>
      <c r="B353" s="13">
        <f>IF($A353="","",IFERROR(INDEX(Emp_Names,MATCH($A353,Emp_Codes,0)),"NOT FOUND"))</f>
        <v/>
      </c>
      <c r="C353" s="14" t="n"/>
      <c r="D353" s="15" t="n"/>
      <c r="E353" s="15" t="n"/>
      <c r="F353" s="15" t="n"/>
      <c r="G353" s="15" t="n"/>
      <c r="H353" s="16">
        <f>IF($A353="","",$D353+IF($E353="",0,$E353)+IF($F353="",0,$F353)-IF($G353="",0,$G353))</f>
        <v/>
      </c>
      <c r="I353" s="12" t="n"/>
      <c r="J353" s="12" t="n"/>
      <c r="K353" s="12" t="n"/>
      <c r="L353" s="14" t="n"/>
      <c r="M353" s="12" t="n"/>
      <c r="N353" s="12" t="n"/>
      <c r="O353" s="12" t="n"/>
    </row>
    <row r="354">
      <c r="A354" s="12" t="n"/>
      <c r="B354" s="13">
        <f>IF($A354="","",IFERROR(INDEX(Emp_Names,MATCH($A354,Emp_Codes,0)),"NOT FOUND"))</f>
        <v/>
      </c>
      <c r="C354" s="14" t="n"/>
      <c r="D354" s="15" t="n"/>
      <c r="E354" s="15" t="n"/>
      <c r="F354" s="15" t="n"/>
      <c r="G354" s="15" t="n"/>
      <c r="H354" s="16">
        <f>IF($A354="","",$D354+IF($E354="",0,$E354)+IF($F354="",0,$F354)-IF($G354="",0,$G354))</f>
        <v/>
      </c>
      <c r="I354" s="12" t="n"/>
      <c r="J354" s="12" t="n"/>
      <c r="K354" s="12" t="n"/>
      <c r="L354" s="14" t="n"/>
      <c r="M354" s="12" t="n"/>
      <c r="N354" s="12" t="n"/>
      <c r="O354" s="12" t="n"/>
    </row>
    <row r="355">
      <c r="A355" s="12" t="n"/>
      <c r="B355" s="13">
        <f>IF($A355="","",IFERROR(INDEX(Emp_Names,MATCH($A355,Emp_Codes,0)),"NOT FOUND"))</f>
        <v/>
      </c>
      <c r="C355" s="14" t="n"/>
      <c r="D355" s="15" t="n"/>
      <c r="E355" s="15" t="n"/>
      <c r="F355" s="15" t="n"/>
      <c r="G355" s="15" t="n"/>
      <c r="H355" s="16">
        <f>IF($A355="","",$D355+IF($E355="",0,$E355)+IF($F355="",0,$F355)-IF($G355="",0,$G355))</f>
        <v/>
      </c>
      <c r="I355" s="12" t="n"/>
      <c r="J355" s="12" t="n"/>
      <c r="K355" s="12" t="n"/>
      <c r="L355" s="14" t="n"/>
      <c r="M355" s="12" t="n"/>
      <c r="N355" s="12" t="n"/>
      <c r="O355" s="12" t="n"/>
    </row>
    <row r="356">
      <c r="A356" s="12" t="n"/>
      <c r="B356" s="13">
        <f>IF($A356="","",IFERROR(INDEX(Emp_Names,MATCH($A356,Emp_Codes,0)),"NOT FOUND"))</f>
        <v/>
      </c>
      <c r="C356" s="14" t="n"/>
      <c r="D356" s="15" t="n"/>
      <c r="E356" s="15" t="n"/>
      <c r="F356" s="15" t="n"/>
      <c r="G356" s="15" t="n"/>
      <c r="H356" s="16">
        <f>IF($A356="","",$D356+IF($E356="",0,$E356)+IF($F356="",0,$F356)-IF($G356="",0,$G356))</f>
        <v/>
      </c>
      <c r="I356" s="12" t="n"/>
      <c r="J356" s="12" t="n"/>
      <c r="K356" s="12" t="n"/>
      <c r="L356" s="14" t="n"/>
      <c r="M356" s="12" t="n"/>
      <c r="N356" s="12" t="n"/>
      <c r="O356" s="12" t="n"/>
    </row>
    <row r="357">
      <c r="A357" s="12" t="n"/>
      <c r="B357" s="13">
        <f>IF($A357="","",IFERROR(INDEX(Emp_Names,MATCH($A357,Emp_Codes,0)),"NOT FOUND"))</f>
        <v/>
      </c>
      <c r="C357" s="14" t="n"/>
      <c r="D357" s="15" t="n"/>
      <c r="E357" s="15" t="n"/>
      <c r="F357" s="15" t="n"/>
      <c r="G357" s="15" t="n"/>
      <c r="H357" s="16">
        <f>IF($A357="","",$D357+IF($E357="",0,$E357)+IF($F357="",0,$F357)-IF($G357="",0,$G357))</f>
        <v/>
      </c>
      <c r="I357" s="12" t="n"/>
      <c r="J357" s="12" t="n"/>
      <c r="K357" s="12" t="n"/>
      <c r="L357" s="14" t="n"/>
      <c r="M357" s="12" t="n"/>
      <c r="N357" s="12" t="n"/>
      <c r="O357" s="12" t="n"/>
    </row>
    <row r="358">
      <c r="A358" s="12" t="n"/>
      <c r="B358" s="13">
        <f>IF($A358="","",IFERROR(INDEX(Emp_Names,MATCH($A358,Emp_Codes,0)),"NOT FOUND"))</f>
        <v/>
      </c>
      <c r="C358" s="14" t="n"/>
      <c r="D358" s="15" t="n"/>
      <c r="E358" s="15" t="n"/>
      <c r="F358" s="15" t="n"/>
      <c r="G358" s="15" t="n"/>
      <c r="H358" s="16">
        <f>IF($A358="","",$D358+IF($E358="",0,$E358)+IF($F358="",0,$F358)-IF($G358="",0,$G358))</f>
        <v/>
      </c>
      <c r="I358" s="12" t="n"/>
      <c r="J358" s="12" t="n"/>
      <c r="K358" s="12" t="n"/>
      <c r="L358" s="14" t="n"/>
      <c r="M358" s="12" t="n"/>
      <c r="N358" s="12" t="n"/>
      <c r="O358" s="12" t="n"/>
    </row>
    <row r="359">
      <c r="A359" s="12" t="n"/>
      <c r="B359" s="13">
        <f>IF($A359="","",IFERROR(INDEX(Emp_Names,MATCH($A359,Emp_Codes,0)),"NOT FOUND"))</f>
        <v/>
      </c>
      <c r="C359" s="14" t="n"/>
      <c r="D359" s="15" t="n"/>
      <c r="E359" s="15" t="n"/>
      <c r="F359" s="15" t="n"/>
      <c r="G359" s="15" t="n"/>
      <c r="H359" s="16">
        <f>IF($A359="","",$D359+IF($E359="",0,$E359)+IF($F359="",0,$F359)-IF($G359="",0,$G359))</f>
        <v/>
      </c>
      <c r="I359" s="12" t="n"/>
      <c r="J359" s="12" t="n"/>
      <c r="K359" s="12" t="n"/>
      <c r="L359" s="14" t="n"/>
      <c r="M359" s="12" t="n"/>
      <c r="N359" s="12" t="n"/>
      <c r="O359" s="12" t="n"/>
    </row>
    <row r="360">
      <c r="A360" s="12" t="n"/>
      <c r="B360" s="13">
        <f>IF($A360="","",IFERROR(INDEX(Emp_Names,MATCH($A360,Emp_Codes,0)),"NOT FOUND"))</f>
        <v/>
      </c>
      <c r="C360" s="14" t="n"/>
      <c r="D360" s="15" t="n"/>
      <c r="E360" s="15" t="n"/>
      <c r="F360" s="15" t="n"/>
      <c r="G360" s="15" t="n"/>
      <c r="H360" s="16">
        <f>IF($A360="","",$D360+IF($E360="",0,$E360)+IF($F360="",0,$F360)-IF($G360="",0,$G360))</f>
        <v/>
      </c>
      <c r="I360" s="12" t="n"/>
      <c r="J360" s="12" t="n"/>
      <c r="K360" s="12" t="n"/>
      <c r="L360" s="14" t="n"/>
      <c r="M360" s="12" t="n"/>
      <c r="N360" s="12" t="n"/>
      <c r="O360" s="12" t="n"/>
    </row>
    <row r="361">
      <c r="A361" s="12" t="n"/>
      <c r="B361" s="13">
        <f>IF($A361="","",IFERROR(INDEX(Emp_Names,MATCH($A361,Emp_Codes,0)),"NOT FOUND"))</f>
        <v/>
      </c>
      <c r="C361" s="14" t="n"/>
      <c r="D361" s="15" t="n"/>
      <c r="E361" s="15" t="n"/>
      <c r="F361" s="15" t="n"/>
      <c r="G361" s="15" t="n"/>
      <c r="H361" s="16">
        <f>IF($A361="","",$D361+IF($E361="",0,$E361)+IF($F361="",0,$F361)-IF($G361="",0,$G361))</f>
        <v/>
      </c>
      <c r="I361" s="12" t="n"/>
      <c r="J361" s="12" t="n"/>
      <c r="K361" s="12" t="n"/>
      <c r="L361" s="14" t="n"/>
      <c r="M361" s="12" t="n"/>
      <c r="N361" s="12" t="n"/>
      <c r="O361" s="12" t="n"/>
    </row>
    <row r="362">
      <c r="A362" s="12" t="n"/>
      <c r="B362" s="13">
        <f>IF($A362="","",IFERROR(INDEX(Emp_Names,MATCH($A362,Emp_Codes,0)),"NOT FOUND"))</f>
        <v/>
      </c>
      <c r="C362" s="14" t="n"/>
      <c r="D362" s="15" t="n"/>
      <c r="E362" s="15" t="n"/>
      <c r="F362" s="15" t="n"/>
      <c r="G362" s="15" t="n"/>
      <c r="H362" s="16">
        <f>IF($A362="","",$D362+IF($E362="",0,$E362)+IF($F362="",0,$F362)-IF($G362="",0,$G362))</f>
        <v/>
      </c>
      <c r="I362" s="12" t="n"/>
      <c r="J362" s="12" t="n"/>
      <c r="K362" s="12" t="n"/>
      <c r="L362" s="14" t="n"/>
      <c r="M362" s="12" t="n"/>
      <c r="N362" s="12" t="n"/>
      <c r="O362" s="12" t="n"/>
    </row>
    <row r="363">
      <c r="A363" s="12" t="n"/>
      <c r="B363" s="13">
        <f>IF($A363="","",IFERROR(INDEX(Emp_Names,MATCH($A363,Emp_Codes,0)),"NOT FOUND"))</f>
        <v/>
      </c>
      <c r="C363" s="14" t="n"/>
      <c r="D363" s="15" t="n"/>
      <c r="E363" s="15" t="n"/>
      <c r="F363" s="15" t="n"/>
      <c r="G363" s="15" t="n"/>
      <c r="H363" s="16">
        <f>IF($A363="","",$D363+IF($E363="",0,$E363)+IF($F363="",0,$F363)-IF($G363="",0,$G363))</f>
        <v/>
      </c>
      <c r="I363" s="12" t="n"/>
      <c r="J363" s="12" t="n"/>
      <c r="K363" s="12" t="n"/>
      <c r="L363" s="14" t="n"/>
      <c r="M363" s="12" t="n"/>
      <c r="N363" s="12" t="n"/>
      <c r="O363" s="12" t="n"/>
    </row>
    <row r="364">
      <c r="A364" s="12" t="n"/>
      <c r="B364" s="13">
        <f>IF($A364="","",IFERROR(INDEX(Emp_Names,MATCH($A364,Emp_Codes,0)),"NOT FOUND"))</f>
        <v/>
      </c>
      <c r="C364" s="14" t="n"/>
      <c r="D364" s="15" t="n"/>
      <c r="E364" s="15" t="n"/>
      <c r="F364" s="15" t="n"/>
      <c r="G364" s="15" t="n"/>
      <c r="H364" s="16">
        <f>IF($A364="","",$D364+IF($E364="",0,$E364)+IF($F364="",0,$F364)-IF($G364="",0,$G364))</f>
        <v/>
      </c>
      <c r="I364" s="12" t="n"/>
      <c r="J364" s="12" t="n"/>
      <c r="K364" s="12" t="n"/>
      <c r="L364" s="14" t="n"/>
      <c r="M364" s="12" t="n"/>
      <c r="N364" s="12" t="n"/>
      <c r="O364" s="12" t="n"/>
    </row>
    <row r="365">
      <c r="A365" s="12" t="n"/>
      <c r="B365" s="13">
        <f>IF($A365="","",IFERROR(INDEX(Emp_Names,MATCH($A365,Emp_Codes,0)),"NOT FOUND"))</f>
        <v/>
      </c>
      <c r="C365" s="14" t="n"/>
      <c r="D365" s="15" t="n"/>
      <c r="E365" s="15" t="n"/>
      <c r="F365" s="15" t="n"/>
      <c r="G365" s="15" t="n"/>
      <c r="H365" s="16">
        <f>IF($A365="","",$D365+IF($E365="",0,$E365)+IF($F365="",0,$F365)-IF($G365="",0,$G365))</f>
        <v/>
      </c>
      <c r="I365" s="12" t="n"/>
      <c r="J365" s="12" t="n"/>
      <c r="K365" s="12" t="n"/>
      <c r="L365" s="14" t="n"/>
      <c r="M365" s="12" t="n"/>
      <c r="N365" s="12" t="n"/>
      <c r="O365" s="12" t="n"/>
    </row>
    <row r="366">
      <c r="A366" s="12" t="n"/>
      <c r="B366" s="13">
        <f>IF($A366="","",IFERROR(INDEX(Emp_Names,MATCH($A366,Emp_Codes,0)),"NOT FOUND"))</f>
        <v/>
      </c>
      <c r="C366" s="14" t="n"/>
      <c r="D366" s="15" t="n"/>
      <c r="E366" s="15" t="n"/>
      <c r="F366" s="15" t="n"/>
      <c r="G366" s="15" t="n"/>
      <c r="H366" s="16">
        <f>IF($A366="","",$D366+IF($E366="",0,$E366)+IF($F366="",0,$F366)-IF($G366="",0,$G366))</f>
        <v/>
      </c>
      <c r="I366" s="12" t="n"/>
      <c r="J366" s="12" t="n"/>
      <c r="K366" s="12" t="n"/>
      <c r="L366" s="14" t="n"/>
      <c r="M366" s="12" t="n"/>
      <c r="N366" s="12" t="n"/>
      <c r="O366" s="12" t="n"/>
    </row>
    <row r="367">
      <c r="A367" s="12" t="n"/>
      <c r="B367" s="13">
        <f>IF($A367="","",IFERROR(INDEX(Emp_Names,MATCH($A367,Emp_Codes,0)),"NOT FOUND"))</f>
        <v/>
      </c>
      <c r="C367" s="14" t="n"/>
      <c r="D367" s="15" t="n"/>
      <c r="E367" s="15" t="n"/>
      <c r="F367" s="15" t="n"/>
      <c r="G367" s="15" t="n"/>
      <c r="H367" s="16">
        <f>IF($A367="","",$D367+IF($E367="",0,$E367)+IF($F367="",0,$F367)-IF($G367="",0,$G367))</f>
        <v/>
      </c>
      <c r="I367" s="12" t="n"/>
      <c r="J367" s="12" t="n"/>
      <c r="K367" s="12" t="n"/>
      <c r="L367" s="14" t="n"/>
      <c r="M367" s="12" t="n"/>
      <c r="N367" s="12" t="n"/>
      <c r="O367" s="12" t="n"/>
    </row>
    <row r="368">
      <c r="A368" s="12" t="n"/>
      <c r="B368" s="13">
        <f>IF($A368="","",IFERROR(INDEX(Emp_Names,MATCH($A368,Emp_Codes,0)),"NOT FOUND"))</f>
        <v/>
      </c>
      <c r="C368" s="14" t="n"/>
      <c r="D368" s="15" t="n"/>
      <c r="E368" s="15" t="n"/>
      <c r="F368" s="15" t="n"/>
      <c r="G368" s="15" t="n"/>
      <c r="H368" s="16">
        <f>IF($A368="","",$D368+IF($E368="",0,$E368)+IF($F368="",0,$F368)-IF($G368="",0,$G368))</f>
        <v/>
      </c>
      <c r="I368" s="12" t="n"/>
      <c r="J368" s="12" t="n"/>
      <c r="K368" s="12" t="n"/>
      <c r="L368" s="14" t="n"/>
      <c r="M368" s="12" t="n"/>
      <c r="N368" s="12" t="n"/>
      <c r="O368" s="12" t="n"/>
    </row>
    <row r="369">
      <c r="A369" s="12" t="n"/>
      <c r="B369" s="13">
        <f>IF($A369="","",IFERROR(INDEX(Emp_Names,MATCH($A369,Emp_Codes,0)),"NOT FOUND"))</f>
        <v/>
      </c>
      <c r="C369" s="14" t="n"/>
      <c r="D369" s="15" t="n"/>
      <c r="E369" s="15" t="n"/>
      <c r="F369" s="15" t="n"/>
      <c r="G369" s="15" t="n"/>
      <c r="H369" s="16">
        <f>IF($A369="","",$D369+IF($E369="",0,$E369)+IF($F369="",0,$F369)-IF($G369="",0,$G369))</f>
        <v/>
      </c>
      <c r="I369" s="12" t="n"/>
      <c r="J369" s="12" t="n"/>
      <c r="K369" s="12" t="n"/>
      <c r="L369" s="14" t="n"/>
      <c r="M369" s="12" t="n"/>
      <c r="N369" s="12" t="n"/>
      <c r="O369" s="12" t="n"/>
    </row>
    <row r="370">
      <c r="A370" s="12" t="n"/>
      <c r="B370" s="13">
        <f>IF($A370="","",IFERROR(INDEX(Emp_Names,MATCH($A370,Emp_Codes,0)),"NOT FOUND"))</f>
        <v/>
      </c>
      <c r="C370" s="14" t="n"/>
      <c r="D370" s="15" t="n"/>
      <c r="E370" s="15" t="n"/>
      <c r="F370" s="15" t="n"/>
      <c r="G370" s="15" t="n"/>
      <c r="H370" s="16">
        <f>IF($A370="","",$D370+IF($E370="",0,$E370)+IF($F370="",0,$F370)-IF($G370="",0,$G370))</f>
        <v/>
      </c>
      <c r="I370" s="12" t="n"/>
      <c r="J370" s="12" t="n"/>
      <c r="K370" s="12" t="n"/>
      <c r="L370" s="14" t="n"/>
      <c r="M370" s="12" t="n"/>
      <c r="N370" s="12" t="n"/>
      <c r="O370" s="12" t="n"/>
    </row>
    <row r="371">
      <c r="A371" s="12" t="n"/>
      <c r="B371" s="13">
        <f>IF($A371="","",IFERROR(INDEX(Emp_Names,MATCH($A371,Emp_Codes,0)),"NOT FOUND"))</f>
        <v/>
      </c>
      <c r="C371" s="14" t="n"/>
      <c r="D371" s="15" t="n"/>
      <c r="E371" s="15" t="n"/>
      <c r="F371" s="15" t="n"/>
      <c r="G371" s="15" t="n"/>
      <c r="H371" s="16">
        <f>IF($A371="","",$D371+IF($E371="",0,$E371)+IF($F371="",0,$F371)-IF($G371="",0,$G371))</f>
        <v/>
      </c>
      <c r="I371" s="12" t="n"/>
      <c r="J371" s="12" t="n"/>
      <c r="K371" s="12" t="n"/>
      <c r="L371" s="14" t="n"/>
      <c r="M371" s="12" t="n"/>
      <c r="N371" s="12" t="n"/>
      <c r="O371" s="12" t="n"/>
    </row>
    <row r="372">
      <c r="A372" s="12" t="n"/>
      <c r="B372" s="13">
        <f>IF($A372="","",IFERROR(INDEX(Emp_Names,MATCH($A372,Emp_Codes,0)),"NOT FOUND"))</f>
        <v/>
      </c>
      <c r="C372" s="14" t="n"/>
      <c r="D372" s="15" t="n"/>
      <c r="E372" s="15" t="n"/>
      <c r="F372" s="15" t="n"/>
      <c r="G372" s="15" t="n"/>
      <c r="H372" s="16">
        <f>IF($A372="","",$D372+IF($E372="",0,$E372)+IF($F372="",0,$F372)-IF($G372="",0,$G372))</f>
        <v/>
      </c>
      <c r="I372" s="12" t="n"/>
      <c r="J372" s="12" t="n"/>
      <c r="K372" s="12" t="n"/>
      <c r="L372" s="14" t="n"/>
      <c r="M372" s="12" t="n"/>
      <c r="N372" s="12" t="n"/>
      <c r="O372" s="12" t="n"/>
    </row>
    <row r="373">
      <c r="A373" s="12" t="n"/>
      <c r="B373" s="13">
        <f>IF($A373="","",IFERROR(INDEX(Emp_Names,MATCH($A373,Emp_Codes,0)),"NOT FOUND"))</f>
        <v/>
      </c>
      <c r="C373" s="14" t="n"/>
      <c r="D373" s="15" t="n"/>
      <c r="E373" s="15" t="n"/>
      <c r="F373" s="15" t="n"/>
      <c r="G373" s="15" t="n"/>
      <c r="H373" s="16">
        <f>IF($A373="","",$D373+IF($E373="",0,$E373)+IF($F373="",0,$F373)-IF($G373="",0,$G373))</f>
        <v/>
      </c>
      <c r="I373" s="12" t="n"/>
      <c r="J373" s="12" t="n"/>
      <c r="K373" s="12" t="n"/>
      <c r="L373" s="14" t="n"/>
      <c r="M373" s="12" t="n"/>
      <c r="N373" s="12" t="n"/>
      <c r="O373" s="12" t="n"/>
    </row>
    <row r="374">
      <c r="A374" s="12" t="n"/>
      <c r="B374" s="13">
        <f>IF($A374="","",IFERROR(INDEX(Emp_Names,MATCH($A374,Emp_Codes,0)),"NOT FOUND"))</f>
        <v/>
      </c>
      <c r="C374" s="14" t="n"/>
      <c r="D374" s="15" t="n"/>
      <c r="E374" s="15" t="n"/>
      <c r="F374" s="15" t="n"/>
      <c r="G374" s="15" t="n"/>
      <c r="H374" s="16">
        <f>IF($A374="","",$D374+IF($E374="",0,$E374)+IF($F374="",0,$F374)-IF($G374="",0,$G374))</f>
        <v/>
      </c>
      <c r="I374" s="12" t="n"/>
      <c r="J374" s="12" t="n"/>
      <c r="K374" s="12" t="n"/>
      <c r="L374" s="14" t="n"/>
      <c r="M374" s="12" t="n"/>
      <c r="N374" s="12" t="n"/>
      <c r="O374" s="12" t="n"/>
    </row>
    <row r="375">
      <c r="A375" s="12" t="n"/>
      <c r="B375" s="13">
        <f>IF($A375="","",IFERROR(INDEX(Emp_Names,MATCH($A375,Emp_Codes,0)),"NOT FOUND"))</f>
        <v/>
      </c>
      <c r="C375" s="14" t="n"/>
      <c r="D375" s="15" t="n"/>
      <c r="E375" s="15" t="n"/>
      <c r="F375" s="15" t="n"/>
      <c r="G375" s="15" t="n"/>
      <c r="H375" s="16">
        <f>IF($A375="","",$D375+IF($E375="",0,$E375)+IF($F375="",0,$F375)-IF($G375="",0,$G375))</f>
        <v/>
      </c>
      <c r="I375" s="12" t="n"/>
      <c r="J375" s="12" t="n"/>
      <c r="K375" s="12" t="n"/>
      <c r="L375" s="14" t="n"/>
      <c r="M375" s="12" t="n"/>
      <c r="N375" s="12" t="n"/>
      <c r="O375" s="12" t="n"/>
    </row>
    <row r="376">
      <c r="A376" s="12" t="n"/>
      <c r="B376" s="13">
        <f>IF($A376="","",IFERROR(INDEX(Emp_Names,MATCH($A376,Emp_Codes,0)),"NOT FOUND"))</f>
        <v/>
      </c>
      <c r="C376" s="14" t="n"/>
      <c r="D376" s="15" t="n"/>
      <c r="E376" s="15" t="n"/>
      <c r="F376" s="15" t="n"/>
      <c r="G376" s="15" t="n"/>
      <c r="H376" s="16">
        <f>IF($A376="","",$D376+IF($E376="",0,$E376)+IF($F376="",0,$F376)-IF($G376="",0,$G376))</f>
        <v/>
      </c>
      <c r="I376" s="12" t="n"/>
      <c r="J376" s="12" t="n"/>
      <c r="K376" s="12" t="n"/>
      <c r="L376" s="14" t="n"/>
      <c r="M376" s="12" t="n"/>
      <c r="N376" s="12" t="n"/>
      <c r="O376" s="12" t="n"/>
    </row>
    <row r="377">
      <c r="A377" s="12" t="n"/>
      <c r="B377" s="13">
        <f>IF($A377="","",IFERROR(INDEX(Emp_Names,MATCH($A377,Emp_Codes,0)),"NOT FOUND"))</f>
        <v/>
      </c>
      <c r="C377" s="14" t="n"/>
      <c r="D377" s="15" t="n"/>
      <c r="E377" s="15" t="n"/>
      <c r="F377" s="15" t="n"/>
      <c r="G377" s="15" t="n"/>
      <c r="H377" s="16">
        <f>IF($A377="","",$D377+IF($E377="",0,$E377)+IF($F377="",0,$F377)-IF($G377="",0,$G377))</f>
        <v/>
      </c>
      <c r="I377" s="12" t="n"/>
      <c r="J377" s="12" t="n"/>
      <c r="K377" s="12" t="n"/>
      <c r="L377" s="14" t="n"/>
      <c r="M377" s="12" t="n"/>
      <c r="N377" s="12" t="n"/>
      <c r="O377" s="12" t="n"/>
    </row>
    <row r="378">
      <c r="A378" s="12" t="n"/>
      <c r="B378" s="13">
        <f>IF($A378="","",IFERROR(INDEX(Emp_Names,MATCH($A378,Emp_Codes,0)),"NOT FOUND"))</f>
        <v/>
      </c>
      <c r="C378" s="14" t="n"/>
      <c r="D378" s="15" t="n"/>
      <c r="E378" s="15" t="n"/>
      <c r="F378" s="15" t="n"/>
      <c r="G378" s="15" t="n"/>
      <c r="H378" s="16">
        <f>IF($A378="","",$D378+IF($E378="",0,$E378)+IF($F378="",0,$F378)-IF($G378="",0,$G378))</f>
        <v/>
      </c>
      <c r="I378" s="12" t="n"/>
      <c r="J378" s="12" t="n"/>
      <c r="K378" s="12" t="n"/>
      <c r="L378" s="14" t="n"/>
      <c r="M378" s="12" t="n"/>
      <c r="N378" s="12" t="n"/>
      <c r="O378" s="12" t="n"/>
    </row>
    <row r="379">
      <c r="A379" s="12" t="n"/>
      <c r="B379" s="13">
        <f>IF($A379="","",IFERROR(INDEX(Emp_Names,MATCH($A379,Emp_Codes,0)),"NOT FOUND"))</f>
        <v/>
      </c>
      <c r="C379" s="14" t="n"/>
      <c r="D379" s="15" t="n"/>
      <c r="E379" s="15" t="n"/>
      <c r="F379" s="15" t="n"/>
      <c r="G379" s="15" t="n"/>
      <c r="H379" s="16">
        <f>IF($A379="","",$D379+IF($E379="",0,$E379)+IF($F379="",0,$F379)-IF($G379="",0,$G379))</f>
        <v/>
      </c>
      <c r="I379" s="12" t="n"/>
      <c r="J379" s="12" t="n"/>
      <c r="K379" s="12" t="n"/>
      <c r="L379" s="14" t="n"/>
      <c r="M379" s="12" t="n"/>
      <c r="N379" s="12" t="n"/>
      <c r="O379" s="12" t="n"/>
    </row>
    <row r="380">
      <c r="A380" s="12" t="n"/>
      <c r="B380" s="13">
        <f>IF($A380="","",IFERROR(INDEX(Emp_Names,MATCH($A380,Emp_Codes,0)),"NOT FOUND"))</f>
        <v/>
      </c>
      <c r="C380" s="14" t="n"/>
      <c r="D380" s="15" t="n"/>
      <c r="E380" s="15" t="n"/>
      <c r="F380" s="15" t="n"/>
      <c r="G380" s="15" t="n"/>
      <c r="H380" s="16">
        <f>IF($A380="","",$D380+IF($E380="",0,$E380)+IF($F380="",0,$F380)-IF($G380="",0,$G380))</f>
        <v/>
      </c>
      <c r="I380" s="12" t="n"/>
      <c r="J380" s="12" t="n"/>
      <c r="K380" s="12" t="n"/>
      <c r="L380" s="14" t="n"/>
      <c r="M380" s="12" t="n"/>
      <c r="N380" s="12" t="n"/>
      <c r="O380" s="12" t="n"/>
    </row>
    <row r="381">
      <c r="A381" s="12" t="n"/>
      <c r="B381" s="13">
        <f>IF($A381="","",IFERROR(INDEX(Emp_Names,MATCH($A381,Emp_Codes,0)),"NOT FOUND"))</f>
        <v/>
      </c>
      <c r="C381" s="14" t="n"/>
      <c r="D381" s="15" t="n"/>
      <c r="E381" s="15" t="n"/>
      <c r="F381" s="15" t="n"/>
      <c r="G381" s="15" t="n"/>
      <c r="H381" s="16">
        <f>IF($A381="","",$D381+IF($E381="",0,$E381)+IF($F381="",0,$F381)-IF($G381="",0,$G381))</f>
        <v/>
      </c>
      <c r="I381" s="12" t="n"/>
      <c r="J381" s="12" t="n"/>
      <c r="K381" s="12" t="n"/>
      <c r="L381" s="14" t="n"/>
      <c r="M381" s="12" t="n"/>
      <c r="N381" s="12" t="n"/>
      <c r="O381" s="12" t="n"/>
    </row>
    <row r="382">
      <c r="A382" s="12" t="n"/>
      <c r="B382" s="13">
        <f>IF($A382="","",IFERROR(INDEX(Emp_Names,MATCH($A382,Emp_Codes,0)),"NOT FOUND"))</f>
        <v/>
      </c>
      <c r="C382" s="14" t="n"/>
      <c r="D382" s="15" t="n"/>
      <c r="E382" s="15" t="n"/>
      <c r="F382" s="15" t="n"/>
      <c r="G382" s="15" t="n"/>
      <c r="H382" s="16">
        <f>IF($A382="","",$D382+IF($E382="",0,$E382)+IF($F382="",0,$F382)-IF($G382="",0,$G382))</f>
        <v/>
      </c>
      <c r="I382" s="12" t="n"/>
      <c r="J382" s="12" t="n"/>
      <c r="K382" s="12" t="n"/>
      <c r="L382" s="14" t="n"/>
      <c r="M382" s="12" t="n"/>
      <c r="N382" s="12" t="n"/>
      <c r="O382" s="12" t="n"/>
    </row>
    <row r="383">
      <c r="A383" s="12" t="n"/>
      <c r="B383" s="13">
        <f>IF($A383="","",IFERROR(INDEX(Emp_Names,MATCH($A383,Emp_Codes,0)),"NOT FOUND"))</f>
        <v/>
      </c>
      <c r="C383" s="14" t="n"/>
      <c r="D383" s="15" t="n"/>
      <c r="E383" s="15" t="n"/>
      <c r="F383" s="15" t="n"/>
      <c r="G383" s="15" t="n"/>
      <c r="H383" s="16">
        <f>IF($A383="","",$D383+IF($E383="",0,$E383)+IF($F383="",0,$F383)-IF($G383="",0,$G383))</f>
        <v/>
      </c>
      <c r="I383" s="12" t="n"/>
      <c r="J383" s="12" t="n"/>
      <c r="K383" s="12" t="n"/>
      <c r="L383" s="14" t="n"/>
      <c r="M383" s="12" t="n"/>
      <c r="N383" s="12" t="n"/>
      <c r="O383" s="12" t="n"/>
    </row>
    <row r="384">
      <c r="A384" s="12" t="n"/>
      <c r="B384" s="13">
        <f>IF($A384="","",IFERROR(INDEX(Emp_Names,MATCH($A384,Emp_Codes,0)),"NOT FOUND"))</f>
        <v/>
      </c>
      <c r="C384" s="14" t="n"/>
      <c r="D384" s="15" t="n"/>
      <c r="E384" s="15" t="n"/>
      <c r="F384" s="15" t="n"/>
      <c r="G384" s="15" t="n"/>
      <c r="H384" s="16">
        <f>IF($A384="","",$D384+IF($E384="",0,$E384)+IF($F384="",0,$F384)-IF($G384="",0,$G384))</f>
        <v/>
      </c>
      <c r="I384" s="12" t="n"/>
      <c r="J384" s="12" t="n"/>
      <c r="K384" s="12" t="n"/>
      <c r="L384" s="14" t="n"/>
      <c r="M384" s="12" t="n"/>
      <c r="N384" s="12" t="n"/>
      <c r="O384" s="12" t="n"/>
    </row>
    <row r="385">
      <c r="A385" s="12" t="n"/>
      <c r="B385" s="13">
        <f>IF($A385="","",IFERROR(INDEX(Emp_Names,MATCH($A385,Emp_Codes,0)),"NOT FOUND"))</f>
        <v/>
      </c>
      <c r="C385" s="14" t="n"/>
      <c r="D385" s="15" t="n"/>
      <c r="E385" s="15" t="n"/>
      <c r="F385" s="15" t="n"/>
      <c r="G385" s="15" t="n"/>
      <c r="H385" s="16">
        <f>IF($A385="","",$D385+IF($E385="",0,$E385)+IF($F385="",0,$F385)-IF($G385="",0,$G385))</f>
        <v/>
      </c>
      <c r="I385" s="12" t="n"/>
      <c r="J385" s="12" t="n"/>
      <c r="K385" s="12" t="n"/>
      <c r="L385" s="14" t="n"/>
      <c r="M385" s="12" t="n"/>
      <c r="N385" s="12" t="n"/>
      <c r="O385" s="12" t="n"/>
    </row>
    <row r="386">
      <c r="A386" s="12" t="n"/>
      <c r="B386" s="13">
        <f>IF($A386="","",IFERROR(INDEX(Emp_Names,MATCH($A386,Emp_Codes,0)),"NOT FOUND"))</f>
        <v/>
      </c>
      <c r="C386" s="14" t="n"/>
      <c r="D386" s="15" t="n"/>
      <c r="E386" s="15" t="n"/>
      <c r="F386" s="15" t="n"/>
      <c r="G386" s="15" t="n"/>
      <c r="H386" s="16">
        <f>IF($A386="","",$D386+IF($E386="",0,$E386)+IF($F386="",0,$F386)-IF($G386="",0,$G386))</f>
        <v/>
      </c>
      <c r="I386" s="12" t="n"/>
      <c r="J386" s="12" t="n"/>
      <c r="K386" s="12" t="n"/>
      <c r="L386" s="14" t="n"/>
      <c r="M386" s="12" t="n"/>
      <c r="N386" s="12" t="n"/>
      <c r="O386" s="12" t="n"/>
    </row>
    <row r="387">
      <c r="A387" s="12" t="n"/>
      <c r="B387" s="13">
        <f>IF($A387="","",IFERROR(INDEX(Emp_Names,MATCH($A387,Emp_Codes,0)),"NOT FOUND"))</f>
        <v/>
      </c>
      <c r="C387" s="14" t="n"/>
      <c r="D387" s="15" t="n"/>
      <c r="E387" s="15" t="n"/>
      <c r="F387" s="15" t="n"/>
      <c r="G387" s="15" t="n"/>
      <c r="H387" s="16">
        <f>IF($A387="","",$D387+IF($E387="",0,$E387)+IF($F387="",0,$F387)-IF($G387="",0,$G387))</f>
        <v/>
      </c>
      <c r="I387" s="12" t="n"/>
      <c r="J387" s="12" t="n"/>
      <c r="K387" s="12" t="n"/>
      <c r="L387" s="14" t="n"/>
      <c r="M387" s="12" t="n"/>
      <c r="N387" s="12" t="n"/>
      <c r="O387" s="12" t="n"/>
    </row>
    <row r="388">
      <c r="A388" s="12" t="n"/>
      <c r="B388" s="13">
        <f>IF($A388="","",IFERROR(INDEX(Emp_Names,MATCH($A388,Emp_Codes,0)),"NOT FOUND"))</f>
        <v/>
      </c>
      <c r="C388" s="14" t="n"/>
      <c r="D388" s="15" t="n"/>
      <c r="E388" s="15" t="n"/>
      <c r="F388" s="15" t="n"/>
      <c r="G388" s="15" t="n"/>
      <c r="H388" s="16">
        <f>IF($A388="","",$D388+IF($E388="",0,$E388)+IF($F388="",0,$F388)-IF($G388="",0,$G388))</f>
        <v/>
      </c>
      <c r="I388" s="12" t="n"/>
      <c r="J388" s="12" t="n"/>
      <c r="K388" s="12" t="n"/>
      <c r="L388" s="14" t="n"/>
      <c r="M388" s="12" t="n"/>
      <c r="N388" s="12" t="n"/>
      <c r="O388" s="12" t="n"/>
    </row>
    <row r="389">
      <c r="A389" s="12" t="n"/>
      <c r="B389" s="13">
        <f>IF($A389="","",IFERROR(INDEX(Emp_Names,MATCH($A389,Emp_Codes,0)),"NOT FOUND"))</f>
        <v/>
      </c>
      <c r="C389" s="14" t="n"/>
      <c r="D389" s="15" t="n"/>
      <c r="E389" s="15" t="n"/>
      <c r="F389" s="15" t="n"/>
      <c r="G389" s="15" t="n"/>
      <c r="H389" s="16">
        <f>IF($A389="","",$D389+IF($E389="",0,$E389)+IF($F389="",0,$F389)-IF($G389="",0,$G389))</f>
        <v/>
      </c>
      <c r="I389" s="12" t="n"/>
      <c r="J389" s="12" t="n"/>
      <c r="K389" s="12" t="n"/>
      <c r="L389" s="14" t="n"/>
      <c r="M389" s="12" t="n"/>
      <c r="N389" s="12" t="n"/>
      <c r="O389" s="12" t="n"/>
    </row>
    <row r="390">
      <c r="A390" s="12" t="n"/>
      <c r="B390" s="13">
        <f>IF($A390="","",IFERROR(INDEX(Emp_Names,MATCH($A390,Emp_Codes,0)),"NOT FOUND"))</f>
        <v/>
      </c>
      <c r="C390" s="14" t="n"/>
      <c r="D390" s="15" t="n"/>
      <c r="E390" s="15" t="n"/>
      <c r="F390" s="15" t="n"/>
      <c r="G390" s="15" t="n"/>
      <c r="H390" s="16">
        <f>IF($A390="","",$D390+IF($E390="",0,$E390)+IF($F390="",0,$F390)-IF($G390="",0,$G390))</f>
        <v/>
      </c>
      <c r="I390" s="12" t="n"/>
      <c r="J390" s="12" t="n"/>
      <c r="K390" s="12" t="n"/>
      <c r="L390" s="14" t="n"/>
      <c r="M390" s="12" t="n"/>
      <c r="N390" s="12" t="n"/>
      <c r="O390" s="12" t="n"/>
    </row>
    <row r="391">
      <c r="A391" s="12" t="n"/>
      <c r="B391" s="13">
        <f>IF($A391="","",IFERROR(INDEX(Emp_Names,MATCH($A391,Emp_Codes,0)),"NOT FOUND"))</f>
        <v/>
      </c>
      <c r="C391" s="14" t="n"/>
      <c r="D391" s="15" t="n"/>
      <c r="E391" s="15" t="n"/>
      <c r="F391" s="15" t="n"/>
      <c r="G391" s="15" t="n"/>
      <c r="H391" s="16">
        <f>IF($A391="","",$D391+IF($E391="",0,$E391)+IF($F391="",0,$F391)-IF($G391="",0,$G391))</f>
        <v/>
      </c>
      <c r="I391" s="12" t="n"/>
      <c r="J391" s="12" t="n"/>
      <c r="K391" s="12" t="n"/>
      <c r="L391" s="14" t="n"/>
      <c r="M391" s="12" t="n"/>
      <c r="N391" s="12" t="n"/>
      <c r="O391" s="12" t="n"/>
    </row>
    <row r="392">
      <c r="A392" s="12" t="n"/>
      <c r="B392" s="13">
        <f>IF($A392="","",IFERROR(INDEX(Emp_Names,MATCH($A392,Emp_Codes,0)),"NOT FOUND"))</f>
        <v/>
      </c>
      <c r="C392" s="14" t="n"/>
      <c r="D392" s="15" t="n"/>
      <c r="E392" s="15" t="n"/>
      <c r="F392" s="15" t="n"/>
      <c r="G392" s="15" t="n"/>
      <c r="H392" s="16">
        <f>IF($A392="","",$D392+IF($E392="",0,$E392)+IF($F392="",0,$F392)-IF($G392="",0,$G392))</f>
        <v/>
      </c>
      <c r="I392" s="12" t="n"/>
      <c r="J392" s="12" t="n"/>
      <c r="K392" s="12" t="n"/>
      <c r="L392" s="14" t="n"/>
      <c r="M392" s="12" t="n"/>
      <c r="N392" s="12" t="n"/>
      <c r="O392" s="12" t="n"/>
    </row>
    <row r="393">
      <c r="A393" s="12" t="n"/>
      <c r="B393" s="13">
        <f>IF($A393="","",IFERROR(INDEX(Emp_Names,MATCH($A393,Emp_Codes,0)),"NOT FOUND"))</f>
        <v/>
      </c>
      <c r="C393" s="14" t="n"/>
      <c r="D393" s="15" t="n"/>
      <c r="E393" s="15" t="n"/>
      <c r="F393" s="15" t="n"/>
      <c r="G393" s="15" t="n"/>
      <c r="H393" s="16">
        <f>IF($A393="","",$D393+IF($E393="",0,$E393)+IF($F393="",0,$F393)-IF($G393="",0,$G393))</f>
        <v/>
      </c>
      <c r="I393" s="12" t="n"/>
      <c r="J393" s="12" t="n"/>
      <c r="K393" s="12" t="n"/>
      <c r="L393" s="14" t="n"/>
      <c r="M393" s="12" t="n"/>
      <c r="N393" s="12" t="n"/>
      <c r="O393" s="12" t="n"/>
    </row>
    <row r="394">
      <c r="A394" s="12" t="n"/>
      <c r="B394" s="13">
        <f>IF($A394="","",IFERROR(INDEX(Emp_Names,MATCH($A394,Emp_Codes,0)),"NOT FOUND"))</f>
        <v/>
      </c>
      <c r="C394" s="14" t="n"/>
      <c r="D394" s="15" t="n"/>
      <c r="E394" s="15" t="n"/>
      <c r="F394" s="15" t="n"/>
      <c r="G394" s="15" t="n"/>
      <c r="H394" s="16">
        <f>IF($A394="","",$D394+IF($E394="",0,$E394)+IF($F394="",0,$F394)-IF($G394="",0,$G394))</f>
        <v/>
      </c>
      <c r="I394" s="12" t="n"/>
      <c r="J394" s="12" t="n"/>
      <c r="K394" s="12" t="n"/>
      <c r="L394" s="14" t="n"/>
      <c r="M394" s="12" t="n"/>
      <c r="N394" s="12" t="n"/>
      <c r="O394" s="12" t="n"/>
    </row>
    <row r="395">
      <c r="A395" s="12" t="n"/>
      <c r="B395" s="13">
        <f>IF($A395="","",IFERROR(INDEX(Emp_Names,MATCH($A395,Emp_Codes,0)),"NOT FOUND"))</f>
        <v/>
      </c>
      <c r="C395" s="14" t="n"/>
      <c r="D395" s="15" t="n"/>
      <c r="E395" s="15" t="n"/>
      <c r="F395" s="15" t="n"/>
      <c r="G395" s="15" t="n"/>
      <c r="H395" s="16">
        <f>IF($A395="","",$D395+IF($E395="",0,$E395)+IF($F395="",0,$F395)-IF($G395="",0,$G395))</f>
        <v/>
      </c>
      <c r="I395" s="12" t="n"/>
      <c r="J395" s="12" t="n"/>
      <c r="K395" s="12" t="n"/>
      <c r="L395" s="14" t="n"/>
      <c r="M395" s="12" t="n"/>
      <c r="N395" s="12" t="n"/>
      <c r="O395" s="12" t="n"/>
    </row>
    <row r="396">
      <c r="A396" s="12" t="n"/>
      <c r="B396" s="13">
        <f>IF($A396="","",IFERROR(INDEX(Emp_Names,MATCH($A396,Emp_Codes,0)),"NOT FOUND"))</f>
        <v/>
      </c>
      <c r="C396" s="14" t="n"/>
      <c r="D396" s="15" t="n"/>
      <c r="E396" s="15" t="n"/>
      <c r="F396" s="15" t="n"/>
      <c r="G396" s="15" t="n"/>
      <c r="H396" s="16">
        <f>IF($A396="","",$D396+IF($E396="",0,$E396)+IF($F396="",0,$F396)-IF($G396="",0,$G396))</f>
        <v/>
      </c>
      <c r="I396" s="12" t="n"/>
      <c r="J396" s="12" t="n"/>
      <c r="K396" s="12" t="n"/>
      <c r="L396" s="14" t="n"/>
      <c r="M396" s="12" t="n"/>
      <c r="N396" s="12" t="n"/>
      <c r="O396" s="12" t="n"/>
    </row>
    <row r="397">
      <c r="A397" s="12" t="n"/>
      <c r="B397" s="13">
        <f>IF($A397="","",IFERROR(INDEX(Emp_Names,MATCH($A397,Emp_Codes,0)),"NOT FOUND"))</f>
        <v/>
      </c>
      <c r="C397" s="14" t="n"/>
      <c r="D397" s="15" t="n"/>
      <c r="E397" s="15" t="n"/>
      <c r="F397" s="15" t="n"/>
      <c r="G397" s="15" t="n"/>
      <c r="H397" s="16">
        <f>IF($A397="","",$D397+IF($E397="",0,$E397)+IF($F397="",0,$F397)-IF($G397="",0,$G397))</f>
        <v/>
      </c>
      <c r="I397" s="12" t="n"/>
      <c r="J397" s="12" t="n"/>
      <c r="K397" s="12" t="n"/>
      <c r="L397" s="14" t="n"/>
      <c r="M397" s="12" t="n"/>
      <c r="N397" s="12" t="n"/>
      <c r="O397" s="12" t="n"/>
    </row>
    <row r="398">
      <c r="A398" s="12" t="n"/>
      <c r="B398" s="13">
        <f>IF($A398="","",IFERROR(INDEX(Emp_Names,MATCH($A398,Emp_Codes,0)),"NOT FOUND"))</f>
        <v/>
      </c>
      <c r="C398" s="14" t="n"/>
      <c r="D398" s="15" t="n"/>
      <c r="E398" s="15" t="n"/>
      <c r="F398" s="15" t="n"/>
      <c r="G398" s="15" t="n"/>
      <c r="H398" s="16">
        <f>IF($A398="","",$D398+IF($E398="",0,$E398)+IF($F398="",0,$F398)-IF($G398="",0,$G398))</f>
        <v/>
      </c>
      <c r="I398" s="12" t="n"/>
      <c r="J398" s="12" t="n"/>
      <c r="K398" s="12" t="n"/>
      <c r="L398" s="14" t="n"/>
      <c r="M398" s="12" t="n"/>
      <c r="N398" s="12" t="n"/>
      <c r="O398" s="12" t="n"/>
    </row>
    <row r="399">
      <c r="A399" s="12" t="n"/>
      <c r="B399" s="13">
        <f>IF($A399="","",IFERROR(INDEX(Emp_Names,MATCH($A399,Emp_Codes,0)),"NOT FOUND"))</f>
        <v/>
      </c>
      <c r="C399" s="14" t="n"/>
      <c r="D399" s="15" t="n"/>
      <c r="E399" s="15" t="n"/>
      <c r="F399" s="15" t="n"/>
      <c r="G399" s="15" t="n"/>
      <c r="H399" s="16">
        <f>IF($A399="","",$D399+IF($E399="",0,$E399)+IF($F399="",0,$F399)-IF($G399="",0,$G399))</f>
        <v/>
      </c>
      <c r="I399" s="12" t="n"/>
      <c r="J399" s="12" t="n"/>
      <c r="K399" s="12" t="n"/>
      <c r="L399" s="14" t="n"/>
      <c r="M399" s="12" t="n"/>
      <c r="N399" s="12" t="n"/>
      <c r="O399" s="12" t="n"/>
    </row>
    <row r="400">
      <c r="A400" s="12" t="n"/>
      <c r="B400" s="13">
        <f>IF($A400="","",IFERROR(INDEX(Emp_Names,MATCH($A400,Emp_Codes,0)),"NOT FOUND"))</f>
        <v/>
      </c>
      <c r="C400" s="14" t="n"/>
      <c r="D400" s="15" t="n"/>
      <c r="E400" s="15" t="n"/>
      <c r="F400" s="15" t="n"/>
      <c r="G400" s="15" t="n"/>
      <c r="H400" s="16">
        <f>IF($A400="","",$D400+IF($E400="",0,$E400)+IF($F400="",0,$F400)-IF($G400="",0,$G400))</f>
        <v/>
      </c>
      <c r="I400" s="12" t="n"/>
      <c r="J400" s="12" t="n"/>
      <c r="K400" s="12" t="n"/>
      <c r="L400" s="14" t="n"/>
      <c r="M400" s="12" t="n"/>
      <c r="N400" s="12" t="n"/>
      <c r="O400" s="12" t="n"/>
    </row>
    <row r="401">
      <c r="A401" s="12" t="n"/>
      <c r="B401" s="13">
        <f>IF($A401="","",IFERROR(INDEX(Emp_Names,MATCH($A401,Emp_Codes,0)),"NOT FOUND"))</f>
        <v/>
      </c>
      <c r="C401" s="14" t="n"/>
      <c r="D401" s="15" t="n"/>
      <c r="E401" s="15" t="n"/>
      <c r="F401" s="15" t="n"/>
      <c r="G401" s="15" t="n"/>
      <c r="H401" s="16">
        <f>IF($A401="","",$D401+IF($E401="",0,$E401)+IF($F401="",0,$F401)-IF($G401="",0,$G401))</f>
        <v/>
      </c>
      <c r="I401" s="12" t="n"/>
      <c r="J401" s="12" t="n"/>
      <c r="K401" s="12" t="n"/>
      <c r="L401" s="14" t="n"/>
      <c r="M401" s="12" t="n"/>
      <c r="N401" s="12" t="n"/>
      <c r="O401" s="12" t="n"/>
    </row>
    <row r="402">
      <c r="A402" s="12" t="n"/>
      <c r="B402" s="13">
        <f>IF($A402="","",IFERROR(INDEX(Emp_Names,MATCH($A402,Emp_Codes,0)),"NOT FOUND"))</f>
        <v/>
      </c>
      <c r="C402" s="14" t="n"/>
      <c r="D402" s="15" t="n"/>
      <c r="E402" s="15" t="n"/>
      <c r="F402" s="15" t="n"/>
      <c r="G402" s="15" t="n"/>
      <c r="H402" s="16">
        <f>IF($A402="","",$D402+IF($E402="",0,$E402)+IF($F402="",0,$F402)-IF($G402="",0,$G402))</f>
        <v/>
      </c>
      <c r="I402" s="12" t="n"/>
      <c r="J402" s="12" t="n"/>
      <c r="K402" s="12" t="n"/>
      <c r="L402" s="14" t="n"/>
      <c r="M402" s="12" t="n"/>
      <c r="N402" s="12" t="n"/>
      <c r="O402" s="12" t="n"/>
    </row>
    <row r="403">
      <c r="A403" s="12" t="n"/>
      <c r="B403" s="13">
        <f>IF($A403="","",IFERROR(INDEX(Emp_Names,MATCH($A403,Emp_Codes,0)),"NOT FOUND"))</f>
        <v/>
      </c>
      <c r="C403" s="14" t="n"/>
      <c r="D403" s="15" t="n"/>
      <c r="E403" s="15" t="n"/>
      <c r="F403" s="15" t="n"/>
      <c r="G403" s="15" t="n"/>
      <c r="H403" s="16">
        <f>IF($A403="","",$D403+IF($E403="",0,$E403)+IF($F403="",0,$F403)-IF($G403="",0,$G403))</f>
        <v/>
      </c>
      <c r="I403" s="12" t="n"/>
      <c r="J403" s="12" t="n"/>
      <c r="K403" s="12" t="n"/>
      <c r="L403" s="14" t="n"/>
      <c r="M403" s="12" t="n"/>
      <c r="N403" s="12" t="n"/>
      <c r="O403" s="12" t="n"/>
    </row>
    <row r="404">
      <c r="A404" s="12" t="n"/>
      <c r="B404" s="13">
        <f>IF($A404="","",IFERROR(INDEX(Emp_Names,MATCH($A404,Emp_Codes,0)),"NOT FOUND"))</f>
        <v/>
      </c>
      <c r="C404" s="14" t="n"/>
      <c r="D404" s="15" t="n"/>
      <c r="E404" s="15" t="n"/>
      <c r="F404" s="15" t="n"/>
      <c r="G404" s="15" t="n"/>
      <c r="H404" s="16">
        <f>IF($A404="","",$D404+IF($E404="",0,$E404)+IF($F404="",0,$F404)-IF($G404="",0,$G404))</f>
        <v/>
      </c>
      <c r="I404" s="12" t="n"/>
      <c r="J404" s="12" t="n"/>
      <c r="K404" s="12" t="n"/>
      <c r="L404" s="14" t="n"/>
      <c r="M404" s="12" t="n"/>
      <c r="N404" s="12" t="n"/>
      <c r="O404" s="12" t="n"/>
    </row>
    <row r="405">
      <c r="A405" s="12" t="n"/>
      <c r="B405" s="13">
        <f>IF($A405="","",IFERROR(INDEX(Emp_Names,MATCH($A405,Emp_Codes,0)),"NOT FOUND"))</f>
        <v/>
      </c>
      <c r="C405" s="14" t="n"/>
      <c r="D405" s="15" t="n"/>
      <c r="E405" s="15" t="n"/>
      <c r="F405" s="15" t="n"/>
      <c r="G405" s="15" t="n"/>
      <c r="H405" s="16">
        <f>IF($A405="","",$D405+IF($E405="",0,$E405)+IF($F405="",0,$F405)-IF($G405="",0,$G405))</f>
        <v/>
      </c>
      <c r="I405" s="12" t="n"/>
      <c r="J405" s="12" t="n"/>
      <c r="K405" s="12" t="n"/>
      <c r="L405" s="14" t="n"/>
      <c r="M405" s="12" t="n"/>
      <c r="N405" s="12" t="n"/>
      <c r="O405" s="12" t="n"/>
    </row>
    <row r="406">
      <c r="A406" s="12" t="n"/>
      <c r="B406" s="13">
        <f>IF($A406="","",IFERROR(INDEX(Emp_Names,MATCH($A406,Emp_Codes,0)),"NOT FOUND"))</f>
        <v/>
      </c>
      <c r="C406" s="14" t="n"/>
      <c r="D406" s="15" t="n"/>
      <c r="E406" s="15" t="n"/>
      <c r="F406" s="15" t="n"/>
      <c r="G406" s="15" t="n"/>
      <c r="H406" s="16">
        <f>IF($A406="","",$D406+IF($E406="",0,$E406)+IF($F406="",0,$F406)-IF($G406="",0,$G406))</f>
        <v/>
      </c>
      <c r="I406" s="12" t="n"/>
      <c r="J406" s="12" t="n"/>
      <c r="K406" s="12" t="n"/>
      <c r="L406" s="14" t="n"/>
      <c r="M406" s="12" t="n"/>
      <c r="N406" s="12" t="n"/>
      <c r="O406" s="12" t="n"/>
    </row>
    <row r="407">
      <c r="A407" s="12" t="n"/>
      <c r="B407" s="13">
        <f>IF($A407="","",IFERROR(INDEX(Emp_Names,MATCH($A407,Emp_Codes,0)),"NOT FOUND"))</f>
        <v/>
      </c>
      <c r="C407" s="14" t="n"/>
      <c r="D407" s="15" t="n"/>
      <c r="E407" s="15" t="n"/>
      <c r="F407" s="15" t="n"/>
      <c r="G407" s="15" t="n"/>
      <c r="H407" s="16">
        <f>IF($A407="","",$D407+IF($E407="",0,$E407)+IF($F407="",0,$F407)-IF($G407="",0,$G407))</f>
        <v/>
      </c>
      <c r="I407" s="12" t="n"/>
      <c r="J407" s="12" t="n"/>
      <c r="K407" s="12" t="n"/>
      <c r="L407" s="14" t="n"/>
      <c r="M407" s="12" t="n"/>
      <c r="N407" s="12" t="n"/>
      <c r="O407" s="12" t="n"/>
    </row>
    <row r="408">
      <c r="A408" s="12" t="n"/>
      <c r="B408" s="13">
        <f>IF($A408="","",IFERROR(INDEX(Emp_Names,MATCH($A408,Emp_Codes,0)),"NOT FOUND"))</f>
        <v/>
      </c>
      <c r="C408" s="14" t="n"/>
      <c r="D408" s="15" t="n"/>
      <c r="E408" s="15" t="n"/>
      <c r="F408" s="15" t="n"/>
      <c r="G408" s="15" t="n"/>
      <c r="H408" s="16">
        <f>IF($A408="","",$D408+IF($E408="",0,$E408)+IF($F408="",0,$F408)-IF($G408="",0,$G408))</f>
        <v/>
      </c>
      <c r="I408" s="12" t="n"/>
      <c r="J408" s="12" t="n"/>
      <c r="K408" s="12" t="n"/>
      <c r="L408" s="14" t="n"/>
      <c r="M408" s="12" t="n"/>
      <c r="N408" s="12" t="n"/>
      <c r="O408" s="12" t="n"/>
    </row>
    <row r="409">
      <c r="A409" s="12" t="n"/>
      <c r="B409" s="13">
        <f>IF($A409="","",IFERROR(INDEX(Emp_Names,MATCH($A409,Emp_Codes,0)),"NOT FOUND"))</f>
        <v/>
      </c>
      <c r="C409" s="14" t="n"/>
      <c r="D409" s="15" t="n"/>
      <c r="E409" s="15" t="n"/>
      <c r="F409" s="15" t="n"/>
      <c r="G409" s="15" t="n"/>
      <c r="H409" s="16">
        <f>IF($A409="","",$D409+IF($E409="",0,$E409)+IF($F409="",0,$F409)-IF($G409="",0,$G409))</f>
        <v/>
      </c>
      <c r="I409" s="12" t="n"/>
      <c r="J409" s="12" t="n"/>
      <c r="K409" s="12" t="n"/>
      <c r="L409" s="14" t="n"/>
      <c r="M409" s="12" t="n"/>
      <c r="N409" s="12" t="n"/>
      <c r="O409" s="12" t="n"/>
    </row>
    <row r="410">
      <c r="A410" s="12" t="n"/>
      <c r="B410" s="13">
        <f>IF($A410="","",IFERROR(INDEX(Emp_Names,MATCH($A410,Emp_Codes,0)),"NOT FOUND"))</f>
        <v/>
      </c>
      <c r="C410" s="14" t="n"/>
      <c r="D410" s="15" t="n"/>
      <c r="E410" s="15" t="n"/>
      <c r="F410" s="15" t="n"/>
      <c r="G410" s="15" t="n"/>
      <c r="H410" s="16">
        <f>IF($A410="","",$D410+IF($E410="",0,$E410)+IF($F410="",0,$F410)-IF($G410="",0,$G410))</f>
        <v/>
      </c>
      <c r="I410" s="12" t="n"/>
      <c r="J410" s="12" t="n"/>
      <c r="K410" s="12" t="n"/>
      <c r="L410" s="14" t="n"/>
      <c r="M410" s="12" t="n"/>
      <c r="N410" s="12" t="n"/>
      <c r="O410" s="12" t="n"/>
    </row>
    <row r="411">
      <c r="A411" s="12" t="n"/>
      <c r="B411" s="13">
        <f>IF($A411="","",IFERROR(INDEX(Emp_Names,MATCH($A411,Emp_Codes,0)),"NOT FOUND"))</f>
        <v/>
      </c>
      <c r="C411" s="14" t="n"/>
      <c r="D411" s="15" t="n"/>
      <c r="E411" s="15" t="n"/>
      <c r="F411" s="15" t="n"/>
      <c r="G411" s="15" t="n"/>
      <c r="H411" s="16">
        <f>IF($A411="","",$D411+IF($E411="",0,$E411)+IF($F411="",0,$F411)-IF($G411="",0,$G411))</f>
        <v/>
      </c>
      <c r="I411" s="12" t="n"/>
      <c r="J411" s="12" t="n"/>
      <c r="K411" s="12" t="n"/>
      <c r="L411" s="14" t="n"/>
      <c r="M411" s="12" t="n"/>
      <c r="N411" s="12" t="n"/>
      <c r="O411" s="12" t="n"/>
    </row>
    <row r="412">
      <c r="A412" s="12" t="n"/>
      <c r="B412" s="13">
        <f>IF($A412="","",IFERROR(INDEX(Emp_Names,MATCH($A412,Emp_Codes,0)),"NOT FOUND"))</f>
        <v/>
      </c>
      <c r="C412" s="14" t="n"/>
      <c r="D412" s="15" t="n"/>
      <c r="E412" s="15" t="n"/>
      <c r="F412" s="15" t="n"/>
      <c r="G412" s="15" t="n"/>
      <c r="H412" s="16">
        <f>IF($A412="","",$D412+IF($E412="",0,$E412)+IF($F412="",0,$F412)-IF($G412="",0,$G412))</f>
        <v/>
      </c>
      <c r="I412" s="12" t="n"/>
      <c r="J412" s="12" t="n"/>
      <c r="K412" s="12" t="n"/>
      <c r="L412" s="14" t="n"/>
      <c r="M412" s="12" t="n"/>
      <c r="N412" s="12" t="n"/>
      <c r="O412" s="12" t="n"/>
    </row>
    <row r="413">
      <c r="A413" s="12" t="n"/>
      <c r="B413" s="13">
        <f>IF($A413="","",IFERROR(INDEX(Emp_Names,MATCH($A413,Emp_Codes,0)),"NOT FOUND"))</f>
        <v/>
      </c>
      <c r="C413" s="14" t="n"/>
      <c r="D413" s="15" t="n"/>
      <c r="E413" s="15" t="n"/>
      <c r="F413" s="15" t="n"/>
      <c r="G413" s="15" t="n"/>
      <c r="H413" s="16">
        <f>IF($A413="","",$D413+IF($E413="",0,$E413)+IF($F413="",0,$F413)-IF($G413="",0,$G413))</f>
        <v/>
      </c>
      <c r="I413" s="12" t="n"/>
      <c r="J413" s="12" t="n"/>
      <c r="K413" s="12" t="n"/>
      <c r="L413" s="14" t="n"/>
      <c r="M413" s="12" t="n"/>
      <c r="N413" s="12" t="n"/>
      <c r="O413" s="12" t="n"/>
    </row>
    <row r="414">
      <c r="A414" s="12" t="n"/>
      <c r="B414" s="13">
        <f>IF($A414="","",IFERROR(INDEX(Emp_Names,MATCH($A414,Emp_Codes,0)),"NOT FOUND"))</f>
        <v/>
      </c>
      <c r="C414" s="14" t="n"/>
      <c r="D414" s="15" t="n"/>
      <c r="E414" s="15" t="n"/>
      <c r="F414" s="15" t="n"/>
      <c r="G414" s="15" t="n"/>
      <c r="H414" s="16">
        <f>IF($A414="","",$D414+IF($E414="",0,$E414)+IF($F414="",0,$F414)-IF($G414="",0,$G414))</f>
        <v/>
      </c>
      <c r="I414" s="12" t="n"/>
      <c r="J414" s="12" t="n"/>
      <c r="K414" s="12" t="n"/>
      <c r="L414" s="14" t="n"/>
      <c r="M414" s="12" t="n"/>
      <c r="N414" s="12" t="n"/>
      <c r="O414" s="12" t="n"/>
    </row>
    <row r="415">
      <c r="A415" s="12" t="n"/>
      <c r="B415" s="13">
        <f>IF($A415="","",IFERROR(INDEX(Emp_Names,MATCH($A415,Emp_Codes,0)),"NOT FOUND"))</f>
        <v/>
      </c>
      <c r="C415" s="14" t="n"/>
      <c r="D415" s="15" t="n"/>
      <c r="E415" s="15" t="n"/>
      <c r="F415" s="15" t="n"/>
      <c r="G415" s="15" t="n"/>
      <c r="H415" s="16">
        <f>IF($A415="","",$D415+IF($E415="",0,$E415)+IF($F415="",0,$F415)-IF($G415="",0,$G415))</f>
        <v/>
      </c>
      <c r="I415" s="12" t="n"/>
      <c r="J415" s="12" t="n"/>
      <c r="K415" s="12" t="n"/>
      <c r="L415" s="14" t="n"/>
      <c r="M415" s="12" t="n"/>
      <c r="N415" s="12" t="n"/>
      <c r="O415" s="12" t="n"/>
    </row>
    <row r="416">
      <c r="A416" s="12" t="n"/>
      <c r="B416" s="13">
        <f>IF($A416="","",IFERROR(INDEX(Emp_Names,MATCH($A416,Emp_Codes,0)),"NOT FOUND"))</f>
        <v/>
      </c>
      <c r="C416" s="14" t="n"/>
      <c r="D416" s="15" t="n"/>
      <c r="E416" s="15" t="n"/>
      <c r="F416" s="15" t="n"/>
      <c r="G416" s="15" t="n"/>
      <c r="H416" s="16">
        <f>IF($A416="","",$D416+IF($E416="",0,$E416)+IF($F416="",0,$F416)-IF($G416="",0,$G416))</f>
        <v/>
      </c>
      <c r="I416" s="12" t="n"/>
      <c r="J416" s="12" t="n"/>
      <c r="K416" s="12" t="n"/>
      <c r="L416" s="14" t="n"/>
      <c r="M416" s="12" t="n"/>
      <c r="N416" s="12" t="n"/>
      <c r="O416" s="12" t="n"/>
    </row>
    <row r="417">
      <c r="A417" s="12" t="n"/>
      <c r="B417" s="13">
        <f>IF($A417="","",IFERROR(INDEX(Emp_Names,MATCH($A417,Emp_Codes,0)),"NOT FOUND"))</f>
        <v/>
      </c>
      <c r="C417" s="14" t="n"/>
      <c r="D417" s="15" t="n"/>
      <c r="E417" s="15" t="n"/>
      <c r="F417" s="15" t="n"/>
      <c r="G417" s="15" t="n"/>
      <c r="H417" s="16">
        <f>IF($A417="","",$D417+IF($E417="",0,$E417)+IF($F417="",0,$F417)-IF($G417="",0,$G417))</f>
        <v/>
      </c>
      <c r="I417" s="12" t="n"/>
      <c r="J417" s="12" t="n"/>
      <c r="K417" s="12" t="n"/>
      <c r="L417" s="14" t="n"/>
      <c r="M417" s="12" t="n"/>
      <c r="N417" s="12" t="n"/>
      <c r="O417" s="12" t="n"/>
    </row>
    <row r="418">
      <c r="A418" s="12" t="n"/>
      <c r="B418" s="13">
        <f>IF($A418="","",IFERROR(INDEX(Emp_Names,MATCH($A418,Emp_Codes,0)),"NOT FOUND"))</f>
        <v/>
      </c>
      <c r="C418" s="14" t="n"/>
      <c r="D418" s="15" t="n"/>
      <c r="E418" s="15" t="n"/>
      <c r="F418" s="15" t="n"/>
      <c r="G418" s="15" t="n"/>
      <c r="H418" s="16">
        <f>IF($A418="","",$D418+IF($E418="",0,$E418)+IF($F418="",0,$F418)-IF($G418="",0,$G418))</f>
        <v/>
      </c>
      <c r="I418" s="12" t="n"/>
      <c r="J418" s="12" t="n"/>
      <c r="K418" s="12" t="n"/>
      <c r="L418" s="14" t="n"/>
      <c r="M418" s="12" t="n"/>
      <c r="N418" s="12" t="n"/>
      <c r="O418" s="12" t="n"/>
    </row>
    <row r="419">
      <c r="A419" s="12" t="n"/>
      <c r="B419" s="13">
        <f>IF($A419="","",IFERROR(INDEX(Emp_Names,MATCH($A419,Emp_Codes,0)),"NOT FOUND"))</f>
        <v/>
      </c>
      <c r="C419" s="14" t="n"/>
      <c r="D419" s="15" t="n"/>
      <c r="E419" s="15" t="n"/>
      <c r="F419" s="15" t="n"/>
      <c r="G419" s="15" t="n"/>
      <c r="H419" s="16">
        <f>IF($A419="","",$D419+IF($E419="",0,$E419)+IF($F419="",0,$F419)-IF($G419="",0,$G419))</f>
        <v/>
      </c>
      <c r="I419" s="12" t="n"/>
      <c r="J419" s="12" t="n"/>
      <c r="K419" s="12" t="n"/>
      <c r="L419" s="14" t="n"/>
      <c r="M419" s="12" t="n"/>
      <c r="N419" s="12" t="n"/>
      <c r="O419" s="12" t="n"/>
    </row>
    <row r="420">
      <c r="A420" s="12" t="n"/>
      <c r="B420" s="13">
        <f>IF($A420="","",IFERROR(INDEX(Emp_Names,MATCH($A420,Emp_Codes,0)),"NOT FOUND"))</f>
        <v/>
      </c>
      <c r="C420" s="14" t="n"/>
      <c r="D420" s="15" t="n"/>
      <c r="E420" s="15" t="n"/>
      <c r="F420" s="15" t="n"/>
      <c r="G420" s="15" t="n"/>
      <c r="H420" s="16">
        <f>IF($A420="","",$D420+IF($E420="",0,$E420)+IF($F420="",0,$F420)-IF($G420="",0,$G420))</f>
        <v/>
      </c>
      <c r="I420" s="12" t="n"/>
      <c r="J420" s="12" t="n"/>
      <c r="K420" s="12" t="n"/>
      <c r="L420" s="14" t="n"/>
      <c r="M420" s="12" t="n"/>
      <c r="N420" s="12" t="n"/>
      <c r="O420" s="12" t="n"/>
    </row>
    <row r="421">
      <c r="A421" s="12" t="n"/>
      <c r="B421" s="13">
        <f>IF($A421="","",IFERROR(INDEX(Emp_Names,MATCH($A421,Emp_Codes,0)),"NOT FOUND"))</f>
        <v/>
      </c>
      <c r="C421" s="14" t="n"/>
      <c r="D421" s="15" t="n"/>
      <c r="E421" s="15" t="n"/>
      <c r="F421" s="15" t="n"/>
      <c r="G421" s="15" t="n"/>
      <c r="H421" s="16">
        <f>IF($A421="","",$D421+IF($E421="",0,$E421)+IF($F421="",0,$F421)-IF($G421="",0,$G421))</f>
        <v/>
      </c>
      <c r="I421" s="12" t="n"/>
      <c r="J421" s="12" t="n"/>
      <c r="K421" s="12" t="n"/>
      <c r="L421" s="14" t="n"/>
      <c r="M421" s="12" t="n"/>
      <c r="N421" s="12" t="n"/>
      <c r="O421" s="12" t="n"/>
    </row>
    <row r="422">
      <c r="A422" s="12" t="n"/>
      <c r="B422" s="13">
        <f>IF($A422="","",IFERROR(INDEX(Emp_Names,MATCH($A422,Emp_Codes,0)),"NOT FOUND"))</f>
        <v/>
      </c>
      <c r="C422" s="14" t="n"/>
      <c r="D422" s="15" t="n"/>
      <c r="E422" s="15" t="n"/>
      <c r="F422" s="15" t="n"/>
      <c r="G422" s="15" t="n"/>
      <c r="H422" s="16">
        <f>IF($A422="","",$D422+IF($E422="",0,$E422)+IF($F422="",0,$F422)-IF($G422="",0,$G422))</f>
        <v/>
      </c>
      <c r="I422" s="12" t="n"/>
      <c r="J422" s="12" t="n"/>
      <c r="K422" s="12" t="n"/>
      <c r="L422" s="14" t="n"/>
      <c r="M422" s="12" t="n"/>
      <c r="N422" s="12" t="n"/>
      <c r="O422" s="12" t="n"/>
    </row>
    <row r="423">
      <c r="A423" s="12" t="n"/>
      <c r="B423" s="13">
        <f>IF($A423="","",IFERROR(INDEX(Emp_Names,MATCH($A423,Emp_Codes,0)),"NOT FOUND"))</f>
        <v/>
      </c>
      <c r="C423" s="14" t="n"/>
      <c r="D423" s="15" t="n"/>
      <c r="E423" s="15" t="n"/>
      <c r="F423" s="15" t="n"/>
      <c r="G423" s="15" t="n"/>
      <c r="H423" s="16">
        <f>IF($A423="","",$D423+IF($E423="",0,$E423)+IF($F423="",0,$F423)-IF($G423="",0,$G423))</f>
        <v/>
      </c>
      <c r="I423" s="12" t="n"/>
      <c r="J423" s="12" t="n"/>
      <c r="K423" s="12" t="n"/>
      <c r="L423" s="14" t="n"/>
      <c r="M423" s="12" t="n"/>
      <c r="N423" s="12" t="n"/>
      <c r="O423" s="12" t="n"/>
    </row>
    <row r="424">
      <c r="A424" s="12" t="n"/>
      <c r="B424" s="13">
        <f>IF($A424="","",IFERROR(INDEX(Emp_Names,MATCH($A424,Emp_Codes,0)),"NOT FOUND"))</f>
        <v/>
      </c>
      <c r="C424" s="14" t="n"/>
      <c r="D424" s="15" t="n"/>
      <c r="E424" s="15" t="n"/>
      <c r="F424" s="15" t="n"/>
      <c r="G424" s="15" t="n"/>
      <c r="H424" s="16">
        <f>IF($A424="","",$D424+IF($E424="",0,$E424)+IF($F424="",0,$F424)-IF($G424="",0,$G424))</f>
        <v/>
      </c>
      <c r="I424" s="12" t="n"/>
      <c r="J424" s="12" t="n"/>
      <c r="K424" s="12" t="n"/>
      <c r="L424" s="14" t="n"/>
      <c r="M424" s="12" t="n"/>
      <c r="N424" s="12" t="n"/>
      <c r="O424" s="12" t="n"/>
    </row>
    <row r="425">
      <c r="A425" s="12" t="n"/>
      <c r="B425" s="13">
        <f>IF($A425="","",IFERROR(INDEX(Emp_Names,MATCH($A425,Emp_Codes,0)),"NOT FOUND"))</f>
        <v/>
      </c>
      <c r="C425" s="14" t="n"/>
      <c r="D425" s="15" t="n"/>
      <c r="E425" s="15" t="n"/>
      <c r="F425" s="15" t="n"/>
      <c r="G425" s="15" t="n"/>
      <c r="H425" s="16">
        <f>IF($A425="","",$D425+IF($E425="",0,$E425)+IF($F425="",0,$F425)-IF($G425="",0,$G425))</f>
        <v/>
      </c>
      <c r="I425" s="12" t="n"/>
      <c r="J425" s="12" t="n"/>
      <c r="K425" s="12" t="n"/>
      <c r="L425" s="14" t="n"/>
      <c r="M425" s="12" t="n"/>
      <c r="N425" s="12" t="n"/>
      <c r="O425" s="12" t="n"/>
    </row>
    <row r="426">
      <c r="A426" s="12" t="n"/>
      <c r="B426" s="13">
        <f>IF($A426="","",IFERROR(INDEX(Emp_Names,MATCH($A426,Emp_Codes,0)),"NOT FOUND"))</f>
        <v/>
      </c>
      <c r="C426" s="14" t="n"/>
      <c r="D426" s="15" t="n"/>
      <c r="E426" s="15" t="n"/>
      <c r="F426" s="15" t="n"/>
      <c r="G426" s="15" t="n"/>
      <c r="H426" s="16">
        <f>IF($A426="","",$D426+IF($E426="",0,$E426)+IF($F426="",0,$F426)-IF($G426="",0,$G426))</f>
        <v/>
      </c>
      <c r="I426" s="12" t="n"/>
      <c r="J426" s="12" t="n"/>
      <c r="K426" s="12" t="n"/>
      <c r="L426" s="14" t="n"/>
      <c r="M426" s="12" t="n"/>
      <c r="N426" s="12" t="n"/>
      <c r="O426" s="12" t="n"/>
    </row>
    <row r="427">
      <c r="A427" s="12" t="n"/>
      <c r="B427" s="13">
        <f>IF($A427="","",IFERROR(INDEX(Emp_Names,MATCH($A427,Emp_Codes,0)),"NOT FOUND"))</f>
        <v/>
      </c>
      <c r="C427" s="14" t="n"/>
      <c r="D427" s="15" t="n"/>
      <c r="E427" s="15" t="n"/>
      <c r="F427" s="15" t="n"/>
      <c r="G427" s="15" t="n"/>
      <c r="H427" s="16">
        <f>IF($A427="","",$D427+IF($E427="",0,$E427)+IF($F427="",0,$F427)-IF($G427="",0,$G427))</f>
        <v/>
      </c>
      <c r="I427" s="12" t="n"/>
      <c r="J427" s="12" t="n"/>
      <c r="K427" s="12" t="n"/>
      <c r="L427" s="14" t="n"/>
      <c r="M427" s="12" t="n"/>
      <c r="N427" s="12" t="n"/>
      <c r="O427" s="12" t="n"/>
    </row>
    <row r="428">
      <c r="A428" s="12" t="n"/>
      <c r="B428" s="13">
        <f>IF($A428="","",IFERROR(INDEX(Emp_Names,MATCH($A428,Emp_Codes,0)),"NOT FOUND"))</f>
        <v/>
      </c>
      <c r="C428" s="14" t="n"/>
      <c r="D428" s="15" t="n"/>
      <c r="E428" s="15" t="n"/>
      <c r="F428" s="15" t="n"/>
      <c r="G428" s="15" t="n"/>
      <c r="H428" s="16">
        <f>IF($A428="","",$D428+IF($E428="",0,$E428)+IF($F428="",0,$F428)-IF($G428="",0,$G428))</f>
        <v/>
      </c>
      <c r="I428" s="12" t="n"/>
      <c r="J428" s="12" t="n"/>
      <c r="K428" s="12" t="n"/>
      <c r="L428" s="14" t="n"/>
      <c r="M428" s="12" t="n"/>
      <c r="N428" s="12" t="n"/>
      <c r="O428" s="12" t="n"/>
    </row>
    <row r="429">
      <c r="A429" s="12" t="n"/>
      <c r="B429" s="13">
        <f>IF($A429="","",IFERROR(INDEX(Emp_Names,MATCH($A429,Emp_Codes,0)),"NOT FOUND"))</f>
        <v/>
      </c>
      <c r="C429" s="14" t="n"/>
      <c r="D429" s="15" t="n"/>
      <c r="E429" s="15" t="n"/>
      <c r="F429" s="15" t="n"/>
      <c r="G429" s="15" t="n"/>
      <c r="H429" s="16">
        <f>IF($A429="","",$D429+IF($E429="",0,$E429)+IF($F429="",0,$F429)-IF($G429="",0,$G429))</f>
        <v/>
      </c>
      <c r="I429" s="12" t="n"/>
      <c r="J429" s="12" t="n"/>
      <c r="K429" s="12" t="n"/>
      <c r="L429" s="14" t="n"/>
      <c r="M429" s="12" t="n"/>
      <c r="N429" s="12" t="n"/>
      <c r="O429" s="12" t="n"/>
    </row>
    <row r="430">
      <c r="A430" s="12" t="n"/>
      <c r="B430" s="13">
        <f>IF($A430="","",IFERROR(INDEX(Emp_Names,MATCH($A430,Emp_Codes,0)),"NOT FOUND"))</f>
        <v/>
      </c>
      <c r="C430" s="14" t="n"/>
      <c r="D430" s="15" t="n"/>
      <c r="E430" s="15" t="n"/>
      <c r="F430" s="15" t="n"/>
      <c r="G430" s="15" t="n"/>
      <c r="H430" s="16">
        <f>IF($A430="","",$D430+IF($E430="",0,$E430)+IF($F430="",0,$F430)-IF($G430="",0,$G430))</f>
        <v/>
      </c>
      <c r="I430" s="12" t="n"/>
      <c r="J430" s="12" t="n"/>
      <c r="K430" s="12" t="n"/>
      <c r="L430" s="14" t="n"/>
      <c r="M430" s="12" t="n"/>
      <c r="N430" s="12" t="n"/>
      <c r="O430" s="12" t="n"/>
    </row>
    <row r="431">
      <c r="A431" s="12" t="n"/>
      <c r="B431" s="13">
        <f>IF($A431="","",IFERROR(INDEX(Emp_Names,MATCH($A431,Emp_Codes,0)),"NOT FOUND"))</f>
        <v/>
      </c>
      <c r="C431" s="14" t="n"/>
      <c r="D431" s="15" t="n"/>
      <c r="E431" s="15" t="n"/>
      <c r="F431" s="15" t="n"/>
      <c r="G431" s="15" t="n"/>
      <c r="H431" s="16">
        <f>IF($A431="","",$D431+IF($E431="",0,$E431)+IF($F431="",0,$F431)-IF($G431="",0,$G431))</f>
        <v/>
      </c>
      <c r="I431" s="12" t="n"/>
      <c r="J431" s="12" t="n"/>
      <c r="K431" s="12" t="n"/>
      <c r="L431" s="14" t="n"/>
      <c r="M431" s="12" t="n"/>
      <c r="N431" s="12" t="n"/>
      <c r="O431" s="12" t="n"/>
    </row>
    <row r="432">
      <c r="A432" s="12" t="n"/>
      <c r="B432" s="13">
        <f>IF($A432="","",IFERROR(INDEX(Emp_Names,MATCH($A432,Emp_Codes,0)),"NOT FOUND"))</f>
        <v/>
      </c>
      <c r="C432" s="14" t="n"/>
      <c r="D432" s="15" t="n"/>
      <c r="E432" s="15" t="n"/>
      <c r="F432" s="15" t="n"/>
      <c r="G432" s="15" t="n"/>
      <c r="H432" s="16">
        <f>IF($A432="","",$D432+IF($E432="",0,$E432)+IF($F432="",0,$F432)-IF($G432="",0,$G432))</f>
        <v/>
      </c>
      <c r="I432" s="12" t="n"/>
      <c r="J432" s="12" t="n"/>
      <c r="K432" s="12" t="n"/>
      <c r="L432" s="14" t="n"/>
      <c r="M432" s="12" t="n"/>
      <c r="N432" s="12" t="n"/>
      <c r="O432" s="12" t="n"/>
    </row>
    <row r="433">
      <c r="A433" s="12" t="n"/>
      <c r="B433" s="13">
        <f>IF($A433="","",IFERROR(INDEX(Emp_Names,MATCH($A433,Emp_Codes,0)),"NOT FOUND"))</f>
        <v/>
      </c>
      <c r="C433" s="14" t="n"/>
      <c r="D433" s="15" t="n"/>
      <c r="E433" s="15" t="n"/>
      <c r="F433" s="15" t="n"/>
      <c r="G433" s="15" t="n"/>
      <c r="H433" s="16">
        <f>IF($A433="","",$D433+IF($E433="",0,$E433)+IF($F433="",0,$F433)-IF($G433="",0,$G433))</f>
        <v/>
      </c>
      <c r="I433" s="12" t="n"/>
      <c r="J433" s="12" t="n"/>
      <c r="K433" s="12" t="n"/>
      <c r="L433" s="14" t="n"/>
      <c r="M433" s="12" t="n"/>
      <c r="N433" s="12" t="n"/>
      <c r="O433" s="12" t="n"/>
    </row>
    <row r="434">
      <c r="A434" s="12" t="n"/>
      <c r="B434" s="13">
        <f>IF($A434="","",IFERROR(INDEX(Emp_Names,MATCH($A434,Emp_Codes,0)),"NOT FOUND"))</f>
        <v/>
      </c>
      <c r="C434" s="14" t="n"/>
      <c r="D434" s="15" t="n"/>
      <c r="E434" s="15" t="n"/>
      <c r="F434" s="15" t="n"/>
      <c r="G434" s="15" t="n"/>
      <c r="H434" s="16">
        <f>IF($A434="","",$D434+IF($E434="",0,$E434)+IF($F434="",0,$F434)-IF($G434="",0,$G434))</f>
        <v/>
      </c>
      <c r="I434" s="12" t="n"/>
      <c r="J434" s="12" t="n"/>
      <c r="K434" s="12" t="n"/>
      <c r="L434" s="14" t="n"/>
      <c r="M434" s="12" t="n"/>
      <c r="N434" s="12" t="n"/>
      <c r="O434" s="12" t="n"/>
    </row>
    <row r="435">
      <c r="A435" s="12" t="n"/>
      <c r="B435" s="13">
        <f>IF($A435="","",IFERROR(INDEX(Emp_Names,MATCH($A435,Emp_Codes,0)),"NOT FOUND"))</f>
        <v/>
      </c>
      <c r="C435" s="14" t="n"/>
      <c r="D435" s="15" t="n"/>
      <c r="E435" s="15" t="n"/>
      <c r="F435" s="15" t="n"/>
      <c r="G435" s="15" t="n"/>
      <c r="H435" s="16">
        <f>IF($A435="","",$D435+IF($E435="",0,$E435)+IF($F435="",0,$F435)-IF($G435="",0,$G435))</f>
        <v/>
      </c>
      <c r="I435" s="12" t="n"/>
      <c r="J435" s="12" t="n"/>
      <c r="K435" s="12" t="n"/>
      <c r="L435" s="14" t="n"/>
      <c r="M435" s="12" t="n"/>
      <c r="N435" s="12" t="n"/>
      <c r="O435" s="12" t="n"/>
    </row>
    <row r="436">
      <c r="A436" s="12" t="n"/>
      <c r="B436" s="13">
        <f>IF($A436="","",IFERROR(INDEX(Emp_Names,MATCH($A436,Emp_Codes,0)),"NOT FOUND"))</f>
        <v/>
      </c>
      <c r="C436" s="14" t="n"/>
      <c r="D436" s="15" t="n"/>
      <c r="E436" s="15" t="n"/>
      <c r="F436" s="15" t="n"/>
      <c r="G436" s="15" t="n"/>
      <c r="H436" s="16">
        <f>IF($A436="","",$D436+IF($E436="",0,$E436)+IF($F436="",0,$F436)-IF($G436="",0,$G436))</f>
        <v/>
      </c>
      <c r="I436" s="12" t="n"/>
      <c r="J436" s="12" t="n"/>
      <c r="K436" s="12" t="n"/>
      <c r="L436" s="14" t="n"/>
      <c r="M436" s="12" t="n"/>
      <c r="N436" s="12" t="n"/>
      <c r="O436" s="12" t="n"/>
    </row>
    <row r="437">
      <c r="A437" s="12" t="n"/>
      <c r="B437" s="13">
        <f>IF($A437="","",IFERROR(INDEX(Emp_Names,MATCH($A437,Emp_Codes,0)),"NOT FOUND"))</f>
        <v/>
      </c>
      <c r="C437" s="14" t="n"/>
      <c r="D437" s="15" t="n"/>
      <c r="E437" s="15" t="n"/>
      <c r="F437" s="15" t="n"/>
      <c r="G437" s="15" t="n"/>
      <c r="H437" s="16">
        <f>IF($A437="","",$D437+IF($E437="",0,$E437)+IF($F437="",0,$F437)-IF($G437="",0,$G437))</f>
        <v/>
      </c>
      <c r="I437" s="12" t="n"/>
      <c r="J437" s="12" t="n"/>
      <c r="K437" s="12" t="n"/>
      <c r="L437" s="14" t="n"/>
      <c r="M437" s="12" t="n"/>
      <c r="N437" s="12" t="n"/>
      <c r="O437" s="12" t="n"/>
    </row>
    <row r="438">
      <c r="A438" s="12" t="n"/>
      <c r="B438" s="13">
        <f>IF($A438="","",IFERROR(INDEX(Emp_Names,MATCH($A438,Emp_Codes,0)),"NOT FOUND"))</f>
        <v/>
      </c>
      <c r="C438" s="14" t="n"/>
      <c r="D438" s="15" t="n"/>
      <c r="E438" s="15" t="n"/>
      <c r="F438" s="15" t="n"/>
      <c r="G438" s="15" t="n"/>
      <c r="H438" s="16">
        <f>IF($A438="","",$D438+IF($E438="",0,$E438)+IF($F438="",0,$F438)-IF($G438="",0,$G438))</f>
        <v/>
      </c>
      <c r="I438" s="12" t="n"/>
      <c r="J438" s="12" t="n"/>
      <c r="K438" s="12" t="n"/>
      <c r="L438" s="14" t="n"/>
      <c r="M438" s="12" t="n"/>
      <c r="N438" s="12" t="n"/>
      <c r="O438" s="12" t="n"/>
    </row>
    <row r="439">
      <c r="A439" s="12" t="n"/>
      <c r="B439" s="13">
        <f>IF($A439="","",IFERROR(INDEX(Emp_Names,MATCH($A439,Emp_Codes,0)),"NOT FOUND"))</f>
        <v/>
      </c>
      <c r="C439" s="14" t="n"/>
      <c r="D439" s="15" t="n"/>
      <c r="E439" s="15" t="n"/>
      <c r="F439" s="15" t="n"/>
      <c r="G439" s="15" t="n"/>
      <c r="H439" s="16">
        <f>IF($A439="","",$D439+IF($E439="",0,$E439)+IF($F439="",0,$F439)-IF($G439="",0,$G439))</f>
        <v/>
      </c>
      <c r="I439" s="12" t="n"/>
      <c r="J439" s="12" t="n"/>
      <c r="K439" s="12" t="n"/>
      <c r="L439" s="14" t="n"/>
      <c r="M439" s="12" t="n"/>
      <c r="N439" s="12" t="n"/>
      <c r="O439" s="12" t="n"/>
    </row>
    <row r="440">
      <c r="A440" s="12" t="n"/>
      <c r="B440" s="13">
        <f>IF($A440="","",IFERROR(INDEX(Emp_Names,MATCH($A440,Emp_Codes,0)),"NOT FOUND"))</f>
        <v/>
      </c>
      <c r="C440" s="14" t="n"/>
      <c r="D440" s="15" t="n"/>
      <c r="E440" s="15" t="n"/>
      <c r="F440" s="15" t="n"/>
      <c r="G440" s="15" t="n"/>
      <c r="H440" s="16">
        <f>IF($A440="","",$D440+IF($E440="",0,$E440)+IF($F440="",0,$F440)-IF($G440="",0,$G440))</f>
        <v/>
      </c>
      <c r="I440" s="12" t="n"/>
      <c r="J440" s="12" t="n"/>
      <c r="K440" s="12" t="n"/>
      <c r="L440" s="14" t="n"/>
      <c r="M440" s="12" t="n"/>
      <c r="N440" s="12" t="n"/>
      <c r="O440" s="12" t="n"/>
    </row>
    <row r="441">
      <c r="A441" s="12" t="n"/>
      <c r="B441" s="13">
        <f>IF($A441="","",IFERROR(INDEX(Emp_Names,MATCH($A441,Emp_Codes,0)),"NOT FOUND"))</f>
        <v/>
      </c>
      <c r="C441" s="14" t="n"/>
      <c r="D441" s="15" t="n"/>
      <c r="E441" s="15" t="n"/>
      <c r="F441" s="15" t="n"/>
      <c r="G441" s="15" t="n"/>
      <c r="H441" s="16">
        <f>IF($A441="","",$D441+IF($E441="",0,$E441)+IF($F441="",0,$F441)-IF($G441="",0,$G441))</f>
        <v/>
      </c>
      <c r="I441" s="12" t="n"/>
      <c r="J441" s="12" t="n"/>
      <c r="K441" s="12" t="n"/>
      <c r="L441" s="14" t="n"/>
      <c r="M441" s="12" t="n"/>
      <c r="N441" s="12" t="n"/>
      <c r="O441" s="12" t="n"/>
    </row>
    <row r="442">
      <c r="A442" s="12" t="n"/>
      <c r="B442" s="13">
        <f>IF($A442="","",IFERROR(INDEX(Emp_Names,MATCH($A442,Emp_Codes,0)),"NOT FOUND"))</f>
        <v/>
      </c>
      <c r="C442" s="14" t="n"/>
      <c r="D442" s="15" t="n"/>
      <c r="E442" s="15" t="n"/>
      <c r="F442" s="15" t="n"/>
      <c r="G442" s="15" t="n"/>
      <c r="H442" s="16">
        <f>IF($A442="","",$D442+IF($E442="",0,$E442)+IF($F442="",0,$F442)-IF($G442="",0,$G442))</f>
        <v/>
      </c>
      <c r="I442" s="12" t="n"/>
      <c r="J442" s="12" t="n"/>
      <c r="K442" s="12" t="n"/>
      <c r="L442" s="14" t="n"/>
      <c r="M442" s="12" t="n"/>
      <c r="N442" s="12" t="n"/>
      <c r="O442" s="12" t="n"/>
    </row>
    <row r="443">
      <c r="A443" s="12" t="n"/>
      <c r="B443" s="13">
        <f>IF($A443="","",IFERROR(INDEX(Emp_Names,MATCH($A443,Emp_Codes,0)),"NOT FOUND"))</f>
        <v/>
      </c>
      <c r="C443" s="14" t="n"/>
      <c r="D443" s="15" t="n"/>
      <c r="E443" s="15" t="n"/>
      <c r="F443" s="15" t="n"/>
      <c r="G443" s="15" t="n"/>
      <c r="H443" s="16">
        <f>IF($A443="","",$D443+IF($E443="",0,$E443)+IF($F443="",0,$F443)-IF($G443="",0,$G443))</f>
        <v/>
      </c>
      <c r="I443" s="12" t="n"/>
      <c r="J443" s="12" t="n"/>
      <c r="K443" s="12" t="n"/>
      <c r="L443" s="14" t="n"/>
      <c r="M443" s="12" t="n"/>
      <c r="N443" s="12" t="n"/>
      <c r="O443" s="12" t="n"/>
    </row>
    <row r="444">
      <c r="A444" s="12" t="n"/>
      <c r="B444" s="13">
        <f>IF($A444="","",IFERROR(INDEX(Emp_Names,MATCH($A444,Emp_Codes,0)),"NOT FOUND"))</f>
        <v/>
      </c>
      <c r="C444" s="14" t="n"/>
      <c r="D444" s="15" t="n"/>
      <c r="E444" s="15" t="n"/>
      <c r="F444" s="15" t="n"/>
      <c r="G444" s="15" t="n"/>
      <c r="H444" s="16">
        <f>IF($A444="","",$D444+IF($E444="",0,$E444)+IF($F444="",0,$F444)-IF($G444="",0,$G444))</f>
        <v/>
      </c>
      <c r="I444" s="12" t="n"/>
      <c r="J444" s="12" t="n"/>
      <c r="K444" s="12" t="n"/>
      <c r="L444" s="14" t="n"/>
      <c r="M444" s="12" t="n"/>
      <c r="N444" s="12" t="n"/>
      <c r="O444" s="12" t="n"/>
    </row>
    <row r="445">
      <c r="A445" s="12" t="n"/>
      <c r="B445" s="13">
        <f>IF($A445="","",IFERROR(INDEX(Emp_Names,MATCH($A445,Emp_Codes,0)),"NOT FOUND"))</f>
        <v/>
      </c>
      <c r="C445" s="14" t="n"/>
      <c r="D445" s="15" t="n"/>
      <c r="E445" s="15" t="n"/>
      <c r="F445" s="15" t="n"/>
      <c r="G445" s="15" t="n"/>
      <c r="H445" s="16">
        <f>IF($A445="","",$D445+IF($E445="",0,$E445)+IF($F445="",0,$F445)-IF($G445="",0,$G445))</f>
        <v/>
      </c>
      <c r="I445" s="12" t="n"/>
      <c r="J445" s="12" t="n"/>
      <c r="K445" s="12" t="n"/>
      <c r="L445" s="14" t="n"/>
      <c r="M445" s="12" t="n"/>
      <c r="N445" s="12" t="n"/>
      <c r="O445" s="12" t="n"/>
    </row>
    <row r="446">
      <c r="A446" s="12" t="n"/>
      <c r="B446" s="13">
        <f>IF($A446="","",IFERROR(INDEX(Emp_Names,MATCH($A446,Emp_Codes,0)),"NOT FOUND"))</f>
        <v/>
      </c>
      <c r="C446" s="14" t="n"/>
      <c r="D446" s="15" t="n"/>
      <c r="E446" s="15" t="n"/>
      <c r="F446" s="15" t="n"/>
      <c r="G446" s="15" t="n"/>
      <c r="H446" s="16">
        <f>IF($A446="","",$D446+IF($E446="",0,$E446)+IF($F446="",0,$F446)-IF($G446="",0,$G446))</f>
        <v/>
      </c>
      <c r="I446" s="12" t="n"/>
      <c r="J446" s="12" t="n"/>
      <c r="K446" s="12" t="n"/>
      <c r="L446" s="14" t="n"/>
      <c r="M446" s="12" t="n"/>
      <c r="N446" s="12" t="n"/>
      <c r="O446" s="12" t="n"/>
    </row>
    <row r="447">
      <c r="A447" s="12" t="n"/>
      <c r="B447" s="13">
        <f>IF($A447="","",IFERROR(INDEX(Emp_Names,MATCH($A447,Emp_Codes,0)),"NOT FOUND"))</f>
        <v/>
      </c>
      <c r="C447" s="14" t="n"/>
      <c r="D447" s="15" t="n"/>
      <c r="E447" s="15" t="n"/>
      <c r="F447" s="15" t="n"/>
      <c r="G447" s="15" t="n"/>
      <c r="H447" s="16">
        <f>IF($A447="","",$D447+IF($E447="",0,$E447)+IF($F447="",0,$F447)-IF($G447="",0,$G447))</f>
        <v/>
      </c>
      <c r="I447" s="12" t="n"/>
      <c r="J447" s="12" t="n"/>
      <c r="K447" s="12" t="n"/>
      <c r="L447" s="14" t="n"/>
      <c r="M447" s="12" t="n"/>
      <c r="N447" s="12" t="n"/>
      <c r="O447" s="12" t="n"/>
    </row>
    <row r="448">
      <c r="A448" s="12" t="n"/>
      <c r="B448" s="13">
        <f>IF($A448="","",IFERROR(INDEX(Emp_Names,MATCH($A448,Emp_Codes,0)),"NOT FOUND"))</f>
        <v/>
      </c>
      <c r="C448" s="14" t="n"/>
      <c r="D448" s="15" t="n"/>
      <c r="E448" s="15" t="n"/>
      <c r="F448" s="15" t="n"/>
      <c r="G448" s="15" t="n"/>
      <c r="H448" s="16">
        <f>IF($A448="","",$D448+IF($E448="",0,$E448)+IF($F448="",0,$F448)-IF($G448="",0,$G448))</f>
        <v/>
      </c>
      <c r="I448" s="12" t="n"/>
      <c r="J448" s="12" t="n"/>
      <c r="K448" s="12" t="n"/>
      <c r="L448" s="14" t="n"/>
      <c r="M448" s="12" t="n"/>
      <c r="N448" s="12" t="n"/>
      <c r="O448" s="12" t="n"/>
    </row>
    <row r="449">
      <c r="A449" s="12" t="n"/>
      <c r="B449" s="13">
        <f>IF($A449="","",IFERROR(INDEX(Emp_Names,MATCH($A449,Emp_Codes,0)),"NOT FOUND"))</f>
        <v/>
      </c>
      <c r="C449" s="14" t="n"/>
      <c r="D449" s="15" t="n"/>
      <c r="E449" s="15" t="n"/>
      <c r="F449" s="15" t="n"/>
      <c r="G449" s="15" t="n"/>
      <c r="H449" s="16">
        <f>IF($A449="","",$D449+IF($E449="",0,$E449)+IF($F449="",0,$F449)-IF($G449="",0,$G449))</f>
        <v/>
      </c>
      <c r="I449" s="12" t="n"/>
      <c r="J449" s="12" t="n"/>
      <c r="K449" s="12" t="n"/>
      <c r="L449" s="14" t="n"/>
      <c r="M449" s="12" t="n"/>
      <c r="N449" s="12" t="n"/>
      <c r="O449" s="12" t="n"/>
    </row>
    <row r="450">
      <c r="A450" s="12" t="n"/>
      <c r="B450" s="13">
        <f>IF($A450="","",IFERROR(INDEX(Emp_Names,MATCH($A450,Emp_Codes,0)),"NOT FOUND"))</f>
        <v/>
      </c>
      <c r="C450" s="14" t="n"/>
      <c r="D450" s="15" t="n"/>
      <c r="E450" s="15" t="n"/>
      <c r="F450" s="15" t="n"/>
      <c r="G450" s="15" t="n"/>
      <c r="H450" s="16">
        <f>IF($A450="","",$D450+IF($E450="",0,$E450)+IF($F450="",0,$F450)-IF($G450="",0,$G450))</f>
        <v/>
      </c>
      <c r="I450" s="12" t="n"/>
      <c r="J450" s="12" t="n"/>
      <c r="K450" s="12" t="n"/>
      <c r="L450" s="14" t="n"/>
      <c r="M450" s="12" t="n"/>
      <c r="N450" s="12" t="n"/>
      <c r="O450" s="12" t="n"/>
    </row>
    <row r="451">
      <c r="A451" s="12" t="n"/>
      <c r="B451" s="13">
        <f>IF($A451="","",IFERROR(INDEX(Emp_Names,MATCH($A451,Emp_Codes,0)),"NOT FOUND"))</f>
        <v/>
      </c>
      <c r="C451" s="14" t="n"/>
      <c r="D451" s="15" t="n"/>
      <c r="E451" s="15" t="n"/>
      <c r="F451" s="15" t="n"/>
      <c r="G451" s="15" t="n"/>
      <c r="H451" s="16">
        <f>IF($A451="","",$D451+IF($E451="",0,$E451)+IF($F451="",0,$F451)-IF($G451="",0,$G451))</f>
        <v/>
      </c>
      <c r="I451" s="12" t="n"/>
      <c r="J451" s="12" t="n"/>
      <c r="K451" s="12" t="n"/>
      <c r="L451" s="14" t="n"/>
      <c r="M451" s="12" t="n"/>
      <c r="N451" s="12" t="n"/>
      <c r="O451" s="12" t="n"/>
    </row>
    <row r="452">
      <c r="A452" s="12" t="n"/>
      <c r="B452" s="13">
        <f>IF($A452="","",IFERROR(INDEX(Emp_Names,MATCH($A452,Emp_Codes,0)),"NOT FOUND"))</f>
        <v/>
      </c>
      <c r="C452" s="14" t="n"/>
      <c r="D452" s="15" t="n"/>
      <c r="E452" s="15" t="n"/>
      <c r="F452" s="15" t="n"/>
      <c r="G452" s="15" t="n"/>
      <c r="H452" s="16">
        <f>IF($A452="","",$D452+IF($E452="",0,$E452)+IF($F452="",0,$F452)-IF($G452="",0,$G452))</f>
        <v/>
      </c>
      <c r="I452" s="12" t="n"/>
      <c r="J452" s="12" t="n"/>
      <c r="K452" s="12" t="n"/>
      <c r="L452" s="14" t="n"/>
      <c r="M452" s="12" t="n"/>
      <c r="N452" s="12" t="n"/>
      <c r="O452" s="12" t="n"/>
    </row>
    <row r="453">
      <c r="A453" s="12" t="n"/>
      <c r="B453" s="13">
        <f>IF($A453="","",IFERROR(INDEX(Emp_Names,MATCH($A453,Emp_Codes,0)),"NOT FOUND"))</f>
        <v/>
      </c>
      <c r="C453" s="14" t="n"/>
      <c r="D453" s="15" t="n"/>
      <c r="E453" s="15" t="n"/>
      <c r="F453" s="15" t="n"/>
      <c r="G453" s="15" t="n"/>
      <c r="H453" s="16">
        <f>IF($A453="","",$D453+IF($E453="",0,$E453)+IF($F453="",0,$F453)-IF($G453="",0,$G453))</f>
        <v/>
      </c>
      <c r="I453" s="12" t="n"/>
      <c r="J453" s="12" t="n"/>
      <c r="K453" s="12" t="n"/>
      <c r="L453" s="14" t="n"/>
      <c r="M453" s="12" t="n"/>
      <c r="N453" s="12" t="n"/>
      <c r="O453" s="12" t="n"/>
    </row>
    <row r="454">
      <c r="A454" s="12" t="n"/>
      <c r="B454" s="13">
        <f>IF($A454="","",IFERROR(INDEX(Emp_Names,MATCH($A454,Emp_Codes,0)),"NOT FOUND"))</f>
        <v/>
      </c>
      <c r="C454" s="14" t="n"/>
      <c r="D454" s="15" t="n"/>
      <c r="E454" s="15" t="n"/>
      <c r="F454" s="15" t="n"/>
      <c r="G454" s="15" t="n"/>
      <c r="H454" s="16">
        <f>IF($A454="","",$D454+IF($E454="",0,$E454)+IF($F454="",0,$F454)-IF($G454="",0,$G454))</f>
        <v/>
      </c>
      <c r="I454" s="12" t="n"/>
      <c r="J454" s="12" t="n"/>
      <c r="K454" s="12" t="n"/>
      <c r="L454" s="14" t="n"/>
      <c r="M454" s="12" t="n"/>
      <c r="N454" s="12" t="n"/>
      <c r="O454" s="12" t="n"/>
    </row>
    <row r="455">
      <c r="A455" s="12" t="n"/>
      <c r="B455" s="13">
        <f>IF($A455="","",IFERROR(INDEX(Emp_Names,MATCH($A455,Emp_Codes,0)),"NOT FOUND"))</f>
        <v/>
      </c>
      <c r="C455" s="14" t="n"/>
      <c r="D455" s="15" t="n"/>
      <c r="E455" s="15" t="n"/>
      <c r="F455" s="15" t="n"/>
      <c r="G455" s="15" t="n"/>
      <c r="H455" s="16">
        <f>IF($A455="","",$D455+IF($E455="",0,$E455)+IF($F455="",0,$F455)-IF($G455="",0,$G455))</f>
        <v/>
      </c>
      <c r="I455" s="12" t="n"/>
      <c r="J455" s="12" t="n"/>
      <c r="K455" s="12" t="n"/>
      <c r="L455" s="14" t="n"/>
      <c r="M455" s="12" t="n"/>
      <c r="N455" s="12" t="n"/>
      <c r="O455" s="12" t="n"/>
    </row>
    <row r="456">
      <c r="A456" s="12" t="n"/>
      <c r="B456" s="13">
        <f>IF($A456="","",IFERROR(INDEX(Emp_Names,MATCH($A456,Emp_Codes,0)),"NOT FOUND"))</f>
        <v/>
      </c>
      <c r="C456" s="14" t="n"/>
      <c r="D456" s="15" t="n"/>
      <c r="E456" s="15" t="n"/>
      <c r="F456" s="15" t="n"/>
      <c r="G456" s="15" t="n"/>
      <c r="H456" s="16">
        <f>IF($A456="","",$D456+IF($E456="",0,$E456)+IF($F456="",0,$F456)-IF($G456="",0,$G456))</f>
        <v/>
      </c>
      <c r="I456" s="12" t="n"/>
      <c r="J456" s="12" t="n"/>
      <c r="K456" s="12" t="n"/>
      <c r="L456" s="14" t="n"/>
      <c r="M456" s="12" t="n"/>
      <c r="N456" s="12" t="n"/>
      <c r="O456" s="12" t="n"/>
    </row>
    <row r="457">
      <c r="A457" s="12" t="n"/>
      <c r="B457" s="13">
        <f>IF($A457="","",IFERROR(INDEX(Emp_Names,MATCH($A457,Emp_Codes,0)),"NOT FOUND"))</f>
        <v/>
      </c>
      <c r="C457" s="14" t="n"/>
      <c r="D457" s="15" t="n"/>
      <c r="E457" s="15" t="n"/>
      <c r="F457" s="15" t="n"/>
      <c r="G457" s="15" t="n"/>
      <c r="H457" s="16">
        <f>IF($A457="","",$D457+IF($E457="",0,$E457)+IF($F457="",0,$F457)-IF($G457="",0,$G457))</f>
        <v/>
      </c>
      <c r="I457" s="12" t="n"/>
      <c r="J457" s="12" t="n"/>
      <c r="K457" s="12" t="n"/>
      <c r="L457" s="14" t="n"/>
      <c r="M457" s="12" t="n"/>
      <c r="N457" s="12" t="n"/>
      <c r="O457" s="12" t="n"/>
    </row>
    <row r="458">
      <c r="A458" s="12" t="n"/>
      <c r="B458" s="13">
        <f>IF($A458="","",IFERROR(INDEX(Emp_Names,MATCH($A458,Emp_Codes,0)),"NOT FOUND"))</f>
        <v/>
      </c>
      <c r="C458" s="14" t="n"/>
      <c r="D458" s="15" t="n"/>
      <c r="E458" s="15" t="n"/>
      <c r="F458" s="15" t="n"/>
      <c r="G458" s="15" t="n"/>
      <c r="H458" s="16">
        <f>IF($A458="","",$D458+IF($E458="",0,$E458)+IF($F458="",0,$F458)-IF($G458="",0,$G458))</f>
        <v/>
      </c>
      <c r="I458" s="12" t="n"/>
      <c r="J458" s="12" t="n"/>
      <c r="K458" s="12" t="n"/>
      <c r="L458" s="14" t="n"/>
      <c r="M458" s="12" t="n"/>
      <c r="N458" s="12" t="n"/>
      <c r="O458" s="12" t="n"/>
    </row>
    <row r="459">
      <c r="A459" s="12" t="n"/>
      <c r="B459" s="13">
        <f>IF($A459="","",IFERROR(INDEX(Emp_Names,MATCH($A459,Emp_Codes,0)),"NOT FOUND"))</f>
        <v/>
      </c>
      <c r="C459" s="14" t="n"/>
      <c r="D459" s="15" t="n"/>
      <c r="E459" s="15" t="n"/>
      <c r="F459" s="15" t="n"/>
      <c r="G459" s="15" t="n"/>
      <c r="H459" s="16">
        <f>IF($A459="","",$D459+IF($E459="",0,$E459)+IF($F459="",0,$F459)-IF($G459="",0,$G459))</f>
        <v/>
      </c>
      <c r="I459" s="12" t="n"/>
      <c r="J459" s="12" t="n"/>
      <c r="K459" s="12" t="n"/>
      <c r="L459" s="14" t="n"/>
      <c r="M459" s="12" t="n"/>
      <c r="N459" s="12" t="n"/>
      <c r="O459" s="12" t="n"/>
    </row>
    <row r="460">
      <c r="A460" s="12" t="n"/>
      <c r="B460" s="13">
        <f>IF($A460="","",IFERROR(INDEX(Emp_Names,MATCH($A460,Emp_Codes,0)),"NOT FOUND"))</f>
        <v/>
      </c>
      <c r="C460" s="14" t="n"/>
      <c r="D460" s="15" t="n"/>
      <c r="E460" s="15" t="n"/>
      <c r="F460" s="15" t="n"/>
      <c r="G460" s="15" t="n"/>
      <c r="H460" s="16">
        <f>IF($A460="","",$D460+IF($E460="",0,$E460)+IF($F460="",0,$F460)-IF($G460="",0,$G460))</f>
        <v/>
      </c>
      <c r="I460" s="12" t="n"/>
      <c r="J460" s="12" t="n"/>
      <c r="K460" s="12" t="n"/>
      <c r="L460" s="14" t="n"/>
      <c r="M460" s="12" t="n"/>
      <c r="N460" s="12" t="n"/>
      <c r="O460" s="12" t="n"/>
    </row>
    <row r="461">
      <c r="A461" s="12" t="n"/>
      <c r="B461" s="13">
        <f>IF($A461="","",IFERROR(INDEX(Emp_Names,MATCH($A461,Emp_Codes,0)),"NOT FOUND"))</f>
        <v/>
      </c>
      <c r="C461" s="14" t="n"/>
      <c r="D461" s="15" t="n"/>
      <c r="E461" s="15" t="n"/>
      <c r="F461" s="15" t="n"/>
      <c r="G461" s="15" t="n"/>
      <c r="H461" s="16">
        <f>IF($A461="","",$D461+IF($E461="",0,$E461)+IF($F461="",0,$F461)-IF($G461="",0,$G461))</f>
        <v/>
      </c>
      <c r="I461" s="12" t="n"/>
      <c r="J461" s="12" t="n"/>
      <c r="K461" s="12" t="n"/>
      <c r="L461" s="14" t="n"/>
      <c r="M461" s="12" t="n"/>
      <c r="N461" s="12" t="n"/>
      <c r="O461" s="12" t="n"/>
    </row>
    <row r="462">
      <c r="A462" s="12" t="n"/>
      <c r="B462" s="13">
        <f>IF($A462="","",IFERROR(INDEX(Emp_Names,MATCH($A462,Emp_Codes,0)),"NOT FOUND"))</f>
        <v/>
      </c>
      <c r="C462" s="14" t="n"/>
      <c r="D462" s="15" t="n"/>
      <c r="E462" s="15" t="n"/>
      <c r="F462" s="15" t="n"/>
      <c r="G462" s="15" t="n"/>
      <c r="H462" s="16">
        <f>IF($A462="","",$D462+IF($E462="",0,$E462)+IF($F462="",0,$F462)-IF($G462="",0,$G462))</f>
        <v/>
      </c>
      <c r="I462" s="12" t="n"/>
      <c r="J462" s="12" t="n"/>
      <c r="K462" s="12" t="n"/>
      <c r="L462" s="14" t="n"/>
      <c r="M462" s="12" t="n"/>
      <c r="N462" s="12" t="n"/>
      <c r="O462" s="12" t="n"/>
    </row>
    <row r="463">
      <c r="A463" s="12" t="n"/>
      <c r="B463" s="13">
        <f>IF($A463="","",IFERROR(INDEX(Emp_Names,MATCH($A463,Emp_Codes,0)),"NOT FOUND"))</f>
        <v/>
      </c>
      <c r="C463" s="14" t="n"/>
      <c r="D463" s="15" t="n"/>
      <c r="E463" s="15" t="n"/>
      <c r="F463" s="15" t="n"/>
      <c r="G463" s="15" t="n"/>
      <c r="H463" s="16">
        <f>IF($A463="","",$D463+IF($E463="",0,$E463)+IF($F463="",0,$F463)-IF($G463="",0,$G463))</f>
        <v/>
      </c>
      <c r="I463" s="12" t="n"/>
      <c r="J463" s="12" t="n"/>
      <c r="K463" s="12" t="n"/>
      <c r="L463" s="14" t="n"/>
      <c r="M463" s="12" t="n"/>
      <c r="N463" s="12" t="n"/>
      <c r="O463" s="12" t="n"/>
    </row>
    <row r="464">
      <c r="A464" s="12" t="n"/>
      <c r="B464" s="13">
        <f>IF($A464="","",IFERROR(INDEX(Emp_Names,MATCH($A464,Emp_Codes,0)),"NOT FOUND"))</f>
        <v/>
      </c>
      <c r="C464" s="14" t="n"/>
      <c r="D464" s="15" t="n"/>
      <c r="E464" s="15" t="n"/>
      <c r="F464" s="15" t="n"/>
      <c r="G464" s="15" t="n"/>
      <c r="H464" s="16">
        <f>IF($A464="","",$D464+IF($E464="",0,$E464)+IF($F464="",0,$F464)-IF($G464="",0,$G464))</f>
        <v/>
      </c>
      <c r="I464" s="12" t="n"/>
      <c r="J464" s="12" t="n"/>
      <c r="K464" s="12" t="n"/>
      <c r="L464" s="14" t="n"/>
      <c r="M464" s="12" t="n"/>
      <c r="N464" s="12" t="n"/>
      <c r="O464" s="12" t="n"/>
    </row>
    <row r="465">
      <c r="A465" s="12" t="n"/>
      <c r="B465" s="13">
        <f>IF($A465="","",IFERROR(INDEX(Emp_Names,MATCH($A465,Emp_Codes,0)),"NOT FOUND"))</f>
        <v/>
      </c>
      <c r="C465" s="14" t="n"/>
      <c r="D465" s="15" t="n"/>
      <c r="E465" s="15" t="n"/>
      <c r="F465" s="15" t="n"/>
      <c r="G465" s="15" t="n"/>
      <c r="H465" s="16">
        <f>IF($A465="","",$D465+IF($E465="",0,$E465)+IF($F465="",0,$F465)-IF($G465="",0,$G465))</f>
        <v/>
      </c>
      <c r="I465" s="12" t="n"/>
      <c r="J465" s="12" t="n"/>
      <c r="K465" s="12" t="n"/>
      <c r="L465" s="14" t="n"/>
      <c r="M465" s="12" t="n"/>
      <c r="N465" s="12" t="n"/>
      <c r="O465" s="12" t="n"/>
    </row>
    <row r="466">
      <c r="A466" s="12" t="n"/>
      <c r="B466" s="13">
        <f>IF($A466="","",IFERROR(INDEX(Emp_Names,MATCH($A466,Emp_Codes,0)),"NOT FOUND"))</f>
        <v/>
      </c>
      <c r="C466" s="14" t="n"/>
      <c r="D466" s="15" t="n"/>
      <c r="E466" s="15" t="n"/>
      <c r="F466" s="15" t="n"/>
      <c r="G466" s="15" t="n"/>
      <c r="H466" s="16">
        <f>IF($A466="","",$D466+IF($E466="",0,$E466)+IF($F466="",0,$F466)-IF($G466="",0,$G466))</f>
        <v/>
      </c>
      <c r="I466" s="12" t="n"/>
      <c r="J466" s="12" t="n"/>
      <c r="K466" s="12" t="n"/>
      <c r="L466" s="14" t="n"/>
      <c r="M466" s="12" t="n"/>
      <c r="N466" s="12" t="n"/>
      <c r="O466" s="12" t="n"/>
    </row>
    <row r="467">
      <c r="A467" s="12" t="n"/>
      <c r="B467" s="13">
        <f>IF($A467="","",IFERROR(INDEX(Emp_Names,MATCH($A467,Emp_Codes,0)),"NOT FOUND"))</f>
        <v/>
      </c>
      <c r="C467" s="14" t="n"/>
      <c r="D467" s="15" t="n"/>
      <c r="E467" s="15" t="n"/>
      <c r="F467" s="15" t="n"/>
      <c r="G467" s="15" t="n"/>
      <c r="H467" s="16">
        <f>IF($A467="","",$D467+IF($E467="",0,$E467)+IF($F467="",0,$F467)-IF($G467="",0,$G467))</f>
        <v/>
      </c>
      <c r="I467" s="12" t="n"/>
      <c r="J467" s="12" t="n"/>
      <c r="K467" s="12" t="n"/>
      <c r="L467" s="14" t="n"/>
      <c r="M467" s="12" t="n"/>
      <c r="N467" s="12" t="n"/>
      <c r="O467" s="12" t="n"/>
    </row>
    <row r="468">
      <c r="A468" s="12" t="n"/>
      <c r="B468" s="13">
        <f>IF($A468="","",IFERROR(INDEX(Emp_Names,MATCH($A468,Emp_Codes,0)),"NOT FOUND"))</f>
        <v/>
      </c>
      <c r="C468" s="14" t="n"/>
      <c r="D468" s="15" t="n"/>
      <c r="E468" s="15" t="n"/>
      <c r="F468" s="15" t="n"/>
      <c r="G468" s="15" t="n"/>
      <c r="H468" s="16">
        <f>IF($A468="","",$D468+IF($E468="",0,$E468)+IF($F468="",0,$F468)-IF($G468="",0,$G468))</f>
        <v/>
      </c>
      <c r="I468" s="12" t="n"/>
      <c r="J468" s="12" t="n"/>
      <c r="K468" s="12" t="n"/>
      <c r="L468" s="14" t="n"/>
      <c r="M468" s="12" t="n"/>
      <c r="N468" s="12" t="n"/>
      <c r="O468" s="12" t="n"/>
    </row>
    <row r="469">
      <c r="A469" s="12" t="n"/>
      <c r="B469" s="13">
        <f>IF($A469="","",IFERROR(INDEX(Emp_Names,MATCH($A469,Emp_Codes,0)),"NOT FOUND"))</f>
        <v/>
      </c>
      <c r="C469" s="14" t="n"/>
      <c r="D469" s="15" t="n"/>
      <c r="E469" s="15" t="n"/>
      <c r="F469" s="15" t="n"/>
      <c r="G469" s="15" t="n"/>
      <c r="H469" s="16">
        <f>IF($A469="","",$D469+IF($E469="",0,$E469)+IF($F469="",0,$F469)-IF($G469="",0,$G469))</f>
        <v/>
      </c>
      <c r="I469" s="12" t="n"/>
      <c r="J469" s="12" t="n"/>
      <c r="K469" s="12" t="n"/>
      <c r="L469" s="14" t="n"/>
      <c r="M469" s="12" t="n"/>
      <c r="N469" s="12" t="n"/>
      <c r="O469" s="12" t="n"/>
    </row>
    <row r="470">
      <c r="A470" s="12" t="n"/>
      <c r="B470" s="13">
        <f>IF($A470="","",IFERROR(INDEX(Emp_Names,MATCH($A470,Emp_Codes,0)),"NOT FOUND"))</f>
        <v/>
      </c>
      <c r="C470" s="14" t="n"/>
      <c r="D470" s="15" t="n"/>
      <c r="E470" s="15" t="n"/>
      <c r="F470" s="15" t="n"/>
      <c r="G470" s="15" t="n"/>
      <c r="H470" s="16">
        <f>IF($A470="","",$D470+IF($E470="",0,$E470)+IF($F470="",0,$F470)-IF($G470="",0,$G470))</f>
        <v/>
      </c>
      <c r="I470" s="12" t="n"/>
      <c r="J470" s="12" t="n"/>
      <c r="K470" s="12" t="n"/>
      <c r="L470" s="14" t="n"/>
      <c r="M470" s="12" t="n"/>
      <c r="N470" s="12" t="n"/>
      <c r="O470" s="12" t="n"/>
    </row>
    <row r="471">
      <c r="A471" s="12" t="n"/>
      <c r="B471" s="13">
        <f>IF($A471="","",IFERROR(INDEX(Emp_Names,MATCH($A471,Emp_Codes,0)),"NOT FOUND"))</f>
        <v/>
      </c>
      <c r="C471" s="14" t="n"/>
      <c r="D471" s="15" t="n"/>
      <c r="E471" s="15" t="n"/>
      <c r="F471" s="15" t="n"/>
      <c r="G471" s="15" t="n"/>
      <c r="H471" s="16">
        <f>IF($A471="","",$D471+IF($E471="",0,$E471)+IF($F471="",0,$F471)-IF($G471="",0,$G471))</f>
        <v/>
      </c>
      <c r="I471" s="12" t="n"/>
      <c r="J471" s="12" t="n"/>
      <c r="K471" s="12" t="n"/>
      <c r="L471" s="14" t="n"/>
      <c r="M471" s="12" t="n"/>
      <c r="N471" s="12" t="n"/>
      <c r="O471" s="12" t="n"/>
    </row>
    <row r="472">
      <c r="A472" s="12" t="n"/>
      <c r="B472" s="13">
        <f>IF($A472="","",IFERROR(INDEX(Emp_Names,MATCH($A472,Emp_Codes,0)),"NOT FOUND"))</f>
        <v/>
      </c>
      <c r="C472" s="14" t="n"/>
      <c r="D472" s="15" t="n"/>
      <c r="E472" s="15" t="n"/>
      <c r="F472" s="15" t="n"/>
      <c r="G472" s="15" t="n"/>
      <c r="H472" s="16">
        <f>IF($A472="","",$D472+IF($E472="",0,$E472)+IF($F472="",0,$F472)-IF($G472="",0,$G472))</f>
        <v/>
      </c>
      <c r="I472" s="12" t="n"/>
      <c r="J472" s="12" t="n"/>
      <c r="K472" s="12" t="n"/>
      <c r="L472" s="14" t="n"/>
      <c r="M472" s="12" t="n"/>
      <c r="N472" s="12" t="n"/>
      <c r="O472" s="12" t="n"/>
    </row>
    <row r="473">
      <c r="A473" s="12" t="n"/>
      <c r="B473" s="13">
        <f>IF($A473="","",IFERROR(INDEX(Emp_Names,MATCH($A473,Emp_Codes,0)),"NOT FOUND"))</f>
        <v/>
      </c>
      <c r="C473" s="14" t="n"/>
      <c r="D473" s="15" t="n"/>
      <c r="E473" s="15" t="n"/>
      <c r="F473" s="15" t="n"/>
      <c r="G473" s="15" t="n"/>
      <c r="H473" s="16">
        <f>IF($A473="","",$D473+IF($E473="",0,$E473)+IF($F473="",0,$F473)-IF($G473="",0,$G473))</f>
        <v/>
      </c>
      <c r="I473" s="12" t="n"/>
      <c r="J473" s="12" t="n"/>
      <c r="K473" s="12" t="n"/>
      <c r="L473" s="14" t="n"/>
      <c r="M473" s="12" t="n"/>
      <c r="N473" s="12" t="n"/>
      <c r="O473" s="12" t="n"/>
    </row>
    <row r="474">
      <c r="A474" s="12" t="n"/>
      <c r="B474" s="13">
        <f>IF($A474="","",IFERROR(INDEX(Emp_Names,MATCH($A474,Emp_Codes,0)),"NOT FOUND"))</f>
        <v/>
      </c>
      <c r="C474" s="14" t="n"/>
      <c r="D474" s="15" t="n"/>
      <c r="E474" s="15" t="n"/>
      <c r="F474" s="15" t="n"/>
      <c r="G474" s="15" t="n"/>
      <c r="H474" s="16">
        <f>IF($A474="","",$D474+IF($E474="",0,$E474)+IF($F474="",0,$F474)-IF($G474="",0,$G474))</f>
        <v/>
      </c>
      <c r="I474" s="12" t="n"/>
      <c r="J474" s="12" t="n"/>
      <c r="K474" s="12" t="n"/>
      <c r="L474" s="14" t="n"/>
      <c r="M474" s="12" t="n"/>
      <c r="N474" s="12" t="n"/>
      <c r="O474" s="12" t="n"/>
    </row>
    <row r="475">
      <c r="A475" s="12" t="n"/>
      <c r="B475" s="13">
        <f>IF($A475="","",IFERROR(INDEX(Emp_Names,MATCH($A475,Emp_Codes,0)),"NOT FOUND"))</f>
        <v/>
      </c>
      <c r="C475" s="14" t="n"/>
      <c r="D475" s="15" t="n"/>
      <c r="E475" s="15" t="n"/>
      <c r="F475" s="15" t="n"/>
      <c r="G475" s="15" t="n"/>
      <c r="H475" s="16">
        <f>IF($A475="","",$D475+IF($E475="",0,$E475)+IF($F475="",0,$F475)-IF($G475="",0,$G475))</f>
        <v/>
      </c>
      <c r="I475" s="12" t="n"/>
      <c r="J475" s="12" t="n"/>
      <c r="K475" s="12" t="n"/>
      <c r="L475" s="14" t="n"/>
      <c r="M475" s="12" t="n"/>
      <c r="N475" s="12" t="n"/>
      <c r="O475" s="12" t="n"/>
    </row>
    <row r="476">
      <c r="A476" s="12" t="n"/>
      <c r="B476" s="13">
        <f>IF($A476="","",IFERROR(INDEX(Emp_Names,MATCH($A476,Emp_Codes,0)),"NOT FOUND"))</f>
        <v/>
      </c>
      <c r="C476" s="14" t="n"/>
      <c r="D476" s="15" t="n"/>
      <c r="E476" s="15" t="n"/>
      <c r="F476" s="15" t="n"/>
      <c r="G476" s="15" t="n"/>
      <c r="H476" s="16">
        <f>IF($A476="","",$D476+IF($E476="",0,$E476)+IF($F476="",0,$F476)-IF($G476="",0,$G476))</f>
        <v/>
      </c>
      <c r="I476" s="12" t="n"/>
      <c r="J476" s="12" t="n"/>
      <c r="K476" s="12" t="n"/>
      <c r="L476" s="14" t="n"/>
      <c r="M476" s="12" t="n"/>
      <c r="N476" s="12" t="n"/>
      <c r="O476" s="12" t="n"/>
    </row>
    <row r="477">
      <c r="A477" s="12" t="n"/>
      <c r="B477" s="13">
        <f>IF($A477="","",IFERROR(INDEX(Emp_Names,MATCH($A477,Emp_Codes,0)),"NOT FOUND"))</f>
        <v/>
      </c>
      <c r="C477" s="14" t="n"/>
      <c r="D477" s="15" t="n"/>
      <c r="E477" s="15" t="n"/>
      <c r="F477" s="15" t="n"/>
      <c r="G477" s="15" t="n"/>
      <c r="H477" s="16">
        <f>IF($A477="","",$D477+IF($E477="",0,$E477)+IF($F477="",0,$F477)-IF($G477="",0,$G477))</f>
        <v/>
      </c>
      <c r="I477" s="12" t="n"/>
      <c r="J477" s="12" t="n"/>
      <c r="K477" s="12" t="n"/>
      <c r="L477" s="14" t="n"/>
      <c r="M477" s="12" t="n"/>
      <c r="N477" s="12" t="n"/>
      <c r="O477" s="12" t="n"/>
    </row>
    <row r="478">
      <c r="A478" s="12" t="n"/>
      <c r="B478" s="13">
        <f>IF($A478="","",IFERROR(INDEX(Emp_Names,MATCH($A478,Emp_Codes,0)),"NOT FOUND"))</f>
        <v/>
      </c>
      <c r="C478" s="14" t="n"/>
      <c r="D478" s="15" t="n"/>
      <c r="E478" s="15" t="n"/>
      <c r="F478" s="15" t="n"/>
      <c r="G478" s="15" t="n"/>
      <c r="H478" s="16">
        <f>IF($A478="","",$D478+IF($E478="",0,$E478)+IF($F478="",0,$F478)-IF($G478="",0,$G478))</f>
        <v/>
      </c>
      <c r="I478" s="12" t="n"/>
      <c r="J478" s="12" t="n"/>
      <c r="K478" s="12" t="n"/>
      <c r="L478" s="14" t="n"/>
      <c r="M478" s="12" t="n"/>
      <c r="N478" s="12" t="n"/>
      <c r="O478" s="12" t="n"/>
    </row>
    <row r="479">
      <c r="A479" s="12" t="n"/>
      <c r="B479" s="13">
        <f>IF($A479="","",IFERROR(INDEX(Emp_Names,MATCH($A479,Emp_Codes,0)),"NOT FOUND"))</f>
        <v/>
      </c>
      <c r="C479" s="14" t="n"/>
      <c r="D479" s="15" t="n"/>
      <c r="E479" s="15" t="n"/>
      <c r="F479" s="15" t="n"/>
      <c r="G479" s="15" t="n"/>
      <c r="H479" s="16">
        <f>IF($A479="","",$D479+IF($E479="",0,$E479)+IF($F479="",0,$F479)-IF($G479="",0,$G479))</f>
        <v/>
      </c>
      <c r="I479" s="12" t="n"/>
      <c r="J479" s="12" t="n"/>
      <c r="K479" s="12" t="n"/>
      <c r="L479" s="14" t="n"/>
      <c r="M479" s="12" t="n"/>
      <c r="N479" s="12" t="n"/>
      <c r="O479" s="12" t="n"/>
    </row>
    <row r="480">
      <c r="A480" s="12" t="n"/>
      <c r="B480" s="13">
        <f>IF($A480="","",IFERROR(INDEX(Emp_Names,MATCH($A480,Emp_Codes,0)),"NOT FOUND"))</f>
        <v/>
      </c>
      <c r="C480" s="14" t="n"/>
      <c r="D480" s="15" t="n"/>
      <c r="E480" s="15" t="n"/>
      <c r="F480" s="15" t="n"/>
      <c r="G480" s="15" t="n"/>
      <c r="H480" s="16">
        <f>IF($A480="","",$D480+IF($E480="",0,$E480)+IF($F480="",0,$F480)-IF($G480="",0,$G480))</f>
        <v/>
      </c>
      <c r="I480" s="12" t="n"/>
      <c r="J480" s="12" t="n"/>
      <c r="K480" s="12" t="n"/>
      <c r="L480" s="14" t="n"/>
      <c r="M480" s="12" t="n"/>
      <c r="N480" s="12" t="n"/>
      <c r="O480" s="12" t="n"/>
    </row>
    <row r="481">
      <c r="A481" s="12" t="n"/>
      <c r="B481" s="13">
        <f>IF($A481="","",IFERROR(INDEX(Emp_Names,MATCH($A481,Emp_Codes,0)),"NOT FOUND"))</f>
        <v/>
      </c>
      <c r="C481" s="14" t="n"/>
      <c r="D481" s="15" t="n"/>
      <c r="E481" s="15" t="n"/>
      <c r="F481" s="15" t="n"/>
      <c r="G481" s="15" t="n"/>
      <c r="H481" s="16">
        <f>IF($A481="","",$D481+IF($E481="",0,$E481)+IF($F481="",0,$F481)-IF($G481="",0,$G481))</f>
        <v/>
      </c>
      <c r="I481" s="12" t="n"/>
      <c r="J481" s="12" t="n"/>
      <c r="K481" s="12" t="n"/>
      <c r="L481" s="14" t="n"/>
      <c r="M481" s="12" t="n"/>
      <c r="N481" s="12" t="n"/>
      <c r="O481" s="12" t="n"/>
    </row>
    <row r="482">
      <c r="A482" s="12" t="n"/>
      <c r="B482" s="13">
        <f>IF($A482="","",IFERROR(INDEX(Emp_Names,MATCH($A482,Emp_Codes,0)),"NOT FOUND"))</f>
        <v/>
      </c>
      <c r="C482" s="14" t="n"/>
      <c r="D482" s="15" t="n"/>
      <c r="E482" s="15" t="n"/>
      <c r="F482" s="15" t="n"/>
      <c r="G482" s="15" t="n"/>
      <c r="H482" s="16">
        <f>IF($A482="","",$D482+IF($E482="",0,$E482)+IF($F482="",0,$F482)-IF($G482="",0,$G482))</f>
        <v/>
      </c>
      <c r="I482" s="12" t="n"/>
      <c r="J482" s="12" t="n"/>
      <c r="K482" s="12" t="n"/>
      <c r="L482" s="14" t="n"/>
      <c r="M482" s="12" t="n"/>
      <c r="N482" s="12" t="n"/>
      <c r="O482" s="12" t="n"/>
    </row>
    <row r="483">
      <c r="A483" s="12" t="n"/>
      <c r="B483" s="13">
        <f>IF($A483="","",IFERROR(INDEX(Emp_Names,MATCH($A483,Emp_Codes,0)),"NOT FOUND"))</f>
        <v/>
      </c>
      <c r="C483" s="14" t="n"/>
      <c r="D483" s="15" t="n"/>
      <c r="E483" s="15" t="n"/>
      <c r="F483" s="15" t="n"/>
      <c r="G483" s="15" t="n"/>
      <c r="H483" s="16">
        <f>IF($A483="","",$D483+IF($E483="",0,$E483)+IF($F483="",0,$F483)-IF($G483="",0,$G483))</f>
        <v/>
      </c>
      <c r="I483" s="12" t="n"/>
      <c r="J483" s="12" t="n"/>
      <c r="K483" s="12" t="n"/>
      <c r="L483" s="14" t="n"/>
      <c r="M483" s="12" t="n"/>
      <c r="N483" s="12" t="n"/>
      <c r="O483" s="12" t="n"/>
    </row>
    <row r="484">
      <c r="A484" s="12" t="n"/>
      <c r="B484" s="13">
        <f>IF($A484="","",IFERROR(INDEX(Emp_Names,MATCH($A484,Emp_Codes,0)),"NOT FOUND"))</f>
        <v/>
      </c>
      <c r="C484" s="14" t="n"/>
      <c r="D484" s="15" t="n"/>
      <c r="E484" s="15" t="n"/>
      <c r="F484" s="15" t="n"/>
      <c r="G484" s="15" t="n"/>
      <c r="H484" s="16">
        <f>IF($A484="","",$D484+IF($E484="",0,$E484)+IF($F484="",0,$F484)-IF($G484="",0,$G484))</f>
        <v/>
      </c>
      <c r="I484" s="12" t="n"/>
      <c r="J484" s="12" t="n"/>
      <c r="K484" s="12" t="n"/>
      <c r="L484" s="14" t="n"/>
      <c r="M484" s="12" t="n"/>
      <c r="N484" s="12" t="n"/>
      <c r="O484" s="12" t="n"/>
    </row>
    <row r="485">
      <c r="A485" s="12" t="n"/>
      <c r="B485" s="13">
        <f>IF($A485="","",IFERROR(INDEX(Emp_Names,MATCH($A485,Emp_Codes,0)),"NOT FOUND"))</f>
        <v/>
      </c>
      <c r="C485" s="14" t="n"/>
      <c r="D485" s="15" t="n"/>
      <c r="E485" s="15" t="n"/>
      <c r="F485" s="15" t="n"/>
      <c r="G485" s="15" t="n"/>
      <c r="H485" s="16">
        <f>IF($A485="","",$D485+IF($E485="",0,$E485)+IF($F485="",0,$F485)-IF($G485="",0,$G485))</f>
        <v/>
      </c>
      <c r="I485" s="12" t="n"/>
      <c r="J485" s="12" t="n"/>
      <c r="K485" s="12" t="n"/>
      <c r="L485" s="14" t="n"/>
      <c r="M485" s="12" t="n"/>
      <c r="N485" s="12" t="n"/>
      <c r="O485" s="12" t="n"/>
    </row>
    <row r="486">
      <c r="A486" s="12" t="n"/>
      <c r="B486" s="13">
        <f>IF($A486="","",IFERROR(INDEX(Emp_Names,MATCH($A486,Emp_Codes,0)),"NOT FOUND"))</f>
        <v/>
      </c>
      <c r="C486" s="14" t="n"/>
      <c r="D486" s="15" t="n"/>
      <c r="E486" s="15" t="n"/>
      <c r="F486" s="15" t="n"/>
      <c r="G486" s="15" t="n"/>
      <c r="H486" s="16">
        <f>IF($A486="","",$D486+IF($E486="",0,$E486)+IF($F486="",0,$F486)-IF($G486="",0,$G486))</f>
        <v/>
      </c>
      <c r="I486" s="12" t="n"/>
      <c r="J486" s="12" t="n"/>
      <c r="K486" s="12" t="n"/>
      <c r="L486" s="14" t="n"/>
      <c r="M486" s="12" t="n"/>
      <c r="N486" s="12" t="n"/>
      <c r="O486" s="12" t="n"/>
    </row>
    <row r="487">
      <c r="A487" s="12" t="n"/>
      <c r="B487" s="13">
        <f>IF($A487="","",IFERROR(INDEX(Emp_Names,MATCH($A487,Emp_Codes,0)),"NOT FOUND"))</f>
        <v/>
      </c>
      <c r="C487" s="14" t="n"/>
      <c r="D487" s="15" t="n"/>
      <c r="E487" s="15" t="n"/>
      <c r="F487" s="15" t="n"/>
      <c r="G487" s="15" t="n"/>
      <c r="H487" s="16">
        <f>IF($A487="","",$D487+IF($E487="",0,$E487)+IF($F487="",0,$F487)-IF($G487="",0,$G487))</f>
        <v/>
      </c>
      <c r="I487" s="12" t="n"/>
      <c r="J487" s="12" t="n"/>
      <c r="K487" s="12" t="n"/>
      <c r="L487" s="14" t="n"/>
      <c r="M487" s="12" t="n"/>
      <c r="N487" s="12" t="n"/>
      <c r="O487" s="12" t="n"/>
    </row>
    <row r="488">
      <c r="A488" s="12" t="n"/>
      <c r="B488" s="13">
        <f>IF($A488="","",IFERROR(INDEX(Emp_Names,MATCH($A488,Emp_Codes,0)),"NOT FOUND"))</f>
        <v/>
      </c>
      <c r="C488" s="14" t="n"/>
      <c r="D488" s="15" t="n"/>
      <c r="E488" s="15" t="n"/>
      <c r="F488" s="15" t="n"/>
      <c r="G488" s="15" t="n"/>
      <c r="H488" s="16">
        <f>IF($A488="","",$D488+IF($E488="",0,$E488)+IF($F488="",0,$F488)-IF($G488="",0,$G488))</f>
        <v/>
      </c>
      <c r="I488" s="12" t="n"/>
      <c r="J488" s="12" t="n"/>
      <c r="K488" s="12" t="n"/>
      <c r="L488" s="14" t="n"/>
      <c r="M488" s="12" t="n"/>
      <c r="N488" s="12" t="n"/>
      <c r="O488" s="12" t="n"/>
    </row>
    <row r="489">
      <c r="A489" s="12" t="n"/>
      <c r="B489" s="13">
        <f>IF($A489="","",IFERROR(INDEX(Emp_Names,MATCH($A489,Emp_Codes,0)),"NOT FOUND"))</f>
        <v/>
      </c>
      <c r="C489" s="14" t="n"/>
      <c r="D489" s="15" t="n"/>
      <c r="E489" s="15" t="n"/>
      <c r="F489" s="15" t="n"/>
      <c r="G489" s="15" t="n"/>
      <c r="H489" s="16">
        <f>IF($A489="","",$D489+IF($E489="",0,$E489)+IF($F489="",0,$F489)-IF($G489="",0,$G489))</f>
        <v/>
      </c>
      <c r="I489" s="12" t="n"/>
      <c r="J489" s="12" t="n"/>
      <c r="K489" s="12" t="n"/>
      <c r="L489" s="14" t="n"/>
      <c r="M489" s="12" t="n"/>
      <c r="N489" s="12" t="n"/>
      <c r="O489" s="12" t="n"/>
    </row>
    <row r="490">
      <c r="A490" s="12" t="n"/>
      <c r="B490" s="13">
        <f>IF($A490="","",IFERROR(INDEX(Emp_Names,MATCH($A490,Emp_Codes,0)),"NOT FOUND"))</f>
        <v/>
      </c>
      <c r="C490" s="14" t="n"/>
      <c r="D490" s="15" t="n"/>
      <c r="E490" s="15" t="n"/>
      <c r="F490" s="15" t="n"/>
      <c r="G490" s="15" t="n"/>
      <c r="H490" s="16">
        <f>IF($A490="","",$D490+IF($E490="",0,$E490)+IF($F490="",0,$F490)-IF($G490="",0,$G490))</f>
        <v/>
      </c>
      <c r="I490" s="12" t="n"/>
      <c r="J490" s="12" t="n"/>
      <c r="K490" s="12" t="n"/>
      <c r="L490" s="14" t="n"/>
      <c r="M490" s="12" t="n"/>
      <c r="N490" s="12" t="n"/>
      <c r="O490" s="12" t="n"/>
    </row>
    <row r="491">
      <c r="A491" s="12" t="n"/>
      <c r="B491" s="13">
        <f>IF($A491="","",IFERROR(INDEX(Emp_Names,MATCH($A491,Emp_Codes,0)),"NOT FOUND"))</f>
        <v/>
      </c>
      <c r="C491" s="14" t="n"/>
      <c r="D491" s="15" t="n"/>
      <c r="E491" s="15" t="n"/>
      <c r="F491" s="15" t="n"/>
      <c r="G491" s="15" t="n"/>
      <c r="H491" s="16">
        <f>IF($A491="","",$D491+IF($E491="",0,$E491)+IF($F491="",0,$F491)-IF($G491="",0,$G491))</f>
        <v/>
      </c>
      <c r="I491" s="12" t="n"/>
      <c r="J491" s="12" t="n"/>
      <c r="K491" s="12" t="n"/>
      <c r="L491" s="14" t="n"/>
      <c r="M491" s="12" t="n"/>
      <c r="N491" s="12" t="n"/>
      <c r="O491" s="12" t="n"/>
    </row>
    <row r="492">
      <c r="A492" s="12" t="n"/>
      <c r="B492" s="13">
        <f>IF($A492="","",IFERROR(INDEX(Emp_Names,MATCH($A492,Emp_Codes,0)),"NOT FOUND"))</f>
        <v/>
      </c>
      <c r="C492" s="14" t="n"/>
      <c r="D492" s="15" t="n"/>
      <c r="E492" s="15" t="n"/>
      <c r="F492" s="15" t="n"/>
      <c r="G492" s="15" t="n"/>
      <c r="H492" s="16">
        <f>IF($A492="","",$D492+IF($E492="",0,$E492)+IF($F492="",0,$F492)-IF($G492="",0,$G492))</f>
        <v/>
      </c>
      <c r="I492" s="12" t="n"/>
      <c r="J492" s="12" t="n"/>
      <c r="K492" s="12" t="n"/>
      <c r="L492" s="14" t="n"/>
      <c r="M492" s="12" t="n"/>
      <c r="N492" s="12" t="n"/>
      <c r="O492" s="12" t="n"/>
    </row>
    <row r="493">
      <c r="A493" s="12" t="n"/>
      <c r="B493" s="13">
        <f>IF($A493="","",IFERROR(INDEX(Emp_Names,MATCH($A493,Emp_Codes,0)),"NOT FOUND"))</f>
        <v/>
      </c>
      <c r="C493" s="14" t="n"/>
      <c r="D493" s="15" t="n"/>
      <c r="E493" s="15" t="n"/>
      <c r="F493" s="15" t="n"/>
      <c r="G493" s="15" t="n"/>
      <c r="H493" s="16">
        <f>IF($A493="","",$D493+IF($E493="",0,$E493)+IF($F493="",0,$F493)-IF($G493="",0,$G493))</f>
        <v/>
      </c>
      <c r="I493" s="12" t="n"/>
      <c r="J493" s="12" t="n"/>
      <c r="K493" s="12" t="n"/>
      <c r="L493" s="14" t="n"/>
      <c r="M493" s="12" t="n"/>
      <c r="N493" s="12" t="n"/>
      <c r="O493" s="12" t="n"/>
    </row>
    <row r="494">
      <c r="A494" s="12" t="n"/>
      <c r="B494" s="13">
        <f>IF($A494="","",IFERROR(INDEX(Emp_Names,MATCH($A494,Emp_Codes,0)),"NOT FOUND"))</f>
        <v/>
      </c>
      <c r="C494" s="14" t="n"/>
      <c r="D494" s="15" t="n"/>
      <c r="E494" s="15" t="n"/>
      <c r="F494" s="15" t="n"/>
      <c r="G494" s="15" t="n"/>
      <c r="H494" s="16">
        <f>IF($A494="","",$D494+IF($E494="",0,$E494)+IF($F494="",0,$F494)-IF($G494="",0,$G494))</f>
        <v/>
      </c>
      <c r="I494" s="12" t="n"/>
      <c r="J494" s="12" t="n"/>
      <c r="K494" s="12" t="n"/>
      <c r="L494" s="14" t="n"/>
      <c r="M494" s="12" t="n"/>
      <c r="N494" s="12" t="n"/>
      <c r="O494" s="12" t="n"/>
    </row>
    <row r="495">
      <c r="A495" s="12" t="n"/>
      <c r="B495" s="13">
        <f>IF($A495="","",IFERROR(INDEX(Emp_Names,MATCH($A495,Emp_Codes,0)),"NOT FOUND"))</f>
        <v/>
      </c>
      <c r="C495" s="14" t="n"/>
      <c r="D495" s="15" t="n"/>
      <c r="E495" s="15" t="n"/>
      <c r="F495" s="15" t="n"/>
      <c r="G495" s="15" t="n"/>
      <c r="H495" s="16">
        <f>IF($A495="","",$D495+IF($E495="",0,$E495)+IF($F495="",0,$F495)-IF($G495="",0,$G495))</f>
        <v/>
      </c>
      <c r="I495" s="12" t="n"/>
      <c r="J495" s="12" t="n"/>
      <c r="K495" s="12" t="n"/>
      <c r="L495" s="14" t="n"/>
      <c r="M495" s="12" t="n"/>
      <c r="N495" s="12" t="n"/>
      <c r="O495" s="12" t="n"/>
    </row>
    <row r="496">
      <c r="A496" s="12" t="n"/>
      <c r="B496" s="13">
        <f>IF($A496="","",IFERROR(INDEX(Emp_Names,MATCH($A496,Emp_Codes,0)),"NOT FOUND"))</f>
        <v/>
      </c>
      <c r="C496" s="14" t="n"/>
      <c r="D496" s="15" t="n"/>
      <c r="E496" s="15" t="n"/>
      <c r="F496" s="15" t="n"/>
      <c r="G496" s="15" t="n"/>
      <c r="H496" s="16">
        <f>IF($A496="","",$D496+IF($E496="",0,$E496)+IF($F496="",0,$F496)-IF($G496="",0,$G496))</f>
        <v/>
      </c>
      <c r="I496" s="12" t="n"/>
      <c r="J496" s="12" t="n"/>
      <c r="K496" s="12" t="n"/>
      <c r="L496" s="14" t="n"/>
      <c r="M496" s="12" t="n"/>
      <c r="N496" s="12" t="n"/>
      <c r="O496" s="12" t="n"/>
    </row>
    <row r="497">
      <c r="A497" s="12" t="n"/>
      <c r="B497" s="13">
        <f>IF($A497="","",IFERROR(INDEX(Emp_Names,MATCH($A497,Emp_Codes,0)),"NOT FOUND"))</f>
        <v/>
      </c>
      <c r="C497" s="14" t="n"/>
      <c r="D497" s="15" t="n"/>
      <c r="E497" s="15" t="n"/>
      <c r="F497" s="15" t="n"/>
      <c r="G497" s="15" t="n"/>
      <c r="H497" s="16">
        <f>IF($A497="","",$D497+IF($E497="",0,$E497)+IF($F497="",0,$F497)-IF($G497="",0,$G497))</f>
        <v/>
      </c>
      <c r="I497" s="12" t="n"/>
      <c r="J497" s="12" t="n"/>
      <c r="K497" s="12" t="n"/>
      <c r="L497" s="14" t="n"/>
      <c r="M497" s="12" t="n"/>
      <c r="N497" s="12" t="n"/>
      <c r="O497" s="12" t="n"/>
    </row>
    <row r="498">
      <c r="A498" s="12" t="n"/>
      <c r="B498" s="13">
        <f>IF($A498="","",IFERROR(INDEX(Emp_Names,MATCH($A498,Emp_Codes,0)),"NOT FOUND"))</f>
        <v/>
      </c>
      <c r="C498" s="14" t="n"/>
      <c r="D498" s="15" t="n"/>
      <c r="E498" s="15" t="n"/>
      <c r="F498" s="15" t="n"/>
      <c r="G498" s="15" t="n"/>
      <c r="H498" s="16">
        <f>IF($A498="","",$D498+IF($E498="",0,$E498)+IF($F498="",0,$F498)-IF($G498="",0,$G498))</f>
        <v/>
      </c>
      <c r="I498" s="12" t="n"/>
      <c r="J498" s="12" t="n"/>
      <c r="K498" s="12" t="n"/>
      <c r="L498" s="14" t="n"/>
      <c r="M498" s="12" t="n"/>
      <c r="N498" s="12" t="n"/>
      <c r="O498" s="12" t="n"/>
    </row>
    <row r="499">
      <c r="A499" s="12" t="n"/>
      <c r="B499" s="13">
        <f>IF($A499="","",IFERROR(INDEX(Emp_Names,MATCH($A499,Emp_Codes,0)),"NOT FOUND"))</f>
        <v/>
      </c>
      <c r="C499" s="14" t="n"/>
      <c r="D499" s="15" t="n"/>
      <c r="E499" s="15" t="n"/>
      <c r="F499" s="15" t="n"/>
      <c r="G499" s="15" t="n"/>
      <c r="H499" s="16">
        <f>IF($A499="","",$D499+IF($E499="",0,$E499)+IF($F499="",0,$F499)-IF($G499="",0,$G499))</f>
        <v/>
      </c>
      <c r="I499" s="12" t="n"/>
      <c r="J499" s="12" t="n"/>
      <c r="K499" s="12" t="n"/>
      <c r="L499" s="14" t="n"/>
      <c r="M499" s="12" t="n"/>
      <c r="N499" s="12" t="n"/>
      <c r="O499" s="12" t="n"/>
    </row>
    <row r="500">
      <c r="A500" s="12" t="n"/>
      <c r="B500" s="13">
        <f>IF($A500="","",IFERROR(INDEX(Emp_Names,MATCH($A500,Emp_Codes,0)),"NOT FOUND"))</f>
        <v/>
      </c>
      <c r="C500" s="14" t="n"/>
      <c r="D500" s="15" t="n"/>
      <c r="E500" s="15" t="n"/>
      <c r="F500" s="15" t="n"/>
      <c r="G500" s="15" t="n"/>
      <c r="H500" s="16">
        <f>IF($A500="","",$D500+IF($E500="",0,$E500)+IF($F500="",0,$F500)-IF($G500="",0,$G500))</f>
        <v/>
      </c>
      <c r="I500" s="12" t="n"/>
      <c r="J500" s="12" t="n"/>
      <c r="K500" s="12" t="n"/>
      <c r="L500" s="14" t="n"/>
      <c r="M500" s="12" t="n"/>
      <c r="N500" s="12" t="n"/>
      <c r="O500" s="12" t="n"/>
    </row>
    <row r="501">
      <c r="A501" s="12" t="n"/>
      <c r="B501" s="13">
        <f>IF($A501="","",IFERROR(INDEX(Emp_Names,MATCH($A501,Emp_Codes,0)),"NOT FOUND"))</f>
        <v/>
      </c>
      <c r="C501" s="14" t="n"/>
      <c r="D501" s="15" t="n"/>
      <c r="E501" s="15" t="n"/>
      <c r="F501" s="15" t="n"/>
      <c r="G501" s="15" t="n"/>
      <c r="H501" s="16">
        <f>IF($A501="","",$D501+IF($E501="",0,$E501)+IF($F501="",0,$F501)-IF($G501="",0,$G501))</f>
        <v/>
      </c>
      <c r="I501" s="12" t="n"/>
      <c r="J501" s="12" t="n"/>
      <c r="K501" s="12" t="n"/>
      <c r="L501" s="14" t="n"/>
      <c r="M501" s="12" t="n"/>
      <c r="N501" s="12" t="n"/>
      <c r="O501" s="12" t="n"/>
    </row>
    <row r="502">
      <c r="A502" s="12" t="n"/>
      <c r="B502" s="13">
        <f>IF($A502="","",IFERROR(INDEX(Emp_Names,MATCH($A502,Emp_Codes,0)),"NOT FOUND"))</f>
        <v/>
      </c>
      <c r="C502" s="14" t="n"/>
      <c r="D502" s="15" t="n"/>
      <c r="E502" s="15" t="n"/>
      <c r="F502" s="15" t="n"/>
      <c r="G502" s="15" t="n"/>
      <c r="H502" s="16">
        <f>IF($A502="","",$D502+IF($E502="",0,$E502)+IF($F502="",0,$F502)-IF($G502="",0,$G502))</f>
        <v/>
      </c>
      <c r="I502" s="12" t="n"/>
      <c r="J502" s="12" t="n"/>
      <c r="K502" s="12" t="n"/>
      <c r="L502" s="14" t="n"/>
      <c r="M502" s="12" t="n"/>
      <c r="N502" s="12" t="n"/>
      <c r="O502" s="12" t="n"/>
    </row>
    <row r="503">
      <c r="A503" s="12" t="n"/>
      <c r="B503" s="13">
        <f>IF($A503="","",IFERROR(INDEX(Emp_Names,MATCH($A503,Emp_Codes,0)),"NOT FOUND"))</f>
        <v/>
      </c>
      <c r="C503" s="14" t="n"/>
      <c r="D503" s="15" t="n"/>
      <c r="E503" s="15" t="n"/>
      <c r="F503" s="15" t="n"/>
      <c r="G503" s="15" t="n"/>
      <c r="H503" s="16">
        <f>IF($A503="","",$D503+IF($E503="",0,$E503)+IF($F503="",0,$F503)-IF($G503="",0,$G503))</f>
        <v/>
      </c>
      <c r="I503" s="12" t="n"/>
      <c r="J503" s="12" t="n"/>
      <c r="K503" s="12" t="n"/>
      <c r="L503" s="14" t="n"/>
      <c r="M503" s="12" t="n"/>
      <c r="N503" s="12" t="n"/>
      <c r="O503" s="12" t="n"/>
    </row>
    <row r="504">
      <c r="A504" s="12" t="n"/>
      <c r="B504" s="13">
        <f>IF($A504="","",IFERROR(INDEX(Emp_Names,MATCH($A504,Emp_Codes,0)),"NOT FOUND"))</f>
        <v/>
      </c>
      <c r="C504" s="14" t="n"/>
      <c r="D504" s="15" t="n"/>
      <c r="E504" s="15" t="n"/>
      <c r="F504" s="15" t="n"/>
      <c r="G504" s="15" t="n"/>
      <c r="H504" s="16">
        <f>IF($A504="","",$D504+IF($E504="",0,$E504)+IF($F504="",0,$F504)-IF($G504="",0,$G504))</f>
        <v/>
      </c>
      <c r="I504" s="12" t="n"/>
      <c r="J504" s="12" t="n"/>
      <c r="K504" s="12" t="n"/>
      <c r="L504" s="14" t="n"/>
      <c r="M504" s="12" t="n"/>
      <c r="N504" s="12" t="n"/>
      <c r="O504" s="12" t="n"/>
    </row>
    <row r="505">
      <c r="A505" s="12" t="n"/>
      <c r="B505" s="13">
        <f>IF($A505="","",IFERROR(INDEX(Emp_Names,MATCH($A505,Emp_Codes,0)),"NOT FOUND"))</f>
        <v/>
      </c>
      <c r="C505" s="14" t="n"/>
      <c r="D505" s="15" t="n"/>
      <c r="E505" s="15" t="n"/>
      <c r="F505" s="15" t="n"/>
      <c r="G505" s="15" t="n"/>
      <c r="H505" s="16">
        <f>IF($A505="","",$D505+IF($E505="",0,$E505)+IF($F505="",0,$F505)-IF($G505="",0,$G505))</f>
        <v/>
      </c>
      <c r="I505" s="12" t="n"/>
      <c r="J505" s="12" t="n"/>
      <c r="K505" s="12" t="n"/>
      <c r="L505" s="14" t="n"/>
      <c r="M505" s="12" t="n"/>
      <c r="N505" s="12" t="n"/>
      <c r="O505" s="12" t="n"/>
    </row>
    <row r="506">
      <c r="A506" s="12" t="n"/>
      <c r="B506" s="13">
        <f>IF($A506="","",IFERROR(INDEX(Emp_Names,MATCH($A506,Emp_Codes,0)),"NOT FOUND"))</f>
        <v/>
      </c>
      <c r="C506" s="14" t="n"/>
      <c r="D506" s="15" t="n"/>
      <c r="E506" s="15" t="n"/>
      <c r="F506" s="15" t="n"/>
      <c r="G506" s="15" t="n"/>
      <c r="H506" s="16">
        <f>IF($A506="","",$D506+IF($E506="",0,$E506)+IF($F506="",0,$F506)-IF($G506="",0,$G506))</f>
        <v/>
      </c>
      <c r="I506" s="12" t="n"/>
      <c r="J506" s="12" t="n"/>
      <c r="K506" s="12" t="n"/>
      <c r="L506" s="14" t="n"/>
      <c r="M506" s="12" t="n"/>
      <c r="N506" s="12" t="n"/>
      <c r="O506" s="12" t="n"/>
    </row>
    <row r="507">
      <c r="A507" s="12" t="n"/>
      <c r="B507" s="13">
        <f>IF($A507="","",IFERROR(INDEX(Emp_Names,MATCH($A507,Emp_Codes,0)),"NOT FOUND"))</f>
        <v/>
      </c>
      <c r="C507" s="14" t="n"/>
      <c r="D507" s="15" t="n"/>
      <c r="E507" s="15" t="n"/>
      <c r="F507" s="15" t="n"/>
      <c r="G507" s="15" t="n"/>
      <c r="H507" s="16">
        <f>IF($A507="","",$D507+IF($E507="",0,$E507)+IF($F507="",0,$F507)-IF($G507="",0,$G507))</f>
        <v/>
      </c>
      <c r="I507" s="12" t="n"/>
      <c r="J507" s="12" t="n"/>
      <c r="K507" s="12" t="n"/>
      <c r="L507" s="14" t="n"/>
      <c r="M507" s="12" t="n"/>
      <c r="N507" s="12" t="n"/>
      <c r="O507" s="12" t="n"/>
    </row>
    <row r="508">
      <c r="A508" s="12" t="n"/>
      <c r="B508" s="13">
        <f>IF($A508="","",IFERROR(INDEX(Emp_Names,MATCH($A508,Emp_Codes,0)),"NOT FOUND"))</f>
        <v/>
      </c>
      <c r="C508" s="14" t="n"/>
      <c r="D508" s="15" t="n"/>
      <c r="E508" s="15" t="n"/>
      <c r="F508" s="15" t="n"/>
      <c r="G508" s="15" t="n"/>
      <c r="H508" s="16">
        <f>IF($A508="","",$D508+IF($E508="",0,$E508)+IF($F508="",0,$F508)-IF($G508="",0,$G508))</f>
        <v/>
      </c>
      <c r="I508" s="12" t="n"/>
      <c r="J508" s="12" t="n"/>
      <c r="K508" s="12" t="n"/>
      <c r="L508" s="14" t="n"/>
      <c r="M508" s="12" t="n"/>
      <c r="N508" s="12" t="n"/>
      <c r="O508" s="12" t="n"/>
    </row>
    <row r="509">
      <c r="A509" s="12" t="n"/>
      <c r="B509" s="13">
        <f>IF($A509="","",IFERROR(INDEX(Emp_Names,MATCH($A509,Emp_Codes,0)),"NOT FOUND"))</f>
        <v/>
      </c>
      <c r="C509" s="14" t="n"/>
      <c r="D509" s="15" t="n"/>
      <c r="E509" s="15" t="n"/>
      <c r="F509" s="15" t="n"/>
      <c r="G509" s="15" t="n"/>
      <c r="H509" s="16">
        <f>IF($A509="","",$D509+IF($E509="",0,$E509)+IF($F509="",0,$F509)-IF($G509="",0,$G509))</f>
        <v/>
      </c>
      <c r="I509" s="12" t="n"/>
      <c r="J509" s="12" t="n"/>
      <c r="K509" s="12" t="n"/>
      <c r="L509" s="14" t="n"/>
      <c r="M509" s="12" t="n"/>
      <c r="N509" s="12" t="n"/>
      <c r="O509" s="12" t="n"/>
    </row>
    <row r="510">
      <c r="A510" s="12" t="n"/>
      <c r="B510" s="13">
        <f>IF($A510="","",IFERROR(INDEX(Emp_Names,MATCH($A510,Emp_Codes,0)),"NOT FOUND"))</f>
        <v/>
      </c>
      <c r="C510" s="14" t="n"/>
      <c r="D510" s="15" t="n"/>
      <c r="E510" s="15" t="n"/>
      <c r="F510" s="15" t="n"/>
      <c r="G510" s="15" t="n"/>
      <c r="H510" s="16">
        <f>IF($A510="","",$D510+IF($E510="",0,$E510)+IF($F510="",0,$F510)-IF($G510="",0,$G510))</f>
        <v/>
      </c>
      <c r="I510" s="12" t="n"/>
      <c r="J510" s="12" t="n"/>
      <c r="K510" s="12" t="n"/>
      <c r="L510" s="14" t="n"/>
      <c r="M510" s="12" t="n"/>
      <c r="N510" s="12" t="n"/>
      <c r="O510" s="12" t="n"/>
    </row>
    <row r="511">
      <c r="A511" s="12" t="n"/>
      <c r="B511" s="13">
        <f>IF($A511="","",IFERROR(INDEX(Emp_Names,MATCH($A511,Emp_Codes,0)),"NOT FOUND"))</f>
        <v/>
      </c>
      <c r="C511" s="14" t="n"/>
      <c r="D511" s="15" t="n"/>
      <c r="E511" s="15" t="n"/>
      <c r="F511" s="15" t="n"/>
      <c r="G511" s="15" t="n"/>
      <c r="H511" s="16">
        <f>IF($A511="","",$D511+IF($E511="",0,$E511)+IF($F511="",0,$F511)-IF($G511="",0,$G511))</f>
        <v/>
      </c>
      <c r="I511" s="12" t="n"/>
      <c r="J511" s="12" t="n"/>
      <c r="K511" s="12" t="n"/>
      <c r="L511" s="14" t="n"/>
      <c r="M511" s="12" t="n"/>
      <c r="N511" s="12" t="n"/>
      <c r="O511" s="12" t="n"/>
    </row>
    <row r="512">
      <c r="A512" s="12" t="n"/>
      <c r="B512" s="13">
        <f>IF($A512="","",IFERROR(INDEX(Emp_Names,MATCH($A512,Emp_Codes,0)),"NOT FOUND"))</f>
        <v/>
      </c>
      <c r="C512" s="14" t="n"/>
      <c r="D512" s="15" t="n"/>
      <c r="E512" s="15" t="n"/>
      <c r="F512" s="15" t="n"/>
      <c r="G512" s="15" t="n"/>
      <c r="H512" s="16">
        <f>IF($A512="","",$D512+IF($E512="",0,$E512)+IF($F512="",0,$F512)-IF($G512="",0,$G512))</f>
        <v/>
      </c>
      <c r="I512" s="12" t="n"/>
      <c r="J512" s="12" t="n"/>
      <c r="K512" s="12" t="n"/>
      <c r="L512" s="14" t="n"/>
      <c r="M512" s="12" t="n"/>
      <c r="N512" s="12" t="n"/>
      <c r="O512" s="12" t="n"/>
    </row>
    <row r="513">
      <c r="A513" s="12" t="n"/>
      <c r="B513" s="13">
        <f>IF($A513="","",IFERROR(INDEX(Emp_Names,MATCH($A513,Emp_Codes,0)),"NOT FOUND"))</f>
        <v/>
      </c>
      <c r="C513" s="14" t="n"/>
      <c r="D513" s="15" t="n"/>
      <c r="E513" s="15" t="n"/>
      <c r="F513" s="15" t="n"/>
      <c r="G513" s="15" t="n"/>
      <c r="H513" s="16">
        <f>IF($A513="","",$D513+IF($E513="",0,$E513)+IF($F513="",0,$F513)-IF($G513="",0,$G513))</f>
        <v/>
      </c>
      <c r="I513" s="12" t="n"/>
      <c r="J513" s="12" t="n"/>
      <c r="K513" s="12" t="n"/>
      <c r="L513" s="14" t="n"/>
      <c r="M513" s="12" t="n"/>
      <c r="N513" s="12" t="n"/>
      <c r="O513" s="12" t="n"/>
    </row>
    <row r="514">
      <c r="A514" s="12" t="n"/>
      <c r="B514" s="13">
        <f>IF($A514="","",IFERROR(INDEX(Emp_Names,MATCH($A514,Emp_Codes,0)),"NOT FOUND"))</f>
        <v/>
      </c>
      <c r="C514" s="14" t="n"/>
      <c r="D514" s="15" t="n"/>
      <c r="E514" s="15" t="n"/>
      <c r="F514" s="15" t="n"/>
      <c r="G514" s="15" t="n"/>
      <c r="H514" s="16">
        <f>IF($A514="","",$D514+IF($E514="",0,$E514)+IF($F514="",0,$F514)-IF($G514="",0,$G514))</f>
        <v/>
      </c>
      <c r="I514" s="12" t="n"/>
      <c r="J514" s="12" t="n"/>
      <c r="K514" s="12" t="n"/>
      <c r="L514" s="14" t="n"/>
      <c r="M514" s="12" t="n"/>
      <c r="N514" s="12" t="n"/>
      <c r="O514" s="12" t="n"/>
    </row>
    <row r="515">
      <c r="A515" s="12" t="n"/>
      <c r="B515" s="13">
        <f>IF($A515="","",IFERROR(INDEX(Emp_Names,MATCH($A515,Emp_Codes,0)),"NOT FOUND"))</f>
        <v/>
      </c>
      <c r="C515" s="14" t="n"/>
      <c r="D515" s="15" t="n"/>
      <c r="E515" s="15" t="n"/>
      <c r="F515" s="15" t="n"/>
      <c r="G515" s="15" t="n"/>
      <c r="H515" s="16">
        <f>IF($A515="","",$D515+IF($E515="",0,$E515)+IF($F515="",0,$F515)-IF($G515="",0,$G515))</f>
        <v/>
      </c>
      <c r="I515" s="12" t="n"/>
      <c r="J515" s="12" t="n"/>
      <c r="K515" s="12" t="n"/>
      <c r="L515" s="14" t="n"/>
      <c r="M515" s="12" t="n"/>
      <c r="N515" s="12" t="n"/>
      <c r="O515" s="12" t="n"/>
    </row>
    <row r="516">
      <c r="A516" s="12" t="n"/>
      <c r="B516" s="13">
        <f>IF($A516="","",IFERROR(INDEX(Emp_Names,MATCH($A516,Emp_Codes,0)),"NOT FOUND"))</f>
        <v/>
      </c>
      <c r="C516" s="14" t="n"/>
      <c r="D516" s="15" t="n"/>
      <c r="E516" s="15" t="n"/>
      <c r="F516" s="15" t="n"/>
      <c r="G516" s="15" t="n"/>
      <c r="H516" s="16">
        <f>IF($A516="","",$D516+IF($E516="",0,$E516)+IF($F516="",0,$F516)-IF($G516="",0,$G516))</f>
        <v/>
      </c>
      <c r="I516" s="12" t="n"/>
      <c r="J516" s="12" t="n"/>
      <c r="K516" s="12" t="n"/>
      <c r="L516" s="14" t="n"/>
      <c r="M516" s="12" t="n"/>
      <c r="N516" s="12" t="n"/>
      <c r="O516" s="12" t="n"/>
    </row>
    <row r="517">
      <c r="A517" s="12" t="n"/>
      <c r="B517" s="13">
        <f>IF($A517="","",IFERROR(INDEX(Emp_Names,MATCH($A517,Emp_Codes,0)),"NOT FOUND"))</f>
        <v/>
      </c>
      <c r="C517" s="14" t="n"/>
      <c r="D517" s="15" t="n"/>
      <c r="E517" s="15" t="n"/>
      <c r="F517" s="15" t="n"/>
      <c r="G517" s="15" t="n"/>
      <c r="H517" s="16">
        <f>IF($A517="","",$D517+IF($E517="",0,$E517)+IF($F517="",0,$F517)-IF($G517="",0,$G517))</f>
        <v/>
      </c>
      <c r="I517" s="12" t="n"/>
      <c r="J517" s="12" t="n"/>
      <c r="K517" s="12" t="n"/>
      <c r="L517" s="14" t="n"/>
      <c r="M517" s="12" t="n"/>
      <c r="N517" s="12" t="n"/>
      <c r="O517" s="12" t="n"/>
    </row>
    <row r="518">
      <c r="A518" s="12" t="n"/>
      <c r="B518" s="13">
        <f>IF($A518="","",IFERROR(INDEX(Emp_Names,MATCH($A518,Emp_Codes,0)),"NOT FOUND"))</f>
        <v/>
      </c>
      <c r="C518" s="14" t="n"/>
      <c r="D518" s="15" t="n"/>
      <c r="E518" s="15" t="n"/>
      <c r="F518" s="15" t="n"/>
      <c r="G518" s="15" t="n"/>
      <c r="H518" s="16">
        <f>IF($A518="","",$D518+IF($E518="",0,$E518)+IF($F518="",0,$F518)-IF($G518="",0,$G518))</f>
        <v/>
      </c>
      <c r="I518" s="12" t="n"/>
      <c r="J518" s="12" t="n"/>
      <c r="K518" s="12" t="n"/>
      <c r="L518" s="14" t="n"/>
      <c r="M518" s="12" t="n"/>
      <c r="N518" s="12" t="n"/>
      <c r="O518" s="12" t="n"/>
    </row>
    <row r="519">
      <c r="A519" s="12" t="n"/>
      <c r="B519" s="13">
        <f>IF($A519="","",IFERROR(INDEX(Emp_Names,MATCH($A519,Emp_Codes,0)),"NOT FOUND"))</f>
        <v/>
      </c>
      <c r="C519" s="14" t="n"/>
      <c r="D519" s="15" t="n"/>
      <c r="E519" s="15" t="n"/>
      <c r="F519" s="15" t="n"/>
      <c r="G519" s="15" t="n"/>
      <c r="H519" s="16">
        <f>IF($A519="","",$D519+IF($E519="",0,$E519)+IF($F519="",0,$F519)-IF($G519="",0,$G519))</f>
        <v/>
      </c>
      <c r="I519" s="12" t="n"/>
      <c r="J519" s="12" t="n"/>
      <c r="K519" s="12" t="n"/>
      <c r="L519" s="14" t="n"/>
      <c r="M519" s="12" t="n"/>
      <c r="N519" s="12" t="n"/>
      <c r="O519" s="12" t="n"/>
    </row>
    <row r="520">
      <c r="A520" s="12" t="n"/>
      <c r="B520" s="13">
        <f>IF($A520="","",IFERROR(INDEX(Emp_Names,MATCH($A520,Emp_Codes,0)),"NOT FOUND"))</f>
        <v/>
      </c>
      <c r="C520" s="14" t="n"/>
      <c r="D520" s="15" t="n"/>
      <c r="E520" s="15" t="n"/>
      <c r="F520" s="15" t="n"/>
      <c r="G520" s="15" t="n"/>
      <c r="H520" s="16">
        <f>IF($A520="","",$D520+IF($E520="",0,$E520)+IF($F520="",0,$F520)-IF($G520="",0,$G520))</f>
        <v/>
      </c>
      <c r="I520" s="12" t="n"/>
      <c r="J520" s="12" t="n"/>
      <c r="K520" s="12" t="n"/>
      <c r="L520" s="14" t="n"/>
      <c r="M520" s="12" t="n"/>
      <c r="N520" s="12" t="n"/>
      <c r="O520" s="12" t="n"/>
    </row>
    <row r="521">
      <c r="A521" s="12" t="n"/>
      <c r="B521" s="13">
        <f>IF($A521="","",IFERROR(INDEX(Emp_Names,MATCH($A521,Emp_Codes,0)),"NOT FOUND"))</f>
        <v/>
      </c>
      <c r="C521" s="14" t="n"/>
      <c r="D521" s="15" t="n"/>
      <c r="E521" s="15" t="n"/>
      <c r="F521" s="15" t="n"/>
      <c r="G521" s="15" t="n"/>
      <c r="H521" s="16">
        <f>IF($A521="","",$D521+IF($E521="",0,$E521)+IF($F521="",0,$F521)-IF($G521="",0,$G521))</f>
        <v/>
      </c>
      <c r="I521" s="12" t="n"/>
      <c r="J521" s="12" t="n"/>
      <c r="K521" s="12" t="n"/>
      <c r="L521" s="14" t="n"/>
      <c r="M521" s="12" t="n"/>
      <c r="N521" s="12" t="n"/>
      <c r="O521" s="12" t="n"/>
    </row>
    <row r="522">
      <c r="A522" s="12" t="n"/>
      <c r="B522" s="13">
        <f>IF($A522="","",IFERROR(INDEX(Emp_Names,MATCH($A522,Emp_Codes,0)),"NOT FOUND"))</f>
        <v/>
      </c>
      <c r="C522" s="14" t="n"/>
      <c r="D522" s="15" t="n"/>
      <c r="E522" s="15" t="n"/>
      <c r="F522" s="15" t="n"/>
      <c r="G522" s="15" t="n"/>
      <c r="H522" s="16">
        <f>IF($A522="","",$D522+IF($E522="",0,$E522)+IF($F522="",0,$F522)-IF($G522="",0,$G522))</f>
        <v/>
      </c>
      <c r="I522" s="12" t="n"/>
      <c r="J522" s="12" t="n"/>
      <c r="K522" s="12" t="n"/>
      <c r="L522" s="14" t="n"/>
      <c r="M522" s="12" t="n"/>
      <c r="N522" s="12" t="n"/>
      <c r="O522" s="12" t="n"/>
    </row>
    <row r="523">
      <c r="A523" s="12" t="n"/>
      <c r="B523" s="13">
        <f>IF($A523="","",IFERROR(INDEX(Emp_Names,MATCH($A523,Emp_Codes,0)),"NOT FOUND"))</f>
        <v/>
      </c>
      <c r="C523" s="14" t="n"/>
      <c r="D523" s="15" t="n"/>
      <c r="E523" s="15" t="n"/>
      <c r="F523" s="15" t="n"/>
      <c r="G523" s="15" t="n"/>
      <c r="H523" s="16">
        <f>IF($A523="","",$D523+IF($E523="",0,$E523)+IF($F523="",0,$F523)-IF($G523="",0,$G523))</f>
        <v/>
      </c>
      <c r="I523" s="12" t="n"/>
      <c r="J523" s="12" t="n"/>
      <c r="K523" s="12" t="n"/>
      <c r="L523" s="14" t="n"/>
      <c r="M523" s="12" t="n"/>
      <c r="N523" s="12" t="n"/>
      <c r="O523" s="12" t="n"/>
    </row>
    <row r="524">
      <c r="A524" s="12" t="n"/>
      <c r="B524" s="13">
        <f>IF($A524="","",IFERROR(INDEX(Emp_Names,MATCH($A524,Emp_Codes,0)),"NOT FOUND"))</f>
        <v/>
      </c>
      <c r="C524" s="14" t="n"/>
      <c r="D524" s="15" t="n"/>
      <c r="E524" s="15" t="n"/>
      <c r="F524" s="15" t="n"/>
      <c r="G524" s="15" t="n"/>
      <c r="H524" s="16">
        <f>IF($A524="","",$D524+IF($E524="",0,$E524)+IF($F524="",0,$F524)-IF($G524="",0,$G524))</f>
        <v/>
      </c>
      <c r="I524" s="12" t="n"/>
      <c r="J524" s="12" t="n"/>
      <c r="K524" s="12" t="n"/>
      <c r="L524" s="14" t="n"/>
      <c r="M524" s="12" t="n"/>
      <c r="N524" s="12" t="n"/>
      <c r="O524" s="12" t="n"/>
    </row>
    <row r="525">
      <c r="A525" s="12" t="n"/>
      <c r="B525" s="13">
        <f>IF($A525="","",IFERROR(INDEX(Emp_Names,MATCH($A525,Emp_Codes,0)),"NOT FOUND"))</f>
        <v/>
      </c>
      <c r="C525" s="14" t="n"/>
      <c r="D525" s="15" t="n"/>
      <c r="E525" s="15" t="n"/>
      <c r="F525" s="15" t="n"/>
      <c r="G525" s="15" t="n"/>
      <c r="H525" s="16">
        <f>IF($A525="","",$D525+IF($E525="",0,$E525)+IF($F525="",0,$F525)-IF($G525="",0,$G525))</f>
        <v/>
      </c>
      <c r="I525" s="12" t="n"/>
      <c r="J525" s="12" t="n"/>
      <c r="K525" s="12" t="n"/>
      <c r="L525" s="14" t="n"/>
      <c r="M525" s="12" t="n"/>
      <c r="N525" s="12" t="n"/>
      <c r="O525" s="12" t="n"/>
    </row>
    <row r="526">
      <c r="A526" s="12" t="n"/>
      <c r="B526" s="13">
        <f>IF($A526="","",IFERROR(INDEX(Emp_Names,MATCH($A526,Emp_Codes,0)),"NOT FOUND"))</f>
        <v/>
      </c>
      <c r="C526" s="14" t="n"/>
      <c r="D526" s="15" t="n"/>
      <c r="E526" s="15" t="n"/>
      <c r="F526" s="15" t="n"/>
      <c r="G526" s="15" t="n"/>
      <c r="H526" s="16">
        <f>IF($A526="","",$D526+IF($E526="",0,$E526)+IF($F526="",0,$F526)-IF($G526="",0,$G526))</f>
        <v/>
      </c>
      <c r="I526" s="12" t="n"/>
      <c r="J526" s="12" t="n"/>
      <c r="K526" s="12" t="n"/>
      <c r="L526" s="14" t="n"/>
      <c r="M526" s="12" t="n"/>
      <c r="N526" s="12" t="n"/>
      <c r="O526" s="12" t="n"/>
    </row>
    <row r="527">
      <c r="A527" s="12" t="n"/>
      <c r="B527" s="13">
        <f>IF($A527="","",IFERROR(INDEX(Emp_Names,MATCH($A527,Emp_Codes,0)),"NOT FOUND"))</f>
        <v/>
      </c>
      <c r="C527" s="14" t="n"/>
      <c r="D527" s="15" t="n"/>
      <c r="E527" s="15" t="n"/>
      <c r="F527" s="15" t="n"/>
      <c r="G527" s="15" t="n"/>
      <c r="H527" s="16">
        <f>IF($A527="","",$D527+IF($E527="",0,$E527)+IF($F527="",0,$F527)-IF($G527="",0,$G527))</f>
        <v/>
      </c>
      <c r="I527" s="12" t="n"/>
      <c r="J527" s="12" t="n"/>
      <c r="K527" s="12" t="n"/>
      <c r="L527" s="14" t="n"/>
      <c r="M527" s="12" t="n"/>
      <c r="N527" s="12" t="n"/>
      <c r="O527" s="12" t="n"/>
    </row>
    <row r="528">
      <c r="A528" s="12" t="n"/>
      <c r="B528" s="13">
        <f>IF($A528="","",IFERROR(INDEX(Emp_Names,MATCH($A528,Emp_Codes,0)),"NOT FOUND"))</f>
        <v/>
      </c>
      <c r="C528" s="14" t="n"/>
      <c r="D528" s="15" t="n"/>
      <c r="E528" s="15" t="n"/>
      <c r="F528" s="15" t="n"/>
      <c r="G528" s="15" t="n"/>
      <c r="H528" s="16">
        <f>IF($A528="","",$D528+IF($E528="",0,$E528)+IF($F528="",0,$F528)-IF($G528="",0,$G528))</f>
        <v/>
      </c>
      <c r="I528" s="12" t="n"/>
      <c r="J528" s="12" t="n"/>
      <c r="K528" s="12" t="n"/>
      <c r="L528" s="14" t="n"/>
      <c r="M528" s="12" t="n"/>
      <c r="N528" s="12" t="n"/>
      <c r="O528" s="12" t="n"/>
    </row>
    <row r="529">
      <c r="A529" s="12" t="n"/>
      <c r="B529" s="13">
        <f>IF($A529="","",IFERROR(INDEX(Emp_Names,MATCH($A529,Emp_Codes,0)),"NOT FOUND"))</f>
        <v/>
      </c>
      <c r="C529" s="14" t="n"/>
      <c r="D529" s="15" t="n"/>
      <c r="E529" s="15" t="n"/>
      <c r="F529" s="15" t="n"/>
      <c r="G529" s="15" t="n"/>
      <c r="H529" s="16">
        <f>IF($A529="","",$D529+IF($E529="",0,$E529)+IF($F529="",0,$F529)-IF($G529="",0,$G529))</f>
        <v/>
      </c>
      <c r="I529" s="12" t="n"/>
      <c r="J529" s="12" t="n"/>
      <c r="K529" s="12" t="n"/>
      <c r="L529" s="14" t="n"/>
      <c r="M529" s="12" t="n"/>
      <c r="N529" s="12" t="n"/>
      <c r="O529" s="12" t="n"/>
    </row>
    <row r="530">
      <c r="A530" s="12" t="n"/>
      <c r="B530" s="13">
        <f>IF($A530="","",IFERROR(INDEX(Emp_Names,MATCH($A530,Emp_Codes,0)),"NOT FOUND"))</f>
        <v/>
      </c>
      <c r="C530" s="14" t="n"/>
      <c r="D530" s="15" t="n"/>
      <c r="E530" s="15" t="n"/>
      <c r="F530" s="15" t="n"/>
      <c r="G530" s="15" t="n"/>
      <c r="H530" s="16">
        <f>IF($A530="","",$D530+IF($E530="",0,$E530)+IF($F530="",0,$F530)-IF($G530="",0,$G530))</f>
        <v/>
      </c>
      <c r="I530" s="12" t="n"/>
      <c r="J530" s="12" t="n"/>
      <c r="K530" s="12" t="n"/>
      <c r="L530" s="14" t="n"/>
      <c r="M530" s="12" t="n"/>
      <c r="N530" s="12" t="n"/>
      <c r="O530" s="12" t="n"/>
    </row>
    <row r="531">
      <c r="A531" s="12" t="n"/>
      <c r="B531" s="13">
        <f>IF($A531="","",IFERROR(INDEX(Emp_Names,MATCH($A531,Emp_Codes,0)),"NOT FOUND"))</f>
        <v/>
      </c>
      <c r="C531" s="14" t="n"/>
      <c r="D531" s="15" t="n"/>
      <c r="E531" s="15" t="n"/>
      <c r="F531" s="15" t="n"/>
      <c r="G531" s="15" t="n"/>
      <c r="H531" s="16">
        <f>IF($A531="","",$D531+IF($E531="",0,$E531)+IF($F531="",0,$F531)-IF($G531="",0,$G531))</f>
        <v/>
      </c>
      <c r="I531" s="12" t="n"/>
      <c r="J531" s="12" t="n"/>
      <c r="K531" s="12" t="n"/>
      <c r="L531" s="14" t="n"/>
      <c r="M531" s="12" t="n"/>
      <c r="N531" s="12" t="n"/>
      <c r="O531" s="12" t="n"/>
    </row>
    <row r="532">
      <c r="A532" s="12" t="n"/>
      <c r="B532" s="13">
        <f>IF($A532="","",IFERROR(INDEX(Emp_Names,MATCH($A532,Emp_Codes,0)),"NOT FOUND"))</f>
        <v/>
      </c>
      <c r="C532" s="14" t="n"/>
      <c r="D532" s="15" t="n"/>
      <c r="E532" s="15" t="n"/>
      <c r="F532" s="15" t="n"/>
      <c r="G532" s="15" t="n"/>
      <c r="H532" s="16">
        <f>IF($A532="","",$D532+IF($E532="",0,$E532)+IF($F532="",0,$F532)-IF($G532="",0,$G532))</f>
        <v/>
      </c>
      <c r="I532" s="12" t="n"/>
      <c r="J532" s="12" t="n"/>
      <c r="K532" s="12" t="n"/>
      <c r="L532" s="14" t="n"/>
      <c r="M532" s="12" t="n"/>
      <c r="N532" s="12" t="n"/>
      <c r="O532" s="12" t="n"/>
    </row>
    <row r="533">
      <c r="A533" s="12" t="n"/>
      <c r="B533" s="13">
        <f>IF($A533="","",IFERROR(INDEX(Emp_Names,MATCH($A533,Emp_Codes,0)),"NOT FOUND"))</f>
        <v/>
      </c>
      <c r="C533" s="14" t="n"/>
      <c r="D533" s="15" t="n"/>
      <c r="E533" s="15" t="n"/>
      <c r="F533" s="15" t="n"/>
      <c r="G533" s="15" t="n"/>
      <c r="H533" s="16">
        <f>IF($A533="","",$D533+IF($E533="",0,$E533)+IF($F533="",0,$F533)-IF($G533="",0,$G533))</f>
        <v/>
      </c>
      <c r="I533" s="12" t="n"/>
      <c r="J533" s="12" t="n"/>
      <c r="K533" s="12" t="n"/>
      <c r="L533" s="14" t="n"/>
      <c r="M533" s="12" t="n"/>
      <c r="N533" s="12" t="n"/>
      <c r="O533" s="12" t="n"/>
    </row>
    <row r="534">
      <c r="A534" s="12" t="n"/>
      <c r="B534" s="13">
        <f>IF($A534="","",IFERROR(INDEX(Emp_Names,MATCH($A534,Emp_Codes,0)),"NOT FOUND"))</f>
        <v/>
      </c>
      <c r="C534" s="14" t="n"/>
      <c r="D534" s="15" t="n"/>
      <c r="E534" s="15" t="n"/>
      <c r="F534" s="15" t="n"/>
      <c r="G534" s="15" t="n"/>
      <c r="H534" s="16">
        <f>IF($A534="","",$D534+IF($E534="",0,$E534)+IF($F534="",0,$F534)-IF($G534="",0,$G534))</f>
        <v/>
      </c>
      <c r="I534" s="12" t="n"/>
      <c r="J534" s="12" t="n"/>
      <c r="K534" s="12" t="n"/>
      <c r="L534" s="14" t="n"/>
      <c r="M534" s="12" t="n"/>
      <c r="N534" s="12" t="n"/>
      <c r="O534" s="12" t="n"/>
    </row>
    <row r="535">
      <c r="A535" s="12" t="n"/>
      <c r="B535" s="13">
        <f>IF($A535="","",IFERROR(INDEX(Emp_Names,MATCH($A535,Emp_Codes,0)),"NOT FOUND"))</f>
        <v/>
      </c>
      <c r="C535" s="14" t="n"/>
      <c r="D535" s="15" t="n"/>
      <c r="E535" s="15" t="n"/>
      <c r="F535" s="15" t="n"/>
      <c r="G535" s="15" t="n"/>
      <c r="H535" s="16">
        <f>IF($A535="","",$D535+IF($E535="",0,$E535)+IF($F535="",0,$F535)-IF($G535="",0,$G535))</f>
        <v/>
      </c>
      <c r="I535" s="12" t="n"/>
      <c r="J535" s="12" t="n"/>
      <c r="K535" s="12" t="n"/>
      <c r="L535" s="14" t="n"/>
      <c r="M535" s="12" t="n"/>
      <c r="N535" s="12" t="n"/>
      <c r="O535" s="12" t="n"/>
    </row>
    <row r="536">
      <c r="A536" s="12" t="n"/>
      <c r="B536" s="13">
        <f>IF($A536="","",IFERROR(INDEX(Emp_Names,MATCH($A536,Emp_Codes,0)),"NOT FOUND"))</f>
        <v/>
      </c>
      <c r="C536" s="14" t="n"/>
      <c r="D536" s="15" t="n"/>
      <c r="E536" s="15" t="n"/>
      <c r="F536" s="15" t="n"/>
      <c r="G536" s="15" t="n"/>
      <c r="H536" s="16">
        <f>IF($A536="","",$D536+IF($E536="",0,$E536)+IF($F536="",0,$F536)-IF($G536="",0,$G536))</f>
        <v/>
      </c>
      <c r="I536" s="12" t="n"/>
      <c r="J536" s="12" t="n"/>
      <c r="K536" s="12" t="n"/>
      <c r="L536" s="14" t="n"/>
      <c r="M536" s="12" t="n"/>
      <c r="N536" s="12" t="n"/>
      <c r="O536" s="12" t="n"/>
    </row>
    <row r="537">
      <c r="A537" s="12" t="n"/>
      <c r="B537" s="13">
        <f>IF($A537="","",IFERROR(INDEX(Emp_Names,MATCH($A537,Emp_Codes,0)),"NOT FOUND"))</f>
        <v/>
      </c>
      <c r="C537" s="14" t="n"/>
      <c r="D537" s="15" t="n"/>
      <c r="E537" s="15" t="n"/>
      <c r="F537" s="15" t="n"/>
      <c r="G537" s="15" t="n"/>
      <c r="H537" s="16">
        <f>IF($A537="","",$D537+IF($E537="",0,$E537)+IF($F537="",0,$F537)-IF($G537="",0,$G537))</f>
        <v/>
      </c>
      <c r="I537" s="12" t="n"/>
      <c r="J537" s="12" t="n"/>
      <c r="K537" s="12" t="n"/>
      <c r="L537" s="14" t="n"/>
      <c r="M537" s="12" t="n"/>
      <c r="N537" s="12" t="n"/>
      <c r="O537" s="12" t="n"/>
    </row>
    <row r="538">
      <c r="A538" s="12" t="n"/>
      <c r="B538" s="13">
        <f>IF($A538="","",IFERROR(INDEX(Emp_Names,MATCH($A538,Emp_Codes,0)),"NOT FOUND"))</f>
        <v/>
      </c>
      <c r="C538" s="14" t="n"/>
      <c r="D538" s="15" t="n"/>
      <c r="E538" s="15" t="n"/>
      <c r="F538" s="15" t="n"/>
      <c r="G538" s="15" t="n"/>
      <c r="H538" s="16">
        <f>IF($A538="","",$D538+IF($E538="",0,$E538)+IF($F538="",0,$F538)-IF($G538="",0,$G538))</f>
        <v/>
      </c>
      <c r="I538" s="12" t="n"/>
      <c r="J538" s="12" t="n"/>
      <c r="K538" s="12" t="n"/>
      <c r="L538" s="14" t="n"/>
      <c r="M538" s="12" t="n"/>
      <c r="N538" s="12" t="n"/>
      <c r="O538" s="12" t="n"/>
    </row>
    <row r="539">
      <c r="A539" s="12" t="n"/>
      <c r="B539" s="13">
        <f>IF($A539="","",IFERROR(INDEX(Emp_Names,MATCH($A539,Emp_Codes,0)),"NOT FOUND"))</f>
        <v/>
      </c>
      <c r="C539" s="14" t="n"/>
      <c r="D539" s="15" t="n"/>
      <c r="E539" s="15" t="n"/>
      <c r="F539" s="15" t="n"/>
      <c r="G539" s="15" t="n"/>
      <c r="H539" s="16">
        <f>IF($A539="","",$D539+IF($E539="",0,$E539)+IF($F539="",0,$F539)-IF($G539="",0,$G539))</f>
        <v/>
      </c>
      <c r="I539" s="12" t="n"/>
      <c r="J539" s="12" t="n"/>
      <c r="K539" s="12" t="n"/>
      <c r="L539" s="14" t="n"/>
      <c r="M539" s="12" t="n"/>
      <c r="N539" s="12" t="n"/>
      <c r="O539" s="12" t="n"/>
    </row>
    <row r="540">
      <c r="A540" s="12" t="n"/>
      <c r="B540" s="13">
        <f>IF($A540="","",IFERROR(INDEX(Emp_Names,MATCH($A540,Emp_Codes,0)),"NOT FOUND"))</f>
        <v/>
      </c>
      <c r="C540" s="14" t="n"/>
      <c r="D540" s="15" t="n"/>
      <c r="E540" s="15" t="n"/>
      <c r="F540" s="15" t="n"/>
      <c r="G540" s="15" t="n"/>
      <c r="H540" s="16">
        <f>IF($A540="","",$D540+IF($E540="",0,$E540)+IF($F540="",0,$F540)-IF($G540="",0,$G540))</f>
        <v/>
      </c>
      <c r="I540" s="12" t="n"/>
      <c r="J540" s="12" t="n"/>
      <c r="K540" s="12" t="n"/>
      <c r="L540" s="14" t="n"/>
      <c r="M540" s="12" t="n"/>
      <c r="N540" s="12" t="n"/>
      <c r="O540" s="12" t="n"/>
    </row>
    <row r="541">
      <c r="A541" s="12" t="n"/>
      <c r="B541" s="13">
        <f>IF($A541="","",IFERROR(INDEX(Emp_Names,MATCH($A541,Emp_Codes,0)),"NOT FOUND"))</f>
        <v/>
      </c>
      <c r="C541" s="14" t="n"/>
      <c r="D541" s="15" t="n"/>
      <c r="E541" s="15" t="n"/>
      <c r="F541" s="15" t="n"/>
      <c r="G541" s="15" t="n"/>
      <c r="H541" s="16">
        <f>IF($A541="","",$D541+IF($E541="",0,$E541)+IF($F541="",0,$F541)-IF($G541="",0,$G541))</f>
        <v/>
      </c>
      <c r="I541" s="12" t="n"/>
      <c r="J541" s="12" t="n"/>
      <c r="K541" s="12" t="n"/>
      <c r="L541" s="14" t="n"/>
      <c r="M541" s="12" t="n"/>
      <c r="N541" s="12" t="n"/>
      <c r="O541" s="12" t="n"/>
    </row>
    <row r="542">
      <c r="A542" s="12" t="n"/>
      <c r="B542" s="13">
        <f>IF($A542="","",IFERROR(INDEX(Emp_Names,MATCH($A542,Emp_Codes,0)),"NOT FOUND"))</f>
        <v/>
      </c>
      <c r="C542" s="14" t="n"/>
      <c r="D542" s="15" t="n"/>
      <c r="E542" s="15" t="n"/>
      <c r="F542" s="15" t="n"/>
      <c r="G542" s="15" t="n"/>
      <c r="H542" s="16">
        <f>IF($A542="","",$D542+IF($E542="",0,$E542)+IF($F542="",0,$F542)-IF($G542="",0,$G542))</f>
        <v/>
      </c>
      <c r="I542" s="12" t="n"/>
      <c r="J542" s="12" t="n"/>
      <c r="K542" s="12" t="n"/>
      <c r="L542" s="14" t="n"/>
      <c r="M542" s="12" t="n"/>
      <c r="N542" s="12" t="n"/>
      <c r="O542" s="12" t="n"/>
    </row>
    <row r="543">
      <c r="A543" s="12" t="n"/>
      <c r="B543" s="13">
        <f>IF($A543="","",IFERROR(INDEX(Emp_Names,MATCH($A543,Emp_Codes,0)),"NOT FOUND"))</f>
        <v/>
      </c>
      <c r="C543" s="14" t="n"/>
      <c r="D543" s="15" t="n"/>
      <c r="E543" s="15" t="n"/>
      <c r="F543" s="15" t="n"/>
      <c r="G543" s="15" t="n"/>
      <c r="H543" s="16">
        <f>IF($A543="","",$D543+IF($E543="",0,$E543)+IF($F543="",0,$F543)-IF($G543="",0,$G543))</f>
        <v/>
      </c>
      <c r="I543" s="12" t="n"/>
      <c r="J543" s="12" t="n"/>
      <c r="K543" s="12" t="n"/>
      <c r="L543" s="14" t="n"/>
      <c r="M543" s="12" t="n"/>
      <c r="N543" s="12" t="n"/>
      <c r="O543" s="12" t="n"/>
    </row>
    <row r="544">
      <c r="A544" s="12" t="n"/>
      <c r="B544" s="13">
        <f>IF($A544="","",IFERROR(INDEX(Emp_Names,MATCH($A544,Emp_Codes,0)),"NOT FOUND"))</f>
        <v/>
      </c>
      <c r="C544" s="14" t="n"/>
      <c r="D544" s="15" t="n"/>
      <c r="E544" s="15" t="n"/>
      <c r="F544" s="15" t="n"/>
      <c r="G544" s="15" t="n"/>
      <c r="H544" s="16">
        <f>IF($A544="","",$D544+IF($E544="",0,$E544)+IF($F544="",0,$F544)-IF($G544="",0,$G544))</f>
        <v/>
      </c>
      <c r="I544" s="12" t="n"/>
      <c r="J544" s="12" t="n"/>
      <c r="K544" s="12" t="n"/>
      <c r="L544" s="14" t="n"/>
      <c r="M544" s="12" t="n"/>
      <c r="N544" s="12" t="n"/>
      <c r="O544" s="12" t="n"/>
    </row>
    <row r="545">
      <c r="A545" s="12" t="n"/>
      <c r="B545" s="13">
        <f>IF($A545="","",IFERROR(INDEX(Emp_Names,MATCH($A545,Emp_Codes,0)),"NOT FOUND"))</f>
        <v/>
      </c>
      <c r="C545" s="14" t="n"/>
      <c r="D545" s="15" t="n"/>
      <c r="E545" s="15" t="n"/>
      <c r="F545" s="15" t="n"/>
      <c r="G545" s="15" t="n"/>
      <c r="H545" s="16">
        <f>IF($A545="","",$D545+IF($E545="",0,$E545)+IF($F545="",0,$F545)-IF($G545="",0,$G545))</f>
        <v/>
      </c>
      <c r="I545" s="12" t="n"/>
      <c r="J545" s="12" t="n"/>
      <c r="K545" s="12" t="n"/>
      <c r="L545" s="14" t="n"/>
      <c r="M545" s="12" t="n"/>
      <c r="N545" s="12" t="n"/>
      <c r="O545" s="12" t="n"/>
    </row>
    <row r="546">
      <c r="A546" s="12" t="n"/>
      <c r="B546" s="13">
        <f>IF($A546="","",IFERROR(INDEX(Emp_Names,MATCH($A546,Emp_Codes,0)),"NOT FOUND"))</f>
        <v/>
      </c>
      <c r="C546" s="14" t="n"/>
      <c r="D546" s="15" t="n"/>
      <c r="E546" s="15" t="n"/>
      <c r="F546" s="15" t="n"/>
      <c r="G546" s="15" t="n"/>
      <c r="H546" s="16">
        <f>IF($A546="","",$D546+IF($E546="",0,$E546)+IF($F546="",0,$F546)-IF($G546="",0,$G546))</f>
        <v/>
      </c>
      <c r="I546" s="12" t="n"/>
      <c r="J546" s="12" t="n"/>
      <c r="K546" s="12" t="n"/>
      <c r="L546" s="14" t="n"/>
      <c r="M546" s="12" t="n"/>
      <c r="N546" s="12" t="n"/>
      <c r="O546" s="12" t="n"/>
    </row>
    <row r="547">
      <c r="A547" s="12" t="n"/>
      <c r="B547" s="13">
        <f>IF($A547="","",IFERROR(INDEX(Emp_Names,MATCH($A547,Emp_Codes,0)),"NOT FOUND"))</f>
        <v/>
      </c>
      <c r="C547" s="14" t="n"/>
      <c r="D547" s="15" t="n"/>
      <c r="E547" s="15" t="n"/>
      <c r="F547" s="15" t="n"/>
      <c r="G547" s="15" t="n"/>
      <c r="H547" s="16">
        <f>IF($A547="","",$D547+IF($E547="",0,$E547)+IF($F547="",0,$F547)-IF($G547="",0,$G547))</f>
        <v/>
      </c>
      <c r="I547" s="12" t="n"/>
      <c r="J547" s="12" t="n"/>
      <c r="K547" s="12" t="n"/>
      <c r="L547" s="14" t="n"/>
      <c r="M547" s="12" t="n"/>
      <c r="N547" s="12" t="n"/>
      <c r="O547" s="12" t="n"/>
    </row>
    <row r="548">
      <c r="A548" s="12" t="n"/>
      <c r="B548" s="13">
        <f>IF($A548="","",IFERROR(INDEX(Emp_Names,MATCH($A548,Emp_Codes,0)),"NOT FOUND"))</f>
        <v/>
      </c>
      <c r="C548" s="14" t="n"/>
      <c r="D548" s="15" t="n"/>
      <c r="E548" s="15" t="n"/>
      <c r="F548" s="15" t="n"/>
      <c r="G548" s="15" t="n"/>
      <c r="H548" s="16">
        <f>IF($A548="","",$D548+IF($E548="",0,$E548)+IF($F548="",0,$F548)-IF($G548="",0,$G548))</f>
        <v/>
      </c>
      <c r="I548" s="12" t="n"/>
      <c r="J548" s="12" t="n"/>
      <c r="K548" s="12" t="n"/>
      <c r="L548" s="14" t="n"/>
      <c r="M548" s="12" t="n"/>
      <c r="N548" s="12" t="n"/>
      <c r="O548" s="12" t="n"/>
    </row>
    <row r="549">
      <c r="A549" s="12" t="n"/>
      <c r="B549" s="13">
        <f>IF($A549="","",IFERROR(INDEX(Emp_Names,MATCH($A549,Emp_Codes,0)),"NOT FOUND"))</f>
        <v/>
      </c>
      <c r="C549" s="14" t="n"/>
      <c r="D549" s="15" t="n"/>
      <c r="E549" s="15" t="n"/>
      <c r="F549" s="15" t="n"/>
      <c r="G549" s="15" t="n"/>
      <c r="H549" s="16">
        <f>IF($A549="","",$D549+IF($E549="",0,$E549)+IF($F549="",0,$F549)-IF($G549="",0,$G549))</f>
        <v/>
      </c>
      <c r="I549" s="12" t="n"/>
      <c r="J549" s="12" t="n"/>
      <c r="K549" s="12" t="n"/>
      <c r="L549" s="14" t="n"/>
      <c r="M549" s="12" t="n"/>
      <c r="N549" s="12" t="n"/>
      <c r="O549" s="12" t="n"/>
    </row>
    <row r="550">
      <c r="A550" s="12" t="n"/>
      <c r="B550" s="13">
        <f>IF($A550="","",IFERROR(INDEX(Emp_Names,MATCH($A550,Emp_Codes,0)),"NOT FOUND"))</f>
        <v/>
      </c>
      <c r="C550" s="14" t="n"/>
      <c r="D550" s="15" t="n"/>
      <c r="E550" s="15" t="n"/>
      <c r="F550" s="15" t="n"/>
      <c r="G550" s="15" t="n"/>
      <c r="H550" s="16">
        <f>IF($A550="","",$D550+IF($E550="",0,$E550)+IF($F550="",0,$F550)-IF($G550="",0,$G550))</f>
        <v/>
      </c>
      <c r="I550" s="12" t="n"/>
      <c r="J550" s="12" t="n"/>
      <c r="K550" s="12" t="n"/>
      <c r="L550" s="14" t="n"/>
      <c r="M550" s="12" t="n"/>
      <c r="N550" s="12" t="n"/>
      <c r="O550" s="12" t="n"/>
    </row>
    <row r="551">
      <c r="A551" s="12" t="n"/>
      <c r="B551" s="13">
        <f>IF($A551="","",IFERROR(INDEX(Emp_Names,MATCH($A551,Emp_Codes,0)),"NOT FOUND"))</f>
        <v/>
      </c>
      <c r="C551" s="14" t="n"/>
      <c r="D551" s="15" t="n"/>
      <c r="E551" s="15" t="n"/>
      <c r="F551" s="15" t="n"/>
      <c r="G551" s="15" t="n"/>
      <c r="H551" s="16">
        <f>IF($A551="","",$D551+IF($E551="",0,$E551)+IF($F551="",0,$F551)-IF($G551="",0,$G551))</f>
        <v/>
      </c>
      <c r="I551" s="12" t="n"/>
      <c r="J551" s="12" t="n"/>
      <c r="K551" s="12" t="n"/>
      <c r="L551" s="14" t="n"/>
      <c r="M551" s="12" t="n"/>
      <c r="N551" s="12" t="n"/>
      <c r="O551" s="12" t="n"/>
    </row>
    <row r="552">
      <c r="A552" s="12" t="n"/>
      <c r="B552" s="13">
        <f>IF($A552="","",IFERROR(INDEX(Emp_Names,MATCH($A552,Emp_Codes,0)),"NOT FOUND"))</f>
        <v/>
      </c>
      <c r="C552" s="14" t="n"/>
      <c r="D552" s="15" t="n"/>
      <c r="E552" s="15" t="n"/>
      <c r="F552" s="15" t="n"/>
      <c r="G552" s="15" t="n"/>
      <c r="H552" s="16">
        <f>IF($A552="","",$D552+IF($E552="",0,$E552)+IF($F552="",0,$F552)-IF($G552="",0,$G552))</f>
        <v/>
      </c>
      <c r="I552" s="12" t="n"/>
      <c r="J552" s="12" t="n"/>
      <c r="K552" s="12" t="n"/>
      <c r="L552" s="14" t="n"/>
      <c r="M552" s="12" t="n"/>
      <c r="N552" s="12" t="n"/>
      <c r="O552" s="12" t="n"/>
    </row>
    <row r="553">
      <c r="A553" s="12" t="n"/>
      <c r="B553" s="13">
        <f>IF($A553="","",IFERROR(INDEX(Emp_Names,MATCH($A553,Emp_Codes,0)),"NOT FOUND"))</f>
        <v/>
      </c>
      <c r="C553" s="14" t="n"/>
      <c r="D553" s="15" t="n"/>
      <c r="E553" s="15" t="n"/>
      <c r="F553" s="15" t="n"/>
      <c r="G553" s="15" t="n"/>
      <c r="H553" s="16">
        <f>IF($A553="","",$D553+IF($E553="",0,$E553)+IF($F553="",0,$F553)-IF($G553="",0,$G553))</f>
        <v/>
      </c>
      <c r="I553" s="12" t="n"/>
      <c r="J553" s="12" t="n"/>
      <c r="K553" s="12" t="n"/>
      <c r="L553" s="14" t="n"/>
      <c r="M553" s="12" t="n"/>
      <c r="N553" s="12" t="n"/>
      <c r="O553" s="12" t="n"/>
    </row>
    <row r="554">
      <c r="A554" s="12" t="n"/>
      <c r="B554" s="13">
        <f>IF($A554="","",IFERROR(INDEX(Emp_Names,MATCH($A554,Emp_Codes,0)),"NOT FOUND"))</f>
        <v/>
      </c>
      <c r="C554" s="14" t="n"/>
      <c r="D554" s="15" t="n"/>
      <c r="E554" s="15" t="n"/>
      <c r="F554" s="15" t="n"/>
      <c r="G554" s="15" t="n"/>
      <c r="H554" s="16">
        <f>IF($A554="","",$D554+IF($E554="",0,$E554)+IF($F554="",0,$F554)-IF($G554="",0,$G554))</f>
        <v/>
      </c>
      <c r="I554" s="12" t="n"/>
      <c r="J554" s="12" t="n"/>
      <c r="K554" s="12" t="n"/>
      <c r="L554" s="14" t="n"/>
      <c r="M554" s="12" t="n"/>
      <c r="N554" s="12" t="n"/>
      <c r="O554" s="12" t="n"/>
    </row>
    <row r="555">
      <c r="A555" s="12" t="n"/>
      <c r="B555" s="13">
        <f>IF($A555="","",IFERROR(INDEX(Emp_Names,MATCH($A555,Emp_Codes,0)),"NOT FOUND"))</f>
        <v/>
      </c>
      <c r="C555" s="14" t="n"/>
      <c r="D555" s="15" t="n"/>
      <c r="E555" s="15" t="n"/>
      <c r="F555" s="15" t="n"/>
      <c r="G555" s="15" t="n"/>
      <c r="H555" s="16">
        <f>IF($A555="","",$D555+IF($E555="",0,$E555)+IF($F555="",0,$F555)-IF($G555="",0,$G555))</f>
        <v/>
      </c>
      <c r="I555" s="12" t="n"/>
      <c r="J555" s="12" t="n"/>
      <c r="K555" s="12" t="n"/>
      <c r="L555" s="14" t="n"/>
      <c r="M555" s="12" t="n"/>
      <c r="N555" s="12" t="n"/>
      <c r="O555" s="12" t="n"/>
    </row>
    <row r="556">
      <c r="A556" s="12" t="n"/>
      <c r="B556" s="13">
        <f>IF($A556="","",IFERROR(INDEX(Emp_Names,MATCH($A556,Emp_Codes,0)),"NOT FOUND"))</f>
        <v/>
      </c>
      <c r="C556" s="14" t="n"/>
      <c r="D556" s="15" t="n"/>
      <c r="E556" s="15" t="n"/>
      <c r="F556" s="15" t="n"/>
      <c r="G556" s="15" t="n"/>
      <c r="H556" s="16">
        <f>IF($A556="","",$D556+IF($E556="",0,$E556)+IF($F556="",0,$F556)-IF($G556="",0,$G556))</f>
        <v/>
      </c>
      <c r="I556" s="12" t="n"/>
      <c r="J556" s="12" t="n"/>
      <c r="K556" s="12" t="n"/>
      <c r="L556" s="14" t="n"/>
      <c r="M556" s="12" t="n"/>
      <c r="N556" s="12" t="n"/>
      <c r="O556" s="12" t="n"/>
    </row>
    <row r="557">
      <c r="A557" s="12" t="n"/>
      <c r="B557" s="13">
        <f>IF($A557="","",IFERROR(INDEX(Emp_Names,MATCH($A557,Emp_Codes,0)),"NOT FOUND"))</f>
        <v/>
      </c>
      <c r="C557" s="14" t="n"/>
      <c r="D557" s="15" t="n"/>
      <c r="E557" s="15" t="n"/>
      <c r="F557" s="15" t="n"/>
      <c r="G557" s="15" t="n"/>
      <c r="H557" s="16">
        <f>IF($A557="","",$D557+IF($E557="",0,$E557)+IF($F557="",0,$F557)-IF($G557="",0,$G557))</f>
        <v/>
      </c>
      <c r="I557" s="12" t="n"/>
      <c r="J557" s="12" t="n"/>
      <c r="K557" s="12" t="n"/>
      <c r="L557" s="14" t="n"/>
      <c r="M557" s="12" t="n"/>
      <c r="N557" s="12" t="n"/>
      <c r="O557" s="12" t="n"/>
    </row>
    <row r="558">
      <c r="A558" s="12" t="n"/>
      <c r="B558" s="13">
        <f>IF($A558="","",IFERROR(INDEX(Emp_Names,MATCH($A558,Emp_Codes,0)),"NOT FOUND"))</f>
        <v/>
      </c>
      <c r="C558" s="14" t="n"/>
      <c r="D558" s="15" t="n"/>
      <c r="E558" s="15" t="n"/>
      <c r="F558" s="15" t="n"/>
      <c r="G558" s="15" t="n"/>
      <c r="H558" s="16">
        <f>IF($A558="","",$D558+IF($E558="",0,$E558)+IF($F558="",0,$F558)-IF($G558="",0,$G558))</f>
        <v/>
      </c>
      <c r="I558" s="12" t="n"/>
      <c r="J558" s="12" t="n"/>
      <c r="K558" s="12" t="n"/>
      <c r="L558" s="14" t="n"/>
      <c r="M558" s="12" t="n"/>
      <c r="N558" s="12" t="n"/>
      <c r="O558" s="12" t="n"/>
    </row>
    <row r="559">
      <c r="A559" s="12" t="n"/>
      <c r="B559" s="13">
        <f>IF($A559="","",IFERROR(INDEX(Emp_Names,MATCH($A559,Emp_Codes,0)),"NOT FOUND"))</f>
        <v/>
      </c>
      <c r="C559" s="14" t="n"/>
      <c r="D559" s="15" t="n"/>
      <c r="E559" s="15" t="n"/>
      <c r="F559" s="15" t="n"/>
      <c r="G559" s="15" t="n"/>
      <c r="H559" s="16">
        <f>IF($A559="","",$D559+IF($E559="",0,$E559)+IF($F559="",0,$F559)-IF($G559="",0,$G559))</f>
        <v/>
      </c>
      <c r="I559" s="12" t="n"/>
      <c r="J559" s="12" t="n"/>
      <c r="K559" s="12" t="n"/>
      <c r="L559" s="14" t="n"/>
      <c r="M559" s="12" t="n"/>
      <c r="N559" s="12" t="n"/>
      <c r="O559" s="12" t="n"/>
    </row>
    <row r="560">
      <c r="A560" s="12" t="n"/>
      <c r="B560" s="13">
        <f>IF($A560="","",IFERROR(INDEX(Emp_Names,MATCH($A560,Emp_Codes,0)),"NOT FOUND"))</f>
        <v/>
      </c>
      <c r="C560" s="14" t="n"/>
      <c r="D560" s="15" t="n"/>
      <c r="E560" s="15" t="n"/>
      <c r="F560" s="15" t="n"/>
      <c r="G560" s="15" t="n"/>
      <c r="H560" s="16">
        <f>IF($A560="","",$D560+IF($E560="",0,$E560)+IF($F560="",0,$F560)-IF($G560="",0,$G560))</f>
        <v/>
      </c>
      <c r="I560" s="12" t="n"/>
      <c r="J560" s="12" t="n"/>
      <c r="K560" s="12" t="n"/>
      <c r="L560" s="14" t="n"/>
      <c r="M560" s="12" t="n"/>
      <c r="N560" s="12" t="n"/>
      <c r="O560" s="12" t="n"/>
    </row>
    <row r="561">
      <c r="A561" s="12" t="n"/>
      <c r="B561" s="13">
        <f>IF($A561="","",IFERROR(INDEX(Emp_Names,MATCH($A561,Emp_Codes,0)),"NOT FOUND"))</f>
        <v/>
      </c>
      <c r="C561" s="14" t="n"/>
      <c r="D561" s="15" t="n"/>
      <c r="E561" s="15" t="n"/>
      <c r="F561" s="15" t="n"/>
      <c r="G561" s="15" t="n"/>
      <c r="H561" s="16">
        <f>IF($A561="","",$D561+IF($E561="",0,$E561)+IF($F561="",0,$F561)-IF($G561="",0,$G561))</f>
        <v/>
      </c>
      <c r="I561" s="12" t="n"/>
      <c r="J561" s="12" t="n"/>
      <c r="K561" s="12" t="n"/>
      <c r="L561" s="14" t="n"/>
      <c r="M561" s="12" t="n"/>
      <c r="N561" s="12" t="n"/>
      <c r="O561" s="12" t="n"/>
    </row>
    <row r="562">
      <c r="A562" s="12" t="n"/>
      <c r="B562" s="13">
        <f>IF($A562="","",IFERROR(INDEX(Emp_Names,MATCH($A562,Emp_Codes,0)),"NOT FOUND"))</f>
        <v/>
      </c>
      <c r="C562" s="14" t="n"/>
      <c r="D562" s="15" t="n"/>
      <c r="E562" s="15" t="n"/>
      <c r="F562" s="15" t="n"/>
      <c r="G562" s="15" t="n"/>
      <c r="H562" s="16">
        <f>IF($A562="","",$D562+IF($E562="",0,$E562)+IF($F562="",0,$F562)-IF($G562="",0,$G562))</f>
        <v/>
      </c>
      <c r="I562" s="12" t="n"/>
      <c r="J562" s="12" t="n"/>
      <c r="K562" s="12" t="n"/>
      <c r="L562" s="14" t="n"/>
      <c r="M562" s="12" t="n"/>
      <c r="N562" s="12" t="n"/>
      <c r="O562" s="12" t="n"/>
    </row>
    <row r="563">
      <c r="A563" s="12" t="n"/>
      <c r="B563" s="13">
        <f>IF($A563="","",IFERROR(INDEX(Emp_Names,MATCH($A563,Emp_Codes,0)),"NOT FOUND"))</f>
        <v/>
      </c>
      <c r="C563" s="14" t="n"/>
      <c r="D563" s="15" t="n"/>
      <c r="E563" s="15" t="n"/>
      <c r="F563" s="15" t="n"/>
      <c r="G563" s="15" t="n"/>
      <c r="H563" s="16">
        <f>IF($A563="","",$D563+IF($E563="",0,$E563)+IF($F563="",0,$F563)-IF($G563="",0,$G563))</f>
        <v/>
      </c>
      <c r="I563" s="12" t="n"/>
      <c r="J563" s="12" t="n"/>
      <c r="K563" s="12" t="n"/>
      <c r="L563" s="14" t="n"/>
      <c r="M563" s="12" t="n"/>
      <c r="N563" s="12" t="n"/>
      <c r="O563" s="12" t="n"/>
    </row>
    <row r="564">
      <c r="A564" s="12" t="n"/>
      <c r="B564" s="13">
        <f>IF($A564="","",IFERROR(INDEX(Emp_Names,MATCH($A564,Emp_Codes,0)),"NOT FOUND"))</f>
        <v/>
      </c>
      <c r="C564" s="14" t="n"/>
      <c r="D564" s="15" t="n"/>
      <c r="E564" s="15" t="n"/>
      <c r="F564" s="15" t="n"/>
      <c r="G564" s="15" t="n"/>
      <c r="H564" s="16">
        <f>IF($A564="","",$D564+IF($E564="",0,$E564)+IF($F564="",0,$F564)-IF($G564="",0,$G564))</f>
        <v/>
      </c>
      <c r="I564" s="12" t="n"/>
      <c r="J564" s="12" t="n"/>
      <c r="K564" s="12" t="n"/>
      <c r="L564" s="14" t="n"/>
      <c r="M564" s="12" t="n"/>
      <c r="N564" s="12" t="n"/>
      <c r="O564" s="12" t="n"/>
    </row>
    <row r="565">
      <c r="A565" s="12" t="n"/>
      <c r="B565" s="13">
        <f>IF($A565="","",IFERROR(INDEX(Emp_Names,MATCH($A565,Emp_Codes,0)),"NOT FOUND"))</f>
        <v/>
      </c>
      <c r="C565" s="14" t="n"/>
      <c r="D565" s="15" t="n"/>
      <c r="E565" s="15" t="n"/>
      <c r="F565" s="15" t="n"/>
      <c r="G565" s="15" t="n"/>
      <c r="H565" s="16">
        <f>IF($A565="","",$D565+IF($E565="",0,$E565)+IF($F565="",0,$F565)-IF($G565="",0,$G565))</f>
        <v/>
      </c>
      <c r="I565" s="12" t="n"/>
      <c r="J565" s="12" t="n"/>
      <c r="K565" s="12" t="n"/>
      <c r="L565" s="14" t="n"/>
      <c r="M565" s="12" t="n"/>
      <c r="N565" s="12" t="n"/>
      <c r="O565" s="12" t="n"/>
    </row>
    <row r="566">
      <c r="A566" s="12" t="n"/>
      <c r="B566" s="13">
        <f>IF($A566="","",IFERROR(INDEX(Emp_Names,MATCH($A566,Emp_Codes,0)),"NOT FOUND"))</f>
        <v/>
      </c>
      <c r="C566" s="14" t="n"/>
      <c r="D566" s="15" t="n"/>
      <c r="E566" s="15" t="n"/>
      <c r="F566" s="15" t="n"/>
      <c r="G566" s="15" t="n"/>
      <c r="H566" s="16">
        <f>IF($A566="","",$D566+IF($E566="",0,$E566)+IF($F566="",0,$F566)-IF($G566="",0,$G566))</f>
        <v/>
      </c>
      <c r="I566" s="12" t="n"/>
      <c r="J566" s="12" t="n"/>
      <c r="K566" s="12" t="n"/>
      <c r="L566" s="14" t="n"/>
      <c r="M566" s="12" t="n"/>
      <c r="N566" s="12" t="n"/>
      <c r="O566" s="12" t="n"/>
    </row>
    <row r="567">
      <c r="A567" s="12" t="n"/>
      <c r="B567" s="13">
        <f>IF($A567="","",IFERROR(INDEX(Emp_Names,MATCH($A567,Emp_Codes,0)),"NOT FOUND"))</f>
        <v/>
      </c>
      <c r="C567" s="14" t="n"/>
      <c r="D567" s="15" t="n"/>
      <c r="E567" s="15" t="n"/>
      <c r="F567" s="15" t="n"/>
      <c r="G567" s="15" t="n"/>
      <c r="H567" s="16">
        <f>IF($A567="","",$D567+IF($E567="",0,$E567)+IF($F567="",0,$F567)-IF($G567="",0,$G567))</f>
        <v/>
      </c>
      <c r="I567" s="12" t="n"/>
      <c r="J567" s="12" t="n"/>
      <c r="K567" s="12" t="n"/>
      <c r="L567" s="14" t="n"/>
      <c r="M567" s="12" t="n"/>
      <c r="N567" s="12" t="n"/>
      <c r="O567" s="12" t="n"/>
    </row>
    <row r="568">
      <c r="A568" s="12" t="n"/>
      <c r="B568" s="13">
        <f>IF($A568="","",IFERROR(INDEX(Emp_Names,MATCH($A568,Emp_Codes,0)),"NOT FOUND"))</f>
        <v/>
      </c>
      <c r="C568" s="14" t="n"/>
      <c r="D568" s="15" t="n"/>
      <c r="E568" s="15" t="n"/>
      <c r="F568" s="15" t="n"/>
      <c r="G568" s="15" t="n"/>
      <c r="H568" s="16">
        <f>IF($A568="","",$D568+IF($E568="",0,$E568)+IF($F568="",0,$F568)-IF($G568="",0,$G568))</f>
        <v/>
      </c>
      <c r="I568" s="12" t="n"/>
      <c r="J568" s="12" t="n"/>
      <c r="K568" s="12" t="n"/>
      <c r="L568" s="14" t="n"/>
      <c r="M568" s="12" t="n"/>
      <c r="N568" s="12" t="n"/>
      <c r="O568" s="12" t="n"/>
    </row>
    <row r="569">
      <c r="A569" s="12" t="n"/>
      <c r="B569" s="13">
        <f>IF($A569="","",IFERROR(INDEX(Emp_Names,MATCH($A569,Emp_Codes,0)),"NOT FOUND"))</f>
        <v/>
      </c>
      <c r="C569" s="14" t="n"/>
      <c r="D569" s="15" t="n"/>
      <c r="E569" s="15" t="n"/>
      <c r="F569" s="15" t="n"/>
      <c r="G569" s="15" t="n"/>
      <c r="H569" s="16">
        <f>IF($A569="","",$D569+IF($E569="",0,$E569)+IF($F569="",0,$F569)-IF($G569="",0,$G569))</f>
        <v/>
      </c>
      <c r="I569" s="12" t="n"/>
      <c r="J569" s="12" t="n"/>
      <c r="K569" s="12" t="n"/>
      <c r="L569" s="14" t="n"/>
      <c r="M569" s="12" t="n"/>
      <c r="N569" s="12" t="n"/>
      <c r="O569" s="12" t="n"/>
    </row>
    <row r="570">
      <c r="A570" s="12" t="n"/>
      <c r="B570" s="13">
        <f>IF($A570="","",IFERROR(INDEX(Emp_Names,MATCH($A570,Emp_Codes,0)),"NOT FOUND"))</f>
        <v/>
      </c>
      <c r="C570" s="14" t="n"/>
      <c r="D570" s="15" t="n"/>
      <c r="E570" s="15" t="n"/>
      <c r="F570" s="15" t="n"/>
      <c r="G570" s="15" t="n"/>
      <c r="H570" s="16">
        <f>IF($A570="","",$D570+IF($E570="",0,$E570)+IF($F570="",0,$F570)-IF($G570="",0,$G570))</f>
        <v/>
      </c>
      <c r="I570" s="12" t="n"/>
      <c r="J570" s="12" t="n"/>
      <c r="K570" s="12" t="n"/>
      <c r="L570" s="14" t="n"/>
      <c r="M570" s="12" t="n"/>
      <c r="N570" s="12" t="n"/>
      <c r="O570" s="12" t="n"/>
    </row>
    <row r="571">
      <c r="A571" s="12" t="n"/>
      <c r="B571" s="13">
        <f>IF($A571="","",IFERROR(INDEX(Emp_Names,MATCH($A571,Emp_Codes,0)),"NOT FOUND"))</f>
        <v/>
      </c>
      <c r="C571" s="14" t="n"/>
      <c r="D571" s="15" t="n"/>
      <c r="E571" s="15" t="n"/>
      <c r="F571" s="15" t="n"/>
      <c r="G571" s="15" t="n"/>
      <c r="H571" s="16">
        <f>IF($A571="","",$D571+IF($E571="",0,$E571)+IF($F571="",0,$F571)-IF($G571="",0,$G571))</f>
        <v/>
      </c>
      <c r="I571" s="12" t="n"/>
      <c r="J571" s="12" t="n"/>
      <c r="K571" s="12" t="n"/>
      <c r="L571" s="14" t="n"/>
      <c r="M571" s="12" t="n"/>
      <c r="N571" s="12" t="n"/>
      <c r="O571" s="12" t="n"/>
    </row>
    <row r="572">
      <c r="A572" s="12" t="n"/>
      <c r="B572" s="13">
        <f>IF($A572="","",IFERROR(INDEX(Emp_Names,MATCH($A572,Emp_Codes,0)),"NOT FOUND"))</f>
        <v/>
      </c>
      <c r="C572" s="14" t="n"/>
      <c r="D572" s="15" t="n"/>
      <c r="E572" s="15" t="n"/>
      <c r="F572" s="15" t="n"/>
      <c r="G572" s="15" t="n"/>
      <c r="H572" s="16">
        <f>IF($A572="","",$D572+IF($E572="",0,$E572)+IF($F572="",0,$F572)-IF($G572="",0,$G572))</f>
        <v/>
      </c>
      <c r="I572" s="12" t="n"/>
      <c r="J572" s="12" t="n"/>
      <c r="K572" s="12" t="n"/>
      <c r="L572" s="14" t="n"/>
      <c r="M572" s="12" t="n"/>
      <c r="N572" s="12" t="n"/>
      <c r="O572" s="12" t="n"/>
    </row>
    <row r="573">
      <c r="A573" s="12" t="n"/>
      <c r="B573" s="13">
        <f>IF($A573="","",IFERROR(INDEX(Emp_Names,MATCH($A573,Emp_Codes,0)),"NOT FOUND"))</f>
        <v/>
      </c>
      <c r="C573" s="14" t="n"/>
      <c r="D573" s="15" t="n"/>
      <c r="E573" s="15" t="n"/>
      <c r="F573" s="15" t="n"/>
      <c r="G573" s="15" t="n"/>
      <c r="H573" s="16">
        <f>IF($A573="","",$D573+IF($E573="",0,$E573)+IF($F573="",0,$F573)-IF($G573="",0,$G573))</f>
        <v/>
      </c>
      <c r="I573" s="12" t="n"/>
      <c r="J573" s="12" t="n"/>
      <c r="K573" s="12" t="n"/>
      <c r="L573" s="14" t="n"/>
      <c r="M573" s="12" t="n"/>
      <c r="N573" s="12" t="n"/>
      <c r="O573" s="12" t="n"/>
    </row>
    <row r="574">
      <c r="A574" s="12" t="n"/>
      <c r="B574" s="13">
        <f>IF($A574="","",IFERROR(INDEX(Emp_Names,MATCH($A574,Emp_Codes,0)),"NOT FOUND"))</f>
        <v/>
      </c>
      <c r="C574" s="14" t="n"/>
      <c r="D574" s="15" t="n"/>
      <c r="E574" s="15" t="n"/>
      <c r="F574" s="15" t="n"/>
      <c r="G574" s="15" t="n"/>
      <c r="H574" s="16">
        <f>IF($A574="","",$D574+IF($E574="",0,$E574)+IF($F574="",0,$F574)-IF($G574="",0,$G574))</f>
        <v/>
      </c>
      <c r="I574" s="12" t="n"/>
      <c r="J574" s="12" t="n"/>
      <c r="K574" s="12" t="n"/>
      <c r="L574" s="14" t="n"/>
      <c r="M574" s="12" t="n"/>
      <c r="N574" s="12" t="n"/>
      <c r="O574" s="12" t="n"/>
    </row>
    <row r="575">
      <c r="A575" s="12" t="n"/>
      <c r="B575" s="13">
        <f>IF($A575="","",IFERROR(INDEX(Emp_Names,MATCH($A575,Emp_Codes,0)),"NOT FOUND"))</f>
        <v/>
      </c>
      <c r="C575" s="14" t="n"/>
      <c r="D575" s="15" t="n"/>
      <c r="E575" s="15" t="n"/>
      <c r="F575" s="15" t="n"/>
      <c r="G575" s="15" t="n"/>
      <c r="H575" s="16">
        <f>IF($A575="","",$D575+IF($E575="",0,$E575)+IF($F575="",0,$F575)-IF($G575="",0,$G575))</f>
        <v/>
      </c>
      <c r="I575" s="12" t="n"/>
      <c r="J575" s="12" t="n"/>
      <c r="K575" s="12" t="n"/>
      <c r="L575" s="14" t="n"/>
      <c r="M575" s="12" t="n"/>
      <c r="N575" s="12" t="n"/>
      <c r="O575" s="12" t="n"/>
    </row>
    <row r="576">
      <c r="A576" s="12" t="n"/>
      <c r="B576" s="13">
        <f>IF($A576="","",IFERROR(INDEX(Emp_Names,MATCH($A576,Emp_Codes,0)),"NOT FOUND"))</f>
        <v/>
      </c>
      <c r="C576" s="14" t="n"/>
      <c r="D576" s="15" t="n"/>
      <c r="E576" s="15" t="n"/>
      <c r="F576" s="15" t="n"/>
      <c r="G576" s="15" t="n"/>
      <c r="H576" s="16">
        <f>IF($A576="","",$D576+IF($E576="",0,$E576)+IF($F576="",0,$F576)-IF($G576="",0,$G576))</f>
        <v/>
      </c>
      <c r="I576" s="12" t="n"/>
      <c r="J576" s="12" t="n"/>
      <c r="K576" s="12" t="n"/>
      <c r="L576" s="14" t="n"/>
      <c r="M576" s="12" t="n"/>
      <c r="N576" s="12" t="n"/>
      <c r="O576" s="12" t="n"/>
    </row>
    <row r="577">
      <c r="A577" s="12" t="n"/>
      <c r="B577" s="13">
        <f>IF($A577="","",IFERROR(INDEX(Emp_Names,MATCH($A577,Emp_Codes,0)),"NOT FOUND"))</f>
        <v/>
      </c>
      <c r="C577" s="14" t="n"/>
      <c r="D577" s="15" t="n"/>
      <c r="E577" s="15" t="n"/>
      <c r="F577" s="15" t="n"/>
      <c r="G577" s="15" t="n"/>
      <c r="H577" s="16">
        <f>IF($A577="","",$D577+IF($E577="",0,$E577)+IF($F577="",0,$F577)-IF($G577="",0,$G577))</f>
        <v/>
      </c>
      <c r="I577" s="12" t="n"/>
      <c r="J577" s="12" t="n"/>
      <c r="K577" s="12" t="n"/>
      <c r="L577" s="14" t="n"/>
      <c r="M577" s="12" t="n"/>
      <c r="N577" s="12" t="n"/>
      <c r="O577" s="12" t="n"/>
    </row>
    <row r="578">
      <c r="A578" s="12" t="n"/>
      <c r="B578" s="13">
        <f>IF($A578="","",IFERROR(INDEX(Emp_Names,MATCH($A578,Emp_Codes,0)),"NOT FOUND"))</f>
        <v/>
      </c>
      <c r="C578" s="14" t="n"/>
      <c r="D578" s="15" t="n"/>
      <c r="E578" s="15" t="n"/>
      <c r="F578" s="15" t="n"/>
      <c r="G578" s="15" t="n"/>
      <c r="H578" s="16">
        <f>IF($A578="","",$D578+IF($E578="",0,$E578)+IF($F578="",0,$F578)-IF($G578="",0,$G578))</f>
        <v/>
      </c>
      <c r="I578" s="12" t="n"/>
      <c r="J578" s="12" t="n"/>
      <c r="K578" s="12" t="n"/>
      <c r="L578" s="14" t="n"/>
      <c r="M578" s="12" t="n"/>
      <c r="N578" s="12" t="n"/>
      <c r="O578" s="12" t="n"/>
    </row>
    <row r="579">
      <c r="A579" s="12" t="n"/>
      <c r="B579" s="13">
        <f>IF($A579="","",IFERROR(INDEX(Emp_Names,MATCH($A579,Emp_Codes,0)),"NOT FOUND"))</f>
        <v/>
      </c>
      <c r="C579" s="14" t="n"/>
      <c r="D579" s="15" t="n"/>
      <c r="E579" s="15" t="n"/>
      <c r="F579" s="15" t="n"/>
      <c r="G579" s="15" t="n"/>
      <c r="H579" s="16">
        <f>IF($A579="","",$D579+IF($E579="",0,$E579)+IF($F579="",0,$F579)-IF($G579="",0,$G579))</f>
        <v/>
      </c>
      <c r="I579" s="12" t="n"/>
      <c r="J579" s="12" t="n"/>
      <c r="K579" s="12" t="n"/>
      <c r="L579" s="14" t="n"/>
      <c r="M579" s="12" t="n"/>
      <c r="N579" s="12" t="n"/>
      <c r="O579" s="12" t="n"/>
    </row>
    <row r="580">
      <c r="A580" s="12" t="n"/>
      <c r="B580" s="13">
        <f>IF($A580="","",IFERROR(INDEX(Emp_Names,MATCH($A580,Emp_Codes,0)),"NOT FOUND"))</f>
        <v/>
      </c>
      <c r="C580" s="14" t="n"/>
      <c r="D580" s="15" t="n"/>
      <c r="E580" s="15" t="n"/>
      <c r="F580" s="15" t="n"/>
      <c r="G580" s="15" t="n"/>
      <c r="H580" s="16">
        <f>IF($A580="","",$D580+IF($E580="",0,$E580)+IF($F580="",0,$F580)-IF($G580="",0,$G580))</f>
        <v/>
      </c>
      <c r="I580" s="12" t="n"/>
      <c r="J580" s="12" t="n"/>
      <c r="K580" s="12" t="n"/>
      <c r="L580" s="14" t="n"/>
      <c r="M580" s="12" t="n"/>
      <c r="N580" s="12" t="n"/>
      <c r="O580" s="12" t="n"/>
    </row>
    <row r="581">
      <c r="A581" s="12" t="n"/>
      <c r="B581" s="13">
        <f>IF($A581="","",IFERROR(INDEX(Emp_Names,MATCH($A581,Emp_Codes,0)),"NOT FOUND"))</f>
        <v/>
      </c>
      <c r="C581" s="14" t="n"/>
      <c r="D581" s="15" t="n"/>
      <c r="E581" s="15" t="n"/>
      <c r="F581" s="15" t="n"/>
      <c r="G581" s="15" t="n"/>
      <c r="H581" s="16">
        <f>IF($A581="","",$D581+IF($E581="",0,$E581)+IF($F581="",0,$F581)-IF($G581="",0,$G581))</f>
        <v/>
      </c>
      <c r="I581" s="12" t="n"/>
      <c r="J581" s="12" t="n"/>
      <c r="K581" s="12" t="n"/>
      <c r="L581" s="14" t="n"/>
      <c r="M581" s="12" t="n"/>
      <c r="N581" s="12" t="n"/>
      <c r="O581" s="12" t="n"/>
    </row>
    <row r="582">
      <c r="A582" s="12" t="n"/>
      <c r="B582" s="13">
        <f>IF($A582="","",IFERROR(INDEX(Emp_Names,MATCH($A582,Emp_Codes,0)),"NOT FOUND"))</f>
        <v/>
      </c>
      <c r="C582" s="14" t="n"/>
      <c r="D582" s="15" t="n"/>
      <c r="E582" s="15" t="n"/>
      <c r="F582" s="15" t="n"/>
      <c r="G582" s="15" t="n"/>
      <c r="H582" s="16">
        <f>IF($A582="","",$D582+IF($E582="",0,$E582)+IF($F582="",0,$F582)-IF($G582="",0,$G582))</f>
        <v/>
      </c>
      <c r="I582" s="12" t="n"/>
      <c r="J582" s="12" t="n"/>
      <c r="K582" s="12" t="n"/>
      <c r="L582" s="14" t="n"/>
      <c r="M582" s="12" t="n"/>
      <c r="N582" s="12" t="n"/>
      <c r="O582" s="12" t="n"/>
    </row>
    <row r="583">
      <c r="A583" s="12" t="n"/>
      <c r="B583" s="13">
        <f>IF($A583="","",IFERROR(INDEX(Emp_Names,MATCH($A583,Emp_Codes,0)),"NOT FOUND"))</f>
        <v/>
      </c>
      <c r="C583" s="14" t="n"/>
      <c r="D583" s="15" t="n"/>
      <c r="E583" s="15" t="n"/>
      <c r="F583" s="15" t="n"/>
      <c r="G583" s="15" t="n"/>
      <c r="H583" s="16">
        <f>IF($A583="","",$D583+IF($E583="",0,$E583)+IF($F583="",0,$F583)-IF($G583="",0,$G583))</f>
        <v/>
      </c>
      <c r="I583" s="12" t="n"/>
      <c r="J583" s="12" t="n"/>
      <c r="K583" s="12" t="n"/>
      <c r="L583" s="14" t="n"/>
      <c r="M583" s="12" t="n"/>
      <c r="N583" s="12" t="n"/>
      <c r="O583" s="12" t="n"/>
    </row>
    <row r="584">
      <c r="A584" s="12" t="n"/>
      <c r="B584" s="13">
        <f>IF($A584="","",IFERROR(INDEX(Emp_Names,MATCH($A584,Emp_Codes,0)),"NOT FOUND"))</f>
        <v/>
      </c>
      <c r="C584" s="14" t="n"/>
      <c r="D584" s="15" t="n"/>
      <c r="E584" s="15" t="n"/>
      <c r="F584" s="15" t="n"/>
      <c r="G584" s="15" t="n"/>
      <c r="H584" s="16">
        <f>IF($A584="","",$D584+IF($E584="",0,$E584)+IF($F584="",0,$F584)-IF($G584="",0,$G584))</f>
        <v/>
      </c>
      <c r="I584" s="12" t="n"/>
      <c r="J584" s="12" t="n"/>
      <c r="K584" s="12" t="n"/>
      <c r="L584" s="14" t="n"/>
      <c r="M584" s="12" t="n"/>
      <c r="N584" s="12" t="n"/>
      <c r="O584" s="12" t="n"/>
    </row>
    <row r="585">
      <c r="A585" s="12" t="n"/>
      <c r="B585" s="13">
        <f>IF($A585="","",IFERROR(INDEX(Emp_Names,MATCH($A585,Emp_Codes,0)),"NOT FOUND"))</f>
        <v/>
      </c>
      <c r="C585" s="14" t="n"/>
      <c r="D585" s="15" t="n"/>
      <c r="E585" s="15" t="n"/>
      <c r="F585" s="15" t="n"/>
      <c r="G585" s="15" t="n"/>
      <c r="H585" s="16">
        <f>IF($A585="","",$D585+IF($E585="",0,$E585)+IF($F585="",0,$F585)-IF($G585="",0,$G585))</f>
        <v/>
      </c>
      <c r="I585" s="12" t="n"/>
      <c r="J585" s="12" t="n"/>
      <c r="K585" s="12" t="n"/>
      <c r="L585" s="14" t="n"/>
      <c r="M585" s="12" t="n"/>
      <c r="N585" s="12" t="n"/>
      <c r="O585" s="12" t="n"/>
    </row>
    <row r="586">
      <c r="A586" s="12" t="n"/>
      <c r="B586" s="13">
        <f>IF($A586="","",IFERROR(INDEX(Emp_Names,MATCH($A586,Emp_Codes,0)),"NOT FOUND"))</f>
        <v/>
      </c>
      <c r="C586" s="14" t="n"/>
      <c r="D586" s="15" t="n"/>
      <c r="E586" s="15" t="n"/>
      <c r="F586" s="15" t="n"/>
      <c r="G586" s="15" t="n"/>
      <c r="H586" s="16">
        <f>IF($A586="","",$D586+IF($E586="",0,$E586)+IF($F586="",0,$F586)-IF($G586="",0,$G586))</f>
        <v/>
      </c>
      <c r="I586" s="12" t="n"/>
      <c r="J586" s="12" t="n"/>
      <c r="K586" s="12" t="n"/>
      <c r="L586" s="14" t="n"/>
      <c r="M586" s="12" t="n"/>
      <c r="N586" s="12" t="n"/>
      <c r="O586" s="12" t="n"/>
    </row>
    <row r="587">
      <c r="A587" s="12" t="n"/>
      <c r="B587" s="13">
        <f>IF($A587="","",IFERROR(INDEX(Emp_Names,MATCH($A587,Emp_Codes,0)),"NOT FOUND"))</f>
        <v/>
      </c>
      <c r="C587" s="14" t="n"/>
      <c r="D587" s="15" t="n"/>
      <c r="E587" s="15" t="n"/>
      <c r="F587" s="15" t="n"/>
      <c r="G587" s="15" t="n"/>
      <c r="H587" s="16">
        <f>IF($A587="","",$D587+IF($E587="",0,$E587)+IF($F587="",0,$F587)-IF($G587="",0,$G587))</f>
        <v/>
      </c>
      <c r="I587" s="12" t="n"/>
      <c r="J587" s="12" t="n"/>
      <c r="K587" s="12" t="n"/>
      <c r="L587" s="14" t="n"/>
      <c r="M587" s="12" t="n"/>
      <c r="N587" s="12" t="n"/>
      <c r="O587" s="12" t="n"/>
    </row>
    <row r="588">
      <c r="A588" s="12" t="n"/>
      <c r="B588" s="13">
        <f>IF($A588="","",IFERROR(INDEX(Emp_Names,MATCH($A588,Emp_Codes,0)),"NOT FOUND"))</f>
        <v/>
      </c>
      <c r="C588" s="14" t="n"/>
      <c r="D588" s="15" t="n"/>
      <c r="E588" s="15" t="n"/>
      <c r="F588" s="15" t="n"/>
      <c r="G588" s="15" t="n"/>
      <c r="H588" s="16">
        <f>IF($A588="","",$D588+IF($E588="",0,$E588)+IF($F588="",0,$F588)-IF($G588="",0,$G588))</f>
        <v/>
      </c>
      <c r="I588" s="12" t="n"/>
      <c r="J588" s="12" t="n"/>
      <c r="K588" s="12" t="n"/>
      <c r="L588" s="14" t="n"/>
      <c r="M588" s="12" t="n"/>
      <c r="N588" s="12" t="n"/>
      <c r="O588" s="12" t="n"/>
    </row>
    <row r="589">
      <c r="A589" s="12" t="n"/>
      <c r="B589" s="13">
        <f>IF($A589="","",IFERROR(INDEX(Emp_Names,MATCH($A589,Emp_Codes,0)),"NOT FOUND"))</f>
        <v/>
      </c>
      <c r="C589" s="14" t="n"/>
      <c r="D589" s="15" t="n"/>
      <c r="E589" s="15" t="n"/>
      <c r="F589" s="15" t="n"/>
      <c r="G589" s="15" t="n"/>
      <c r="H589" s="16">
        <f>IF($A589="","",$D589+IF($E589="",0,$E589)+IF($F589="",0,$F589)-IF($G589="",0,$G589))</f>
        <v/>
      </c>
      <c r="I589" s="12" t="n"/>
      <c r="J589" s="12" t="n"/>
      <c r="K589" s="12" t="n"/>
      <c r="L589" s="14" t="n"/>
      <c r="M589" s="12" t="n"/>
      <c r="N589" s="12" t="n"/>
      <c r="O589" s="12" t="n"/>
    </row>
    <row r="590">
      <c r="A590" s="12" t="n"/>
      <c r="B590" s="13">
        <f>IF($A590="","",IFERROR(INDEX(Emp_Names,MATCH($A590,Emp_Codes,0)),"NOT FOUND"))</f>
        <v/>
      </c>
      <c r="C590" s="14" t="n"/>
      <c r="D590" s="15" t="n"/>
      <c r="E590" s="15" t="n"/>
      <c r="F590" s="15" t="n"/>
      <c r="G590" s="15" t="n"/>
      <c r="H590" s="16">
        <f>IF($A590="","",$D590+IF($E590="",0,$E590)+IF($F590="",0,$F590)-IF($G590="",0,$G590))</f>
        <v/>
      </c>
      <c r="I590" s="12" t="n"/>
      <c r="J590" s="12" t="n"/>
      <c r="K590" s="12" t="n"/>
      <c r="L590" s="14" t="n"/>
      <c r="M590" s="12" t="n"/>
      <c r="N590" s="12" t="n"/>
      <c r="O590" s="12" t="n"/>
    </row>
    <row r="591">
      <c r="A591" s="12" t="n"/>
      <c r="B591" s="13">
        <f>IF($A591="","",IFERROR(INDEX(Emp_Names,MATCH($A591,Emp_Codes,0)),"NOT FOUND"))</f>
        <v/>
      </c>
      <c r="C591" s="14" t="n"/>
      <c r="D591" s="15" t="n"/>
      <c r="E591" s="15" t="n"/>
      <c r="F591" s="15" t="n"/>
      <c r="G591" s="15" t="n"/>
      <c r="H591" s="16">
        <f>IF($A591="","",$D591+IF($E591="",0,$E591)+IF($F591="",0,$F591)-IF($G591="",0,$G591))</f>
        <v/>
      </c>
      <c r="I591" s="12" t="n"/>
      <c r="J591" s="12" t="n"/>
      <c r="K591" s="12" t="n"/>
      <c r="L591" s="14" t="n"/>
      <c r="M591" s="12" t="n"/>
      <c r="N591" s="12" t="n"/>
      <c r="O591" s="12" t="n"/>
    </row>
    <row r="592">
      <c r="A592" s="12" t="n"/>
      <c r="B592" s="13">
        <f>IF($A592="","",IFERROR(INDEX(Emp_Names,MATCH($A592,Emp_Codes,0)),"NOT FOUND"))</f>
        <v/>
      </c>
      <c r="C592" s="14" t="n"/>
      <c r="D592" s="15" t="n"/>
      <c r="E592" s="15" t="n"/>
      <c r="F592" s="15" t="n"/>
      <c r="G592" s="15" t="n"/>
      <c r="H592" s="16">
        <f>IF($A592="","",$D592+IF($E592="",0,$E592)+IF($F592="",0,$F592)-IF($G592="",0,$G592))</f>
        <v/>
      </c>
      <c r="I592" s="12" t="n"/>
      <c r="J592" s="12" t="n"/>
      <c r="K592" s="12" t="n"/>
      <c r="L592" s="14" t="n"/>
      <c r="M592" s="12" t="n"/>
      <c r="N592" s="12" t="n"/>
      <c r="O592" s="12" t="n"/>
    </row>
    <row r="593">
      <c r="A593" s="12" t="n"/>
      <c r="B593" s="13">
        <f>IF($A593="","",IFERROR(INDEX(Emp_Names,MATCH($A593,Emp_Codes,0)),"NOT FOUND"))</f>
        <v/>
      </c>
      <c r="C593" s="14" t="n"/>
      <c r="D593" s="15" t="n"/>
      <c r="E593" s="15" t="n"/>
      <c r="F593" s="15" t="n"/>
      <c r="G593" s="15" t="n"/>
      <c r="H593" s="16">
        <f>IF($A593="","",$D593+IF($E593="",0,$E593)+IF($F593="",0,$F593)-IF($G593="",0,$G593))</f>
        <v/>
      </c>
      <c r="I593" s="12" t="n"/>
      <c r="J593" s="12" t="n"/>
      <c r="K593" s="12" t="n"/>
      <c r="L593" s="14" t="n"/>
      <c r="M593" s="12" t="n"/>
      <c r="N593" s="12" t="n"/>
      <c r="O593" s="12" t="n"/>
    </row>
    <row r="594">
      <c r="A594" s="12" t="n"/>
      <c r="B594" s="13">
        <f>IF($A594="","",IFERROR(INDEX(Emp_Names,MATCH($A594,Emp_Codes,0)),"NOT FOUND"))</f>
        <v/>
      </c>
      <c r="C594" s="14" t="n"/>
      <c r="D594" s="15" t="n"/>
      <c r="E594" s="15" t="n"/>
      <c r="F594" s="15" t="n"/>
      <c r="G594" s="15" t="n"/>
      <c r="H594" s="16">
        <f>IF($A594="","",$D594+IF($E594="",0,$E594)+IF($F594="",0,$F594)-IF($G594="",0,$G594))</f>
        <v/>
      </c>
      <c r="I594" s="12" t="n"/>
      <c r="J594" s="12" t="n"/>
      <c r="K594" s="12" t="n"/>
      <c r="L594" s="14" t="n"/>
      <c r="M594" s="12" t="n"/>
      <c r="N594" s="12" t="n"/>
      <c r="O594" s="12" t="n"/>
    </row>
    <row r="595">
      <c r="A595" s="12" t="n"/>
      <c r="B595" s="13">
        <f>IF($A595="","",IFERROR(INDEX(Emp_Names,MATCH($A595,Emp_Codes,0)),"NOT FOUND"))</f>
        <v/>
      </c>
      <c r="C595" s="14" t="n"/>
      <c r="D595" s="15" t="n"/>
      <c r="E595" s="15" t="n"/>
      <c r="F595" s="15" t="n"/>
      <c r="G595" s="15" t="n"/>
      <c r="H595" s="16">
        <f>IF($A595="","",$D595+IF($E595="",0,$E595)+IF($F595="",0,$F595)-IF($G595="",0,$G595))</f>
        <v/>
      </c>
      <c r="I595" s="12" t="n"/>
      <c r="J595" s="12" t="n"/>
      <c r="K595" s="12" t="n"/>
      <c r="L595" s="14" t="n"/>
      <c r="M595" s="12" t="n"/>
      <c r="N595" s="12" t="n"/>
      <c r="O595" s="12" t="n"/>
    </row>
    <row r="596">
      <c r="A596" s="12" t="n"/>
      <c r="B596" s="13">
        <f>IF($A596="","",IFERROR(INDEX(Emp_Names,MATCH($A596,Emp_Codes,0)),"NOT FOUND"))</f>
        <v/>
      </c>
      <c r="C596" s="14" t="n"/>
      <c r="D596" s="15" t="n"/>
      <c r="E596" s="15" t="n"/>
      <c r="F596" s="15" t="n"/>
      <c r="G596" s="15" t="n"/>
      <c r="H596" s="16">
        <f>IF($A596="","",$D596+IF($E596="",0,$E596)+IF($F596="",0,$F596)-IF($G596="",0,$G596))</f>
        <v/>
      </c>
      <c r="I596" s="12" t="n"/>
      <c r="J596" s="12" t="n"/>
      <c r="K596" s="12" t="n"/>
      <c r="L596" s="14" t="n"/>
      <c r="M596" s="12" t="n"/>
      <c r="N596" s="12" t="n"/>
      <c r="O596" s="12" t="n"/>
    </row>
    <row r="597">
      <c r="A597" s="12" t="n"/>
      <c r="B597" s="13">
        <f>IF($A597="","",IFERROR(INDEX(Emp_Names,MATCH($A597,Emp_Codes,0)),"NOT FOUND"))</f>
        <v/>
      </c>
      <c r="C597" s="14" t="n"/>
      <c r="D597" s="15" t="n"/>
      <c r="E597" s="15" t="n"/>
      <c r="F597" s="15" t="n"/>
      <c r="G597" s="15" t="n"/>
      <c r="H597" s="16">
        <f>IF($A597="","",$D597+IF($E597="",0,$E597)+IF($F597="",0,$F597)-IF($G597="",0,$G597))</f>
        <v/>
      </c>
      <c r="I597" s="12" t="n"/>
      <c r="J597" s="12" t="n"/>
      <c r="K597" s="12" t="n"/>
      <c r="L597" s="14" t="n"/>
      <c r="M597" s="12" t="n"/>
      <c r="N597" s="12" t="n"/>
      <c r="O597" s="12" t="n"/>
    </row>
    <row r="598">
      <c r="A598" s="12" t="n"/>
      <c r="B598" s="13">
        <f>IF($A598="","",IFERROR(INDEX(Emp_Names,MATCH($A598,Emp_Codes,0)),"NOT FOUND"))</f>
        <v/>
      </c>
      <c r="C598" s="14" t="n"/>
      <c r="D598" s="15" t="n"/>
      <c r="E598" s="15" t="n"/>
      <c r="F598" s="15" t="n"/>
      <c r="G598" s="15" t="n"/>
      <c r="H598" s="16">
        <f>IF($A598="","",$D598+IF($E598="",0,$E598)+IF($F598="",0,$F598)-IF($G598="",0,$G598))</f>
        <v/>
      </c>
      <c r="I598" s="12" t="n"/>
      <c r="J598" s="12" t="n"/>
      <c r="K598" s="12" t="n"/>
      <c r="L598" s="14" t="n"/>
      <c r="M598" s="12" t="n"/>
      <c r="N598" s="12" t="n"/>
      <c r="O598" s="12" t="n"/>
    </row>
    <row r="599">
      <c r="A599" s="12" t="n"/>
      <c r="B599" s="13">
        <f>IF($A599="","",IFERROR(INDEX(Emp_Names,MATCH($A599,Emp_Codes,0)),"NOT FOUND"))</f>
        <v/>
      </c>
      <c r="C599" s="14" t="n"/>
      <c r="D599" s="15" t="n"/>
      <c r="E599" s="15" t="n"/>
      <c r="F599" s="15" t="n"/>
      <c r="G599" s="15" t="n"/>
      <c r="H599" s="16">
        <f>IF($A599="","",$D599+IF($E599="",0,$E599)+IF($F599="",0,$F599)-IF($G599="",0,$G599))</f>
        <v/>
      </c>
      <c r="I599" s="12" t="n"/>
      <c r="J599" s="12" t="n"/>
      <c r="K599" s="12" t="n"/>
      <c r="L599" s="14" t="n"/>
      <c r="M599" s="12" t="n"/>
      <c r="N599" s="12" t="n"/>
      <c r="O599" s="12" t="n"/>
    </row>
    <row r="600">
      <c r="A600" s="12" t="n"/>
      <c r="B600" s="13">
        <f>IF($A600="","",IFERROR(INDEX(Emp_Names,MATCH($A600,Emp_Codes,0)),"NOT FOUND"))</f>
        <v/>
      </c>
      <c r="C600" s="14" t="n"/>
      <c r="D600" s="15" t="n"/>
      <c r="E600" s="15" t="n"/>
      <c r="F600" s="15" t="n"/>
      <c r="G600" s="15" t="n"/>
      <c r="H600" s="16">
        <f>IF($A600="","",$D600+IF($E600="",0,$E600)+IF($F600="",0,$F600)-IF($G600="",0,$G600))</f>
        <v/>
      </c>
      <c r="I600" s="12" t="n"/>
      <c r="J600" s="12" t="n"/>
      <c r="K600" s="12" t="n"/>
      <c r="L600" s="14" t="n"/>
      <c r="M600" s="12" t="n"/>
      <c r="N600" s="12" t="n"/>
      <c r="O600" s="12" t="n"/>
    </row>
    <row r="601">
      <c r="A601" s="12" t="n"/>
      <c r="B601" s="13">
        <f>IF($A601="","",IFERROR(INDEX(Emp_Names,MATCH($A601,Emp_Codes,0)),"NOT FOUND"))</f>
        <v/>
      </c>
      <c r="C601" s="14" t="n"/>
      <c r="D601" s="15" t="n"/>
      <c r="E601" s="15" t="n"/>
      <c r="F601" s="15" t="n"/>
      <c r="G601" s="15" t="n"/>
      <c r="H601" s="16">
        <f>IF($A601="","",$D601+IF($E601="",0,$E601)+IF($F601="",0,$F601)-IF($G601="",0,$G601))</f>
        <v/>
      </c>
      <c r="I601" s="12" t="n"/>
      <c r="J601" s="12" t="n"/>
      <c r="K601" s="12" t="n"/>
      <c r="L601" s="14" t="n"/>
      <c r="M601" s="12" t="n"/>
      <c r="N601" s="12" t="n"/>
      <c r="O601" s="12" t="n"/>
    </row>
    <row r="602">
      <c r="A602" s="12" t="n"/>
      <c r="B602" s="13">
        <f>IF($A602="","",IFERROR(INDEX(Emp_Names,MATCH($A602,Emp_Codes,0)),"NOT FOUND"))</f>
        <v/>
      </c>
      <c r="C602" s="14" t="n"/>
      <c r="D602" s="15" t="n"/>
      <c r="E602" s="15" t="n"/>
      <c r="F602" s="15" t="n"/>
      <c r="G602" s="15" t="n"/>
      <c r="H602" s="16">
        <f>IF($A602="","",$D602+IF($E602="",0,$E602)+IF($F602="",0,$F602)-IF($G602="",0,$G602))</f>
        <v/>
      </c>
      <c r="I602" s="12" t="n"/>
      <c r="J602" s="12" t="n"/>
      <c r="K602" s="12" t="n"/>
      <c r="L602" s="14" t="n"/>
      <c r="M602" s="12" t="n"/>
      <c r="N602" s="12" t="n"/>
      <c r="O602" s="12" t="n"/>
    </row>
    <row r="603">
      <c r="A603" s="12" t="n"/>
      <c r="B603" s="13">
        <f>IF($A603="","",IFERROR(INDEX(Emp_Names,MATCH($A603,Emp_Codes,0)),"NOT FOUND"))</f>
        <v/>
      </c>
      <c r="C603" s="14" t="n"/>
      <c r="D603" s="15" t="n"/>
      <c r="E603" s="15" t="n"/>
      <c r="F603" s="15" t="n"/>
      <c r="G603" s="15" t="n"/>
      <c r="H603" s="16">
        <f>IF($A603="","",$D603+IF($E603="",0,$E603)+IF($F603="",0,$F603)-IF($G603="",0,$G603))</f>
        <v/>
      </c>
      <c r="I603" s="12" t="n"/>
      <c r="J603" s="12" t="n"/>
      <c r="K603" s="12" t="n"/>
      <c r="L603" s="14" t="n"/>
      <c r="M603" s="12" t="n"/>
      <c r="N603" s="12" t="n"/>
      <c r="O603" s="12" t="n"/>
    </row>
    <row r="604">
      <c r="A604" s="12" t="n"/>
      <c r="B604" s="13">
        <f>IF($A604="","",IFERROR(INDEX(Emp_Names,MATCH($A604,Emp_Codes,0)),"NOT FOUND"))</f>
        <v/>
      </c>
      <c r="C604" s="14" t="n"/>
      <c r="D604" s="15" t="n"/>
      <c r="E604" s="15" t="n"/>
      <c r="F604" s="15" t="n"/>
      <c r="G604" s="15" t="n"/>
      <c r="H604" s="16">
        <f>IF($A604="","",$D604+IF($E604="",0,$E604)+IF($F604="",0,$F604)-IF($G604="",0,$G604))</f>
        <v/>
      </c>
      <c r="I604" s="12" t="n"/>
      <c r="J604" s="12" t="n"/>
      <c r="K604" s="12" t="n"/>
      <c r="L604" s="14" t="n"/>
      <c r="M604" s="12" t="n"/>
      <c r="N604" s="12" t="n"/>
      <c r="O604" s="12" t="n"/>
    </row>
    <row r="605">
      <c r="A605" s="12" t="n"/>
      <c r="B605" s="13">
        <f>IF($A605="","",IFERROR(INDEX(Emp_Names,MATCH($A605,Emp_Codes,0)),"NOT FOUND"))</f>
        <v/>
      </c>
      <c r="C605" s="14" t="n"/>
      <c r="D605" s="15" t="n"/>
      <c r="E605" s="15" t="n"/>
      <c r="F605" s="15" t="n"/>
      <c r="G605" s="15" t="n"/>
      <c r="H605" s="16">
        <f>IF($A605="","",$D605+IF($E605="",0,$E605)+IF($F605="",0,$F605)-IF($G605="",0,$G605))</f>
        <v/>
      </c>
      <c r="I605" s="12" t="n"/>
      <c r="J605" s="12" t="n"/>
      <c r="K605" s="12" t="n"/>
      <c r="L605" s="14" t="n"/>
      <c r="M605" s="12" t="n"/>
      <c r="N605" s="12" t="n"/>
      <c r="O605" s="12" t="n"/>
    </row>
    <row r="606">
      <c r="A606" s="12" t="n"/>
      <c r="B606" s="13">
        <f>IF($A606="","",IFERROR(INDEX(Emp_Names,MATCH($A606,Emp_Codes,0)),"NOT FOUND"))</f>
        <v/>
      </c>
      <c r="C606" s="14" t="n"/>
      <c r="D606" s="15" t="n"/>
      <c r="E606" s="15" t="n"/>
      <c r="F606" s="15" t="n"/>
      <c r="G606" s="15" t="n"/>
      <c r="H606" s="16">
        <f>IF($A606="","",$D606+IF($E606="",0,$E606)+IF($F606="",0,$F606)-IF($G606="",0,$G606))</f>
        <v/>
      </c>
      <c r="I606" s="12" t="n"/>
      <c r="J606" s="12" t="n"/>
      <c r="K606" s="12" t="n"/>
      <c r="L606" s="14" t="n"/>
      <c r="M606" s="12" t="n"/>
      <c r="N606" s="12" t="n"/>
      <c r="O606" s="12" t="n"/>
    </row>
    <row r="607">
      <c r="A607" s="12" t="n"/>
      <c r="B607" s="13">
        <f>IF($A607="","",IFERROR(INDEX(Emp_Names,MATCH($A607,Emp_Codes,0)),"NOT FOUND"))</f>
        <v/>
      </c>
      <c r="C607" s="14" t="n"/>
      <c r="D607" s="15" t="n"/>
      <c r="E607" s="15" t="n"/>
      <c r="F607" s="15" t="n"/>
      <c r="G607" s="15" t="n"/>
      <c r="H607" s="16">
        <f>IF($A607="","",$D607+IF($E607="",0,$E607)+IF($F607="",0,$F607)-IF($G607="",0,$G607))</f>
        <v/>
      </c>
      <c r="I607" s="12" t="n"/>
      <c r="J607" s="12" t="n"/>
      <c r="K607" s="12" t="n"/>
      <c r="L607" s="14" t="n"/>
      <c r="M607" s="12" t="n"/>
      <c r="N607" s="12" t="n"/>
      <c r="O607" s="12" t="n"/>
    </row>
    <row r="608">
      <c r="A608" s="12" t="n"/>
      <c r="B608" s="13">
        <f>IF($A608="","",IFERROR(INDEX(Emp_Names,MATCH($A608,Emp_Codes,0)),"NOT FOUND"))</f>
        <v/>
      </c>
      <c r="C608" s="14" t="n"/>
      <c r="D608" s="15" t="n"/>
      <c r="E608" s="15" t="n"/>
      <c r="F608" s="15" t="n"/>
      <c r="G608" s="15" t="n"/>
      <c r="H608" s="16">
        <f>IF($A608="","",$D608+IF($E608="",0,$E608)+IF($F608="",0,$F608)-IF($G608="",0,$G608))</f>
        <v/>
      </c>
      <c r="I608" s="12" t="n"/>
      <c r="J608" s="12" t="n"/>
      <c r="K608" s="12" t="n"/>
      <c r="L608" s="14" t="n"/>
      <c r="M608" s="12" t="n"/>
      <c r="N608" s="12" t="n"/>
      <c r="O608" s="12" t="n"/>
    </row>
    <row r="609">
      <c r="A609" s="12" t="n"/>
      <c r="B609" s="13">
        <f>IF($A609="","",IFERROR(INDEX(Emp_Names,MATCH($A609,Emp_Codes,0)),"NOT FOUND"))</f>
        <v/>
      </c>
      <c r="C609" s="14" t="n"/>
      <c r="D609" s="15" t="n"/>
      <c r="E609" s="15" t="n"/>
      <c r="F609" s="15" t="n"/>
      <c r="G609" s="15" t="n"/>
      <c r="H609" s="16">
        <f>IF($A609="","",$D609+IF($E609="",0,$E609)+IF($F609="",0,$F609)-IF($G609="",0,$G609))</f>
        <v/>
      </c>
      <c r="I609" s="12" t="n"/>
      <c r="J609" s="12" t="n"/>
      <c r="K609" s="12" t="n"/>
      <c r="L609" s="14" t="n"/>
      <c r="M609" s="12" t="n"/>
      <c r="N609" s="12" t="n"/>
      <c r="O609" s="12" t="n"/>
    </row>
    <row r="610">
      <c r="A610" s="12" t="n"/>
      <c r="B610" s="13">
        <f>IF($A610="","",IFERROR(INDEX(Emp_Names,MATCH($A610,Emp_Codes,0)),"NOT FOUND"))</f>
        <v/>
      </c>
      <c r="C610" s="14" t="n"/>
      <c r="D610" s="15" t="n"/>
      <c r="E610" s="15" t="n"/>
      <c r="F610" s="15" t="n"/>
      <c r="G610" s="15" t="n"/>
      <c r="H610" s="16">
        <f>IF($A610="","",$D610+IF($E610="",0,$E610)+IF($F610="",0,$F610)-IF($G610="",0,$G610))</f>
        <v/>
      </c>
      <c r="I610" s="12" t="n"/>
      <c r="J610" s="12" t="n"/>
      <c r="K610" s="12" t="n"/>
      <c r="L610" s="14" t="n"/>
      <c r="M610" s="12" t="n"/>
      <c r="N610" s="12" t="n"/>
      <c r="O610" s="12" t="n"/>
    </row>
    <row r="611">
      <c r="A611" s="12" t="n"/>
      <c r="B611" s="13">
        <f>IF($A611="","",IFERROR(INDEX(Emp_Names,MATCH($A611,Emp_Codes,0)),"NOT FOUND"))</f>
        <v/>
      </c>
      <c r="C611" s="14" t="n"/>
      <c r="D611" s="15" t="n"/>
      <c r="E611" s="15" t="n"/>
      <c r="F611" s="15" t="n"/>
      <c r="G611" s="15" t="n"/>
      <c r="H611" s="16">
        <f>IF($A611="","",$D611+IF($E611="",0,$E611)+IF($F611="",0,$F611)-IF($G611="",0,$G611))</f>
        <v/>
      </c>
      <c r="I611" s="12" t="n"/>
      <c r="J611" s="12" t="n"/>
      <c r="K611" s="12" t="n"/>
      <c r="L611" s="14" t="n"/>
      <c r="M611" s="12" t="n"/>
      <c r="N611" s="12" t="n"/>
      <c r="O611" s="12" t="n"/>
    </row>
    <row r="612">
      <c r="A612" s="12" t="n"/>
      <c r="B612" s="13">
        <f>IF($A612="","",IFERROR(INDEX(Emp_Names,MATCH($A612,Emp_Codes,0)),"NOT FOUND"))</f>
        <v/>
      </c>
      <c r="C612" s="14" t="n"/>
      <c r="D612" s="15" t="n"/>
      <c r="E612" s="15" t="n"/>
      <c r="F612" s="15" t="n"/>
      <c r="G612" s="15" t="n"/>
      <c r="H612" s="16">
        <f>IF($A612="","",$D612+IF($E612="",0,$E612)+IF($F612="",0,$F612)-IF($G612="",0,$G612))</f>
        <v/>
      </c>
      <c r="I612" s="12" t="n"/>
      <c r="J612" s="12" t="n"/>
      <c r="K612" s="12" t="n"/>
      <c r="L612" s="14" t="n"/>
      <c r="M612" s="12" t="n"/>
      <c r="N612" s="12" t="n"/>
      <c r="O612" s="12" t="n"/>
    </row>
    <row r="613">
      <c r="A613" s="12" t="n"/>
      <c r="B613" s="13">
        <f>IF($A613="","",IFERROR(INDEX(Emp_Names,MATCH($A613,Emp_Codes,0)),"NOT FOUND"))</f>
        <v/>
      </c>
      <c r="C613" s="14" t="n"/>
      <c r="D613" s="15" t="n"/>
      <c r="E613" s="15" t="n"/>
      <c r="F613" s="15" t="n"/>
      <c r="G613" s="15" t="n"/>
      <c r="H613" s="16">
        <f>IF($A613="","",$D613+IF($E613="",0,$E613)+IF($F613="",0,$F613)-IF($G613="",0,$G613))</f>
        <v/>
      </c>
      <c r="I613" s="12" t="n"/>
      <c r="J613" s="12" t="n"/>
      <c r="K613" s="12" t="n"/>
      <c r="L613" s="14" t="n"/>
      <c r="M613" s="12" t="n"/>
      <c r="N613" s="12" t="n"/>
      <c r="O613" s="12" t="n"/>
    </row>
    <row r="614">
      <c r="A614" s="12" t="n"/>
      <c r="B614" s="13">
        <f>IF($A614="","",IFERROR(INDEX(Emp_Names,MATCH($A614,Emp_Codes,0)),"NOT FOUND"))</f>
        <v/>
      </c>
      <c r="C614" s="14" t="n"/>
      <c r="D614" s="15" t="n"/>
      <c r="E614" s="15" t="n"/>
      <c r="F614" s="15" t="n"/>
      <c r="G614" s="15" t="n"/>
      <c r="H614" s="16">
        <f>IF($A614="","",$D614+IF($E614="",0,$E614)+IF($F614="",0,$F614)-IF($G614="",0,$G614))</f>
        <v/>
      </c>
      <c r="I614" s="12" t="n"/>
      <c r="J614" s="12" t="n"/>
      <c r="K614" s="12" t="n"/>
      <c r="L614" s="14" t="n"/>
      <c r="M614" s="12" t="n"/>
      <c r="N614" s="12" t="n"/>
      <c r="O614" s="12" t="n"/>
    </row>
    <row r="615">
      <c r="A615" s="12" t="n"/>
      <c r="B615" s="13">
        <f>IF($A615="","",IFERROR(INDEX(Emp_Names,MATCH($A615,Emp_Codes,0)),"NOT FOUND"))</f>
        <v/>
      </c>
      <c r="C615" s="14" t="n"/>
      <c r="D615" s="15" t="n"/>
      <c r="E615" s="15" t="n"/>
      <c r="F615" s="15" t="n"/>
      <c r="G615" s="15" t="n"/>
      <c r="H615" s="16">
        <f>IF($A615="","",$D615+IF($E615="",0,$E615)+IF($F615="",0,$F615)-IF($G615="",0,$G615))</f>
        <v/>
      </c>
      <c r="I615" s="12" t="n"/>
      <c r="J615" s="12" t="n"/>
      <c r="K615" s="12" t="n"/>
      <c r="L615" s="14" t="n"/>
      <c r="M615" s="12" t="n"/>
      <c r="N615" s="12" t="n"/>
      <c r="O615" s="12" t="n"/>
    </row>
    <row r="616">
      <c r="A616" s="12" t="n"/>
      <c r="B616" s="13">
        <f>IF($A616="","",IFERROR(INDEX(Emp_Names,MATCH($A616,Emp_Codes,0)),"NOT FOUND"))</f>
        <v/>
      </c>
      <c r="C616" s="14" t="n"/>
      <c r="D616" s="15" t="n"/>
      <c r="E616" s="15" t="n"/>
      <c r="F616" s="15" t="n"/>
      <c r="G616" s="15" t="n"/>
      <c r="H616" s="16">
        <f>IF($A616="","",$D616+IF($E616="",0,$E616)+IF($F616="",0,$F616)-IF($G616="",0,$G616))</f>
        <v/>
      </c>
      <c r="I616" s="12" t="n"/>
      <c r="J616" s="12" t="n"/>
      <c r="K616" s="12" t="n"/>
      <c r="L616" s="14" t="n"/>
      <c r="M616" s="12" t="n"/>
      <c r="N616" s="12" t="n"/>
      <c r="O616" s="12" t="n"/>
    </row>
    <row r="617">
      <c r="A617" s="12" t="n"/>
      <c r="B617" s="13">
        <f>IF($A617="","",IFERROR(INDEX(Emp_Names,MATCH($A617,Emp_Codes,0)),"NOT FOUND"))</f>
        <v/>
      </c>
      <c r="C617" s="14" t="n"/>
      <c r="D617" s="15" t="n"/>
      <c r="E617" s="15" t="n"/>
      <c r="F617" s="15" t="n"/>
      <c r="G617" s="15" t="n"/>
      <c r="H617" s="16">
        <f>IF($A617="","",$D617+IF($E617="",0,$E617)+IF($F617="",0,$F617)-IF($G617="",0,$G617))</f>
        <v/>
      </c>
      <c r="I617" s="12" t="n"/>
      <c r="J617" s="12" t="n"/>
      <c r="K617" s="12" t="n"/>
      <c r="L617" s="14" t="n"/>
      <c r="M617" s="12" t="n"/>
      <c r="N617" s="12" t="n"/>
      <c r="O617" s="12" t="n"/>
    </row>
    <row r="618">
      <c r="A618" s="12" t="n"/>
      <c r="B618" s="13">
        <f>IF($A618="","",IFERROR(INDEX(Emp_Names,MATCH($A618,Emp_Codes,0)),"NOT FOUND"))</f>
        <v/>
      </c>
      <c r="C618" s="14" t="n"/>
      <c r="D618" s="15" t="n"/>
      <c r="E618" s="15" t="n"/>
      <c r="F618" s="15" t="n"/>
      <c r="G618" s="15" t="n"/>
      <c r="H618" s="16">
        <f>IF($A618="","",$D618+IF($E618="",0,$E618)+IF($F618="",0,$F618)-IF($G618="",0,$G618))</f>
        <v/>
      </c>
      <c r="I618" s="12" t="n"/>
      <c r="J618" s="12" t="n"/>
      <c r="K618" s="12" t="n"/>
      <c r="L618" s="14" t="n"/>
      <c r="M618" s="12" t="n"/>
      <c r="N618" s="12" t="n"/>
      <c r="O618" s="12" t="n"/>
    </row>
    <row r="619">
      <c r="A619" s="12" t="n"/>
      <c r="B619" s="13">
        <f>IF($A619="","",IFERROR(INDEX(Emp_Names,MATCH($A619,Emp_Codes,0)),"NOT FOUND"))</f>
        <v/>
      </c>
      <c r="C619" s="14" t="n"/>
      <c r="D619" s="15" t="n"/>
      <c r="E619" s="15" t="n"/>
      <c r="F619" s="15" t="n"/>
      <c r="G619" s="15" t="n"/>
      <c r="H619" s="16">
        <f>IF($A619="","",$D619+IF($E619="",0,$E619)+IF($F619="",0,$F619)-IF($G619="",0,$G619))</f>
        <v/>
      </c>
      <c r="I619" s="12" t="n"/>
      <c r="J619" s="12" t="n"/>
      <c r="K619" s="12" t="n"/>
      <c r="L619" s="14" t="n"/>
      <c r="M619" s="12" t="n"/>
      <c r="N619" s="12" t="n"/>
      <c r="O619" s="12" t="n"/>
    </row>
    <row r="620">
      <c r="A620" s="12" t="n"/>
      <c r="B620" s="13">
        <f>IF($A620="","",IFERROR(INDEX(Emp_Names,MATCH($A620,Emp_Codes,0)),"NOT FOUND"))</f>
        <v/>
      </c>
      <c r="C620" s="14" t="n"/>
      <c r="D620" s="15" t="n"/>
      <c r="E620" s="15" t="n"/>
      <c r="F620" s="15" t="n"/>
      <c r="G620" s="15" t="n"/>
      <c r="H620" s="16">
        <f>IF($A620="","",$D620+IF($E620="",0,$E620)+IF($F620="",0,$F620)-IF($G620="",0,$G620))</f>
        <v/>
      </c>
      <c r="I620" s="12" t="n"/>
      <c r="J620" s="12" t="n"/>
      <c r="K620" s="12" t="n"/>
      <c r="L620" s="14" t="n"/>
      <c r="M620" s="12" t="n"/>
      <c r="N620" s="12" t="n"/>
      <c r="O620" s="12" t="n"/>
    </row>
    <row r="621">
      <c r="A621" s="12" t="n"/>
      <c r="B621" s="13">
        <f>IF($A621="","",IFERROR(INDEX(Emp_Names,MATCH($A621,Emp_Codes,0)),"NOT FOUND"))</f>
        <v/>
      </c>
      <c r="C621" s="14" t="n"/>
      <c r="D621" s="15" t="n"/>
      <c r="E621" s="15" t="n"/>
      <c r="F621" s="15" t="n"/>
      <c r="G621" s="15" t="n"/>
      <c r="H621" s="16">
        <f>IF($A621="","",$D621+IF($E621="",0,$E621)+IF($F621="",0,$F621)-IF($G621="",0,$G621))</f>
        <v/>
      </c>
      <c r="I621" s="12" t="n"/>
      <c r="J621" s="12" t="n"/>
      <c r="K621" s="12" t="n"/>
      <c r="L621" s="14" t="n"/>
      <c r="M621" s="12" t="n"/>
      <c r="N621" s="12" t="n"/>
      <c r="O621" s="12" t="n"/>
    </row>
    <row r="622">
      <c r="A622" s="12" t="n"/>
      <c r="B622" s="13">
        <f>IF($A622="","",IFERROR(INDEX(Emp_Names,MATCH($A622,Emp_Codes,0)),"NOT FOUND"))</f>
        <v/>
      </c>
      <c r="C622" s="14" t="n"/>
      <c r="D622" s="15" t="n"/>
      <c r="E622" s="15" t="n"/>
      <c r="F622" s="15" t="n"/>
      <c r="G622" s="15" t="n"/>
      <c r="H622" s="16">
        <f>IF($A622="","",$D622+IF($E622="",0,$E622)+IF($F622="",0,$F622)-IF($G622="",0,$G622))</f>
        <v/>
      </c>
      <c r="I622" s="12" t="n"/>
      <c r="J622" s="12" t="n"/>
      <c r="K622" s="12" t="n"/>
      <c r="L622" s="14" t="n"/>
      <c r="M622" s="12" t="n"/>
      <c r="N622" s="12" t="n"/>
      <c r="O622" s="12" t="n"/>
    </row>
    <row r="623">
      <c r="A623" s="12" t="n"/>
      <c r="B623" s="13">
        <f>IF($A623="","",IFERROR(INDEX(Emp_Names,MATCH($A623,Emp_Codes,0)),"NOT FOUND"))</f>
        <v/>
      </c>
      <c r="C623" s="14" t="n"/>
      <c r="D623" s="15" t="n"/>
      <c r="E623" s="15" t="n"/>
      <c r="F623" s="15" t="n"/>
      <c r="G623" s="15" t="n"/>
      <c r="H623" s="16">
        <f>IF($A623="","",$D623+IF($E623="",0,$E623)+IF($F623="",0,$F623)-IF($G623="",0,$G623))</f>
        <v/>
      </c>
      <c r="I623" s="12" t="n"/>
      <c r="J623" s="12" t="n"/>
      <c r="K623" s="12" t="n"/>
      <c r="L623" s="14" t="n"/>
      <c r="M623" s="12" t="n"/>
      <c r="N623" s="12" t="n"/>
      <c r="O623" s="12" t="n"/>
    </row>
    <row r="624">
      <c r="A624" s="12" t="n"/>
      <c r="B624" s="13">
        <f>IF($A624="","",IFERROR(INDEX(Emp_Names,MATCH($A624,Emp_Codes,0)),"NOT FOUND"))</f>
        <v/>
      </c>
      <c r="C624" s="14" t="n"/>
      <c r="D624" s="15" t="n"/>
      <c r="E624" s="15" t="n"/>
      <c r="F624" s="15" t="n"/>
      <c r="G624" s="15" t="n"/>
      <c r="H624" s="16">
        <f>IF($A624="","",$D624+IF($E624="",0,$E624)+IF($F624="",0,$F624)-IF($G624="",0,$G624))</f>
        <v/>
      </c>
      <c r="I624" s="12" t="n"/>
      <c r="J624" s="12" t="n"/>
      <c r="K624" s="12" t="n"/>
      <c r="L624" s="14" t="n"/>
      <c r="M624" s="12" t="n"/>
      <c r="N624" s="12" t="n"/>
      <c r="O624" s="12" t="n"/>
    </row>
    <row r="625">
      <c r="A625" s="12" t="n"/>
      <c r="B625" s="13">
        <f>IF($A625="","",IFERROR(INDEX(Emp_Names,MATCH($A625,Emp_Codes,0)),"NOT FOUND"))</f>
        <v/>
      </c>
      <c r="C625" s="14" t="n"/>
      <c r="D625" s="15" t="n"/>
      <c r="E625" s="15" t="n"/>
      <c r="F625" s="15" t="n"/>
      <c r="G625" s="15" t="n"/>
      <c r="H625" s="16">
        <f>IF($A625="","",$D625+IF($E625="",0,$E625)+IF($F625="",0,$F625)-IF($G625="",0,$G625))</f>
        <v/>
      </c>
      <c r="I625" s="12" t="n"/>
      <c r="J625" s="12" t="n"/>
      <c r="K625" s="12" t="n"/>
      <c r="L625" s="14" t="n"/>
      <c r="M625" s="12" t="n"/>
      <c r="N625" s="12" t="n"/>
      <c r="O625" s="12" t="n"/>
    </row>
    <row r="626">
      <c r="A626" s="12" t="n"/>
      <c r="B626" s="13">
        <f>IF($A626="","",IFERROR(INDEX(Emp_Names,MATCH($A626,Emp_Codes,0)),"NOT FOUND"))</f>
        <v/>
      </c>
      <c r="C626" s="14" t="n"/>
      <c r="D626" s="15" t="n"/>
      <c r="E626" s="15" t="n"/>
      <c r="F626" s="15" t="n"/>
      <c r="G626" s="15" t="n"/>
      <c r="H626" s="16">
        <f>IF($A626="","",$D626+IF($E626="",0,$E626)+IF($F626="",0,$F626)-IF($G626="",0,$G626))</f>
        <v/>
      </c>
      <c r="I626" s="12" t="n"/>
      <c r="J626" s="12" t="n"/>
      <c r="K626" s="12" t="n"/>
      <c r="L626" s="14" t="n"/>
      <c r="M626" s="12" t="n"/>
      <c r="N626" s="12" t="n"/>
      <c r="O626" s="12" t="n"/>
    </row>
    <row r="627">
      <c r="A627" s="12" t="n"/>
      <c r="B627" s="13">
        <f>IF($A627="","",IFERROR(INDEX(Emp_Names,MATCH($A627,Emp_Codes,0)),"NOT FOUND"))</f>
        <v/>
      </c>
      <c r="C627" s="14" t="n"/>
      <c r="D627" s="15" t="n"/>
      <c r="E627" s="15" t="n"/>
      <c r="F627" s="15" t="n"/>
      <c r="G627" s="15" t="n"/>
      <c r="H627" s="16">
        <f>IF($A627="","",$D627+IF($E627="",0,$E627)+IF($F627="",0,$F627)-IF($G627="",0,$G627))</f>
        <v/>
      </c>
      <c r="I627" s="12" t="n"/>
      <c r="J627" s="12" t="n"/>
      <c r="K627" s="12" t="n"/>
      <c r="L627" s="14" t="n"/>
      <c r="M627" s="12" t="n"/>
      <c r="N627" s="12" t="n"/>
      <c r="O627" s="12" t="n"/>
    </row>
    <row r="628">
      <c r="A628" s="12" t="n"/>
      <c r="B628" s="13">
        <f>IF($A628="","",IFERROR(INDEX(Emp_Names,MATCH($A628,Emp_Codes,0)),"NOT FOUND"))</f>
        <v/>
      </c>
      <c r="C628" s="14" t="n"/>
      <c r="D628" s="15" t="n"/>
      <c r="E628" s="15" t="n"/>
      <c r="F628" s="15" t="n"/>
      <c r="G628" s="15" t="n"/>
      <c r="H628" s="16">
        <f>IF($A628="","",$D628+IF($E628="",0,$E628)+IF($F628="",0,$F628)-IF($G628="",0,$G628))</f>
        <v/>
      </c>
      <c r="I628" s="12" t="n"/>
      <c r="J628" s="12" t="n"/>
      <c r="K628" s="12" t="n"/>
      <c r="L628" s="14" t="n"/>
      <c r="M628" s="12" t="n"/>
      <c r="N628" s="12" t="n"/>
      <c r="O628" s="12" t="n"/>
    </row>
    <row r="629">
      <c r="A629" s="12" t="n"/>
      <c r="B629" s="13">
        <f>IF($A629="","",IFERROR(INDEX(Emp_Names,MATCH($A629,Emp_Codes,0)),"NOT FOUND"))</f>
        <v/>
      </c>
      <c r="C629" s="14" t="n"/>
      <c r="D629" s="15" t="n"/>
      <c r="E629" s="15" t="n"/>
      <c r="F629" s="15" t="n"/>
      <c r="G629" s="15" t="n"/>
      <c r="H629" s="16">
        <f>IF($A629="","",$D629+IF($E629="",0,$E629)+IF($F629="",0,$F629)-IF($G629="",0,$G629))</f>
        <v/>
      </c>
      <c r="I629" s="12" t="n"/>
      <c r="J629" s="12" t="n"/>
      <c r="K629" s="12" t="n"/>
      <c r="L629" s="14" t="n"/>
      <c r="M629" s="12" t="n"/>
      <c r="N629" s="12" t="n"/>
      <c r="O629" s="12" t="n"/>
    </row>
    <row r="630">
      <c r="A630" s="12" t="n"/>
      <c r="B630" s="13">
        <f>IF($A630="","",IFERROR(INDEX(Emp_Names,MATCH($A630,Emp_Codes,0)),"NOT FOUND"))</f>
        <v/>
      </c>
      <c r="C630" s="14" t="n"/>
      <c r="D630" s="15" t="n"/>
      <c r="E630" s="15" t="n"/>
      <c r="F630" s="15" t="n"/>
      <c r="G630" s="15" t="n"/>
      <c r="H630" s="16">
        <f>IF($A630="","",$D630+IF($E630="",0,$E630)+IF($F630="",0,$F630)-IF($G630="",0,$G630))</f>
        <v/>
      </c>
      <c r="I630" s="12" t="n"/>
      <c r="J630" s="12" t="n"/>
      <c r="K630" s="12" t="n"/>
      <c r="L630" s="14" t="n"/>
      <c r="M630" s="12" t="n"/>
      <c r="N630" s="12" t="n"/>
      <c r="O630" s="12" t="n"/>
    </row>
    <row r="631">
      <c r="A631" s="12" t="n"/>
      <c r="B631" s="13">
        <f>IF($A631="","",IFERROR(INDEX(Emp_Names,MATCH($A631,Emp_Codes,0)),"NOT FOUND"))</f>
        <v/>
      </c>
      <c r="C631" s="14" t="n"/>
      <c r="D631" s="15" t="n"/>
      <c r="E631" s="15" t="n"/>
      <c r="F631" s="15" t="n"/>
      <c r="G631" s="15" t="n"/>
      <c r="H631" s="16">
        <f>IF($A631="","",$D631+IF($E631="",0,$E631)+IF($F631="",0,$F631)-IF($G631="",0,$G631))</f>
        <v/>
      </c>
      <c r="I631" s="12" t="n"/>
      <c r="J631" s="12" t="n"/>
      <c r="K631" s="12" t="n"/>
      <c r="L631" s="14" t="n"/>
      <c r="M631" s="12" t="n"/>
      <c r="N631" s="12" t="n"/>
      <c r="O631" s="12" t="n"/>
    </row>
    <row r="632">
      <c r="A632" s="12" t="n"/>
      <c r="B632" s="13">
        <f>IF($A632="","",IFERROR(INDEX(Emp_Names,MATCH($A632,Emp_Codes,0)),"NOT FOUND"))</f>
        <v/>
      </c>
      <c r="C632" s="14" t="n"/>
      <c r="D632" s="15" t="n"/>
      <c r="E632" s="15" t="n"/>
      <c r="F632" s="15" t="n"/>
      <c r="G632" s="15" t="n"/>
      <c r="H632" s="16">
        <f>IF($A632="","",$D632+IF($E632="",0,$E632)+IF($F632="",0,$F632)-IF($G632="",0,$G632))</f>
        <v/>
      </c>
      <c r="I632" s="12" t="n"/>
      <c r="J632" s="12" t="n"/>
      <c r="K632" s="12" t="n"/>
      <c r="L632" s="14" t="n"/>
      <c r="M632" s="12" t="n"/>
      <c r="N632" s="12" t="n"/>
      <c r="O632" s="12" t="n"/>
    </row>
    <row r="633">
      <c r="A633" s="12" t="n"/>
      <c r="B633" s="13">
        <f>IF($A633="","",IFERROR(INDEX(Emp_Names,MATCH($A633,Emp_Codes,0)),"NOT FOUND"))</f>
        <v/>
      </c>
      <c r="C633" s="14" t="n"/>
      <c r="D633" s="15" t="n"/>
      <c r="E633" s="15" t="n"/>
      <c r="F633" s="15" t="n"/>
      <c r="G633" s="15" t="n"/>
      <c r="H633" s="16">
        <f>IF($A633="","",$D633+IF($E633="",0,$E633)+IF($F633="",0,$F633)-IF($G633="",0,$G633))</f>
        <v/>
      </c>
      <c r="I633" s="12" t="n"/>
      <c r="J633" s="12" t="n"/>
      <c r="K633" s="12" t="n"/>
      <c r="L633" s="14" t="n"/>
      <c r="M633" s="12" t="n"/>
      <c r="N633" s="12" t="n"/>
      <c r="O633" s="12" t="n"/>
    </row>
    <row r="634">
      <c r="A634" s="12" t="n"/>
      <c r="B634" s="13">
        <f>IF($A634="","",IFERROR(INDEX(Emp_Names,MATCH($A634,Emp_Codes,0)),"NOT FOUND"))</f>
        <v/>
      </c>
      <c r="C634" s="14" t="n"/>
      <c r="D634" s="15" t="n"/>
      <c r="E634" s="15" t="n"/>
      <c r="F634" s="15" t="n"/>
      <c r="G634" s="15" t="n"/>
      <c r="H634" s="16">
        <f>IF($A634="","",$D634+IF($E634="",0,$E634)+IF($F634="",0,$F634)-IF($G634="",0,$G634))</f>
        <v/>
      </c>
      <c r="I634" s="12" t="n"/>
      <c r="J634" s="12" t="n"/>
      <c r="K634" s="12" t="n"/>
      <c r="L634" s="14" t="n"/>
      <c r="M634" s="12" t="n"/>
      <c r="N634" s="12" t="n"/>
      <c r="O634" s="12" t="n"/>
    </row>
    <row r="635">
      <c r="A635" s="12" t="n"/>
      <c r="B635" s="13">
        <f>IF($A635="","",IFERROR(INDEX(Emp_Names,MATCH($A635,Emp_Codes,0)),"NOT FOUND"))</f>
        <v/>
      </c>
      <c r="C635" s="14" t="n"/>
      <c r="D635" s="15" t="n"/>
      <c r="E635" s="15" t="n"/>
      <c r="F635" s="15" t="n"/>
      <c r="G635" s="15" t="n"/>
      <c r="H635" s="16">
        <f>IF($A635="","",$D635+IF($E635="",0,$E635)+IF($F635="",0,$F635)-IF($G635="",0,$G635))</f>
        <v/>
      </c>
      <c r="I635" s="12" t="n"/>
      <c r="J635" s="12" t="n"/>
      <c r="K635" s="12" t="n"/>
      <c r="L635" s="14" t="n"/>
      <c r="M635" s="12" t="n"/>
      <c r="N635" s="12" t="n"/>
      <c r="O635" s="12" t="n"/>
    </row>
    <row r="636">
      <c r="A636" s="12" t="n"/>
      <c r="B636" s="13">
        <f>IF($A636="","",IFERROR(INDEX(Emp_Names,MATCH($A636,Emp_Codes,0)),"NOT FOUND"))</f>
        <v/>
      </c>
      <c r="C636" s="14" t="n"/>
      <c r="D636" s="15" t="n"/>
      <c r="E636" s="15" t="n"/>
      <c r="F636" s="15" t="n"/>
      <c r="G636" s="15" t="n"/>
      <c r="H636" s="16">
        <f>IF($A636="","",$D636+IF($E636="",0,$E636)+IF($F636="",0,$F636)-IF($G636="",0,$G636))</f>
        <v/>
      </c>
      <c r="I636" s="12" t="n"/>
      <c r="J636" s="12" t="n"/>
      <c r="K636" s="12" t="n"/>
      <c r="L636" s="14" t="n"/>
      <c r="M636" s="12" t="n"/>
      <c r="N636" s="12" t="n"/>
      <c r="O636" s="12" t="n"/>
    </row>
    <row r="637">
      <c r="A637" s="12" t="n"/>
      <c r="B637" s="13">
        <f>IF($A637="","",IFERROR(INDEX(Emp_Names,MATCH($A637,Emp_Codes,0)),"NOT FOUND"))</f>
        <v/>
      </c>
      <c r="C637" s="14" t="n"/>
      <c r="D637" s="15" t="n"/>
      <c r="E637" s="15" t="n"/>
      <c r="F637" s="15" t="n"/>
      <c r="G637" s="15" t="n"/>
      <c r="H637" s="16">
        <f>IF($A637="","",$D637+IF($E637="",0,$E637)+IF($F637="",0,$F637)-IF($G637="",0,$G637))</f>
        <v/>
      </c>
      <c r="I637" s="12" t="n"/>
      <c r="J637" s="12" t="n"/>
      <c r="K637" s="12" t="n"/>
      <c r="L637" s="14" t="n"/>
      <c r="M637" s="12" t="n"/>
      <c r="N637" s="12" t="n"/>
      <c r="O637" s="12" t="n"/>
    </row>
    <row r="638">
      <c r="A638" s="12" t="n"/>
      <c r="B638" s="13">
        <f>IF($A638="","",IFERROR(INDEX(Emp_Names,MATCH($A638,Emp_Codes,0)),"NOT FOUND"))</f>
        <v/>
      </c>
      <c r="C638" s="14" t="n"/>
      <c r="D638" s="15" t="n"/>
      <c r="E638" s="15" t="n"/>
      <c r="F638" s="15" t="n"/>
      <c r="G638" s="15" t="n"/>
      <c r="H638" s="16">
        <f>IF($A638="","",$D638+IF($E638="",0,$E638)+IF($F638="",0,$F638)-IF($G638="",0,$G638))</f>
        <v/>
      </c>
      <c r="I638" s="12" t="n"/>
      <c r="J638" s="12" t="n"/>
      <c r="K638" s="12" t="n"/>
      <c r="L638" s="14" t="n"/>
      <c r="M638" s="12" t="n"/>
      <c r="N638" s="12" t="n"/>
      <c r="O638" s="12" t="n"/>
    </row>
    <row r="639">
      <c r="A639" s="12" t="n"/>
      <c r="B639" s="13">
        <f>IF($A639="","",IFERROR(INDEX(Emp_Names,MATCH($A639,Emp_Codes,0)),"NOT FOUND"))</f>
        <v/>
      </c>
      <c r="C639" s="14" t="n"/>
      <c r="D639" s="15" t="n"/>
      <c r="E639" s="15" t="n"/>
      <c r="F639" s="15" t="n"/>
      <c r="G639" s="15" t="n"/>
      <c r="H639" s="16">
        <f>IF($A639="","",$D639+IF($E639="",0,$E639)+IF($F639="",0,$F639)-IF($G639="",0,$G639))</f>
        <v/>
      </c>
      <c r="I639" s="12" t="n"/>
      <c r="J639" s="12" t="n"/>
      <c r="K639" s="12" t="n"/>
      <c r="L639" s="14" t="n"/>
      <c r="M639" s="12" t="n"/>
      <c r="N639" s="12" t="n"/>
      <c r="O639" s="12" t="n"/>
    </row>
    <row r="640">
      <c r="A640" s="12" t="n"/>
      <c r="B640" s="13">
        <f>IF($A640="","",IFERROR(INDEX(Emp_Names,MATCH($A640,Emp_Codes,0)),"NOT FOUND"))</f>
        <v/>
      </c>
      <c r="C640" s="14" t="n"/>
      <c r="D640" s="15" t="n"/>
      <c r="E640" s="15" t="n"/>
      <c r="F640" s="15" t="n"/>
      <c r="G640" s="15" t="n"/>
      <c r="H640" s="16">
        <f>IF($A640="","",$D640+IF($E640="",0,$E640)+IF($F640="",0,$F640)-IF($G640="",0,$G640))</f>
        <v/>
      </c>
      <c r="I640" s="12" t="n"/>
      <c r="J640" s="12" t="n"/>
      <c r="K640" s="12" t="n"/>
      <c r="L640" s="14" t="n"/>
      <c r="M640" s="12" t="n"/>
      <c r="N640" s="12" t="n"/>
      <c r="O640" s="12" t="n"/>
    </row>
    <row r="641">
      <c r="A641" s="12" t="n"/>
      <c r="B641" s="13">
        <f>IF($A641="","",IFERROR(INDEX(Emp_Names,MATCH($A641,Emp_Codes,0)),"NOT FOUND"))</f>
        <v/>
      </c>
      <c r="C641" s="14" t="n"/>
      <c r="D641" s="15" t="n"/>
      <c r="E641" s="15" t="n"/>
      <c r="F641" s="15" t="n"/>
      <c r="G641" s="15" t="n"/>
      <c r="H641" s="16">
        <f>IF($A641="","",$D641+IF($E641="",0,$E641)+IF($F641="",0,$F641)-IF($G641="",0,$G641))</f>
        <v/>
      </c>
      <c r="I641" s="12" t="n"/>
      <c r="J641" s="12" t="n"/>
      <c r="K641" s="12" t="n"/>
      <c r="L641" s="14" t="n"/>
      <c r="M641" s="12" t="n"/>
      <c r="N641" s="12" t="n"/>
      <c r="O641" s="12" t="n"/>
    </row>
    <row r="642">
      <c r="A642" s="12" t="n"/>
      <c r="B642" s="13">
        <f>IF($A642="","",IFERROR(INDEX(Emp_Names,MATCH($A642,Emp_Codes,0)),"NOT FOUND"))</f>
        <v/>
      </c>
      <c r="C642" s="14" t="n"/>
      <c r="D642" s="15" t="n"/>
      <c r="E642" s="15" t="n"/>
      <c r="F642" s="15" t="n"/>
      <c r="G642" s="15" t="n"/>
      <c r="H642" s="16">
        <f>IF($A642="","",$D642+IF($E642="",0,$E642)+IF($F642="",0,$F642)-IF($G642="",0,$G642))</f>
        <v/>
      </c>
      <c r="I642" s="12" t="n"/>
      <c r="J642" s="12" t="n"/>
      <c r="K642" s="12" t="n"/>
      <c r="L642" s="14" t="n"/>
      <c r="M642" s="12" t="n"/>
      <c r="N642" s="12" t="n"/>
      <c r="O642" s="12" t="n"/>
    </row>
    <row r="643">
      <c r="A643" s="12" t="n"/>
      <c r="B643" s="13">
        <f>IF($A643="","",IFERROR(INDEX(Emp_Names,MATCH($A643,Emp_Codes,0)),"NOT FOUND"))</f>
        <v/>
      </c>
      <c r="C643" s="14" t="n"/>
      <c r="D643" s="15" t="n"/>
      <c r="E643" s="15" t="n"/>
      <c r="F643" s="15" t="n"/>
      <c r="G643" s="15" t="n"/>
      <c r="H643" s="16">
        <f>IF($A643="","",$D643+IF($E643="",0,$E643)+IF($F643="",0,$F643)-IF($G643="",0,$G643))</f>
        <v/>
      </c>
      <c r="I643" s="12" t="n"/>
      <c r="J643" s="12" t="n"/>
      <c r="K643" s="12" t="n"/>
      <c r="L643" s="14" t="n"/>
      <c r="M643" s="12" t="n"/>
      <c r="N643" s="12" t="n"/>
      <c r="O643" s="12" t="n"/>
    </row>
    <row r="644">
      <c r="A644" s="12" t="n"/>
      <c r="B644" s="13">
        <f>IF($A644="","",IFERROR(INDEX(Emp_Names,MATCH($A644,Emp_Codes,0)),"NOT FOUND"))</f>
        <v/>
      </c>
      <c r="C644" s="14" t="n"/>
      <c r="D644" s="15" t="n"/>
      <c r="E644" s="15" t="n"/>
      <c r="F644" s="15" t="n"/>
      <c r="G644" s="15" t="n"/>
      <c r="H644" s="16">
        <f>IF($A644="","",$D644+IF($E644="",0,$E644)+IF($F644="",0,$F644)-IF($G644="",0,$G644))</f>
        <v/>
      </c>
      <c r="I644" s="12" t="n"/>
      <c r="J644" s="12" t="n"/>
      <c r="K644" s="12" t="n"/>
      <c r="L644" s="14" t="n"/>
      <c r="M644" s="12" t="n"/>
      <c r="N644" s="12" t="n"/>
      <c r="O644" s="12" t="n"/>
    </row>
    <row r="645">
      <c r="A645" s="12" t="n"/>
      <c r="B645" s="13">
        <f>IF($A645="","",IFERROR(INDEX(Emp_Names,MATCH($A645,Emp_Codes,0)),"NOT FOUND"))</f>
        <v/>
      </c>
      <c r="C645" s="14" t="n"/>
      <c r="D645" s="15" t="n"/>
      <c r="E645" s="15" t="n"/>
      <c r="F645" s="15" t="n"/>
      <c r="G645" s="15" t="n"/>
      <c r="H645" s="16">
        <f>IF($A645="","",$D645+IF($E645="",0,$E645)+IF($F645="",0,$F645)-IF($G645="",0,$G645))</f>
        <v/>
      </c>
      <c r="I645" s="12" t="n"/>
      <c r="J645" s="12" t="n"/>
      <c r="K645" s="12" t="n"/>
      <c r="L645" s="14" t="n"/>
      <c r="M645" s="12" t="n"/>
      <c r="N645" s="12" t="n"/>
      <c r="O645" s="12" t="n"/>
    </row>
    <row r="646">
      <c r="A646" s="12" t="n"/>
      <c r="B646" s="13">
        <f>IF($A646="","",IFERROR(INDEX(Emp_Names,MATCH($A646,Emp_Codes,0)),"NOT FOUND"))</f>
        <v/>
      </c>
      <c r="C646" s="14" t="n"/>
      <c r="D646" s="15" t="n"/>
      <c r="E646" s="15" t="n"/>
      <c r="F646" s="15" t="n"/>
      <c r="G646" s="15" t="n"/>
      <c r="H646" s="16">
        <f>IF($A646="","",$D646+IF($E646="",0,$E646)+IF($F646="",0,$F646)-IF($G646="",0,$G646))</f>
        <v/>
      </c>
      <c r="I646" s="12" t="n"/>
      <c r="J646" s="12" t="n"/>
      <c r="K646" s="12" t="n"/>
      <c r="L646" s="14" t="n"/>
      <c r="M646" s="12" t="n"/>
      <c r="N646" s="12" t="n"/>
      <c r="O646" s="12" t="n"/>
    </row>
    <row r="647">
      <c r="A647" s="12" t="n"/>
      <c r="B647" s="13">
        <f>IF($A647="","",IFERROR(INDEX(Emp_Names,MATCH($A647,Emp_Codes,0)),"NOT FOUND"))</f>
        <v/>
      </c>
      <c r="C647" s="14" t="n"/>
      <c r="D647" s="15" t="n"/>
      <c r="E647" s="15" t="n"/>
      <c r="F647" s="15" t="n"/>
      <c r="G647" s="15" t="n"/>
      <c r="H647" s="16">
        <f>IF($A647="","",$D647+IF($E647="",0,$E647)+IF($F647="",0,$F647)-IF($G647="",0,$G647))</f>
        <v/>
      </c>
      <c r="I647" s="12" t="n"/>
      <c r="J647" s="12" t="n"/>
      <c r="K647" s="12" t="n"/>
      <c r="L647" s="14" t="n"/>
      <c r="M647" s="12" t="n"/>
      <c r="N647" s="12" t="n"/>
      <c r="O647" s="12" t="n"/>
    </row>
    <row r="648">
      <c r="A648" s="12" t="n"/>
      <c r="B648" s="13">
        <f>IF($A648="","",IFERROR(INDEX(Emp_Names,MATCH($A648,Emp_Codes,0)),"NOT FOUND"))</f>
        <v/>
      </c>
      <c r="C648" s="14" t="n"/>
      <c r="D648" s="15" t="n"/>
      <c r="E648" s="15" t="n"/>
      <c r="F648" s="15" t="n"/>
      <c r="G648" s="15" t="n"/>
      <c r="H648" s="16">
        <f>IF($A648="","",$D648+IF($E648="",0,$E648)+IF($F648="",0,$F648)-IF($G648="",0,$G648))</f>
        <v/>
      </c>
      <c r="I648" s="12" t="n"/>
      <c r="J648" s="12" t="n"/>
      <c r="K648" s="12" t="n"/>
      <c r="L648" s="14" t="n"/>
      <c r="M648" s="12" t="n"/>
      <c r="N648" s="12" t="n"/>
      <c r="O648" s="12" t="n"/>
    </row>
    <row r="649">
      <c r="A649" s="12" t="n"/>
      <c r="B649" s="13">
        <f>IF($A649="","",IFERROR(INDEX(Emp_Names,MATCH($A649,Emp_Codes,0)),"NOT FOUND"))</f>
        <v/>
      </c>
      <c r="C649" s="14" t="n"/>
      <c r="D649" s="15" t="n"/>
      <c r="E649" s="15" t="n"/>
      <c r="F649" s="15" t="n"/>
      <c r="G649" s="15" t="n"/>
      <c r="H649" s="16">
        <f>IF($A649="","",$D649+IF($E649="",0,$E649)+IF($F649="",0,$F649)-IF($G649="",0,$G649))</f>
        <v/>
      </c>
      <c r="I649" s="12" t="n"/>
      <c r="J649" s="12" t="n"/>
      <c r="K649" s="12" t="n"/>
      <c r="L649" s="14" t="n"/>
      <c r="M649" s="12" t="n"/>
      <c r="N649" s="12" t="n"/>
      <c r="O649" s="12" t="n"/>
    </row>
    <row r="650">
      <c r="A650" s="12" t="n"/>
      <c r="B650" s="13">
        <f>IF($A650="","",IFERROR(INDEX(Emp_Names,MATCH($A650,Emp_Codes,0)),"NOT FOUND"))</f>
        <v/>
      </c>
      <c r="C650" s="14" t="n"/>
      <c r="D650" s="15" t="n"/>
      <c r="E650" s="15" t="n"/>
      <c r="F650" s="15" t="n"/>
      <c r="G650" s="15" t="n"/>
      <c r="H650" s="16">
        <f>IF($A650="","",$D650+IF($E650="",0,$E650)+IF($F650="",0,$F650)-IF($G650="",0,$G650))</f>
        <v/>
      </c>
      <c r="I650" s="12" t="n"/>
      <c r="J650" s="12" t="n"/>
      <c r="K650" s="12" t="n"/>
      <c r="L650" s="14" t="n"/>
      <c r="M650" s="12" t="n"/>
      <c r="N650" s="12" t="n"/>
      <c r="O650" s="12" t="n"/>
    </row>
    <row r="651">
      <c r="A651" s="12" t="n"/>
      <c r="B651" s="13">
        <f>IF($A651="","",IFERROR(INDEX(Emp_Names,MATCH($A651,Emp_Codes,0)),"NOT FOUND"))</f>
        <v/>
      </c>
      <c r="C651" s="14" t="n"/>
      <c r="D651" s="15" t="n"/>
      <c r="E651" s="15" t="n"/>
      <c r="F651" s="15" t="n"/>
      <c r="G651" s="15" t="n"/>
      <c r="H651" s="16">
        <f>IF($A651="","",$D651+IF($E651="",0,$E651)+IF($F651="",0,$F651)-IF($G651="",0,$G651))</f>
        <v/>
      </c>
      <c r="I651" s="12" t="n"/>
      <c r="J651" s="12" t="n"/>
      <c r="K651" s="12" t="n"/>
      <c r="L651" s="14" t="n"/>
      <c r="M651" s="12" t="n"/>
      <c r="N651" s="12" t="n"/>
      <c r="O651" s="12" t="n"/>
    </row>
    <row r="652">
      <c r="A652" s="12" t="n"/>
      <c r="B652" s="13">
        <f>IF($A652="","",IFERROR(INDEX(Emp_Names,MATCH($A652,Emp_Codes,0)),"NOT FOUND"))</f>
        <v/>
      </c>
      <c r="C652" s="14" t="n"/>
      <c r="D652" s="15" t="n"/>
      <c r="E652" s="15" t="n"/>
      <c r="F652" s="15" t="n"/>
      <c r="G652" s="15" t="n"/>
      <c r="H652" s="16">
        <f>IF($A652="","",$D652+IF($E652="",0,$E652)+IF($F652="",0,$F652)-IF($G652="",0,$G652))</f>
        <v/>
      </c>
      <c r="I652" s="12" t="n"/>
      <c r="J652" s="12" t="n"/>
      <c r="K652" s="12" t="n"/>
      <c r="L652" s="14" t="n"/>
      <c r="M652" s="12" t="n"/>
      <c r="N652" s="12" t="n"/>
      <c r="O652" s="12" t="n"/>
    </row>
    <row r="653">
      <c r="A653" s="12" t="n"/>
      <c r="B653" s="13">
        <f>IF($A653="","",IFERROR(INDEX(Emp_Names,MATCH($A653,Emp_Codes,0)),"NOT FOUND"))</f>
        <v/>
      </c>
      <c r="C653" s="14" t="n"/>
      <c r="D653" s="15" t="n"/>
      <c r="E653" s="15" t="n"/>
      <c r="F653" s="15" t="n"/>
      <c r="G653" s="15" t="n"/>
      <c r="H653" s="16">
        <f>IF($A653="","",$D653+IF($E653="",0,$E653)+IF($F653="",0,$F653)-IF($G653="",0,$G653))</f>
        <v/>
      </c>
      <c r="I653" s="12" t="n"/>
      <c r="J653" s="12" t="n"/>
      <c r="K653" s="12" t="n"/>
      <c r="L653" s="14" t="n"/>
      <c r="M653" s="12" t="n"/>
      <c r="N653" s="12" t="n"/>
      <c r="O653" s="12" t="n"/>
    </row>
    <row r="654">
      <c r="A654" s="12" t="n"/>
      <c r="B654" s="13">
        <f>IF($A654="","",IFERROR(INDEX(Emp_Names,MATCH($A654,Emp_Codes,0)),"NOT FOUND"))</f>
        <v/>
      </c>
      <c r="C654" s="14" t="n"/>
      <c r="D654" s="15" t="n"/>
      <c r="E654" s="15" t="n"/>
      <c r="F654" s="15" t="n"/>
      <c r="G654" s="15" t="n"/>
      <c r="H654" s="16">
        <f>IF($A654="","",$D654+IF($E654="",0,$E654)+IF($F654="",0,$F654)-IF($G654="",0,$G654))</f>
        <v/>
      </c>
      <c r="I654" s="12" t="n"/>
      <c r="J654" s="12" t="n"/>
      <c r="K654" s="12" t="n"/>
      <c r="L654" s="14" t="n"/>
      <c r="M654" s="12" t="n"/>
      <c r="N654" s="12" t="n"/>
      <c r="O654" s="12" t="n"/>
    </row>
    <row r="655">
      <c r="A655" s="12" t="n"/>
      <c r="B655" s="13">
        <f>IF($A655="","",IFERROR(INDEX(Emp_Names,MATCH($A655,Emp_Codes,0)),"NOT FOUND"))</f>
        <v/>
      </c>
      <c r="C655" s="14" t="n"/>
      <c r="D655" s="15" t="n"/>
      <c r="E655" s="15" t="n"/>
      <c r="F655" s="15" t="n"/>
      <c r="G655" s="15" t="n"/>
      <c r="H655" s="16">
        <f>IF($A655="","",$D655+IF($E655="",0,$E655)+IF($F655="",0,$F655)-IF($G655="",0,$G655))</f>
        <v/>
      </c>
      <c r="I655" s="12" t="n"/>
      <c r="J655" s="12" t="n"/>
      <c r="K655" s="12" t="n"/>
      <c r="L655" s="14" t="n"/>
      <c r="M655" s="12" t="n"/>
      <c r="N655" s="12" t="n"/>
      <c r="O655" s="12" t="n"/>
    </row>
    <row r="656">
      <c r="A656" s="12" t="n"/>
      <c r="B656" s="13">
        <f>IF($A656="","",IFERROR(INDEX(Emp_Names,MATCH($A656,Emp_Codes,0)),"NOT FOUND"))</f>
        <v/>
      </c>
      <c r="C656" s="14" t="n"/>
      <c r="D656" s="15" t="n"/>
      <c r="E656" s="15" t="n"/>
      <c r="F656" s="15" t="n"/>
      <c r="G656" s="15" t="n"/>
      <c r="H656" s="16">
        <f>IF($A656="","",$D656+IF($E656="",0,$E656)+IF($F656="",0,$F656)-IF($G656="",0,$G656))</f>
        <v/>
      </c>
      <c r="I656" s="12" t="n"/>
      <c r="J656" s="12" t="n"/>
      <c r="K656" s="12" t="n"/>
      <c r="L656" s="14" t="n"/>
      <c r="M656" s="12" t="n"/>
      <c r="N656" s="12" t="n"/>
      <c r="O656" s="12" t="n"/>
    </row>
    <row r="657">
      <c r="A657" s="12" t="n"/>
      <c r="B657" s="13">
        <f>IF($A657="","",IFERROR(INDEX(Emp_Names,MATCH($A657,Emp_Codes,0)),"NOT FOUND"))</f>
        <v/>
      </c>
      <c r="C657" s="14" t="n"/>
      <c r="D657" s="15" t="n"/>
      <c r="E657" s="15" t="n"/>
      <c r="F657" s="15" t="n"/>
      <c r="G657" s="15" t="n"/>
      <c r="H657" s="16">
        <f>IF($A657="","",$D657+IF($E657="",0,$E657)+IF($F657="",0,$F657)-IF($G657="",0,$G657))</f>
        <v/>
      </c>
      <c r="I657" s="12" t="n"/>
      <c r="J657" s="12" t="n"/>
      <c r="K657" s="12" t="n"/>
      <c r="L657" s="14" t="n"/>
      <c r="M657" s="12" t="n"/>
      <c r="N657" s="12" t="n"/>
      <c r="O657" s="12" t="n"/>
    </row>
    <row r="658">
      <c r="A658" s="12" t="n"/>
      <c r="B658" s="13">
        <f>IF($A658="","",IFERROR(INDEX(Emp_Names,MATCH($A658,Emp_Codes,0)),"NOT FOUND"))</f>
        <v/>
      </c>
      <c r="C658" s="14" t="n"/>
      <c r="D658" s="15" t="n"/>
      <c r="E658" s="15" t="n"/>
      <c r="F658" s="15" t="n"/>
      <c r="G658" s="15" t="n"/>
      <c r="H658" s="16">
        <f>IF($A658="","",$D658+IF($E658="",0,$E658)+IF($F658="",0,$F658)-IF($G658="",0,$G658))</f>
        <v/>
      </c>
      <c r="I658" s="12" t="n"/>
      <c r="J658" s="12" t="n"/>
      <c r="K658" s="12" t="n"/>
      <c r="L658" s="14" t="n"/>
      <c r="M658" s="12" t="n"/>
      <c r="N658" s="12" t="n"/>
      <c r="O658" s="12" t="n"/>
    </row>
    <row r="659">
      <c r="A659" s="12" t="n"/>
      <c r="B659" s="13">
        <f>IF($A659="","",IFERROR(INDEX(Emp_Names,MATCH($A659,Emp_Codes,0)),"NOT FOUND"))</f>
        <v/>
      </c>
      <c r="C659" s="14" t="n"/>
      <c r="D659" s="15" t="n"/>
      <c r="E659" s="15" t="n"/>
      <c r="F659" s="15" t="n"/>
      <c r="G659" s="15" t="n"/>
      <c r="H659" s="16">
        <f>IF($A659="","",$D659+IF($E659="",0,$E659)+IF($F659="",0,$F659)-IF($G659="",0,$G659))</f>
        <v/>
      </c>
      <c r="I659" s="12" t="n"/>
      <c r="J659" s="12" t="n"/>
      <c r="K659" s="12" t="n"/>
      <c r="L659" s="14" t="n"/>
      <c r="M659" s="12" t="n"/>
      <c r="N659" s="12" t="n"/>
      <c r="O659" s="12" t="n"/>
    </row>
    <row r="660">
      <c r="A660" s="12" t="n"/>
      <c r="B660" s="13">
        <f>IF($A660="","",IFERROR(INDEX(Emp_Names,MATCH($A660,Emp_Codes,0)),"NOT FOUND"))</f>
        <v/>
      </c>
      <c r="C660" s="14" t="n"/>
      <c r="D660" s="15" t="n"/>
      <c r="E660" s="15" t="n"/>
      <c r="F660" s="15" t="n"/>
      <c r="G660" s="15" t="n"/>
      <c r="H660" s="16">
        <f>IF($A660="","",$D660+IF($E660="",0,$E660)+IF($F660="",0,$F660)-IF($G660="",0,$G660))</f>
        <v/>
      </c>
      <c r="I660" s="12" t="n"/>
      <c r="J660" s="12" t="n"/>
      <c r="K660" s="12" t="n"/>
      <c r="L660" s="14" t="n"/>
      <c r="M660" s="12" t="n"/>
      <c r="N660" s="12" t="n"/>
      <c r="O660" s="12" t="n"/>
    </row>
    <row r="661">
      <c r="A661" s="12" t="n"/>
      <c r="B661" s="13">
        <f>IF($A661="","",IFERROR(INDEX(Emp_Names,MATCH($A661,Emp_Codes,0)),"NOT FOUND"))</f>
        <v/>
      </c>
      <c r="C661" s="14" t="n"/>
      <c r="D661" s="15" t="n"/>
      <c r="E661" s="15" t="n"/>
      <c r="F661" s="15" t="n"/>
      <c r="G661" s="15" t="n"/>
      <c r="H661" s="16">
        <f>IF($A661="","",$D661+IF($E661="",0,$E661)+IF($F661="",0,$F661)-IF($G661="",0,$G661))</f>
        <v/>
      </c>
      <c r="I661" s="12" t="n"/>
      <c r="J661" s="12" t="n"/>
      <c r="K661" s="12" t="n"/>
      <c r="L661" s="14" t="n"/>
      <c r="M661" s="12" t="n"/>
      <c r="N661" s="12" t="n"/>
      <c r="O661" s="12" t="n"/>
    </row>
    <row r="662">
      <c r="A662" s="12" t="n"/>
      <c r="B662" s="13">
        <f>IF($A662="","",IFERROR(INDEX(Emp_Names,MATCH($A662,Emp_Codes,0)),"NOT FOUND"))</f>
        <v/>
      </c>
      <c r="C662" s="14" t="n"/>
      <c r="D662" s="15" t="n"/>
      <c r="E662" s="15" t="n"/>
      <c r="F662" s="15" t="n"/>
      <c r="G662" s="15" t="n"/>
      <c r="H662" s="16">
        <f>IF($A662="","",$D662+IF($E662="",0,$E662)+IF($F662="",0,$F662)-IF($G662="",0,$G662))</f>
        <v/>
      </c>
      <c r="I662" s="12" t="n"/>
      <c r="J662" s="12" t="n"/>
      <c r="K662" s="12" t="n"/>
      <c r="L662" s="14" t="n"/>
      <c r="M662" s="12" t="n"/>
      <c r="N662" s="12" t="n"/>
      <c r="O662" s="12" t="n"/>
    </row>
    <row r="663">
      <c r="A663" s="12" t="n"/>
      <c r="B663" s="13">
        <f>IF($A663="","",IFERROR(INDEX(Emp_Names,MATCH($A663,Emp_Codes,0)),"NOT FOUND"))</f>
        <v/>
      </c>
      <c r="C663" s="14" t="n"/>
      <c r="D663" s="15" t="n"/>
      <c r="E663" s="15" t="n"/>
      <c r="F663" s="15" t="n"/>
      <c r="G663" s="15" t="n"/>
      <c r="H663" s="16">
        <f>IF($A663="","",$D663+IF($E663="",0,$E663)+IF($F663="",0,$F663)-IF($G663="",0,$G663))</f>
        <v/>
      </c>
      <c r="I663" s="12" t="n"/>
      <c r="J663" s="12" t="n"/>
      <c r="K663" s="12" t="n"/>
      <c r="L663" s="14" t="n"/>
      <c r="M663" s="12" t="n"/>
      <c r="N663" s="12" t="n"/>
      <c r="O663" s="12" t="n"/>
    </row>
    <row r="664">
      <c r="A664" s="12" t="n"/>
      <c r="B664" s="13">
        <f>IF($A664="","",IFERROR(INDEX(Emp_Names,MATCH($A664,Emp_Codes,0)),"NOT FOUND"))</f>
        <v/>
      </c>
      <c r="C664" s="14" t="n"/>
      <c r="D664" s="15" t="n"/>
      <c r="E664" s="15" t="n"/>
      <c r="F664" s="15" t="n"/>
      <c r="G664" s="15" t="n"/>
      <c r="H664" s="16">
        <f>IF($A664="","",$D664+IF($E664="",0,$E664)+IF($F664="",0,$F664)-IF($G664="",0,$G664))</f>
        <v/>
      </c>
      <c r="I664" s="12" t="n"/>
      <c r="J664" s="12" t="n"/>
      <c r="K664" s="12" t="n"/>
      <c r="L664" s="14" t="n"/>
      <c r="M664" s="12" t="n"/>
      <c r="N664" s="12" t="n"/>
      <c r="O664" s="12" t="n"/>
    </row>
    <row r="665">
      <c r="A665" s="12" t="n"/>
      <c r="B665" s="13">
        <f>IF($A665="","",IFERROR(INDEX(Emp_Names,MATCH($A665,Emp_Codes,0)),"NOT FOUND"))</f>
        <v/>
      </c>
      <c r="C665" s="14" t="n"/>
      <c r="D665" s="15" t="n"/>
      <c r="E665" s="15" t="n"/>
      <c r="F665" s="15" t="n"/>
      <c r="G665" s="15" t="n"/>
      <c r="H665" s="16">
        <f>IF($A665="","",$D665+IF($E665="",0,$E665)+IF($F665="",0,$F665)-IF($G665="",0,$G665))</f>
        <v/>
      </c>
      <c r="I665" s="12" t="n"/>
      <c r="J665" s="12" t="n"/>
      <c r="K665" s="12" t="n"/>
      <c r="L665" s="14" t="n"/>
      <c r="M665" s="12" t="n"/>
      <c r="N665" s="12" t="n"/>
      <c r="O665" s="12" t="n"/>
    </row>
    <row r="666">
      <c r="A666" s="12" t="n"/>
      <c r="B666" s="13">
        <f>IF($A666="","",IFERROR(INDEX(Emp_Names,MATCH($A666,Emp_Codes,0)),"NOT FOUND"))</f>
        <v/>
      </c>
      <c r="C666" s="14" t="n"/>
      <c r="D666" s="15" t="n"/>
      <c r="E666" s="15" t="n"/>
      <c r="F666" s="15" t="n"/>
      <c r="G666" s="15" t="n"/>
      <c r="H666" s="16">
        <f>IF($A666="","",$D666+IF($E666="",0,$E666)+IF($F666="",0,$F666)-IF($G666="",0,$G666))</f>
        <v/>
      </c>
      <c r="I666" s="12" t="n"/>
      <c r="J666" s="12" t="n"/>
      <c r="K666" s="12" t="n"/>
      <c r="L666" s="14" t="n"/>
      <c r="M666" s="12" t="n"/>
      <c r="N666" s="12" t="n"/>
      <c r="O666" s="12" t="n"/>
    </row>
    <row r="667">
      <c r="A667" s="12" t="n"/>
      <c r="B667" s="13">
        <f>IF($A667="","",IFERROR(INDEX(Emp_Names,MATCH($A667,Emp_Codes,0)),"NOT FOUND"))</f>
        <v/>
      </c>
      <c r="C667" s="14" t="n"/>
      <c r="D667" s="15" t="n"/>
      <c r="E667" s="15" t="n"/>
      <c r="F667" s="15" t="n"/>
      <c r="G667" s="15" t="n"/>
      <c r="H667" s="16">
        <f>IF($A667="","",$D667+IF($E667="",0,$E667)+IF($F667="",0,$F667)-IF($G667="",0,$G667))</f>
        <v/>
      </c>
      <c r="I667" s="12" t="n"/>
      <c r="J667" s="12" t="n"/>
      <c r="K667" s="12" t="n"/>
      <c r="L667" s="14" t="n"/>
      <c r="M667" s="12" t="n"/>
      <c r="N667" s="12" t="n"/>
      <c r="O667" s="12" t="n"/>
    </row>
    <row r="668">
      <c r="A668" s="12" t="n"/>
      <c r="B668" s="13">
        <f>IF($A668="","",IFERROR(INDEX(Emp_Names,MATCH($A668,Emp_Codes,0)),"NOT FOUND"))</f>
        <v/>
      </c>
      <c r="C668" s="14" t="n"/>
      <c r="D668" s="15" t="n"/>
      <c r="E668" s="15" t="n"/>
      <c r="F668" s="15" t="n"/>
      <c r="G668" s="15" t="n"/>
      <c r="H668" s="16">
        <f>IF($A668="","",$D668+IF($E668="",0,$E668)+IF($F668="",0,$F668)-IF($G668="",0,$G668))</f>
        <v/>
      </c>
      <c r="I668" s="12" t="n"/>
      <c r="J668" s="12" t="n"/>
      <c r="K668" s="12" t="n"/>
      <c r="L668" s="14" t="n"/>
      <c r="M668" s="12" t="n"/>
      <c r="N668" s="12" t="n"/>
      <c r="O668" s="12" t="n"/>
    </row>
    <row r="669">
      <c r="A669" s="12" t="n"/>
      <c r="B669" s="13">
        <f>IF($A669="","",IFERROR(INDEX(Emp_Names,MATCH($A669,Emp_Codes,0)),"NOT FOUND"))</f>
        <v/>
      </c>
      <c r="C669" s="14" t="n"/>
      <c r="D669" s="15" t="n"/>
      <c r="E669" s="15" t="n"/>
      <c r="F669" s="15" t="n"/>
      <c r="G669" s="15" t="n"/>
      <c r="H669" s="16">
        <f>IF($A669="","",$D669+IF($E669="",0,$E669)+IF($F669="",0,$F669)-IF($G669="",0,$G669))</f>
        <v/>
      </c>
      <c r="I669" s="12" t="n"/>
      <c r="J669" s="12" t="n"/>
      <c r="K669" s="12" t="n"/>
      <c r="L669" s="14" t="n"/>
      <c r="M669" s="12" t="n"/>
      <c r="N669" s="12" t="n"/>
      <c r="O669" s="12" t="n"/>
    </row>
    <row r="670">
      <c r="A670" s="12" t="n"/>
      <c r="B670" s="13">
        <f>IF($A670="","",IFERROR(INDEX(Emp_Names,MATCH($A670,Emp_Codes,0)),"NOT FOUND"))</f>
        <v/>
      </c>
      <c r="C670" s="14" t="n"/>
      <c r="D670" s="15" t="n"/>
      <c r="E670" s="15" t="n"/>
      <c r="F670" s="15" t="n"/>
      <c r="G670" s="15" t="n"/>
      <c r="H670" s="16">
        <f>IF($A670="","",$D670+IF($E670="",0,$E670)+IF($F670="",0,$F670)-IF($G670="",0,$G670))</f>
        <v/>
      </c>
      <c r="I670" s="12" t="n"/>
      <c r="J670" s="12" t="n"/>
      <c r="K670" s="12" t="n"/>
      <c r="L670" s="14" t="n"/>
      <c r="M670" s="12" t="n"/>
      <c r="N670" s="12" t="n"/>
      <c r="O670" s="12" t="n"/>
    </row>
    <row r="671">
      <c r="A671" s="12" t="n"/>
      <c r="B671" s="13">
        <f>IF($A671="","",IFERROR(INDEX(Emp_Names,MATCH($A671,Emp_Codes,0)),"NOT FOUND"))</f>
        <v/>
      </c>
      <c r="C671" s="14" t="n"/>
      <c r="D671" s="15" t="n"/>
      <c r="E671" s="15" t="n"/>
      <c r="F671" s="15" t="n"/>
      <c r="G671" s="15" t="n"/>
      <c r="H671" s="16">
        <f>IF($A671="","",$D671+IF($E671="",0,$E671)+IF($F671="",0,$F671)-IF($G671="",0,$G671))</f>
        <v/>
      </c>
      <c r="I671" s="12" t="n"/>
      <c r="J671" s="12" t="n"/>
      <c r="K671" s="12" t="n"/>
      <c r="L671" s="14" t="n"/>
      <c r="M671" s="12" t="n"/>
      <c r="N671" s="12" t="n"/>
      <c r="O671" s="12" t="n"/>
    </row>
    <row r="672">
      <c r="A672" s="12" t="n"/>
      <c r="B672" s="13">
        <f>IF($A672="","",IFERROR(INDEX(Emp_Names,MATCH($A672,Emp_Codes,0)),"NOT FOUND"))</f>
        <v/>
      </c>
      <c r="C672" s="14" t="n"/>
      <c r="D672" s="15" t="n"/>
      <c r="E672" s="15" t="n"/>
      <c r="F672" s="15" t="n"/>
      <c r="G672" s="15" t="n"/>
      <c r="H672" s="16">
        <f>IF($A672="","",$D672+IF($E672="",0,$E672)+IF($F672="",0,$F672)-IF($G672="",0,$G672))</f>
        <v/>
      </c>
      <c r="I672" s="12" t="n"/>
      <c r="J672" s="12" t="n"/>
      <c r="K672" s="12" t="n"/>
      <c r="L672" s="14" t="n"/>
      <c r="M672" s="12" t="n"/>
      <c r="N672" s="12" t="n"/>
      <c r="O672" s="12" t="n"/>
    </row>
    <row r="673">
      <c r="A673" s="12" t="n"/>
      <c r="B673" s="13">
        <f>IF($A673="","",IFERROR(INDEX(Emp_Names,MATCH($A673,Emp_Codes,0)),"NOT FOUND"))</f>
        <v/>
      </c>
      <c r="C673" s="14" t="n"/>
      <c r="D673" s="15" t="n"/>
      <c r="E673" s="15" t="n"/>
      <c r="F673" s="15" t="n"/>
      <c r="G673" s="15" t="n"/>
      <c r="H673" s="16">
        <f>IF($A673="","",$D673+IF($E673="",0,$E673)+IF($F673="",0,$F673)-IF($G673="",0,$G673))</f>
        <v/>
      </c>
      <c r="I673" s="12" t="n"/>
      <c r="J673" s="12" t="n"/>
      <c r="K673" s="12" t="n"/>
      <c r="L673" s="14" t="n"/>
      <c r="M673" s="12" t="n"/>
      <c r="N673" s="12" t="n"/>
      <c r="O673" s="12" t="n"/>
    </row>
    <row r="674">
      <c r="A674" s="12" t="n"/>
      <c r="B674" s="13">
        <f>IF($A674="","",IFERROR(INDEX(Emp_Names,MATCH($A674,Emp_Codes,0)),"NOT FOUND"))</f>
        <v/>
      </c>
      <c r="C674" s="14" t="n"/>
      <c r="D674" s="15" t="n"/>
      <c r="E674" s="15" t="n"/>
      <c r="F674" s="15" t="n"/>
      <c r="G674" s="15" t="n"/>
      <c r="H674" s="16">
        <f>IF($A674="","",$D674+IF($E674="",0,$E674)+IF($F674="",0,$F674)-IF($G674="",0,$G674))</f>
        <v/>
      </c>
      <c r="I674" s="12" t="n"/>
      <c r="J674" s="12" t="n"/>
      <c r="K674" s="12" t="n"/>
      <c r="L674" s="14" t="n"/>
      <c r="M674" s="12" t="n"/>
      <c r="N674" s="12" t="n"/>
      <c r="O674" s="12" t="n"/>
    </row>
    <row r="675">
      <c r="A675" s="12" t="n"/>
      <c r="B675" s="13">
        <f>IF($A675="","",IFERROR(INDEX(Emp_Names,MATCH($A675,Emp_Codes,0)),"NOT FOUND"))</f>
        <v/>
      </c>
      <c r="C675" s="14" t="n"/>
      <c r="D675" s="15" t="n"/>
      <c r="E675" s="15" t="n"/>
      <c r="F675" s="15" t="n"/>
      <c r="G675" s="15" t="n"/>
      <c r="H675" s="16">
        <f>IF($A675="","",$D675+IF($E675="",0,$E675)+IF($F675="",0,$F675)-IF($G675="",0,$G675))</f>
        <v/>
      </c>
      <c r="I675" s="12" t="n"/>
      <c r="J675" s="12" t="n"/>
      <c r="K675" s="12" t="n"/>
      <c r="L675" s="14" t="n"/>
      <c r="M675" s="12" t="n"/>
      <c r="N675" s="12" t="n"/>
      <c r="O675" s="12" t="n"/>
    </row>
    <row r="676">
      <c r="A676" s="12" t="n"/>
      <c r="B676" s="13">
        <f>IF($A676="","",IFERROR(INDEX(Emp_Names,MATCH($A676,Emp_Codes,0)),"NOT FOUND"))</f>
        <v/>
      </c>
      <c r="C676" s="14" t="n"/>
      <c r="D676" s="15" t="n"/>
      <c r="E676" s="15" t="n"/>
      <c r="F676" s="15" t="n"/>
      <c r="G676" s="15" t="n"/>
      <c r="H676" s="16">
        <f>IF($A676="","",$D676+IF($E676="",0,$E676)+IF($F676="",0,$F676)-IF($G676="",0,$G676))</f>
        <v/>
      </c>
      <c r="I676" s="12" t="n"/>
      <c r="J676" s="12" t="n"/>
      <c r="K676" s="12" t="n"/>
      <c r="L676" s="14" t="n"/>
      <c r="M676" s="12" t="n"/>
      <c r="N676" s="12" t="n"/>
      <c r="O676" s="12" t="n"/>
    </row>
    <row r="677">
      <c r="A677" s="12" t="n"/>
      <c r="B677" s="13">
        <f>IF($A677="","",IFERROR(INDEX(Emp_Names,MATCH($A677,Emp_Codes,0)),"NOT FOUND"))</f>
        <v/>
      </c>
      <c r="C677" s="14" t="n"/>
      <c r="D677" s="15" t="n"/>
      <c r="E677" s="15" t="n"/>
      <c r="F677" s="15" t="n"/>
      <c r="G677" s="15" t="n"/>
      <c r="H677" s="16">
        <f>IF($A677="","",$D677+IF($E677="",0,$E677)+IF($F677="",0,$F677)-IF($G677="",0,$G677))</f>
        <v/>
      </c>
      <c r="I677" s="12" t="n"/>
      <c r="J677" s="12" t="n"/>
      <c r="K677" s="12" t="n"/>
      <c r="L677" s="14" t="n"/>
      <c r="M677" s="12" t="n"/>
      <c r="N677" s="12" t="n"/>
      <c r="O677" s="12" t="n"/>
    </row>
    <row r="678">
      <c r="A678" s="12" t="n"/>
      <c r="B678" s="13">
        <f>IF($A678="","",IFERROR(INDEX(Emp_Names,MATCH($A678,Emp_Codes,0)),"NOT FOUND"))</f>
        <v/>
      </c>
      <c r="C678" s="14" t="n"/>
      <c r="D678" s="15" t="n"/>
      <c r="E678" s="15" t="n"/>
      <c r="F678" s="15" t="n"/>
      <c r="G678" s="15" t="n"/>
      <c r="H678" s="16">
        <f>IF($A678="","",$D678+IF($E678="",0,$E678)+IF($F678="",0,$F678)-IF($G678="",0,$G678))</f>
        <v/>
      </c>
      <c r="I678" s="12" t="n"/>
      <c r="J678" s="12" t="n"/>
      <c r="K678" s="12" t="n"/>
      <c r="L678" s="14" t="n"/>
      <c r="M678" s="12" t="n"/>
      <c r="N678" s="12" t="n"/>
      <c r="O678" s="12" t="n"/>
    </row>
    <row r="679">
      <c r="A679" s="12" t="n"/>
      <c r="B679" s="13">
        <f>IF($A679="","",IFERROR(INDEX(Emp_Names,MATCH($A679,Emp_Codes,0)),"NOT FOUND"))</f>
        <v/>
      </c>
      <c r="C679" s="14" t="n"/>
      <c r="D679" s="15" t="n"/>
      <c r="E679" s="15" t="n"/>
      <c r="F679" s="15" t="n"/>
      <c r="G679" s="15" t="n"/>
      <c r="H679" s="16">
        <f>IF($A679="","",$D679+IF($E679="",0,$E679)+IF($F679="",0,$F679)-IF($G679="",0,$G679))</f>
        <v/>
      </c>
      <c r="I679" s="12" t="n"/>
      <c r="J679" s="12" t="n"/>
      <c r="K679" s="12" t="n"/>
      <c r="L679" s="14" t="n"/>
      <c r="M679" s="12" t="n"/>
      <c r="N679" s="12" t="n"/>
      <c r="O679" s="12" t="n"/>
    </row>
    <row r="680">
      <c r="A680" s="12" t="n"/>
      <c r="B680" s="13">
        <f>IF($A680="","",IFERROR(INDEX(Emp_Names,MATCH($A680,Emp_Codes,0)),"NOT FOUND"))</f>
        <v/>
      </c>
      <c r="C680" s="14" t="n"/>
      <c r="D680" s="15" t="n"/>
      <c r="E680" s="15" t="n"/>
      <c r="F680" s="15" t="n"/>
      <c r="G680" s="15" t="n"/>
      <c r="H680" s="16">
        <f>IF($A680="","",$D680+IF($E680="",0,$E680)+IF($F680="",0,$F680)-IF($G680="",0,$G680))</f>
        <v/>
      </c>
      <c r="I680" s="12" t="n"/>
      <c r="J680" s="12" t="n"/>
      <c r="K680" s="12" t="n"/>
      <c r="L680" s="14" t="n"/>
      <c r="M680" s="12" t="n"/>
      <c r="N680" s="12" t="n"/>
      <c r="O680" s="12" t="n"/>
    </row>
    <row r="681">
      <c r="A681" s="12" t="n"/>
      <c r="B681" s="13">
        <f>IF($A681="","",IFERROR(INDEX(Emp_Names,MATCH($A681,Emp_Codes,0)),"NOT FOUND"))</f>
        <v/>
      </c>
      <c r="C681" s="14" t="n"/>
      <c r="D681" s="15" t="n"/>
      <c r="E681" s="15" t="n"/>
      <c r="F681" s="15" t="n"/>
      <c r="G681" s="15" t="n"/>
      <c r="H681" s="16">
        <f>IF($A681="","",$D681+IF($E681="",0,$E681)+IF($F681="",0,$F681)-IF($G681="",0,$G681))</f>
        <v/>
      </c>
      <c r="I681" s="12" t="n"/>
      <c r="J681" s="12" t="n"/>
      <c r="K681" s="12" t="n"/>
      <c r="L681" s="14" t="n"/>
      <c r="M681" s="12" t="n"/>
      <c r="N681" s="12" t="n"/>
      <c r="O681" s="12" t="n"/>
    </row>
    <row r="682">
      <c r="A682" s="12" t="n"/>
      <c r="B682" s="13">
        <f>IF($A682="","",IFERROR(INDEX(Emp_Names,MATCH($A682,Emp_Codes,0)),"NOT FOUND"))</f>
        <v/>
      </c>
      <c r="C682" s="14" t="n"/>
      <c r="D682" s="15" t="n"/>
      <c r="E682" s="15" t="n"/>
      <c r="F682" s="15" t="n"/>
      <c r="G682" s="15" t="n"/>
      <c r="H682" s="16">
        <f>IF($A682="","",$D682+IF($E682="",0,$E682)+IF($F682="",0,$F682)-IF($G682="",0,$G682))</f>
        <v/>
      </c>
      <c r="I682" s="12" t="n"/>
      <c r="J682" s="12" t="n"/>
      <c r="K682" s="12" t="n"/>
      <c r="L682" s="14" t="n"/>
      <c r="M682" s="12" t="n"/>
      <c r="N682" s="12" t="n"/>
      <c r="O682" s="12" t="n"/>
    </row>
    <row r="683">
      <c r="A683" s="12" t="n"/>
      <c r="B683" s="13">
        <f>IF($A683="","",IFERROR(INDEX(Emp_Names,MATCH($A683,Emp_Codes,0)),"NOT FOUND"))</f>
        <v/>
      </c>
      <c r="C683" s="14" t="n"/>
      <c r="D683" s="15" t="n"/>
      <c r="E683" s="15" t="n"/>
      <c r="F683" s="15" t="n"/>
      <c r="G683" s="15" t="n"/>
      <c r="H683" s="16">
        <f>IF($A683="","",$D683+IF($E683="",0,$E683)+IF($F683="",0,$F683)-IF($G683="",0,$G683))</f>
        <v/>
      </c>
      <c r="I683" s="12" t="n"/>
      <c r="J683" s="12" t="n"/>
      <c r="K683" s="12" t="n"/>
      <c r="L683" s="14" t="n"/>
      <c r="M683" s="12" t="n"/>
      <c r="N683" s="12" t="n"/>
      <c r="O683" s="12" t="n"/>
    </row>
    <row r="684">
      <c r="A684" s="12" t="n"/>
      <c r="B684" s="13">
        <f>IF($A684="","",IFERROR(INDEX(Emp_Names,MATCH($A684,Emp_Codes,0)),"NOT FOUND"))</f>
        <v/>
      </c>
      <c r="C684" s="14" t="n"/>
      <c r="D684" s="15" t="n"/>
      <c r="E684" s="15" t="n"/>
      <c r="F684" s="15" t="n"/>
      <c r="G684" s="15" t="n"/>
      <c r="H684" s="16">
        <f>IF($A684="","",$D684+IF($E684="",0,$E684)+IF($F684="",0,$F684)-IF($G684="",0,$G684))</f>
        <v/>
      </c>
      <c r="I684" s="12" t="n"/>
      <c r="J684" s="12" t="n"/>
      <c r="K684" s="12" t="n"/>
      <c r="L684" s="14" t="n"/>
      <c r="M684" s="12" t="n"/>
      <c r="N684" s="12" t="n"/>
      <c r="O684" s="12" t="n"/>
    </row>
    <row r="685">
      <c r="A685" s="12" t="n"/>
      <c r="B685" s="13">
        <f>IF($A685="","",IFERROR(INDEX(Emp_Names,MATCH($A685,Emp_Codes,0)),"NOT FOUND"))</f>
        <v/>
      </c>
      <c r="C685" s="14" t="n"/>
      <c r="D685" s="15" t="n"/>
      <c r="E685" s="15" t="n"/>
      <c r="F685" s="15" t="n"/>
      <c r="G685" s="15" t="n"/>
      <c r="H685" s="16">
        <f>IF($A685="","",$D685+IF($E685="",0,$E685)+IF($F685="",0,$F685)-IF($G685="",0,$G685))</f>
        <v/>
      </c>
      <c r="I685" s="12" t="n"/>
      <c r="J685" s="12" t="n"/>
      <c r="K685" s="12" t="n"/>
      <c r="L685" s="14" t="n"/>
      <c r="M685" s="12" t="n"/>
      <c r="N685" s="12" t="n"/>
      <c r="O685" s="12" t="n"/>
    </row>
    <row r="686">
      <c r="A686" s="12" t="n"/>
      <c r="B686" s="13">
        <f>IF($A686="","",IFERROR(INDEX(Emp_Names,MATCH($A686,Emp_Codes,0)),"NOT FOUND"))</f>
        <v/>
      </c>
      <c r="C686" s="14" t="n"/>
      <c r="D686" s="15" t="n"/>
      <c r="E686" s="15" t="n"/>
      <c r="F686" s="15" t="n"/>
      <c r="G686" s="15" t="n"/>
      <c r="H686" s="16">
        <f>IF($A686="","",$D686+IF($E686="",0,$E686)+IF($F686="",0,$F686)-IF($G686="",0,$G686))</f>
        <v/>
      </c>
      <c r="I686" s="12" t="n"/>
      <c r="J686" s="12" t="n"/>
      <c r="K686" s="12" t="n"/>
      <c r="L686" s="14" t="n"/>
      <c r="M686" s="12" t="n"/>
      <c r="N686" s="12" t="n"/>
      <c r="O686" s="12" t="n"/>
    </row>
    <row r="687">
      <c r="A687" s="12" t="n"/>
      <c r="B687" s="13">
        <f>IF($A687="","",IFERROR(INDEX(Emp_Names,MATCH($A687,Emp_Codes,0)),"NOT FOUND"))</f>
        <v/>
      </c>
      <c r="C687" s="14" t="n"/>
      <c r="D687" s="15" t="n"/>
      <c r="E687" s="15" t="n"/>
      <c r="F687" s="15" t="n"/>
      <c r="G687" s="15" t="n"/>
      <c r="H687" s="16">
        <f>IF($A687="","",$D687+IF($E687="",0,$E687)+IF($F687="",0,$F687)-IF($G687="",0,$G687))</f>
        <v/>
      </c>
      <c r="I687" s="12" t="n"/>
      <c r="J687" s="12" t="n"/>
      <c r="K687" s="12" t="n"/>
      <c r="L687" s="14" t="n"/>
      <c r="M687" s="12" t="n"/>
      <c r="N687" s="12" t="n"/>
      <c r="O687" s="12" t="n"/>
    </row>
    <row r="688">
      <c r="A688" s="12" t="n"/>
      <c r="B688" s="13">
        <f>IF($A688="","",IFERROR(INDEX(Emp_Names,MATCH($A688,Emp_Codes,0)),"NOT FOUND"))</f>
        <v/>
      </c>
      <c r="C688" s="14" t="n"/>
      <c r="D688" s="15" t="n"/>
      <c r="E688" s="15" t="n"/>
      <c r="F688" s="15" t="n"/>
      <c r="G688" s="15" t="n"/>
      <c r="H688" s="16">
        <f>IF($A688="","",$D688+IF($E688="",0,$E688)+IF($F688="",0,$F688)-IF($G688="",0,$G688))</f>
        <v/>
      </c>
      <c r="I688" s="12" t="n"/>
      <c r="J688" s="12" t="n"/>
      <c r="K688" s="12" t="n"/>
      <c r="L688" s="14" t="n"/>
      <c r="M688" s="12" t="n"/>
      <c r="N688" s="12" t="n"/>
      <c r="O688" s="12" t="n"/>
    </row>
    <row r="689">
      <c r="A689" s="12" t="n"/>
      <c r="B689" s="13">
        <f>IF($A689="","",IFERROR(INDEX(Emp_Names,MATCH($A689,Emp_Codes,0)),"NOT FOUND"))</f>
        <v/>
      </c>
      <c r="C689" s="14" t="n"/>
      <c r="D689" s="15" t="n"/>
      <c r="E689" s="15" t="n"/>
      <c r="F689" s="15" t="n"/>
      <c r="G689" s="15" t="n"/>
      <c r="H689" s="16">
        <f>IF($A689="","",$D689+IF($E689="",0,$E689)+IF($F689="",0,$F689)-IF($G689="",0,$G689))</f>
        <v/>
      </c>
      <c r="I689" s="12" t="n"/>
      <c r="J689" s="12" t="n"/>
      <c r="K689" s="12" t="n"/>
      <c r="L689" s="14" t="n"/>
      <c r="M689" s="12" t="n"/>
      <c r="N689" s="12" t="n"/>
      <c r="O689" s="12" t="n"/>
    </row>
    <row r="690">
      <c r="A690" s="12" t="n"/>
      <c r="B690" s="13">
        <f>IF($A690="","",IFERROR(INDEX(Emp_Names,MATCH($A690,Emp_Codes,0)),"NOT FOUND"))</f>
        <v/>
      </c>
      <c r="C690" s="14" t="n"/>
      <c r="D690" s="15" t="n"/>
      <c r="E690" s="15" t="n"/>
      <c r="F690" s="15" t="n"/>
      <c r="G690" s="15" t="n"/>
      <c r="H690" s="16">
        <f>IF($A690="","",$D690+IF($E690="",0,$E690)+IF($F690="",0,$F690)-IF($G690="",0,$G690))</f>
        <v/>
      </c>
      <c r="I690" s="12" t="n"/>
      <c r="J690" s="12" t="n"/>
      <c r="K690" s="12" t="n"/>
      <c r="L690" s="14" t="n"/>
      <c r="M690" s="12" t="n"/>
      <c r="N690" s="12" t="n"/>
      <c r="O690" s="12" t="n"/>
    </row>
    <row r="691">
      <c r="A691" s="12" t="n"/>
      <c r="B691" s="13">
        <f>IF($A691="","",IFERROR(INDEX(Emp_Names,MATCH($A691,Emp_Codes,0)),"NOT FOUND"))</f>
        <v/>
      </c>
      <c r="C691" s="14" t="n"/>
      <c r="D691" s="15" t="n"/>
      <c r="E691" s="15" t="n"/>
      <c r="F691" s="15" t="n"/>
      <c r="G691" s="15" t="n"/>
      <c r="H691" s="16">
        <f>IF($A691="","",$D691+IF($E691="",0,$E691)+IF($F691="",0,$F691)-IF($G691="",0,$G691))</f>
        <v/>
      </c>
      <c r="I691" s="12" t="n"/>
      <c r="J691" s="12" t="n"/>
      <c r="K691" s="12" t="n"/>
      <c r="L691" s="14" t="n"/>
      <c r="M691" s="12" t="n"/>
      <c r="N691" s="12" t="n"/>
      <c r="O691" s="12" t="n"/>
    </row>
    <row r="692">
      <c r="A692" s="12" t="n"/>
      <c r="B692" s="13">
        <f>IF($A692="","",IFERROR(INDEX(Emp_Names,MATCH($A692,Emp_Codes,0)),"NOT FOUND"))</f>
        <v/>
      </c>
      <c r="C692" s="14" t="n"/>
      <c r="D692" s="15" t="n"/>
      <c r="E692" s="15" t="n"/>
      <c r="F692" s="15" t="n"/>
      <c r="G692" s="15" t="n"/>
      <c r="H692" s="16">
        <f>IF($A692="","",$D692+IF($E692="",0,$E692)+IF($F692="",0,$F692)-IF($G692="",0,$G692))</f>
        <v/>
      </c>
      <c r="I692" s="12" t="n"/>
      <c r="J692" s="12" t="n"/>
      <c r="K692" s="12" t="n"/>
      <c r="L692" s="14" t="n"/>
      <c r="M692" s="12" t="n"/>
      <c r="N692" s="12" t="n"/>
      <c r="O692" s="12" t="n"/>
    </row>
    <row r="693">
      <c r="A693" s="12" t="n"/>
      <c r="B693" s="13">
        <f>IF($A693="","",IFERROR(INDEX(Emp_Names,MATCH($A693,Emp_Codes,0)),"NOT FOUND"))</f>
        <v/>
      </c>
      <c r="C693" s="14" t="n"/>
      <c r="D693" s="15" t="n"/>
      <c r="E693" s="15" t="n"/>
      <c r="F693" s="15" t="n"/>
      <c r="G693" s="15" t="n"/>
      <c r="H693" s="16">
        <f>IF($A693="","",$D693+IF($E693="",0,$E693)+IF($F693="",0,$F693)-IF($G693="",0,$G693))</f>
        <v/>
      </c>
      <c r="I693" s="12" t="n"/>
      <c r="J693" s="12" t="n"/>
      <c r="K693" s="12" t="n"/>
      <c r="L693" s="14" t="n"/>
      <c r="M693" s="12" t="n"/>
      <c r="N693" s="12" t="n"/>
      <c r="O693" s="12" t="n"/>
    </row>
    <row r="694">
      <c r="A694" s="12" t="n"/>
      <c r="B694" s="13">
        <f>IF($A694="","",IFERROR(INDEX(Emp_Names,MATCH($A694,Emp_Codes,0)),"NOT FOUND"))</f>
        <v/>
      </c>
      <c r="C694" s="14" t="n"/>
      <c r="D694" s="15" t="n"/>
      <c r="E694" s="15" t="n"/>
      <c r="F694" s="15" t="n"/>
      <c r="G694" s="15" t="n"/>
      <c r="H694" s="16">
        <f>IF($A694="","",$D694+IF($E694="",0,$E694)+IF($F694="",0,$F694)-IF($G694="",0,$G694))</f>
        <v/>
      </c>
      <c r="I694" s="12" t="n"/>
      <c r="J694" s="12" t="n"/>
      <c r="K694" s="12" t="n"/>
      <c r="L694" s="14" t="n"/>
      <c r="M694" s="12" t="n"/>
      <c r="N694" s="12" t="n"/>
      <c r="O694" s="12" t="n"/>
    </row>
    <row r="695">
      <c r="A695" s="12" t="n"/>
      <c r="B695" s="13">
        <f>IF($A695="","",IFERROR(INDEX(Emp_Names,MATCH($A695,Emp_Codes,0)),"NOT FOUND"))</f>
        <v/>
      </c>
      <c r="C695" s="14" t="n"/>
      <c r="D695" s="15" t="n"/>
      <c r="E695" s="15" t="n"/>
      <c r="F695" s="15" t="n"/>
      <c r="G695" s="15" t="n"/>
      <c r="H695" s="16">
        <f>IF($A695="","",$D695+IF($E695="",0,$E695)+IF($F695="",0,$F695)-IF($G695="",0,$G695))</f>
        <v/>
      </c>
      <c r="I695" s="12" t="n"/>
      <c r="J695" s="12" t="n"/>
      <c r="K695" s="12" t="n"/>
      <c r="L695" s="14" t="n"/>
      <c r="M695" s="12" t="n"/>
      <c r="N695" s="12" t="n"/>
      <c r="O695" s="12" t="n"/>
    </row>
    <row r="696">
      <c r="A696" s="12" t="n"/>
      <c r="B696" s="13">
        <f>IF($A696="","",IFERROR(INDEX(Emp_Names,MATCH($A696,Emp_Codes,0)),"NOT FOUND"))</f>
        <v/>
      </c>
      <c r="C696" s="14" t="n"/>
      <c r="D696" s="15" t="n"/>
      <c r="E696" s="15" t="n"/>
      <c r="F696" s="15" t="n"/>
      <c r="G696" s="15" t="n"/>
      <c r="H696" s="16">
        <f>IF($A696="","",$D696+IF($E696="",0,$E696)+IF($F696="",0,$F696)-IF($G696="",0,$G696))</f>
        <v/>
      </c>
      <c r="I696" s="12" t="n"/>
      <c r="J696" s="12" t="n"/>
      <c r="K696" s="12" t="n"/>
      <c r="L696" s="14" t="n"/>
      <c r="M696" s="12" t="n"/>
      <c r="N696" s="12" t="n"/>
      <c r="O696" s="12" t="n"/>
    </row>
    <row r="697">
      <c r="A697" s="12" t="n"/>
      <c r="B697" s="13">
        <f>IF($A697="","",IFERROR(INDEX(Emp_Names,MATCH($A697,Emp_Codes,0)),"NOT FOUND"))</f>
        <v/>
      </c>
      <c r="C697" s="14" t="n"/>
      <c r="D697" s="15" t="n"/>
      <c r="E697" s="15" t="n"/>
      <c r="F697" s="15" t="n"/>
      <c r="G697" s="15" t="n"/>
      <c r="H697" s="16">
        <f>IF($A697="","",$D697+IF($E697="",0,$E697)+IF($F697="",0,$F697)-IF($G697="",0,$G697))</f>
        <v/>
      </c>
      <c r="I697" s="12" t="n"/>
      <c r="J697" s="12" t="n"/>
      <c r="K697" s="12" t="n"/>
      <c r="L697" s="14" t="n"/>
      <c r="M697" s="12" t="n"/>
      <c r="N697" s="12" t="n"/>
      <c r="O697" s="12" t="n"/>
    </row>
    <row r="698">
      <c r="A698" s="12" t="n"/>
      <c r="B698" s="13">
        <f>IF($A698="","",IFERROR(INDEX(Emp_Names,MATCH($A698,Emp_Codes,0)),"NOT FOUND"))</f>
        <v/>
      </c>
      <c r="C698" s="14" t="n"/>
      <c r="D698" s="15" t="n"/>
      <c r="E698" s="15" t="n"/>
      <c r="F698" s="15" t="n"/>
      <c r="G698" s="15" t="n"/>
      <c r="H698" s="16">
        <f>IF($A698="","",$D698+IF($E698="",0,$E698)+IF($F698="",0,$F698)-IF($G698="",0,$G698))</f>
        <v/>
      </c>
      <c r="I698" s="12" t="n"/>
      <c r="J698" s="12" t="n"/>
      <c r="K698" s="12" t="n"/>
      <c r="L698" s="14" t="n"/>
      <c r="M698" s="12" t="n"/>
      <c r="N698" s="12" t="n"/>
      <c r="O698" s="12" t="n"/>
    </row>
    <row r="699">
      <c r="A699" s="12" t="n"/>
      <c r="B699" s="13">
        <f>IF($A699="","",IFERROR(INDEX(Emp_Names,MATCH($A699,Emp_Codes,0)),"NOT FOUND"))</f>
        <v/>
      </c>
      <c r="C699" s="14" t="n"/>
      <c r="D699" s="15" t="n"/>
      <c r="E699" s="15" t="n"/>
      <c r="F699" s="15" t="n"/>
      <c r="G699" s="15" t="n"/>
      <c r="H699" s="16">
        <f>IF($A699="","",$D699+IF($E699="",0,$E699)+IF($F699="",0,$F699)-IF($G699="",0,$G699))</f>
        <v/>
      </c>
      <c r="I699" s="12" t="n"/>
      <c r="J699" s="12" t="n"/>
      <c r="K699" s="12" t="n"/>
      <c r="L699" s="14" t="n"/>
      <c r="M699" s="12" t="n"/>
      <c r="N699" s="12" t="n"/>
      <c r="O699" s="12" t="n"/>
    </row>
    <row r="700">
      <c r="A700" s="12" t="n"/>
      <c r="B700" s="13">
        <f>IF($A700="","",IFERROR(INDEX(Emp_Names,MATCH($A700,Emp_Codes,0)),"NOT FOUND"))</f>
        <v/>
      </c>
      <c r="C700" s="14" t="n"/>
      <c r="D700" s="15" t="n"/>
      <c r="E700" s="15" t="n"/>
      <c r="F700" s="15" t="n"/>
      <c r="G700" s="15" t="n"/>
      <c r="H700" s="16">
        <f>IF($A700="","",$D700+IF($E700="",0,$E700)+IF($F700="",0,$F700)-IF($G700="",0,$G700))</f>
        <v/>
      </c>
      <c r="I700" s="12" t="n"/>
      <c r="J700" s="12" t="n"/>
      <c r="K700" s="12" t="n"/>
      <c r="L700" s="14" t="n"/>
      <c r="M700" s="12" t="n"/>
      <c r="N700" s="12" t="n"/>
      <c r="O700" s="12" t="n"/>
    </row>
    <row r="701">
      <c r="A701" s="12" t="n"/>
      <c r="B701" s="13">
        <f>IF($A701="","",IFERROR(INDEX(Emp_Names,MATCH($A701,Emp_Codes,0)),"NOT FOUND"))</f>
        <v/>
      </c>
      <c r="C701" s="14" t="n"/>
      <c r="D701" s="15" t="n"/>
      <c r="E701" s="15" t="n"/>
      <c r="F701" s="15" t="n"/>
      <c r="G701" s="15" t="n"/>
      <c r="H701" s="16">
        <f>IF($A701="","",$D701+IF($E701="",0,$E701)+IF($F701="",0,$F701)-IF($G701="",0,$G701))</f>
        <v/>
      </c>
      <c r="I701" s="12" t="n"/>
      <c r="J701" s="12" t="n"/>
      <c r="K701" s="12" t="n"/>
      <c r="L701" s="14" t="n"/>
      <c r="M701" s="12" t="n"/>
      <c r="N701" s="12" t="n"/>
      <c r="O701" s="12" t="n"/>
    </row>
    <row r="702">
      <c r="A702" s="12" t="n"/>
      <c r="B702" s="13">
        <f>IF($A702="","",IFERROR(INDEX(Emp_Names,MATCH($A702,Emp_Codes,0)),"NOT FOUND"))</f>
        <v/>
      </c>
      <c r="C702" s="14" t="n"/>
      <c r="D702" s="15" t="n"/>
      <c r="E702" s="15" t="n"/>
      <c r="F702" s="15" t="n"/>
      <c r="G702" s="15" t="n"/>
      <c r="H702" s="16">
        <f>IF($A702="","",$D702+IF($E702="",0,$E702)+IF($F702="",0,$F702)-IF($G702="",0,$G702))</f>
        <v/>
      </c>
      <c r="I702" s="12" t="n"/>
      <c r="J702" s="12" t="n"/>
      <c r="K702" s="12" t="n"/>
      <c r="L702" s="14" t="n"/>
      <c r="M702" s="12" t="n"/>
      <c r="N702" s="12" t="n"/>
      <c r="O702" s="12" t="n"/>
    </row>
    <row r="703">
      <c r="A703" s="12" t="n"/>
      <c r="B703" s="13">
        <f>IF($A703="","",IFERROR(INDEX(Emp_Names,MATCH($A703,Emp_Codes,0)),"NOT FOUND"))</f>
        <v/>
      </c>
      <c r="C703" s="14" t="n"/>
      <c r="D703" s="15" t="n"/>
      <c r="E703" s="15" t="n"/>
      <c r="F703" s="15" t="n"/>
      <c r="G703" s="15" t="n"/>
      <c r="H703" s="16">
        <f>IF($A703="","",$D703+IF($E703="",0,$E703)+IF($F703="",0,$F703)-IF($G703="",0,$G703))</f>
        <v/>
      </c>
      <c r="I703" s="12" t="n"/>
      <c r="J703" s="12" t="n"/>
      <c r="K703" s="12" t="n"/>
      <c r="L703" s="14" t="n"/>
      <c r="M703" s="12" t="n"/>
      <c r="N703" s="12" t="n"/>
      <c r="O703" s="12" t="n"/>
    </row>
    <row r="704">
      <c r="A704" s="12" t="n"/>
      <c r="B704" s="13">
        <f>IF($A704="","",IFERROR(INDEX(Emp_Names,MATCH($A704,Emp_Codes,0)),"NOT FOUND"))</f>
        <v/>
      </c>
      <c r="C704" s="14" t="n"/>
      <c r="D704" s="15" t="n"/>
      <c r="E704" s="15" t="n"/>
      <c r="F704" s="15" t="n"/>
      <c r="G704" s="15" t="n"/>
      <c r="H704" s="16">
        <f>IF($A704="","",$D704+IF($E704="",0,$E704)+IF($F704="",0,$F704)-IF($G704="",0,$G704))</f>
        <v/>
      </c>
      <c r="I704" s="12" t="n"/>
      <c r="J704" s="12" t="n"/>
      <c r="K704" s="12" t="n"/>
      <c r="L704" s="14" t="n"/>
      <c r="M704" s="12" t="n"/>
      <c r="N704" s="12" t="n"/>
      <c r="O704" s="12" t="n"/>
    </row>
    <row r="705">
      <c r="A705" s="12" t="n"/>
      <c r="B705" s="13">
        <f>IF($A705="","",IFERROR(INDEX(Emp_Names,MATCH($A705,Emp_Codes,0)),"NOT FOUND"))</f>
        <v/>
      </c>
      <c r="C705" s="14" t="n"/>
      <c r="D705" s="15" t="n"/>
      <c r="E705" s="15" t="n"/>
      <c r="F705" s="15" t="n"/>
      <c r="G705" s="15" t="n"/>
      <c r="H705" s="16">
        <f>IF($A705="","",$D705+IF($E705="",0,$E705)+IF($F705="",0,$F705)-IF($G705="",0,$G705))</f>
        <v/>
      </c>
      <c r="I705" s="12" t="n"/>
      <c r="J705" s="12" t="n"/>
      <c r="K705" s="12" t="n"/>
      <c r="L705" s="14" t="n"/>
      <c r="M705" s="12" t="n"/>
      <c r="N705" s="12" t="n"/>
      <c r="O705" s="12" t="n"/>
    </row>
    <row r="706">
      <c r="A706" s="12" t="n"/>
      <c r="B706" s="13">
        <f>IF($A706="","",IFERROR(INDEX(Emp_Names,MATCH($A706,Emp_Codes,0)),"NOT FOUND"))</f>
        <v/>
      </c>
      <c r="C706" s="14" t="n"/>
      <c r="D706" s="15" t="n"/>
      <c r="E706" s="15" t="n"/>
      <c r="F706" s="15" t="n"/>
      <c r="G706" s="15" t="n"/>
      <c r="H706" s="16">
        <f>IF($A706="","",$D706+IF($E706="",0,$E706)+IF($F706="",0,$F706)-IF($G706="",0,$G706))</f>
        <v/>
      </c>
      <c r="I706" s="12" t="n"/>
      <c r="J706" s="12" t="n"/>
      <c r="K706" s="12" t="n"/>
      <c r="L706" s="14" t="n"/>
      <c r="M706" s="12" t="n"/>
      <c r="N706" s="12" t="n"/>
      <c r="O706" s="12" t="n"/>
    </row>
    <row r="707">
      <c r="A707" s="12" t="n"/>
      <c r="B707" s="13">
        <f>IF($A707="","",IFERROR(INDEX(Emp_Names,MATCH($A707,Emp_Codes,0)),"NOT FOUND"))</f>
        <v/>
      </c>
      <c r="C707" s="14" t="n"/>
      <c r="D707" s="15" t="n"/>
      <c r="E707" s="15" t="n"/>
      <c r="F707" s="15" t="n"/>
      <c r="G707" s="15" t="n"/>
      <c r="H707" s="16">
        <f>IF($A707="","",$D707+IF($E707="",0,$E707)+IF($F707="",0,$F707)-IF($G707="",0,$G707))</f>
        <v/>
      </c>
      <c r="I707" s="12" t="n"/>
      <c r="J707" s="12" t="n"/>
      <c r="K707" s="12" t="n"/>
      <c r="L707" s="14" t="n"/>
      <c r="M707" s="12" t="n"/>
      <c r="N707" s="12" t="n"/>
      <c r="O707" s="12" t="n"/>
    </row>
    <row r="708">
      <c r="A708" s="12" t="n"/>
      <c r="B708" s="13">
        <f>IF($A708="","",IFERROR(INDEX(Emp_Names,MATCH($A708,Emp_Codes,0)),"NOT FOUND"))</f>
        <v/>
      </c>
      <c r="C708" s="14" t="n"/>
      <c r="D708" s="15" t="n"/>
      <c r="E708" s="15" t="n"/>
      <c r="F708" s="15" t="n"/>
      <c r="G708" s="15" t="n"/>
      <c r="H708" s="16">
        <f>IF($A708="","",$D708+IF($E708="",0,$E708)+IF($F708="",0,$F708)-IF($G708="",0,$G708))</f>
        <v/>
      </c>
      <c r="I708" s="12" t="n"/>
      <c r="J708" s="12" t="n"/>
      <c r="K708" s="12" t="n"/>
      <c r="L708" s="14" t="n"/>
      <c r="M708" s="12" t="n"/>
      <c r="N708" s="12" t="n"/>
      <c r="O708" s="12" t="n"/>
    </row>
    <row r="709">
      <c r="A709" s="12" t="n"/>
      <c r="B709" s="13">
        <f>IF($A709="","",IFERROR(INDEX(Emp_Names,MATCH($A709,Emp_Codes,0)),"NOT FOUND"))</f>
        <v/>
      </c>
      <c r="C709" s="14" t="n"/>
      <c r="D709" s="15" t="n"/>
      <c r="E709" s="15" t="n"/>
      <c r="F709" s="15" t="n"/>
      <c r="G709" s="15" t="n"/>
      <c r="H709" s="16">
        <f>IF($A709="","",$D709+IF($E709="",0,$E709)+IF($F709="",0,$F709)-IF($G709="",0,$G709))</f>
        <v/>
      </c>
      <c r="I709" s="12" t="n"/>
      <c r="J709" s="12" t="n"/>
      <c r="K709" s="12" t="n"/>
      <c r="L709" s="14" t="n"/>
      <c r="M709" s="12" t="n"/>
      <c r="N709" s="12" t="n"/>
      <c r="O709" s="12" t="n"/>
    </row>
    <row r="710">
      <c r="A710" s="12" t="n"/>
      <c r="B710" s="13">
        <f>IF($A710="","",IFERROR(INDEX(Emp_Names,MATCH($A710,Emp_Codes,0)),"NOT FOUND"))</f>
        <v/>
      </c>
      <c r="C710" s="14" t="n"/>
      <c r="D710" s="15" t="n"/>
      <c r="E710" s="15" t="n"/>
      <c r="F710" s="15" t="n"/>
      <c r="G710" s="15" t="n"/>
      <c r="H710" s="16">
        <f>IF($A710="","",$D710+IF($E710="",0,$E710)+IF($F710="",0,$F710)-IF($G710="",0,$G710))</f>
        <v/>
      </c>
      <c r="I710" s="12" t="n"/>
      <c r="J710" s="12" t="n"/>
      <c r="K710" s="12" t="n"/>
      <c r="L710" s="14" t="n"/>
      <c r="M710" s="12" t="n"/>
      <c r="N710" s="12" t="n"/>
      <c r="O710" s="12" t="n"/>
    </row>
    <row r="711">
      <c r="A711" s="12" t="n"/>
      <c r="B711" s="13">
        <f>IF($A711="","",IFERROR(INDEX(Emp_Names,MATCH($A711,Emp_Codes,0)),"NOT FOUND"))</f>
        <v/>
      </c>
      <c r="C711" s="14" t="n"/>
      <c r="D711" s="15" t="n"/>
      <c r="E711" s="15" t="n"/>
      <c r="F711" s="15" t="n"/>
      <c r="G711" s="15" t="n"/>
      <c r="H711" s="16">
        <f>IF($A711="","",$D711+IF($E711="",0,$E711)+IF($F711="",0,$F711)-IF($G711="",0,$G711))</f>
        <v/>
      </c>
      <c r="I711" s="12" t="n"/>
      <c r="J711" s="12" t="n"/>
      <c r="K711" s="12" t="n"/>
      <c r="L711" s="14" t="n"/>
      <c r="M711" s="12" t="n"/>
      <c r="N711" s="12" t="n"/>
      <c r="O711" s="12" t="n"/>
    </row>
    <row r="712">
      <c r="A712" s="12" t="n"/>
      <c r="B712" s="13">
        <f>IF($A712="","",IFERROR(INDEX(Emp_Names,MATCH($A712,Emp_Codes,0)),"NOT FOUND"))</f>
        <v/>
      </c>
      <c r="C712" s="14" t="n"/>
      <c r="D712" s="15" t="n"/>
      <c r="E712" s="15" t="n"/>
      <c r="F712" s="15" t="n"/>
      <c r="G712" s="15" t="n"/>
      <c r="H712" s="16">
        <f>IF($A712="","",$D712+IF($E712="",0,$E712)+IF($F712="",0,$F712)-IF($G712="",0,$G712))</f>
        <v/>
      </c>
      <c r="I712" s="12" t="n"/>
      <c r="J712" s="12" t="n"/>
      <c r="K712" s="12" t="n"/>
      <c r="L712" s="14" t="n"/>
      <c r="M712" s="12" t="n"/>
      <c r="N712" s="12" t="n"/>
      <c r="O712" s="12" t="n"/>
    </row>
    <row r="713">
      <c r="A713" s="12" t="n"/>
      <c r="B713" s="13">
        <f>IF($A713="","",IFERROR(INDEX(Emp_Names,MATCH($A713,Emp_Codes,0)),"NOT FOUND"))</f>
        <v/>
      </c>
      <c r="C713" s="14" t="n"/>
      <c r="D713" s="15" t="n"/>
      <c r="E713" s="15" t="n"/>
      <c r="F713" s="15" t="n"/>
      <c r="G713" s="15" t="n"/>
      <c r="H713" s="16">
        <f>IF($A713="","",$D713+IF($E713="",0,$E713)+IF($F713="",0,$F713)-IF($G713="",0,$G713))</f>
        <v/>
      </c>
      <c r="I713" s="12" t="n"/>
      <c r="J713" s="12" t="n"/>
      <c r="K713" s="12" t="n"/>
      <c r="L713" s="14" t="n"/>
      <c r="M713" s="12" t="n"/>
      <c r="N713" s="12" t="n"/>
      <c r="O713" s="12" t="n"/>
    </row>
    <row r="714">
      <c r="A714" s="12" t="n"/>
      <c r="B714" s="13">
        <f>IF($A714="","",IFERROR(INDEX(Emp_Names,MATCH($A714,Emp_Codes,0)),"NOT FOUND"))</f>
        <v/>
      </c>
      <c r="C714" s="14" t="n"/>
      <c r="D714" s="15" t="n"/>
      <c r="E714" s="15" t="n"/>
      <c r="F714" s="15" t="n"/>
      <c r="G714" s="15" t="n"/>
      <c r="H714" s="16">
        <f>IF($A714="","",$D714+IF($E714="",0,$E714)+IF($F714="",0,$F714)-IF($G714="",0,$G714))</f>
        <v/>
      </c>
      <c r="I714" s="12" t="n"/>
      <c r="J714" s="12" t="n"/>
      <c r="K714" s="12" t="n"/>
      <c r="L714" s="14" t="n"/>
      <c r="M714" s="12" t="n"/>
      <c r="N714" s="12" t="n"/>
      <c r="O714" s="12" t="n"/>
    </row>
    <row r="715">
      <c r="A715" s="12" t="n"/>
      <c r="B715" s="13">
        <f>IF($A715="","",IFERROR(INDEX(Emp_Names,MATCH($A715,Emp_Codes,0)),"NOT FOUND"))</f>
        <v/>
      </c>
      <c r="C715" s="14" t="n"/>
      <c r="D715" s="15" t="n"/>
      <c r="E715" s="15" t="n"/>
      <c r="F715" s="15" t="n"/>
      <c r="G715" s="15" t="n"/>
      <c r="H715" s="16">
        <f>IF($A715="","",$D715+IF($E715="",0,$E715)+IF($F715="",0,$F715)-IF($G715="",0,$G715))</f>
        <v/>
      </c>
      <c r="I715" s="12" t="n"/>
      <c r="J715" s="12" t="n"/>
      <c r="K715" s="12" t="n"/>
      <c r="L715" s="14" t="n"/>
      <c r="M715" s="12" t="n"/>
      <c r="N715" s="12" t="n"/>
      <c r="O715" s="12" t="n"/>
    </row>
    <row r="716">
      <c r="A716" s="12" t="n"/>
      <c r="B716" s="13">
        <f>IF($A716="","",IFERROR(INDEX(Emp_Names,MATCH($A716,Emp_Codes,0)),"NOT FOUND"))</f>
        <v/>
      </c>
      <c r="C716" s="14" t="n"/>
      <c r="D716" s="15" t="n"/>
      <c r="E716" s="15" t="n"/>
      <c r="F716" s="15" t="n"/>
      <c r="G716" s="15" t="n"/>
      <c r="H716" s="16">
        <f>IF($A716="","",$D716+IF($E716="",0,$E716)+IF($F716="",0,$F716)-IF($G716="",0,$G716))</f>
        <v/>
      </c>
      <c r="I716" s="12" t="n"/>
      <c r="J716" s="12" t="n"/>
      <c r="K716" s="12" t="n"/>
      <c r="L716" s="14" t="n"/>
      <c r="M716" s="12" t="n"/>
      <c r="N716" s="12" t="n"/>
      <c r="O716" s="12" t="n"/>
    </row>
    <row r="717">
      <c r="A717" s="12" t="n"/>
      <c r="B717" s="13">
        <f>IF($A717="","",IFERROR(INDEX(Emp_Names,MATCH($A717,Emp_Codes,0)),"NOT FOUND"))</f>
        <v/>
      </c>
      <c r="C717" s="14" t="n"/>
      <c r="D717" s="15" t="n"/>
      <c r="E717" s="15" t="n"/>
      <c r="F717" s="15" t="n"/>
      <c r="G717" s="15" t="n"/>
      <c r="H717" s="16">
        <f>IF($A717="","",$D717+IF($E717="",0,$E717)+IF($F717="",0,$F717)-IF($G717="",0,$G717))</f>
        <v/>
      </c>
      <c r="I717" s="12" t="n"/>
      <c r="J717" s="12" t="n"/>
      <c r="K717" s="12" t="n"/>
      <c r="L717" s="14" t="n"/>
      <c r="M717" s="12" t="n"/>
      <c r="N717" s="12" t="n"/>
      <c r="O717" s="12" t="n"/>
    </row>
    <row r="718">
      <c r="A718" s="12" t="n"/>
      <c r="B718" s="13">
        <f>IF($A718="","",IFERROR(INDEX(Emp_Names,MATCH($A718,Emp_Codes,0)),"NOT FOUND"))</f>
        <v/>
      </c>
      <c r="C718" s="14" t="n"/>
      <c r="D718" s="15" t="n"/>
      <c r="E718" s="15" t="n"/>
      <c r="F718" s="15" t="n"/>
      <c r="G718" s="15" t="n"/>
      <c r="H718" s="16">
        <f>IF($A718="","",$D718+IF($E718="",0,$E718)+IF($F718="",0,$F718)-IF($G718="",0,$G718))</f>
        <v/>
      </c>
      <c r="I718" s="12" t="n"/>
      <c r="J718" s="12" t="n"/>
      <c r="K718" s="12" t="n"/>
      <c r="L718" s="14" t="n"/>
      <c r="M718" s="12" t="n"/>
      <c r="N718" s="12" t="n"/>
      <c r="O718" s="12" t="n"/>
    </row>
    <row r="719">
      <c r="A719" s="12" t="n"/>
      <c r="B719" s="13">
        <f>IF($A719="","",IFERROR(INDEX(Emp_Names,MATCH($A719,Emp_Codes,0)),"NOT FOUND"))</f>
        <v/>
      </c>
      <c r="C719" s="14" t="n"/>
      <c r="D719" s="15" t="n"/>
      <c r="E719" s="15" t="n"/>
      <c r="F719" s="15" t="n"/>
      <c r="G719" s="15" t="n"/>
      <c r="H719" s="16">
        <f>IF($A719="","",$D719+IF($E719="",0,$E719)+IF($F719="",0,$F719)-IF($G719="",0,$G719))</f>
        <v/>
      </c>
      <c r="I719" s="12" t="n"/>
      <c r="J719" s="12" t="n"/>
      <c r="K719" s="12" t="n"/>
      <c r="L719" s="14" t="n"/>
      <c r="M719" s="12" t="n"/>
      <c r="N719" s="12" t="n"/>
      <c r="O719" s="12" t="n"/>
    </row>
    <row r="720">
      <c r="A720" s="12" t="n"/>
      <c r="B720" s="13">
        <f>IF($A720="","",IFERROR(INDEX(Emp_Names,MATCH($A720,Emp_Codes,0)),"NOT FOUND"))</f>
        <v/>
      </c>
      <c r="C720" s="14" t="n"/>
      <c r="D720" s="15" t="n"/>
      <c r="E720" s="15" t="n"/>
      <c r="F720" s="15" t="n"/>
      <c r="G720" s="15" t="n"/>
      <c r="H720" s="16">
        <f>IF($A720="","",$D720+IF($E720="",0,$E720)+IF($F720="",0,$F720)-IF($G720="",0,$G720))</f>
        <v/>
      </c>
      <c r="I720" s="12" t="n"/>
      <c r="J720" s="12" t="n"/>
      <c r="K720" s="12" t="n"/>
      <c r="L720" s="14" t="n"/>
      <c r="M720" s="12" t="n"/>
      <c r="N720" s="12" t="n"/>
      <c r="O720" s="12" t="n"/>
    </row>
    <row r="721">
      <c r="A721" s="12" t="n"/>
      <c r="B721" s="13">
        <f>IF($A721="","",IFERROR(INDEX(Emp_Names,MATCH($A721,Emp_Codes,0)),"NOT FOUND"))</f>
        <v/>
      </c>
      <c r="C721" s="14" t="n"/>
      <c r="D721" s="15" t="n"/>
      <c r="E721" s="15" t="n"/>
      <c r="F721" s="15" t="n"/>
      <c r="G721" s="15" t="n"/>
      <c r="H721" s="16">
        <f>IF($A721="","",$D721+IF($E721="",0,$E721)+IF($F721="",0,$F721)-IF($G721="",0,$G721))</f>
        <v/>
      </c>
      <c r="I721" s="12" t="n"/>
      <c r="J721" s="12" t="n"/>
      <c r="K721" s="12" t="n"/>
      <c r="L721" s="14" t="n"/>
      <c r="M721" s="12" t="n"/>
      <c r="N721" s="12" t="n"/>
      <c r="O721" s="12" t="n"/>
    </row>
    <row r="722">
      <c r="A722" s="12" t="n"/>
      <c r="B722" s="13">
        <f>IF($A722="","",IFERROR(INDEX(Emp_Names,MATCH($A722,Emp_Codes,0)),"NOT FOUND"))</f>
        <v/>
      </c>
      <c r="C722" s="14" t="n"/>
      <c r="D722" s="15" t="n"/>
      <c r="E722" s="15" t="n"/>
      <c r="F722" s="15" t="n"/>
      <c r="G722" s="15" t="n"/>
      <c r="H722" s="16">
        <f>IF($A722="","",$D722+IF($E722="",0,$E722)+IF($F722="",0,$F722)-IF($G722="",0,$G722))</f>
        <v/>
      </c>
      <c r="I722" s="12" t="n"/>
      <c r="J722" s="12" t="n"/>
      <c r="K722" s="12" t="n"/>
      <c r="L722" s="14" t="n"/>
      <c r="M722" s="12" t="n"/>
      <c r="N722" s="12" t="n"/>
      <c r="O722" s="12" t="n"/>
    </row>
    <row r="723">
      <c r="A723" s="12" t="n"/>
      <c r="B723" s="13">
        <f>IF($A723="","",IFERROR(INDEX(Emp_Names,MATCH($A723,Emp_Codes,0)),"NOT FOUND"))</f>
        <v/>
      </c>
      <c r="C723" s="14" t="n"/>
      <c r="D723" s="15" t="n"/>
      <c r="E723" s="15" t="n"/>
      <c r="F723" s="15" t="n"/>
      <c r="G723" s="15" t="n"/>
      <c r="H723" s="16">
        <f>IF($A723="","",$D723+IF($E723="",0,$E723)+IF($F723="",0,$F723)-IF($G723="",0,$G723))</f>
        <v/>
      </c>
      <c r="I723" s="12" t="n"/>
      <c r="J723" s="12" t="n"/>
      <c r="K723" s="12" t="n"/>
      <c r="L723" s="14" t="n"/>
      <c r="M723" s="12" t="n"/>
      <c r="N723" s="12" t="n"/>
      <c r="O723" s="12" t="n"/>
    </row>
    <row r="724">
      <c r="A724" s="12" t="n"/>
      <c r="B724" s="13">
        <f>IF($A724="","",IFERROR(INDEX(Emp_Names,MATCH($A724,Emp_Codes,0)),"NOT FOUND"))</f>
        <v/>
      </c>
      <c r="C724" s="14" t="n"/>
      <c r="D724" s="15" t="n"/>
      <c r="E724" s="15" t="n"/>
      <c r="F724" s="15" t="n"/>
      <c r="G724" s="15" t="n"/>
      <c r="H724" s="16">
        <f>IF($A724="","",$D724+IF($E724="",0,$E724)+IF($F724="",0,$F724)-IF($G724="",0,$G724))</f>
        <v/>
      </c>
      <c r="I724" s="12" t="n"/>
      <c r="J724" s="12" t="n"/>
      <c r="K724" s="12" t="n"/>
      <c r="L724" s="14" t="n"/>
      <c r="M724" s="12" t="n"/>
      <c r="N724" s="12" t="n"/>
      <c r="O724" s="12" t="n"/>
    </row>
    <row r="725">
      <c r="A725" s="12" t="n"/>
      <c r="B725" s="13">
        <f>IF($A725="","",IFERROR(INDEX(Emp_Names,MATCH($A725,Emp_Codes,0)),"NOT FOUND"))</f>
        <v/>
      </c>
      <c r="C725" s="14" t="n"/>
      <c r="D725" s="15" t="n"/>
      <c r="E725" s="15" t="n"/>
      <c r="F725" s="15" t="n"/>
      <c r="G725" s="15" t="n"/>
      <c r="H725" s="16">
        <f>IF($A725="","",$D725+IF($E725="",0,$E725)+IF($F725="",0,$F725)-IF($G725="",0,$G725))</f>
        <v/>
      </c>
      <c r="I725" s="12" t="n"/>
      <c r="J725" s="12" t="n"/>
      <c r="K725" s="12" t="n"/>
      <c r="L725" s="14" t="n"/>
      <c r="M725" s="12" t="n"/>
      <c r="N725" s="12" t="n"/>
      <c r="O725" s="12" t="n"/>
    </row>
    <row r="726">
      <c r="A726" s="12" t="n"/>
      <c r="B726" s="13">
        <f>IF($A726="","",IFERROR(INDEX(Emp_Names,MATCH($A726,Emp_Codes,0)),"NOT FOUND"))</f>
        <v/>
      </c>
      <c r="C726" s="14" t="n"/>
      <c r="D726" s="15" t="n"/>
      <c r="E726" s="15" t="n"/>
      <c r="F726" s="15" t="n"/>
      <c r="G726" s="15" t="n"/>
      <c r="H726" s="16">
        <f>IF($A726="","",$D726+IF($E726="",0,$E726)+IF($F726="",0,$F726)-IF($G726="",0,$G726))</f>
        <v/>
      </c>
      <c r="I726" s="12" t="n"/>
      <c r="J726" s="12" t="n"/>
      <c r="K726" s="12" t="n"/>
      <c r="L726" s="14" t="n"/>
      <c r="M726" s="12" t="n"/>
      <c r="N726" s="12" t="n"/>
      <c r="O726" s="12" t="n"/>
    </row>
    <row r="727">
      <c r="A727" s="12" t="n"/>
      <c r="B727" s="13">
        <f>IF($A727="","",IFERROR(INDEX(Emp_Names,MATCH($A727,Emp_Codes,0)),"NOT FOUND"))</f>
        <v/>
      </c>
      <c r="C727" s="14" t="n"/>
      <c r="D727" s="15" t="n"/>
      <c r="E727" s="15" t="n"/>
      <c r="F727" s="15" t="n"/>
      <c r="G727" s="15" t="n"/>
      <c r="H727" s="16">
        <f>IF($A727="","",$D727+IF($E727="",0,$E727)+IF($F727="",0,$F727)-IF($G727="",0,$G727))</f>
        <v/>
      </c>
      <c r="I727" s="12" t="n"/>
      <c r="J727" s="12" t="n"/>
      <c r="K727" s="12" t="n"/>
      <c r="L727" s="14" t="n"/>
      <c r="M727" s="12" t="n"/>
      <c r="N727" s="12" t="n"/>
      <c r="O727" s="12" t="n"/>
    </row>
    <row r="728">
      <c r="A728" s="12" t="n"/>
      <c r="B728" s="13">
        <f>IF($A728="","",IFERROR(INDEX(Emp_Names,MATCH($A728,Emp_Codes,0)),"NOT FOUND"))</f>
        <v/>
      </c>
      <c r="C728" s="14" t="n"/>
      <c r="D728" s="15" t="n"/>
      <c r="E728" s="15" t="n"/>
      <c r="F728" s="15" t="n"/>
      <c r="G728" s="15" t="n"/>
      <c r="H728" s="16">
        <f>IF($A728="","",$D728+IF($E728="",0,$E728)+IF($F728="",0,$F728)-IF($G728="",0,$G728))</f>
        <v/>
      </c>
      <c r="I728" s="12" t="n"/>
      <c r="J728" s="12" t="n"/>
      <c r="K728" s="12" t="n"/>
      <c r="L728" s="14" t="n"/>
      <c r="M728" s="12" t="n"/>
      <c r="N728" s="12" t="n"/>
      <c r="O728" s="12" t="n"/>
    </row>
    <row r="729">
      <c r="A729" s="12" t="n"/>
      <c r="B729" s="13">
        <f>IF($A729="","",IFERROR(INDEX(Emp_Names,MATCH($A729,Emp_Codes,0)),"NOT FOUND"))</f>
        <v/>
      </c>
      <c r="C729" s="14" t="n"/>
      <c r="D729" s="15" t="n"/>
      <c r="E729" s="15" t="n"/>
      <c r="F729" s="15" t="n"/>
      <c r="G729" s="15" t="n"/>
      <c r="H729" s="16">
        <f>IF($A729="","",$D729+IF($E729="",0,$E729)+IF($F729="",0,$F729)-IF($G729="",0,$G729))</f>
        <v/>
      </c>
      <c r="I729" s="12" t="n"/>
      <c r="J729" s="12" t="n"/>
      <c r="K729" s="12" t="n"/>
      <c r="L729" s="14" t="n"/>
      <c r="M729" s="12" t="n"/>
      <c r="N729" s="12" t="n"/>
      <c r="O729" s="12" t="n"/>
    </row>
    <row r="730">
      <c r="A730" s="12" t="n"/>
      <c r="B730" s="13">
        <f>IF($A730="","",IFERROR(INDEX(Emp_Names,MATCH($A730,Emp_Codes,0)),"NOT FOUND"))</f>
        <v/>
      </c>
      <c r="C730" s="14" t="n"/>
      <c r="D730" s="15" t="n"/>
      <c r="E730" s="15" t="n"/>
      <c r="F730" s="15" t="n"/>
      <c r="G730" s="15" t="n"/>
      <c r="H730" s="16">
        <f>IF($A730="","",$D730+IF($E730="",0,$E730)+IF($F730="",0,$F730)-IF($G730="",0,$G730))</f>
        <v/>
      </c>
      <c r="I730" s="12" t="n"/>
      <c r="J730" s="12" t="n"/>
      <c r="K730" s="12" t="n"/>
      <c r="L730" s="14" t="n"/>
      <c r="M730" s="12" t="n"/>
      <c r="N730" s="12" t="n"/>
      <c r="O730" s="12" t="n"/>
    </row>
    <row r="731">
      <c r="A731" s="12" t="n"/>
      <c r="B731" s="13">
        <f>IF($A731="","",IFERROR(INDEX(Emp_Names,MATCH($A731,Emp_Codes,0)),"NOT FOUND"))</f>
        <v/>
      </c>
      <c r="C731" s="14" t="n"/>
      <c r="D731" s="15" t="n"/>
      <c r="E731" s="15" t="n"/>
      <c r="F731" s="15" t="n"/>
      <c r="G731" s="15" t="n"/>
      <c r="H731" s="16">
        <f>IF($A731="","",$D731+IF($E731="",0,$E731)+IF($F731="",0,$F731)-IF($G731="",0,$G731))</f>
        <v/>
      </c>
      <c r="I731" s="12" t="n"/>
      <c r="J731" s="12" t="n"/>
      <c r="K731" s="12" t="n"/>
      <c r="L731" s="14" t="n"/>
      <c r="M731" s="12" t="n"/>
      <c r="N731" s="12" t="n"/>
      <c r="O731" s="12" t="n"/>
    </row>
    <row r="732">
      <c r="A732" s="12" t="n"/>
      <c r="B732" s="13">
        <f>IF($A732="","",IFERROR(INDEX(Emp_Names,MATCH($A732,Emp_Codes,0)),"NOT FOUND"))</f>
        <v/>
      </c>
      <c r="C732" s="14" t="n"/>
      <c r="D732" s="15" t="n"/>
      <c r="E732" s="15" t="n"/>
      <c r="F732" s="15" t="n"/>
      <c r="G732" s="15" t="n"/>
      <c r="H732" s="16">
        <f>IF($A732="","",$D732+IF($E732="",0,$E732)+IF($F732="",0,$F732)-IF($G732="",0,$G732))</f>
        <v/>
      </c>
      <c r="I732" s="12" t="n"/>
      <c r="J732" s="12" t="n"/>
      <c r="K732" s="12" t="n"/>
      <c r="L732" s="14" t="n"/>
      <c r="M732" s="12" t="n"/>
      <c r="N732" s="12" t="n"/>
      <c r="O732" s="12" t="n"/>
    </row>
    <row r="733">
      <c r="A733" s="12" t="n"/>
      <c r="B733" s="13">
        <f>IF($A733="","",IFERROR(INDEX(Emp_Names,MATCH($A733,Emp_Codes,0)),"NOT FOUND"))</f>
        <v/>
      </c>
      <c r="C733" s="14" t="n"/>
      <c r="D733" s="15" t="n"/>
      <c r="E733" s="15" t="n"/>
      <c r="F733" s="15" t="n"/>
      <c r="G733" s="15" t="n"/>
      <c r="H733" s="16">
        <f>IF($A733="","",$D733+IF($E733="",0,$E733)+IF($F733="",0,$F733)-IF($G733="",0,$G733))</f>
        <v/>
      </c>
      <c r="I733" s="12" t="n"/>
      <c r="J733" s="12" t="n"/>
      <c r="K733" s="12" t="n"/>
      <c r="L733" s="14" t="n"/>
      <c r="M733" s="12" t="n"/>
      <c r="N733" s="12" t="n"/>
      <c r="O733" s="12" t="n"/>
    </row>
    <row r="734">
      <c r="A734" s="12" t="n"/>
      <c r="B734" s="13">
        <f>IF($A734="","",IFERROR(INDEX(Emp_Names,MATCH($A734,Emp_Codes,0)),"NOT FOUND"))</f>
        <v/>
      </c>
      <c r="C734" s="14" t="n"/>
      <c r="D734" s="15" t="n"/>
      <c r="E734" s="15" t="n"/>
      <c r="F734" s="15" t="n"/>
      <c r="G734" s="15" t="n"/>
      <c r="H734" s="16">
        <f>IF($A734="","",$D734+IF($E734="",0,$E734)+IF($F734="",0,$F734)-IF($G734="",0,$G734))</f>
        <v/>
      </c>
      <c r="I734" s="12" t="n"/>
      <c r="J734" s="12" t="n"/>
      <c r="K734" s="12" t="n"/>
      <c r="L734" s="14" t="n"/>
      <c r="M734" s="12" t="n"/>
      <c r="N734" s="12" t="n"/>
      <c r="O734" s="12" t="n"/>
    </row>
    <row r="735">
      <c r="A735" s="12" t="n"/>
      <c r="B735" s="13">
        <f>IF($A735="","",IFERROR(INDEX(Emp_Names,MATCH($A735,Emp_Codes,0)),"NOT FOUND"))</f>
        <v/>
      </c>
      <c r="C735" s="14" t="n"/>
      <c r="D735" s="15" t="n"/>
      <c r="E735" s="15" t="n"/>
      <c r="F735" s="15" t="n"/>
      <c r="G735" s="15" t="n"/>
      <c r="H735" s="16">
        <f>IF($A735="","",$D735+IF($E735="",0,$E735)+IF($F735="",0,$F735)-IF($G735="",0,$G735))</f>
        <v/>
      </c>
      <c r="I735" s="12" t="n"/>
      <c r="J735" s="12" t="n"/>
      <c r="K735" s="12" t="n"/>
      <c r="L735" s="14" t="n"/>
      <c r="M735" s="12" t="n"/>
      <c r="N735" s="12" t="n"/>
      <c r="O735" s="12" t="n"/>
    </row>
    <row r="736">
      <c r="A736" s="12" t="n"/>
      <c r="B736" s="13">
        <f>IF($A736="","",IFERROR(INDEX(Emp_Names,MATCH($A736,Emp_Codes,0)),"NOT FOUND"))</f>
        <v/>
      </c>
      <c r="C736" s="14" t="n"/>
      <c r="D736" s="15" t="n"/>
      <c r="E736" s="15" t="n"/>
      <c r="F736" s="15" t="n"/>
      <c r="G736" s="15" t="n"/>
      <c r="H736" s="16">
        <f>IF($A736="","",$D736+IF($E736="",0,$E736)+IF($F736="",0,$F736)-IF($G736="",0,$G736))</f>
        <v/>
      </c>
      <c r="I736" s="12" t="n"/>
      <c r="J736" s="12" t="n"/>
      <c r="K736" s="12" t="n"/>
      <c r="L736" s="14" t="n"/>
      <c r="M736" s="12" t="n"/>
      <c r="N736" s="12" t="n"/>
      <c r="O736" s="12" t="n"/>
    </row>
    <row r="737">
      <c r="A737" s="12" t="n"/>
      <c r="B737" s="13">
        <f>IF($A737="","",IFERROR(INDEX(Emp_Names,MATCH($A737,Emp_Codes,0)),"NOT FOUND"))</f>
        <v/>
      </c>
      <c r="C737" s="14" t="n"/>
      <c r="D737" s="15" t="n"/>
      <c r="E737" s="15" t="n"/>
      <c r="F737" s="15" t="n"/>
      <c r="G737" s="15" t="n"/>
      <c r="H737" s="16">
        <f>IF($A737="","",$D737+IF($E737="",0,$E737)+IF($F737="",0,$F737)-IF($G737="",0,$G737))</f>
        <v/>
      </c>
      <c r="I737" s="12" t="n"/>
      <c r="J737" s="12" t="n"/>
      <c r="K737" s="12" t="n"/>
      <c r="L737" s="14" t="n"/>
      <c r="M737" s="12" t="n"/>
      <c r="N737" s="12" t="n"/>
      <c r="O737" s="12" t="n"/>
    </row>
    <row r="738">
      <c r="A738" s="12" t="n"/>
      <c r="B738" s="13">
        <f>IF($A738="","",IFERROR(INDEX(Emp_Names,MATCH($A738,Emp_Codes,0)),"NOT FOUND"))</f>
        <v/>
      </c>
      <c r="C738" s="14" t="n"/>
      <c r="D738" s="15" t="n"/>
      <c r="E738" s="15" t="n"/>
      <c r="F738" s="15" t="n"/>
      <c r="G738" s="15" t="n"/>
      <c r="H738" s="16">
        <f>IF($A738="","",$D738+IF($E738="",0,$E738)+IF($F738="",0,$F738)-IF($G738="",0,$G738))</f>
        <v/>
      </c>
      <c r="I738" s="12" t="n"/>
      <c r="J738" s="12" t="n"/>
      <c r="K738" s="12" t="n"/>
      <c r="L738" s="14" t="n"/>
      <c r="M738" s="12" t="n"/>
      <c r="N738" s="12" t="n"/>
      <c r="O738" s="12" t="n"/>
    </row>
    <row r="739">
      <c r="A739" s="12" t="n"/>
      <c r="B739" s="13">
        <f>IF($A739="","",IFERROR(INDEX(Emp_Names,MATCH($A739,Emp_Codes,0)),"NOT FOUND"))</f>
        <v/>
      </c>
      <c r="C739" s="14" t="n"/>
      <c r="D739" s="15" t="n"/>
      <c r="E739" s="15" t="n"/>
      <c r="F739" s="15" t="n"/>
      <c r="G739" s="15" t="n"/>
      <c r="H739" s="16">
        <f>IF($A739="","",$D739+IF($E739="",0,$E739)+IF($F739="",0,$F739)-IF($G739="",0,$G739))</f>
        <v/>
      </c>
      <c r="I739" s="12" t="n"/>
      <c r="J739" s="12" t="n"/>
      <c r="K739" s="12" t="n"/>
      <c r="L739" s="14" t="n"/>
      <c r="M739" s="12" t="n"/>
      <c r="N739" s="12" t="n"/>
      <c r="O739" s="12" t="n"/>
    </row>
    <row r="740">
      <c r="A740" s="12" t="n"/>
      <c r="B740" s="13">
        <f>IF($A740="","",IFERROR(INDEX(Emp_Names,MATCH($A740,Emp_Codes,0)),"NOT FOUND"))</f>
        <v/>
      </c>
      <c r="C740" s="14" t="n"/>
      <c r="D740" s="15" t="n"/>
      <c r="E740" s="15" t="n"/>
      <c r="F740" s="15" t="n"/>
      <c r="G740" s="15" t="n"/>
      <c r="H740" s="16">
        <f>IF($A740="","",$D740+IF($E740="",0,$E740)+IF($F740="",0,$F740)-IF($G740="",0,$G740))</f>
        <v/>
      </c>
      <c r="I740" s="12" t="n"/>
      <c r="J740" s="12" t="n"/>
      <c r="K740" s="12" t="n"/>
      <c r="L740" s="14" t="n"/>
      <c r="M740" s="12" t="n"/>
      <c r="N740" s="12" t="n"/>
      <c r="O740" s="12" t="n"/>
    </row>
    <row r="741">
      <c r="A741" s="12" t="n"/>
      <c r="B741" s="13">
        <f>IF($A741="","",IFERROR(INDEX(Emp_Names,MATCH($A741,Emp_Codes,0)),"NOT FOUND"))</f>
        <v/>
      </c>
      <c r="C741" s="14" t="n"/>
      <c r="D741" s="15" t="n"/>
      <c r="E741" s="15" t="n"/>
      <c r="F741" s="15" t="n"/>
      <c r="G741" s="15" t="n"/>
      <c r="H741" s="16">
        <f>IF($A741="","",$D741+IF($E741="",0,$E741)+IF($F741="",0,$F741)-IF($G741="",0,$G741))</f>
        <v/>
      </c>
      <c r="I741" s="12" t="n"/>
      <c r="J741" s="12" t="n"/>
      <c r="K741" s="12" t="n"/>
      <c r="L741" s="14" t="n"/>
      <c r="M741" s="12" t="n"/>
      <c r="N741" s="12" t="n"/>
      <c r="O741" s="12" t="n"/>
    </row>
    <row r="742">
      <c r="A742" s="12" t="n"/>
      <c r="B742" s="13">
        <f>IF($A742="","",IFERROR(INDEX(Emp_Names,MATCH($A742,Emp_Codes,0)),"NOT FOUND"))</f>
        <v/>
      </c>
      <c r="C742" s="14" t="n"/>
      <c r="D742" s="15" t="n"/>
      <c r="E742" s="15" t="n"/>
      <c r="F742" s="15" t="n"/>
      <c r="G742" s="15" t="n"/>
      <c r="H742" s="16">
        <f>IF($A742="","",$D742+IF($E742="",0,$E742)+IF($F742="",0,$F742)-IF($G742="",0,$G742))</f>
        <v/>
      </c>
      <c r="I742" s="12" t="n"/>
      <c r="J742" s="12" t="n"/>
      <c r="K742" s="12" t="n"/>
      <c r="L742" s="14" t="n"/>
      <c r="M742" s="12" t="n"/>
      <c r="N742" s="12" t="n"/>
      <c r="O742" s="12" t="n"/>
    </row>
    <row r="743">
      <c r="A743" s="12" t="n"/>
      <c r="B743" s="13">
        <f>IF($A743="","",IFERROR(INDEX(Emp_Names,MATCH($A743,Emp_Codes,0)),"NOT FOUND"))</f>
        <v/>
      </c>
      <c r="C743" s="14" t="n"/>
      <c r="D743" s="15" t="n"/>
      <c r="E743" s="15" t="n"/>
      <c r="F743" s="15" t="n"/>
      <c r="G743" s="15" t="n"/>
      <c r="H743" s="16">
        <f>IF($A743="","",$D743+IF($E743="",0,$E743)+IF($F743="",0,$F743)-IF($G743="",0,$G743))</f>
        <v/>
      </c>
      <c r="I743" s="12" t="n"/>
      <c r="J743" s="12" t="n"/>
      <c r="K743" s="12" t="n"/>
      <c r="L743" s="14" t="n"/>
      <c r="M743" s="12" t="n"/>
      <c r="N743" s="12" t="n"/>
      <c r="O743" s="12" t="n"/>
    </row>
    <row r="744">
      <c r="A744" s="12" t="n"/>
      <c r="B744" s="13">
        <f>IF($A744="","",IFERROR(INDEX(Emp_Names,MATCH($A744,Emp_Codes,0)),"NOT FOUND"))</f>
        <v/>
      </c>
      <c r="C744" s="14" t="n"/>
      <c r="D744" s="15" t="n"/>
      <c r="E744" s="15" t="n"/>
      <c r="F744" s="15" t="n"/>
      <c r="G744" s="15" t="n"/>
      <c r="H744" s="16">
        <f>IF($A744="","",$D744+IF($E744="",0,$E744)+IF($F744="",0,$F744)-IF($G744="",0,$G744))</f>
        <v/>
      </c>
      <c r="I744" s="12" t="n"/>
      <c r="J744" s="12" t="n"/>
      <c r="K744" s="12" t="n"/>
      <c r="L744" s="14" t="n"/>
      <c r="M744" s="12" t="n"/>
      <c r="N744" s="12" t="n"/>
      <c r="O744" s="12" t="n"/>
    </row>
    <row r="745">
      <c r="A745" s="12" t="n"/>
      <c r="B745" s="13">
        <f>IF($A745="","",IFERROR(INDEX(Emp_Names,MATCH($A745,Emp_Codes,0)),"NOT FOUND"))</f>
        <v/>
      </c>
      <c r="C745" s="14" t="n"/>
      <c r="D745" s="15" t="n"/>
      <c r="E745" s="15" t="n"/>
      <c r="F745" s="15" t="n"/>
      <c r="G745" s="15" t="n"/>
      <c r="H745" s="16">
        <f>IF($A745="","",$D745+IF($E745="",0,$E745)+IF($F745="",0,$F745)-IF($G745="",0,$G745))</f>
        <v/>
      </c>
      <c r="I745" s="12" t="n"/>
      <c r="J745" s="12" t="n"/>
      <c r="K745" s="12" t="n"/>
      <c r="L745" s="14" t="n"/>
      <c r="M745" s="12" t="n"/>
      <c r="N745" s="12" t="n"/>
      <c r="O745" s="12" t="n"/>
    </row>
    <row r="746">
      <c r="A746" s="12" t="n"/>
      <c r="B746" s="13">
        <f>IF($A746="","",IFERROR(INDEX(Emp_Names,MATCH($A746,Emp_Codes,0)),"NOT FOUND"))</f>
        <v/>
      </c>
      <c r="C746" s="14" t="n"/>
      <c r="D746" s="15" t="n"/>
      <c r="E746" s="15" t="n"/>
      <c r="F746" s="15" t="n"/>
      <c r="G746" s="15" t="n"/>
      <c r="H746" s="16">
        <f>IF($A746="","",$D746+IF($E746="",0,$E746)+IF($F746="",0,$F746)-IF($G746="",0,$G746))</f>
        <v/>
      </c>
      <c r="I746" s="12" t="n"/>
      <c r="J746" s="12" t="n"/>
      <c r="K746" s="12" t="n"/>
      <c r="L746" s="14" t="n"/>
      <c r="M746" s="12" t="n"/>
      <c r="N746" s="12" t="n"/>
      <c r="O746" s="12" t="n"/>
    </row>
    <row r="747">
      <c r="A747" s="12" t="n"/>
      <c r="B747" s="13">
        <f>IF($A747="","",IFERROR(INDEX(Emp_Names,MATCH($A747,Emp_Codes,0)),"NOT FOUND"))</f>
        <v/>
      </c>
      <c r="C747" s="14" t="n"/>
      <c r="D747" s="15" t="n"/>
      <c r="E747" s="15" t="n"/>
      <c r="F747" s="15" t="n"/>
      <c r="G747" s="15" t="n"/>
      <c r="H747" s="16">
        <f>IF($A747="","",$D747+IF($E747="",0,$E747)+IF($F747="",0,$F747)-IF($G747="",0,$G747))</f>
        <v/>
      </c>
      <c r="I747" s="12" t="n"/>
      <c r="J747" s="12" t="n"/>
      <c r="K747" s="12" t="n"/>
      <c r="L747" s="14" t="n"/>
      <c r="M747" s="12" t="n"/>
      <c r="N747" s="12" t="n"/>
      <c r="O747" s="12" t="n"/>
    </row>
    <row r="748">
      <c r="A748" s="12" t="n"/>
      <c r="B748" s="13">
        <f>IF($A748="","",IFERROR(INDEX(Emp_Names,MATCH($A748,Emp_Codes,0)),"NOT FOUND"))</f>
        <v/>
      </c>
      <c r="C748" s="14" t="n"/>
      <c r="D748" s="15" t="n"/>
      <c r="E748" s="15" t="n"/>
      <c r="F748" s="15" t="n"/>
      <c r="G748" s="15" t="n"/>
      <c r="H748" s="16">
        <f>IF($A748="","",$D748+IF($E748="",0,$E748)+IF($F748="",0,$F748)-IF($G748="",0,$G748))</f>
        <v/>
      </c>
      <c r="I748" s="12" t="n"/>
      <c r="J748" s="12" t="n"/>
      <c r="K748" s="12" t="n"/>
      <c r="L748" s="14" t="n"/>
      <c r="M748" s="12" t="n"/>
      <c r="N748" s="12" t="n"/>
      <c r="O748" s="12" t="n"/>
    </row>
    <row r="749">
      <c r="A749" s="12" t="n"/>
      <c r="B749" s="13">
        <f>IF($A749="","",IFERROR(INDEX(Emp_Names,MATCH($A749,Emp_Codes,0)),"NOT FOUND"))</f>
        <v/>
      </c>
      <c r="C749" s="14" t="n"/>
      <c r="D749" s="15" t="n"/>
      <c r="E749" s="15" t="n"/>
      <c r="F749" s="15" t="n"/>
      <c r="G749" s="15" t="n"/>
      <c r="H749" s="16">
        <f>IF($A749="","",$D749+IF($E749="",0,$E749)+IF($F749="",0,$F749)-IF($G749="",0,$G749))</f>
        <v/>
      </c>
      <c r="I749" s="12" t="n"/>
      <c r="J749" s="12" t="n"/>
      <c r="K749" s="12" t="n"/>
      <c r="L749" s="14" t="n"/>
      <c r="M749" s="12" t="n"/>
      <c r="N749" s="12" t="n"/>
      <c r="O749" s="12" t="n"/>
    </row>
    <row r="750">
      <c r="A750" s="12" t="n"/>
      <c r="B750" s="13">
        <f>IF($A750="","",IFERROR(INDEX(Emp_Names,MATCH($A750,Emp_Codes,0)),"NOT FOUND"))</f>
        <v/>
      </c>
      <c r="C750" s="14" t="n"/>
      <c r="D750" s="15" t="n"/>
      <c r="E750" s="15" t="n"/>
      <c r="F750" s="15" t="n"/>
      <c r="G750" s="15" t="n"/>
      <c r="H750" s="16">
        <f>IF($A750="","",$D750+IF($E750="",0,$E750)+IF($F750="",0,$F750)-IF($G750="",0,$G750))</f>
        <v/>
      </c>
      <c r="I750" s="12" t="n"/>
      <c r="J750" s="12" t="n"/>
      <c r="K750" s="12" t="n"/>
      <c r="L750" s="14" t="n"/>
      <c r="M750" s="12" t="n"/>
      <c r="N750" s="12" t="n"/>
      <c r="O750" s="12" t="n"/>
    </row>
    <row r="751">
      <c r="A751" s="12" t="n"/>
      <c r="B751" s="13">
        <f>IF($A751="","",IFERROR(INDEX(Emp_Names,MATCH($A751,Emp_Codes,0)),"NOT FOUND"))</f>
        <v/>
      </c>
      <c r="C751" s="14" t="n"/>
      <c r="D751" s="15" t="n"/>
      <c r="E751" s="15" t="n"/>
      <c r="F751" s="15" t="n"/>
      <c r="G751" s="15" t="n"/>
      <c r="H751" s="16">
        <f>IF($A751="","",$D751+IF($E751="",0,$E751)+IF($F751="",0,$F751)-IF($G751="",0,$G751))</f>
        <v/>
      </c>
      <c r="I751" s="12" t="n"/>
      <c r="J751" s="12" t="n"/>
      <c r="K751" s="12" t="n"/>
      <c r="L751" s="14" t="n"/>
      <c r="M751" s="12" t="n"/>
      <c r="N751" s="12" t="n"/>
      <c r="O751" s="12" t="n"/>
    </row>
    <row r="752">
      <c r="A752" s="12" t="n"/>
      <c r="B752" s="13">
        <f>IF($A752="","",IFERROR(INDEX(Emp_Names,MATCH($A752,Emp_Codes,0)),"NOT FOUND"))</f>
        <v/>
      </c>
      <c r="C752" s="14" t="n"/>
      <c r="D752" s="15" t="n"/>
      <c r="E752" s="15" t="n"/>
      <c r="F752" s="15" t="n"/>
      <c r="G752" s="15" t="n"/>
      <c r="H752" s="16">
        <f>IF($A752="","",$D752+IF($E752="",0,$E752)+IF($F752="",0,$F752)-IF($G752="",0,$G752))</f>
        <v/>
      </c>
      <c r="I752" s="12" t="n"/>
      <c r="J752" s="12" t="n"/>
      <c r="K752" s="12" t="n"/>
      <c r="L752" s="14" t="n"/>
      <c r="M752" s="12" t="n"/>
      <c r="N752" s="12" t="n"/>
      <c r="O752" s="12" t="n"/>
    </row>
    <row r="753">
      <c r="A753" s="12" t="n"/>
      <c r="B753" s="13">
        <f>IF($A753="","",IFERROR(INDEX(Emp_Names,MATCH($A753,Emp_Codes,0)),"NOT FOUND"))</f>
        <v/>
      </c>
      <c r="C753" s="14" t="n"/>
      <c r="D753" s="15" t="n"/>
      <c r="E753" s="15" t="n"/>
      <c r="F753" s="15" t="n"/>
      <c r="G753" s="15" t="n"/>
      <c r="H753" s="16">
        <f>IF($A753="","",$D753+IF($E753="",0,$E753)+IF($F753="",0,$F753)-IF($G753="",0,$G753))</f>
        <v/>
      </c>
      <c r="I753" s="12" t="n"/>
      <c r="J753" s="12" t="n"/>
      <c r="K753" s="12" t="n"/>
      <c r="L753" s="14" t="n"/>
      <c r="M753" s="12" t="n"/>
      <c r="N753" s="12" t="n"/>
      <c r="O753" s="12" t="n"/>
    </row>
    <row r="754">
      <c r="A754" s="12" t="n"/>
      <c r="B754" s="13">
        <f>IF($A754="","",IFERROR(INDEX(Emp_Names,MATCH($A754,Emp_Codes,0)),"NOT FOUND"))</f>
        <v/>
      </c>
      <c r="C754" s="14" t="n"/>
      <c r="D754" s="15" t="n"/>
      <c r="E754" s="15" t="n"/>
      <c r="F754" s="15" t="n"/>
      <c r="G754" s="15" t="n"/>
      <c r="H754" s="16">
        <f>IF($A754="","",$D754+IF($E754="",0,$E754)+IF($F754="",0,$F754)-IF($G754="",0,$G754))</f>
        <v/>
      </c>
      <c r="I754" s="12" t="n"/>
      <c r="J754" s="12" t="n"/>
      <c r="K754" s="12" t="n"/>
      <c r="L754" s="14" t="n"/>
      <c r="M754" s="12" t="n"/>
      <c r="N754" s="12" t="n"/>
      <c r="O754" s="12" t="n"/>
    </row>
    <row r="755">
      <c r="A755" s="12" t="n"/>
      <c r="B755" s="13">
        <f>IF($A755="","",IFERROR(INDEX(Emp_Names,MATCH($A755,Emp_Codes,0)),"NOT FOUND"))</f>
        <v/>
      </c>
      <c r="C755" s="14" t="n"/>
      <c r="D755" s="15" t="n"/>
      <c r="E755" s="15" t="n"/>
      <c r="F755" s="15" t="n"/>
      <c r="G755" s="15" t="n"/>
      <c r="H755" s="16">
        <f>IF($A755="","",$D755+IF($E755="",0,$E755)+IF($F755="",0,$F755)-IF($G755="",0,$G755))</f>
        <v/>
      </c>
      <c r="I755" s="12" t="n"/>
      <c r="J755" s="12" t="n"/>
      <c r="K755" s="12" t="n"/>
      <c r="L755" s="14" t="n"/>
      <c r="M755" s="12" t="n"/>
      <c r="N755" s="12" t="n"/>
      <c r="O755" s="12" t="n"/>
    </row>
    <row r="756">
      <c r="A756" s="12" t="n"/>
      <c r="B756" s="13">
        <f>IF($A756="","",IFERROR(INDEX(Emp_Names,MATCH($A756,Emp_Codes,0)),"NOT FOUND"))</f>
        <v/>
      </c>
      <c r="C756" s="14" t="n"/>
      <c r="D756" s="15" t="n"/>
      <c r="E756" s="15" t="n"/>
      <c r="F756" s="15" t="n"/>
      <c r="G756" s="15" t="n"/>
      <c r="H756" s="16">
        <f>IF($A756="","",$D756+IF($E756="",0,$E756)+IF($F756="",0,$F756)-IF($G756="",0,$G756))</f>
        <v/>
      </c>
      <c r="I756" s="12" t="n"/>
      <c r="J756" s="12" t="n"/>
      <c r="K756" s="12" t="n"/>
      <c r="L756" s="14" t="n"/>
      <c r="M756" s="12" t="n"/>
      <c r="N756" s="12" t="n"/>
      <c r="O756" s="12" t="n"/>
    </row>
    <row r="757">
      <c r="A757" s="12" t="n"/>
      <c r="B757" s="13">
        <f>IF($A757="","",IFERROR(INDEX(Emp_Names,MATCH($A757,Emp_Codes,0)),"NOT FOUND"))</f>
        <v/>
      </c>
      <c r="C757" s="14" t="n"/>
      <c r="D757" s="15" t="n"/>
      <c r="E757" s="15" t="n"/>
      <c r="F757" s="15" t="n"/>
      <c r="G757" s="15" t="n"/>
      <c r="H757" s="16">
        <f>IF($A757="","",$D757+IF($E757="",0,$E757)+IF($F757="",0,$F757)-IF($G757="",0,$G757))</f>
        <v/>
      </c>
      <c r="I757" s="12" t="n"/>
      <c r="J757" s="12" t="n"/>
      <c r="K757" s="12" t="n"/>
      <c r="L757" s="14" t="n"/>
      <c r="M757" s="12" t="n"/>
      <c r="N757" s="12" t="n"/>
      <c r="O757" s="12" t="n"/>
    </row>
    <row r="758">
      <c r="A758" s="12" t="n"/>
      <c r="B758" s="13">
        <f>IF($A758="","",IFERROR(INDEX(Emp_Names,MATCH($A758,Emp_Codes,0)),"NOT FOUND"))</f>
        <v/>
      </c>
      <c r="C758" s="14" t="n"/>
      <c r="D758" s="15" t="n"/>
      <c r="E758" s="15" t="n"/>
      <c r="F758" s="15" t="n"/>
      <c r="G758" s="15" t="n"/>
      <c r="H758" s="16">
        <f>IF($A758="","",$D758+IF($E758="",0,$E758)+IF($F758="",0,$F758)-IF($G758="",0,$G758))</f>
        <v/>
      </c>
      <c r="I758" s="12" t="n"/>
      <c r="J758" s="12" t="n"/>
      <c r="K758" s="12" t="n"/>
      <c r="L758" s="14" t="n"/>
      <c r="M758" s="12" t="n"/>
      <c r="N758" s="12" t="n"/>
      <c r="O758" s="12" t="n"/>
    </row>
    <row r="759">
      <c r="A759" s="12" t="n"/>
      <c r="B759" s="13">
        <f>IF($A759="","",IFERROR(INDEX(Emp_Names,MATCH($A759,Emp_Codes,0)),"NOT FOUND"))</f>
        <v/>
      </c>
      <c r="C759" s="14" t="n"/>
      <c r="D759" s="15" t="n"/>
      <c r="E759" s="15" t="n"/>
      <c r="F759" s="15" t="n"/>
      <c r="G759" s="15" t="n"/>
      <c r="H759" s="16">
        <f>IF($A759="","",$D759+IF($E759="",0,$E759)+IF($F759="",0,$F759)-IF($G759="",0,$G759))</f>
        <v/>
      </c>
      <c r="I759" s="12" t="n"/>
      <c r="J759" s="12" t="n"/>
      <c r="K759" s="12" t="n"/>
      <c r="L759" s="14" t="n"/>
      <c r="M759" s="12" t="n"/>
      <c r="N759" s="12" t="n"/>
      <c r="O759" s="12" t="n"/>
    </row>
    <row r="760">
      <c r="A760" s="12" t="n"/>
      <c r="B760" s="13">
        <f>IF($A760="","",IFERROR(INDEX(Emp_Names,MATCH($A760,Emp_Codes,0)),"NOT FOUND"))</f>
        <v/>
      </c>
      <c r="C760" s="14" t="n"/>
      <c r="D760" s="15" t="n"/>
      <c r="E760" s="15" t="n"/>
      <c r="F760" s="15" t="n"/>
      <c r="G760" s="15" t="n"/>
      <c r="H760" s="16">
        <f>IF($A760="","",$D760+IF($E760="",0,$E760)+IF($F760="",0,$F760)-IF($G760="",0,$G760))</f>
        <v/>
      </c>
      <c r="I760" s="12" t="n"/>
      <c r="J760" s="12" t="n"/>
      <c r="K760" s="12" t="n"/>
      <c r="L760" s="14" t="n"/>
      <c r="M760" s="12" t="n"/>
      <c r="N760" s="12" t="n"/>
      <c r="O760" s="12" t="n"/>
    </row>
    <row r="761">
      <c r="A761" s="12" t="n"/>
      <c r="B761" s="13">
        <f>IF($A761="","",IFERROR(INDEX(Emp_Names,MATCH($A761,Emp_Codes,0)),"NOT FOUND"))</f>
        <v/>
      </c>
      <c r="C761" s="14" t="n"/>
      <c r="D761" s="15" t="n"/>
      <c r="E761" s="15" t="n"/>
      <c r="F761" s="15" t="n"/>
      <c r="G761" s="15" t="n"/>
      <c r="H761" s="16">
        <f>IF($A761="","",$D761+IF($E761="",0,$E761)+IF($F761="",0,$F761)-IF($G761="",0,$G761))</f>
        <v/>
      </c>
      <c r="I761" s="12" t="n"/>
      <c r="J761" s="12" t="n"/>
      <c r="K761" s="12" t="n"/>
      <c r="L761" s="14" t="n"/>
      <c r="M761" s="12" t="n"/>
      <c r="N761" s="12" t="n"/>
      <c r="O761" s="12" t="n"/>
    </row>
    <row r="762">
      <c r="A762" s="12" t="n"/>
      <c r="B762" s="13">
        <f>IF($A762="","",IFERROR(INDEX(Emp_Names,MATCH($A762,Emp_Codes,0)),"NOT FOUND"))</f>
        <v/>
      </c>
      <c r="C762" s="14" t="n"/>
      <c r="D762" s="15" t="n"/>
      <c r="E762" s="15" t="n"/>
      <c r="F762" s="15" t="n"/>
      <c r="G762" s="15" t="n"/>
      <c r="H762" s="16">
        <f>IF($A762="","",$D762+IF($E762="",0,$E762)+IF($F762="",0,$F762)-IF($G762="",0,$G762))</f>
        <v/>
      </c>
      <c r="I762" s="12" t="n"/>
      <c r="J762" s="12" t="n"/>
      <c r="K762" s="12" t="n"/>
      <c r="L762" s="14" t="n"/>
      <c r="M762" s="12" t="n"/>
      <c r="N762" s="12" t="n"/>
      <c r="O762" s="12" t="n"/>
    </row>
    <row r="763">
      <c r="A763" s="12" t="n"/>
      <c r="B763" s="13">
        <f>IF($A763="","",IFERROR(INDEX(Emp_Names,MATCH($A763,Emp_Codes,0)),"NOT FOUND"))</f>
        <v/>
      </c>
      <c r="C763" s="14" t="n"/>
      <c r="D763" s="15" t="n"/>
      <c r="E763" s="15" t="n"/>
      <c r="F763" s="15" t="n"/>
      <c r="G763" s="15" t="n"/>
      <c r="H763" s="16">
        <f>IF($A763="","",$D763+IF($E763="",0,$E763)+IF($F763="",0,$F763)-IF($G763="",0,$G763))</f>
        <v/>
      </c>
      <c r="I763" s="12" t="n"/>
      <c r="J763" s="12" t="n"/>
      <c r="K763" s="12" t="n"/>
      <c r="L763" s="14" t="n"/>
      <c r="M763" s="12" t="n"/>
      <c r="N763" s="12" t="n"/>
      <c r="O763" s="12" t="n"/>
    </row>
    <row r="764">
      <c r="A764" s="12" t="n"/>
      <c r="B764" s="13">
        <f>IF($A764="","",IFERROR(INDEX(Emp_Names,MATCH($A764,Emp_Codes,0)),"NOT FOUND"))</f>
        <v/>
      </c>
      <c r="C764" s="14" t="n"/>
      <c r="D764" s="15" t="n"/>
      <c r="E764" s="15" t="n"/>
      <c r="F764" s="15" t="n"/>
      <c r="G764" s="15" t="n"/>
      <c r="H764" s="16">
        <f>IF($A764="","",$D764+IF($E764="",0,$E764)+IF($F764="",0,$F764)-IF($G764="",0,$G764))</f>
        <v/>
      </c>
      <c r="I764" s="12" t="n"/>
      <c r="J764" s="12" t="n"/>
      <c r="K764" s="12" t="n"/>
      <c r="L764" s="14" t="n"/>
      <c r="M764" s="12" t="n"/>
      <c r="N764" s="12" t="n"/>
      <c r="O764" s="12" t="n"/>
    </row>
    <row r="765">
      <c r="A765" s="12" t="n"/>
      <c r="B765" s="13">
        <f>IF($A765="","",IFERROR(INDEX(Emp_Names,MATCH($A765,Emp_Codes,0)),"NOT FOUND"))</f>
        <v/>
      </c>
      <c r="C765" s="14" t="n"/>
      <c r="D765" s="15" t="n"/>
      <c r="E765" s="15" t="n"/>
      <c r="F765" s="15" t="n"/>
      <c r="G765" s="15" t="n"/>
      <c r="H765" s="16">
        <f>IF($A765="","",$D765+IF($E765="",0,$E765)+IF($F765="",0,$F765)-IF($G765="",0,$G765))</f>
        <v/>
      </c>
      <c r="I765" s="12" t="n"/>
      <c r="J765" s="12" t="n"/>
      <c r="K765" s="12" t="n"/>
      <c r="L765" s="14" t="n"/>
      <c r="M765" s="12" t="n"/>
      <c r="N765" s="12" t="n"/>
      <c r="O765" s="12" t="n"/>
    </row>
    <row r="766">
      <c r="A766" s="12" t="n"/>
      <c r="B766" s="13">
        <f>IF($A766="","",IFERROR(INDEX(Emp_Names,MATCH($A766,Emp_Codes,0)),"NOT FOUND"))</f>
        <v/>
      </c>
      <c r="C766" s="14" t="n"/>
      <c r="D766" s="15" t="n"/>
      <c r="E766" s="15" t="n"/>
      <c r="F766" s="15" t="n"/>
      <c r="G766" s="15" t="n"/>
      <c r="H766" s="16">
        <f>IF($A766="","",$D766+IF($E766="",0,$E766)+IF($F766="",0,$F766)-IF($G766="",0,$G766))</f>
        <v/>
      </c>
      <c r="I766" s="12" t="n"/>
      <c r="J766" s="12" t="n"/>
      <c r="K766" s="12" t="n"/>
      <c r="L766" s="14" t="n"/>
      <c r="M766" s="12" t="n"/>
      <c r="N766" s="12" t="n"/>
      <c r="O766" s="12" t="n"/>
    </row>
    <row r="767">
      <c r="A767" s="12" t="n"/>
      <c r="B767" s="13">
        <f>IF($A767="","",IFERROR(INDEX(Emp_Names,MATCH($A767,Emp_Codes,0)),"NOT FOUND"))</f>
        <v/>
      </c>
      <c r="C767" s="14" t="n"/>
      <c r="D767" s="15" t="n"/>
      <c r="E767" s="15" t="n"/>
      <c r="F767" s="15" t="n"/>
      <c r="G767" s="15" t="n"/>
      <c r="H767" s="16">
        <f>IF($A767="","",$D767+IF($E767="",0,$E767)+IF($F767="",0,$F767)-IF($G767="",0,$G767))</f>
        <v/>
      </c>
      <c r="I767" s="12" t="n"/>
      <c r="J767" s="12" t="n"/>
      <c r="K767" s="12" t="n"/>
      <c r="L767" s="14" t="n"/>
      <c r="M767" s="12" t="n"/>
      <c r="N767" s="12" t="n"/>
      <c r="O767" s="12" t="n"/>
    </row>
    <row r="768">
      <c r="A768" s="12" t="n"/>
      <c r="B768" s="13">
        <f>IF($A768="","",IFERROR(INDEX(Emp_Names,MATCH($A768,Emp_Codes,0)),"NOT FOUND"))</f>
        <v/>
      </c>
      <c r="C768" s="14" t="n"/>
      <c r="D768" s="15" t="n"/>
      <c r="E768" s="15" t="n"/>
      <c r="F768" s="15" t="n"/>
      <c r="G768" s="15" t="n"/>
      <c r="H768" s="16">
        <f>IF($A768="","",$D768+IF($E768="",0,$E768)+IF($F768="",0,$F768)-IF($G768="",0,$G768))</f>
        <v/>
      </c>
      <c r="I768" s="12" t="n"/>
      <c r="J768" s="12" t="n"/>
      <c r="K768" s="12" t="n"/>
      <c r="L768" s="14" t="n"/>
      <c r="M768" s="12" t="n"/>
      <c r="N768" s="12" t="n"/>
      <c r="O768" s="12" t="n"/>
    </row>
    <row r="769">
      <c r="A769" s="12" t="n"/>
      <c r="B769" s="13">
        <f>IF($A769="","",IFERROR(INDEX(Emp_Names,MATCH($A769,Emp_Codes,0)),"NOT FOUND"))</f>
        <v/>
      </c>
      <c r="C769" s="14" t="n"/>
      <c r="D769" s="15" t="n"/>
      <c r="E769" s="15" t="n"/>
      <c r="F769" s="15" t="n"/>
      <c r="G769" s="15" t="n"/>
      <c r="H769" s="16">
        <f>IF($A769="","",$D769+IF($E769="",0,$E769)+IF($F769="",0,$F769)-IF($G769="",0,$G769))</f>
        <v/>
      </c>
      <c r="I769" s="12" t="n"/>
      <c r="J769" s="12" t="n"/>
      <c r="K769" s="12" t="n"/>
      <c r="L769" s="14" t="n"/>
      <c r="M769" s="12" t="n"/>
      <c r="N769" s="12" t="n"/>
      <c r="O769" s="12" t="n"/>
    </row>
    <row r="770">
      <c r="A770" s="12" t="n"/>
      <c r="B770" s="13">
        <f>IF($A770="","",IFERROR(INDEX(Emp_Names,MATCH($A770,Emp_Codes,0)),"NOT FOUND"))</f>
        <v/>
      </c>
      <c r="C770" s="14" t="n"/>
      <c r="D770" s="15" t="n"/>
      <c r="E770" s="15" t="n"/>
      <c r="F770" s="15" t="n"/>
      <c r="G770" s="15" t="n"/>
      <c r="H770" s="16">
        <f>IF($A770="","",$D770+IF($E770="",0,$E770)+IF($F770="",0,$F770)-IF($G770="",0,$G770))</f>
        <v/>
      </c>
      <c r="I770" s="12" t="n"/>
      <c r="J770" s="12" t="n"/>
      <c r="K770" s="12" t="n"/>
      <c r="L770" s="14" t="n"/>
      <c r="M770" s="12" t="n"/>
      <c r="N770" s="12" t="n"/>
      <c r="O770" s="12" t="n"/>
    </row>
    <row r="771">
      <c r="A771" s="12" t="n"/>
      <c r="B771" s="13">
        <f>IF($A771="","",IFERROR(INDEX(Emp_Names,MATCH($A771,Emp_Codes,0)),"NOT FOUND"))</f>
        <v/>
      </c>
      <c r="C771" s="14" t="n"/>
      <c r="D771" s="15" t="n"/>
      <c r="E771" s="15" t="n"/>
      <c r="F771" s="15" t="n"/>
      <c r="G771" s="15" t="n"/>
      <c r="H771" s="16">
        <f>IF($A771="","",$D771+IF($E771="",0,$E771)+IF($F771="",0,$F771)-IF($G771="",0,$G771))</f>
        <v/>
      </c>
      <c r="I771" s="12" t="n"/>
      <c r="J771" s="12" t="n"/>
      <c r="K771" s="12" t="n"/>
      <c r="L771" s="14" t="n"/>
      <c r="M771" s="12" t="n"/>
      <c r="N771" s="12" t="n"/>
      <c r="O771" s="12" t="n"/>
    </row>
    <row r="772">
      <c r="A772" s="12" t="n"/>
      <c r="B772" s="13">
        <f>IF($A772="","",IFERROR(INDEX(Emp_Names,MATCH($A772,Emp_Codes,0)),"NOT FOUND"))</f>
        <v/>
      </c>
      <c r="C772" s="14" t="n"/>
      <c r="D772" s="15" t="n"/>
      <c r="E772" s="15" t="n"/>
      <c r="F772" s="15" t="n"/>
      <c r="G772" s="15" t="n"/>
      <c r="H772" s="16">
        <f>IF($A772="","",$D772+IF($E772="",0,$E772)+IF($F772="",0,$F772)-IF($G772="",0,$G772))</f>
        <v/>
      </c>
      <c r="I772" s="12" t="n"/>
      <c r="J772" s="12" t="n"/>
      <c r="K772" s="12" t="n"/>
      <c r="L772" s="14" t="n"/>
      <c r="M772" s="12" t="n"/>
      <c r="N772" s="12" t="n"/>
      <c r="O772" s="12" t="n"/>
    </row>
    <row r="773">
      <c r="A773" s="12" t="n"/>
      <c r="B773" s="13">
        <f>IF($A773="","",IFERROR(INDEX(Emp_Names,MATCH($A773,Emp_Codes,0)),"NOT FOUND"))</f>
        <v/>
      </c>
      <c r="C773" s="14" t="n"/>
      <c r="D773" s="15" t="n"/>
      <c r="E773" s="15" t="n"/>
      <c r="F773" s="15" t="n"/>
      <c r="G773" s="15" t="n"/>
      <c r="H773" s="16">
        <f>IF($A773="","",$D773+IF($E773="",0,$E773)+IF($F773="",0,$F773)-IF($G773="",0,$G773))</f>
        <v/>
      </c>
      <c r="I773" s="12" t="n"/>
      <c r="J773" s="12" t="n"/>
      <c r="K773" s="12" t="n"/>
      <c r="L773" s="14" t="n"/>
      <c r="M773" s="12" t="n"/>
      <c r="N773" s="12" t="n"/>
      <c r="O773" s="12" t="n"/>
    </row>
    <row r="774">
      <c r="A774" s="12" t="n"/>
      <c r="B774" s="13">
        <f>IF($A774="","",IFERROR(INDEX(Emp_Names,MATCH($A774,Emp_Codes,0)),"NOT FOUND"))</f>
        <v/>
      </c>
      <c r="C774" s="14" t="n"/>
      <c r="D774" s="15" t="n"/>
      <c r="E774" s="15" t="n"/>
      <c r="F774" s="15" t="n"/>
      <c r="G774" s="15" t="n"/>
      <c r="H774" s="16">
        <f>IF($A774="","",$D774+IF($E774="",0,$E774)+IF($F774="",0,$F774)-IF($G774="",0,$G774))</f>
        <v/>
      </c>
      <c r="I774" s="12" t="n"/>
      <c r="J774" s="12" t="n"/>
      <c r="K774" s="12" t="n"/>
      <c r="L774" s="14" t="n"/>
      <c r="M774" s="12" t="n"/>
      <c r="N774" s="12" t="n"/>
      <c r="O774" s="12" t="n"/>
    </row>
    <row r="775">
      <c r="A775" s="12" t="n"/>
      <c r="B775" s="13">
        <f>IF($A775="","",IFERROR(INDEX(Emp_Names,MATCH($A775,Emp_Codes,0)),"NOT FOUND"))</f>
        <v/>
      </c>
      <c r="C775" s="14" t="n"/>
      <c r="D775" s="15" t="n"/>
      <c r="E775" s="15" t="n"/>
      <c r="F775" s="15" t="n"/>
      <c r="G775" s="15" t="n"/>
      <c r="H775" s="16">
        <f>IF($A775="","",$D775+IF($E775="",0,$E775)+IF($F775="",0,$F775)-IF($G775="",0,$G775))</f>
        <v/>
      </c>
      <c r="I775" s="12" t="n"/>
      <c r="J775" s="12" t="n"/>
      <c r="K775" s="12" t="n"/>
      <c r="L775" s="14" t="n"/>
      <c r="M775" s="12" t="n"/>
      <c r="N775" s="12" t="n"/>
      <c r="O775" s="12" t="n"/>
    </row>
    <row r="776">
      <c r="A776" s="12" t="n"/>
      <c r="B776" s="13">
        <f>IF($A776="","",IFERROR(INDEX(Emp_Names,MATCH($A776,Emp_Codes,0)),"NOT FOUND"))</f>
        <v/>
      </c>
      <c r="C776" s="14" t="n"/>
      <c r="D776" s="15" t="n"/>
      <c r="E776" s="15" t="n"/>
      <c r="F776" s="15" t="n"/>
      <c r="G776" s="15" t="n"/>
      <c r="H776" s="16">
        <f>IF($A776="","",$D776+IF($E776="",0,$E776)+IF($F776="",0,$F776)-IF($G776="",0,$G776))</f>
        <v/>
      </c>
      <c r="I776" s="12" t="n"/>
      <c r="J776" s="12" t="n"/>
      <c r="K776" s="12" t="n"/>
      <c r="L776" s="14" t="n"/>
      <c r="M776" s="12" t="n"/>
      <c r="N776" s="12" t="n"/>
      <c r="O776" s="12" t="n"/>
    </row>
    <row r="777">
      <c r="A777" s="12" t="n"/>
      <c r="B777" s="13">
        <f>IF($A777="","",IFERROR(INDEX(Emp_Names,MATCH($A777,Emp_Codes,0)),"NOT FOUND"))</f>
        <v/>
      </c>
      <c r="C777" s="14" t="n"/>
      <c r="D777" s="15" t="n"/>
      <c r="E777" s="15" t="n"/>
      <c r="F777" s="15" t="n"/>
      <c r="G777" s="15" t="n"/>
      <c r="H777" s="16">
        <f>IF($A777="","",$D777+IF($E777="",0,$E777)+IF($F777="",0,$F777)-IF($G777="",0,$G777))</f>
        <v/>
      </c>
      <c r="I777" s="12" t="n"/>
      <c r="J777" s="12" t="n"/>
      <c r="K777" s="12" t="n"/>
      <c r="L777" s="14" t="n"/>
      <c r="M777" s="12" t="n"/>
      <c r="N777" s="12" t="n"/>
      <c r="O777" s="12" t="n"/>
    </row>
    <row r="778">
      <c r="A778" s="12" t="n"/>
      <c r="B778" s="13">
        <f>IF($A778="","",IFERROR(INDEX(Emp_Names,MATCH($A778,Emp_Codes,0)),"NOT FOUND"))</f>
        <v/>
      </c>
      <c r="C778" s="14" t="n"/>
      <c r="D778" s="15" t="n"/>
      <c r="E778" s="15" t="n"/>
      <c r="F778" s="15" t="n"/>
      <c r="G778" s="15" t="n"/>
      <c r="H778" s="16">
        <f>IF($A778="","",$D778+IF($E778="",0,$E778)+IF($F778="",0,$F778)-IF($G778="",0,$G778))</f>
        <v/>
      </c>
      <c r="I778" s="12" t="n"/>
      <c r="J778" s="12" t="n"/>
      <c r="K778" s="12" t="n"/>
      <c r="L778" s="14" t="n"/>
      <c r="M778" s="12" t="n"/>
      <c r="N778" s="12" t="n"/>
      <c r="O778" s="12" t="n"/>
    </row>
    <row r="779">
      <c r="A779" s="12" t="n"/>
      <c r="B779" s="13">
        <f>IF($A779="","",IFERROR(INDEX(Emp_Names,MATCH($A779,Emp_Codes,0)),"NOT FOUND"))</f>
        <v/>
      </c>
      <c r="C779" s="14" t="n"/>
      <c r="D779" s="15" t="n"/>
      <c r="E779" s="15" t="n"/>
      <c r="F779" s="15" t="n"/>
      <c r="G779" s="15" t="n"/>
      <c r="H779" s="16">
        <f>IF($A779="","",$D779+IF($E779="",0,$E779)+IF($F779="",0,$F779)-IF($G779="",0,$G779))</f>
        <v/>
      </c>
      <c r="I779" s="12" t="n"/>
      <c r="J779" s="12" t="n"/>
      <c r="K779" s="12" t="n"/>
      <c r="L779" s="14" t="n"/>
      <c r="M779" s="12" t="n"/>
      <c r="N779" s="12" t="n"/>
      <c r="O779" s="12" t="n"/>
    </row>
    <row r="780">
      <c r="A780" s="12" t="n"/>
      <c r="B780" s="13">
        <f>IF($A780="","",IFERROR(INDEX(Emp_Names,MATCH($A780,Emp_Codes,0)),"NOT FOUND"))</f>
        <v/>
      </c>
      <c r="C780" s="14" t="n"/>
      <c r="D780" s="15" t="n"/>
      <c r="E780" s="15" t="n"/>
      <c r="F780" s="15" t="n"/>
      <c r="G780" s="15" t="n"/>
      <c r="H780" s="16">
        <f>IF($A780="","",$D780+IF($E780="",0,$E780)+IF($F780="",0,$F780)-IF($G780="",0,$G780))</f>
        <v/>
      </c>
      <c r="I780" s="12" t="n"/>
      <c r="J780" s="12" t="n"/>
      <c r="K780" s="12" t="n"/>
      <c r="L780" s="14" t="n"/>
      <c r="M780" s="12" t="n"/>
      <c r="N780" s="12" t="n"/>
      <c r="O780" s="12" t="n"/>
    </row>
    <row r="781">
      <c r="A781" s="12" t="n"/>
      <c r="B781" s="13">
        <f>IF($A781="","",IFERROR(INDEX(Emp_Names,MATCH($A781,Emp_Codes,0)),"NOT FOUND"))</f>
        <v/>
      </c>
      <c r="C781" s="14" t="n"/>
      <c r="D781" s="15" t="n"/>
      <c r="E781" s="15" t="n"/>
      <c r="F781" s="15" t="n"/>
      <c r="G781" s="15" t="n"/>
      <c r="H781" s="16">
        <f>IF($A781="","",$D781+IF($E781="",0,$E781)+IF($F781="",0,$F781)-IF($G781="",0,$G781))</f>
        <v/>
      </c>
      <c r="I781" s="12" t="n"/>
      <c r="J781" s="12" t="n"/>
      <c r="K781" s="12" t="n"/>
      <c r="L781" s="14" t="n"/>
      <c r="M781" s="12" t="n"/>
      <c r="N781" s="12" t="n"/>
      <c r="O781" s="12" t="n"/>
    </row>
    <row r="782">
      <c r="A782" s="12" t="n"/>
      <c r="B782" s="13">
        <f>IF($A782="","",IFERROR(INDEX(Emp_Names,MATCH($A782,Emp_Codes,0)),"NOT FOUND"))</f>
        <v/>
      </c>
      <c r="C782" s="14" t="n"/>
      <c r="D782" s="15" t="n"/>
      <c r="E782" s="15" t="n"/>
      <c r="F782" s="15" t="n"/>
      <c r="G782" s="15" t="n"/>
      <c r="H782" s="16">
        <f>IF($A782="","",$D782+IF($E782="",0,$E782)+IF($F782="",0,$F782)-IF($G782="",0,$G782))</f>
        <v/>
      </c>
      <c r="I782" s="12" t="n"/>
      <c r="J782" s="12" t="n"/>
      <c r="K782" s="12" t="n"/>
      <c r="L782" s="14" t="n"/>
      <c r="M782" s="12" t="n"/>
      <c r="N782" s="12" t="n"/>
      <c r="O782" s="12" t="n"/>
    </row>
    <row r="783">
      <c r="A783" s="12" t="n"/>
      <c r="B783" s="13">
        <f>IF($A783="","",IFERROR(INDEX(Emp_Names,MATCH($A783,Emp_Codes,0)),"NOT FOUND"))</f>
        <v/>
      </c>
      <c r="C783" s="14" t="n"/>
      <c r="D783" s="15" t="n"/>
      <c r="E783" s="15" t="n"/>
      <c r="F783" s="15" t="n"/>
      <c r="G783" s="15" t="n"/>
      <c r="H783" s="16">
        <f>IF($A783="","",$D783+IF($E783="",0,$E783)+IF($F783="",0,$F783)-IF($G783="",0,$G783))</f>
        <v/>
      </c>
      <c r="I783" s="12" t="n"/>
      <c r="J783" s="12" t="n"/>
      <c r="K783" s="12" t="n"/>
      <c r="L783" s="14" t="n"/>
      <c r="M783" s="12" t="n"/>
      <c r="N783" s="12" t="n"/>
      <c r="O783" s="12" t="n"/>
    </row>
    <row r="784">
      <c r="A784" s="12" t="n"/>
      <c r="B784" s="13">
        <f>IF($A784="","",IFERROR(INDEX(Emp_Names,MATCH($A784,Emp_Codes,0)),"NOT FOUND"))</f>
        <v/>
      </c>
      <c r="C784" s="14" t="n"/>
      <c r="D784" s="15" t="n"/>
      <c r="E784" s="15" t="n"/>
      <c r="F784" s="15" t="n"/>
      <c r="G784" s="15" t="n"/>
      <c r="H784" s="16">
        <f>IF($A784="","",$D784+IF($E784="",0,$E784)+IF($F784="",0,$F784)-IF($G784="",0,$G784))</f>
        <v/>
      </c>
      <c r="I784" s="12" t="n"/>
      <c r="J784" s="12" t="n"/>
      <c r="K784" s="12" t="n"/>
      <c r="L784" s="14" t="n"/>
      <c r="M784" s="12" t="n"/>
      <c r="N784" s="12" t="n"/>
      <c r="O784" s="12" t="n"/>
    </row>
    <row r="785">
      <c r="A785" s="12" t="n"/>
      <c r="B785" s="13">
        <f>IF($A785="","",IFERROR(INDEX(Emp_Names,MATCH($A785,Emp_Codes,0)),"NOT FOUND"))</f>
        <v/>
      </c>
      <c r="C785" s="14" t="n"/>
      <c r="D785" s="15" t="n"/>
      <c r="E785" s="15" t="n"/>
      <c r="F785" s="15" t="n"/>
      <c r="G785" s="15" t="n"/>
      <c r="H785" s="16">
        <f>IF($A785="","",$D785+IF($E785="",0,$E785)+IF($F785="",0,$F785)-IF($G785="",0,$G785))</f>
        <v/>
      </c>
      <c r="I785" s="12" t="n"/>
      <c r="J785" s="12" t="n"/>
      <c r="K785" s="12" t="n"/>
      <c r="L785" s="14" t="n"/>
      <c r="M785" s="12" t="n"/>
      <c r="N785" s="12" t="n"/>
      <c r="O785" s="12" t="n"/>
    </row>
    <row r="786">
      <c r="A786" s="12" t="n"/>
      <c r="B786" s="13">
        <f>IF($A786="","",IFERROR(INDEX(Emp_Names,MATCH($A786,Emp_Codes,0)),"NOT FOUND"))</f>
        <v/>
      </c>
      <c r="C786" s="14" t="n"/>
      <c r="D786" s="15" t="n"/>
      <c r="E786" s="15" t="n"/>
      <c r="F786" s="15" t="n"/>
      <c r="G786" s="15" t="n"/>
      <c r="H786" s="16">
        <f>IF($A786="","",$D786+IF($E786="",0,$E786)+IF($F786="",0,$F786)-IF($G786="",0,$G786))</f>
        <v/>
      </c>
      <c r="I786" s="12" t="n"/>
      <c r="J786" s="12" t="n"/>
      <c r="K786" s="12" t="n"/>
      <c r="L786" s="14" t="n"/>
      <c r="M786" s="12" t="n"/>
      <c r="N786" s="12" t="n"/>
      <c r="O786" s="12" t="n"/>
    </row>
    <row r="787">
      <c r="A787" s="12" t="n"/>
      <c r="B787" s="13">
        <f>IF($A787="","",IFERROR(INDEX(Emp_Names,MATCH($A787,Emp_Codes,0)),"NOT FOUND"))</f>
        <v/>
      </c>
      <c r="C787" s="14" t="n"/>
      <c r="D787" s="15" t="n"/>
      <c r="E787" s="15" t="n"/>
      <c r="F787" s="15" t="n"/>
      <c r="G787" s="15" t="n"/>
      <c r="H787" s="16">
        <f>IF($A787="","",$D787+IF($E787="",0,$E787)+IF($F787="",0,$F787)-IF($G787="",0,$G787))</f>
        <v/>
      </c>
      <c r="I787" s="12" t="n"/>
      <c r="J787" s="12" t="n"/>
      <c r="K787" s="12" t="n"/>
      <c r="L787" s="14" t="n"/>
      <c r="M787" s="12" t="n"/>
      <c r="N787" s="12" t="n"/>
      <c r="O787" s="12" t="n"/>
    </row>
    <row r="788">
      <c r="A788" s="12" t="n"/>
      <c r="B788" s="13">
        <f>IF($A788="","",IFERROR(INDEX(Emp_Names,MATCH($A788,Emp_Codes,0)),"NOT FOUND"))</f>
        <v/>
      </c>
      <c r="C788" s="14" t="n"/>
      <c r="D788" s="15" t="n"/>
      <c r="E788" s="15" t="n"/>
      <c r="F788" s="15" t="n"/>
      <c r="G788" s="15" t="n"/>
      <c r="H788" s="16">
        <f>IF($A788="","",$D788+IF($E788="",0,$E788)+IF($F788="",0,$F788)-IF($G788="",0,$G788))</f>
        <v/>
      </c>
      <c r="I788" s="12" t="n"/>
      <c r="J788" s="12" t="n"/>
      <c r="K788" s="12" t="n"/>
      <c r="L788" s="14" t="n"/>
      <c r="M788" s="12" t="n"/>
      <c r="N788" s="12" t="n"/>
      <c r="O788" s="12" t="n"/>
    </row>
    <row r="789">
      <c r="A789" s="12" t="n"/>
      <c r="B789" s="13">
        <f>IF($A789="","",IFERROR(INDEX(Emp_Names,MATCH($A789,Emp_Codes,0)),"NOT FOUND"))</f>
        <v/>
      </c>
      <c r="C789" s="14" t="n"/>
      <c r="D789" s="15" t="n"/>
      <c r="E789" s="15" t="n"/>
      <c r="F789" s="15" t="n"/>
      <c r="G789" s="15" t="n"/>
      <c r="H789" s="16">
        <f>IF($A789="","",$D789+IF($E789="",0,$E789)+IF($F789="",0,$F789)-IF($G789="",0,$G789))</f>
        <v/>
      </c>
      <c r="I789" s="12" t="n"/>
      <c r="J789" s="12" t="n"/>
      <c r="K789" s="12" t="n"/>
      <c r="L789" s="14" t="n"/>
      <c r="M789" s="12" t="n"/>
      <c r="N789" s="12" t="n"/>
      <c r="O789" s="12" t="n"/>
    </row>
    <row r="790">
      <c r="A790" s="12" t="n"/>
      <c r="B790" s="13">
        <f>IF($A790="","",IFERROR(INDEX(Emp_Names,MATCH($A790,Emp_Codes,0)),"NOT FOUND"))</f>
        <v/>
      </c>
      <c r="C790" s="14" t="n"/>
      <c r="D790" s="15" t="n"/>
      <c r="E790" s="15" t="n"/>
      <c r="F790" s="15" t="n"/>
      <c r="G790" s="15" t="n"/>
      <c r="H790" s="16">
        <f>IF($A790="","",$D790+IF($E790="",0,$E790)+IF($F790="",0,$F790)-IF($G790="",0,$G790))</f>
        <v/>
      </c>
      <c r="I790" s="12" t="n"/>
      <c r="J790" s="12" t="n"/>
      <c r="K790" s="12" t="n"/>
      <c r="L790" s="14" t="n"/>
      <c r="M790" s="12" t="n"/>
      <c r="N790" s="12" t="n"/>
      <c r="O790" s="12" t="n"/>
    </row>
    <row r="791">
      <c r="A791" s="12" t="n"/>
      <c r="B791" s="13">
        <f>IF($A791="","",IFERROR(INDEX(Emp_Names,MATCH($A791,Emp_Codes,0)),"NOT FOUND"))</f>
        <v/>
      </c>
      <c r="C791" s="14" t="n"/>
      <c r="D791" s="15" t="n"/>
      <c r="E791" s="15" t="n"/>
      <c r="F791" s="15" t="n"/>
      <c r="G791" s="15" t="n"/>
      <c r="H791" s="16">
        <f>IF($A791="","",$D791+IF($E791="",0,$E791)+IF($F791="",0,$F791)-IF($G791="",0,$G791))</f>
        <v/>
      </c>
      <c r="I791" s="12" t="n"/>
      <c r="J791" s="12" t="n"/>
      <c r="K791" s="12" t="n"/>
      <c r="L791" s="14" t="n"/>
      <c r="M791" s="12" t="n"/>
      <c r="N791" s="12" t="n"/>
      <c r="O791" s="12" t="n"/>
    </row>
    <row r="792">
      <c r="A792" s="12" t="n"/>
      <c r="B792" s="13">
        <f>IF($A792="","",IFERROR(INDEX(Emp_Names,MATCH($A792,Emp_Codes,0)),"NOT FOUND"))</f>
        <v/>
      </c>
      <c r="C792" s="14" t="n"/>
      <c r="D792" s="15" t="n"/>
      <c r="E792" s="15" t="n"/>
      <c r="F792" s="15" t="n"/>
      <c r="G792" s="15" t="n"/>
      <c r="H792" s="16">
        <f>IF($A792="","",$D792+IF($E792="",0,$E792)+IF($F792="",0,$F792)-IF($G792="",0,$G792))</f>
        <v/>
      </c>
      <c r="I792" s="12" t="n"/>
      <c r="J792" s="12" t="n"/>
      <c r="K792" s="12" t="n"/>
      <c r="L792" s="14" t="n"/>
      <c r="M792" s="12" t="n"/>
      <c r="N792" s="12" t="n"/>
      <c r="O792" s="12" t="n"/>
    </row>
    <row r="793">
      <c r="A793" s="12" t="n"/>
      <c r="B793" s="13">
        <f>IF($A793="","",IFERROR(INDEX(Emp_Names,MATCH($A793,Emp_Codes,0)),"NOT FOUND"))</f>
        <v/>
      </c>
      <c r="C793" s="14" t="n"/>
      <c r="D793" s="15" t="n"/>
      <c r="E793" s="15" t="n"/>
      <c r="F793" s="15" t="n"/>
      <c r="G793" s="15" t="n"/>
      <c r="H793" s="16">
        <f>IF($A793="","",$D793+IF($E793="",0,$E793)+IF($F793="",0,$F793)-IF($G793="",0,$G793))</f>
        <v/>
      </c>
      <c r="I793" s="12" t="n"/>
      <c r="J793" s="12" t="n"/>
      <c r="K793" s="12" t="n"/>
      <c r="L793" s="14" t="n"/>
      <c r="M793" s="12" t="n"/>
      <c r="N793" s="12" t="n"/>
      <c r="O793" s="12" t="n"/>
    </row>
    <row r="794">
      <c r="A794" s="12" t="n"/>
      <c r="B794" s="13">
        <f>IF($A794="","",IFERROR(INDEX(Emp_Names,MATCH($A794,Emp_Codes,0)),"NOT FOUND"))</f>
        <v/>
      </c>
      <c r="C794" s="14" t="n"/>
      <c r="D794" s="15" t="n"/>
      <c r="E794" s="15" t="n"/>
      <c r="F794" s="15" t="n"/>
      <c r="G794" s="15" t="n"/>
      <c r="H794" s="16">
        <f>IF($A794="","",$D794+IF($E794="",0,$E794)+IF($F794="",0,$F794)-IF($G794="",0,$G794))</f>
        <v/>
      </c>
      <c r="I794" s="12" t="n"/>
      <c r="J794" s="12" t="n"/>
      <c r="K794" s="12" t="n"/>
      <c r="L794" s="14" t="n"/>
      <c r="M794" s="12" t="n"/>
      <c r="N794" s="12" t="n"/>
      <c r="O794" s="12" t="n"/>
    </row>
    <row r="795">
      <c r="A795" s="12" t="n"/>
      <c r="B795" s="13">
        <f>IF($A795="","",IFERROR(INDEX(Emp_Names,MATCH($A795,Emp_Codes,0)),"NOT FOUND"))</f>
        <v/>
      </c>
      <c r="C795" s="14" t="n"/>
      <c r="D795" s="15" t="n"/>
      <c r="E795" s="15" t="n"/>
      <c r="F795" s="15" t="n"/>
      <c r="G795" s="15" t="n"/>
      <c r="H795" s="16">
        <f>IF($A795="","",$D795+IF($E795="",0,$E795)+IF($F795="",0,$F795)-IF($G795="",0,$G795))</f>
        <v/>
      </c>
      <c r="I795" s="12" t="n"/>
      <c r="J795" s="12" t="n"/>
      <c r="K795" s="12" t="n"/>
      <c r="L795" s="14" t="n"/>
      <c r="M795" s="12" t="n"/>
      <c r="N795" s="12" t="n"/>
      <c r="O795" s="12" t="n"/>
    </row>
    <row r="796">
      <c r="A796" s="12" t="n"/>
      <c r="B796" s="13">
        <f>IF($A796="","",IFERROR(INDEX(Emp_Names,MATCH($A796,Emp_Codes,0)),"NOT FOUND"))</f>
        <v/>
      </c>
      <c r="C796" s="14" t="n"/>
      <c r="D796" s="15" t="n"/>
      <c r="E796" s="15" t="n"/>
      <c r="F796" s="15" t="n"/>
      <c r="G796" s="15" t="n"/>
      <c r="H796" s="16">
        <f>IF($A796="","",$D796+IF($E796="",0,$E796)+IF($F796="",0,$F796)-IF($G796="",0,$G796))</f>
        <v/>
      </c>
      <c r="I796" s="12" t="n"/>
      <c r="J796" s="12" t="n"/>
      <c r="K796" s="12" t="n"/>
      <c r="L796" s="14" t="n"/>
      <c r="M796" s="12" t="n"/>
      <c r="N796" s="12" t="n"/>
      <c r="O796" s="12" t="n"/>
    </row>
    <row r="797">
      <c r="A797" s="12" t="n"/>
      <c r="B797" s="13">
        <f>IF($A797="","",IFERROR(INDEX(Emp_Names,MATCH($A797,Emp_Codes,0)),"NOT FOUND"))</f>
        <v/>
      </c>
      <c r="C797" s="14" t="n"/>
      <c r="D797" s="15" t="n"/>
      <c r="E797" s="15" t="n"/>
      <c r="F797" s="15" t="n"/>
      <c r="G797" s="15" t="n"/>
      <c r="H797" s="16">
        <f>IF($A797="","",$D797+IF($E797="",0,$E797)+IF($F797="",0,$F797)-IF($G797="",0,$G797))</f>
        <v/>
      </c>
      <c r="I797" s="12" t="n"/>
      <c r="J797" s="12" t="n"/>
      <c r="K797" s="12" t="n"/>
      <c r="L797" s="14" t="n"/>
      <c r="M797" s="12" t="n"/>
      <c r="N797" s="12" t="n"/>
      <c r="O797" s="12" t="n"/>
    </row>
    <row r="798">
      <c r="A798" s="12" t="n"/>
      <c r="B798" s="13">
        <f>IF($A798="","",IFERROR(INDEX(Emp_Names,MATCH($A798,Emp_Codes,0)),"NOT FOUND"))</f>
        <v/>
      </c>
      <c r="C798" s="14" t="n"/>
      <c r="D798" s="15" t="n"/>
      <c r="E798" s="15" t="n"/>
      <c r="F798" s="15" t="n"/>
      <c r="G798" s="15" t="n"/>
      <c r="H798" s="16">
        <f>IF($A798="","",$D798+IF($E798="",0,$E798)+IF($F798="",0,$F798)-IF($G798="",0,$G798))</f>
        <v/>
      </c>
      <c r="I798" s="12" t="n"/>
      <c r="J798" s="12" t="n"/>
      <c r="K798" s="12" t="n"/>
      <c r="L798" s="14" t="n"/>
      <c r="M798" s="12" t="n"/>
      <c r="N798" s="12" t="n"/>
      <c r="O798" s="12" t="n"/>
    </row>
    <row r="799">
      <c r="A799" s="12" t="n"/>
      <c r="B799" s="13">
        <f>IF($A799="","",IFERROR(INDEX(Emp_Names,MATCH($A799,Emp_Codes,0)),"NOT FOUND"))</f>
        <v/>
      </c>
      <c r="C799" s="14" t="n"/>
      <c r="D799" s="15" t="n"/>
      <c r="E799" s="15" t="n"/>
      <c r="F799" s="15" t="n"/>
      <c r="G799" s="15" t="n"/>
      <c r="H799" s="16">
        <f>IF($A799="","",$D799+IF($E799="",0,$E799)+IF($F799="",0,$F799)-IF($G799="",0,$G799))</f>
        <v/>
      </c>
      <c r="I799" s="12" t="n"/>
      <c r="J799" s="12" t="n"/>
      <c r="K799" s="12" t="n"/>
      <c r="L799" s="14" t="n"/>
      <c r="M799" s="12" t="n"/>
      <c r="N799" s="12" t="n"/>
      <c r="O799" s="12" t="n"/>
    </row>
    <row r="800">
      <c r="A800" s="12" t="n"/>
      <c r="B800" s="13">
        <f>IF($A800="","",IFERROR(INDEX(Emp_Names,MATCH($A800,Emp_Codes,0)),"NOT FOUND"))</f>
        <v/>
      </c>
      <c r="C800" s="14" t="n"/>
      <c r="D800" s="15" t="n"/>
      <c r="E800" s="15" t="n"/>
      <c r="F800" s="15" t="n"/>
      <c r="G800" s="15" t="n"/>
      <c r="H800" s="16">
        <f>IF($A800="","",$D800+IF($E800="",0,$E800)+IF($F800="",0,$F800)-IF($G800="",0,$G800))</f>
        <v/>
      </c>
      <c r="I800" s="12" t="n"/>
      <c r="J800" s="12" t="n"/>
      <c r="K800" s="12" t="n"/>
      <c r="L800" s="14" t="n"/>
      <c r="M800" s="12" t="n"/>
      <c r="N800" s="12" t="n"/>
      <c r="O800" s="12" t="n"/>
    </row>
    <row r="801">
      <c r="A801" s="12" t="n"/>
      <c r="B801" s="13">
        <f>IF($A801="","",IFERROR(INDEX(Emp_Names,MATCH($A801,Emp_Codes,0)),"NOT FOUND"))</f>
        <v/>
      </c>
      <c r="C801" s="14" t="n"/>
      <c r="D801" s="15" t="n"/>
      <c r="E801" s="15" t="n"/>
      <c r="F801" s="15" t="n"/>
      <c r="G801" s="15" t="n"/>
      <c r="H801" s="16">
        <f>IF($A801="","",$D801+IF($E801="",0,$E801)+IF($F801="",0,$F801)-IF($G801="",0,$G801))</f>
        <v/>
      </c>
      <c r="I801" s="12" t="n"/>
      <c r="J801" s="12" t="n"/>
      <c r="K801" s="12" t="n"/>
      <c r="L801" s="14" t="n"/>
      <c r="M801" s="12" t="n"/>
      <c r="N801" s="12" t="n"/>
      <c r="O801" s="12" t="n"/>
    </row>
    <row r="802">
      <c r="A802" s="12" t="n"/>
      <c r="B802" s="13">
        <f>IF($A802="","",IFERROR(INDEX(Emp_Names,MATCH($A802,Emp_Codes,0)),"NOT FOUND"))</f>
        <v/>
      </c>
      <c r="C802" s="14" t="n"/>
      <c r="D802" s="15" t="n"/>
      <c r="E802" s="15" t="n"/>
      <c r="F802" s="15" t="n"/>
      <c r="G802" s="15" t="n"/>
      <c r="H802" s="16">
        <f>IF($A802="","",$D802+IF($E802="",0,$E802)+IF($F802="",0,$F802)-IF($G802="",0,$G802))</f>
        <v/>
      </c>
      <c r="I802" s="12" t="n"/>
      <c r="J802" s="12" t="n"/>
      <c r="K802" s="12" t="n"/>
      <c r="L802" s="14" t="n"/>
      <c r="M802" s="12" t="n"/>
      <c r="N802" s="12" t="n"/>
      <c r="O802" s="12" t="n"/>
    </row>
    <row r="803">
      <c r="A803" s="12" t="n"/>
      <c r="B803" s="13">
        <f>IF($A803="","",IFERROR(INDEX(Emp_Names,MATCH($A803,Emp_Codes,0)),"NOT FOUND"))</f>
        <v/>
      </c>
      <c r="C803" s="14" t="n"/>
      <c r="D803" s="15" t="n"/>
      <c r="E803" s="15" t="n"/>
      <c r="F803" s="15" t="n"/>
      <c r="G803" s="15" t="n"/>
      <c r="H803" s="16">
        <f>IF($A803="","",$D803+IF($E803="",0,$E803)+IF($F803="",0,$F803)-IF($G803="",0,$G803))</f>
        <v/>
      </c>
      <c r="I803" s="12" t="n"/>
      <c r="J803" s="12" t="n"/>
      <c r="K803" s="12" t="n"/>
      <c r="L803" s="14" t="n"/>
      <c r="M803" s="12" t="n"/>
      <c r="N803" s="12" t="n"/>
      <c r="O803" s="12" t="n"/>
    </row>
    <row r="804">
      <c r="A804" s="12" t="n"/>
      <c r="B804" s="13">
        <f>IF($A804="","",IFERROR(INDEX(Emp_Names,MATCH($A804,Emp_Codes,0)),"NOT FOUND"))</f>
        <v/>
      </c>
      <c r="C804" s="14" t="n"/>
      <c r="D804" s="15" t="n"/>
      <c r="E804" s="15" t="n"/>
      <c r="F804" s="15" t="n"/>
      <c r="G804" s="15" t="n"/>
      <c r="H804" s="16">
        <f>IF($A804="","",$D804+IF($E804="",0,$E804)+IF($F804="",0,$F804)-IF($G804="",0,$G804))</f>
        <v/>
      </c>
      <c r="I804" s="12" t="n"/>
      <c r="J804" s="12" t="n"/>
      <c r="K804" s="12" t="n"/>
      <c r="L804" s="14" t="n"/>
      <c r="M804" s="12" t="n"/>
      <c r="N804" s="12" t="n"/>
      <c r="O804" s="12" t="n"/>
    </row>
    <row r="805">
      <c r="A805" s="12" t="n"/>
      <c r="B805" s="13">
        <f>IF($A805="","",IFERROR(INDEX(Emp_Names,MATCH($A805,Emp_Codes,0)),"NOT FOUND"))</f>
        <v/>
      </c>
      <c r="C805" s="14" t="n"/>
      <c r="D805" s="15" t="n"/>
      <c r="E805" s="15" t="n"/>
      <c r="F805" s="15" t="n"/>
      <c r="G805" s="15" t="n"/>
      <c r="H805" s="16">
        <f>IF($A805="","",$D805+IF($E805="",0,$E805)+IF($F805="",0,$F805)-IF($G805="",0,$G805))</f>
        <v/>
      </c>
      <c r="I805" s="12" t="n"/>
      <c r="J805" s="12" t="n"/>
      <c r="K805" s="12" t="n"/>
      <c r="L805" s="14" t="n"/>
      <c r="M805" s="12" t="n"/>
      <c r="N805" s="12" t="n"/>
      <c r="O805" s="12" t="n"/>
    </row>
    <row r="806">
      <c r="A806" s="12" t="n"/>
      <c r="B806" s="13">
        <f>IF($A806="","",IFERROR(INDEX(Emp_Names,MATCH($A806,Emp_Codes,0)),"NOT FOUND"))</f>
        <v/>
      </c>
      <c r="C806" s="14" t="n"/>
      <c r="D806" s="15" t="n"/>
      <c r="E806" s="15" t="n"/>
      <c r="F806" s="15" t="n"/>
      <c r="G806" s="15" t="n"/>
      <c r="H806" s="16">
        <f>IF($A806="","",$D806+IF($E806="",0,$E806)+IF($F806="",0,$F806)-IF($G806="",0,$G806))</f>
        <v/>
      </c>
      <c r="I806" s="12" t="n"/>
      <c r="J806" s="12" t="n"/>
      <c r="K806" s="12" t="n"/>
      <c r="L806" s="14" t="n"/>
      <c r="M806" s="12" t="n"/>
      <c r="N806" s="12" t="n"/>
      <c r="O806" s="12" t="n"/>
    </row>
    <row r="807">
      <c r="A807" s="12" t="n"/>
      <c r="B807" s="13">
        <f>IF($A807="","",IFERROR(INDEX(Emp_Names,MATCH($A807,Emp_Codes,0)),"NOT FOUND"))</f>
        <v/>
      </c>
      <c r="C807" s="14" t="n"/>
      <c r="D807" s="15" t="n"/>
      <c r="E807" s="15" t="n"/>
      <c r="F807" s="15" t="n"/>
      <c r="G807" s="15" t="n"/>
      <c r="H807" s="16">
        <f>IF($A807="","",$D807+IF($E807="",0,$E807)+IF($F807="",0,$F807)-IF($G807="",0,$G807))</f>
        <v/>
      </c>
      <c r="I807" s="12" t="n"/>
      <c r="J807" s="12" t="n"/>
      <c r="K807" s="12" t="n"/>
      <c r="L807" s="14" t="n"/>
      <c r="M807" s="12" t="n"/>
      <c r="N807" s="12" t="n"/>
      <c r="O807" s="12" t="n"/>
    </row>
    <row r="808">
      <c r="A808" s="12" t="n"/>
      <c r="B808" s="13">
        <f>IF($A808="","",IFERROR(INDEX(Emp_Names,MATCH($A808,Emp_Codes,0)),"NOT FOUND"))</f>
        <v/>
      </c>
      <c r="C808" s="14" t="n"/>
      <c r="D808" s="15" t="n"/>
      <c r="E808" s="15" t="n"/>
      <c r="F808" s="15" t="n"/>
      <c r="G808" s="15" t="n"/>
      <c r="H808" s="16">
        <f>IF($A808="","",$D808+IF($E808="",0,$E808)+IF($F808="",0,$F808)-IF($G808="",0,$G808))</f>
        <v/>
      </c>
      <c r="I808" s="12" t="n"/>
      <c r="J808" s="12" t="n"/>
      <c r="K808" s="12" t="n"/>
      <c r="L808" s="14" t="n"/>
      <c r="M808" s="12" t="n"/>
      <c r="N808" s="12" t="n"/>
      <c r="O808" s="12" t="n"/>
    </row>
    <row r="809">
      <c r="A809" s="12" t="n"/>
      <c r="B809" s="13">
        <f>IF($A809="","",IFERROR(INDEX(Emp_Names,MATCH($A809,Emp_Codes,0)),"NOT FOUND"))</f>
        <v/>
      </c>
      <c r="C809" s="14" t="n"/>
      <c r="D809" s="15" t="n"/>
      <c r="E809" s="15" t="n"/>
      <c r="F809" s="15" t="n"/>
      <c r="G809" s="15" t="n"/>
      <c r="H809" s="16">
        <f>IF($A809="","",$D809+IF($E809="",0,$E809)+IF($F809="",0,$F809)-IF($G809="",0,$G809))</f>
        <v/>
      </c>
      <c r="I809" s="12" t="n"/>
      <c r="J809" s="12" t="n"/>
      <c r="K809" s="12" t="n"/>
      <c r="L809" s="14" t="n"/>
      <c r="M809" s="12" t="n"/>
      <c r="N809" s="12" t="n"/>
      <c r="O809" s="12" t="n"/>
    </row>
    <row r="810">
      <c r="A810" s="12" t="n"/>
      <c r="B810" s="13">
        <f>IF($A810="","",IFERROR(INDEX(Emp_Names,MATCH($A810,Emp_Codes,0)),"NOT FOUND"))</f>
        <v/>
      </c>
      <c r="C810" s="14" t="n"/>
      <c r="D810" s="15" t="n"/>
      <c r="E810" s="15" t="n"/>
      <c r="F810" s="15" t="n"/>
      <c r="G810" s="15" t="n"/>
      <c r="H810" s="16">
        <f>IF($A810="","",$D810+IF($E810="",0,$E810)+IF($F810="",0,$F810)-IF($G810="",0,$G810))</f>
        <v/>
      </c>
      <c r="I810" s="12" t="n"/>
      <c r="J810" s="12" t="n"/>
      <c r="K810" s="12" t="n"/>
      <c r="L810" s="14" t="n"/>
      <c r="M810" s="12" t="n"/>
      <c r="N810" s="12" t="n"/>
      <c r="O810" s="12" t="n"/>
    </row>
    <row r="811">
      <c r="A811" s="12" t="n"/>
      <c r="B811" s="13">
        <f>IF($A811="","",IFERROR(INDEX(Emp_Names,MATCH($A811,Emp_Codes,0)),"NOT FOUND"))</f>
        <v/>
      </c>
      <c r="C811" s="14" t="n"/>
      <c r="D811" s="15" t="n"/>
      <c r="E811" s="15" t="n"/>
      <c r="F811" s="15" t="n"/>
      <c r="G811" s="15" t="n"/>
      <c r="H811" s="16">
        <f>IF($A811="","",$D811+IF($E811="",0,$E811)+IF($F811="",0,$F811)-IF($G811="",0,$G811))</f>
        <v/>
      </c>
      <c r="I811" s="12" t="n"/>
      <c r="J811" s="12" t="n"/>
      <c r="K811" s="12" t="n"/>
      <c r="L811" s="14" t="n"/>
      <c r="M811" s="12" t="n"/>
      <c r="N811" s="12" t="n"/>
      <c r="O811" s="12" t="n"/>
    </row>
    <row r="812">
      <c r="A812" s="12" t="n"/>
      <c r="B812" s="13">
        <f>IF($A812="","",IFERROR(INDEX(Emp_Names,MATCH($A812,Emp_Codes,0)),"NOT FOUND"))</f>
        <v/>
      </c>
      <c r="C812" s="14" t="n"/>
      <c r="D812" s="15" t="n"/>
      <c r="E812" s="15" t="n"/>
      <c r="F812" s="15" t="n"/>
      <c r="G812" s="15" t="n"/>
      <c r="H812" s="16">
        <f>IF($A812="","",$D812+IF($E812="",0,$E812)+IF($F812="",0,$F812)-IF($G812="",0,$G812))</f>
        <v/>
      </c>
      <c r="I812" s="12" t="n"/>
      <c r="J812" s="12" t="n"/>
      <c r="K812" s="12" t="n"/>
      <c r="L812" s="14" t="n"/>
      <c r="M812" s="12" t="n"/>
      <c r="N812" s="12" t="n"/>
      <c r="O812" s="12" t="n"/>
    </row>
    <row r="813">
      <c r="A813" s="12" t="n"/>
      <c r="B813" s="13">
        <f>IF($A813="","",IFERROR(INDEX(Emp_Names,MATCH($A813,Emp_Codes,0)),"NOT FOUND"))</f>
        <v/>
      </c>
      <c r="C813" s="14" t="n"/>
      <c r="D813" s="15" t="n"/>
      <c r="E813" s="15" t="n"/>
      <c r="F813" s="15" t="n"/>
      <c r="G813" s="15" t="n"/>
      <c r="H813" s="16">
        <f>IF($A813="","",$D813+IF($E813="",0,$E813)+IF($F813="",0,$F813)-IF($G813="",0,$G813))</f>
        <v/>
      </c>
      <c r="I813" s="12" t="n"/>
      <c r="J813" s="12" t="n"/>
      <c r="K813" s="12" t="n"/>
      <c r="L813" s="14" t="n"/>
      <c r="M813" s="12" t="n"/>
      <c r="N813" s="12" t="n"/>
      <c r="O813" s="12" t="n"/>
    </row>
    <row r="814">
      <c r="A814" s="12" t="n"/>
      <c r="B814" s="13">
        <f>IF($A814="","",IFERROR(INDEX(Emp_Names,MATCH($A814,Emp_Codes,0)),"NOT FOUND"))</f>
        <v/>
      </c>
      <c r="C814" s="14" t="n"/>
      <c r="D814" s="15" t="n"/>
      <c r="E814" s="15" t="n"/>
      <c r="F814" s="15" t="n"/>
      <c r="G814" s="15" t="n"/>
      <c r="H814" s="16">
        <f>IF($A814="","",$D814+IF($E814="",0,$E814)+IF($F814="",0,$F814)-IF($G814="",0,$G814))</f>
        <v/>
      </c>
      <c r="I814" s="12" t="n"/>
      <c r="J814" s="12" t="n"/>
      <c r="K814" s="12" t="n"/>
      <c r="L814" s="14" t="n"/>
      <c r="M814" s="12" t="n"/>
      <c r="N814" s="12" t="n"/>
      <c r="O814" s="12" t="n"/>
    </row>
    <row r="815">
      <c r="A815" s="12" t="n"/>
      <c r="B815" s="13">
        <f>IF($A815="","",IFERROR(INDEX(Emp_Names,MATCH($A815,Emp_Codes,0)),"NOT FOUND"))</f>
        <v/>
      </c>
      <c r="C815" s="14" t="n"/>
      <c r="D815" s="15" t="n"/>
      <c r="E815" s="15" t="n"/>
      <c r="F815" s="15" t="n"/>
      <c r="G815" s="15" t="n"/>
      <c r="H815" s="16">
        <f>IF($A815="","",$D815+IF($E815="",0,$E815)+IF($F815="",0,$F815)-IF($G815="",0,$G815))</f>
        <v/>
      </c>
      <c r="I815" s="12" t="n"/>
      <c r="J815" s="12" t="n"/>
      <c r="K815" s="12" t="n"/>
      <c r="L815" s="14" t="n"/>
      <c r="M815" s="12" t="n"/>
      <c r="N815" s="12" t="n"/>
      <c r="O815" s="12" t="n"/>
    </row>
    <row r="816">
      <c r="A816" s="12" t="n"/>
      <c r="B816" s="13">
        <f>IF($A816="","",IFERROR(INDEX(Emp_Names,MATCH($A816,Emp_Codes,0)),"NOT FOUND"))</f>
        <v/>
      </c>
      <c r="C816" s="14" t="n"/>
      <c r="D816" s="15" t="n"/>
      <c r="E816" s="15" t="n"/>
      <c r="F816" s="15" t="n"/>
      <c r="G816" s="15" t="n"/>
      <c r="H816" s="16">
        <f>IF($A816="","",$D816+IF($E816="",0,$E816)+IF($F816="",0,$F816)-IF($G816="",0,$G816))</f>
        <v/>
      </c>
      <c r="I816" s="12" t="n"/>
      <c r="J816" s="12" t="n"/>
      <c r="K816" s="12" t="n"/>
      <c r="L816" s="14" t="n"/>
      <c r="M816" s="12" t="n"/>
      <c r="N816" s="12" t="n"/>
      <c r="O816" s="12" t="n"/>
    </row>
    <row r="817">
      <c r="A817" s="12" t="n"/>
      <c r="B817" s="13">
        <f>IF($A817="","",IFERROR(INDEX(Emp_Names,MATCH($A817,Emp_Codes,0)),"NOT FOUND"))</f>
        <v/>
      </c>
      <c r="C817" s="14" t="n"/>
      <c r="D817" s="15" t="n"/>
      <c r="E817" s="15" t="n"/>
      <c r="F817" s="15" t="n"/>
      <c r="G817" s="15" t="n"/>
      <c r="H817" s="16">
        <f>IF($A817="","",$D817+IF($E817="",0,$E817)+IF($F817="",0,$F817)-IF($G817="",0,$G817))</f>
        <v/>
      </c>
      <c r="I817" s="12" t="n"/>
      <c r="J817" s="12" t="n"/>
      <c r="K817" s="12" t="n"/>
      <c r="L817" s="14" t="n"/>
      <c r="M817" s="12" t="n"/>
      <c r="N817" s="12" t="n"/>
      <c r="O817" s="12" t="n"/>
    </row>
    <row r="818">
      <c r="A818" s="12" t="n"/>
      <c r="B818" s="13">
        <f>IF($A818="","",IFERROR(INDEX(Emp_Names,MATCH($A818,Emp_Codes,0)),"NOT FOUND"))</f>
        <v/>
      </c>
      <c r="C818" s="14" t="n"/>
      <c r="D818" s="15" t="n"/>
      <c r="E818" s="15" t="n"/>
      <c r="F818" s="15" t="n"/>
      <c r="G818" s="15" t="n"/>
      <c r="H818" s="16">
        <f>IF($A818="","",$D818+IF($E818="",0,$E818)+IF($F818="",0,$F818)-IF($G818="",0,$G818))</f>
        <v/>
      </c>
      <c r="I818" s="12" t="n"/>
      <c r="J818" s="12" t="n"/>
      <c r="K818" s="12" t="n"/>
      <c r="L818" s="14" t="n"/>
      <c r="M818" s="12" t="n"/>
      <c r="N818" s="12" t="n"/>
      <c r="O818" s="12" t="n"/>
    </row>
    <row r="819">
      <c r="A819" s="12" t="n"/>
      <c r="B819" s="13">
        <f>IF($A819="","",IFERROR(INDEX(Emp_Names,MATCH($A819,Emp_Codes,0)),"NOT FOUND"))</f>
        <v/>
      </c>
      <c r="C819" s="14" t="n"/>
      <c r="D819" s="15" t="n"/>
      <c r="E819" s="15" t="n"/>
      <c r="F819" s="15" t="n"/>
      <c r="G819" s="15" t="n"/>
      <c r="H819" s="16">
        <f>IF($A819="","",$D819+IF($E819="",0,$E819)+IF($F819="",0,$F819)-IF($G819="",0,$G819))</f>
        <v/>
      </c>
      <c r="I819" s="12" t="n"/>
      <c r="J819" s="12" t="n"/>
      <c r="K819" s="12" t="n"/>
      <c r="L819" s="14" t="n"/>
      <c r="M819" s="12" t="n"/>
      <c r="N819" s="12" t="n"/>
      <c r="O819" s="12" t="n"/>
    </row>
    <row r="820">
      <c r="A820" s="12" t="n"/>
      <c r="B820" s="13">
        <f>IF($A820="","",IFERROR(INDEX(Emp_Names,MATCH($A820,Emp_Codes,0)),"NOT FOUND"))</f>
        <v/>
      </c>
      <c r="C820" s="14" t="n"/>
      <c r="D820" s="15" t="n"/>
      <c r="E820" s="15" t="n"/>
      <c r="F820" s="15" t="n"/>
      <c r="G820" s="15" t="n"/>
      <c r="H820" s="16">
        <f>IF($A820="","",$D820+IF($E820="",0,$E820)+IF($F820="",0,$F820)-IF($G820="",0,$G820))</f>
        <v/>
      </c>
      <c r="I820" s="12" t="n"/>
      <c r="J820" s="12" t="n"/>
      <c r="K820" s="12" t="n"/>
      <c r="L820" s="14" t="n"/>
      <c r="M820" s="12" t="n"/>
      <c r="N820" s="12" t="n"/>
      <c r="O820" s="12" t="n"/>
    </row>
    <row r="821">
      <c r="A821" s="12" t="n"/>
      <c r="B821" s="13">
        <f>IF($A821="","",IFERROR(INDEX(Emp_Names,MATCH($A821,Emp_Codes,0)),"NOT FOUND"))</f>
        <v/>
      </c>
      <c r="C821" s="14" t="n"/>
      <c r="D821" s="15" t="n"/>
      <c r="E821" s="15" t="n"/>
      <c r="F821" s="15" t="n"/>
      <c r="G821" s="15" t="n"/>
      <c r="H821" s="16">
        <f>IF($A821="","",$D821+IF($E821="",0,$E821)+IF($F821="",0,$F821)-IF($G821="",0,$G821))</f>
        <v/>
      </c>
      <c r="I821" s="12" t="n"/>
      <c r="J821" s="12" t="n"/>
      <c r="K821" s="12" t="n"/>
      <c r="L821" s="14" t="n"/>
      <c r="M821" s="12" t="n"/>
      <c r="N821" s="12" t="n"/>
      <c r="O821" s="12" t="n"/>
    </row>
    <row r="822">
      <c r="A822" s="12" t="n"/>
      <c r="B822" s="13">
        <f>IF($A822="","",IFERROR(INDEX(Emp_Names,MATCH($A822,Emp_Codes,0)),"NOT FOUND"))</f>
        <v/>
      </c>
      <c r="C822" s="14" t="n"/>
      <c r="D822" s="15" t="n"/>
      <c r="E822" s="15" t="n"/>
      <c r="F822" s="15" t="n"/>
      <c r="G822" s="15" t="n"/>
      <c r="H822" s="16">
        <f>IF($A822="","",$D822+IF($E822="",0,$E822)+IF($F822="",0,$F822)-IF($G822="",0,$G822))</f>
        <v/>
      </c>
      <c r="I822" s="12" t="n"/>
      <c r="J822" s="12" t="n"/>
      <c r="K822" s="12" t="n"/>
      <c r="L822" s="14" t="n"/>
      <c r="M822" s="12" t="n"/>
      <c r="N822" s="12" t="n"/>
      <c r="O822" s="12" t="n"/>
    </row>
    <row r="823">
      <c r="A823" s="12" t="n"/>
      <c r="B823" s="13">
        <f>IF($A823="","",IFERROR(INDEX(Emp_Names,MATCH($A823,Emp_Codes,0)),"NOT FOUND"))</f>
        <v/>
      </c>
      <c r="C823" s="14" t="n"/>
      <c r="D823" s="15" t="n"/>
      <c r="E823" s="15" t="n"/>
      <c r="F823" s="15" t="n"/>
      <c r="G823" s="15" t="n"/>
      <c r="H823" s="16">
        <f>IF($A823="","",$D823+IF($E823="",0,$E823)+IF($F823="",0,$F823)-IF($G823="",0,$G823))</f>
        <v/>
      </c>
      <c r="I823" s="12" t="n"/>
      <c r="J823" s="12" t="n"/>
      <c r="K823" s="12" t="n"/>
      <c r="L823" s="14" t="n"/>
      <c r="M823" s="12" t="n"/>
      <c r="N823" s="12" t="n"/>
      <c r="O823" s="12" t="n"/>
    </row>
    <row r="824">
      <c r="A824" s="12" t="n"/>
      <c r="B824" s="13">
        <f>IF($A824="","",IFERROR(INDEX(Emp_Names,MATCH($A824,Emp_Codes,0)),"NOT FOUND"))</f>
        <v/>
      </c>
      <c r="C824" s="14" t="n"/>
      <c r="D824" s="15" t="n"/>
      <c r="E824" s="15" t="n"/>
      <c r="F824" s="15" t="n"/>
      <c r="G824" s="15" t="n"/>
      <c r="H824" s="16">
        <f>IF($A824="","",$D824+IF($E824="",0,$E824)+IF($F824="",0,$F824)-IF($G824="",0,$G824))</f>
        <v/>
      </c>
      <c r="I824" s="12" t="n"/>
      <c r="J824" s="12" t="n"/>
      <c r="K824" s="12" t="n"/>
      <c r="L824" s="14" t="n"/>
      <c r="M824" s="12" t="n"/>
      <c r="N824" s="12" t="n"/>
      <c r="O824" s="12" t="n"/>
    </row>
    <row r="825">
      <c r="A825" s="12" t="n"/>
      <c r="B825" s="13">
        <f>IF($A825="","",IFERROR(INDEX(Emp_Names,MATCH($A825,Emp_Codes,0)),"NOT FOUND"))</f>
        <v/>
      </c>
      <c r="C825" s="14" t="n"/>
      <c r="D825" s="15" t="n"/>
      <c r="E825" s="15" t="n"/>
      <c r="F825" s="15" t="n"/>
      <c r="G825" s="15" t="n"/>
      <c r="H825" s="16">
        <f>IF($A825="","",$D825+IF($E825="",0,$E825)+IF($F825="",0,$F825)-IF($G825="",0,$G825))</f>
        <v/>
      </c>
      <c r="I825" s="12" t="n"/>
      <c r="J825" s="12" t="n"/>
      <c r="K825" s="12" t="n"/>
      <c r="L825" s="14" t="n"/>
      <c r="M825" s="12" t="n"/>
      <c r="N825" s="12" t="n"/>
      <c r="O825" s="12" t="n"/>
    </row>
    <row r="826">
      <c r="A826" s="12" t="n"/>
      <c r="B826" s="13">
        <f>IF($A826="","",IFERROR(INDEX(Emp_Names,MATCH($A826,Emp_Codes,0)),"NOT FOUND"))</f>
        <v/>
      </c>
      <c r="C826" s="14" t="n"/>
      <c r="D826" s="15" t="n"/>
      <c r="E826" s="15" t="n"/>
      <c r="F826" s="15" t="n"/>
      <c r="G826" s="15" t="n"/>
      <c r="H826" s="16">
        <f>IF($A826="","",$D826+IF($E826="",0,$E826)+IF($F826="",0,$F826)-IF($G826="",0,$G826))</f>
        <v/>
      </c>
      <c r="I826" s="12" t="n"/>
      <c r="J826" s="12" t="n"/>
      <c r="K826" s="12" t="n"/>
      <c r="L826" s="14" t="n"/>
      <c r="M826" s="12" t="n"/>
      <c r="N826" s="12" t="n"/>
      <c r="O826" s="12" t="n"/>
    </row>
    <row r="827">
      <c r="A827" s="12" t="n"/>
      <c r="B827" s="13">
        <f>IF($A827="","",IFERROR(INDEX(Emp_Names,MATCH($A827,Emp_Codes,0)),"NOT FOUND"))</f>
        <v/>
      </c>
      <c r="C827" s="14" t="n"/>
      <c r="D827" s="15" t="n"/>
      <c r="E827" s="15" t="n"/>
      <c r="F827" s="15" t="n"/>
      <c r="G827" s="15" t="n"/>
      <c r="H827" s="16">
        <f>IF($A827="","",$D827+IF($E827="",0,$E827)+IF($F827="",0,$F827)-IF($G827="",0,$G827))</f>
        <v/>
      </c>
      <c r="I827" s="12" t="n"/>
      <c r="J827" s="12" t="n"/>
      <c r="K827" s="12" t="n"/>
      <c r="L827" s="14" t="n"/>
      <c r="M827" s="12" t="n"/>
      <c r="N827" s="12" t="n"/>
      <c r="O827" s="12" t="n"/>
    </row>
    <row r="828">
      <c r="A828" s="12" t="n"/>
      <c r="B828" s="13">
        <f>IF($A828="","",IFERROR(INDEX(Emp_Names,MATCH($A828,Emp_Codes,0)),"NOT FOUND"))</f>
        <v/>
      </c>
      <c r="C828" s="14" t="n"/>
      <c r="D828" s="15" t="n"/>
      <c r="E828" s="15" t="n"/>
      <c r="F828" s="15" t="n"/>
      <c r="G828" s="15" t="n"/>
      <c r="H828" s="16">
        <f>IF($A828="","",$D828+IF($E828="",0,$E828)+IF($F828="",0,$F828)-IF($G828="",0,$G828))</f>
        <v/>
      </c>
      <c r="I828" s="12" t="n"/>
      <c r="J828" s="12" t="n"/>
      <c r="K828" s="12" t="n"/>
      <c r="L828" s="14" t="n"/>
      <c r="M828" s="12" t="n"/>
      <c r="N828" s="12" t="n"/>
      <c r="O828" s="12" t="n"/>
    </row>
    <row r="829">
      <c r="A829" s="12" t="n"/>
      <c r="B829" s="13">
        <f>IF($A829="","",IFERROR(INDEX(Emp_Names,MATCH($A829,Emp_Codes,0)),"NOT FOUND"))</f>
        <v/>
      </c>
      <c r="C829" s="14" t="n"/>
      <c r="D829" s="15" t="n"/>
      <c r="E829" s="15" t="n"/>
      <c r="F829" s="15" t="n"/>
      <c r="G829" s="15" t="n"/>
      <c r="H829" s="16">
        <f>IF($A829="","",$D829+IF($E829="",0,$E829)+IF($F829="",0,$F829)-IF($G829="",0,$G829))</f>
        <v/>
      </c>
      <c r="I829" s="12" t="n"/>
      <c r="J829" s="12" t="n"/>
      <c r="K829" s="12" t="n"/>
      <c r="L829" s="14" t="n"/>
      <c r="M829" s="12" t="n"/>
      <c r="N829" s="12" t="n"/>
      <c r="O829" s="12" t="n"/>
    </row>
    <row r="830">
      <c r="A830" s="12" t="n"/>
      <c r="B830" s="13">
        <f>IF($A830="","",IFERROR(INDEX(Emp_Names,MATCH($A830,Emp_Codes,0)),"NOT FOUND"))</f>
        <v/>
      </c>
      <c r="C830" s="14" t="n"/>
      <c r="D830" s="15" t="n"/>
      <c r="E830" s="15" t="n"/>
      <c r="F830" s="15" t="n"/>
      <c r="G830" s="15" t="n"/>
      <c r="H830" s="16">
        <f>IF($A830="","",$D830+IF($E830="",0,$E830)+IF($F830="",0,$F830)-IF($G830="",0,$G830))</f>
        <v/>
      </c>
      <c r="I830" s="12" t="n"/>
      <c r="J830" s="12" t="n"/>
      <c r="K830" s="12" t="n"/>
      <c r="L830" s="14" t="n"/>
      <c r="M830" s="12" t="n"/>
      <c r="N830" s="12" t="n"/>
      <c r="O830" s="12" t="n"/>
    </row>
    <row r="831">
      <c r="A831" s="12" t="n"/>
      <c r="B831" s="13">
        <f>IF($A831="","",IFERROR(INDEX(Emp_Names,MATCH($A831,Emp_Codes,0)),"NOT FOUND"))</f>
        <v/>
      </c>
      <c r="C831" s="14" t="n"/>
      <c r="D831" s="15" t="n"/>
      <c r="E831" s="15" t="n"/>
      <c r="F831" s="15" t="n"/>
      <c r="G831" s="15" t="n"/>
      <c r="H831" s="16">
        <f>IF($A831="","",$D831+IF($E831="",0,$E831)+IF($F831="",0,$F831)-IF($G831="",0,$G831))</f>
        <v/>
      </c>
      <c r="I831" s="12" t="n"/>
      <c r="J831" s="12" t="n"/>
      <c r="K831" s="12" t="n"/>
      <c r="L831" s="14" t="n"/>
      <c r="M831" s="12" t="n"/>
      <c r="N831" s="12" t="n"/>
      <c r="O831" s="12" t="n"/>
    </row>
    <row r="832">
      <c r="A832" s="12" t="n"/>
      <c r="B832" s="13">
        <f>IF($A832="","",IFERROR(INDEX(Emp_Names,MATCH($A832,Emp_Codes,0)),"NOT FOUND"))</f>
        <v/>
      </c>
      <c r="C832" s="14" t="n"/>
      <c r="D832" s="15" t="n"/>
      <c r="E832" s="15" t="n"/>
      <c r="F832" s="15" t="n"/>
      <c r="G832" s="15" t="n"/>
      <c r="H832" s="16">
        <f>IF($A832="","",$D832+IF($E832="",0,$E832)+IF($F832="",0,$F832)-IF($G832="",0,$G832))</f>
        <v/>
      </c>
      <c r="I832" s="12" t="n"/>
      <c r="J832" s="12" t="n"/>
      <c r="K832" s="12" t="n"/>
      <c r="L832" s="14" t="n"/>
      <c r="M832" s="12" t="n"/>
      <c r="N832" s="12" t="n"/>
      <c r="O832" s="12" t="n"/>
    </row>
    <row r="833">
      <c r="A833" s="12" t="n"/>
      <c r="B833" s="13">
        <f>IF($A833="","",IFERROR(INDEX(Emp_Names,MATCH($A833,Emp_Codes,0)),"NOT FOUND"))</f>
        <v/>
      </c>
      <c r="C833" s="14" t="n"/>
      <c r="D833" s="15" t="n"/>
      <c r="E833" s="15" t="n"/>
      <c r="F833" s="15" t="n"/>
      <c r="G833" s="15" t="n"/>
      <c r="H833" s="16">
        <f>IF($A833="","",$D833+IF($E833="",0,$E833)+IF($F833="",0,$F833)-IF($G833="",0,$G833))</f>
        <v/>
      </c>
      <c r="I833" s="12" t="n"/>
      <c r="J833" s="12" t="n"/>
      <c r="K833" s="12" t="n"/>
      <c r="L833" s="14" t="n"/>
      <c r="M833" s="12" t="n"/>
      <c r="N833" s="12" t="n"/>
      <c r="O833" s="12" t="n"/>
    </row>
    <row r="834">
      <c r="A834" s="12" t="n"/>
      <c r="B834" s="13">
        <f>IF($A834="","",IFERROR(INDEX(Emp_Names,MATCH($A834,Emp_Codes,0)),"NOT FOUND"))</f>
        <v/>
      </c>
      <c r="C834" s="14" t="n"/>
      <c r="D834" s="15" t="n"/>
      <c r="E834" s="15" t="n"/>
      <c r="F834" s="15" t="n"/>
      <c r="G834" s="15" t="n"/>
      <c r="H834" s="16">
        <f>IF($A834="","",$D834+IF($E834="",0,$E834)+IF($F834="",0,$F834)-IF($G834="",0,$G834))</f>
        <v/>
      </c>
      <c r="I834" s="12" t="n"/>
      <c r="J834" s="12" t="n"/>
      <c r="K834" s="12" t="n"/>
      <c r="L834" s="14" t="n"/>
      <c r="M834" s="12" t="n"/>
      <c r="N834" s="12" t="n"/>
      <c r="O834" s="12" t="n"/>
    </row>
    <row r="835">
      <c r="A835" s="12" t="n"/>
      <c r="B835" s="13">
        <f>IF($A835="","",IFERROR(INDEX(Emp_Names,MATCH($A835,Emp_Codes,0)),"NOT FOUND"))</f>
        <v/>
      </c>
      <c r="C835" s="14" t="n"/>
      <c r="D835" s="15" t="n"/>
      <c r="E835" s="15" t="n"/>
      <c r="F835" s="15" t="n"/>
      <c r="G835" s="15" t="n"/>
      <c r="H835" s="16">
        <f>IF($A835="","",$D835+IF($E835="",0,$E835)+IF($F835="",0,$F835)-IF($G835="",0,$G835))</f>
        <v/>
      </c>
      <c r="I835" s="12" t="n"/>
      <c r="J835" s="12" t="n"/>
      <c r="K835" s="12" t="n"/>
      <c r="L835" s="14" t="n"/>
      <c r="M835" s="12" t="n"/>
      <c r="N835" s="12" t="n"/>
      <c r="O835" s="12" t="n"/>
    </row>
    <row r="836">
      <c r="A836" s="12" t="n"/>
      <c r="B836" s="13">
        <f>IF($A836="","",IFERROR(INDEX(Emp_Names,MATCH($A836,Emp_Codes,0)),"NOT FOUND"))</f>
        <v/>
      </c>
      <c r="C836" s="14" t="n"/>
      <c r="D836" s="15" t="n"/>
      <c r="E836" s="15" t="n"/>
      <c r="F836" s="15" t="n"/>
      <c r="G836" s="15" t="n"/>
      <c r="H836" s="16">
        <f>IF($A836="","",$D836+IF($E836="",0,$E836)+IF($F836="",0,$F836)-IF($G836="",0,$G836))</f>
        <v/>
      </c>
      <c r="I836" s="12" t="n"/>
      <c r="J836" s="12" t="n"/>
      <c r="K836" s="12" t="n"/>
      <c r="L836" s="14" t="n"/>
      <c r="M836" s="12" t="n"/>
      <c r="N836" s="12" t="n"/>
      <c r="O836" s="12" t="n"/>
    </row>
    <row r="837">
      <c r="A837" s="12" t="n"/>
      <c r="B837" s="13">
        <f>IF($A837="","",IFERROR(INDEX(Emp_Names,MATCH($A837,Emp_Codes,0)),"NOT FOUND"))</f>
        <v/>
      </c>
      <c r="C837" s="14" t="n"/>
      <c r="D837" s="15" t="n"/>
      <c r="E837" s="15" t="n"/>
      <c r="F837" s="15" t="n"/>
      <c r="G837" s="15" t="n"/>
      <c r="H837" s="16">
        <f>IF($A837="","",$D837+IF($E837="",0,$E837)+IF($F837="",0,$F837)-IF($G837="",0,$G837))</f>
        <v/>
      </c>
      <c r="I837" s="12" t="n"/>
      <c r="J837" s="12" t="n"/>
      <c r="K837" s="12" t="n"/>
      <c r="L837" s="14" t="n"/>
      <c r="M837" s="12" t="n"/>
      <c r="N837" s="12" t="n"/>
      <c r="O837" s="12" t="n"/>
    </row>
    <row r="838">
      <c r="A838" s="12" t="n"/>
      <c r="B838" s="13">
        <f>IF($A838="","",IFERROR(INDEX(Emp_Names,MATCH($A838,Emp_Codes,0)),"NOT FOUND"))</f>
        <v/>
      </c>
      <c r="C838" s="14" t="n"/>
      <c r="D838" s="15" t="n"/>
      <c r="E838" s="15" t="n"/>
      <c r="F838" s="15" t="n"/>
      <c r="G838" s="15" t="n"/>
      <c r="H838" s="16">
        <f>IF($A838="","",$D838+IF($E838="",0,$E838)+IF($F838="",0,$F838)-IF($G838="",0,$G838))</f>
        <v/>
      </c>
      <c r="I838" s="12" t="n"/>
      <c r="J838" s="12" t="n"/>
      <c r="K838" s="12" t="n"/>
      <c r="L838" s="14" t="n"/>
      <c r="M838" s="12" t="n"/>
      <c r="N838" s="12" t="n"/>
      <c r="O838" s="12" t="n"/>
    </row>
    <row r="839">
      <c r="A839" s="12" t="n"/>
      <c r="B839" s="13">
        <f>IF($A839="","",IFERROR(INDEX(Emp_Names,MATCH($A839,Emp_Codes,0)),"NOT FOUND"))</f>
        <v/>
      </c>
      <c r="C839" s="14" t="n"/>
      <c r="D839" s="15" t="n"/>
      <c r="E839" s="15" t="n"/>
      <c r="F839" s="15" t="n"/>
      <c r="G839" s="15" t="n"/>
      <c r="H839" s="16">
        <f>IF($A839="","",$D839+IF($E839="",0,$E839)+IF($F839="",0,$F839)-IF($G839="",0,$G839))</f>
        <v/>
      </c>
      <c r="I839" s="12" t="n"/>
      <c r="J839" s="12" t="n"/>
      <c r="K839" s="12" t="n"/>
      <c r="L839" s="14" t="n"/>
      <c r="M839" s="12" t="n"/>
      <c r="N839" s="12" t="n"/>
      <c r="O839" s="12" t="n"/>
    </row>
    <row r="840">
      <c r="A840" s="12" t="n"/>
      <c r="B840" s="13">
        <f>IF($A840="","",IFERROR(INDEX(Emp_Names,MATCH($A840,Emp_Codes,0)),"NOT FOUND"))</f>
        <v/>
      </c>
      <c r="C840" s="14" t="n"/>
      <c r="D840" s="15" t="n"/>
      <c r="E840" s="15" t="n"/>
      <c r="F840" s="15" t="n"/>
      <c r="G840" s="15" t="n"/>
      <c r="H840" s="16">
        <f>IF($A840="","",$D840+IF($E840="",0,$E840)+IF($F840="",0,$F840)-IF($G840="",0,$G840))</f>
        <v/>
      </c>
      <c r="I840" s="12" t="n"/>
      <c r="J840" s="12" t="n"/>
      <c r="K840" s="12" t="n"/>
      <c r="L840" s="14" t="n"/>
      <c r="M840" s="12" t="n"/>
      <c r="N840" s="12" t="n"/>
      <c r="O840" s="12" t="n"/>
    </row>
    <row r="841">
      <c r="A841" s="12" t="n"/>
      <c r="B841" s="13">
        <f>IF($A841="","",IFERROR(INDEX(Emp_Names,MATCH($A841,Emp_Codes,0)),"NOT FOUND"))</f>
        <v/>
      </c>
      <c r="C841" s="14" t="n"/>
      <c r="D841" s="15" t="n"/>
      <c r="E841" s="15" t="n"/>
      <c r="F841" s="15" t="n"/>
      <c r="G841" s="15" t="n"/>
      <c r="H841" s="16">
        <f>IF($A841="","",$D841+IF($E841="",0,$E841)+IF($F841="",0,$F841)-IF($G841="",0,$G841))</f>
        <v/>
      </c>
      <c r="I841" s="12" t="n"/>
      <c r="J841" s="12" t="n"/>
      <c r="K841" s="12" t="n"/>
      <c r="L841" s="14" t="n"/>
      <c r="M841" s="12" t="n"/>
      <c r="N841" s="12" t="n"/>
      <c r="O841" s="12" t="n"/>
    </row>
    <row r="842">
      <c r="A842" s="12" t="n"/>
      <c r="B842" s="13">
        <f>IF($A842="","",IFERROR(INDEX(Emp_Names,MATCH($A842,Emp_Codes,0)),"NOT FOUND"))</f>
        <v/>
      </c>
      <c r="C842" s="14" t="n"/>
      <c r="D842" s="15" t="n"/>
      <c r="E842" s="15" t="n"/>
      <c r="F842" s="15" t="n"/>
      <c r="G842" s="15" t="n"/>
      <c r="H842" s="16">
        <f>IF($A842="","",$D842+IF($E842="",0,$E842)+IF($F842="",0,$F842)-IF($G842="",0,$G842))</f>
        <v/>
      </c>
      <c r="I842" s="12" t="n"/>
      <c r="J842" s="12" t="n"/>
      <c r="K842" s="12" t="n"/>
      <c r="L842" s="14" t="n"/>
      <c r="M842" s="12" t="n"/>
      <c r="N842" s="12" t="n"/>
      <c r="O842" s="12" t="n"/>
    </row>
    <row r="843">
      <c r="A843" s="12" t="n"/>
      <c r="B843" s="13">
        <f>IF($A843="","",IFERROR(INDEX(Emp_Names,MATCH($A843,Emp_Codes,0)),"NOT FOUND"))</f>
        <v/>
      </c>
      <c r="C843" s="14" t="n"/>
      <c r="D843" s="15" t="n"/>
      <c r="E843" s="15" t="n"/>
      <c r="F843" s="15" t="n"/>
      <c r="G843" s="15" t="n"/>
      <c r="H843" s="16">
        <f>IF($A843="","",$D843+IF($E843="",0,$E843)+IF($F843="",0,$F843)-IF($G843="",0,$G843))</f>
        <v/>
      </c>
      <c r="I843" s="12" t="n"/>
      <c r="J843" s="12" t="n"/>
      <c r="K843" s="12" t="n"/>
      <c r="L843" s="14" t="n"/>
      <c r="M843" s="12" t="n"/>
      <c r="N843" s="12" t="n"/>
      <c r="O843" s="12" t="n"/>
    </row>
    <row r="844">
      <c r="A844" s="12" t="n"/>
      <c r="B844" s="13">
        <f>IF($A844="","",IFERROR(INDEX(Emp_Names,MATCH($A844,Emp_Codes,0)),"NOT FOUND"))</f>
        <v/>
      </c>
      <c r="C844" s="14" t="n"/>
      <c r="D844" s="15" t="n"/>
      <c r="E844" s="15" t="n"/>
      <c r="F844" s="15" t="n"/>
      <c r="G844" s="15" t="n"/>
      <c r="H844" s="16">
        <f>IF($A844="","",$D844+IF($E844="",0,$E844)+IF($F844="",0,$F844)-IF($G844="",0,$G844))</f>
        <v/>
      </c>
      <c r="I844" s="12" t="n"/>
      <c r="J844" s="12" t="n"/>
      <c r="K844" s="12" t="n"/>
      <c r="L844" s="14" t="n"/>
      <c r="M844" s="12" t="n"/>
      <c r="N844" s="12" t="n"/>
      <c r="O844" s="12" t="n"/>
    </row>
    <row r="845">
      <c r="A845" s="12" t="n"/>
      <c r="B845" s="13">
        <f>IF($A845="","",IFERROR(INDEX(Emp_Names,MATCH($A845,Emp_Codes,0)),"NOT FOUND"))</f>
        <v/>
      </c>
      <c r="C845" s="14" t="n"/>
      <c r="D845" s="15" t="n"/>
      <c r="E845" s="15" t="n"/>
      <c r="F845" s="15" t="n"/>
      <c r="G845" s="15" t="n"/>
      <c r="H845" s="16">
        <f>IF($A845="","",$D845+IF($E845="",0,$E845)+IF($F845="",0,$F845)-IF($G845="",0,$G845))</f>
        <v/>
      </c>
      <c r="I845" s="12" t="n"/>
      <c r="J845" s="12" t="n"/>
      <c r="K845" s="12" t="n"/>
      <c r="L845" s="14" t="n"/>
      <c r="M845" s="12" t="n"/>
      <c r="N845" s="12" t="n"/>
      <c r="O845" s="12" t="n"/>
    </row>
    <row r="846">
      <c r="A846" s="12" t="n"/>
      <c r="B846" s="13">
        <f>IF($A846="","",IFERROR(INDEX(Emp_Names,MATCH($A846,Emp_Codes,0)),"NOT FOUND"))</f>
        <v/>
      </c>
      <c r="C846" s="14" t="n"/>
      <c r="D846" s="15" t="n"/>
      <c r="E846" s="15" t="n"/>
      <c r="F846" s="15" t="n"/>
      <c r="G846" s="15" t="n"/>
      <c r="H846" s="16">
        <f>IF($A846="","",$D846+IF($E846="",0,$E846)+IF($F846="",0,$F846)-IF($G846="",0,$G846))</f>
        <v/>
      </c>
      <c r="I846" s="12" t="n"/>
      <c r="J846" s="12" t="n"/>
      <c r="K846" s="12" t="n"/>
      <c r="L846" s="14" t="n"/>
      <c r="M846" s="12" t="n"/>
      <c r="N846" s="12" t="n"/>
      <c r="O846" s="12" t="n"/>
    </row>
    <row r="847">
      <c r="A847" s="12" t="n"/>
      <c r="B847" s="13">
        <f>IF($A847="","",IFERROR(INDEX(Emp_Names,MATCH($A847,Emp_Codes,0)),"NOT FOUND"))</f>
        <v/>
      </c>
      <c r="C847" s="14" t="n"/>
      <c r="D847" s="15" t="n"/>
      <c r="E847" s="15" t="n"/>
      <c r="F847" s="15" t="n"/>
      <c r="G847" s="15" t="n"/>
      <c r="H847" s="16">
        <f>IF($A847="","",$D847+IF($E847="",0,$E847)+IF($F847="",0,$F847)-IF($G847="",0,$G847))</f>
        <v/>
      </c>
      <c r="I847" s="12" t="n"/>
      <c r="J847" s="12" t="n"/>
      <c r="K847" s="12" t="n"/>
      <c r="L847" s="14" t="n"/>
      <c r="M847" s="12" t="n"/>
      <c r="N847" s="12" t="n"/>
      <c r="O847" s="12" t="n"/>
    </row>
    <row r="848">
      <c r="A848" s="12" t="n"/>
      <c r="B848" s="13">
        <f>IF($A848="","",IFERROR(INDEX(Emp_Names,MATCH($A848,Emp_Codes,0)),"NOT FOUND"))</f>
        <v/>
      </c>
      <c r="C848" s="14" t="n"/>
      <c r="D848" s="15" t="n"/>
      <c r="E848" s="15" t="n"/>
      <c r="F848" s="15" t="n"/>
      <c r="G848" s="15" t="n"/>
      <c r="H848" s="16">
        <f>IF($A848="","",$D848+IF($E848="",0,$E848)+IF($F848="",0,$F848)-IF($G848="",0,$G848))</f>
        <v/>
      </c>
      <c r="I848" s="12" t="n"/>
      <c r="J848" s="12" t="n"/>
      <c r="K848" s="12" t="n"/>
      <c r="L848" s="14" t="n"/>
      <c r="M848" s="12" t="n"/>
      <c r="N848" s="12" t="n"/>
      <c r="O848" s="12" t="n"/>
    </row>
    <row r="849">
      <c r="A849" s="12" t="n"/>
      <c r="B849" s="13">
        <f>IF($A849="","",IFERROR(INDEX(Emp_Names,MATCH($A849,Emp_Codes,0)),"NOT FOUND"))</f>
        <v/>
      </c>
      <c r="C849" s="14" t="n"/>
      <c r="D849" s="15" t="n"/>
      <c r="E849" s="15" t="n"/>
      <c r="F849" s="15" t="n"/>
      <c r="G849" s="15" t="n"/>
      <c r="H849" s="16">
        <f>IF($A849="","",$D849+IF($E849="",0,$E849)+IF($F849="",0,$F849)-IF($G849="",0,$G849))</f>
        <v/>
      </c>
      <c r="I849" s="12" t="n"/>
      <c r="J849" s="12" t="n"/>
      <c r="K849" s="12" t="n"/>
      <c r="L849" s="14" t="n"/>
      <c r="M849" s="12" t="n"/>
      <c r="N849" s="12" t="n"/>
      <c r="O849" s="12" t="n"/>
    </row>
    <row r="850">
      <c r="A850" s="12" t="n"/>
      <c r="B850" s="13">
        <f>IF($A850="","",IFERROR(INDEX(Emp_Names,MATCH($A850,Emp_Codes,0)),"NOT FOUND"))</f>
        <v/>
      </c>
      <c r="C850" s="14" t="n"/>
      <c r="D850" s="15" t="n"/>
      <c r="E850" s="15" t="n"/>
      <c r="F850" s="15" t="n"/>
      <c r="G850" s="15" t="n"/>
      <c r="H850" s="16">
        <f>IF($A850="","",$D850+IF($E850="",0,$E850)+IF($F850="",0,$F850)-IF($G850="",0,$G850))</f>
        <v/>
      </c>
      <c r="I850" s="12" t="n"/>
      <c r="J850" s="12" t="n"/>
      <c r="K850" s="12" t="n"/>
      <c r="L850" s="14" t="n"/>
      <c r="M850" s="12" t="n"/>
      <c r="N850" s="12" t="n"/>
      <c r="O850" s="12" t="n"/>
    </row>
    <row r="851">
      <c r="A851" s="12" t="n"/>
      <c r="B851" s="13">
        <f>IF($A851="","",IFERROR(INDEX(Emp_Names,MATCH($A851,Emp_Codes,0)),"NOT FOUND"))</f>
        <v/>
      </c>
      <c r="C851" s="14" t="n"/>
      <c r="D851" s="15" t="n"/>
      <c r="E851" s="15" t="n"/>
      <c r="F851" s="15" t="n"/>
      <c r="G851" s="15" t="n"/>
      <c r="H851" s="16">
        <f>IF($A851="","",$D851+IF($E851="",0,$E851)+IF($F851="",0,$F851)-IF($G851="",0,$G851))</f>
        <v/>
      </c>
      <c r="I851" s="12" t="n"/>
      <c r="J851" s="12" t="n"/>
      <c r="K851" s="12" t="n"/>
      <c r="L851" s="14" t="n"/>
      <c r="M851" s="12" t="n"/>
      <c r="N851" s="12" t="n"/>
      <c r="O851" s="12" t="n"/>
    </row>
    <row r="852">
      <c r="A852" s="12" t="n"/>
      <c r="B852" s="13">
        <f>IF($A852="","",IFERROR(INDEX(Emp_Names,MATCH($A852,Emp_Codes,0)),"NOT FOUND"))</f>
        <v/>
      </c>
      <c r="C852" s="14" t="n"/>
      <c r="D852" s="15" t="n"/>
      <c r="E852" s="15" t="n"/>
      <c r="F852" s="15" t="n"/>
      <c r="G852" s="15" t="n"/>
      <c r="H852" s="16">
        <f>IF($A852="","",$D852+IF($E852="",0,$E852)+IF($F852="",0,$F852)-IF($G852="",0,$G852))</f>
        <v/>
      </c>
      <c r="I852" s="12" t="n"/>
      <c r="J852" s="12" t="n"/>
      <c r="K852" s="12" t="n"/>
      <c r="L852" s="14" t="n"/>
      <c r="M852" s="12" t="n"/>
      <c r="N852" s="12" t="n"/>
      <c r="O852" s="12" t="n"/>
    </row>
    <row r="853">
      <c r="A853" s="12" t="n"/>
      <c r="B853" s="13">
        <f>IF($A853="","",IFERROR(INDEX(Emp_Names,MATCH($A853,Emp_Codes,0)),"NOT FOUND"))</f>
        <v/>
      </c>
      <c r="C853" s="14" t="n"/>
      <c r="D853" s="15" t="n"/>
      <c r="E853" s="15" t="n"/>
      <c r="F853" s="15" t="n"/>
      <c r="G853" s="15" t="n"/>
      <c r="H853" s="16">
        <f>IF($A853="","",$D853+IF($E853="",0,$E853)+IF($F853="",0,$F853)-IF($G853="",0,$G853))</f>
        <v/>
      </c>
      <c r="I853" s="12" t="n"/>
      <c r="J853" s="12" t="n"/>
      <c r="K853" s="12" t="n"/>
      <c r="L853" s="14" t="n"/>
      <c r="M853" s="12" t="n"/>
      <c r="N853" s="12" t="n"/>
      <c r="O853" s="12" t="n"/>
    </row>
    <row r="854">
      <c r="A854" s="12" t="n"/>
      <c r="B854" s="13">
        <f>IF($A854="","",IFERROR(INDEX(Emp_Names,MATCH($A854,Emp_Codes,0)),"NOT FOUND"))</f>
        <v/>
      </c>
      <c r="C854" s="14" t="n"/>
      <c r="D854" s="15" t="n"/>
      <c r="E854" s="15" t="n"/>
      <c r="F854" s="15" t="n"/>
      <c r="G854" s="15" t="n"/>
      <c r="H854" s="16">
        <f>IF($A854="","",$D854+IF($E854="",0,$E854)+IF($F854="",0,$F854)-IF($G854="",0,$G854))</f>
        <v/>
      </c>
      <c r="I854" s="12" t="n"/>
      <c r="J854" s="12" t="n"/>
      <c r="K854" s="12" t="n"/>
      <c r="L854" s="14" t="n"/>
      <c r="M854" s="12" t="n"/>
      <c r="N854" s="12" t="n"/>
      <c r="O854" s="12" t="n"/>
    </row>
    <row r="855">
      <c r="A855" s="12" t="n"/>
      <c r="B855" s="13">
        <f>IF($A855="","",IFERROR(INDEX(Emp_Names,MATCH($A855,Emp_Codes,0)),"NOT FOUND"))</f>
        <v/>
      </c>
      <c r="C855" s="14" t="n"/>
      <c r="D855" s="15" t="n"/>
      <c r="E855" s="15" t="n"/>
      <c r="F855" s="15" t="n"/>
      <c r="G855" s="15" t="n"/>
      <c r="H855" s="16">
        <f>IF($A855="","",$D855+IF($E855="",0,$E855)+IF($F855="",0,$F855)-IF($G855="",0,$G855))</f>
        <v/>
      </c>
      <c r="I855" s="12" t="n"/>
      <c r="J855" s="12" t="n"/>
      <c r="K855" s="12" t="n"/>
      <c r="L855" s="14" t="n"/>
      <c r="M855" s="12" t="n"/>
      <c r="N855" s="12" t="n"/>
      <c r="O855" s="12" t="n"/>
    </row>
    <row r="856">
      <c r="A856" s="12" t="n"/>
      <c r="B856" s="13">
        <f>IF($A856="","",IFERROR(INDEX(Emp_Names,MATCH($A856,Emp_Codes,0)),"NOT FOUND"))</f>
        <v/>
      </c>
      <c r="C856" s="14" t="n"/>
      <c r="D856" s="15" t="n"/>
      <c r="E856" s="15" t="n"/>
      <c r="F856" s="15" t="n"/>
      <c r="G856" s="15" t="n"/>
      <c r="H856" s="16">
        <f>IF($A856="","",$D856+IF($E856="",0,$E856)+IF($F856="",0,$F856)-IF($G856="",0,$G856))</f>
        <v/>
      </c>
      <c r="I856" s="12" t="n"/>
      <c r="J856" s="12" t="n"/>
      <c r="K856" s="12" t="n"/>
      <c r="L856" s="14" t="n"/>
      <c r="M856" s="12" t="n"/>
      <c r="N856" s="12" t="n"/>
      <c r="O856" s="12" t="n"/>
    </row>
    <row r="857">
      <c r="A857" s="12" t="n"/>
      <c r="B857" s="13">
        <f>IF($A857="","",IFERROR(INDEX(Emp_Names,MATCH($A857,Emp_Codes,0)),"NOT FOUND"))</f>
        <v/>
      </c>
      <c r="C857" s="14" t="n"/>
      <c r="D857" s="15" t="n"/>
      <c r="E857" s="15" t="n"/>
      <c r="F857" s="15" t="n"/>
      <c r="G857" s="15" t="n"/>
      <c r="H857" s="16">
        <f>IF($A857="","",$D857+IF($E857="",0,$E857)+IF($F857="",0,$F857)-IF($G857="",0,$G857))</f>
        <v/>
      </c>
      <c r="I857" s="12" t="n"/>
      <c r="J857" s="12" t="n"/>
      <c r="K857" s="12" t="n"/>
      <c r="L857" s="14" t="n"/>
      <c r="M857" s="12" t="n"/>
      <c r="N857" s="12" t="n"/>
      <c r="O857" s="12" t="n"/>
    </row>
    <row r="858">
      <c r="A858" s="12" t="n"/>
      <c r="B858" s="13">
        <f>IF($A858="","",IFERROR(INDEX(Emp_Names,MATCH($A858,Emp_Codes,0)),"NOT FOUND"))</f>
        <v/>
      </c>
      <c r="C858" s="14" t="n"/>
      <c r="D858" s="15" t="n"/>
      <c r="E858" s="15" t="n"/>
      <c r="F858" s="15" t="n"/>
      <c r="G858" s="15" t="n"/>
      <c r="H858" s="16">
        <f>IF($A858="","",$D858+IF($E858="",0,$E858)+IF($F858="",0,$F858)-IF($G858="",0,$G858))</f>
        <v/>
      </c>
      <c r="I858" s="12" t="n"/>
      <c r="J858" s="12" t="n"/>
      <c r="K858" s="12" t="n"/>
      <c r="L858" s="14" t="n"/>
      <c r="M858" s="12" t="n"/>
      <c r="N858" s="12" t="n"/>
      <c r="O858" s="12" t="n"/>
    </row>
    <row r="859">
      <c r="A859" s="12" t="n"/>
      <c r="B859" s="13">
        <f>IF($A859="","",IFERROR(INDEX(Emp_Names,MATCH($A859,Emp_Codes,0)),"NOT FOUND"))</f>
        <v/>
      </c>
      <c r="C859" s="14" t="n"/>
      <c r="D859" s="15" t="n"/>
      <c r="E859" s="15" t="n"/>
      <c r="F859" s="15" t="n"/>
      <c r="G859" s="15" t="n"/>
      <c r="H859" s="16">
        <f>IF($A859="","",$D859+IF($E859="",0,$E859)+IF($F859="",0,$F859)-IF($G859="",0,$G859))</f>
        <v/>
      </c>
      <c r="I859" s="12" t="n"/>
      <c r="J859" s="12" t="n"/>
      <c r="K859" s="12" t="n"/>
      <c r="L859" s="14" t="n"/>
      <c r="M859" s="12" t="n"/>
      <c r="N859" s="12" t="n"/>
      <c r="O859" s="12" t="n"/>
    </row>
    <row r="860">
      <c r="A860" s="12" t="n"/>
      <c r="B860" s="13">
        <f>IF($A860="","",IFERROR(INDEX(Emp_Names,MATCH($A860,Emp_Codes,0)),"NOT FOUND"))</f>
        <v/>
      </c>
      <c r="C860" s="14" t="n"/>
      <c r="D860" s="15" t="n"/>
      <c r="E860" s="15" t="n"/>
      <c r="F860" s="15" t="n"/>
      <c r="G860" s="15" t="n"/>
      <c r="H860" s="16">
        <f>IF($A860="","",$D860+IF($E860="",0,$E860)+IF($F860="",0,$F860)-IF($G860="",0,$G860))</f>
        <v/>
      </c>
      <c r="I860" s="12" t="n"/>
      <c r="J860" s="12" t="n"/>
      <c r="K860" s="12" t="n"/>
      <c r="L860" s="14" t="n"/>
      <c r="M860" s="12" t="n"/>
      <c r="N860" s="12" t="n"/>
      <c r="O860" s="12" t="n"/>
    </row>
    <row r="861">
      <c r="A861" s="12" t="n"/>
      <c r="B861" s="13">
        <f>IF($A861="","",IFERROR(INDEX(Emp_Names,MATCH($A861,Emp_Codes,0)),"NOT FOUND"))</f>
        <v/>
      </c>
      <c r="C861" s="14" t="n"/>
      <c r="D861" s="15" t="n"/>
      <c r="E861" s="15" t="n"/>
      <c r="F861" s="15" t="n"/>
      <c r="G861" s="15" t="n"/>
      <c r="H861" s="16">
        <f>IF($A861="","",$D861+IF($E861="",0,$E861)+IF($F861="",0,$F861)-IF($G861="",0,$G861))</f>
        <v/>
      </c>
      <c r="I861" s="12" t="n"/>
      <c r="J861" s="12" t="n"/>
      <c r="K861" s="12" t="n"/>
      <c r="L861" s="14" t="n"/>
      <c r="M861" s="12" t="n"/>
      <c r="N861" s="12" t="n"/>
      <c r="O861" s="12" t="n"/>
    </row>
    <row r="862">
      <c r="A862" s="12" t="n"/>
      <c r="B862" s="13">
        <f>IF($A862="","",IFERROR(INDEX(Emp_Names,MATCH($A862,Emp_Codes,0)),"NOT FOUND"))</f>
        <v/>
      </c>
      <c r="C862" s="14" t="n"/>
      <c r="D862" s="15" t="n"/>
      <c r="E862" s="15" t="n"/>
      <c r="F862" s="15" t="n"/>
      <c r="G862" s="15" t="n"/>
      <c r="H862" s="16">
        <f>IF($A862="","",$D862+IF($E862="",0,$E862)+IF($F862="",0,$F862)-IF($G862="",0,$G862))</f>
        <v/>
      </c>
      <c r="I862" s="12" t="n"/>
      <c r="J862" s="12" t="n"/>
      <c r="K862" s="12" t="n"/>
      <c r="L862" s="14" t="n"/>
      <c r="M862" s="12" t="n"/>
      <c r="N862" s="12" t="n"/>
      <c r="O862" s="12" t="n"/>
    </row>
    <row r="863">
      <c r="A863" s="12" t="n"/>
      <c r="B863" s="13">
        <f>IF($A863="","",IFERROR(INDEX(Emp_Names,MATCH($A863,Emp_Codes,0)),"NOT FOUND"))</f>
        <v/>
      </c>
      <c r="C863" s="14" t="n"/>
      <c r="D863" s="15" t="n"/>
      <c r="E863" s="15" t="n"/>
      <c r="F863" s="15" t="n"/>
      <c r="G863" s="15" t="n"/>
      <c r="H863" s="16">
        <f>IF($A863="","",$D863+IF($E863="",0,$E863)+IF($F863="",0,$F863)-IF($G863="",0,$G863))</f>
        <v/>
      </c>
      <c r="I863" s="12" t="n"/>
      <c r="J863" s="12" t="n"/>
      <c r="K863" s="12" t="n"/>
      <c r="L863" s="14" t="n"/>
      <c r="M863" s="12" t="n"/>
      <c r="N863" s="12" t="n"/>
      <c r="O863" s="12" t="n"/>
    </row>
    <row r="864">
      <c r="A864" s="12" t="n"/>
      <c r="B864" s="13">
        <f>IF($A864="","",IFERROR(INDEX(Emp_Names,MATCH($A864,Emp_Codes,0)),"NOT FOUND"))</f>
        <v/>
      </c>
      <c r="C864" s="14" t="n"/>
      <c r="D864" s="15" t="n"/>
      <c r="E864" s="15" t="n"/>
      <c r="F864" s="15" t="n"/>
      <c r="G864" s="15" t="n"/>
      <c r="H864" s="16">
        <f>IF($A864="","",$D864+IF($E864="",0,$E864)+IF($F864="",0,$F864)-IF($G864="",0,$G864))</f>
        <v/>
      </c>
      <c r="I864" s="12" t="n"/>
      <c r="J864" s="12" t="n"/>
      <c r="K864" s="12" t="n"/>
      <c r="L864" s="14" t="n"/>
      <c r="M864" s="12" t="n"/>
      <c r="N864" s="12" t="n"/>
      <c r="O864" s="12" t="n"/>
    </row>
    <row r="865">
      <c r="A865" s="12" t="n"/>
      <c r="B865" s="13">
        <f>IF($A865="","",IFERROR(INDEX(Emp_Names,MATCH($A865,Emp_Codes,0)),"NOT FOUND"))</f>
        <v/>
      </c>
      <c r="C865" s="14" t="n"/>
      <c r="D865" s="15" t="n"/>
      <c r="E865" s="15" t="n"/>
      <c r="F865" s="15" t="n"/>
      <c r="G865" s="15" t="n"/>
      <c r="H865" s="16">
        <f>IF($A865="","",$D865+IF($E865="",0,$E865)+IF($F865="",0,$F865)-IF($G865="",0,$G865))</f>
        <v/>
      </c>
      <c r="I865" s="12" t="n"/>
      <c r="J865" s="12" t="n"/>
      <c r="K865" s="12" t="n"/>
      <c r="L865" s="14" t="n"/>
      <c r="M865" s="12" t="n"/>
      <c r="N865" s="12" t="n"/>
      <c r="O865" s="12" t="n"/>
    </row>
    <row r="866">
      <c r="A866" s="12" t="n"/>
      <c r="B866" s="13">
        <f>IF($A866="","",IFERROR(INDEX(Emp_Names,MATCH($A866,Emp_Codes,0)),"NOT FOUND"))</f>
        <v/>
      </c>
      <c r="C866" s="14" t="n"/>
      <c r="D866" s="15" t="n"/>
      <c r="E866" s="15" t="n"/>
      <c r="F866" s="15" t="n"/>
      <c r="G866" s="15" t="n"/>
      <c r="H866" s="16">
        <f>IF($A866="","",$D866+IF($E866="",0,$E866)+IF($F866="",0,$F866)-IF($G866="",0,$G866))</f>
        <v/>
      </c>
      <c r="I866" s="12" t="n"/>
      <c r="J866" s="12" t="n"/>
      <c r="K866" s="12" t="n"/>
      <c r="L866" s="14" t="n"/>
      <c r="M866" s="12" t="n"/>
      <c r="N866" s="12" t="n"/>
      <c r="O866" s="12" t="n"/>
    </row>
    <row r="867">
      <c r="A867" s="12" t="n"/>
      <c r="B867" s="13">
        <f>IF($A867="","",IFERROR(INDEX(Emp_Names,MATCH($A867,Emp_Codes,0)),"NOT FOUND"))</f>
        <v/>
      </c>
      <c r="C867" s="14" t="n"/>
      <c r="D867" s="15" t="n"/>
      <c r="E867" s="15" t="n"/>
      <c r="F867" s="15" t="n"/>
      <c r="G867" s="15" t="n"/>
      <c r="H867" s="16">
        <f>IF($A867="","",$D867+IF($E867="",0,$E867)+IF($F867="",0,$F867)-IF($G867="",0,$G867))</f>
        <v/>
      </c>
      <c r="I867" s="12" t="n"/>
      <c r="J867" s="12" t="n"/>
      <c r="K867" s="12" t="n"/>
      <c r="L867" s="14" t="n"/>
      <c r="M867" s="12" t="n"/>
      <c r="N867" s="12" t="n"/>
      <c r="O867" s="12" t="n"/>
    </row>
    <row r="868">
      <c r="A868" s="12" t="n"/>
      <c r="B868" s="13">
        <f>IF($A868="","",IFERROR(INDEX(Emp_Names,MATCH($A868,Emp_Codes,0)),"NOT FOUND"))</f>
        <v/>
      </c>
      <c r="C868" s="14" t="n"/>
      <c r="D868" s="15" t="n"/>
      <c r="E868" s="15" t="n"/>
      <c r="F868" s="15" t="n"/>
      <c r="G868" s="15" t="n"/>
      <c r="H868" s="16">
        <f>IF($A868="","",$D868+IF($E868="",0,$E868)+IF($F868="",0,$F868)-IF($G868="",0,$G868))</f>
        <v/>
      </c>
      <c r="I868" s="12" t="n"/>
      <c r="J868" s="12" t="n"/>
      <c r="K868" s="12" t="n"/>
      <c r="L868" s="14" t="n"/>
      <c r="M868" s="12" t="n"/>
      <c r="N868" s="12" t="n"/>
      <c r="O868" s="12" t="n"/>
    </row>
    <row r="869">
      <c r="A869" s="12" t="n"/>
      <c r="B869" s="13">
        <f>IF($A869="","",IFERROR(INDEX(Emp_Names,MATCH($A869,Emp_Codes,0)),"NOT FOUND"))</f>
        <v/>
      </c>
      <c r="C869" s="14" t="n"/>
      <c r="D869" s="15" t="n"/>
      <c r="E869" s="15" t="n"/>
      <c r="F869" s="15" t="n"/>
      <c r="G869" s="15" t="n"/>
      <c r="H869" s="16">
        <f>IF($A869="","",$D869+IF($E869="",0,$E869)+IF($F869="",0,$F869)-IF($G869="",0,$G869))</f>
        <v/>
      </c>
      <c r="I869" s="12" t="n"/>
      <c r="J869" s="12" t="n"/>
      <c r="K869" s="12" t="n"/>
      <c r="L869" s="14" t="n"/>
      <c r="M869" s="12" t="n"/>
      <c r="N869" s="12" t="n"/>
      <c r="O869" s="12" t="n"/>
    </row>
    <row r="870">
      <c r="A870" s="12" t="n"/>
      <c r="B870" s="13">
        <f>IF($A870="","",IFERROR(INDEX(Emp_Names,MATCH($A870,Emp_Codes,0)),"NOT FOUND"))</f>
        <v/>
      </c>
      <c r="C870" s="14" t="n"/>
      <c r="D870" s="15" t="n"/>
      <c r="E870" s="15" t="n"/>
      <c r="F870" s="15" t="n"/>
      <c r="G870" s="15" t="n"/>
      <c r="H870" s="16">
        <f>IF($A870="","",$D870+IF($E870="",0,$E870)+IF($F870="",0,$F870)-IF($G870="",0,$G870))</f>
        <v/>
      </c>
      <c r="I870" s="12" t="n"/>
      <c r="J870" s="12" t="n"/>
      <c r="K870" s="12" t="n"/>
      <c r="L870" s="14" t="n"/>
      <c r="M870" s="12" t="n"/>
      <c r="N870" s="12" t="n"/>
      <c r="O870" s="12" t="n"/>
    </row>
    <row r="871">
      <c r="A871" s="12" t="n"/>
      <c r="B871" s="13">
        <f>IF($A871="","",IFERROR(INDEX(Emp_Names,MATCH($A871,Emp_Codes,0)),"NOT FOUND"))</f>
        <v/>
      </c>
      <c r="C871" s="14" t="n"/>
      <c r="D871" s="15" t="n"/>
      <c r="E871" s="15" t="n"/>
      <c r="F871" s="15" t="n"/>
      <c r="G871" s="15" t="n"/>
      <c r="H871" s="16">
        <f>IF($A871="","",$D871+IF($E871="",0,$E871)+IF($F871="",0,$F871)-IF($G871="",0,$G871))</f>
        <v/>
      </c>
      <c r="I871" s="12" t="n"/>
      <c r="J871" s="12" t="n"/>
      <c r="K871" s="12" t="n"/>
      <c r="L871" s="14" t="n"/>
      <c r="M871" s="12" t="n"/>
      <c r="N871" s="12" t="n"/>
      <c r="O871" s="12" t="n"/>
    </row>
    <row r="872">
      <c r="A872" s="12" t="n"/>
      <c r="B872" s="13">
        <f>IF($A872="","",IFERROR(INDEX(Emp_Names,MATCH($A872,Emp_Codes,0)),"NOT FOUND"))</f>
        <v/>
      </c>
      <c r="C872" s="14" t="n"/>
      <c r="D872" s="15" t="n"/>
      <c r="E872" s="15" t="n"/>
      <c r="F872" s="15" t="n"/>
      <c r="G872" s="15" t="n"/>
      <c r="H872" s="16">
        <f>IF($A872="","",$D872+IF($E872="",0,$E872)+IF($F872="",0,$F872)-IF($G872="",0,$G872))</f>
        <v/>
      </c>
      <c r="I872" s="12" t="n"/>
      <c r="J872" s="12" t="n"/>
      <c r="K872" s="12" t="n"/>
      <c r="L872" s="14" t="n"/>
      <c r="M872" s="12" t="n"/>
      <c r="N872" s="12" t="n"/>
      <c r="O872" s="12" t="n"/>
    </row>
    <row r="873">
      <c r="A873" s="12" t="n"/>
      <c r="B873" s="13">
        <f>IF($A873="","",IFERROR(INDEX(Emp_Names,MATCH($A873,Emp_Codes,0)),"NOT FOUND"))</f>
        <v/>
      </c>
      <c r="C873" s="14" t="n"/>
      <c r="D873" s="15" t="n"/>
      <c r="E873" s="15" t="n"/>
      <c r="F873" s="15" t="n"/>
      <c r="G873" s="15" t="n"/>
      <c r="H873" s="16">
        <f>IF($A873="","",$D873+IF($E873="",0,$E873)+IF($F873="",0,$F873)-IF($G873="",0,$G873))</f>
        <v/>
      </c>
      <c r="I873" s="12" t="n"/>
      <c r="J873" s="12" t="n"/>
      <c r="K873" s="12" t="n"/>
      <c r="L873" s="14" t="n"/>
      <c r="M873" s="12" t="n"/>
      <c r="N873" s="12" t="n"/>
      <c r="O873" s="12" t="n"/>
    </row>
    <row r="874">
      <c r="A874" s="12" t="n"/>
      <c r="B874" s="13">
        <f>IF($A874="","",IFERROR(INDEX(Emp_Names,MATCH($A874,Emp_Codes,0)),"NOT FOUND"))</f>
        <v/>
      </c>
      <c r="C874" s="14" t="n"/>
      <c r="D874" s="15" t="n"/>
      <c r="E874" s="15" t="n"/>
      <c r="F874" s="15" t="n"/>
      <c r="G874" s="15" t="n"/>
      <c r="H874" s="16">
        <f>IF($A874="","",$D874+IF($E874="",0,$E874)+IF($F874="",0,$F874)-IF($G874="",0,$G874))</f>
        <v/>
      </c>
      <c r="I874" s="12" t="n"/>
      <c r="J874" s="12" t="n"/>
      <c r="K874" s="12" t="n"/>
      <c r="L874" s="14" t="n"/>
      <c r="M874" s="12" t="n"/>
      <c r="N874" s="12" t="n"/>
      <c r="O874" s="12" t="n"/>
    </row>
    <row r="875">
      <c r="A875" s="12" t="n"/>
      <c r="B875" s="13">
        <f>IF($A875="","",IFERROR(INDEX(Emp_Names,MATCH($A875,Emp_Codes,0)),"NOT FOUND"))</f>
        <v/>
      </c>
      <c r="C875" s="14" t="n"/>
      <c r="D875" s="15" t="n"/>
      <c r="E875" s="15" t="n"/>
      <c r="F875" s="15" t="n"/>
      <c r="G875" s="15" t="n"/>
      <c r="H875" s="16">
        <f>IF($A875="","",$D875+IF($E875="",0,$E875)+IF($F875="",0,$F875)-IF($G875="",0,$G875))</f>
        <v/>
      </c>
      <c r="I875" s="12" t="n"/>
      <c r="J875" s="12" t="n"/>
      <c r="K875" s="12" t="n"/>
      <c r="L875" s="14" t="n"/>
      <c r="M875" s="12" t="n"/>
      <c r="N875" s="12" t="n"/>
      <c r="O875" s="12" t="n"/>
    </row>
    <row r="876">
      <c r="A876" s="12" t="n"/>
      <c r="B876" s="13">
        <f>IF($A876="","",IFERROR(INDEX(Emp_Names,MATCH($A876,Emp_Codes,0)),"NOT FOUND"))</f>
        <v/>
      </c>
      <c r="C876" s="14" t="n"/>
      <c r="D876" s="15" t="n"/>
      <c r="E876" s="15" t="n"/>
      <c r="F876" s="15" t="n"/>
      <c r="G876" s="15" t="n"/>
      <c r="H876" s="16">
        <f>IF($A876="","",$D876+IF($E876="",0,$E876)+IF($F876="",0,$F876)-IF($G876="",0,$G876))</f>
        <v/>
      </c>
      <c r="I876" s="12" t="n"/>
      <c r="J876" s="12" t="n"/>
      <c r="K876" s="12" t="n"/>
      <c r="L876" s="14" t="n"/>
      <c r="M876" s="12" t="n"/>
      <c r="N876" s="12" t="n"/>
      <c r="O876" s="12" t="n"/>
    </row>
    <row r="877">
      <c r="A877" s="12" t="n"/>
      <c r="B877" s="13">
        <f>IF($A877="","",IFERROR(INDEX(Emp_Names,MATCH($A877,Emp_Codes,0)),"NOT FOUND"))</f>
        <v/>
      </c>
      <c r="C877" s="14" t="n"/>
      <c r="D877" s="15" t="n"/>
      <c r="E877" s="15" t="n"/>
      <c r="F877" s="15" t="n"/>
      <c r="G877" s="15" t="n"/>
      <c r="H877" s="16">
        <f>IF($A877="","",$D877+IF($E877="",0,$E877)+IF($F877="",0,$F877)-IF($G877="",0,$G877))</f>
        <v/>
      </c>
      <c r="I877" s="12" t="n"/>
      <c r="J877" s="12" t="n"/>
      <c r="K877" s="12" t="n"/>
      <c r="L877" s="14" t="n"/>
      <c r="M877" s="12" t="n"/>
      <c r="N877" s="12" t="n"/>
      <c r="O877" s="12" t="n"/>
    </row>
    <row r="878">
      <c r="A878" s="12" t="n"/>
      <c r="B878" s="13">
        <f>IF($A878="","",IFERROR(INDEX(Emp_Names,MATCH($A878,Emp_Codes,0)),"NOT FOUND"))</f>
        <v/>
      </c>
      <c r="C878" s="14" t="n"/>
      <c r="D878" s="15" t="n"/>
      <c r="E878" s="15" t="n"/>
      <c r="F878" s="15" t="n"/>
      <c r="G878" s="15" t="n"/>
      <c r="H878" s="16">
        <f>IF($A878="","",$D878+IF($E878="",0,$E878)+IF($F878="",0,$F878)-IF($G878="",0,$G878))</f>
        <v/>
      </c>
      <c r="I878" s="12" t="n"/>
      <c r="J878" s="12" t="n"/>
      <c r="K878" s="12" t="n"/>
      <c r="L878" s="14" t="n"/>
      <c r="M878" s="12" t="n"/>
      <c r="N878" s="12" t="n"/>
      <c r="O878" s="12" t="n"/>
    </row>
    <row r="879">
      <c r="A879" s="12" t="n"/>
      <c r="B879" s="13">
        <f>IF($A879="","",IFERROR(INDEX(Emp_Names,MATCH($A879,Emp_Codes,0)),"NOT FOUND"))</f>
        <v/>
      </c>
      <c r="C879" s="14" t="n"/>
      <c r="D879" s="15" t="n"/>
      <c r="E879" s="15" t="n"/>
      <c r="F879" s="15" t="n"/>
      <c r="G879" s="15" t="n"/>
      <c r="H879" s="16">
        <f>IF($A879="","",$D879+IF($E879="",0,$E879)+IF($F879="",0,$F879)-IF($G879="",0,$G879))</f>
        <v/>
      </c>
      <c r="I879" s="12" t="n"/>
      <c r="J879" s="12" t="n"/>
      <c r="K879" s="12" t="n"/>
      <c r="L879" s="14" t="n"/>
      <c r="M879" s="12" t="n"/>
      <c r="N879" s="12" t="n"/>
      <c r="O879" s="12" t="n"/>
    </row>
    <row r="880">
      <c r="A880" s="12" t="n"/>
      <c r="B880" s="13">
        <f>IF($A880="","",IFERROR(INDEX(Emp_Names,MATCH($A880,Emp_Codes,0)),"NOT FOUND"))</f>
        <v/>
      </c>
      <c r="C880" s="14" t="n"/>
      <c r="D880" s="15" t="n"/>
      <c r="E880" s="15" t="n"/>
      <c r="F880" s="15" t="n"/>
      <c r="G880" s="15" t="n"/>
      <c r="H880" s="16">
        <f>IF($A880="","",$D880+IF($E880="",0,$E880)+IF($F880="",0,$F880)-IF($G880="",0,$G880))</f>
        <v/>
      </c>
      <c r="I880" s="12" t="n"/>
      <c r="J880" s="12" t="n"/>
      <c r="K880" s="12" t="n"/>
      <c r="L880" s="14" t="n"/>
      <c r="M880" s="12" t="n"/>
      <c r="N880" s="12" t="n"/>
      <c r="O880" s="12" t="n"/>
    </row>
    <row r="881">
      <c r="A881" s="12" t="n"/>
      <c r="B881" s="13">
        <f>IF($A881="","",IFERROR(INDEX(Emp_Names,MATCH($A881,Emp_Codes,0)),"NOT FOUND"))</f>
        <v/>
      </c>
      <c r="C881" s="14" t="n"/>
      <c r="D881" s="15" t="n"/>
      <c r="E881" s="15" t="n"/>
      <c r="F881" s="15" t="n"/>
      <c r="G881" s="15" t="n"/>
      <c r="H881" s="16">
        <f>IF($A881="","",$D881+IF($E881="",0,$E881)+IF($F881="",0,$F881)-IF($G881="",0,$G881))</f>
        <v/>
      </c>
      <c r="I881" s="12" t="n"/>
      <c r="J881" s="12" t="n"/>
      <c r="K881" s="12" t="n"/>
      <c r="L881" s="14" t="n"/>
      <c r="M881" s="12" t="n"/>
      <c r="N881" s="12" t="n"/>
      <c r="O881" s="12" t="n"/>
    </row>
    <row r="882">
      <c r="A882" s="12" t="n"/>
      <c r="B882" s="13">
        <f>IF($A882="","",IFERROR(INDEX(Emp_Names,MATCH($A882,Emp_Codes,0)),"NOT FOUND"))</f>
        <v/>
      </c>
      <c r="C882" s="14" t="n"/>
      <c r="D882" s="15" t="n"/>
      <c r="E882" s="15" t="n"/>
      <c r="F882" s="15" t="n"/>
      <c r="G882" s="15" t="n"/>
      <c r="H882" s="16">
        <f>IF($A882="","",$D882+IF($E882="",0,$E882)+IF($F882="",0,$F882)-IF($G882="",0,$G882))</f>
        <v/>
      </c>
      <c r="I882" s="12" t="n"/>
      <c r="J882" s="12" t="n"/>
      <c r="K882" s="12" t="n"/>
      <c r="L882" s="14" t="n"/>
      <c r="M882" s="12" t="n"/>
      <c r="N882" s="12" t="n"/>
      <c r="O882" s="12" t="n"/>
    </row>
    <row r="883">
      <c r="A883" s="12" t="n"/>
      <c r="B883" s="13">
        <f>IF($A883="","",IFERROR(INDEX(Emp_Names,MATCH($A883,Emp_Codes,0)),"NOT FOUND"))</f>
        <v/>
      </c>
      <c r="C883" s="14" t="n"/>
      <c r="D883" s="15" t="n"/>
      <c r="E883" s="15" t="n"/>
      <c r="F883" s="15" t="n"/>
      <c r="G883" s="15" t="n"/>
      <c r="H883" s="16">
        <f>IF($A883="","",$D883+IF($E883="",0,$E883)+IF($F883="",0,$F883)-IF($G883="",0,$G883))</f>
        <v/>
      </c>
      <c r="I883" s="12" t="n"/>
      <c r="J883" s="12" t="n"/>
      <c r="K883" s="12" t="n"/>
      <c r="L883" s="14" t="n"/>
      <c r="M883" s="12" t="n"/>
      <c r="N883" s="12" t="n"/>
      <c r="O883" s="12" t="n"/>
    </row>
    <row r="884">
      <c r="A884" s="12" t="n"/>
      <c r="B884" s="13">
        <f>IF($A884="","",IFERROR(INDEX(Emp_Names,MATCH($A884,Emp_Codes,0)),"NOT FOUND"))</f>
        <v/>
      </c>
      <c r="C884" s="14" t="n"/>
      <c r="D884" s="15" t="n"/>
      <c r="E884" s="15" t="n"/>
      <c r="F884" s="15" t="n"/>
      <c r="G884" s="15" t="n"/>
      <c r="H884" s="16">
        <f>IF($A884="","",$D884+IF($E884="",0,$E884)+IF($F884="",0,$F884)-IF($G884="",0,$G884))</f>
        <v/>
      </c>
      <c r="I884" s="12" t="n"/>
      <c r="J884" s="12" t="n"/>
      <c r="K884" s="12" t="n"/>
      <c r="L884" s="14" t="n"/>
      <c r="M884" s="12" t="n"/>
      <c r="N884" s="12" t="n"/>
      <c r="O884" s="12" t="n"/>
    </row>
    <row r="885">
      <c r="A885" s="12" t="n"/>
      <c r="B885" s="13">
        <f>IF($A885="","",IFERROR(INDEX(Emp_Names,MATCH($A885,Emp_Codes,0)),"NOT FOUND"))</f>
        <v/>
      </c>
      <c r="C885" s="14" t="n"/>
      <c r="D885" s="15" t="n"/>
      <c r="E885" s="15" t="n"/>
      <c r="F885" s="15" t="n"/>
      <c r="G885" s="15" t="n"/>
      <c r="H885" s="16">
        <f>IF($A885="","",$D885+IF($E885="",0,$E885)+IF($F885="",0,$F885)-IF($G885="",0,$G885))</f>
        <v/>
      </c>
      <c r="I885" s="12" t="n"/>
      <c r="J885" s="12" t="n"/>
      <c r="K885" s="12" t="n"/>
      <c r="L885" s="14" t="n"/>
      <c r="M885" s="12" t="n"/>
      <c r="N885" s="12" t="n"/>
      <c r="O885" s="12" t="n"/>
    </row>
    <row r="886">
      <c r="A886" s="12" t="n"/>
      <c r="B886" s="13">
        <f>IF($A886="","",IFERROR(INDEX(Emp_Names,MATCH($A886,Emp_Codes,0)),"NOT FOUND"))</f>
        <v/>
      </c>
      <c r="C886" s="14" t="n"/>
      <c r="D886" s="15" t="n"/>
      <c r="E886" s="15" t="n"/>
      <c r="F886" s="15" t="n"/>
      <c r="G886" s="15" t="n"/>
      <c r="H886" s="16">
        <f>IF($A886="","",$D886+IF($E886="",0,$E886)+IF($F886="",0,$F886)-IF($G886="",0,$G886))</f>
        <v/>
      </c>
      <c r="I886" s="12" t="n"/>
      <c r="J886" s="12" t="n"/>
      <c r="K886" s="12" t="n"/>
      <c r="L886" s="14" t="n"/>
      <c r="M886" s="12" t="n"/>
      <c r="N886" s="12" t="n"/>
      <c r="O886" s="12" t="n"/>
    </row>
    <row r="887">
      <c r="A887" s="12" t="n"/>
      <c r="B887" s="13">
        <f>IF($A887="","",IFERROR(INDEX(Emp_Names,MATCH($A887,Emp_Codes,0)),"NOT FOUND"))</f>
        <v/>
      </c>
      <c r="C887" s="14" t="n"/>
      <c r="D887" s="15" t="n"/>
      <c r="E887" s="15" t="n"/>
      <c r="F887" s="15" t="n"/>
      <c r="G887" s="15" t="n"/>
      <c r="H887" s="16">
        <f>IF($A887="","",$D887+IF($E887="",0,$E887)+IF($F887="",0,$F887)-IF($G887="",0,$G887))</f>
        <v/>
      </c>
      <c r="I887" s="12" t="n"/>
      <c r="J887" s="12" t="n"/>
      <c r="K887" s="12" t="n"/>
      <c r="L887" s="14" t="n"/>
      <c r="M887" s="12" t="n"/>
      <c r="N887" s="12" t="n"/>
      <c r="O887" s="12" t="n"/>
    </row>
    <row r="888">
      <c r="A888" s="12" t="n"/>
      <c r="B888" s="13">
        <f>IF($A888="","",IFERROR(INDEX(Emp_Names,MATCH($A888,Emp_Codes,0)),"NOT FOUND"))</f>
        <v/>
      </c>
      <c r="C888" s="14" t="n"/>
      <c r="D888" s="15" t="n"/>
      <c r="E888" s="15" t="n"/>
      <c r="F888" s="15" t="n"/>
      <c r="G888" s="15" t="n"/>
      <c r="H888" s="16">
        <f>IF($A888="","",$D888+IF($E888="",0,$E888)+IF($F888="",0,$F888)-IF($G888="",0,$G888))</f>
        <v/>
      </c>
      <c r="I888" s="12" t="n"/>
      <c r="J888" s="12" t="n"/>
      <c r="K888" s="12" t="n"/>
      <c r="L888" s="14" t="n"/>
      <c r="M888" s="12" t="n"/>
      <c r="N888" s="12" t="n"/>
      <c r="O888" s="12" t="n"/>
    </row>
    <row r="889">
      <c r="A889" s="12" t="n"/>
      <c r="B889" s="13">
        <f>IF($A889="","",IFERROR(INDEX(Emp_Names,MATCH($A889,Emp_Codes,0)),"NOT FOUND"))</f>
        <v/>
      </c>
      <c r="C889" s="14" t="n"/>
      <c r="D889" s="15" t="n"/>
      <c r="E889" s="15" t="n"/>
      <c r="F889" s="15" t="n"/>
      <c r="G889" s="15" t="n"/>
      <c r="H889" s="16">
        <f>IF($A889="","",$D889+IF($E889="",0,$E889)+IF($F889="",0,$F889)-IF($G889="",0,$G889))</f>
        <v/>
      </c>
      <c r="I889" s="12" t="n"/>
      <c r="J889" s="12" t="n"/>
      <c r="K889" s="12" t="n"/>
      <c r="L889" s="14" t="n"/>
      <c r="M889" s="12" t="n"/>
      <c r="N889" s="12" t="n"/>
      <c r="O889" s="12" t="n"/>
    </row>
    <row r="890">
      <c r="A890" s="12" t="n"/>
      <c r="B890" s="13">
        <f>IF($A890="","",IFERROR(INDEX(Emp_Names,MATCH($A890,Emp_Codes,0)),"NOT FOUND"))</f>
        <v/>
      </c>
      <c r="C890" s="14" t="n"/>
      <c r="D890" s="15" t="n"/>
      <c r="E890" s="15" t="n"/>
      <c r="F890" s="15" t="n"/>
      <c r="G890" s="15" t="n"/>
      <c r="H890" s="16">
        <f>IF($A890="","",$D890+IF($E890="",0,$E890)+IF($F890="",0,$F890)-IF($G890="",0,$G890))</f>
        <v/>
      </c>
      <c r="I890" s="12" t="n"/>
      <c r="J890" s="12" t="n"/>
      <c r="K890" s="12" t="n"/>
      <c r="L890" s="14" t="n"/>
      <c r="M890" s="12" t="n"/>
      <c r="N890" s="12" t="n"/>
      <c r="O890" s="12" t="n"/>
    </row>
    <row r="891">
      <c r="A891" s="12" t="n"/>
      <c r="B891" s="13">
        <f>IF($A891="","",IFERROR(INDEX(Emp_Names,MATCH($A891,Emp_Codes,0)),"NOT FOUND"))</f>
        <v/>
      </c>
      <c r="C891" s="14" t="n"/>
      <c r="D891" s="15" t="n"/>
      <c r="E891" s="15" t="n"/>
      <c r="F891" s="15" t="n"/>
      <c r="G891" s="15" t="n"/>
      <c r="H891" s="16">
        <f>IF($A891="","",$D891+IF($E891="",0,$E891)+IF($F891="",0,$F891)-IF($G891="",0,$G891))</f>
        <v/>
      </c>
      <c r="I891" s="12" t="n"/>
      <c r="J891" s="12" t="n"/>
      <c r="K891" s="12" t="n"/>
      <c r="L891" s="14" t="n"/>
      <c r="M891" s="12" t="n"/>
      <c r="N891" s="12" t="n"/>
      <c r="O891" s="12" t="n"/>
    </row>
    <row r="892">
      <c r="A892" s="12" t="n"/>
      <c r="B892" s="13">
        <f>IF($A892="","",IFERROR(INDEX(Emp_Names,MATCH($A892,Emp_Codes,0)),"NOT FOUND"))</f>
        <v/>
      </c>
      <c r="C892" s="14" t="n"/>
      <c r="D892" s="15" t="n"/>
      <c r="E892" s="15" t="n"/>
      <c r="F892" s="15" t="n"/>
      <c r="G892" s="15" t="n"/>
      <c r="H892" s="16">
        <f>IF($A892="","",$D892+IF($E892="",0,$E892)+IF($F892="",0,$F892)-IF($G892="",0,$G892))</f>
        <v/>
      </c>
      <c r="I892" s="12" t="n"/>
      <c r="J892" s="12" t="n"/>
      <c r="K892" s="12" t="n"/>
      <c r="L892" s="14" t="n"/>
      <c r="M892" s="12" t="n"/>
      <c r="N892" s="12" t="n"/>
      <c r="O892" s="12" t="n"/>
    </row>
    <row r="893">
      <c r="A893" s="12" t="n"/>
      <c r="B893" s="13">
        <f>IF($A893="","",IFERROR(INDEX(Emp_Names,MATCH($A893,Emp_Codes,0)),"NOT FOUND"))</f>
        <v/>
      </c>
      <c r="C893" s="14" t="n"/>
      <c r="D893" s="15" t="n"/>
      <c r="E893" s="15" t="n"/>
      <c r="F893" s="15" t="n"/>
      <c r="G893" s="15" t="n"/>
      <c r="H893" s="16">
        <f>IF($A893="","",$D893+IF($E893="",0,$E893)+IF($F893="",0,$F893)-IF($G893="",0,$G893))</f>
        <v/>
      </c>
      <c r="I893" s="12" t="n"/>
      <c r="J893" s="12" t="n"/>
      <c r="K893" s="12" t="n"/>
      <c r="L893" s="14" t="n"/>
      <c r="M893" s="12" t="n"/>
      <c r="N893" s="12" t="n"/>
      <c r="O893" s="12" t="n"/>
    </row>
    <row r="894">
      <c r="A894" s="12" t="n"/>
      <c r="B894" s="13">
        <f>IF($A894="","",IFERROR(INDEX(Emp_Names,MATCH($A894,Emp_Codes,0)),"NOT FOUND"))</f>
        <v/>
      </c>
      <c r="C894" s="14" t="n"/>
      <c r="D894" s="15" t="n"/>
      <c r="E894" s="15" t="n"/>
      <c r="F894" s="15" t="n"/>
      <c r="G894" s="15" t="n"/>
      <c r="H894" s="16">
        <f>IF($A894="","",$D894+IF($E894="",0,$E894)+IF($F894="",0,$F894)-IF($G894="",0,$G894))</f>
        <v/>
      </c>
      <c r="I894" s="12" t="n"/>
      <c r="J894" s="12" t="n"/>
      <c r="K894" s="12" t="n"/>
      <c r="L894" s="14" t="n"/>
      <c r="M894" s="12" t="n"/>
      <c r="N894" s="12" t="n"/>
      <c r="O894" s="12" t="n"/>
    </row>
    <row r="895">
      <c r="A895" s="12" t="n"/>
      <c r="B895" s="13">
        <f>IF($A895="","",IFERROR(INDEX(Emp_Names,MATCH($A895,Emp_Codes,0)),"NOT FOUND"))</f>
        <v/>
      </c>
      <c r="C895" s="14" t="n"/>
      <c r="D895" s="15" t="n"/>
      <c r="E895" s="15" t="n"/>
      <c r="F895" s="15" t="n"/>
      <c r="G895" s="15" t="n"/>
      <c r="H895" s="16">
        <f>IF($A895="","",$D895+IF($E895="",0,$E895)+IF($F895="",0,$F895)-IF($G895="",0,$G895))</f>
        <v/>
      </c>
      <c r="I895" s="12" t="n"/>
      <c r="J895" s="12" t="n"/>
      <c r="K895" s="12" t="n"/>
      <c r="L895" s="14" t="n"/>
      <c r="M895" s="12" t="n"/>
      <c r="N895" s="12" t="n"/>
      <c r="O895" s="12" t="n"/>
    </row>
    <row r="896">
      <c r="A896" s="12" t="n"/>
      <c r="B896" s="13">
        <f>IF($A896="","",IFERROR(INDEX(Emp_Names,MATCH($A896,Emp_Codes,0)),"NOT FOUND"))</f>
        <v/>
      </c>
      <c r="C896" s="14" t="n"/>
      <c r="D896" s="15" t="n"/>
      <c r="E896" s="15" t="n"/>
      <c r="F896" s="15" t="n"/>
      <c r="G896" s="15" t="n"/>
      <c r="H896" s="16">
        <f>IF($A896="","",$D896+IF($E896="",0,$E896)+IF($F896="",0,$F896)-IF($G896="",0,$G896))</f>
        <v/>
      </c>
      <c r="I896" s="12" t="n"/>
      <c r="J896" s="12" t="n"/>
      <c r="K896" s="12" t="n"/>
      <c r="L896" s="14" t="n"/>
      <c r="M896" s="12" t="n"/>
      <c r="N896" s="12" t="n"/>
      <c r="O896" s="12" t="n"/>
    </row>
    <row r="897">
      <c r="A897" s="12" t="n"/>
      <c r="B897" s="13">
        <f>IF($A897="","",IFERROR(INDEX(Emp_Names,MATCH($A897,Emp_Codes,0)),"NOT FOUND"))</f>
        <v/>
      </c>
      <c r="C897" s="14" t="n"/>
      <c r="D897" s="15" t="n"/>
      <c r="E897" s="15" t="n"/>
      <c r="F897" s="15" t="n"/>
      <c r="G897" s="15" t="n"/>
      <c r="H897" s="16">
        <f>IF($A897="","",$D897+IF($E897="",0,$E897)+IF($F897="",0,$F897)-IF($G897="",0,$G897))</f>
        <v/>
      </c>
      <c r="I897" s="12" t="n"/>
      <c r="J897" s="12" t="n"/>
      <c r="K897" s="12" t="n"/>
      <c r="L897" s="14" t="n"/>
      <c r="M897" s="12" t="n"/>
      <c r="N897" s="12" t="n"/>
      <c r="O897" s="12" t="n"/>
    </row>
    <row r="898">
      <c r="A898" s="12" t="n"/>
      <c r="B898" s="13">
        <f>IF($A898="","",IFERROR(INDEX(Emp_Names,MATCH($A898,Emp_Codes,0)),"NOT FOUND"))</f>
        <v/>
      </c>
      <c r="C898" s="14" t="n"/>
      <c r="D898" s="15" t="n"/>
      <c r="E898" s="15" t="n"/>
      <c r="F898" s="15" t="n"/>
      <c r="G898" s="15" t="n"/>
      <c r="H898" s="16">
        <f>IF($A898="","",$D898+IF($E898="",0,$E898)+IF($F898="",0,$F898)-IF($G898="",0,$G898))</f>
        <v/>
      </c>
      <c r="I898" s="12" t="n"/>
      <c r="J898" s="12" t="n"/>
      <c r="K898" s="12" t="n"/>
      <c r="L898" s="14" t="n"/>
      <c r="M898" s="12" t="n"/>
      <c r="N898" s="12" t="n"/>
      <c r="O898" s="12" t="n"/>
    </row>
    <row r="899">
      <c r="A899" s="12" t="n"/>
      <c r="B899" s="13">
        <f>IF($A899="","",IFERROR(INDEX(Emp_Names,MATCH($A899,Emp_Codes,0)),"NOT FOUND"))</f>
        <v/>
      </c>
      <c r="C899" s="14" t="n"/>
      <c r="D899" s="15" t="n"/>
      <c r="E899" s="15" t="n"/>
      <c r="F899" s="15" t="n"/>
      <c r="G899" s="15" t="n"/>
      <c r="H899" s="16">
        <f>IF($A899="","",$D899+IF($E899="",0,$E899)+IF($F899="",0,$F899)-IF($G899="",0,$G899))</f>
        <v/>
      </c>
      <c r="I899" s="12" t="n"/>
      <c r="J899" s="12" t="n"/>
      <c r="K899" s="12" t="n"/>
      <c r="L899" s="14" t="n"/>
      <c r="M899" s="12" t="n"/>
      <c r="N899" s="12" t="n"/>
      <c r="O899" s="12" t="n"/>
    </row>
    <row r="900">
      <c r="A900" s="12" t="n"/>
      <c r="B900" s="13">
        <f>IF($A900="","",IFERROR(INDEX(Emp_Names,MATCH($A900,Emp_Codes,0)),"NOT FOUND"))</f>
        <v/>
      </c>
      <c r="C900" s="14" t="n"/>
      <c r="D900" s="15" t="n"/>
      <c r="E900" s="15" t="n"/>
      <c r="F900" s="15" t="n"/>
      <c r="G900" s="15" t="n"/>
      <c r="H900" s="16">
        <f>IF($A900="","",$D900+IF($E900="",0,$E900)+IF($F900="",0,$F900)-IF($G900="",0,$G900))</f>
        <v/>
      </c>
      <c r="I900" s="12" t="n"/>
      <c r="J900" s="12" t="n"/>
      <c r="K900" s="12" t="n"/>
      <c r="L900" s="14" t="n"/>
      <c r="M900" s="12" t="n"/>
      <c r="N900" s="12" t="n"/>
      <c r="O900" s="12" t="n"/>
    </row>
    <row r="901">
      <c r="A901" s="12" t="n"/>
      <c r="B901" s="13">
        <f>IF($A901="","",IFERROR(INDEX(Emp_Names,MATCH($A901,Emp_Codes,0)),"NOT FOUND"))</f>
        <v/>
      </c>
      <c r="C901" s="14" t="n"/>
      <c r="D901" s="15" t="n"/>
      <c r="E901" s="15" t="n"/>
      <c r="F901" s="15" t="n"/>
      <c r="G901" s="15" t="n"/>
      <c r="H901" s="16">
        <f>IF($A901="","",$D901+IF($E901="",0,$E901)+IF($F901="",0,$F901)-IF($G901="",0,$G901))</f>
        <v/>
      </c>
      <c r="I901" s="12" t="n"/>
      <c r="J901" s="12" t="n"/>
      <c r="K901" s="12" t="n"/>
      <c r="L901" s="14" t="n"/>
      <c r="M901" s="12" t="n"/>
      <c r="N901" s="12" t="n"/>
      <c r="O901" s="12" t="n"/>
    </row>
    <row r="902">
      <c r="A902" s="12" t="n"/>
      <c r="B902" s="13">
        <f>IF($A902="","",IFERROR(INDEX(Emp_Names,MATCH($A902,Emp_Codes,0)),"NOT FOUND"))</f>
        <v/>
      </c>
      <c r="C902" s="14" t="n"/>
      <c r="D902" s="15" t="n"/>
      <c r="E902" s="15" t="n"/>
      <c r="F902" s="15" t="n"/>
      <c r="G902" s="15" t="n"/>
      <c r="H902" s="16">
        <f>IF($A902="","",$D902+IF($E902="",0,$E902)+IF($F902="",0,$F902)-IF($G902="",0,$G902))</f>
        <v/>
      </c>
      <c r="I902" s="12" t="n"/>
      <c r="J902" s="12" t="n"/>
      <c r="K902" s="12" t="n"/>
      <c r="L902" s="14" t="n"/>
      <c r="M902" s="12" t="n"/>
      <c r="N902" s="12" t="n"/>
      <c r="O902" s="12" t="n"/>
    </row>
    <row r="903">
      <c r="A903" s="12" t="n"/>
      <c r="B903" s="13">
        <f>IF($A903="","",IFERROR(INDEX(Emp_Names,MATCH($A903,Emp_Codes,0)),"NOT FOUND"))</f>
        <v/>
      </c>
      <c r="C903" s="14" t="n"/>
      <c r="D903" s="15" t="n"/>
      <c r="E903" s="15" t="n"/>
      <c r="F903" s="15" t="n"/>
      <c r="G903" s="15" t="n"/>
      <c r="H903" s="16">
        <f>IF($A903="","",$D903+IF($E903="",0,$E903)+IF($F903="",0,$F903)-IF($G903="",0,$G903))</f>
        <v/>
      </c>
      <c r="I903" s="12" t="n"/>
      <c r="J903" s="12" t="n"/>
      <c r="K903" s="12" t="n"/>
      <c r="L903" s="14" t="n"/>
      <c r="M903" s="12" t="n"/>
      <c r="N903" s="12" t="n"/>
      <c r="O903" s="12" t="n"/>
    </row>
    <row r="904">
      <c r="A904" s="12" t="n"/>
      <c r="B904" s="13">
        <f>IF($A904="","",IFERROR(INDEX(Emp_Names,MATCH($A904,Emp_Codes,0)),"NOT FOUND"))</f>
        <v/>
      </c>
      <c r="C904" s="14" t="n"/>
      <c r="D904" s="15" t="n"/>
      <c r="E904" s="15" t="n"/>
      <c r="F904" s="15" t="n"/>
      <c r="G904" s="15" t="n"/>
      <c r="H904" s="16">
        <f>IF($A904="","",$D904+IF($E904="",0,$E904)+IF($F904="",0,$F904)-IF($G904="",0,$G904))</f>
        <v/>
      </c>
      <c r="I904" s="12" t="n"/>
      <c r="J904" s="12" t="n"/>
      <c r="K904" s="12" t="n"/>
      <c r="L904" s="14" t="n"/>
      <c r="M904" s="12" t="n"/>
      <c r="N904" s="12" t="n"/>
      <c r="O904" s="12" t="n"/>
    </row>
    <row r="905">
      <c r="A905" s="12" t="n"/>
      <c r="B905" s="13">
        <f>IF($A905="","",IFERROR(INDEX(Emp_Names,MATCH($A905,Emp_Codes,0)),"NOT FOUND"))</f>
        <v/>
      </c>
      <c r="C905" s="14" t="n"/>
      <c r="D905" s="15" t="n"/>
      <c r="E905" s="15" t="n"/>
      <c r="F905" s="15" t="n"/>
      <c r="G905" s="15" t="n"/>
      <c r="H905" s="16">
        <f>IF($A905="","",$D905+IF($E905="",0,$E905)+IF($F905="",0,$F905)-IF($G905="",0,$G905))</f>
        <v/>
      </c>
      <c r="I905" s="12" t="n"/>
      <c r="J905" s="12" t="n"/>
      <c r="K905" s="12" t="n"/>
      <c r="L905" s="14" t="n"/>
      <c r="M905" s="12" t="n"/>
      <c r="N905" s="12" t="n"/>
      <c r="O905" s="12" t="n"/>
    </row>
    <row r="906">
      <c r="A906" s="12" t="n"/>
      <c r="B906" s="13">
        <f>IF($A906="","",IFERROR(INDEX(Emp_Names,MATCH($A906,Emp_Codes,0)),"NOT FOUND"))</f>
        <v/>
      </c>
      <c r="C906" s="14" t="n"/>
      <c r="D906" s="15" t="n"/>
      <c r="E906" s="15" t="n"/>
      <c r="F906" s="15" t="n"/>
      <c r="G906" s="15" t="n"/>
      <c r="H906" s="16">
        <f>IF($A906="","",$D906+IF($E906="",0,$E906)+IF($F906="",0,$F906)-IF($G906="",0,$G906))</f>
        <v/>
      </c>
      <c r="I906" s="12" t="n"/>
      <c r="J906" s="12" t="n"/>
      <c r="K906" s="12" t="n"/>
      <c r="L906" s="14" t="n"/>
      <c r="M906" s="12" t="n"/>
      <c r="N906" s="12" t="n"/>
      <c r="O906" s="12" t="n"/>
    </row>
    <row r="907">
      <c r="A907" s="12" t="n"/>
      <c r="B907" s="13">
        <f>IF($A907="","",IFERROR(INDEX(Emp_Names,MATCH($A907,Emp_Codes,0)),"NOT FOUND"))</f>
        <v/>
      </c>
      <c r="C907" s="14" t="n"/>
      <c r="D907" s="15" t="n"/>
      <c r="E907" s="15" t="n"/>
      <c r="F907" s="15" t="n"/>
      <c r="G907" s="15" t="n"/>
      <c r="H907" s="16">
        <f>IF($A907="","",$D907+IF($E907="",0,$E907)+IF($F907="",0,$F907)-IF($G907="",0,$G907))</f>
        <v/>
      </c>
      <c r="I907" s="12" t="n"/>
      <c r="J907" s="12" t="n"/>
      <c r="K907" s="12" t="n"/>
      <c r="L907" s="14" t="n"/>
      <c r="M907" s="12" t="n"/>
      <c r="N907" s="12" t="n"/>
      <c r="O907" s="12" t="n"/>
    </row>
    <row r="908">
      <c r="A908" s="12" t="n"/>
      <c r="B908" s="13">
        <f>IF($A908="","",IFERROR(INDEX(Emp_Names,MATCH($A908,Emp_Codes,0)),"NOT FOUND"))</f>
        <v/>
      </c>
      <c r="C908" s="14" t="n"/>
      <c r="D908" s="15" t="n"/>
      <c r="E908" s="15" t="n"/>
      <c r="F908" s="15" t="n"/>
      <c r="G908" s="15" t="n"/>
      <c r="H908" s="16">
        <f>IF($A908="","",$D908+IF($E908="",0,$E908)+IF($F908="",0,$F908)-IF($G908="",0,$G908))</f>
        <v/>
      </c>
      <c r="I908" s="12" t="n"/>
      <c r="J908" s="12" t="n"/>
      <c r="K908" s="12" t="n"/>
      <c r="L908" s="14" t="n"/>
      <c r="M908" s="12" t="n"/>
      <c r="N908" s="12" t="n"/>
      <c r="O908" s="12" t="n"/>
    </row>
    <row r="909">
      <c r="A909" s="12" t="n"/>
      <c r="B909" s="13">
        <f>IF($A909="","",IFERROR(INDEX(Emp_Names,MATCH($A909,Emp_Codes,0)),"NOT FOUND"))</f>
        <v/>
      </c>
      <c r="C909" s="14" t="n"/>
      <c r="D909" s="15" t="n"/>
      <c r="E909" s="15" t="n"/>
      <c r="F909" s="15" t="n"/>
      <c r="G909" s="15" t="n"/>
      <c r="H909" s="16">
        <f>IF($A909="","",$D909+IF($E909="",0,$E909)+IF($F909="",0,$F909)-IF($G909="",0,$G909))</f>
        <v/>
      </c>
      <c r="I909" s="12" t="n"/>
      <c r="J909" s="12" t="n"/>
      <c r="K909" s="12" t="n"/>
      <c r="L909" s="14" t="n"/>
      <c r="M909" s="12" t="n"/>
      <c r="N909" s="12" t="n"/>
      <c r="O909" s="12" t="n"/>
    </row>
    <row r="910">
      <c r="A910" s="12" t="n"/>
      <c r="B910" s="13">
        <f>IF($A910="","",IFERROR(INDEX(Emp_Names,MATCH($A910,Emp_Codes,0)),"NOT FOUND"))</f>
        <v/>
      </c>
      <c r="C910" s="14" t="n"/>
      <c r="D910" s="15" t="n"/>
      <c r="E910" s="15" t="n"/>
      <c r="F910" s="15" t="n"/>
      <c r="G910" s="15" t="n"/>
      <c r="H910" s="16">
        <f>IF($A910="","",$D910+IF($E910="",0,$E910)+IF($F910="",0,$F910)-IF($G910="",0,$G910))</f>
        <v/>
      </c>
      <c r="I910" s="12" t="n"/>
      <c r="J910" s="12" t="n"/>
      <c r="K910" s="12" t="n"/>
      <c r="L910" s="14" t="n"/>
      <c r="M910" s="12" t="n"/>
      <c r="N910" s="12" t="n"/>
      <c r="O910" s="12" t="n"/>
    </row>
    <row r="911">
      <c r="A911" s="12" t="n"/>
      <c r="B911" s="13">
        <f>IF($A911="","",IFERROR(INDEX(Emp_Names,MATCH($A911,Emp_Codes,0)),"NOT FOUND"))</f>
        <v/>
      </c>
      <c r="C911" s="14" t="n"/>
      <c r="D911" s="15" t="n"/>
      <c r="E911" s="15" t="n"/>
      <c r="F911" s="15" t="n"/>
      <c r="G911" s="15" t="n"/>
      <c r="H911" s="16">
        <f>IF($A911="","",$D911+IF($E911="",0,$E911)+IF($F911="",0,$F911)-IF($G911="",0,$G911))</f>
        <v/>
      </c>
      <c r="I911" s="12" t="n"/>
      <c r="J911" s="12" t="n"/>
      <c r="K911" s="12" t="n"/>
      <c r="L911" s="14" t="n"/>
      <c r="M911" s="12" t="n"/>
      <c r="N911" s="12" t="n"/>
      <c r="O911" s="12" t="n"/>
    </row>
    <row r="912">
      <c r="A912" s="12" t="n"/>
      <c r="B912" s="13">
        <f>IF($A912="","",IFERROR(INDEX(Emp_Names,MATCH($A912,Emp_Codes,0)),"NOT FOUND"))</f>
        <v/>
      </c>
      <c r="C912" s="14" t="n"/>
      <c r="D912" s="15" t="n"/>
      <c r="E912" s="15" t="n"/>
      <c r="F912" s="15" t="n"/>
      <c r="G912" s="15" t="n"/>
      <c r="H912" s="16">
        <f>IF($A912="","",$D912+IF($E912="",0,$E912)+IF($F912="",0,$F912)-IF($G912="",0,$G912))</f>
        <v/>
      </c>
      <c r="I912" s="12" t="n"/>
      <c r="J912" s="12" t="n"/>
      <c r="K912" s="12" t="n"/>
      <c r="L912" s="14" t="n"/>
      <c r="M912" s="12" t="n"/>
      <c r="N912" s="12" t="n"/>
      <c r="O912" s="12" t="n"/>
    </row>
    <row r="913">
      <c r="A913" s="12" t="n"/>
      <c r="B913" s="13">
        <f>IF($A913="","",IFERROR(INDEX(Emp_Names,MATCH($A913,Emp_Codes,0)),"NOT FOUND"))</f>
        <v/>
      </c>
      <c r="C913" s="14" t="n"/>
      <c r="D913" s="15" t="n"/>
      <c r="E913" s="15" t="n"/>
      <c r="F913" s="15" t="n"/>
      <c r="G913" s="15" t="n"/>
      <c r="H913" s="16">
        <f>IF($A913="","",$D913+IF($E913="",0,$E913)+IF($F913="",0,$F913)-IF($G913="",0,$G913))</f>
        <v/>
      </c>
      <c r="I913" s="12" t="n"/>
      <c r="J913" s="12" t="n"/>
      <c r="K913" s="12" t="n"/>
      <c r="L913" s="14" t="n"/>
      <c r="M913" s="12" t="n"/>
      <c r="N913" s="12" t="n"/>
      <c r="O913" s="12" t="n"/>
    </row>
    <row r="914">
      <c r="A914" s="12" t="n"/>
      <c r="B914" s="13">
        <f>IF($A914="","",IFERROR(INDEX(Emp_Names,MATCH($A914,Emp_Codes,0)),"NOT FOUND"))</f>
        <v/>
      </c>
      <c r="C914" s="14" t="n"/>
      <c r="D914" s="15" t="n"/>
      <c r="E914" s="15" t="n"/>
      <c r="F914" s="15" t="n"/>
      <c r="G914" s="15" t="n"/>
      <c r="H914" s="16">
        <f>IF($A914="","",$D914+IF($E914="",0,$E914)+IF($F914="",0,$F914)-IF($G914="",0,$G914))</f>
        <v/>
      </c>
      <c r="I914" s="12" t="n"/>
      <c r="J914" s="12" t="n"/>
      <c r="K914" s="12" t="n"/>
      <c r="L914" s="14" t="n"/>
      <c r="M914" s="12" t="n"/>
      <c r="N914" s="12" t="n"/>
      <c r="O914" s="12" t="n"/>
    </row>
    <row r="915">
      <c r="A915" s="12" t="n"/>
      <c r="B915" s="13">
        <f>IF($A915="","",IFERROR(INDEX(Emp_Names,MATCH($A915,Emp_Codes,0)),"NOT FOUND"))</f>
        <v/>
      </c>
      <c r="C915" s="14" t="n"/>
      <c r="D915" s="15" t="n"/>
      <c r="E915" s="15" t="n"/>
      <c r="F915" s="15" t="n"/>
      <c r="G915" s="15" t="n"/>
      <c r="H915" s="16">
        <f>IF($A915="","",$D915+IF($E915="",0,$E915)+IF($F915="",0,$F915)-IF($G915="",0,$G915))</f>
        <v/>
      </c>
      <c r="I915" s="12" t="n"/>
      <c r="J915" s="12" t="n"/>
      <c r="K915" s="12" t="n"/>
      <c r="L915" s="14" t="n"/>
      <c r="M915" s="12" t="n"/>
      <c r="N915" s="12" t="n"/>
      <c r="O915" s="12" t="n"/>
    </row>
    <row r="916">
      <c r="A916" s="12" t="n"/>
      <c r="B916" s="13">
        <f>IF($A916="","",IFERROR(INDEX(Emp_Names,MATCH($A916,Emp_Codes,0)),"NOT FOUND"))</f>
        <v/>
      </c>
      <c r="C916" s="14" t="n"/>
      <c r="D916" s="15" t="n"/>
      <c r="E916" s="15" t="n"/>
      <c r="F916" s="15" t="n"/>
      <c r="G916" s="15" t="n"/>
      <c r="H916" s="16">
        <f>IF($A916="","",$D916+IF($E916="",0,$E916)+IF($F916="",0,$F916)-IF($G916="",0,$G916))</f>
        <v/>
      </c>
      <c r="I916" s="12" t="n"/>
      <c r="J916" s="12" t="n"/>
      <c r="K916" s="12" t="n"/>
      <c r="L916" s="14" t="n"/>
      <c r="M916" s="12" t="n"/>
      <c r="N916" s="12" t="n"/>
      <c r="O916" s="12" t="n"/>
    </row>
    <row r="917">
      <c r="A917" s="12" t="n"/>
      <c r="B917" s="13">
        <f>IF($A917="","",IFERROR(INDEX(Emp_Names,MATCH($A917,Emp_Codes,0)),"NOT FOUND"))</f>
        <v/>
      </c>
      <c r="C917" s="14" t="n"/>
      <c r="D917" s="15" t="n"/>
      <c r="E917" s="15" t="n"/>
      <c r="F917" s="15" t="n"/>
      <c r="G917" s="15" t="n"/>
      <c r="H917" s="16">
        <f>IF($A917="","",$D917+IF($E917="",0,$E917)+IF($F917="",0,$F917)-IF($G917="",0,$G917))</f>
        <v/>
      </c>
      <c r="I917" s="12" t="n"/>
      <c r="J917" s="12" t="n"/>
      <c r="K917" s="12" t="n"/>
      <c r="L917" s="14" t="n"/>
      <c r="M917" s="12" t="n"/>
      <c r="N917" s="12" t="n"/>
      <c r="O917" s="12" t="n"/>
    </row>
    <row r="918">
      <c r="A918" s="12" t="n"/>
      <c r="B918" s="13">
        <f>IF($A918="","",IFERROR(INDEX(Emp_Names,MATCH($A918,Emp_Codes,0)),"NOT FOUND"))</f>
        <v/>
      </c>
      <c r="C918" s="14" t="n"/>
      <c r="D918" s="15" t="n"/>
      <c r="E918" s="15" t="n"/>
      <c r="F918" s="15" t="n"/>
      <c r="G918" s="15" t="n"/>
      <c r="H918" s="16">
        <f>IF($A918="","",$D918+IF($E918="",0,$E918)+IF($F918="",0,$F918)-IF($G918="",0,$G918))</f>
        <v/>
      </c>
      <c r="I918" s="12" t="n"/>
      <c r="J918" s="12" t="n"/>
      <c r="K918" s="12" t="n"/>
      <c r="L918" s="14" t="n"/>
      <c r="M918" s="12" t="n"/>
      <c r="N918" s="12" t="n"/>
      <c r="O918" s="12" t="n"/>
    </row>
    <row r="919">
      <c r="A919" s="12" t="n"/>
      <c r="B919" s="13">
        <f>IF($A919="","",IFERROR(INDEX(Emp_Names,MATCH($A919,Emp_Codes,0)),"NOT FOUND"))</f>
        <v/>
      </c>
      <c r="C919" s="14" t="n"/>
      <c r="D919" s="15" t="n"/>
      <c r="E919" s="15" t="n"/>
      <c r="F919" s="15" t="n"/>
      <c r="G919" s="15" t="n"/>
      <c r="H919" s="16">
        <f>IF($A919="","",$D919+IF($E919="",0,$E919)+IF($F919="",0,$F919)-IF($G919="",0,$G919))</f>
        <v/>
      </c>
      <c r="I919" s="12" t="n"/>
      <c r="J919" s="12" t="n"/>
      <c r="K919" s="12" t="n"/>
      <c r="L919" s="14" t="n"/>
      <c r="M919" s="12" t="n"/>
      <c r="N919" s="12" t="n"/>
      <c r="O919" s="12" t="n"/>
    </row>
    <row r="920">
      <c r="A920" s="12" t="n"/>
      <c r="B920" s="13">
        <f>IF($A920="","",IFERROR(INDEX(Emp_Names,MATCH($A920,Emp_Codes,0)),"NOT FOUND"))</f>
        <v/>
      </c>
      <c r="C920" s="14" t="n"/>
      <c r="D920" s="15" t="n"/>
      <c r="E920" s="15" t="n"/>
      <c r="F920" s="15" t="n"/>
      <c r="G920" s="15" t="n"/>
      <c r="H920" s="16">
        <f>IF($A920="","",$D920+IF($E920="",0,$E920)+IF($F920="",0,$F920)-IF($G920="",0,$G920))</f>
        <v/>
      </c>
      <c r="I920" s="12" t="n"/>
      <c r="J920" s="12" t="n"/>
      <c r="K920" s="12" t="n"/>
      <c r="L920" s="14" t="n"/>
      <c r="M920" s="12" t="n"/>
      <c r="N920" s="12" t="n"/>
      <c r="O920" s="12" t="n"/>
    </row>
    <row r="921">
      <c r="A921" s="12" t="n"/>
      <c r="B921" s="13">
        <f>IF($A921="","",IFERROR(INDEX(Emp_Names,MATCH($A921,Emp_Codes,0)),"NOT FOUND"))</f>
        <v/>
      </c>
      <c r="C921" s="14" t="n"/>
      <c r="D921" s="15" t="n"/>
      <c r="E921" s="15" t="n"/>
      <c r="F921" s="15" t="n"/>
      <c r="G921" s="15" t="n"/>
      <c r="H921" s="16">
        <f>IF($A921="","",$D921+IF($E921="",0,$E921)+IF($F921="",0,$F921)-IF($G921="",0,$G921))</f>
        <v/>
      </c>
      <c r="I921" s="12" t="n"/>
      <c r="J921" s="12" t="n"/>
      <c r="K921" s="12" t="n"/>
      <c r="L921" s="14" t="n"/>
      <c r="M921" s="12" t="n"/>
      <c r="N921" s="12" t="n"/>
      <c r="O921" s="12" t="n"/>
    </row>
    <row r="922">
      <c r="A922" s="12" t="n"/>
      <c r="B922" s="13">
        <f>IF($A922="","",IFERROR(INDEX(Emp_Names,MATCH($A922,Emp_Codes,0)),"NOT FOUND"))</f>
        <v/>
      </c>
      <c r="C922" s="14" t="n"/>
      <c r="D922" s="15" t="n"/>
      <c r="E922" s="15" t="n"/>
      <c r="F922" s="15" t="n"/>
      <c r="G922" s="15" t="n"/>
      <c r="H922" s="16">
        <f>IF($A922="","",$D922+IF($E922="",0,$E922)+IF($F922="",0,$F922)-IF($G922="",0,$G922))</f>
        <v/>
      </c>
      <c r="I922" s="12" t="n"/>
      <c r="J922" s="12" t="n"/>
      <c r="K922" s="12" t="n"/>
      <c r="L922" s="14" t="n"/>
      <c r="M922" s="12" t="n"/>
      <c r="N922" s="12" t="n"/>
      <c r="O922" s="12" t="n"/>
    </row>
    <row r="923">
      <c r="A923" s="12" t="n"/>
      <c r="B923" s="13">
        <f>IF($A923="","",IFERROR(INDEX(Emp_Names,MATCH($A923,Emp_Codes,0)),"NOT FOUND"))</f>
        <v/>
      </c>
      <c r="C923" s="14" t="n"/>
      <c r="D923" s="15" t="n"/>
      <c r="E923" s="15" t="n"/>
      <c r="F923" s="15" t="n"/>
      <c r="G923" s="15" t="n"/>
      <c r="H923" s="16">
        <f>IF($A923="","",$D923+IF($E923="",0,$E923)+IF($F923="",0,$F923)-IF($G923="",0,$G923))</f>
        <v/>
      </c>
      <c r="I923" s="12" t="n"/>
      <c r="J923" s="12" t="n"/>
      <c r="K923" s="12" t="n"/>
      <c r="L923" s="14" t="n"/>
      <c r="M923" s="12" t="n"/>
      <c r="N923" s="12" t="n"/>
      <c r="O923" s="12" t="n"/>
    </row>
    <row r="924">
      <c r="A924" s="12" t="n"/>
      <c r="B924" s="13">
        <f>IF($A924="","",IFERROR(INDEX(Emp_Names,MATCH($A924,Emp_Codes,0)),"NOT FOUND"))</f>
        <v/>
      </c>
      <c r="C924" s="14" t="n"/>
      <c r="D924" s="15" t="n"/>
      <c r="E924" s="15" t="n"/>
      <c r="F924" s="15" t="n"/>
      <c r="G924" s="15" t="n"/>
      <c r="H924" s="16">
        <f>IF($A924="","",$D924+IF($E924="",0,$E924)+IF($F924="",0,$F924)-IF($G924="",0,$G924))</f>
        <v/>
      </c>
      <c r="I924" s="12" t="n"/>
      <c r="J924" s="12" t="n"/>
      <c r="K924" s="12" t="n"/>
      <c r="L924" s="14" t="n"/>
      <c r="M924" s="12" t="n"/>
      <c r="N924" s="12" t="n"/>
      <c r="O924" s="12" t="n"/>
    </row>
    <row r="925">
      <c r="A925" s="12" t="n"/>
      <c r="B925" s="13">
        <f>IF($A925="","",IFERROR(INDEX(Emp_Names,MATCH($A925,Emp_Codes,0)),"NOT FOUND"))</f>
        <v/>
      </c>
      <c r="C925" s="14" t="n"/>
      <c r="D925" s="15" t="n"/>
      <c r="E925" s="15" t="n"/>
      <c r="F925" s="15" t="n"/>
      <c r="G925" s="15" t="n"/>
      <c r="H925" s="16">
        <f>IF($A925="","",$D925+IF($E925="",0,$E925)+IF($F925="",0,$F925)-IF($G925="",0,$G925))</f>
        <v/>
      </c>
      <c r="I925" s="12" t="n"/>
      <c r="J925" s="12" t="n"/>
      <c r="K925" s="12" t="n"/>
      <c r="L925" s="14" t="n"/>
      <c r="M925" s="12" t="n"/>
      <c r="N925" s="12" t="n"/>
      <c r="O925" s="12" t="n"/>
    </row>
    <row r="926">
      <c r="A926" s="12" t="n"/>
      <c r="B926" s="13">
        <f>IF($A926="","",IFERROR(INDEX(Emp_Names,MATCH($A926,Emp_Codes,0)),"NOT FOUND"))</f>
        <v/>
      </c>
      <c r="C926" s="14" t="n"/>
      <c r="D926" s="15" t="n"/>
      <c r="E926" s="15" t="n"/>
      <c r="F926" s="15" t="n"/>
      <c r="G926" s="15" t="n"/>
      <c r="H926" s="16">
        <f>IF($A926="","",$D926+IF($E926="",0,$E926)+IF($F926="",0,$F926)-IF($G926="",0,$G926))</f>
        <v/>
      </c>
      <c r="I926" s="12" t="n"/>
      <c r="J926" s="12" t="n"/>
      <c r="K926" s="12" t="n"/>
      <c r="L926" s="14" t="n"/>
      <c r="M926" s="12" t="n"/>
      <c r="N926" s="12" t="n"/>
      <c r="O926" s="12" t="n"/>
    </row>
    <row r="927">
      <c r="A927" s="12" t="n"/>
      <c r="B927" s="13">
        <f>IF($A927="","",IFERROR(INDEX(Emp_Names,MATCH($A927,Emp_Codes,0)),"NOT FOUND"))</f>
        <v/>
      </c>
      <c r="C927" s="14" t="n"/>
      <c r="D927" s="15" t="n"/>
      <c r="E927" s="15" t="n"/>
      <c r="F927" s="15" t="n"/>
      <c r="G927" s="15" t="n"/>
      <c r="H927" s="16">
        <f>IF($A927="","",$D927+IF($E927="",0,$E927)+IF($F927="",0,$F927)-IF($G927="",0,$G927))</f>
        <v/>
      </c>
      <c r="I927" s="12" t="n"/>
      <c r="J927" s="12" t="n"/>
      <c r="K927" s="12" t="n"/>
      <c r="L927" s="14" t="n"/>
      <c r="M927" s="12" t="n"/>
      <c r="N927" s="12" t="n"/>
      <c r="O927" s="12" t="n"/>
    </row>
    <row r="928">
      <c r="A928" s="12" t="n"/>
      <c r="B928" s="13">
        <f>IF($A928="","",IFERROR(INDEX(Emp_Names,MATCH($A928,Emp_Codes,0)),"NOT FOUND"))</f>
        <v/>
      </c>
      <c r="C928" s="14" t="n"/>
      <c r="D928" s="15" t="n"/>
      <c r="E928" s="15" t="n"/>
      <c r="F928" s="15" t="n"/>
      <c r="G928" s="15" t="n"/>
      <c r="H928" s="16">
        <f>IF($A928="","",$D928+IF($E928="",0,$E928)+IF($F928="",0,$F928)-IF($G928="",0,$G928))</f>
        <v/>
      </c>
      <c r="I928" s="12" t="n"/>
      <c r="J928" s="12" t="n"/>
      <c r="K928" s="12" t="n"/>
      <c r="L928" s="14" t="n"/>
      <c r="M928" s="12" t="n"/>
      <c r="N928" s="12" t="n"/>
      <c r="O928" s="12" t="n"/>
    </row>
    <row r="929">
      <c r="A929" s="12" t="n"/>
      <c r="B929" s="13">
        <f>IF($A929="","",IFERROR(INDEX(Emp_Names,MATCH($A929,Emp_Codes,0)),"NOT FOUND"))</f>
        <v/>
      </c>
      <c r="C929" s="14" t="n"/>
      <c r="D929" s="15" t="n"/>
      <c r="E929" s="15" t="n"/>
      <c r="F929" s="15" t="n"/>
      <c r="G929" s="15" t="n"/>
      <c r="H929" s="16">
        <f>IF($A929="","",$D929+IF($E929="",0,$E929)+IF($F929="",0,$F929)-IF($G929="",0,$G929))</f>
        <v/>
      </c>
      <c r="I929" s="12" t="n"/>
      <c r="J929" s="12" t="n"/>
      <c r="K929" s="12" t="n"/>
      <c r="L929" s="14" t="n"/>
      <c r="M929" s="12" t="n"/>
      <c r="N929" s="12" t="n"/>
      <c r="O929" s="12" t="n"/>
    </row>
    <row r="930">
      <c r="A930" s="12" t="n"/>
      <c r="B930" s="13">
        <f>IF($A930="","",IFERROR(INDEX(Emp_Names,MATCH($A930,Emp_Codes,0)),"NOT FOUND"))</f>
        <v/>
      </c>
      <c r="C930" s="14" t="n"/>
      <c r="D930" s="15" t="n"/>
      <c r="E930" s="15" t="n"/>
      <c r="F930" s="15" t="n"/>
      <c r="G930" s="15" t="n"/>
      <c r="H930" s="16">
        <f>IF($A930="","",$D930+IF($E930="",0,$E930)+IF($F930="",0,$F930)-IF($G930="",0,$G930))</f>
        <v/>
      </c>
      <c r="I930" s="12" t="n"/>
      <c r="J930" s="12" t="n"/>
      <c r="K930" s="12" t="n"/>
      <c r="L930" s="14" t="n"/>
      <c r="M930" s="12" t="n"/>
      <c r="N930" s="12" t="n"/>
      <c r="O930" s="12" t="n"/>
    </row>
    <row r="931">
      <c r="A931" s="12" t="n"/>
      <c r="B931" s="13">
        <f>IF($A931="","",IFERROR(INDEX(Emp_Names,MATCH($A931,Emp_Codes,0)),"NOT FOUND"))</f>
        <v/>
      </c>
      <c r="C931" s="14" t="n"/>
      <c r="D931" s="15" t="n"/>
      <c r="E931" s="15" t="n"/>
      <c r="F931" s="15" t="n"/>
      <c r="G931" s="15" t="n"/>
      <c r="H931" s="16">
        <f>IF($A931="","",$D931+IF($E931="",0,$E931)+IF($F931="",0,$F931)-IF($G931="",0,$G931))</f>
        <v/>
      </c>
      <c r="I931" s="12" t="n"/>
      <c r="J931" s="12" t="n"/>
      <c r="K931" s="12" t="n"/>
      <c r="L931" s="14" t="n"/>
      <c r="M931" s="12" t="n"/>
      <c r="N931" s="12" t="n"/>
      <c r="O931" s="12" t="n"/>
    </row>
    <row r="932">
      <c r="A932" s="12" t="n"/>
      <c r="B932" s="13">
        <f>IF($A932="","",IFERROR(INDEX(Emp_Names,MATCH($A932,Emp_Codes,0)),"NOT FOUND"))</f>
        <v/>
      </c>
      <c r="C932" s="14" t="n"/>
      <c r="D932" s="15" t="n"/>
      <c r="E932" s="15" t="n"/>
      <c r="F932" s="15" t="n"/>
      <c r="G932" s="15" t="n"/>
      <c r="H932" s="16">
        <f>IF($A932="","",$D932+IF($E932="",0,$E932)+IF($F932="",0,$F932)-IF($G932="",0,$G932))</f>
        <v/>
      </c>
      <c r="I932" s="12" t="n"/>
      <c r="J932" s="12" t="n"/>
      <c r="K932" s="12" t="n"/>
      <c r="L932" s="14" t="n"/>
      <c r="M932" s="12" t="n"/>
      <c r="N932" s="12" t="n"/>
      <c r="O932" s="12" t="n"/>
    </row>
    <row r="933">
      <c r="A933" s="12" t="n"/>
      <c r="B933" s="13">
        <f>IF($A933="","",IFERROR(INDEX(Emp_Names,MATCH($A933,Emp_Codes,0)),"NOT FOUND"))</f>
        <v/>
      </c>
      <c r="C933" s="14" t="n"/>
      <c r="D933" s="15" t="n"/>
      <c r="E933" s="15" t="n"/>
      <c r="F933" s="15" t="n"/>
      <c r="G933" s="15" t="n"/>
      <c r="H933" s="16">
        <f>IF($A933="","",$D933+IF($E933="",0,$E933)+IF($F933="",0,$F933)-IF($G933="",0,$G933))</f>
        <v/>
      </c>
      <c r="I933" s="12" t="n"/>
      <c r="J933" s="12" t="n"/>
      <c r="K933" s="12" t="n"/>
      <c r="L933" s="14" t="n"/>
      <c r="M933" s="12" t="n"/>
      <c r="N933" s="12" t="n"/>
      <c r="O933" s="12" t="n"/>
    </row>
    <row r="934">
      <c r="A934" s="12" t="n"/>
      <c r="B934" s="13">
        <f>IF($A934="","",IFERROR(INDEX(Emp_Names,MATCH($A934,Emp_Codes,0)),"NOT FOUND"))</f>
        <v/>
      </c>
      <c r="C934" s="14" t="n"/>
      <c r="D934" s="15" t="n"/>
      <c r="E934" s="15" t="n"/>
      <c r="F934" s="15" t="n"/>
      <c r="G934" s="15" t="n"/>
      <c r="H934" s="16">
        <f>IF($A934="","",$D934+IF($E934="",0,$E934)+IF($F934="",0,$F934)-IF($G934="",0,$G934))</f>
        <v/>
      </c>
      <c r="I934" s="12" t="n"/>
      <c r="J934" s="12" t="n"/>
      <c r="K934" s="12" t="n"/>
      <c r="L934" s="14" t="n"/>
      <c r="M934" s="12" t="n"/>
      <c r="N934" s="12" t="n"/>
      <c r="O934" s="12" t="n"/>
    </row>
    <row r="935">
      <c r="A935" s="12" t="n"/>
      <c r="B935" s="13">
        <f>IF($A935="","",IFERROR(INDEX(Emp_Names,MATCH($A935,Emp_Codes,0)),"NOT FOUND"))</f>
        <v/>
      </c>
      <c r="C935" s="14" t="n"/>
      <c r="D935" s="15" t="n"/>
      <c r="E935" s="15" t="n"/>
      <c r="F935" s="15" t="n"/>
      <c r="G935" s="15" t="n"/>
      <c r="H935" s="16">
        <f>IF($A935="","",$D935+IF($E935="",0,$E935)+IF($F935="",0,$F935)-IF($G935="",0,$G935))</f>
        <v/>
      </c>
      <c r="I935" s="12" t="n"/>
      <c r="J935" s="12" t="n"/>
      <c r="K935" s="12" t="n"/>
      <c r="L935" s="14" t="n"/>
      <c r="M935" s="12" t="n"/>
      <c r="N935" s="12" t="n"/>
      <c r="O935" s="12" t="n"/>
    </row>
    <row r="936">
      <c r="A936" s="12" t="n"/>
      <c r="B936" s="13">
        <f>IF($A936="","",IFERROR(INDEX(Emp_Names,MATCH($A936,Emp_Codes,0)),"NOT FOUND"))</f>
        <v/>
      </c>
      <c r="C936" s="14" t="n"/>
      <c r="D936" s="15" t="n"/>
      <c r="E936" s="15" t="n"/>
      <c r="F936" s="15" t="n"/>
      <c r="G936" s="15" t="n"/>
      <c r="H936" s="16">
        <f>IF($A936="","",$D936+IF($E936="",0,$E936)+IF($F936="",0,$F936)-IF($G936="",0,$G936))</f>
        <v/>
      </c>
      <c r="I936" s="12" t="n"/>
      <c r="J936" s="12" t="n"/>
      <c r="K936" s="12" t="n"/>
      <c r="L936" s="14" t="n"/>
      <c r="M936" s="12" t="n"/>
      <c r="N936" s="12" t="n"/>
      <c r="O936" s="12" t="n"/>
    </row>
    <row r="937">
      <c r="A937" s="12" t="n"/>
      <c r="B937" s="13">
        <f>IF($A937="","",IFERROR(INDEX(Emp_Names,MATCH($A937,Emp_Codes,0)),"NOT FOUND"))</f>
        <v/>
      </c>
      <c r="C937" s="14" t="n"/>
      <c r="D937" s="15" t="n"/>
      <c r="E937" s="15" t="n"/>
      <c r="F937" s="15" t="n"/>
      <c r="G937" s="15" t="n"/>
      <c r="H937" s="16">
        <f>IF($A937="","",$D937+IF($E937="",0,$E937)+IF($F937="",0,$F937)-IF($G937="",0,$G937))</f>
        <v/>
      </c>
      <c r="I937" s="12" t="n"/>
      <c r="J937" s="12" t="n"/>
      <c r="K937" s="12" t="n"/>
      <c r="L937" s="14" t="n"/>
      <c r="M937" s="12" t="n"/>
      <c r="N937" s="12" t="n"/>
      <c r="O937" s="12" t="n"/>
    </row>
    <row r="938">
      <c r="A938" s="12" t="n"/>
      <c r="B938" s="13">
        <f>IF($A938="","",IFERROR(INDEX(Emp_Names,MATCH($A938,Emp_Codes,0)),"NOT FOUND"))</f>
        <v/>
      </c>
      <c r="C938" s="14" t="n"/>
      <c r="D938" s="15" t="n"/>
      <c r="E938" s="15" t="n"/>
      <c r="F938" s="15" t="n"/>
      <c r="G938" s="15" t="n"/>
      <c r="H938" s="16">
        <f>IF($A938="","",$D938+IF($E938="",0,$E938)+IF($F938="",0,$F938)-IF($G938="",0,$G938))</f>
        <v/>
      </c>
      <c r="I938" s="12" t="n"/>
      <c r="J938" s="12" t="n"/>
      <c r="K938" s="12" t="n"/>
      <c r="L938" s="14" t="n"/>
      <c r="M938" s="12" t="n"/>
      <c r="N938" s="12" t="n"/>
      <c r="O938" s="12" t="n"/>
    </row>
    <row r="939">
      <c r="A939" s="12" t="n"/>
      <c r="B939" s="13">
        <f>IF($A939="","",IFERROR(INDEX(Emp_Names,MATCH($A939,Emp_Codes,0)),"NOT FOUND"))</f>
        <v/>
      </c>
      <c r="C939" s="14" t="n"/>
      <c r="D939" s="15" t="n"/>
      <c r="E939" s="15" t="n"/>
      <c r="F939" s="15" t="n"/>
      <c r="G939" s="15" t="n"/>
      <c r="H939" s="16">
        <f>IF($A939="","",$D939+IF($E939="",0,$E939)+IF($F939="",0,$F939)-IF($G939="",0,$G939))</f>
        <v/>
      </c>
      <c r="I939" s="12" t="n"/>
      <c r="J939" s="12" t="n"/>
      <c r="K939" s="12" t="n"/>
      <c r="L939" s="14" t="n"/>
      <c r="M939" s="12" t="n"/>
      <c r="N939" s="12" t="n"/>
      <c r="O939" s="12" t="n"/>
    </row>
    <row r="940">
      <c r="A940" s="12" t="n"/>
      <c r="B940" s="13">
        <f>IF($A940="","",IFERROR(INDEX(Emp_Names,MATCH($A940,Emp_Codes,0)),"NOT FOUND"))</f>
        <v/>
      </c>
      <c r="C940" s="14" t="n"/>
      <c r="D940" s="15" t="n"/>
      <c r="E940" s="15" t="n"/>
      <c r="F940" s="15" t="n"/>
      <c r="G940" s="15" t="n"/>
      <c r="H940" s="16">
        <f>IF($A940="","",$D940+IF($E940="",0,$E940)+IF($F940="",0,$F940)-IF($G940="",0,$G940))</f>
        <v/>
      </c>
      <c r="I940" s="12" t="n"/>
      <c r="J940" s="12" t="n"/>
      <c r="K940" s="12" t="n"/>
      <c r="L940" s="14" t="n"/>
      <c r="M940" s="12" t="n"/>
      <c r="N940" s="12" t="n"/>
      <c r="O940" s="12" t="n"/>
    </row>
    <row r="941">
      <c r="A941" s="12" t="n"/>
      <c r="B941" s="13">
        <f>IF($A941="","",IFERROR(INDEX(Emp_Names,MATCH($A941,Emp_Codes,0)),"NOT FOUND"))</f>
        <v/>
      </c>
      <c r="C941" s="14" t="n"/>
      <c r="D941" s="15" t="n"/>
      <c r="E941" s="15" t="n"/>
      <c r="F941" s="15" t="n"/>
      <c r="G941" s="15" t="n"/>
      <c r="H941" s="16">
        <f>IF($A941="","",$D941+IF($E941="",0,$E941)+IF($F941="",0,$F941)-IF($G941="",0,$G941))</f>
        <v/>
      </c>
      <c r="I941" s="12" t="n"/>
      <c r="J941" s="12" t="n"/>
      <c r="K941" s="12" t="n"/>
      <c r="L941" s="14" t="n"/>
      <c r="M941" s="12" t="n"/>
      <c r="N941" s="12" t="n"/>
      <c r="O941" s="12" t="n"/>
    </row>
    <row r="942">
      <c r="A942" s="12" t="n"/>
      <c r="B942" s="13">
        <f>IF($A942="","",IFERROR(INDEX(Emp_Names,MATCH($A942,Emp_Codes,0)),"NOT FOUND"))</f>
        <v/>
      </c>
      <c r="C942" s="14" t="n"/>
      <c r="D942" s="15" t="n"/>
      <c r="E942" s="15" t="n"/>
      <c r="F942" s="15" t="n"/>
      <c r="G942" s="15" t="n"/>
      <c r="H942" s="16">
        <f>IF($A942="","",$D942+IF($E942="",0,$E942)+IF($F942="",0,$F942)-IF($G942="",0,$G942))</f>
        <v/>
      </c>
      <c r="I942" s="12" t="n"/>
      <c r="J942" s="12" t="n"/>
      <c r="K942" s="12" t="n"/>
      <c r="L942" s="14" t="n"/>
      <c r="M942" s="12" t="n"/>
      <c r="N942" s="12" t="n"/>
      <c r="O942" s="12" t="n"/>
    </row>
    <row r="943">
      <c r="A943" s="12" t="n"/>
      <c r="B943" s="13">
        <f>IF($A943="","",IFERROR(INDEX(Emp_Names,MATCH($A943,Emp_Codes,0)),"NOT FOUND"))</f>
        <v/>
      </c>
      <c r="C943" s="14" t="n"/>
      <c r="D943" s="15" t="n"/>
      <c r="E943" s="15" t="n"/>
      <c r="F943" s="15" t="n"/>
      <c r="G943" s="15" t="n"/>
      <c r="H943" s="16">
        <f>IF($A943="","",$D943+IF($E943="",0,$E943)+IF($F943="",0,$F943)-IF($G943="",0,$G943))</f>
        <v/>
      </c>
      <c r="I943" s="12" t="n"/>
      <c r="J943" s="12" t="n"/>
      <c r="K943" s="12" t="n"/>
      <c r="L943" s="14" t="n"/>
      <c r="M943" s="12" t="n"/>
      <c r="N943" s="12" t="n"/>
      <c r="O943" s="12" t="n"/>
    </row>
    <row r="944">
      <c r="A944" s="12" t="n"/>
      <c r="B944" s="13">
        <f>IF($A944="","",IFERROR(INDEX(Emp_Names,MATCH($A944,Emp_Codes,0)),"NOT FOUND"))</f>
        <v/>
      </c>
      <c r="C944" s="14" t="n"/>
      <c r="D944" s="15" t="n"/>
      <c r="E944" s="15" t="n"/>
      <c r="F944" s="15" t="n"/>
      <c r="G944" s="15" t="n"/>
      <c r="H944" s="16">
        <f>IF($A944="","",$D944+IF($E944="",0,$E944)+IF($F944="",0,$F944)-IF($G944="",0,$G944))</f>
        <v/>
      </c>
      <c r="I944" s="12" t="n"/>
      <c r="J944" s="12" t="n"/>
      <c r="K944" s="12" t="n"/>
      <c r="L944" s="14" t="n"/>
      <c r="M944" s="12" t="n"/>
      <c r="N944" s="12" t="n"/>
      <c r="O944" s="12" t="n"/>
    </row>
    <row r="945">
      <c r="A945" s="12" t="n"/>
      <c r="B945" s="13">
        <f>IF($A945="","",IFERROR(INDEX(Emp_Names,MATCH($A945,Emp_Codes,0)),"NOT FOUND"))</f>
        <v/>
      </c>
      <c r="C945" s="14" t="n"/>
      <c r="D945" s="15" t="n"/>
      <c r="E945" s="15" t="n"/>
      <c r="F945" s="15" t="n"/>
      <c r="G945" s="15" t="n"/>
      <c r="H945" s="16">
        <f>IF($A945="","",$D945+IF($E945="",0,$E945)+IF($F945="",0,$F945)-IF($G945="",0,$G945))</f>
        <v/>
      </c>
      <c r="I945" s="12" t="n"/>
      <c r="J945" s="12" t="n"/>
      <c r="K945" s="12" t="n"/>
      <c r="L945" s="14" t="n"/>
      <c r="M945" s="12" t="n"/>
      <c r="N945" s="12" t="n"/>
      <c r="O945" s="12" t="n"/>
    </row>
    <row r="946">
      <c r="A946" s="12" t="n"/>
      <c r="B946" s="13">
        <f>IF($A946="","",IFERROR(INDEX(Emp_Names,MATCH($A946,Emp_Codes,0)),"NOT FOUND"))</f>
        <v/>
      </c>
      <c r="C946" s="14" t="n"/>
      <c r="D946" s="15" t="n"/>
      <c r="E946" s="15" t="n"/>
      <c r="F946" s="15" t="n"/>
      <c r="G946" s="15" t="n"/>
      <c r="H946" s="16">
        <f>IF($A946="","",$D946+IF($E946="",0,$E946)+IF($F946="",0,$F946)-IF($G946="",0,$G946))</f>
        <v/>
      </c>
      <c r="I946" s="12" t="n"/>
      <c r="J946" s="12" t="n"/>
      <c r="K946" s="12" t="n"/>
      <c r="L946" s="14" t="n"/>
      <c r="M946" s="12" t="n"/>
      <c r="N946" s="12" t="n"/>
      <c r="O946" s="12" t="n"/>
    </row>
    <row r="947">
      <c r="A947" s="12" t="n"/>
      <c r="B947" s="13">
        <f>IF($A947="","",IFERROR(INDEX(Emp_Names,MATCH($A947,Emp_Codes,0)),"NOT FOUND"))</f>
        <v/>
      </c>
      <c r="C947" s="14" t="n"/>
      <c r="D947" s="15" t="n"/>
      <c r="E947" s="15" t="n"/>
      <c r="F947" s="15" t="n"/>
      <c r="G947" s="15" t="n"/>
      <c r="H947" s="16">
        <f>IF($A947="","",$D947+IF($E947="",0,$E947)+IF($F947="",0,$F947)-IF($G947="",0,$G947))</f>
        <v/>
      </c>
      <c r="I947" s="12" t="n"/>
      <c r="J947" s="12" t="n"/>
      <c r="K947" s="12" t="n"/>
      <c r="L947" s="14" t="n"/>
      <c r="M947" s="12" t="n"/>
      <c r="N947" s="12" t="n"/>
      <c r="O947" s="12" t="n"/>
    </row>
    <row r="948">
      <c r="A948" s="12" t="n"/>
      <c r="B948" s="13">
        <f>IF($A948="","",IFERROR(INDEX(Emp_Names,MATCH($A948,Emp_Codes,0)),"NOT FOUND"))</f>
        <v/>
      </c>
      <c r="C948" s="14" t="n"/>
      <c r="D948" s="15" t="n"/>
      <c r="E948" s="15" t="n"/>
      <c r="F948" s="15" t="n"/>
      <c r="G948" s="15" t="n"/>
      <c r="H948" s="16">
        <f>IF($A948="","",$D948+IF($E948="",0,$E948)+IF($F948="",0,$F948)-IF($G948="",0,$G948))</f>
        <v/>
      </c>
      <c r="I948" s="12" t="n"/>
      <c r="J948" s="12" t="n"/>
      <c r="K948" s="12" t="n"/>
      <c r="L948" s="14" t="n"/>
      <c r="M948" s="12" t="n"/>
      <c r="N948" s="12" t="n"/>
      <c r="O948" s="12" t="n"/>
    </row>
    <row r="949">
      <c r="A949" s="12" t="n"/>
      <c r="B949" s="13">
        <f>IF($A949="","",IFERROR(INDEX(Emp_Names,MATCH($A949,Emp_Codes,0)),"NOT FOUND"))</f>
        <v/>
      </c>
      <c r="C949" s="14" t="n"/>
      <c r="D949" s="15" t="n"/>
      <c r="E949" s="15" t="n"/>
      <c r="F949" s="15" t="n"/>
      <c r="G949" s="15" t="n"/>
      <c r="H949" s="16">
        <f>IF($A949="","",$D949+IF($E949="",0,$E949)+IF($F949="",0,$F949)-IF($G949="",0,$G949))</f>
        <v/>
      </c>
      <c r="I949" s="12" t="n"/>
      <c r="J949" s="12" t="n"/>
      <c r="K949" s="12" t="n"/>
      <c r="L949" s="14" t="n"/>
      <c r="M949" s="12" t="n"/>
      <c r="N949" s="12" t="n"/>
      <c r="O949" s="12" t="n"/>
    </row>
    <row r="950">
      <c r="A950" s="12" t="n"/>
      <c r="B950" s="13">
        <f>IF($A950="","",IFERROR(INDEX(Emp_Names,MATCH($A950,Emp_Codes,0)),"NOT FOUND"))</f>
        <v/>
      </c>
      <c r="C950" s="14" t="n"/>
      <c r="D950" s="15" t="n"/>
      <c r="E950" s="15" t="n"/>
      <c r="F950" s="15" t="n"/>
      <c r="G950" s="15" t="n"/>
      <c r="H950" s="16">
        <f>IF($A950="","",$D950+IF($E950="",0,$E950)+IF($F950="",0,$F950)-IF($G950="",0,$G950))</f>
        <v/>
      </c>
      <c r="I950" s="12" t="n"/>
      <c r="J950" s="12" t="n"/>
      <c r="K950" s="12" t="n"/>
      <c r="L950" s="14" t="n"/>
      <c r="M950" s="12" t="n"/>
      <c r="N950" s="12" t="n"/>
      <c r="O950" s="12" t="n"/>
    </row>
    <row r="951">
      <c r="A951" s="12" t="n"/>
      <c r="B951" s="13">
        <f>IF($A951="","",IFERROR(INDEX(Emp_Names,MATCH($A951,Emp_Codes,0)),"NOT FOUND"))</f>
        <v/>
      </c>
      <c r="C951" s="14" t="n"/>
      <c r="D951" s="15" t="n"/>
      <c r="E951" s="15" t="n"/>
      <c r="F951" s="15" t="n"/>
      <c r="G951" s="15" t="n"/>
      <c r="H951" s="16">
        <f>IF($A951="","",$D951+IF($E951="",0,$E951)+IF($F951="",0,$F951)-IF($G951="",0,$G951))</f>
        <v/>
      </c>
      <c r="I951" s="12" t="n"/>
      <c r="J951" s="12" t="n"/>
      <c r="K951" s="12" t="n"/>
      <c r="L951" s="14" t="n"/>
      <c r="M951" s="12" t="n"/>
      <c r="N951" s="12" t="n"/>
      <c r="O951" s="12" t="n"/>
    </row>
    <row r="952">
      <c r="A952" s="12" t="n"/>
      <c r="B952" s="13">
        <f>IF($A952="","",IFERROR(INDEX(Emp_Names,MATCH($A952,Emp_Codes,0)),"NOT FOUND"))</f>
        <v/>
      </c>
      <c r="C952" s="14" t="n"/>
      <c r="D952" s="15" t="n"/>
      <c r="E952" s="15" t="n"/>
      <c r="F952" s="15" t="n"/>
      <c r="G952" s="15" t="n"/>
      <c r="H952" s="16">
        <f>IF($A952="","",$D952+IF($E952="",0,$E952)+IF($F952="",0,$F952)-IF($G952="",0,$G952))</f>
        <v/>
      </c>
      <c r="I952" s="12" t="n"/>
      <c r="J952" s="12" t="n"/>
      <c r="K952" s="12" t="n"/>
      <c r="L952" s="14" t="n"/>
      <c r="M952" s="12" t="n"/>
      <c r="N952" s="12" t="n"/>
      <c r="O952" s="12" t="n"/>
    </row>
    <row r="953">
      <c r="A953" s="12" t="n"/>
      <c r="B953" s="13">
        <f>IF($A953="","",IFERROR(INDEX(Emp_Names,MATCH($A953,Emp_Codes,0)),"NOT FOUND"))</f>
        <v/>
      </c>
      <c r="C953" s="14" t="n"/>
      <c r="D953" s="15" t="n"/>
      <c r="E953" s="15" t="n"/>
      <c r="F953" s="15" t="n"/>
      <c r="G953" s="15" t="n"/>
      <c r="H953" s="16">
        <f>IF($A953="","",$D953+IF($E953="",0,$E953)+IF($F953="",0,$F953)-IF($G953="",0,$G953))</f>
        <v/>
      </c>
      <c r="I953" s="12" t="n"/>
      <c r="J953" s="12" t="n"/>
      <c r="K953" s="12" t="n"/>
      <c r="L953" s="14" t="n"/>
      <c r="M953" s="12" t="n"/>
      <c r="N953" s="12" t="n"/>
      <c r="O953" s="12" t="n"/>
    </row>
    <row r="954">
      <c r="A954" s="12" t="n"/>
      <c r="B954" s="13">
        <f>IF($A954="","",IFERROR(INDEX(Emp_Names,MATCH($A954,Emp_Codes,0)),"NOT FOUND"))</f>
        <v/>
      </c>
      <c r="C954" s="14" t="n"/>
      <c r="D954" s="15" t="n"/>
      <c r="E954" s="15" t="n"/>
      <c r="F954" s="15" t="n"/>
      <c r="G954" s="15" t="n"/>
      <c r="H954" s="16">
        <f>IF($A954="","",$D954+IF($E954="",0,$E954)+IF($F954="",0,$F954)-IF($G954="",0,$G954))</f>
        <v/>
      </c>
      <c r="I954" s="12" t="n"/>
      <c r="J954" s="12" t="n"/>
      <c r="K954" s="12" t="n"/>
      <c r="L954" s="14" t="n"/>
      <c r="M954" s="12" t="n"/>
      <c r="N954" s="12" t="n"/>
      <c r="O954" s="12" t="n"/>
    </row>
    <row r="955">
      <c r="A955" s="12" t="n"/>
      <c r="B955" s="13">
        <f>IF($A955="","",IFERROR(INDEX(Emp_Names,MATCH($A955,Emp_Codes,0)),"NOT FOUND"))</f>
        <v/>
      </c>
      <c r="C955" s="14" t="n"/>
      <c r="D955" s="15" t="n"/>
      <c r="E955" s="15" t="n"/>
      <c r="F955" s="15" t="n"/>
      <c r="G955" s="15" t="n"/>
      <c r="H955" s="16">
        <f>IF($A955="","",$D955+IF($E955="",0,$E955)+IF($F955="",0,$F955)-IF($G955="",0,$G955))</f>
        <v/>
      </c>
      <c r="I955" s="12" t="n"/>
      <c r="J955" s="12" t="n"/>
      <c r="K955" s="12" t="n"/>
      <c r="L955" s="14" t="n"/>
      <c r="M955" s="12" t="n"/>
      <c r="N955" s="12" t="n"/>
      <c r="O955" s="12" t="n"/>
    </row>
    <row r="956">
      <c r="A956" s="12" t="n"/>
      <c r="B956" s="13">
        <f>IF($A956="","",IFERROR(INDEX(Emp_Names,MATCH($A956,Emp_Codes,0)),"NOT FOUND"))</f>
        <v/>
      </c>
      <c r="C956" s="14" t="n"/>
      <c r="D956" s="15" t="n"/>
      <c r="E956" s="15" t="n"/>
      <c r="F956" s="15" t="n"/>
      <c r="G956" s="15" t="n"/>
      <c r="H956" s="16">
        <f>IF($A956="","",$D956+IF($E956="",0,$E956)+IF($F956="",0,$F956)-IF($G956="",0,$G956))</f>
        <v/>
      </c>
      <c r="I956" s="12" t="n"/>
      <c r="J956" s="12" t="n"/>
      <c r="K956" s="12" t="n"/>
      <c r="L956" s="14" t="n"/>
      <c r="M956" s="12" t="n"/>
      <c r="N956" s="12" t="n"/>
      <c r="O956" s="12" t="n"/>
    </row>
    <row r="957">
      <c r="A957" s="12" t="n"/>
      <c r="B957" s="13">
        <f>IF($A957="","",IFERROR(INDEX(Emp_Names,MATCH($A957,Emp_Codes,0)),"NOT FOUND"))</f>
        <v/>
      </c>
      <c r="C957" s="14" t="n"/>
      <c r="D957" s="15" t="n"/>
      <c r="E957" s="15" t="n"/>
      <c r="F957" s="15" t="n"/>
      <c r="G957" s="15" t="n"/>
      <c r="H957" s="16">
        <f>IF($A957="","",$D957+IF($E957="",0,$E957)+IF($F957="",0,$F957)-IF($G957="",0,$G957))</f>
        <v/>
      </c>
      <c r="I957" s="12" t="n"/>
      <c r="J957" s="12" t="n"/>
      <c r="K957" s="12" t="n"/>
      <c r="L957" s="14" t="n"/>
      <c r="M957" s="12" t="n"/>
      <c r="N957" s="12" t="n"/>
      <c r="O957" s="12" t="n"/>
    </row>
    <row r="958">
      <c r="A958" s="12" t="n"/>
      <c r="B958" s="13">
        <f>IF($A958="","",IFERROR(INDEX(Emp_Names,MATCH($A958,Emp_Codes,0)),"NOT FOUND"))</f>
        <v/>
      </c>
      <c r="C958" s="14" t="n"/>
      <c r="D958" s="15" t="n"/>
      <c r="E958" s="15" t="n"/>
      <c r="F958" s="15" t="n"/>
      <c r="G958" s="15" t="n"/>
      <c r="H958" s="16">
        <f>IF($A958="","",$D958+IF($E958="",0,$E958)+IF($F958="",0,$F958)-IF($G958="",0,$G958))</f>
        <v/>
      </c>
      <c r="I958" s="12" t="n"/>
      <c r="J958" s="12" t="n"/>
      <c r="K958" s="12" t="n"/>
      <c r="L958" s="14" t="n"/>
      <c r="M958" s="12" t="n"/>
      <c r="N958" s="12" t="n"/>
      <c r="O958" s="12" t="n"/>
    </row>
    <row r="959">
      <c r="A959" s="12" t="n"/>
      <c r="B959" s="13">
        <f>IF($A959="","",IFERROR(INDEX(Emp_Names,MATCH($A959,Emp_Codes,0)),"NOT FOUND"))</f>
        <v/>
      </c>
      <c r="C959" s="14" t="n"/>
      <c r="D959" s="15" t="n"/>
      <c r="E959" s="15" t="n"/>
      <c r="F959" s="15" t="n"/>
      <c r="G959" s="15" t="n"/>
      <c r="H959" s="16">
        <f>IF($A959="","",$D959+IF($E959="",0,$E959)+IF($F959="",0,$F959)-IF($G959="",0,$G959))</f>
        <v/>
      </c>
      <c r="I959" s="12" t="n"/>
      <c r="J959" s="12" t="n"/>
      <c r="K959" s="12" t="n"/>
      <c r="L959" s="14" t="n"/>
      <c r="M959" s="12" t="n"/>
      <c r="N959" s="12" t="n"/>
      <c r="O959" s="12" t="n"/>
    </row>
    <row r="960">
      <c r="A960" s="12" t="n"/>
      <c r="B960" s="13">
        <f>IF($A960="","",IFERROR(INDEX(Emp_Names,MATCH($A960,Emp_Codes,0)),"NOT FOUND"))</f>
        <v/>
      </c>
      <c r="C960" s="14" t="n"/>
      <c r="D960" s="15" t="n"/>
      <c r="E960" s="15" t="n"/>
      <c r="F960" s="15" t="n"/>
      <c r="G960" s="15" t="n"/>
      <c r="H960" s="16">
        <f>IF($A960="","",$D960+IF($E960="",0,$E960)+IF($F960="",0,$F960)-IF($G960="",0,$G960))</f>
        <v/>
      </c>
      <c r="I960" s="12" t="n"/>
      <c r="J960" s="12" t="n"/>
      <c r="K960" s="12" t="n"/>
      <c r="L960" s="14" t="n"/>
      <c r="M960" s="12" t="n"/>
      <c r="N960" s="12" t="n"/>
      <c r="O960" s="12" t="n"/>
    </row>
    <row r="961">
      <c r="A961" s="12" t="n"/>
      <c r="B961" s="13">
        <f>IF($A961="","",IFERROR(INDEX(Emp_Names,MATCH($A961,Emp_Codes,0)),"NOT FOUND"))</f>
        <v/>
      </c>
      <c r="C961" s="14" t="n"/>
      <c r="D961" s="15" t="n"/>
      <c r="E961" s="15" t="n"/>
      <c r="F961" s="15" t="n"/>
      <c r="G961" s="15" t="n"/>
      <c r="H961" s="16">
        <f>IF($A961="","",$D961+IF($E961="",0,$E961)+IF($F961="",0,$F961)-IF($G961="",0,$G961))</f>
        <v/>
      </c>
      <c r="I961" s="12" t="n"/>
      <c r="J961" s="12" t="n"/>
      <c r="K961" s="12" t="n"/>
      <c r="L961" s="14" t="n"/>
      <c r="M961" s="12" t="n"/>
      <c r="N961" s="12" t="n"/>
      <c r="O961" s="12" t="n"/>
    </row>
    <row r="962">
      <c r="A962" s="12" t="n"/>
      <c r="B962" s="13">
        <f>IF($A962="","",IFERROR(INDEX(Emp_Names,MATCH($A962,Emp_Codes,0)),"NOT FOUND"))</f>
        <v/>
      </c>
      <c r="C962" s="14" t="n"/>
      <c r="D962" s="15" t="n"/>
      <c r="E962" s="15" t="n"/>
      <c r="F962" s="15" t="n"/>
      <c r="G962" s="15" t="n"/>
      <c r="H962" s="16">
        <f>IF($A962="","",$D962+IF($E962="",0,$E962)+IF($F962="",0,$F962)-IF($G962="",0,$G962))</f>
        <v/>
      </c>
      <c r="I962" s="12" t="n"/>
      <c r="J962" s="12" t="n"/>
      <c r="K962" s="12" t="n"/>
      <c r="L962" s="14" t="n"/>
      <c r="M962" s="12" t="n"/>
      <c r="N962" s="12" t="n"/>
      <c r="O962" s="12" t="n"/>
    </row>
    <row r="963">
      <c r="A963" s="12" t="n"/>
      <c r="B963" s="13">
        <f>IF($A963="","",IFERROR(INDEX(Emp_Names,MATCH($A963,Emp_Codes,0)),"NOT FOUND"))</f>
        <v/>
      </c>
      <c r="C963" s="14" t="n"/>
      <c r="D963" s="15" t="n"/>
      <c r="E963" s="15" t="n"/>
      <c r="F963" s="15" t="n"/>
      <c r="G963" s="15" t="n"/>
      <c r="H963" s="16">
        <f>IF($A963="","",$D963+IF($E963="",0,$E963)+IF($F963="",0,$F963)-IF($G963="",0,$G963))</f>
        <v/>
      </c>
      <c r="I963" s="12" t="n"/>
      <c r="J963" s="12" t="n"/>
      <c r="K963" s="12" t="n"/>
      <c r="L963" s="14" t="n"/>
      <c r="M963" s="12" t="n"/>
      <c r="N963" s="12" t="n"/>
      <c r="O963" s="12" t="n"/>
    </row>
    <row r="964">
      <c r="A964" s="12" t="n"/>
      <c r="B964" s="13">
        <f>IF($A964="","",IFERROR(INDEX(Emp_Names,MATCH($A964,Emp_Codes,0)),"NOT FOUND"))</f>
        <v/>
      </c>
      <c r="C964" s="14" t="n"/>
      <c r="D964" s="15" t="n"/>
      <c r="E964" s="15" t="n"/>
      <c r="F964" s="15" t="n"/>
      <c r="G964" s="15" t="n"/>
      <c r="H964" s="16">
        <f>IF($A964="","",$D964+IF($E964="",0,$E964)+IF($F964="",0,$F964)-IF($G964="",0,$G964))</f>
        <v/>
      </c>
      <c r="I964" s="12" t="n"/>
      <c r="J964" s="12" t="n"/>
      <c r="K964" s="12" t="n"/>
      <c r="L964" s="14" t="n"/>
      <c r="M964" s="12" t="n"/>
      <c r="N964" s="12" t="n"/>
      <c r="O964" s="12" t="n"/>
    </row>
    <row r="965">
      <c r="A965" s="12" t="n"/>
      <c r="B965" s="13">
        <f>IF($A965="","",IFERROR(INDEX(Emp_Names,MATCH($A965,Emp_Codes,0)),"NOT FOUND"))</f>
        <v/>
      </c>
      <c r="C965" s="14" t="n"/>
      <c r="D965" s="15" t="n"/>
      <c r="E965" s="15" t="n"/>
      <c r="F965" s="15" t="n"/>
      <c r="G965" s="15" t="n"/>
      <c r="H965" s="16">
        <f>IF($A965="","",$D965+IF($E965="",0,$E965)+IF($F965="",0,$F965)-IF($G965="",0,$G965))</f>
        <v/>
      </c>
      <c r="I965" s="12" t="n"/>
      <c r="J965" s="12" t="n"/>
      <c r="K965" s="12" t="n"/>
      <c r="L965" s="14" t="n"/>
      <c r="M965" s="12" t="n"/>
      <c r="N965" s="12" t="n"/>
      <c r="O965" s="12" t="n"/>
    </row>
    <row r="966">
      <c r="A966" s="12" t="n"/>
      <c r="B966" s="13">
        <f>IF($A966="","",IFERROR(INDEX(Emp_Names,MATCH($A966,Emp_Codes,0)),"NOT FOUND"))</f>
        <v/>
      </c>
      <c r="C966" s="14" t="n"/>
      <c r="D966" s="15" t="n"/>
      <c r="E966" s="15" t="n"/>
      <c r="F966" s="15" t="n"/>
      <c r="G966" s="15" t="n"/>
      <c r="H966" s="16">
        <f>IF($A966="","",$D966+IF($E966="",0,$E966)+IF($F966="",0,$F966)-IF($G966="",0,$G966))</f>
        <v/>
      </c>
      <c r="I966" s="12" t="n"/>
      <c r="J966" s="12" t="n"/>
      <c r="K966" s="12" t="n"/>
      <c r="L966" s="14" t="n"/>
      <c r="M966" s="12" t="n"/>
      <c r="N966" s="12" t="n"/>
      <c r="O966" s="12" t="n"/>
    </row>
    <row r="967">
      <c r="A967" s="12" t="n"/>
      <c r="B967" s="13">
        <f>IF($A967="","",IFERROR(INDEX(Emp_Names,MATCH($A967,Emp_Codes,0)),"NOT FOUND"))</f>
        <v/>
      </c>
      <c r="C967" s="14" t="n"/>
      <c r="D967" s="15" t="n"/>
      <c r="E967" s="15" t="n"/>
      <c r="F967" s="15" t="n"/>
      <c r="G967" s="15" t="n"/>
      <c r="H967" s="16">
        <f>IF($A967="","",$D967+IF($E967="",0,$E967)+IF($F967="",0,$F967)-IF($G967="",0,$G967))</f>
        <v/>
      </c>
      <c r="I967" s="12" t="n"/>
      <c r="J967" s="12" t="n"/>
      <c r="K967" s="12" t="n"/>
      <c r="L967" s="14" t="n"/>
      <c r="M967" s="12" t="n"/>
      <c r="N967" s="12" t="n"/>
      <c r="O967" s="12" t="n"/>
    </row>
    <row r="968">
      <c r="A968" s="12" t="n"/>
      <c r="B968" s="13">
        <f>IF($A968="","",IFERROR(INDEX(Emp_Names,MATCH($A968,Emp_Codes,0)),"NOT FOUND"))</f>
        <v/>
      </c>
      <c r="C968" s="14" t="n"/>
      <c r="D968" s="15" t="n"/>
      <c r="E968" s="15" t="n"/>
      <c r="F968" s="15" t="n"/>
      <c r="G968" s="15" t="n"/>
      <c r="H968" s="16">
        <f>IF($A968="","",$D968+IF($E968="",0,$E968)+IF($F968="",0,$F968)-IF($G968="",0,$G968))</f>
        <v/>
      </c>
      <c r="I968" s="12" t="n"/>
      <c r="J968" s="12" t="n"/>
      <c r="K968" s="12" t="n"/>
      <c r="L968" s="14" t="n"/>
      <c r="M968" s="12" t="n"/>
      <c r="N968" s="12" t="n"/>
      <c r="O968" s="12" t="n"/>
    </row>
    <row r="969">
      <c r="A969" s="12" t="n"/>
      <c r="B969" s="13">
        <f>IF($A969="","",IFERROR(INDEX(Emp_Names,MATCH($A969,Emp_Codes,0)),"NOT FOUND"))</f>
        <v/>
      </c>
      <c r="C969" s="14" t="n"/>
      <c r="D969" s="15" t="n"/>
      <c r="E969" s="15" t="n"/>
      <c r="F969" s="15" t="n"/>
      <c r="G969" s="15" t="n"/>
      <c r="H969" s="16">
        <f>IF($A969="","",$D969+IF($E969="",0,$E969)+IF($F969="",0,$F969)-IF($G969="",0,$G969))</f>
        <v/>
      </c>
      <c r="I969" s="12" t="n"/>
      <c r="J969" s="12" t="n"/>
      <c r="K969" s="12" t="n"/>
      <c r="L969" s="14" t="n"/>
      <c r="M969" s="12" t="n"/>
      <c r="N969" s="12" t="n"/>
      <c r="O969" s="12" t="n"/>
    </row>
    <row r="970">
      <c r="A970" s="12" t="n"/>
      <c r="B970" s="13">
        <f>IF($A970="","",IFERROR(INDEX(Emp_Names,MATCH($A970,Emp_Codes,0)),"NOT FOUND"))</f>
        <v/>
      </c>
      <c r="C970" s="14" t="n"/>
      <c r="D970" s="15" t="n"/>
      <c r="E970" s="15" t="n"/>
      <c r="F970" s="15" t="n"/>
      <c r="G970" s="15" t="n"/>
      <c r="H970" s="16">
        <f>IF($A970="","",$D970+IF($E970="",0,$E970)+IF($F970="",0,$F970)-IF($G970="",0,$G970))</f>
        <v/>
      </c>
      <c r="I970" s="12" t="n"/>
      <c r="J970" s="12" t="n"/>
      <c r="K970" s="12" t="n"/>
      <c r="L970" s="14" t="n"/>
      <c r="M970" s="12" t="n"/>
      <c r="N970" s="12" t="n"/>
      <c r="O970" s="12" t="n"/>
    </row>
    <row r="971">
      <c r="A971" s="12" t="n"/>
      <c r="B971" s="13">
        <f>IF($A971="","",IFERROR(INDEX(Emp_Names,MATCH($A971,Emp_Codes,0)),"NOT FOUND"))</f>
        <v/>
      </c>
      <c r="C971" s="14" t="n"/>
      <c r="D971" s="15" t="n"/>
      <c r="E971" s="15" t="n"/>
      <c r="F971" s="15" t="n"/>
      <c r="G971" s="15" t="n"/>
      <c r="H971" s="16">
        <f>IF($A971="","",$D971+IF($E971="",0,$E971)+IF($F971="",0,$F971)-IF($G971="",0,$G971))</f>
        <v/>
      </c>
      <c r="I971" s="12" t="n"/>
      <c r="J971" s="12" t="n"/>
      <c r="K971" s="12" t="n"/>
      <c r="L971" s="14" t="n"/>
      <c r="M971" s="12" t="n"/>
      <c r="N971" s="12" t="n"/>
      <c r="O971" s="12" t="n"/>
    </row>
    <row r="972">
      <c r="A972" s="12" t="n"/>
      <c r="B972" s="13">
        <f>IF($A972="","",IFERROR(INDEX(Emp_Names,MATCH($A972,Emp_Codes,0)),"NOT FOUND"))</f>
        <v/>
      </c>
      <c r="C972" s="14" t="n"/>
      <c r="D972" s="15" t="n"/>
      <c r="E972" s="15" t="n"/>
      <c r="F972" s="15" t="n"/>
      <c r="G972" s="15" t="n"/>
      <c r="H972" s="16">
        <f>IF($A972="","",$D972+IF($E972="",0,$E972)+IF($F972="",0,$F972)-IF($G972="",0,$G972))</f>
        <v/>
      </c>
      <c r="I972" s="12" t="n"/>
      <c r="J972" s="12" t="n"/>
      <c r="K972" s="12" t="n"/>
      <c r="L972" s="14" t="n"/>
      <c r="M972" s="12" t="n"/>
      <c r="N972" s="12" t="n"/>
      <c r="O972" s="12" t="n"/>
    </row>
    <row r="973">
      <c r="A973" s="12" t="n"/>
      <c r="B973" s="13">
        <f>IF($A973="","",IFERROR(INDEX(Emp_Names,MATCH($A973,Emp_Codes,0)),"NOT FOUND"))</f>
        <v/>
      </c>
      <c r="C973" s="14" t="n"/>
      <c r="D973" s="15" t="n"/>
      <c r="E973" s="15" t="n"/>
      <c r="F973" s="15" t="n"/>
      <c r="G973" s="15" t="n"/>
      <c r="H973" s="16">
        <f>IF($A973="","",$D973+IF($E973="",0,$E973)+IF($F973="",0,$F973)-IF($G973="",0,$G973))</f>
        <v/>
      </c>
      <c r="I973" s="12" t="n"/>
      <c r="J973" s="12" t="n"/>
      <c r="K973" s="12" t="n"/>
      <c r="L973" s="14" t="n"/>
      <c r="M973" s="12" t="n"/>
      <c r="N973" s="12" t="n"/>
      <c r="O973" s="12" t="n"/>
    </row>
    <row r="974">
      <c r="A974" s="12" t="n"/>
      <c r="B974" s="13">
        <f>IF($A974="","",IFERROR(INDEX(Emp_Names,MATCH($A974,Emp_Codes,0)),"NOT FOUND"))</f>
        <v/>
      </c>
      <c r="C974" s="14" t="n"/>
      <c r="D974" s="15" t="n"/>
      <c r="E974" s="15" t="n"/>
      <c r="F974" s="15" t="n"/>
      <c r="G974" s="15" t="n"/>
      <c r="H974" s="16">
        <f>IF($A974="","",$D974+IF($E974="",0,$E974)+IF($F974="",0,$F974)-IF($G974="",0,$G974))</f>
        <v/>
      </c>
      <c r="I974" s="12" t="n"/>
      <c r="J974" s="12" t="n"/>
      <c r="K974" s="12" t="n"/>
      <c r="L974" s="14" t="n"/>
      <c r="M974" s="12" t="n"/>
      <c r="N974" s="12" t="n"/>
      <c r="O974" s="12" t="n"/>
    </row>
    <row r="975">
      <c r="A975" s="12" t="n"/>
      <c r="B975" s="13">
        <f>IF($A975="","",IFERROR(INDEX(Emp_Names,MATCH($A975,Emp_Codes,0)),"NOT FOUND"))</f>
        <v/>
      </c>
      <c r="C975" s="14" t="n"/>
      <c r="D975" s="15" t="n"/>
      <c r="E975" s="15" t="n"/>
      <c r="F975" s="15" t="n"/>
      <c r="G975" s="15" t="n"/>
      <c r="H975" s="16">
        <f>IF($A975="","",$D975+IF($E975="",0,$E975)+IF($F975="",0,$F975)-IF($G975="",0,$G975))</f>
        <v/>
      </c>
      <c r="I975" s="12" t="n"/>
      <c r="J975" s="12" t="n"/>
      <c r="K975" s="12" t="n"/>
      <c r="L975" s="14" t="n"/>
      <c r="M975" s="12" t="n"/>
      <c r="N975" s="12" t="n"/>
      <c r="O975" s="12" t="n"/>
    </row>
    <row r="976">
      <c r="A976" s="12" t="n"/>
      <c r="B976" s="13">
        <f>IF($A976="","",IFERROR(INDEX(Emp_Names,MATCH($A976,Emp_Codes,0)),"NOT FOUND"))</f>
        <v/>
      </c>
      <c r="C976" s="14" t="n"/>
      <c r="D976" s="15" t="n"/>
      <c r="E976" s="15" t="n"/>
      <c r="F976" s="15" t="n"/>
      <c r="G976" s="15" t="n"/>
      <c r="H976" s="16">
        <f>IF($A976="","",$D976+IF($E976="",0,$E976)+IF($F976="",0,$F976)-IF($G976="",0,$G976))</f>
        <v/>
      </c>
      <c r="I976" s="12" t="n"/>
      <c r="J976" s="12" t="n"/>
      <c r="K976" s="12" t="n"/>
      <c r="L976" s="14" t="n"/>
      <c r="M976" s="12" t="n"/>
      <c r="N976" s="12" t="n"/>
      <c r="O976" s="12" t="n"/>
    </row>
    <row r="977">
      <c r="A977" s="12" t="n"/>
      <c r="B977" s="13">
        <f>IF($A977="","",IFERROR(INDEX(Emp_Names,MATCH($A977,Emp_Codes,0)),"NOT FOUND"))</f>
        <v/>
      </c>
      <c r="C977" s="14" t="n"/>
      <c r="D977" s="15" t="n"/>
      <c r="E977" s="15" t="n"/>
      <c r="F977" s="15" t="n"/>
      <c r="G977" s="15" t="n"/>
      <c r="H977" s="16">
        <f>IF($A977="","",$D977+IF($E977="",0,$E977)+IF($F977="",0,$F977)-IF($G977="",0,$G977))</f>
        <v/>
      </c>
      <c r="I977" s="12" t="n"/>
      <c r="J977" s="12" t="n"/>
      <c r="K977" s="12" t="n"/>
      <c r="L977" s="14" t="n"/>
      <c r="M977" s="12" t="n"/>
      <c r="N977" s="12" t="n"/>
      <c r="O977" s="12" t="n"/>
    </row>
    <row r="978">
      <c r="A978" s="12" t="n"/>
      <c r="B978" s="13">
        <f>IF($A978="","",IFERROR(INDEX(Emp_Names,MATCH($A978,Emp_Codes,0)),"NOT FOUND"))</f>
        <v/>
      </c>
      <c r="C978" s="14" t="n"/>
      <c r="D978" s="15" t="n"/>
      <c r="E978" s="15" t="n"/>
      <c r="F978" s="15" t="n"/>
      <c r="G978" s="15" t="n"/>
      <c r="H978" s="16">
        <f>IF($A978="","",$D978+IF($E978="",0,$E978)+IF($F978="",0,$F978)-IF($G978="",0,$G978))</f>
        <v/>
      </c>
      <c r="I978" s="12" t="n"/>
      <c r="J978" s="12" t="n"/>
      <c r="K978" s="12" t="n"/>
      <c r="L978" s="14" t="n"/>
      <c r="M978" s="12" t="n"/>
      <c r="N978" s="12" t="n"/>
      <c r="O978" s="12" t="n"/>
    </row>
    <row r="979">
      <c r="A979" s="12" t="n"/>
      <c r="B979" s="13">
        <f>IF($A979="","",IFERROR(INDEX(Emp_Names,MATCH($A979,Emp_Codes,0)),"NOT FOUND"))</f>
        <v/>
      </c>
      <c r="C979" s="14" t="n"/>
      <c r="D979" s="15" t="n"/>
      <c r="E979" s="15" t="n"/>
      <c r="F979" s="15" t="n"/>
      <c r="G979" s="15" t="n"/>
      <c r="H979" s="16">
        <f>IF($A979="","",$D979+IF($E979="",0,$E979)+IF($F979="",0,$F979)-IF($G979="",0,$G979))</f>
        <v/>
      </c>
      <c r="I979" s="12" t="n"/>
      <c r="J979" s="12" t="n"/>
      <c r="K979" s="12" t="n"/>
      <c r="L979" s="14" t="n"/>
      <c r="M979" s="12" t="n"/>
      <c r="N979" s="12" t="n"/>
      <c r="O979" s="12" t="n"/>
    </row>
    <row r="980">
      <c r="A980" s="12" t="n"/>
      <c r="B980" s="13">
        <f>IF($A980="","",IFERROR(INDEX(Emp_Names,MATCH($A980,Emp_Codes,0)),"NOT FOUND"))</f>
        <v/>
      </c>
      <c r="C980" s="14" t="n"/>
      <c r="D980" s="15" t="n"/>
      <c r="E980" s="15" t="n"/>
      <c r="F980" s="15" t="n"/>
      <c r="G980" s="15" t="n"/>
      <c r="H980" s="16">
        <f>IF($A980="","",$D980+IF($E980="",0,$E980)+IF($F980="",0,$F980)-IF($G980="",0,$G980))</f>
        <v/>
      </c>
      <c r="I980" s="12" t="n"/>
      <c r="J980" s="12" t="n"/>
      <c r="K980" s="12" t="n"/>
      <c r="L980" s="14" t="n"/>
      <c r="M980" s="12" t="n"/>
      <c r="N980" s="12" t="n"/>
      <c r="O980" s="12" t="n"/>
    </row>
    <row r="981">
      <c r="A981" s="12" t="n"/>
      <c r="B981" s="13">
        <f>IF($A981="","",IFERROR(INDEX(Emp_Names,MATCH($A981,Emp_Codes,0)),"NOT FOUND"))</f>
        <v/>
      </c>
      <c r="C981" s="14" t="n"/>
      <c r="D981" s="15" t="n"/>
      <c r="E981" s="15" t="n"/>
      <c r="F981" s="15" t="n"/>
      <c r="G981" s="15" t="n"/>
      <c r="H981" s="16">
        <f>IF($A981="","",$D981+IF($E981="",0,$E981)+IF($F981="",0,$F981)-IF($G981="",0,$G981))</f>
        <v/>
      </c>
      <c r="I981" s="12" t="n"/>
      <c r="J981" s="12" t="n"/>
      <c r="K981" s="12" t="n"/>
      <c r="L981" s="14" t="n"/>
      <c r="M981" s="12" t="n"/>
      <c r="N981" s="12" t="n"/>
      <c r="O981" s="12" t="n"/>
    </row>
    <row r="982">
      <c r="A982" s="12" t="n"/>
      <c r="B982" s="13">
        <f>IF($A982="","",IFERROR(INDEX(Emp_Names,MATCH($A982,Emp_Codes,0)),"NOT FOUND"))</f>
        <v/>
      </c>
      <c r="C982" s="14" t="n"/>
      <c r="D982" s="15" t="n"/>
      <c r="E982" s="15" t="n"/>
      <c r="F982" s="15" t="n"/>
      <c r="G982" s="15" t="n"/>
      <c r="H982" s="16">
        <f>IF($A982="","",$D982+IF($E982="",0,$E982)+IF($F982="",0,$F982)-IF($G982="",0,$G982))</f>
        <v/>
      </c>
      <c r="I982" s="12" t="n"/>
      <c r="J982" s="12" t="n"/>
      <c r="K982" s="12" t="n"/>
      <c r="L982" s="14" t="n"/>
      <c r="M982" s="12" t="n"/>
      <c r="N982" s="12" t="n"/>
      <c r="O982" s="12" t="n"/>
    </row>
    <row r="983">
      <c r="A983" s="12" t="n"/>
      <c r="B983" s="13">
        <f>IF($A983="","",IFERROR(INDEX(Emp_Names,MATCH($A983,Emp_Codes,0)),"NOT FOUND"))</f>
        <v/>
      </c>
      <c r="C983" s="14" t="n"/>
      <c r="D983" s="15" t="n"/>
      <c r="E983" s="15" t="n"/>
      <c r="F983" s="15" t="n"/>
      <c r="G983" s="15" t="n"/>
      <c r="H983" s="16">
        <f>IF($A983="","",$D983+IF($E983="",0,$E983)+IF($F983="",0,$F983)-IF($G983="",0,$G983))</f>
        <v/>
      </c>
      <c r="I983" s="12" t="n"/>
      <c r="J983" s="12" t="n"/>
      <c r="K983" s="12" t="n"/>
      <c r="L983" s="14" t="n"/>
      <c r="M983" s="12" t="n"/>
      <c r="N983" s="12" t="n"/>
      <c r="O983" s="12" t="n"/>
    </row>
    <row r="984">
      <c r="A984" s="12" t="n"/>
      <c r="B984" s="13">
        <f>IF($A984="","",IFERROR(INDEX(Emp_Names,MATCH($A984,Emp_Codes,0)),"NOT FOUND"))</f>
        <v/>
      </c>
      <c r="C984" s="14" t="n"/>
      <c r="D984" s="15" t="n"/>
      <c r="E984" s="15" t="n"/>
      <c r="F984" s="15" t="n"/>
      <c r="G984" s="15" t="n"/>
      <c r="H984" s="16">
        <f>IF($A984="","",$D984+IF($E984="",0,$E984)+IF($F984="",0,$F984)-IF($G984="",0,$G984))</f>
        <v/>
      </c>
      <c r="I984" s="12" t="n"/>
      <c r="J984" s="12" t="n"/>
      <c r="K984" s="12" t="n"/>
      <c r="L984" s="14" t="n"/>
      <c r="M984" s="12" t="n"/>
      <c r="N984" s="12" t="n"/>
      <c r="O984" s="12" t="n"/>
    </row>
    <row r="985">
      <c r="A985" s="12" t="n"/>
      <c r="B985" s="13">
        <f>IF($A985="","",IFERROR(INDEX(Emp_Names,MATCH($A985,Emp_Codes,0)),"NOT FOUND"))</f>
        <v/>
      </c>
      <c r="C985" s="14" t="n"/>
      <c r="D985" s="15" t="n"/>
      <c r="E985" s="15" t="n"/>
      <c r="F985" s="15" t="n"/>
      <c r="G985" s="15" t="n"/>
      <c r="H985" s="16">
        <f>IF($A985="","",$D985+IF($E985="",0,$E985)+IF($F985="",0,$F985)-IF($G985="",0,$G985))</f>
        <v/>
      </c>
      <c r="I985" s="12" t="n"/>
      <c r="J985" s="12" t="n"/>
      <c r="K985" s="12" t="n"/>
      <c r="L985" s="14" t="n"/>
      <c r="M985" s="12" t="n"/>
      <c r="N985" s="12" t="n"/>
      <c r="O985" s="12" t="n"/>
    </row>
    <row r="986">
      <c r="A986" s="12" t="n"/>
      <c r="B986" s="13">
        <f>IF($A986="","",IFERROR(INDEX(Emp_Names,MATCH($A986,Emp_Codes,0)),"NOT FOUND"))</f>
        <v/>
      </c>
      <c r="C986" s="14" t="n"/>
      <c r="D986" s="15" t="n"/>
      <c r="E986" s="15" t="n"/>
      <c r="F986" s="15" t="n"/>
      <c r="G986" s="15" t="n"/>
      <c r="H986" s="16">
        <f>IF($A986="","",$D986+IF($E986="",0,$E986)+IF($F986="",0,$F986)-IF($G986="",0,$G986))</f>
        <v/>
      </c>
      <c r="I986" s="12" t="n"/>
      <c r="J986" s="12" t="n"/>
      <c r="K986" s="12" t="n"/>
      <c r="L986" s="14" t="n"/>
      <c r="M986" s="12" t="n"/>
      <c r="N986" s="12" t="n"/>
      <c r="O986" s="12" t="n"/>
    </row>
    <row r="987">
      <c r="A987" s="12" t="n"/>
      <c r="B987" s="13">
        <f>IF($A987="","",IFERROR(INDEX(Emp_Names,MATCH($A987,Emp_Codes,0)),"NOT FOUND"))</f>
        <v/>
      </c>
      <c r="C987" s="14" t="n"/>
      <c r="D987" s="15" t="n"/>
      <c r="E987" s="15" t="n"/>
      <c r="F987" s="15" t="n"/>
      <c r="G987" s="15" t="n"/>
      <c r="H987" s="16">
        <f>IF($A987="","",$D987+IF($E987="",0,$E987)+IF($F987="",0,$F987)-IF($G987="",0,$G987))</f>
        <v/>
      </c>
      <c r="I987" s="12" t="n"/>
      <c r="J987" s="12" t="n"/>
      <c r="K987" s="12" t="n"/>
      <c r="L987" s="14" t="n"/>
      <c r="M987" s="12" t="n"/>
      <c r="N987" s="12" t="n"/>
      <c r="O987" s="12" t="n"/>
    </row>
    <row r="988">
      <c r="A988" s="12" t="n"/>
      <c r="B988" s="13">
        <f>IF($A988="","",IFERROR(INDEX(Emp_Names,MATCH($A988,Emp_Codes,0)),"NOT FOUND"))</f>
        <v/>
      </c>
      <c r="C988" s="14" t="n"/>
      <c r="D988" s="15" t="n"/>
      <c r="E988" s="15" t="n"/>
      <c r="F988" s="15" t="n"/>
      <c r="G988" s="15" t="n"/>
      <c r="H988" s="16">
        <f>IF($A988="","",$D988+IF($E988="",0,$E988)+IF($F988="",0,$F988)-IF($G988="",0,$G988))</f>
        <v/>
      </c>
      <c r="I988" s="12" t="n"/>
      <c r="J988" s="12" t="n"/>
      <c r="K988" s="12" t="n"/>
      <c r="L988" s="14" t="n"/>
      <c r="M988" s="12" t="n"/>
      <c r="N988" s="12" t="n"/>
      <c r="O988" s="12" t="n"/>
    </row>
    <row r="989">
      <c r="A989" s="12" t="n"/>
      <c r="B989" s="13">
        <f>IF($A989="","",IFERROR(INDEX(Emp_Names,MATCH($A989,Emp_Codes,0)),"NOT FOUND"))</f>
        <v/>
      </c>
      <c r="C989" s="14" t="n"/>
      <c r="D989" s="15" t="n"/>
      <c r="E989" s="15" t="n"/>
      <c r="F989" s="15" t="n"/>
      <c r="G989" s="15" t="n"/>
      <c r="H989" s="16">
        <f>IF($A989="","",$D989+IF($E989="",0,$E989)+IF($F989="",0,$F989)-IF($G989="",0,$G989))</f>
        <v/>
      </c>
      <c r="I989" s="12" t="n"/>
      <c r="J989" s="12" t="n"/>
      <c r="K989" s="12" t="n"/>
      <c r="L989" s="14" t="n"/>
      <c r="M989" s="12" t="n"/>
      <c r="N989" s="12" t="n"/>
      <c r="O989" s="12" t="n"/>
    </row>
    <row r="990">
      <c r="A990" s="12" t="n"/>
      <c r="B990" s="13">
        <f>IF($A990="","",IFERROR(INDEX(Emp_Names,MATCH($A990,Emp_Codes,0)),"NOT FOUND"))</f>
        <v/>
      </c>
      <c r="C990" s="14" t="n"/>
      <c r="D990" s="15" t="n"/>
      <c r="E990" s="15" t="n"/>
      <c r="F990" s="15" t="n"/>
      <c r="G990" s="15" t="n"/>
      <c r="H990" s="16">
        <f>IF($A990="","",$D990+IF($E990="",0,$E990)+IF($F990="",0,$F990)-IF($G990="",0,$G990))</f>
        <v/>
      </c>
      <c r="I990" s="12" t="n"/>
      <c r="J990" s="12" t="n"/>
      <c r="K990" s="12" t="n"/>
      <c r="L990" s="14" t="n"/>
      <c r="M990" s="12" t="n"/>
      <c r="N990" s="12" t="n"/>
      <c r="O990" s="12" t="n"/>
    </row>
    <row r="991">
      <c r="A991" s="12" t="n"/>
      <c r="B991" s="13">
        <f>IF($A991="","",IFERROR(INDEX(Emp_Names,MATCH($A991,Emp_Codes,0)),"NOT FOUND"))</f>
        <v/>
      </c>
      <c r="C991" s="14" t="n"/>
      <c r="D991" s="15" t="n"/>
      <c r="E991" s="15" t="n"/>
      <c r="F991" s="15" t="n"/>
      <c r="G991" s="15" t="n"/>
      <c r="H991" s="16">
        <f>IF($A991="","",$D991+IF($E991="",0,$E991)+IF($F991="",0,$F991)-IF($G991="",0,$G991))</f>
        <v/>
      </c>
      <c r="I991" s="12" t="n"/>
      <c r="J991" s="12" t="n"/>
      <c r="K991" s="12" t="n"/>
      <c r="L991" s="14" t="n"/>
      <c r="M991" s="12" t="n"/>
      <c r="N991" s="12" t="n"/>
      <c r="O991" s="12" t="n"/>
    </row>
    <row r="992">
      <c r="A992" s="12" t="n"/>
      <c r="B992" s="13">
        <f>IF($A992="","",IFERROR(INDEX(Emp_Names,MATCH($A992,Emp_Codes,0)),"NOT FOUND"))</f>
        <v/>
      </c>
      <c r="C992" s="14" t="n"/>
      <c r="D992" s="15" t="n"/>
      <c r="E992" s="15" t="n"/>
      <c r="F992" s="15" t="n"/>
      <c r="G992" s="15" t="n"/>
      <c r="H992" s="16">
        <f>IF($A992="","",$D992+IF($E992="",0,$E992)+IF($F992="",0,$F992)-IF($G992="",0,$G992))</f>
        <v/>
      </c>
      <c r="I992" s="12" t="n"/>
      <c r="J992" s="12" t="n"/>
      <c r="K992" s="12" t="n"/>
      <c r="L992" s="14" t="n"/>
      <c r="M992" s="12" t="n"/>
      <c r="N992" s="12" t="n"/>
      <c r="O992" s="12" t="n"/>
    </row>
    <row r="993">
      <c r="A993" s="12" t="n"/>
      <c r="B993" s="13">
        <f>IF($A993="","",IFERROR(INDEX(Emp_Names,MATCH($A993,Emp_Codes,0)),"NOT FOUND"))</f>
        <v/>
      </c>
      <c r="C993" s="14" t="n"/>
      <c r="D993" s="15" t="n"/>
      <c r="E993" s="15" t="n"/>
      <c r="F993" s="15" t="n"/>
      <c r="G993" s="15" t="n"/>
      <c r="H993" s="16">
        <f>IF($A993="","",$D993+IF($E993="",0,$E993)+IF($F993="",0,$F993)-IF($G993="",0,$G993))</f>
        <v/>
      </c>
      <c r="I993" s="12" t="n"/>
      <c r="J993" s="12" t="n"/>
      <c r="K993" s="12" t="n"/>
      <c r="L993" s="14" t="n"/>
      <c r="M993" s="12" t="n"/>
      <c r="N993" s="12" t="n"/>
      <c r="O993" s="12" t="n"/>
    </row>
    <row r="994">
      <c r="A994" s="12" t="n"/>
      <c r="B994" s="13">
        <f>IF($A994="","",IFERROR(INDEX(Emp_Names,MATCH($A994,Emp_Codes,0)),"NOT FOUND"))</f>
        <v/>
      </c>
      <c r="C994" s="14" t="n"/>
      <c r="D994" s="15" t="n"/>
      <c r="E994" s="15" t="n"/>
      <c r="F994" s="15" t="n"/>
      <c r="G994" s="15" t="n"/>
      <c r="H994" s="16">
        <f>IF($A994="","",$D994+IF($E994="",0,$E994)+IF($F994="",0,$F994)-IF($G994="",0,$G994))</f>
        <v/>
      </c>
      <c r="I994" s="12" t="n"/>
      <c r="J994" s="12" t="n"/>
      <c r="K994" s="12" t="n"/>
      <c r="L994" s="14" t="n"/>
      <c r="M994" s="12" t="n"/>
      <c r="N994" s="12" t="n"/>
      <c r="O994" s="12" t="n"/>
    </row>
    <row r="995">
      <c r="A995" s="12" t="n"/>
      <c r="B995" s="13">
        <f>IF($A995="","",IFERROR(INDEX(Emp_Names,MATCH($A995,Emp_Codes,0)),"NOT FOUND"))</f>
        <v/>
      </c>
      <c r="C995" s="14" t="n"/>
      <c r="D995" s="15" t="n"/>
      <c r="E995" s="15" t="n"/>
      <c r="F995" s="15" t="n"/>
      <c r="G995" s="15" t="n"/>
      <c r="H995" s="16">
        <f>IF($A995="","",$D995+IF($E995="",0,$E995)+IF($F995="",0,$F995)-IF($G995="",0,$G995))</f>
        <v/>
      </c>
      <c r="I995" s="12" t="n"/>
      <c r="J995" s="12" t="n"/>
      <c r="K995" s="12" t="n"/>
      <c r="L995" s="14" t="n"/>
      <c r="M995" s="12" t="n"/>
      <c r="N995" s="12" t="n"/>
      <c r="O995" s="12" t="n"/>
    </row>
    <row r="996">
      <c r="A996" s="12" t="n"/>
      <c r="B996" s="13">
        <f>IF($A996="","",IFERROR(INDEX(Emp_Names,MATCH($A996,Emp_Codes,0)),"NOT FOUND"))</f>
        <v/>
      </c>
      <c r="C996" s="14" t="n"/>
      <c r="D996" s="15" t="n"/>
      <c r="E996" s="15" t="n"/>
      <c r="F996" s="15" t="n"/>
      <c r="G996" s="15" t="n"/>
      <c r="H996" s="16">
        <f>IF($A996="","",$D996+IF($E996="",0,$E996)+IF($F996="",0,$F996)-IF($G996="",0,$G996))</f>
        <v/>
      </c>
      <c r="I996" s="12" t="n"/>
      <c r="J996" s="12" t="n"/>
      <c r="K996" s="12" t="n"/>
      <c r="L996" s="14" t="n"/>
      <c r="M996" s="12" t="n"/>
      <c r="N996" s="12" t="n"/>
      <c r="O996" s="12" t="n"/>
    </row>
    <row r="997">
      <c r="A997" s="12" t="n"/>
      <c r="B997" s="13">
        <f>IF($A997="","",IFERROR(INDEX(Emp_Names,MATCH($A997,Emp_Codes,0)),"NOT FOUND"))</f>
        <v/>
      </c>
      <c r="C997" s="14" t="n"/>
      <c r="D997" s="15" t="n"/>
      <c r="E997" s="15" t="n"/>
      <c r="F997" s="15" t="n"/>
      <c r="G997" s="15" t="n"/>
      <c r="H997" s="16">
        <f>IF($A997="","",$D997+IF($E997="",0,$E997)+IF($F997="",0,$F997)-IF($G997="",0,$G997))</f>
        <v/>
      </c>
      <c r="I997" s="12" t="n"/>
      <c r="J997" s="12" t="n"/>
      <c r="K997" s="12" t="n"/>
      <c r="L997" s="14" t="n"/>
      <c r="M997" s="12" t="n"/>
      <c r="N997" s="12" t="n"/>
      <c r="O997" s="12" t="n"/>
    </row>
    <row r="998">
      <c r="A998" s="12" t="n"/>
      <c r="B998" s="13">
        <f>IF($A998="","",IFERROR(INDEX(Emp_Names,MATCH($A998,Emp_Codes,0)),"NOT FOUND"))</f>
        <v/>
      </c>
      <c r="C998" s="14" t="n"/>
      <c r="D998" s="15" t="n"/>
      <c r="E998" s="15" t="n"/>
      <c r="F998" s="15" t="n"/>
      <c r="G998" s="15" t="n"/>
      <c r="H998" s="16">
        <f>IF($A998="","",$D998+IF($E998="",0,$E998)+IF($F998="",0,$F998)-IF($G998="",0,$G998))</f>
        <v/>
      </c>
      <c r="I998" s="12" t="n"/>
      <c r="J998" s="12" t="n"/>
      <c r="K998" s="12" t="n"/>
      <c r="L998" s="14" t="n"/>
      <c r="M998" s="12" t="n"/>
      <c r="N998" s="12" t="n"/>
      <c r="O998" s="12" t="n"/>
    </row>
    <row r="999">
      <c r="A999" s="12" t="n"/>
      <c r="B999" s="13">
        <f>IF($A999="","",IFERROR(INDEX(Emp_Names,MATCH($A999,Emp_Codes,0)),"NOT FOUND"))</f>
        <v/>
      </c>
      <c r="C999" s="14" t="n"/>
      <c r="D999" s="15" t="n"/>
      <c r="E999" s="15" t="n"/>
      <c r="F999" s="15" t="n"/>
      <c r="G999" s="15" t="n"/>
      <c r="H999" s="16">
        <f>IF($A999="","",$D999+IF($E999="",0,$E999)+IF($F999="",0,$F999)-IF($G999="",0,$G999))</f>
        <v/>
      </c>
      <c r="I999" s="12" t="n"/>
      <c r="J999" s="12" t="n"/>
      <c r="K999" s="12" t="n"/>
      <c r="L999" s="14" t="n"/>
      <c r="M999" s="12" t="n"/>
      <c r="N999" s="12" t="n"/>
      <c r="O999" s="12" t="n"/>
    </row>
    <row r="1000">
      <c r="A1000" s="12" t="n"/>
      <c r="B1000" s="13">
        <f>IF($A1000="","",IFERROR(INDEX(Emp_Names,MATCH($A1000,Emp_Codes,0)),"NOT FOUND"))</f>
        <v/>
      </c>
      <c r="C1000" s="14" t="n"/>
      <c r="D1000" s="15" t="n"/>
      <c r="E1000" s="15" t="n"/>
      <c r="F1000" s="15" t="n"/>
      <c r="G1000" s="15" t="n"/>
      <c r="H1000" s="16">
        <f>IF($A1000="","",$D1000+IF($E1000="",0,$E1000)+IF($F1000="",0,$F1000)-IF($G1000="",0,$G1000))</f>
        <v/>
      </c>
      <c r="I1000" s="12" t="n"/>
      <c r="J1000" s="12" t="n"/>
      <c r="K1000" s="12" t="n"/>
      <c r="L1000" s="14" t="n"/>
      <c r="M1000" s="12" t="n"/>
      <c r="N1000" s="12" t="n"/>
      <c r="O1000" s="12" t="n"/>
    </row>
    <row r="1001">
      <c r="A1001" s="12" t="n"/>
      <c r="B1001" s="13">
        <f>IF($A1001="","",IFERROR(INDEX(Emp_Names,MATCH($A1001,Emp_Codes,0)),"NOT FOUND"))</f>
        <v/>
      </c>
      <c r="C1001" s="14" t="n"/>
      <c r="D1001" s="15" t="n"/>
      <c r="E1001" s="15" t="n"/>
      <c r="F1001" s="15" t="n"/>
      <c r="G1001" s="15" t="n"/>
      <c r="H1001" s="16">
        <f>IF($A1001="","",$D1001+IF($E1001="",0,$E1001)+IF($F1001="",0,$F1001)-IF($G1001="",0,$G1001))</f>
        <v/>
      </c>
      <c r="I1001" s="12" t="n"/>
      <c r="J1001" s="12" t="n"/>
      <c r="K1001" s="12" t="n"/>
      <c r="L1001" s="14" t="n"/>
      <c r="M1001" s="12" t="n"/>
      <c r="N1001" s="12" t="n"/>
      <c r="O1001" s="12" t="n"/>
    </row>
    <row r="1002">
      <c r="A1002" s="12" t="n"/>
      <c r="B1002" s="13">
        <f>IF($A1002="","",IFERROR(INDEX(Emp_Names,MATCH($A1002,Emp_Codes,0)),"NOT FOUND"))</f>
        <v/>
      </c>
      <c r="C1002" s="14" t="n"/>
      <c r="D1002" s="15" t="n"/>
      <c r="E1002" s="15" t="n"/>
      <c r="F1002" s="15" t="n"/>
      <c r="G1002" s="15" t="n"/>
      <c r="H1002" s="16">
        <f>IF($A1002="","",$D1002+IF($E1002="",0,$E1002)+IF($F1002="",0,$F1002)-IF($G1002="",0,$G1002))</f>
        <v/>
      </c>
      <c r="I1002" s="12" t="n"/>
      <c r="J1002" s="12" t="n"/>
      <c r="K1002" s="12" t="n"/>
      <c r="L1002" s="14" t="n"/>
      <c r="M1002" s="12" t="n"/>
      <c r="N1002" s="12" t="n"/>
      <c r="O1002" s="12" t="n"/>
    </row>
    <row r="1003">
      <c r="A1003" s="12" t="n"/>
      <c r="B1003" s="13">
        <f>IF($A1003="","",IFERROR(INDEX(Emp_Names,MATCH($A1003,Emp_Codes,0)),"NOT FOUND"))</f>
        <v/>
      </c>
      <c r="C1003" s="14" t="n"/>
      <c r="D1003" s="15" t="n"/>
      <c r="E1003" s="15" t="n"/>
      <c r="F1003" s="15" t="n"/>
      <c r="G1003" s="15" t="n"/>
      <c r="H1003" s="16">
        <f>IF($A1003="","",$D1003+IF($E1003="",0,$E1003)+IF($F1003="",0,$F1003)-IF($G1003="",0,$G1003))</f>
        <v/>
      </c>
      <c r="I1003" s="12" t="n"/>
      <c r="J1003" s="12" t="n"/>
      <c r="K1003" s="12" t="n"/>
      <c r="L1003" s="14" t="n"/>
      <c r="M1003" s="12" t="n"/>
      <c r="N1003" s="12" t="n"/>
      <c r="O1003" s="12" t="n"/>
    </row>
    <row r="1004">
      <c r="A1004" s="12" t="n"/>
      <c r="B1004" s="13">
        <f>IF($A1004="","",IFERROR(INDEX(Emp_Names,MATCH($A1004,Emp_Codes,0)),"NOT FOUND"))</f>
        <v/>
      </c>
      <c r="C1004" s="14" t="n"/>
      <c r="D1004" s="15" t="n"/>
      <c r="E1004" s="15" t="n"/>
      <c r="F1004" s="15" t="n"/>
      <c r="G1004" s="15" t="n"/>
      <c r="H1004" s="16">
        <f>IF($A1004="","",$D1004+IF($E1004="",0,$E1004)+IF($F1004="",0,$F1004)-IF($G1004="",0,$G1004))</f>
        <v/>
      </c>
      <c r="I1004" s="12" t="n"/>
      <c r="J1004" s="12" t="n"/>
      <c r="K1004" s="12" t="n"/>
      <c r="L1004" s="14" t="n"/>
      <c r="M1004" s="12" t="n"/>
      <c r="N1004" s="12" t="n"/>
      <c r="O1004" s="12" t="n"/>
    </row>
    <row r="1005">
      <c r="A1005" s="12" t="n"/>
      <c r="B1005" s="13">
        <f>IF($A1005="","",IFERROR(INDEX(Emp_Names,MATCH($A1005,Emp_Codes,0)),"NOT FOUND"))</f>
        <v/>
      </c>
      <c r="C1005" s="14" t="n"/>
      <c r="D1005" s="15" t="n"/>
      <c r="E1005" s="15" t="n"/>
      <c r="F1005" s="15" t="n"/>
      <c r="G1005" s="15" t="n"/>
      <c r="H1005" s="16">
        <f>IF($A1005="","",$D1005+IF($E1005="",0,$E1005)+IF($F1005="",0,$F1005)-IF($G1005="",0,$G1005))</f>
        <v/>
      </c>
      <c r="I1005" s="12" t="n"/>
      <c r="J1005" s="12" t="n"/>
      <c r="K1005" s="12" t="n"/>
      <c r="L1005" s="14" t="n"/>
      <c r="M1005" s="12" t="n"/>
      <c r="N1005" s="12" t="n"/>
      <c r="O1005" s="12" t="n"/>
    </row>
    <row r="1006">
      <c r="A1006" s="12" t="n"/>
      <c r="B1006" s="13">
        <f>IF($A1006="","",IFERROR(INDEX(Emp_Names,MATCH($A1006,Emp_Codes,0)),"NOT FOUND"))</f>
        <v/>
      </c>
      <c r="C1006" s="14" t="n"/>
      <c r="D1006" s="15" t="n"/>
      <c r="E1006" s="15" t="n"/>
      <c r="F1006" s="15" t="n"/>
      <c r="G1006" s="15" t="n"/>
      <c r="H1006" s="16">
        <f>IF($A1006="","",$D1006+IF($E1006="",0,$E1006)+IF($F1006="",0,$F1006)-IF($G1006="",0,$G1006))</f>
        <v/>
      </c>
      <c r="I1006" s="12" t="n"/>
      <c r="J1006" s="12" t="n"/>
      <c r="K1006" s="12" t="n"/>
      <c r="L1006" s="14" t="n"/>
      <c r="M1006" s="12" t="n"/>
      <c r="N1006" s="12" t="n"/>
      <c r="O1006" s="12" t="n"/>
    </row>
    <row r="1007">
      <c r="A1007" s="12" t="n"/>
      <c r="B1007" s="13">
        <f>IF($A1007="","",IFERROR(INDEX(Emp_Names,MATCH($A1007,Emp_Codes,0)),"NOT FOUND"))</f>
        <v/>
      </c>
      <c r="C1007" s="14" t="n"/>
      <c r="D1007" s="15" t="n"/>
      <c r="E1007" s="15" t="n"/>
      <c r="F1007" s="15" t="n"/>
      <c r="G1007" s="15" t="n"/>
      <c r="H1007" s="16">
        <f>IF($A1007="","",$D1007+IF($E1007="",0,$E1007)+IF($F1007="",0,$F1007)-IF($G1007="",0,$G1007))</f>
        <v/>
      </c>
      <c r="I1007" s="12" t="n"/>
      <c r="J1007" s="12" t="n"/>
      <c r="K1007" s="12" t="n"/>
      <c r="L1007" s="14" t="n"/>
      <c r="M1007" s="12" t="n"/>
      <c r="N1007" s="12" t="n"/>
      <c r="O1007" s="12" t="n"/>
    </row>
    <row r="1008">
      <c r="A1008" s="12" t="n"/>
      <c r="B1008" s="13">
        <f>IF($A1008="","",IFERROR(INDEX(Emp_Names,MATCH($A1008,Emp_Codes,0)),"NOT FOUND"))</f>
        <v/>
      </c>
      <c r="C1008" s="14" t="n"/>
      <c r="D1008" s="15" t="n"/>
      <c r="E1008" s="15" t="n"/>
      <c r="F1008" s="15" t="n"/>
      <c r="G1008" s="15" t="n"/>
      <c r="H1008" s="16">
        <f>IF($A1008="","",$D1008+IF($E1008="",0,$E1008)+IF($F1008="",0,$F1008)-IF($G1008="",0,$G1008))</f>
        <v/>
      </c>
      <c r="I1008" s="12" t="n"/>
      <c r="J1008" s="12" t="n"/>
      <c r="K1008" s="12" t="n"/>
      <c r="L1008" s="14" t="n"/>
      <c r="M1008" s="12" t="n"/>
      <c r="N1008" s="12" t="n"/>
      <c r="O1008" s="12" t="n"/>
    </row>
    <row r="1009">
      <c r="A1009" s="12" t="n"/>
      <c r="B1009" s="13">
        <f>IF($A1009="","",IFERROR(INDEX(Emp_Names,MATCH($A1009,Emp_Codes,0)),"NOT FOUND"))</f>
        <v/>
      </c>
      <c r="C1009" s="14" t="n"/>
      <c r="D1009" s="15" t="n"/>
      <c r="E1009" s="15" t="n"/>
      <c r="F1009" s="15" t="n"/>
      <c r="G1009" s="15" t="n"/>
      <c r="H1009" s="16">
        <f>IF($A1009="","",$D1009+IF($E1009="",0,$E1009)+IF($F1009="",0,$F1009)-IF($G1009="",0,$G1009))</f>
        <v/>
      </c>
      <c r="I1009" s="12" t="n"/>
      <c r="J1009" s="12" t="n"/>
      <c r="K1009" s="12" t="n"/>
      <c r="L1009" s="14" t="n"/>
      <c r="M1009" s="12" t="n"/>
      <c r="N1009" s="12" t="n"/>
      <c r="O1009" s="12" t="n"/>
    </row>
    <row r="1010">
      <c r="A1010" s="12" t="n"/>
      <c r="B1010" s="13">
        <f>IF($A1010="","",IFERROR(INDEX(Emp_Names,MATCH($A1010,Emp_Codes,0)),"NOT FOUND"))</f>
        <v/>
      </c>
      <c r="C1010" s="14" t="n"/>
      <c r="D1010" s="15" t="n"/>
      <c r="E1010" s="15" t="n"/>
      <c r="F1010" s="15" t="n"/>
      <c r="G1010" s="15" t="n"/>
      <c r="H1010" s="16">
        <f>IF($A1010="","",$D1010+IF($E1010="",0,$E1010)+IF($F1010="",0,$F1010)-IF($G1010="",0,$G1010))</f>
        <v/>
      </c>
      <c r="I1010" s="12" t="n"/>
      <c r="J1010" s="12" t="n"/>
      <c r="K1010" s="12" t="n"/>
      <c r="L1010" s="14" t="n"/>
      <c r="M1010" s="12" t="n"/>
      <c r="N1010" s="12" t="n"/>
      <c r="O1010" s="12" t="n"/>
    </row>
    <row r="1011">
      <c r="A1011" s="12" t="n"/>
      <c r="B1011" s="13">
        <f>IF($A1011="","",IFERROR(INDEX(Emp_Names,MATCH($A1011,Emp_Codes,0)),"NOT FOUND"))</f>
        <v/>
      </c>
      <c r="C1011" s="14" t="n"/>
      <c r="D1011" s="15" t="n"/>
      <c r="E1011" s="15" t="n"/>
      <c r="F1011" s="15" t="n"/>
      <c r="G1011" s="15" t="n"/>
      <c r="H1011" s="16">
        <f>IF($A1011="","",$D1011+IF($E1011="",0,$E1011)+IF($F1011="",0,$F1011)-IF($G1011="",0,$G1011))</f>
        <v/>
      </c>
      <c r="I1011" s="12" t="n"/>
      <c r="J1011" s="12" t="n"/>
      <c r="K1011" s="12" t="n"/>
      <c r="L1011" s="14" t="n"/>
      <c r="M1011" s="12" t="n"/>
      <c r="N1011" s="12" t="n"/>
      <c r="O1011" s="12" t="n"/>
    </row>
    <row r="1012">
      <c r="A1012" s="12" t="n"/>
      <c r="B1012" s="13">
        <f>IF($A1012="","",IFERROR(INDEX(Emp_Names,MATCH($A1012,Emp_Codes,0)),"NOT FOUND"))</f>
        <v/>
      </c>
      <c r="C1012" s="14" t="n"/>
      <c r="D1012" s="15" t="n"/>
      <c r="E1012" s="15" t="n"/>
      <c r="F1012" s="15" t="n"/>
      <c r="G1012" s="15" t="n"/>
      <c r="H1012" s="16">
        <f>IF($A1012="","",$D1012+IF($E1012="",0,$E1012)+IF($F1012="",0,$F1012)-IF($G1012="",0,$G1012))</f>
        <v/>
      </c>
      <c r="I1012" s="12" t="n"/>
      <c r="J1012" s="12" t="n"/>
      <c r="K1012" s="12" t="n"/>
      <c r="L1012" s="14" t="n"/>
      <c r="M1012" s="12" t="n"/>
      <c r="N1012" s="12" t="n"/>
      <c r="O1012" s="12" t="n"/>
    </row>
    <row r="1013">
      <c r="A1013" s="12" t="n"/>
      <c r="B1013" s="13">
        <f>IF($A1013="","",IFERROR(INDEX(Emp_Names,MATCH($A1013,Emp_Codes,0)),"NOT FOUND"))</f>
        <v/>
      </c>
      <c r="C1013" s="14" t="n"/>
      <c r="D1013" s="15" t="n"/>
      <c r="E1013" s="15" t="n"/>
      <c r="F1013" s="15" t="n"/>
      <c r="G1013" s="15" t="n"/>
      <c r="H1013" s="16">
        <f>IF($A1013="","",$D1013+IF($E1013="",0,$E1013)+IF($F1013="",0,$F1013)-IF($G1013="",0,$G1013))</f>
        <v/>
      </c>
      <c r="I1013" s="12" t="n"/>
      <c r="J1013" s="12" t="n"/>
      <c r="K1013" s="12" t="n"/>
      <c r="L1013" s="14" t="n"/>
      <c r="M1013" s="12" t="n"/>
      <c r="N1013" s="12" t="n"/>
      <c r="O1013" s="12" t="n"/>
    </row>
    <row r="1014">
      <c r="A1014" s="12" t="n"/>
      <c r="B1014" s="13">
        <f>IF($A1014="","",IFERROR(INDEX(Emp_Names,MATCH($A1014,Emp_Codes,0)),"NOT FOUND"))</f>
        <v/>
      </c>
      <c r="C1014" s="14" t="n"/>
      <c r="D1014" s="15" t="n"/>
      <c r="E1014" s="15" t="n"/>
      <c r="F1014" s="15" t="n"/>
      <c r="G1014" s="15" t="n"/>
      <c r="H1014" s="16">
        <f>IF($A1014="","",$D1014+IF($E1014="",0,$E1014)+IF($F1014="",0,$F1014)-IF($G1014="",0,$G1014))</f>
        <v/>
      </c>
      <c r="I1014" s="12" t="n"/>
      <c r="J1014" s="12" t="n"/>
      <c r="K1014" s="12" t="n"/>
      <c r="L1014" s="14" t="n"/>
      <c r="M1014" s="12" t="n"/>
      <c r="N1014" s="12" t="n"/>
      <c r="O1014" s="12" t="n"/>
    </row>
    <row r="1015">
      <c r="A1015" s="12" t="n"/>
      <c r="B1015" s="13">
        <f>IF($A1015="","",IFERROR(INDEX(Emp_Names,MATCH($A1015,Emp_Codes,0)),"NOT FOUND"))</f>
        <v/>
      </c>
      <c r="C1015" s="14" t="n"/>
      <c r="D1015" s="15" t="n"/>
      <c r="E1015" s="15" t="n"/>
      <c r="F1015" s="15" t="n"/>
      <c r="G1015" s="15" t="n"/>
      <c r="H1015" s="16">
        <f>IF($A1015="","",$D1015+IF($E1015="",0,$E1015)+IF($F1015="",0,$F1015)-IF($G1015="",0,$G1015))</f>
        <v/>
      </c>
      <c r="I1015" s="12" t="n"/>
      <c r="J1015" s="12" t="n"/>
      <c r="K1015" s="12" t="n"/>
      <c r="L1015" s="14" t="n"/>
      <c r="M1015" s="12" t="n"/>
      <c r="N1015" s="12" t="n"/>
      <c r="O1015" s="12" t="n"/>
    </row>
    <row r="1016">
      <c r="A1016" s="12" t="n"/>
      <c r="B1016" s="13">
        <f>IF($A1016="","",IFERROR(INDEX(Emp_Names,MATCH($A1016,Emp_Codes,0)),"NOT FOUND"))</f>
        <v/>
      </c>
      <c r="C1016" s="14" t="n"/>
      <c r="D1016" s="15" t="n"/>
      <c r="E1016" s="15" t="n"/>
      <c r="F1016" s="15" t="n"/>
      <c r="G1016" s="15" t="n"/>
      <c r="H1016" s="16">
        <f>IF($A1016="","",$D1016+IF($E1016="",0,$E1016)+IF($F1016="",0,$F1016)-IF($G1016="",0,$G1016))</f>
        <v/>
      </c>
      <c r="I1016" s="12" t="n"/>
      <c r="J1016" s="12" t="n"/>
      <c r="K1016" s="12" t="n"/>
      <c r="L1016" s="14" t="n"/>
      <c r="M1016" s="12" t="n"/>
      <c r="N1016" s="12" t="n"/>
      <c r="O1016" s="12" t="n"/>
    </row>
    <row r="1017">
      <c r="A1017" s="12" t="n"/>
      <c r="B1017" s="13">
        <f>IF($A1017="","",IFERROR(INDEX(Emp_Names,MATCH($A1017,Emp_Codes,0)),"NOT FOUND"))</f>
        <v/>
      </c>
      <c r="C1017" s="14" t="n"/>
      <c r="D1017" s="15" t="n"/>
      <c r="E1017" s="15" t="n"/>
      <c r="F1017" s="15" t="n"/>
      <c r="G1017" s="15" t="n"/>
      <c r="H1017" s="16">
        <f>IF($A1017="","",$D1017+IF($E1017="",0,$E1017)+IF($F1017="",0,$F1017)-IF($G1017="",0,$G1017))</f>
        <v/>
      </c>
      <c r="I1017" s="12" t="n"/>
      <c r="J1017" s="12" t="n"/>
      <c r="K1017" s="12" t="n"/>
      <c r="L1017" s="14" t="n"/>
      <c r="M1017" s="12" t="n"/>
      <c r="N1017" s="12" t="n"/>
      <c r="O1017" s="12" t="n"/>
    </row>
    <row r="1018">
      <c r="A1018" s="12" t="n"/>
      <c r="B1018" s="13">
        <f>IF($A1018="","",IFERROR(INDEX(Emp_Names,MATCH($A1018,Emp_Codes,0)),"NOT FOUND"))</f>
        <v/>
      </c>
      <c r="C1018" s="14" t="n"/>
      <c r="D1018" s="15" t="n"/>
      <c r="E1018" s="15" t="n"/>
      <c r="F1018" s="15" t="n"/>
      <c r="G1018" s="15" t="n"/>
      <c r="H1018" s="16">
        <f>IF($A1018="","",$D1018+IF($E1018="",0,$E1018)+IF($F1018="",0,$F1018)-IF($G1018="",0,$G1018))</f>
        <v/>
      </c>
      <c r="I1018" s="12" t="n"/>
      <c r="J1018" s="12" t="n"/>
      <c r="K1018" s="12" t="n"/>
      <c r="L1018" s="14" t="n"/>
      <c r="M1018" s="12" t="n"/>
      <c r="N1018" s="12" t="n"/>
      <c r="O1018" s="12" t="n"/>
    </row>
    <row r="1019">
      <c r="A1019" s="12" t="n"/>
      <c r="B1019" s="13">
        <f>IF($A1019="","",IFERROR(INDEX(Emp_Names,MATCH($A1019,Emp_Codes,0)),"NOT FOUND"))</f>
        <v/>
      </c>
      <c r="C1019" s="14" t="n"/>
      <c r="D1019" s="15" t="n"/>
      <c r="E1019" s="15" t="n"/>
      <c r="F1019" s="15" t="n"/>
      <c r="G1019" s="15" t="n"/>
      <c r="H1019" s="16">
        <f>IF($A1019="","",$D1019+IF($E1019="",0,$E1019)+IF($F1019="",0,$F1019)-IF($G1019="",0,$G1019))</f>
        <v/>
      </c>
      <c r="I1019" s="12" t="n"/>
      <c r="J1019" s="12" t="n"/>
      <c r="K1019" s="12" t="n"/>
      <c r="L1019" s="14" t="n"/>
      <c r="M1019" s="12" t="n"/>
      <c r="N1019" s="12" t="n"/>
      <c r="O1019" s="12" t="n"/>
    </row>
    <row r="1020">
      <c r="A1020" s="12" t="n"/>
      <c r="B1020" s="13">
        <f>IF($A1020="","",IFERROR(INDEX(Emp_Names,MATCH($A1020,Emp_Codes,0)),"NOT FOUND"))</f>
        <v/>
      </c>
      <c r="C1020" s="14" t="n"/>
      <c r="D1020" s="15" t="n"/>
      <c r="E1020" s="15" t="n"/>
      <c r="F1020" s="15" t="n"/>
      <c r="G1020" s="15" t="n"/>
      <c r="H1020" s="16">
        <f>IF($A1020="","",$D1020+IF($E1020="",0,$E1020)+IF($F1020="",0,$F1020)-IF($G1020="",0,$G1020))</f>
        <v/>
      </c>
      <c r="I1020" s="12" t="n"/>
      <c r="J1020" s="12" t="n"/>
      <c r="K1020" s="12" t="n"/>
      <c r="L1020" s="14" t="n"/>
      <c r="M1020" s="12" t="n"/>
      <c r="N1020" s="12" t="n"/>
      <c r="O1020" s="12" t="n"/>
    </row>
    <row r="1021">
      <c r="A1021" s="12" t="n"/>
      <c r="B1021" s="13">
        <f>IF($A1021="","",IFERROR(INDEX(Emp_Names,MATCH($A1021,Emp_Codes,0)),"NOT FOUND"))</f>
        <v/>
      </c>
      <c r="C1021" s="14" t="n"/>
      <c r="D1021" s="15" t="n"/>
      <c r="E1021" s="15" t="n"/>
      <c r="F1021" s="15" t="n"/>
      <c r="G1021" s="15" t="n"/>
      <c r="H1021" s="16">
        <f>IF($A1021="","",$D1021+IF($E1021="",0,$E1021)+IF($F1021="",0,$F1021)-IF($G1021="",0,$G1021))</f>
        <v/>
      </c>
      <c r="I1021" s="12" t="n"/>
      <c r="J1021" s="12" t="n"/>
      <c r="K1021" s="12" t="n"/>
      <c r="L1021" s="14" t="n"/>
      <c r="M1021" s="12" t="n"/>
      <c r="N1021" s="12" t="n"/>
      <c r="O1021" s="12" t="n"/>
    </row>
    <row r="1022">
      <c r="A1022" s="12" t="n"/>
      <c r="B1022" s="13">
        <f>IF($A1022="","",IFERROR(INDEX(Emp_Names,MATCH($A1022,Emp_Codes,0)),"NOT FOUND"))</f>
        <v/>
      </c>
      <c r="C1022" s="14" t="n"/>
      <c r="D1022" s="15" t="n"/>
      <c r="E1022" s="15" t="n"/>
      <c r="F1022" s="15" t="n"/>
      <c r="G1022" s="15" t="n"/>
      <c r="H1022" s="16">
        <f>IF($A1022="","",$D1022+IF($E1022="",0,$E1022)+IF($F1022="",0,$F1022)-IF($G1022="",0,$G1022))</f>
        <v/>
      </c>
      <c r="I1022" s="12" t="n"/>
      <c r="J1022" s="12" t="n"/>
      <c r="K1022" s="12" t="n"/>
      <c r="L1022" s="14" t="n"/>
      <c r="M1022" s="12" t="n"/>
      <c r="N1022" s="12" t="n"/>
      <c r="O1022" s="12" t="n"/>
    </row>
    <row r="1023">
      <c r="A1023" s="12" t="n"/>
      <c r="B1023" s="13">
        <f>IF($A1023="","",IFERROR(INDEX(Emp_Names,MATCH($A1023,Emp_Codes,0)),"NOT FOUND"))</f>
        <v/>
      </c>
      <c r="C1023" s="14" t="n"/>
      <c r="D1023" s="15" t="n"/>
      <c r="E1023" s="15" t="n"/>
      <c r="F1023" s="15" t="n"/>
      <c r="G1023" s="15" t="n"/>
      <c r="H1023" s="16">
        <f>IF($A1023="","",$D1023+IF($E1023="",0,$E1023)+IF($F1023="",0,$F1023)-IF($G1023="",0,$G1023))</f>
        <v/>
      </c>
      <c r="I1023" s="12" t="n"/>
      <c r="J1023" s="12" t="n"/>
      <c r="K1023" s="12" t="n"/>
      <c r="L1023" s="14" t="n"/>
      <c r="M1023" s="12" t="n"/>
      <c r="N1023" s="12" t="n"/>
      <c r="O1023" s="12" t="n"/>
    </row>
    <row r="1024">
      <c r="A1024" s="12" t="n"/>
      <c r="B1024" s="13">
        <f>IF($A1024="","",IFERROR(INDEX(Emp_Names,MATCH($A1024,Emp_Codes,0)),"NOT FOUND"))</f>
        <v/>
      </c>
      <c r="C1024" s="14" t="n"/>
      <c r="D1024" s="15" t="n"/>
      <c r="E1024" s="15" t="n"/>
      <c r="F1024" s="15" t="n"/>
      <c r="G1024" s="15" t="n"/>
      <c r="H1024" s="16">
        <f>IF($A1024="","",$D1024+IF($E1024="",0,$E1024)+IF($F1024="",0,$F1024)-IF($G1024="",0,$G1024))</f>
        <v/>
      </c>
      <c r="I1024" s="12" t="n"/>
      <c r="J1024" s="12" t="n"/>
      <c r="K1024" s="12" t="n"/>
      <c r="L1024" s="14" t="n"/>
      <c r="M1024" s="12" t="n"/>
      <c r="N1024" s="12" t="n"/>
      <c r="O1024" s="12" t="n"/>
    </row>
    <row r="1025">
      <c r="A1025" s="12" t="n"/>
      <c r="B1025" s="13">
        <f>IF($A1025="","",IFERROR(INDEX(Emp_Names,MATCH($A1025,Emp_Codes,0)),"NOT FOUND"))</f>
        <v/>
      </c>
      <c r="C1025" s="14" t="n"/>
      <c r="D1025" s="15" t="n"/>
      <c r="E1025" s="15" t="n"/>
      <c r="F1025" s="15" t="n"/>
      <c r="G1025" s="15" t="n"/>
      <c r="H1025" s="16">
        <f>IF($A1025="","",$D1025+IF($E1025="",0,$E1025)+IF($F1025="",0,$F1025)-IF($G1025="",0,$G1025))</f>
        <v/>
      </c>
      <c r="I1025" s="12" t="n"/>
      <c r="J1025" s="12" t="n"/>
      <c r="K1025" s="12" t="n"/>
      <c r="L1025" s="14" t="n"/>
      <c r="M1025" s="12" t="n"/>
      <c r="N1025" s="12" t="n"/>
      <c r="O1025" s="12" t="n"/>
    </row>
    <row r="1026">
      <c r="A1026" s="12" t="n"/>
      <c r="B1026" s="13">
        <f>IF($A1026="","",IFERROR(INDEX(Emp_Names,MATCH($A1026,Emp_Codes,0)),"NOT FOUND"))</f>
        <v/>
      </c>
      <c r="C1026" s="14" t="n"/>
      <c r="D1026" s="15" t="n"/>
      <c r="E1026" s="15" t="n"/>
      <c r="F1026" s="15" t="n"/>
      <c r="G1026" s="15" t="n"/>
      <c r="H1026" s="16">
        <f>IF($A1026="","",$D1026+IF($E1026="",0,$E1026)+IF($F1026="",0,$F1026)-IF($G1026="",0,$G1026))</f>
        <v/>
      </c>
      <c r="I1026" s="12" t="n"/>
      <c r="J1026" s="12" t="n"/>
      <c r="K1026" s="12" t="n"/>
      <c r="L1026" s="14" t="n"/>
      <c r="M1026" s="12" t="n"/>
      <c r="N1026" s="12" t="n"/>
      <c r="O1026" s="12" t="n"/>
    </row>
    <row r="1027">
      <c r="A1027" s="12" t="n"/>
      <c r="B1027" s="13">
        <f>IF($A1027="","",IFERROR(INDEX(Emp_Names,MATCH($A1027,Emp_Codes,0)),"NOT FOUND"))</f>
        <v/>
      </c>
      <c r="C1027" s="14" t="n"/>
      <c r="D1027" s="15" t="n"/>
      <c r="E1027" s="15" t="n"/>
      <c r="F1027" s="15" t="n"/>
      <c r="G1027" s="15" t="n"/>
      <c r="H1027" s="16">
        <f>IF($A1027="","",$D1027+IF($E1027="",0,$E1027)+IF($F1027="",0,$F1027)-IF($G1027="",0,$G1027))</f>
        <v/>
      </c>
      <c r="I1027" s="12" t="n"/>
      <c r="J1027" s="12" t="n"/>
      <c r="K1027" s="12" t="n"/>
      <c r="L1027" s="14" t="n"/>
      <c r="M1027" s="12" t="n"/>
      <c r="N1027" s="12" t="n"/>
      <c r="O1027" s="12" t="n"/>
    </row>
    <row r="1028">
      <c r="A1028" s="12" t="n"/>
      <c r="B1028" s="13">
        <f>IF($A1028="","",IFERROR(INDEX(Emp_Names,MATCH($A1028,Emp_Codes,0)),"NOT FOUND"))</f>
        <v/>
      </c>
      <c r="C1028" s="14" t="n"/>
      <c r="D1028" s="15" t="n"/>
      <c r="E1028" s="15" t="n"/>
      <c r="F1028" s="15" t="n"/>
      <c r="G1028" s="15" t="n"/>
      <c r="H1028" s="16">
        <f>IF($A1028="","",$D1028+IF($E1028="",0,$E1028)+IF($F1028="",0,$F1028)-IF($G1028="",0,$G1028))</f>
        <v/>
      </c>
      <c r="I1028" s="12" t="n"/>
      <c r="J1028" s="12" t="n"/>
      <c r="K1028" s="12" t="n"/>
      <c r="L1028" s="14" t="n"/>
      <c r="M1028" s="12" t="n"/>
      <c r="N1028" s="12" t="n"/>
      <c r="O1028" s="12" t="n"/>
    </row>
    <row r="1029">
      <c r="A1029" s="12" t="n"/>
      <c r="B1029" s="13">
        <f>IF($A1029="","",IFERROR(INDEX(Emp_Names,MATCH($A1029,Emp_Codes,0)),"NOT FOUND"))</f>
        <v/>
      </c>
      <c r="C1029" s="14" t="n"/>
      <c r="D1029" s="15" t="n"/>
      <c r="E1029" s="15" t="n"/>
      <c r="F1029" s="15" t="n"/>
      <c r="G1029" s="15" t="n"/>
      <c r="H1029" s="16">
        <f>IF($A1029="","",$D1029+IF($E1029="",0,$E1029)+IF($F1029="",0,$F1029)-IF($G1029="",0,$G1029))</f>
        <v/>
      </c>
      <c r="I1029" s="12" t="n"/>
      <c r="J1029" s="12" t="n"/>
      <c r="K1029" s="12" t="n"/>
      <c r="L1029" s="14" t="n"/>
      <c r="M1029" s="12" t="n"/>
      <c r="N1029" s="12" t="n"/>
      <c r="O1029" s="12" t="n"/>
    </row>
    <row r="1030">
      <c r="A1030" s="12" t="n"/>
      <c r="B1030" s="13">
        <f>IF($A1030="","",IFERROR(INDEX(Emp_Names,MATCH($A1030,Emp_Codes,0)),"NOT FOUND"))</f>
        <v/>
      </c>
      <c r="C1030" s="14" t="n"/>
      <c r="D1030" s="15" t="n"/>
      <c r="E1030" s="15" t="n"/>
      <c r="F1030" s="15" t="n"/>
      <c r="G1030" s="15" t="n"/>
      <c r="H1030" s="16">
        <f>IF($A1030="","",$D1030+IF($E1030="",0,$E1030)+IF($F1030="",0,$F1030)-IF($G1030="",0,$G1030))</f>
        <v/>
      </c>
      <c r="I1030" s="12" t="n"/>
      <c r="J1030" s="12" t="n"/>
      <c r="K1030" s="12" t="n"/>
      <c r="L1030" s="14" t="n"/>
      <c r="M1030" s="12" t="n"/>
      <c r="N1030" s="12" t="n"/>
      <c r="O1030" s="12" t="n"/>
    </row>
    <row r="1031">
      <c r="A1031" s="12" t="n"/>
      <c r="B1031" s="13">
        <f>IF($A1031="","",IFERROR(INDEX(Emp_Names,MATCH($A1031,Emp_Codes,0)),"NOT FOUND"))</f>
        <v/>
      </c>
      <c r="C1031" s="14" t="n"/>
      <c r="D1031" s="15" t="n"/>
      <c r="E1031" s="15" t="n"/>
      <c r="F1031" s="15" t="n"/>
      <c r="G1031" s="15" t="n"/>
      <c r="H1031" s="16">
        <f>IF($A1031="","",$D1031+IF($E1031="",0,$E1031)+IF($F1031="",0,$F1031)-IF($G1031="",0,$G1031))</f>
        <v/>
      </c>
      <c r="I1031" s="12" t="n"/>
      <c r="J1031" s="12" t="n"/>
      <c r="K1031" s="12" t="n"/>
      <c r="L1031" s="14" t="n"/>
      <c r="M1031" s="12" t="n"/>
      <c r="N1031" s="12" t="n"/>
      <c r="O1031" s="12" t="n"/>
    </row>
    <row r="1032">
      <c r="A1032" s="12" t="n"/>
      <c r="B1032" s="13">
        <f>IF($A1032="","",IFERROR(INDEX(Emp_Names,MATCH($A1032,Emp_Codes,0)),"NOT FOUND"))</f>
        <v/>
      </c>
      <c r="C1032" s="14" t="n"/>
      <c r="D1032" s="15" t="n"/>
      <c r="E1032" s="15" t="n"/>
      <c r="F1032" s="15" t="n"/>
      <c r="G1032" s="15" t="n"/>
      <c r="H1032" s="16">
        <f>IF($A1032="","",$D1032+IF($E1032="",0,$E1032)+IF($F1032="",0,$F1032)-IF($G1032="",0,$G1032))</f>
        <v/>
      </c>
      <c r="I1032" s="12" t="n"/>
      <c r="J1032" s="12" t="n"/>
      <c r="K1032" s="12" t="n"/>
      <c r="L1032" s="14" t="n"/>
      <c r="M1032" s="12" t="n"/>
      <c r="N1032" s="12" t="n"/>
      <c r="O1032" s="12" t="n"/>
    </row>
    <row r="1033">
      <c r="A1033" s="12" t="n"/>
      <c r="B1033" s="13">
        <f>IF($A1033="","",IFERROR(INDEX(Emp_Names,MATCH($A1033,Emp_Codes,0)),"NOT FOUND"))</f>
        <v/>
      </c>
      <c r="C1033" s="14" t="n"/>
      <c r="D1033" s="15" t="n"/>
      <c r="E1033" s="15" t="n"/>
      <c r="F1033" s="15" t="n"/>
      <c r="G1033" s="15" t="n"/>
      <c r="H1033" s="16">
        <f>IF($A1033="","",$D1033+IF($E1033="",0,$E1033)+IF($F1033="",0,$F1033)-IF($G1033="",0,$G1033))</f>
        <v/>
      </c>
      <c r="I1033" s="12" t="n"/>
      <c r="J1033" s="12" t="n"/>
      <c r="K1033" s="12" t="n"/>
      <c r="L1033" s="14" t="n"/>
      <c r="M1033" s="12" t="n"/>
      <c r="N1033" s="12" t="n"/>
      <c r="O1033" s="12" t="n"/>
    </row>
    <row r="1034">
      <c r="A1034" s="12" t="n"/>
      <c r="B1034" s="13">
        <f>IF($A1034="","",IFERROR(INDEX(Emp_Names,MATCH($A1034,Emp_Codes,0)),"NOT FOUND"))</f>
        <v/>
      </c>
      <c r="C1034" s="14" t="n"/>
      <c r="D1034" s="15" t="n"/>
      <c r="E1034" s="15" t="n"/>
      <c r="F1034" s="15" t="n"/>
      <c r="G1034" s="15" t="n"/>
      <c r="H1034" s="16">
        <f>IF($A1034="","",$D1034+IF($E1034="",0,$E1034)+IF($F1034="",0,$F1034)-IF($G1034="",0,$G1034))</f>
        <v/>
      </c>
      <c r="I1034" s="12" t="n"/>
      <c r="J1034" s="12" t="n"/>
      <c r="K1034" s="12" t="n"/>
      <c r="L1034" s="14" t="n"/>
      <c r="M1034" s="12" t="n"/>
      <c r="N1034" s="12" t="n"/>
      <c r="O1034" s="12" t="n"/>
    </row>
    <row r="1035">
      <c r="A1035" s="12" t="n"/>
      <c r="B1035" s="13">
        <f>IF($A1035="","",IFERROR(INDEX(Emp_Names,MATCH($A1035,Emp_Codes,0)),"NOT FOUND"))</f>
        <v/>
      </c>
      <c r="C1035" s="14" t="n"/>
      <c r="D1035" s="15" t="n"/>
      <c r="E1035" s="15" t="n"/>
      <c r="F1035" s="15" t="n"/>
      <c r="G1035" s="15" t="n"/>
      <c r="H1035" s="16">
        <f>IF($A1035="","",$D1035+IF($E1035="",0,$E1035)+IF($F1035="",0,$F1035)-IF($G1035="",0,$G1035))</f>
        <v/>
      </c>
      <c r="I1035" s="12" t="n"/>
      <c r="J1035" s="12" t="n"/>
      <c r="K1035" s="12" t="n"/>
      <c r="L1035" s="14" t="n"/>
      <c r="M1035" s="12" t="n"/>
      <c r="N1035" s="12" t="n"/>
      <c r="O1035" s="12" t="n"/>
    </row>
    <row r="1036">
      <c r="A1036" s="12" t="n"/>
      <c r="B1036" s="13">
        <f>IF($A1036="","",IFERROR(INDEX(Emp_Names,MATCH($A1036,Emp_Codes,0)),"NOT FOUND"))</f>
        <v/>
      </c>
      <c r="C1036" s="14" t="n"/>
      <c r="D1036" s="15" t="n"/>
      <c r="E1036" s="15" t="n"/>
      <c r="F1036" s="15" t="n"/>
      <c r="G1036" s="15" t="n"/>
      <c r="H1036" s="16">
        <f>IF($A1036="","",$D1036+IF($E1036="",0,$E1036)+IF($F1036="",0,$F1036)-IF($G1036="",0,$G1036))</f>
        <v/>
      </c>
      <c r="I1036" s="12" t="n"/>
      <c r="J1036" s="12" t="n"/>
      <c r="K1036" s="12" t="n"/>
      <c r="L1036" s="14" t="n"/>
      <c r="M1036" s="12" t="n"/>
      <c r="N1036" s="12" t="n"/>
      <c r="O1036" s="12" t="n"/>
    </row>
    <row r="1037">
      <c r="A1037" s="12" t="n"/>
      <c r="B1037" s="13">
        <f>IF($A1037="","",IFERROR(INDEX(Emp_Names,MATCH($A1037,Emp_Codes,0)),"NOT FOUND"))</f>
        <v/>
      </c>
      <c r="C1037" s="14" t="n"/>
      <c r="D1037" s="15" t="n"/>
      <c r="E1037" s="15" t="n"/>
      <c r="F1037" s="15" t="n"/>
      <c r="G1037" s="15" t="n"/>
      <c r="H1037" s="16">
        <f>IF($A1037="","",$D1037+IF($E1037="",0,$E1037)+IF($F1037="",0,$F1037)-IF($G1037="",0,$G1037))</f>
        <v/>
      </c>
      <c r="I1037" s="12" t="n"/>
      <c r="J1037" s="12" t="n"/>
      <c r="K1037" s="12" t="n"/>
      <c r="L1037" s="14" t="n"/>
      <c r="M1037" s="12" t="n"/>
      <c r="N1037" s="12" t="n"/>
      <c r="O1037" s="12" t="n"/>
    </row>
    <row r="1038">
      <c r="A1038" s="12" t="n"/>
      <c r="B1038" s="13">
        <f>IF($A1038="","",IFERROR(INDEX(Emp_Names,MATCH($A1038,Emp_Codes,0)),"NOT FOUND"))</f>
        <v/>
      </c>
      <c r="C1038" s="14" t="n"/>
      <c r="D1038" s="15" t="n"/>
      <c r="E1038" s="15" t="n"/>
      <c r="F1038" s="15" t="n"/>
      <c r="G1038" s="15" t="n"/>
      <c r="H1038" s="16">
        <f>IF($A1038="","",$D1038+IF($E1038="",0,$E1038)+IF($F1038="",0,$F1038)-IF($G1038="",0,$G1038))</f>
        <v/>
      </c>
      <c r="I1038" s="12" t="n"/>
      <c r="J1038" s="12" t="n"/>
      <c r="K1038" s="12" t="n"/>
      <c r="L1038" s="14" t="n"/>
      <c r="M1038" s="12" t="n"/>
      <c r="N1038" s="12" t="n"/>
      <c r="O1038" s="12" t="n"/>
    </row>
    <row r="1039">
      <c r="A1039" s="12" t="n"/>
      <c r="B1039" s="13">
        <f>IF($A1039="","",IFERROR(INDEX(Emp_Names,MATCH($A1039,Emp_Codes,0)),"NOT FOUND"))</f>
        <v/>
      </c>
      <c r="C1039" s="14" t="n"/>
      <c r="D1039" s="15" t="n"/>
      <c r="E1039" s="15" t="n"/>
      <c r="F1039" s="15" t="n"/>
      <c r="G1039" s="15" t="n"/>
      <c r="H1039" s="16">
        <f>IF($A1039="","",$D1039+IF($E1039="",0,$E1039)+IF($F1039="",0,$F1039)-IF($G1039="",0,$G1039))</f>
        <v/>
      </c>
      <c r="I1039" s="12" t="n"/>
      <c r="J1039" s="12" t="n"/>
      <c r="K1039" s="12" t="n"/>
      <c r="L1039" s="14" t="n"/>
      <c r="M1039" s="12" t="n"/>
      <c r="N1039" s="12" t="n"/>
      <c r="O1039" s="12" t="n"/>
    </row>
    <row r="1040">
      <c r="A1040" s="12" t="n"/>
      <c r="B1040" s="13">
        <f>IF($A1040="","",IFERROR(INDEX(Emp_Names,MATCH($A1040,Emp_Codes,0)),"NOT FOUND"))</f>
        <v/>
      </c>
      <c r="C1040" s="14" t="n"/>
      <c r="D1040" s="15" t="n"/>
      <c r="E1040" s="15" t="n"/>
      <c r="F1040" s="15" t="n"/>
      <c r="G1040" s="15" t="n"/>
      <c r="H1040" s="16">
        <f>IF($A1040="","",$D1040+IF($E1040="",0,$E1040)+IF($F1040="",0,$F1040)-IF($G1040="",0,$G1040))</f>
        <v/>
      </c>
      <c r="I1040" s="12" t="n"/>
      <c r="J1040" s="12" t="n"/>
      <c r="K1040" s="12" t="n"/>
      <c r="L1040" s="14" t="n"/>
      <c r="M1040" s="12" t="n"/>
      <c r="N1040" s="12" t="n"/>
      <c r="O1040" s="12" t="n"/>
    </row>
    <row r="1041">
      <c r="A1041" s="12" t="n"/>
      <c r="B1041" s="13">
        <f>IF($A1041="","",IFERROR(INDEX(Emp_Names,MATCH($A1041,Emp_Codes,0)),"NOT FOUND"))</f>
        <v/>
      </c>
      <c r="C1041" s="14" t="n"/>
      <c r="D1041" s="15" t="n"/>
      <c r="E1041" s="15" t="n"/>
      <c r="F1041" s="15" t="n"/>
      <c r="G1041" s="15" t="n"/>
      <c r="H1041" s="16">
        <f>IF($A1041="","",$D1041+IF($E1041="",0,$E1041)+IF($F1041="",0,$F1041)-IF($G1041="",0,$G1041))</f>
        <v/>
      </c>
      <c r="I1041" s="12" t="n"/>
      <c r="J1041" s="12" t="n"/>
      <c r="K1041" s="12" t="n"/>
      <c r="L1041" s="14" t="n"/>
      <c r="M1041" s="12" t="n"/>
      <c r="N1041" s="12" t="n"/>
      <c r="O1041" s="12" t="n"/>
    </row>
    <row r="1042">
      <c r="A1042" s="12" t="n"/>
      <c r="B1042" s="13">
        <f>IF($A1042="","",IFERROR(INDEX(Emp_Names,MATCH($A1042,Emp_Codes,0)),"NOT FOUND"))</f>
        <v/>
      </c>
      <c r="C1042" s="14" t="n"/>
      <c r="D1042" s="15" t="n"/>
      <c r="E1042" s="15" t="n"/>
      <c r="F1042" s="15" t="n"/>
      <c r="G1042" s="15" t="n"/>
      <c r="H1042" s="16">
        <f>IF($A1042="","",$D1042+IF($E1042="",0,$E1042)+IF($F1042="",0,$F1042)-IF($G1042="",0,$G1042))</f>
        <v/>
      </c>
      <c r="I1042" s="12" t="n"/>
      <c r="J1042" s="12" t="n"/>
      <c r="K1042" s="12" t="n"/>
      <c r="L1042" s="14" t="n"/>
      <c r="M1042" s="12" t="n"/>
      <c r="N1042" s="12" t="n"/>
      <c r="O1042" s="12" t="n"/>
    </row>
    <row r="1043">
      <c r="A1043" s="12" t="n"/>
      <c r="B1043" s="13">
        <f>IF($A1043="","",IFERROR(INDEX(Emp_Names,MATCH($A1043,Emp_Codes,0)),"NOT FOUND"))</f>
        <v/>
      </c>
      <c r="C1043" s="14" t="n"/>
      <c r="D1043" s="15" t="n"/>
      <c r="E1043" s="15" t="n"/>
      <c r="F1043" s="15" t="n"/>
      <c r="G1043" s="15" t="n"/>
      <c r="H1043" s="16">
        <f>IF($A1043="","",$D1043+IF($E1043="",0,$E1043)+IF($F1043="",0,$F1043)-IF($G1043="",0,$G1043))</f>
        <v/>
      </c>
      <c r="I1043" s="12" t="n"/>
      <c r="J1043" s="12" t="n"/>
      <c r="K1043" s="12" t="n"/>
      <c r="L1043" s="14" t="n"/>
      <c r="M1043" s="12" t="n"/>
      <c r="N1043" s="12" t="n"/>
      <c r="O1043" s="12" t="n"/>
    </row>
    <row r="1044">
      <c r="A1044" s="12" t="n"/>
      <c r="B1044" s="13">
        <f>IF($A1044="","",IFERROR(INDEX(Emp_Names,MATCH($A1044,Emp_Codes,0)),"NOT FOUND"))</f>
        <v/>
      </c>
      <c r="C1044" s="14" t="n"/>
      <c r="D1044" s="15" t="n"/>
      <c r="E1044" s="15" t="n"/>
      <c r="F1044" s="15" t="n"/>
      <c r="G1044" s="15" t="n"/>
      <c r="H1044" s="16">
        <f>IF($A1044="","",$D1044+IF($E1044="",0,$E1044)+IF($F1044="",0,$F1044)-IF($G1044="",0,$G1044))</f>
        <v/>
      </c>
      <c r="I1044" s="12" t="n"/>
      <c r="J1044" s="12" t="n"/>
      <c r="K1044" s="12" t="n"/>
      <c r="L1044" s="14" t="n"/>
      <c r="M1044" s="12" t="n"/>
      <c r="N1044" s="12" t="n"/>
      <c r="O1044" s="12" t="n"/>
    </row>
    <row r="1045">
      <c r="A1045" s="12" t="n"/>
      <c r="B1045" s="13">
        <f>IF($A1045="","",IFERROR(INDEX(Emp_Names,MATCH($A1045,Emp_Codes,0)),"NOT FOUND"))</f>
        <v/>
      </c>
      <c r="C1045" s="14" t="n"/>
      <c r="D1045" s="15" t="n"/>
      <c r="E1045" s="15" t="n"/>
      <c r="F1045" s="15" t="n"/>
      <c r="G1045" s="15" t="n"/>
      <c r="H1045" s="16">
        <f>IF($A1045="","",$D1045+IF($E1045="",0,$E1045)+IF($F1045="",0,$F1045)-IF($G1045="",0,$G1045))</f>
        <v/>
      </c>
      <c r="I1045" s="12" t="n"/>
      <c r="J1045" s="12" t="n"/>
      <c r="K1045" s="12" t="n"/>
      <c r="L1045" s="14" t="n"/>
      <c r="M1045" s="12" t="n"/>
      <c r="N1045" s="12" t="n"/>
      <c r="O1045" s="12" t="n"/>
    </row>
    <row r="1046">
      <c r="A1046" s="12" t="n"/>
      <c r="B1046" s="13">
        <f>IF($A1046="","",IFERROR(INDEX(Emp_Names,MATCH($A1046,Emp_Codes,0)),"NOT FOUND"))</f>
        <v/>
      </c>
      <c r="C1046" s="14" t="n"/>
      <c r="D1046" s="15" t="n"/>
      <c r="E1046" s="15" t="n"/>
      <c r="F1046" s="15" t="n"/>
      <c r="G1046" s="15" t="n"/>
      <c r="H1046" s="16">
        <f>IF($A1046="","",$D1046+IF($E1046="",0,$E1046)+IF($F1046="",0,$F1046)-IF($G1046="",0,$G1046))</f>
        <v/>
      </c>
      <c r="I1046" s="12" t="n"/>
      <c r="J1046" s="12" t="n"/>
      <c r="K1046" s="12" t="n"/>
      <c r="L1046" s="14" t="n"/>
      <c r="M1046" s="12" t="n"/>
      <c r="N1046" s="12" t="n"/>
      <c r="O1046" s="12" t="n"/>
    </row>
    <row r="1047">
      <c r="A1047" s="12" t="n"/>
      <c r="B1047" s="13">
        <f>IF($A1047="","",IFERROR(INDEX(Emp_Names,MATCH($A1047,Emp_Codes,0)),"NOT FOUND"))</f>
        <v/>
      </c>
      <c r="C1047" s="14" t="n"/>
      <c r="D1047" s="15" t="n"/>
      <c r="E1047" s="15" t="n"/>
      <c r="F1047" s="15" t="n"/>
      <c r="G1047" s="15" t="n"/>
      <c r="H1047" s="16">
        <f>IF($A1047="","",$D1047+IF($E1047="",0,$E1047)+IF($F1047="",0,$F1047)-IF($G1047="",0,$G1047))</f>
        <v/>
      </c>
      <c r="I1047" s="12" t="n"/>
      <c r="J1047" s="12" t="n"/>
      <c r="K1047" s="12" t="n"/>
      <c r="L1047" s="14" t="n"/>
      <c r="M1047" s="12" t="n"/>
      <c r="N1047" s="12" t="n"/>
      <c r="O1047" s="12" t="n"/>
    </row>
    <row r="1048">
      <c r="A1048" s="12" t="n"/>
      <c r="B1048" s="13">
        <f>IF($A1048="","",IFERROR(INDEX(Emp_Names,MATCH($A1048,Emp_Codes,0)),"NOT FOUND"))</f>
        <v/>
      </c>
      <c r="C1048" s="14" t="n"/>
      <c r="D1048" s="15" t="n"/>
      <c r="E1048" s="15" t="n"/>
      <c r="F1048" s="15" t="n"/>
      <c r="G1048" s="15" t="n"/>
      <c r="H1048" s="16">
        <f>IF($A1048="","",$D1048+IF($E1048="",0,$E1048)+IF($F1048="",0,$F1048)-IF($G1048="",0,$G1048))</f>
        <v/>
      </c>
      <c r="I1048" s="12" t="n"/>
      <c r="J1048" s="12" t="n"/>
      <c r="K1048" s="12" t="n"/>
      <c r="L1048" s="14" t="n"/>
      <c r="M1048" s="12" t="n"/>
      <c r="N1048" s="12" t="n"/>
      <c r="O1048" s="12" t="n"/>
    </row>
    <row r="1049">
      <c r="A1049" s="12" t="n"/>
      <c r="B1049" s="13">
        <f>IF($A1049="","",IFERROR(INDEX(Emp_Names,MATCH($A1049,Emp_Codes,0)),"NOT FOUND"))</f>
        <v/>
      </c>
      <c r="C1049" s="14" t="n"/>
      <c r="D1049" s="15" t="n"/>
      <c r="E1049" s="15" t="n"/>
      <c r="F1049" s="15" t="n"/>
      <c r="G1049" s="15" t="n"/>
      <c r="H1049" s="16">
        <f>IF($A1049="","",$D1049+IF($E1049="",0,$E1049)+IF($F1049="",0,$F1049)-IF($G1049="",0,$G1049))</f>
        <v/>
      </c>
      <c r="I1049" s="12" t="n"/>
      <c r="J1049" s="12" t="n"/>
      <c r="K1049" s="12" t="n"/>
      <c r="L1049" s="14" t="n"/>
      <c r="M1049" s="12" t="n"/>
      <c r="N1049" s="12" t="n"/>
      <c r="O1049" s="12" t="n"/>
    </row>
    <row r="1050">
      <c r="A1050" s="12" t="n"/>
      <c r="B1050" s="13">
        <f>IF($A1050="","",IFERROR(INDEX(Emp_Names,MATCH($A1050,Emp_Codes,0)),"NOT FOUND"))</f>
        <v/>
      </c>
      <c r="C1050" s="14" t="n"/>
      <c r="D1050" s="15" t="n"/>
      <c r="E1050" s="15" t="n"/>
      <c r="F1050" s="15" t="n"/>
      <c r="G1050" s="15" t="n"/>
      <c r="H1050" s="16">
        <f>IF($A1050="","",$D1050+IF($E1050="",0,$E1050)+IF($F1050="",0,$F1050)-IF($G1050="",0,$G1050))</f>
        <v/>
      </c>
      <c r="I1050" s="12" t="n"/>
      <c r="J1050" s="12" t="n"/>
      <c r="K1050" s="12" t="n"/>
      <c r="L1050" s="14" t="n"/>
      <c r="M1050" s="12" t="n"/>
      <c r="N1050" s="12" t="n"/>
      <c r="O1050" s="12" t="n"/>
    </row>
    <row r="1051">
      <c r="A1051" s="12" t="n"/>
      <c r="B1051" s="13">
        <f>IF($A1051="","",IFERROR(INDEX(Emp_Names,MATCH($A1051,Emp_Codes,0)),"NOT FOUND"))</f>
        <v/>
      </c>
      <c r="C1051" s="14" t="n"/>
      <c r="D1051" s="15" t="n"/>
      <c r="E1051" s="15" t="n"/>
      <c r="F1051" s="15" t="n"/>
      <c r="G1051" s="15" t="n"/>
      <c r="H1051" s="16">
        <f>IF($A1051="","",$D1051+IF($E1051="",0,$E1051)+IF($F1051="",0,$F1051)-IF($G1051="",0,$G1051))</f>
        <v/>
      </c>
      <c r="I1051" s="12" t="n"/>
      <c r="J1051" s="12" t="n"/>
      <c r="K1051" s="12" t="n"/>
      <c r="L1051" s="14" t="n"/>
      <c r="M1051" s="12" t="n"/>
      <c r="N1051" s="12" t="n"/>
      <c r="O1051" s="12" t="n"/>
    </row>
    <row r="1052">
      <c r="A1052" s="12" t="n"/>
      <c r="B1052" s="13">
        <f>IF($A1052="","",IFERROR(INDEX(Emp_Names,MATCH($A1052,Emp_Codes,0)),"NOT FOUND"))</f>
        <v/>
      </c>
      <c r="C1052" s="14" t="n"/>
      <c r="D1052" s="15" t="n"/>
      <c r="E1052" s="15" t="n"/>
      <c r="F1052" s="15" t="n"/>
      <c r="G1052" s="15" t="n"/>
      <c r="H1052" s="16">
        <f>IF($A1052="","",$D1052+IF($E1052="",0,$E1052)+IF($F1052="",0,$F1052)-IF($G1052="",0,$G1052))</f>
        <v/>
      </c>
      <c r="I1052" s="12" t="n"/>
      <c r="J1052" s="12" t="n"/>
      <c r="K1052" s="12" t="n"/>
      <c r="L1052" s="14" t="n"/>
      <c r="M1052" s="12" t="n"/>
      <c r="N1052" s="12" t="n"/>
      <c r="O1052" s="12" t="n"/>
    </row>
    <row r="1053">
      <c r="A1053" s="12" t="n"/>
      <c r="B1053" s="13">
        <f>IF($A1053="","",IFERROR(INDEX(Emp_Names,MATCH($A1053,Emp_Codes,0)),"NOT FOUND"))</f>
        <v/>
      </c>
      <c r="C1053" s="14" t="n"/>
      <c r="D1053" s="15" t="n"/>
      <c r="E1053" s="15" t="n"/>
      <c r="F1053" s="15" t="n"/>
      <c r="G1053" s="15" t="n"/>
      <c r="H1053" s="16">
        <f>IF($A1053="","",$D1053+IF($E1053="",0,$E1053)+IF($F1053="",0,$F1053)-IF($G1053="",0,$G1053))</f>
        <v/>
      </c>
      <c r="I1053" s="12" t="n"/>
      <c r="J1053" s="12" t="n"/>
      <c r="K1053" s="12" t="n"/>
      <c r="L1053" s="14" t="n"/>
      <c r="M1053" s="12" t="n"/>
      <c r="N1053" s="12" t="n"/>
      <c r="O1053" s="12" t="n"/>
    </row>
    <row r="1054">
      <c r="A1054" s="12" t="n"/>
      <c r="B1054" s="13">
        <f>IF($A1054="","",IFERROR(INDEX(Emp_Names,MATCH($A1054,Emp_Codes,0)),"NOT FOUND"))</f>
        <v/>
      </c>
      <c r="C1054" s="14" t="n"/>
      <c r="D1054" s="15" t="n"/>
      <c r="E1054" s="15" t="n"/>
      <c r="F1054" s="15" t="n"/>
      <c r="G1054" s="15" t="n"/>
      <c r="H1054" s="16">
        <f>IF($A1054="","",$D1054+IF($E1054="",0,$E1054)+IF($F1054="",0,$F1054)-IF($G1054="",0,$G1054))</f>
        <v/>
      </c>
      <c r="I1054" s="12" t="n"/>
      <c r="J1054" s="12" t="n"/>
      <c r="K1054" s="12" t="n"/>
      <c r="L1054" s="14" t="n"/>
      <c r="M1054" s="12" t="n"/>
      <c r="N1054" s="12" t="n"/>
      <c r="O1054" s="12" t="n"/>
    </row>
    <row r="1055">
      <c r="A1055" s="12" t="n"/>
      <c r="B1055" s="13">
        <f>IF($A1055="","",IFERROR(INDEX(Emp_Names,MATCH($A1055,Emp_Codes,0)),"NOT FOUND"))</f>
        <v/>
      </c>
      <c r="C1055" s="14" t="n"/>
      <c r="D1055" s="15" t="n"/>
      <c r="E1055" s="15" t="n"/>
      <c r="F1055" s="15" t="n"/>
      <c r="G1055" s="15" t="n"/>
      <c r="H1055" s="16">
        <f>IF($A1055="","",$D1055+IF($E1055="",0,$E1055)+IF($F1055="",0,$F1055)-IF($G1055="",0,$G1055))</f>
        <v/>
      </c>
      <c r="I1055" s="12" t="n"/>
      <c r="J1055" s="12" t="n"/>
      <c r="K1055" s="12" t="n"/>
      <c r="L1055" s="14" t="n"/>
      <c r="M1055" s="12" t="n"/>
      <c r="N1055" s="12" t="n"/>
      <c r="O1055" s="12" t="n"/>
    </row>
    <row r="1056">
      <c r="A1056" s="12" t="n"/>
      <c r="B1056" s="13">
        <f>IF($A1056="","",IFERROR(INDEX(Emp_Names,MATCH($A1056,Emp_Codes,0)),"NOT FOUND"))</f>
        <v/>
      </c>
      <c r="C1056" s="14" t="n"/>
      <c r="D1056" s="15" t="n"/>
      <c r="E1056" s="15" t="n"/>
      <c r="F1056" s="15" t="n"/>
      <c r="G1056" s="15" t="n"/>
      <c r="H1056" s="16">
        <f>IF($A1056="","",$D1056+IF($E1056="",0,$E1056)+IF($F1056="",0,$F1056)-IF($G1056="",0,$G1056))</f>
        <v/>
      </c>
      <c r="I1056" s="12" t="n"/>
      <c r="J1056" s="12" t="n"/>
      <c r="K1056" s="12" t="n"/>
      <c r="L1056" s="14" t="n"/>
      <c r="M1056" s="12" t="n"/>
      <c r="N1056" s="12" t="n"/>
      <c r="O1056" s="12" t="n"/>
    </row>
    <row r="1057">
      <c r="A1057" s="12" t="n"/>
      <c r="B1057" s="13">
        <f>IF($A1057="","",IFERROR(INDEX(Emp_Names,MATCH($A1057,Emp_Codes,0)),"NOT FOUND"))</f>
        <v/>
      </c>
      <c r="C1057" s="14" t="n"/>
      <c r="D1057" s="15" t="n"/>
      <c r="E1057" s="15" t="n"/>
      <c r="F1057" s="15" t="n"/>
      <c r="G1057" s="15" t="n"/>
      <c r="H1057" s="16">
        <f>IF($A1057="","",$D1057+IF($E1057="",0,$E1057)+IF($F1057="",0,$F1057)-IF($G1057="",0,$G1057))</f>
        <v/>
      </c>
      <c r="I1057" s="12" t="n"/>
      <c r="J1057" s="12" t="n"/>
      <c r="K1057" s="12" t="n"/>
      <c r="L1057" s="14" t="n"/>
      <c r="M1057" s="12" t="n"/>
      <c r="N1057" s="12" t="n"/>
      <c r="O1057" s="12" t="n"/>
    </row>
    <row r="1058">
      <c r="A1058" s="12" t="n"/>
      <c r="B1058" s="13">
        <f>IF($A1058="","",IFERROR(INDEX(Emp_Names,MATCH($A1058,Emp_Codes,0)),"NOT FOUND"))</f>
        <v/>
      </c>
      <c r="C1058" s="14" t="n"/>
      <c r="D1058" s="15" t="n"/>
      <c r="E1058" s="15" t="n"/>
      <c r="F1058" s="15" t="n"/>
      <c r="G1058" s="15" t="n"/>
      <c r="H1058" s="16">
        <f>IF($A1058="","",$D1058+IF($E1058="",0,$E1058)+IF($F1058="",0,$F1058)-IF($G1058="",0,$G1058))</f>
        <v/>
      </c>
      <c r="I1058" s="12" t="n"/>
      <c r="J1058" s="12" t="n"/>
      <c r="K1058" s="12" t="n"/>
      <c r="L1058" s="14" t="n"/>
      <c r="M1058" s="12" t="n"/>
      <c r="N1058" s="12" t="n"/>
      <c r="O1058" s="12" t="n"/>
    </row>
    <row r="1059">
      <c r="A1059" s="12" t="n"/>
      <c r="B1059" s="13">
        <f>IF($A1059="","",IFERROR(INDEX(Emp_Names,MATCH($A1059,Emp_Codes,0)),"NOT FOUND"))</f>
        <v/>
      </c>
      <c r="C1059" s="14" t="n"/>
      <c r="D1059" s="15" t="n"/>
      <c r="E1059" s="15" t="n"/>
      <c r="F1059" s="15" t="n"/>
      <c r="G1059" s="15" t="n"/>
      <c r="H1059" s="16">
        <f>IF($A1059="","",$D1059+IF($E1059="",0,$E1059)+IF($F1059="",0,$F1059)-IF($G1059="",0,$G1059))</f>
        <v/>
      </c>
      <c r="I1059" s="12" t="n"/>
      <c r="J1059" s="12" t="n"/>
      <c r="K1059" s="12" t="n"/>
      <c r="L1059" s="14" t="n"/>
      <c r="M1059" s="12" t="n"/>
      <c r="N1059" s="12" t="n"/>
      <c r="O1059" s="12" t="n"/>
    </row>
    <row r="1060">
      <c r="A1060" s="12" t="n"/>
      <c r="B1060" s="13">
        <f>IF($A1060="","",IFERROR(INDEX(Emp_Names,MATCH($A1060,Emp_Codes,0)),"NOT FOUND"))</f>
        <v/>
      </c>
      <c r="C1060" s="14" t="n"/>
      <c r="D1060" s="15" t="n"/>
      <c r="E1060" s="15" t="n"/>
      <c r="F1060" s="15" t="n"/>
      <c r="G1060" s="15" t="n"/>
      <c r="H1060" s="16">
        <f>IF($A1060="","",$D1060+IF($E1060="",0,$E1060)+IF($F1060="",0,$F1060)-IF($G1060="",0,$G1060))</f>
        <v/>
      </c>
      <c r="I1060" s="12" t="n"/>
      <c r="J1060" s="12" t="n"/>
      <c r="K1060" s="12" t="n"/>
      <c r="L1060" s="14" t="n"/>
      <c r="M1060" s="12" t="n"/>
      <c r="N1060" s="12" t="n"/>
      <c r="O1060" s="12" t="n"/>
    </row>
    <row r="1061">
      <c r="A1061" s="12" t="n"/>
      <c r="B1061" s="13">
        <f>IF($A1061="","",IFERROR(INDEX(Emp_Names,MATCH($A1061,Emp_Codes,0)),"NOT FOUND"))</f>
        <v/>
      </c>
      <c r="C1061" s="14" t="n"/>
      <c r="D1061" s="15" t="n"/>
      <c r="E1061" s="15" t="n"/>
      <c r="F1061" s="15" t="n"/>
      <c r="G1061" s="15" t="n"/>
      <c r="H1061" s="16">
        <f>IF($A1061="","",$D1061+IF($E1061="",0,$E1061)+IF($F1061="",0,$F1061)-IF($G1061="",0,$G1061))</f>
        <v/>
      </c>
      <c r="I1061" s="12" t="n"/>
      <c r="J1061" s="12" t="n"/>
      <c r="K1061" s="12" t="n"/>
      <c r="L1061" s="14" t="n"/>
      <c r="M1061" s="12" t="n"/>
      <c r="N1061" s="12" t="n"/>
      <c r="O1061" s="12" t="n"/>
    </row>
    <row r="1062">
      <c r="A1062" s="12" t="n"/>
      <c r="B1062" s="13">
        <f>IF($A1062="","",IFERROR(INDEX(Emp_Names,MATCH($A1062,Emp_Codes,0)),"NOT FOUND"))</f>
        <v/>
      </c>
      <c r="C1062" s="14" t="n"/>
      <c r="D1062" s="15" t="n"/>
      <c r="E1062" s="15" t="n"/>
      <c r="F1062" s="15" t="n"/>
      <c r="G1062" s="15" t="n"/>
      <c r="H1062" s="16">
        <f>IF($A1062="","",$D1062+IF($E1062="",0,$E1062)+IF($F1062="",0,$F1062)-IF($G1062="",0,$G1062))</f>
        <v/>
      </c>
      <c r="I1062" s="12" t="n"/>
      <c r="J1062" s="12" t="n"/>
      <c r="K1062" s="12" t="n"/>
      <c r="L1062" s="14" t="n"/>
      <c r="M1062" s="12" t="n"/>
      <c r="N1062" s="12" t="n"/>
      <c r="O1062" s="12" t="n"/>
    </row>
    <row r="1063">
      <c r="A1063" s="12" t="n"/>
      <c r="B1063" s="13">
        <f>IF($A1063="","",IFERROR(INDEX(Emp_Names,MATCH($A1063,Emp_Codes,0)),"NOT FOUND"))</f>
        <v/>
      </c>
      <c r="C1063" s="14" t="n"/>
      <c r="D1063" s="15" t="n"/>
      <c r="E1063" s="15" t="n"/>
      <c r="F1063" s="15" t="n"/>
      <c r="G1063" s="15" t="n"/>
      <c r="H1063" s="16">
        <f>IF($A1063="","",$D1063+IF($E1063="",0,$E1063)+IF($F1063="",0,$F1063)-IF($G1063="",0,$G1063))</f>
        <v/>
      </c>
      <c r="I1063" s="12" t="n"/>
      <c r="J1063" s="12" t="n"/>
      <c r="K1063" s="12" t="n"/>
      <c r="L1063" s="14" t="n"/>
      <c r="M1063" s="12" t="n"/>
      <c r="N1063" s="12" t="n"/>
      <c r="O1063" s="12" t="n"/>
    </row>
    <row r="1064">
      <c r="A1064" s="12" t="n"/>
      <c r="B1064" s="13">
        <f>IF($A1064="","",IFERROR(INDEX(Emp_Names,MATCH($A1064,Emp_Codes,0)),"NOT FOUND"))</f>
        <v/>
      </c>
      <c r="C1064" s="14" t="n"/>
      <c r="D1064" s="15" t="n"/>
      <c r="E1064" s="15" t="n"/>
      <c r="F1064" s="15" t="n"/>
      <c r="G1064" s="15" t="n"/>
      <c r="H1064" s="16">
        <f>IF($A1064="","",$D1064+IF($E1064="",0,$E1064)+IF($F1064="",0,$F1064)-IF($G1064="",0,$G1064))</f>
        <v/>
      </c>
      <c r="I1064" s="12" t="n"/>
      <c r="J1064" s="12" t="n"/>
      <c r="K1064" s="12" t="n"/>
      <c r="L1064" s="14" t="n"/>
      <c r="M1064" s="12" t="n"/>
      <c r="N1064" s="12" t="n"/>
      <c r="O1064" s="12" t="n"/>
    </row>
    <row r="1065">
      <c r="A1065" s="12" t="n"/>
      <c r="B1065" s="13">
        <f>IF($A1065="","",IFERROR(INDEX(Emp_Names,MATCH($A1065,Emp_Codes,0)),"NOT FOUND"))</f>
        <v/>
      </c>
      <c r="C1065" s="14" t="n"/>
      <c r="D1065" s="15" t="n"/>
      <c r="E1065" s="15" t="n"/>
      <c r="F1065" s="15" t="n"/>
      <c r="G1065" s="15" t="n"/>
      <c r="H1065" s="16">
        <f>IF($A1065="","",$D1065+IF($E1065="",0,$E1065)+IF($F1065="",0,$F1065)-IF($G1065="",0,$G1065))</f>
        <v/>
      </c>
      <c r="I1065" s="12" t="n"/>
      <c r="J1065" s="12" t="n"/>
      <c r="K1065" s="12" t="n"/>
      <c r="L1065" s="14" t="n"/>
      <c r="M1065" s="12" t="n"/>
      <c r="N1065" s="12" t="n"/>
      <c r="O1065" s="12" t="n"/>
    </row>
    <row r="1066">
      <c r="A1066" s="12" t="n"/>
      <c r="B1066" s="13">
        <f>IF($A1066="","",IFERROR(INDEX(Emp_Names,MATCH($A1066,Emp_Codes,0)),"NOT FOUND"))</f>
        <v/>
      </c>
      <c r="C1066" s="14" t="n"/>
      <c r="D1066" s="15" t="n"/>
      <c r="E1066" s="15" t="n"/>
      <c r="F1066" s="15" t="n"/>
      <c r="G1066" s="15" t="n"/>
      <c r="H1066" s="16">
        <f>IF($A1066="","",$D1066+IF($E1066="",0,$E1066)+IF($F1066="",0,$F1066)-IF($G1066="",0,$G1066))</f>
        <v/>
      </c>
      <c r="I1066" s="12" t="n"/>
      <c r="J1066" s="12" t="n"/>
      <c r="K1066" s="12" t="n"/>
      <c r="L1066" s="14" t="n"/>
      <c r="M1066" s="12" t="n"/>
      <c r="N1066" s="12" t="n"/>
      <c r="O1066" s="12" t="n"/>
    </row>
    <row r="1067">
      <c r="A1067" s="12" t="n"/>
      <c r="B1067" s="13">
        <f>IF($A1067="","",IFERROR(INDEX(Emp_Names,MATCH($A1067,Emp_Codes,0)),"NOT FOUND"))</f>
        <v/>
      </c>
      <c r="C1067" s="14" t="n"/>
      <c r="D1067" s="15" t="n"/>
      <c r="E1067" s="15" t="n"/>
      <c r="F1067" s="15" t="n"/>
      <c r="G1067" s="15" t="n"/>
      <c r="H1067" s="16">
        <f>IF($A1067="","",$D1067+IF($E1067="",0,$E1067)+IF($F1067="",0,$F1067)-IF($G1067="",0,$G1067))</f>
        <v/>
      </c>
      <c r="I1067" s="12" t="n"/>
      <c r="J1067" s="12" t="n"/>
      <c r="K1067" s="12" t="n"/>
      <c r="L1067" s="14" t="n"/>
      <c r="M1067" s="12" t="n"/>
      <c r="N1067" s="12" t="n"/>
      <c r="O1067" s="12" t="n"/>
    </row>
    <row r="1068">
      <c r="A1068" s="12" t="n"/>
      <c r="B1068" s="13">
        <f>IF($A1068="","",IFERROR(INDEX(Emp_Names,MATCH($A1068,Emp_Codes,0)),"NOT FOUND"))</f>
        <v/>
      </c>
      <c r="C1068" s="14" t="n"/>
      <c r="D1068" s="15" t="n"/>
      <c r="E1068" s="15" t="n"/>
      <c r="F1068" s="15" t="n"/>
      <c r="G1068" s="15" t="n"/>
      <c r="H1068" s="16">
        <f>IF($A1068="","",$D1068+IF($E1068="",0,$E1068)+IF($F1068="",0,$F1068)-IF($G1068="",0,$G1068))</f>
        <v/>
      </c>
      <c r="I1068" s="12" t="n"/>
      <c r="J1068" s="12" t="n"/>
      <c r="K1068" s="12" t="n"/>
      <c r="L1068" s="14" t="n"/>
      <c r="M1068" s="12" t="n"/>
      <c r="N1068" s="12" t="n"/>
      <c r="O1068" s="12" t="n"/>
    </row>
    <row r="1069">
      <c r="A1069" s="12" t="n"/>
      <c r="B1069" s="13">
        <f>IF($A1069="","",IFERROR(INDEX(Emp_Names,MATCH($A1069,Emp_Codes,0)),"NOT FOUND"))</f>
        <v/>
      </c>
      <c r="C1069" s="14" t="n"/>
      <c r="D1069" s="15" t="n"/>
      <c r="E1069" s="15" t="n"/>
      <c r="F1069" s="15" t="n"/>
      <c r="G1069" s="15" t="n"/>
      <c r="H1069" s="16">
        <f>IF($A1069="","",$D1069+IF($E1069="",0,$E1069)+IF($F1069="",0,$F1069)-IF($G1069="",0,$G1069))</f>
        <v/>
      </c>
      <c r="I1069" s="12" t="n"/>
      <c r="J1069" s="12" t="n"/>
      <c r="K1069" s="12" t="n"/>
      <c r="L1069" s="14" t="n"/>
      <c r="M1069" s="12" t="n"/>
      <c r="N1069" s="12" t="n"/>
      <c r="O1069" s="12" t="n"/>
    </row>
    <row r="1070">
      <c r="A1070" s="12" t="n"/>
      <c r="B1070" s="13">
        <f>IF($A1070="","",IFERROR(INDEX(Emp_Names,MATCH($A1070,Emp_Codes,0)),"NOT FOUND"))</f>
        <v/>
      </c>
      <c r="C1070" s="14" t="n"/>
      <c r="D1070" s="15" t="n"/>
      <c r="E1070" s="15" t="n"/>
      <c r="F1070" s="15" t="n"/>
      <c r="G1070" s="15" t="n"/>
      <c r="H1070" s="16">
        <f>IF($A1070="","",$D1070+IF($E1070="",0,$E1070)+IF($F1070="",0,$F1070)-IF($G1070="",0,$G1070))</f>
        <v/>
      </c>
      <c r="I1070" s="12" t="n"/>
      <c r="J1070" s="12" t="n"/>
      <c r="K1070" s="12" t="n"/>
      <c r="L1070" s="14" t="n"/>
      <c r="M1070" s="12" t="n"/>
      <c r="N1070" s="12" t="n"/>
      <c r="O1070" s="12" t="n"/>
    </row>
    <row r="1071">
      <c r="A1071" s="12" t="n"/>
      <c r="B1071" s="13">
        <f>IF($A1071="","",IFERROR(INDEX(Emp_Names,MATCH($A1071,Emp_Codes,0)),"NOT FOUND"))</f>
        <v/>
      </c>
      <c r="C1071" s="14" t="n"/>
      <c r="D1071" s="15" t="n"/>
      <c r="E1071" s="15" t="n"/>
      <c r="F1071" s="15" t="n"/>
      <c r="G1071" s="15" t="n"/>
      <c r="H1071" s="16">
        <f>IF($A1071="","",$D1071+IF($E1071="",0,$E1071)+IF($F1071="",0,$F1071)-IF($G1071="",0,$G1071))</f>
        <v/>
      </c>
      <c r="I1071" s="12" t="n"/>
      <c r="J1071" s="12" t="n"/>
      <c r="K1071" s="12" t="n"/>
      <c r="L1071" s="14" t="n"/>
      <c r="M1071" s="12" t="n"/>
      <c r="N1071" s="12" t="n"/>
      <c r="O1071" s="12" t="n"/>
    </row>
    <row r="1072">
      <c r="A1072" s="12" t="n"/>
      <c r="B1072" s="13">
        <f>IF($A1072="","",IFERROR(INDEX(Emp_Names,MATCH($A1072,Emp_Codes,0)),"NOT FOUND"))</f>
        <v/>
      </c>
      <c r="C1072" s="14" t="n"/>
      <c r="D1072" s="15" t="n"/>
      <c r="E1072" s="15" t="n"/>
      <c r="F1072" s="15" t="n"/>
      <c r="G1072" s="15" t="n"/>
      <c r="H1072" s="16">
        <f>IF($A1072="","",$D1072+IF($E1072="",0,$E1072)+IF($F1072="",0,$F1072)-IF($G1072="",0,$G1072))</f>
        <v/>
      </c>
      <c r="I1072" s="12" t="n"/>
      <c r="J1072" s="12" t="n"/>
      <c r="K1072" s="12" t="n"/>
      <c r="L1072" s="14" t="n"/>
      <c r="M1072" s="12" t="n"/>
      <c r="N1072" s="12" t="n"/>
      <c r="O1072" s="12" t="n"/>
    </row>
    <row r="1073">
      <c r="A1073" s="12" t="n"/>
      <c r="B1073" s="13">
        <f>IF($A1073="","",IFERROR(INDEX(Emp_Names,MATCH($A1073,Emp_Codes,0)),"NOT FOUND"))</f>
        <v/>
      </c>
      <c r="C1073" s="14" t="n"/>
      <c r="D1073" s="15" t="n"/>
      <c r="E1073" s="15" t="n"/>
      <c r="F1073" s="15" t="n"/>
      <c r="G1073" s="15" t="n"/>
      <c r="H1073" s="16">
        <f>IF($A1073="","",$D1073+IF($E1073="",0,$E1073)+IF($F1073="",0,$F1073)-IF($G1073="",0,$G1073))</f>
        <v/>
      </c>
      <c r="I1073" s="12" t="n"/>
      <c r="J1073" s="12" t="n"/>
      <c r="K1073" s="12" t="n"/>
      <c r="L1073" s="14" t="n"/>
      <c r="M1073" s="12" t="n"/>
      <c r="N1073" s="12" t="n"/>
      <c r="O1073" s="12" t="n"/>
    </row>
    <row r="1074">
      <c r="A1074" s="12" t="n"/>
      <c r="B1074" s="13">
        <f>IF($A1074="","",IFERROR(INDEX(Emp_Names,MATCH($A1074,Emp_Codes,0)),"NOT FOUND"))</f>
        <v/>
      </c>
      <c r="C1074" s="14" t="n"/>
      <c r="D1074" s="15" t="n"/>
      <c r="E1074" s="15" t="n"/>
      <c r="F1074" s="15" t="n"/>
      <c r="G1074" s="15" t="n"/>
      <c r="H1074" s="16">
        <f>IF($A1074="","",$D1074+IF($E1074="",0,$E1074)+IF($F1074="",0,$F1074)-IF($G1074="",0,$G1074))</f>
        <v/>
      </c>
      <c r="I1074" s="12" t="n"/>
      <c r="J1074" s="12" t="n"/>
      <c r="K1074" s="12" t="n"/>
      <c r="L1074" s="14" t="n"/>
      <c r="M1074" s="12" t="n"/>
      <c r="N1074" s="12" t="n"/>
      <c r="O1074" s="12" t="n"/>
    </row>
    <row r="1075">
      <c r="A1075" s="12" t="n"/>
      <c r="B1075" s="13">
        <f>IF($A1075="","",IFERROR(INDEX(Emp_Names,MATCH($A1075,Emp_Codes,0)),"NOT FOUND"))</f>
        <v/>
      </c>
      <c r="C1075" s="14" t="n"/>
      <c r="D1075" s="15" t="n"/>
      <c r="E1075" s="15" t="n"/>
      <c r="F1075" s="15" t="n"/>
      <c r="G1075" s="15" t="n"/>
      <c r="H1075" s="16">
        <f>IF($A1075="","",$D1075+IF($E1075="",0,$E1075)+IF($F1075="",0,$F1075)-IF($G1075="",0,$G1075))</f>
        <v/>
      </c>
      <c r="I1075" s="12" t="n"/>
      <c r="J1075" s="12" t="n"/>
      <c r="K1075" s="12" t="n"/>
      <c r="L1075" s="14" t="n"/>
      <c r="M1075" s="12" t="n"/>
      <c r="N1075" s="12" t="n"/>
      <c r="O1075" s="12" t="n"/>
    </row>
    <row r="1076">
      <c r="A1076" s="12" t="n"/>
      <c r="B1076" s="13">
        <f>IF($A1076="","",IFERROR(INDEX(Emp_Names,MATCH($A1076,Emp_Codes,0)),"NOT FOUND"))</f>
        <v/>
      </c>
      <c r="C1076" s="14" t="n"/>
      <c r="D1076" s="15" t="n"/>
      <c r="E1076" s="15" t="n"/>
      <c r="F1076" s="15" t="n"/>
      <c r="G1076" s="15" t="n"/>
      <c r="H1076" s="16">
        <f>IF($A1076="","",$D1076+IF($E1076="",0,$E1076)+IF($F1076="",0,$F1076)-IF($G1076="",0,$G1076))</f>
        <v/>
      </c>
      <c r="I1076" s="12" t="n"/>
      <c r="J1076" s="12" t="n"/>
      <c r="K1076" s="12" t="n"/>
      <c r="L1076" s="14" t="n"/>
      <c r="M1076" s="12" t="n"/>
      <c r="N1076" s="12" t="n"/>
      <c r="O1076" s="12" t="n"/>
    </row>
    <row r="1077">
      <c r="A1077" s="12" t="n"/>
      <c r="B1077" s="13">
        <f>IF($A1077="","",IFERROR(INDEX(Emp_Names,MATCH($A1077,Emp_Codes,0)),"NOT FOUND"))</f>
        <v/>
      </c>
      <c r="C1077" s="14" t="n"/>
      <c r="D1077" s="15" t="n"/>
      <c r="E1077" s="15" t="n"/>
      <c r="F1077" s="15" t="n"/>
      <c r="G1077" s="15" t="n"/>
      <c r="H1077" s="16">
        <f>IF($A1077="","",$D1077+IF($E1077="",0,$E1077)+IF($F1077="",0,$F1077)-IF($G1077="",0,$G1077))</f>
        <v/>
      </c>
      <c r="I1077" s="12" t="n"/>
      <c r="J1077" s="12" t="n"/>
      <c r="K1077" s="12" t="n"/>
      <c r="L1077" s="14" t="n"/>
      <c r="M1077" s="12" t="n"/>
      <c r="N1077" s="12" t="n"/>
      <c r="O1077" s="12" t="n"/>
    </row>
    <row r="1078">
      <c r="A1078" s="12" t="n"/>
      <c r="B1078" s="13">
        <f>IF($A1078="","",IFERROR(INDEX(Emp_Names,MATCH($A1078,Emp_Codes,0)),"NOT FOUND"))</f>
        <v/>
      </c>
      <c r="C1078" s="14" t="n"/>
      <c r="D1078" s="15" t="n"/>
      <c r="E1078" s="15" t="n"/>
      <c r="F1078" s="15" t="n"/>
      <c r="G1078" s="15" t="n"/>
      <c r="H1078" s="16">
        <f>IF($A1078="","",$D1078+IF($E1078="",0,$E1078)+IF($F1078="",0,$F1078)-IF($G1078="",0,$G1078))</f>
        <v/>
      </c>
      <c r="I1078" s="12" t="n"/>
      <c r="J1078" s="12" t="n"/>
      <c r="K1078" s="12" t="n"/>
      <c r="L1078" s="14" t="n"/>
      <c r="M1078" s="12" t="n"/>
      <c r="N1078" s="12" t="n"/>
      <c r="O1078" s="12" t="n"/>
    </row>
    <row r="1079">
      <c r="A1079" s="12" t="n"/>
      <c r="B1079" s="13">
        <f>IF($A1079="","",IFERROR(INDEX(Emp_Names,MATCH($A1079,Emp_Codes,0)),"NOT FOUND"))</f>
        <v/>
      </c>
      <c r="C1079" s="14" t="n"/>
      <c r="D1079" s="15" t="n"/>
      <c r="E1079" s="15" t="n"/>
      <c r="F1079" s="15" t="n"/>
      <c r="G1079" s="15" t="n"/>
      <c r="H1079" s="16">
        <f>IF($A1079="","",$D1079+IF($E1079="",0,$E1079)+IF($F1079="",0,$F1079)-IF($G1079="",0,$G1079))</f>
        <v/>
      </c>
      <c r="I1079" s="12" t="n"/>
      <c r="J1079" s="12" t="n"/>
      <c r="K1079" s="12" t="n"/>
      <c r="L1079" s="14" t="n"/>
      <c r="M1079" s="12" t="n"/>
      <c r="N1079" s="12" t="n"/>
      <c r="O1079" s="12" t="n"/>
    </row>
    <row r="1080">
      <c r="A1080" s="12" t="n"/>
      <c r="B1080" s="13">
        <f>IF($A1080="","",IFERROR(INDEX(Emp_Names,MATCH($A1080,Emp_Codes,0)),"NOT FOUND"))</f>
        <v/>
      </c>
      <c r="C1080" s="14" t="n"/>
      <c r="D1080" s="15" t="n"/>
      <c r="E1080" s="15" t="n"/>
      <c r="F1080" s="15" t="n"/>
      <c r="G1080" s="15" t="n"/>
      <c r="H1080" s="16">
        <f>IF($A1080="","",$D1080+IF($E1080="",0,$E1080)+IF($F1080="",0,$F1080)-IF($G1080="",0,$G1080))</f>
        <v/>
      </c>
      <c r="I1080" s="12" t="n"/>
      <c r="J1080" s="12" t="n"/>
      <c r="K1080" s="12" t="n"/>
      <c r="L1080" s="14" t="n"/>
      <c r="M1080" s="12" t="n"/>
      <c r="N1080" s="12" t="n"/>
      <c r="O1080" s="12" t="n"/>
    </row>
    <row r="1081">
      <c r="A1081" s="12" t="n"/>
      <c r="B1081" s="13">
        <f>IF($A1081="","",IFERROR(INDEX(Emp_Names,MATCH($A1081,Emp_Codes,0)),"NOT FOUND"))</f>
        <v/>
      </c>
      <c r="C1081" s="14" t="n"/>
      <c r="D1081" s="15" t="n"/>
      <c r="E1081" s="15" t="n"/>
      <c r="F1081" s="15" t="n"/>
      <c r="G1081" s="15" t="n"/>
      <c r="H1081" s="16">
        <f>IF($A1081="","",$D1081+IF($E1081="",0,$E1081)+IF($F1081="",0,$F1081)-IF($G1081="",0,$G1081))</f>
        <v/>
      </c>
      <c r="I1081" s="12" t="n"/>
      <c r="J1081" s="12" t="n"/>
      <c r="K1081" s="12" t="n"/>
      <c r="L1081" s="14" t="n"/>
      <c r="M1081" s="12" t="n"/>
      <c r="N1081" s="12" t="n"/>
      <c r="O1081" s="12" t="n"/>
    </row>
    <row r="1082">
      <c r="A1082" s="12" t="n"/>
      <c r="B1082" s="13">
        <f>IF($A1082="","",IFERROR(INDEX(Emp_Names,MATCH($A1082,Emp_Codes,0)),"NOT FOUND"))</f>
        <v/>
      </c>
      <c r="C1082" s="14" t="n"/>
      <c r="D1082" s="15" t="n"/>
      <c r="E1082" s="15" t="n"/>
      <c r="F1082" s="15" t="n"/>
      <c r="G1082" s="15" t="n"/>
      <c r="H1082" s="16">
        <f>IF($A1082="","",$D1082+IF($E1082="",0,$E1082)+IF($F1082="",0,$F1082)-IF($G1082="",0,$G1082))</f>
        <v/>
      </c>
      <c r="I1082" s="12" t="n"/>
      <c r="J1082" s="12" t="n"/>
      <c r="K1082" s="12" t="n"/>
      <c r="L1082" s="14" t="n"/>
      <c r="M1082" s="12" t="n"/>
      <c r="N1082" s="12" t="n"/>
      <c r="O1082" s="12" t="n"/>
    </row>
    <row r="1083">
      <c r="A1083" s="12" t="n"/>
      <c r="B1083" s="13">
        <f>IF($A1083="","",IFERROR(INDEX(Emp_Names,MATCH($A1083,Emp_Codes,0)),"NOT FOUND"))</f>
        <v/>
      </c>
      <c r="C1083" s="14" t="n"/>
      <c r="D1083" s="15" t="n"/>
      <c r="E1083" s="15" t="n"/>
      <c r="F1083" s="15" t="n"/>
      <c r="G1083" s="15" t="n"/>
      <c r="H1083" s="16">
        <f>IF($A1083="","",$D1083+IF($E1083="",0,$E1083)+IF($F1083="",0,$F1083)-IF($G1083="",0,$G1083))</f>
        <v/>
      </c>
      <c r="I1083" s="12" t="n"/>
      <c r="J1083" s="12" t="n"/>
      <c r="K1083" s="12" t="n"/>
      <c r="L1083" s="14" t="n"/>
      <c r="M1083" s="12" t="n"/>
      <c r="N1083" s="12" t="n"/>
      <c r="O1083" s="12" t="n"/>
    </row>
    <row r="1084">
      <c r="A1084" s="12" t="n"/>
      <c r="B1084" s="13">
        <f>IF($A1084="","",IFERROR(INDEX(Emp_Names,MATCH($A1084,Emp_Codes,0)),"NOT FOUND"))</f>
        <v/>
      </c>
      <c r="C1084" s="14" t="n"/>
      <c r="D1084" s="15" t="n"/>
      <c r="E1084" s="15" t="n"/>
      <c r="F1084" s="15" t="n"/>
      <c r="G1084" s="15" t="n"/>
      <c r="H1084" s="16">
        <f>IF($A1084="","",$D1084+IF($E1084="",0,$E1084)+IF($F1084="",0,$F1084)-IF($G1084="",0,$G1084))</f>
        <v/>
      </c>
      <c r="I1084" s="12" t="n"/>
      <c r="J1084" s="12" t="n"/>
      <c r="K1084" s="12" t="n"/>
      <c r="L1084" s="14" t="n"/>
      <c r="M1084" s="12" t="n"/>
      <c r="N1084" s="12" t="n"/>
      <c r="O1084" s="12" t="n"/>
    </row>
    <row r="1085">
      <c r="A1085" s="12" t="n"/>
      <c r="B1085" s="13">
        <f>IF($A1085="","",IFERROR(INDEX(Emp_Names,MATCH($A1085,Emp_Codes,0)),"NOT FOUND"))</f>
        <v/>
      </c>
      <c r="C1085" s="14" t="n"/>
      <c r="D1085" s="15" t="n"/>
      <c r="E1085" s="15" t="n"/>
      <c r="F1085" s="15" t="n"/>
      <c r="G1085" s="15" t="n"/>
      <c r="H1085" s="16">
        <f>IF($A1085="","",$D1085+IF($E1085="",0,$E1085)+IF($F1085="",0,$F1085)-IF($G1085="",0,$G1085))</f>
        <v/>
      </c>
      <c r="I1085" s="12" t="n"/>
      <c r="J1085" s="12" t="n"/>
      <c r="K1085" s="12" t="n"/>
      <c r="L1085" s="14" t="n"/>
      <c r="M1085" s="12" t="n"/>
      <c r="N1085" s="12" t="n"/>
      <c r="O1085" s="12" t="n"/>
    </row>
    <row r="1086">
      <c r="A1086" s="12" t="n"/>
      <c r="B1086" s="13">
        <f>IF($A1086="","",IFERROR(INDEX(Emp_Names,MATCH($A1086,Emp_Codes,0)),"NOT FOUND"))</f>
        <v/>
      </c>
      <c r="C1086" s="14" t="n"/>
      <c r="D1086" s="15" t="n"/>
      <c r="E1086" s="15" t="n"/>
      <c r="F1086" s="15" t="n"/>
      <c r="G1086" s="15" t="n"/>
      <c r="H1086" s="16">
        <f>IF($A1086="","",$D1086+IF($E1086="",0,$E1086)+IF($F1086="",0,$F1086)-IF($G1086="",0,$G1086))</f>
        <v/>
      </c>
      <c r="I1086" s="12" t="n"/>
      <c r="J1086" s="12" t="n"/>
      <c r="K1086" s="12" t="n"/>
      <c r="L1086" s="14" t="n"/>
      <c r="M1086" s="12" t="n"/>
      <c r="N1086" s="12" t="n"/>
      <c r="O1086" s="12" t="n"/>
    </row>
    <row r="1087">
      <c r="A1087" s="12" t="n"/>
      <c r="B1087" s="13">
        <f>IF($A1087="","",IFERROR(INDEX(Emp_Names,MATCH($A1087,Emp_Codes,0)),"NOT FOUND"))</f>
        <v/>
      </c>
      <c r="C1087" s="14" t="n"/>
      <c r="D1087" s="15" t="n"/>
      <c r="E1087" s="15" t="n"/>
      <c r="F1087" s="15" t="n"/>
      <c r="G1087" s="15" t="n"/>
      <c r="H1087" s="16">
        <f>IF($A1087="","",$D1087+IF($E1087="",0,$E1087)+IF($F1087="",0,$F1087)-IF($G1087="",0,$G1087))</f>
        <v/>
      </c>
      <c r="I1087" s="12" t="n"/>
      <c r="J1087" s="12" t="n"/>
      <c r="K1087" s="12" t="n"/>
      <c r="L1087" s="14" t="n"/>
      <c r="M1087" s="12" t="n"/>
      <c r="N1087" s="12" t="n"/>
      <c r="O1087" s="12" t="n"/>
    </row>
    <row r="1088">
      <c r="A1088" s="12" t="n"/>
      <c r="B1088" s="13">
        <f>IF($A1088="","",IFERROR(INDEX(Emp_Names,MATCH($A1088,Emp_Codes,0)),"NOT FOUND"))</f>
        <v/>
      </c>
      <c r="C1088" s="14" t="n"/>
      <c r="D1088" s="15" t="n"/>
      <c r="E1088" s="15" t="n"/>
      <c r="F1088" s="15" t="n"/>
      <c r="G1088" s="15" t="n"/>
      <c r="H1088" s="16">
        <f>IF($A1088="","",$D1088+IF($E1088="",0,$E1088)+IF($F1088="",0,$F1088)-IF($G1088="",0,$G1088))</f>
        <v/>
      </c>
      <c r="I1088" s="12" t="n"/>
      <c r="J1088" s="12" t="n"/>
      <c r="K1088" s="12" t="n"/>
      <c r="L1088" s="14" t="n"/>
      <c r="M1088" s="12" t="n"/>
      <c r="N1088" s="12" t="n"/>
      <c r="O1088" s="12" t="n"/>
    </row>
    <row r="1089">
      <c r="A1089" s="12" t="n"/>
      <c r="B1089" s="13">
        <f>IF($A1089="","",IFERROR(INDEX(Emp_Names,MATCH($A1089,Emp_Codes,0)),"NOT FOUND"))</f>
        <v/>
      </c>
      <c r="C1089" s="14" t="n"/>
      <c r="D1089" s="15" t="n"/>
      <c r="E1089" s="15" t="n"/>
      <c r="F1089" s="15" t="n"/>
      <c r="G1089" s="15" t="n"/>
      <c r="H1089" s="16">
        <f>IF($A1089="","",$D1089+IF($E1089="",0,$E1089)+IF($F1089="",0,$F1089)-IF($G1089="",0,$G1089))</f>
        <v/>
      </c>
      <c r="I1089" s="12" t="n"/>
      <c r="J1089" s="12" t="n"/>
      <c r="K1089" s="12" t="n"/>
      <c r="L1089" s="14" t="n"/>
      <c r="M1089" s="12" t="n"/>
      <c r="N1089" s="12" t="n"/>
      <c r="O1089" s="12" t="n"/>
    </row>
    <row r="1090">
      <c r="A1090" s="12" t="n"/>
      <c r="B1090" s="13">
        <f>IF($A1090="","",IFERROR(INDEX(Emp_Names,MATCH($A1090,Emp_Codes,0)),"NOT FOUND"))</f>
        <v/>
      </c>
      <c r="C1090" s="14" t="n"/>
      <c r="D1090" s="15" t="n"/>
      <c r="E1090" s="15" t="n"/>
      <c r="F1090" s="15" t="n"/>
      <c r="G1090" s="15" t="n"/>
      <c r="H1090" s="16">
        <f>IF($A1090="","",$D1090+IF($E1090="",0,$E1090)+IF($F1090="",0,$F1090)-IF($G1090="",0,$G1090))</f>
        <v/>
      </c>
      <c r="I1090" s="12" t="n"/>
      <c r="J1090" s="12" t="n"/>
      <c r="K1090" s="12" t="n"/>
      <c r="L1090" s="14" t="n"/>
      <c r="M1090" s="12" t="n"/>
      <c r="N1090" s="12" t="n"/>
      <c r="O1090" s="12" t="n"/>
    </row>
    <row r="1091">
      <c r="A1091" s="12" t="n"/>
      <c r="B1091" s="13">
        <f>IF($A1091="","",IFERROR(INDEX(Emp_Names,MATCH($A1091,Emp_Codes,0)),"NOT FOUND"))</f>
        <v/>
      </c>
      <c r="C1091" s="14" t="n"/>
      <c r="D1091" s="15" t="n"/>
      <c r="E1091" s="15" t="n"/>
      <c r="F1091" s="15" t="n"/>
      <c r="G1091" s="15" t="n"/>
      <c r="H1091" s="16">
        <f>IF($A1091="","",$D1091+IF($E1091="",0,$E1091)+IF($F1091="",0,$F1091)-IF($G1091="",0,$G1091))</f>
        <v/>
      </c>
      <c r="I1091" s="12" t="n"/>
      <c r="J1091" s="12" t="n"/>
      <c r="K1091" s="12" t="n"/>
      <c r="L1091" s="14" t="n"/>
      <c r="M1091" s="12" t="n"/>
      <c r="N1091" s="12" t="n"/>
      <c r="O1091" s="12" t="n"/>
    </row>
    <row r="1092">
      <c r="A1092" s="12" t="n"/>
      <c r="B1092" s="13">
        <f>IF($A1092="","",IFERROR(INDEX(Emp_Names,MATCH($A1092,Emp_Codes,0)),"NOT FOUND"))</f>
        <v/>
      </c>
      <c r="C1092" s="14" t="n"/>
      <c r="D1092" s="15" t="n"/>
      <c r="E1092" s="15" t="n"/>
      <c r="F1092" s="15" t="n"/>
      <c r="G1092" s="15" t="n"/>
      <c r="H1092" s="16">
        <f>IF($A1092="","",$D1092+IF($E1092="",0,$E1092)+IF($F1092="",0,$F1092)-IF($G1092="",0,$G1092))</f>
        <v/>
      </c>
      <c r="I1092" s="12" t="n"/>
      <c r="J1092" s="12" t="n"/>
      <c r="K1092" s="12" t="n"/>
      <c r="L1092" s="14" t="n"/>
      <c r="M1092" s="12" t="n"/>
      <c r="N1092" s="12" t="n"/>
      <c r="O1092" s="12" t="n"/>
    </row>
    <row r="1093">
      <c r="A1093" s="12" t="n"/>
      <c r="B1093" s="13">
        <f>IF($A1093="","",IFERROR(INDEX(Emp_Names,MATCH($A1093,Emp_Codes,0)),"NOT FOUND"))</f>
        <v/>
      </c>
      <c r="C1093" s="14" t="n"/>
      <c r="D1093" s="15" t="n"/>
      <c r="E1093" s="15" t="n"/>
      <c r="F1093" s="15" t="n"/>
      <c r="G1093" s="15" t="n"/>
      <c r="H1093" s="16">
        <f>IF($A1093="","",$D1093+IF($E1093="",0,$E1093)+IF($F1093="",0,$F1093)-IF($G1093="",0,$G1093))</f>
        <v/>
      </c>
      <c r="I1093" s="12" t="n"/>
      <c r="J1093" s="12" t="n"/>
      <c r="K1093" s="12" t="n"/>
      <c r="L1093" s="14" t="n"/>
      <c r="M1093" s="12" t="n"/>
      <c r="N1093" s="12" t="n"/>
      <c r="O1093" s="12" t="n"/>
    </row>
    <row r="1094">
      <c r="A1094" s="12" t="n"/>
      <c r="B1094" s="13">
        <f>IF($A1094="","",IFERROR(INDEX(Emp_Names,MATCH($A1094,Emp_Codes,0)),"NOT FOUND"))</f>
        <v/>
      </c>
      <c r="C1094" s="14" t="n"/>
      <c r="D1094" s="15" t="n"/>
      <c r="E1094" s="15" t="n"/>
      <c r="F1094" s="15" t="n"/>
      <c r="G1094" s="15" t="n"/>
      <c r="H1094" s="16">
        <f>IF($A1094="","",$D1094+IF($E1094="",0,$E1094)+IF($F1094="",0,$F1094)-IF($G1094="",0,$G1094))</f>
        <v/>
      </c>
      <c r="I1094" s="12" t="n"/>
      <c r="J1094" s="12" t="n"/>
      <c r="K1094" s="12" t="n"/>
      <c r="L1094" s="14" t="n"/>
      <c r="M1094" s="12" t="n"/>
      <c r="N1094" s="12" t="n"/>
      <c r="O1094" s="12" t="n"/>
    </row>
    <row r="1095">
      <c r="A1095" s="12" t="n"/>
      <c r="B1095" s="13">
        <f>IF($A1095="","",IFERROR(INDEX(Emp_Names,MATCH($A1095,Emp_Codes,0)),"NOT FOUND"))</f>
        <v/>
      </c>
      <c r="C1095" s="14" t="n"/>
      <c r="D1095" s="15" t="n"/>
      <c r="E1095" s="15" t="n"/>
      <c r="F1095" s="15" t="n"/>
      <c r="G1095" s="15" t="n"/>
      <c r="H1095" s="16">
        <f>IF($A1095="","",$D1095+IF($E1095="",0,$E1095)+IF($F1095="",0,$F1095)-IF($G1095="",0,$G1095))</f>
        <v/>
      </c>
      <c r="I1095" s="12" t="n"/>
      <c r="J1095" s="12" t="n"/>
      <c r="K1095" s="12" t="n"/>
      <c r="L1095" s="14" t="n"/>
      <c r="M1095" s="12" t="n"/>
      <c r="N1095" s="12" t="n"/>
      <c r="O1095" s="12" t="n"/>
    </row>
    <row r="1096">
      <c r="A1096" s="12" t="n"/>
      <c r="B1096" s="13">
        <f>IF($A1096="","",IFERROR(INDEX(Emp_Names,MATCH($A1096,Emp_Codes,0)),"NOT FOUND"))</f>
        <v/>
      </c>
      <c r="C1096" s="14" t="n"/>
      <c r="D1096" s="15" t="n"/>
      <c r="E1096" s="15" t="n"/>
      <c r="F1096" s="15" t="n"/>
      <c r="G1096" s="15" t="n"/>
      <c r="H1096" s="16">
        <f>IF($A1096="","",$D1096+IF($E1096="",0,$E1096)+IF($F1096="",0,$F1096)-IF($G1096="",0,$G1096))</f>
        <v/>
      </c>
      <c r="I1096" s="12" t="n"/>
      <c r="J1096" s="12" t="n"/>
      <c r="K1096" s="12" t="n"/>
      <c r="L1096" s="14" t="n"/>
      <c r="M1096" s="12" t="n"/>
      <c r="N1096" s="12" t="n"/>
      <c r="O1096" s="12" t="n"/>
    </row>
    <row r="1097">
      <c r="A1097" s="12" t="n"/>
      <c r="B1097" s="13">
        <f>IF($A1097="","",IFERROR(INDEX(Emp_Names,MATCH($A1097,Emp_Codes,0)),"NOT FOUND"))</f>
        <v/>
      </c>
      <c r="C1097" s="14" t="n"/>
      <c r="D1097" s="15" t="n"/>
      <c r="E1097" s="15" t="n"/>
      <c r="F1097" s="15" t="n"/>
      <c r="G1097" s="15" t="n"/>
      <c r="H1097" s="16">
        <f>IF($A1097="","",$D1097+IF($E1097="",0,$E1097)+IF($F1097="",0,$F1097)-IF($G1097="",0,$G1097))</f>
        <v/>
      </c>
      <c r="I1097" s="12" t="n"/>
      <c r="J1097" s="12" t="n"/>
      <c r="K1097" s="12" t="n"/>
      <c r="L1097" s="14" t="n"/>
      <c r="M1097" s="12" t="n"/>
      <c r="N1097" s="12" t="n"/>
      <c r="O1097" s="12" t="n"/>
    </row>
    <row r="1098">
      <c r="A1098" s="12" t="n"/>
      <c r="B1098" s="13">
        <f>IF($A1098="","",IFERROR(INDEX(Emp_Names,MATCH($A1098,Emp_Codes,0)),"NOT FOUND"))</f>
        <v/>
      </c>
      <c r="C1098" s="14" t="n"/>
      <c r="D1098" s="15" t="n"/>
      <c r="E1098" s="15" t="n"/>
      <c r="F1098" s="15" t="n"/>
      <c r="G1098" s="15" t="n"/>
      <c r="H1098" s="16">
        <f>IF($A1098="","",$D1098+IF($E1098="",0,$E1098)+IF($F1098="",0,$F1098)-IF($G1098="",0,$G1098))</f>
        <v/>
      </c>
      <c r="I1098" s="12" t="n"/>
      <c r="J1098" s="12" t="n"/>
      <c r="K1098" s="12" t="n"/>
      <c r="L1098" s="14" t="n"/>
      <c r="M1098" s="12" t="n"/>
      <c r="N1098" s="12" t="n"/>
      <c r="O1098" s="12" t="n"/>
    </row>
    <row r="1099">
      <c r="A1099" s="12" t="n"/>
      <c r="B1099" s="13">
        <f>IF($A1099="","",IFERROR(INDEX(Emp_Names,MATCH($A1099,Emp_Codes,0)),"NOT FOUND"))</f>
        <v/>
      </c>
      <c r="C1099" s="14" t="n"/>
      <c r="D1099" s="15" t="n"/>
      <c r="E1099" s="15" t="n"/>
      <c r="F1099" s="15" t="n"/>
      <c r="G1099" s="15" t="n"/>
      <c r="H1099" s="16">
        <f>IF($A1099="","",$D1099+IF($E1099="",0,$E1099)+IF($F1099="",0,$F1099)-IF($G1099="",0,$G1099))</f>
        <v/>
      </c>
      <c r="I1099" s="12" t="n"/>
      <c r="J1099" s="12" t="n"/>
      <c r="K1099" s="12" t="n"/>
      <c r="L1099" s="14" t="n"/>
      <c r="M1099" s="12" t="n"/>
      <c r="N1099" s="12" t="n"/>
      <c r="O1099" s="12" t="n"/>
    </row>
    <row r="1100">
      <c r="A1100" s="12" t="n"/>
      <c r="B1100" s="13">
        <f>IF($A1100="","",IFERROR(INDEX(Emp_Names,MATCH($A1100,Emp_Codes,0)),"NOT FOUND"))</f>
        <v/>
      </c>
      <c r="C1100" s="14" t="n"/>
      <c r="D1100" s="15" t="n"/>
      <c r="E1100" s="15" t="n"/>
      <c r="F1100" s="15" t="n"/>
      <c r="G1100" s="15" t="n"/>
      <c r="H1100" s="16">
        <f>IF($A1100="","",$D1100+IF($E1100="",0,$E1100)+IF($F1100="",0,$F1100)-IF($G1100="",0,$G1100))</f>
        <v/>
      </c>
      <c r="I1100" s="12" t="n"/>
      <c r="J1100" s="12" t="n"/>
      <c r="K1100" s="12" t="n"/>
      <c r="L1100" s="14" t="n"/>
      <c r="M1100" s="12" t="n"/>
      <c r="N1100" s="12" t="n"/>
      <c r="O1100" s="12" t="n"/>
    </row>
    <row r="1101">
      <c r="A1101" s="12" t="n"/>
      <c r="B1101" s="13">
        <f>IF($A1101="","",IFERROR(INDEX(Emp_Names,MATCH($A1101,Emp_Codes,0)),"NOT FOUND"))</f>
        <v/>
      </c>
      <c r="C1101" s="14" t="n"/>
      <c r="D1101" s="15" t="n"/>
      <c r="E1101" s="15" t="n"/>
      <c r="F1101" s="15" t="n"/>
      <c r="G1101" s="15" t="n"/>
      <c r="H1101" s="16">
        <f>IF($A1101="","",$D1101+IF($E1101="",0,$E1101)+IF($F1101="",0,$F1101)-IF($G1101="",0,$G1101))</f>
        <v/>
      </c>
      <c r="I1101" s="12" t="n"/>
      <c r="J1101" s="12" t="n"/>
      <c r="K1101" s="12" t="n"/>
      <c r="L1101" s="14" t="n"/>
      <c r="M1101" s="12" t="n"/>
      <c r="N1101" s="12" t="n"/>
      <c r="O1101" s="12" t="n"/>
    </row>
    <row r="1102">
      <c r="A1102" s="12" t="n"/>
      <c r="B1102" s="13">
        <f>IF($A1102="","",IFERROR(INDEX(Emp_Names,MATCH($A1102,Emp_Codes,0)),"NOT FOUND"))</f>
        <v/>
      </c>
      <c r="C1102" s="14" t="n"/>
      <c r="D1102" s="15" t="n"/>
      <c r="E1102" s="15" t="n"/>
      <c r="F1102" s="15" t="n"/>
      <c r="G1102" s="15" t="n"/>
      <c r="H1102" s="16">
        <f>IF($A1102="","",$D1102+IF($E1102="",0,$E1102)+IF($F1102="",0,$F1102)-IF($G1102="",0,$G1102))</f>
        <v/>
      </c>
      <c r="I1102" s="12" t="n"/>
      <c r="J1102" s="12" t="n"/>
      <c r="K1102" s="12" t="n"/>
      <c r="L1102" s="14" t="n"/>
      <c r="M1102" s="12" t="n"/>
      <c r="N1102" s="12" t="n"/>
      <c r="O1102" s="12" t="n"/>
    </row>
    <row r="1103">
      <c r="A1103" s="12" t="n"/>
      <c r="B1103" s="13">
        <f>IF($A1103="","",IFERROR(INDEX(Emp_Names,MATCH($A1103,Emp_Codes,0)),"NOT FOUND"))</f>
        <v/>
      </c>
      <c r="C1103" s="14" t="n"/>
      <c r="D1103" s="15" t="n"/>
      <c r="E1103" s="15" t="n"/>
      <c r="F1103" s="15" t="n"/>
      <c r="G1103" s="15" t="n"/>
      <c r="H1103" s="16">
        <f>IF($A1103="","",$D1103+IF($E1103="",0,$E1103)+IF($F1103="",0,$F1103)-IF($G1103="",0,$G1103))</f>
        <v/>
      </c>
      <c r="I1103" s="12" t="n"/>
      <c r="J1103" s="12" t="n"/>
      <c r="K1103" s="12" t="n"/>
      <c r="L1103" s="14" t="n"/>
      <c r="M1103" s="12" t="n"/>
      <c r="N1103" s="12" t="n"/>
      <c r="O1103" s="12" t="n"/>
    </row>
    <row r="1104">
      <c r="A1104" s="12" t="n"/>
      <c r="B1104" s="13">
        <f>IF($A1104="","",IFERROR(INDEX(Emp_Names,MATCH($A1104,Emp_Codes,0)),"NOT FOUND"))</f>
        <v/>
      </c>
      <c r="C1104" s="14" t="n"/>
      <c r="D1104" s="15" t="n"/>
      <c r="E1104" s="15" t="n"/>
      <c r="F1104" s="15" t="n"/>
      <c r="G1104" s="15" t="n"/>
      <c r="H1104" s="16">
        <f>IF($A1104="","",$D1104+IF($E1104="",0,$E1104)+IF($F1104="",0,$F1104)-IF($G1104="",0,$G1104))</f>
        <v/>
      </c>
      <c r="I1104" s="12" t="n"/>
      <c r="J1104" s="12" t="n"/>
      <c r="K1104" s="12" t="n"/>
      <c r="L1104" s="14" t="n"/>
      <c r="M1104" s="12" t="n"/>
      <c r="N1104" s="12" t="n"/>
      <c r="O1104" s="12" t="n"/>
    </row>
    <row r="1105">
      <c r="A1105" s="12" t="n"/>
      <c r="B1105" s="13">
        <f>IF($A1105="","",IFERROR(INDEX(Emp_Names,MATCH($A1105,Emp_Codes,0)),"NOT FOUND"))</f>
        <v/>
      </c>
      <c r="C1105" s="14" t="n"/>
      <c r="D1105" s="15" t="n"/>
      <c r="E1105" s="15" t="n"/>
      <c r="F1105" s="15" t="n"/>
      <c r="G1105" s="15" t="n"/>
      <c r="H1105" s="16">
        <f>IF($A1105="","",$D1105+IF($E1105="",0,$E1105)+IF($F1105="",0,$F1105)-IF($G1105="",0,$G1105))</f>
        <v/>
      </c>
      <c r="I1105" s="12" t="n"/>
      <c r="J1105" s="12" t="n"/>
      <c r="K1105" s="12" t="n"/>
      <c r="L1105" s="14" t="n"/>
      <c r="M1105" s="12" t="n"/>
      <c r="N1105" s="12" t="n"/>
      <c r="O1105" s="12" t="n"/>
    </row>
    <row r="1106">
      <c r="A1106" s="12" t="n"/>
      <c r="B1106" s="13">
        <f>IF($A1106="","",IFERROR(INDEX(Emp_Names,MATCH($A1106,Emp_Codes,0)),"NOT FOUND"))</f>
        <v/>
      </c>
      <c r="C1106" s="14" t="n"/>
      <c r="D1106" s="15" t="n"/>
      <c r="E1106" s="15" t="n"/>
      <c r="F1106" s="15" t="n"/>
      <c r="G1106" s="15" t="n"/>
      <c r="H1106" s="16">
        <f>IF($A1106="","",$D1106+IF($E1106="",0,$E1106)+IF($F1106="",0,$F1106)-IF($G1106="",0,$G1106))</f>
        <v/>
      </c>
      <c r="I1106" s="12" t="n"/>
      <c r="J1106" s="12" t="n"/>
      <c r="K1106" s="12" t="n"/>
      <c r="L1106" s="14" t="n"/>
      <c r="M1106" s="12" t="n"/>
      <c r="N1106" s="12" t="n"/>
      <c r="O1106" s="12" t="n"/>
    </row>
    <row r="1107">
      <c r="A1107" s="12" t="n"/>
      <c r="B1107" s="13">
        <f>IF($A1107="","",IFERROR(INDEX(Emp_Names,MATCH($A1107,Emp_Codes,0)),"NOT FOUND"))</f>
        <v/>
      </c>
      <c r="C1107" s="14" t="n"/>
      <c r="D1107" s="15" t="n"/>
      <c r="E1107" s="15" t="n"/>
      <c r="F1107" s="15" t="n"/>
      <c r="G1107" s="15" t="n"/>
      <c r="H1107" s="16">
        <f>IF($A1107="","",$D1107+IF($E1107="",0,$E1107)+IF($F1107="",0,$F1107)-IF($G1107="",0,$G1107))</f>
        <v/>
      </c>
      <c r="I1107" s="12" t="n"/>
      <c r="J1107" s="12" t="n"/>
      <c r="K1107" s="12" t="n"/>
      <c r="L1107" s="14" t="n"/>
      <c r="M1107" s="12" t="n"/>
      <c r="N1107" s="12" t="n"/>
      <c r="O1107" s="12" t="n"/>
    </row>
    <row r="1108">
      <c r="A1108" s="12" t="n"/>
      <c r="B1108" s="13">
        <f>IF($A1108="","",IFERROR(INDEX(Emp_Names,MATCH($A1108,Emp_Codes,0)),"NOT FOUND"))</f>
        <v/>
      </c>
      <c r="C1108" s="14" t="n"/>
      <c r="D1108" s="15" t="n"/>
      <c r="E1108" s="15" t="n"/>
      <c r="F1108" s="15" t="n"/>
      <c r="G1108" s="15" t="n"/>
      <c r="H1108" s="16">
        <f>IF($A1108="","",$D1108+IF($E1108="",0,$E1108)+IF($F1108="",0,$F1108)-IF($G1108="",0,$G1108))</f>
        <v/>
      </c>
      <c r="I1108" s="12" t="n"/>
      <c r="J1108" s="12" t="n"/>
      <c r="K1108" s="12" t="n"/>
      <c r="L1108" s="14" t="n"/>
      <c r="M1108" s="12" t="n"/>
      <c r="N1108" s="12" t="n"/>
      <c r="O1108" s="12" t="n"/>
    </row>
    <row r="1109">
      <c r="A1109" s="12" t="n"/>
      <c r="B1109" s="13">
        <f>IF($A1109="","",IFERROR(INDEX(Emp_Names,MATCH($A1109,Emp_Codes,0)),"NOT FOUND"))</f>
        <v/>
      </c>
      <c r="C1109" s="14" t="n"/>
      <c r="D1109" s="15" t="n"/>
      <c r="E1109" s="15" t="n"/>
      <c r="F1109" s="15" t="n"/>
      <c r="G1109" s="15" t="n"/>
      <c r="H1109" s="16">
        <f>IF($A1109="","",$D1109+IF($E1109="",0,$E1109)+IF($F1109="",0,$F1109)-IF($G1109="",0,$G1109))</f>
        <v/>
      </c>
      <c r="I1109" s="12" t="n"/>
      <c r="J1109" s="12" t="n"/>
      <c r="K1109" s="12" t="n"/>
      <c r="L1109" s="14" t="n"/>
      <c r="M1109" s="12" t="n"/>
      <c r="N1109" s="12" t="n"/>
      <c r="O1109" s="12" t="n"/>
    </row>
    <row r="1110">
      <c r="A1110" s="12" t="n"/>
      <c r="B1110" s="13">
        <f>IF($A1110="","",IFERROR(INDEX(Emp_Names,MATCH($A1110,Emp_Codes,0)),"NOT FOUND"))</f>
        <v/>
      </c>
      <c r="C1110" s="14" t="n"/>
      <c r="D1110" s="15" t="n"/>
      <c r="E1110" s="15" t="n"/>
      <c r="F1110" s="15" t="n"/>
      <c r="G1110" s="15" t="n"/>
      <c r="H1110" s="16">
        <f>IF($A1110="","",$D1110+IF($E1110="",0,$E1110)+IF($F1110="",0,$F1110)-IF($G1110="",0,$G1110))</f>
        <v/>
      </c>
      <c r="I1110" s="12" t="n"/>
      <c r="J1110" s="12" t="n"/>
      <c r="K1110" s="12" t="n"/>
      <c r="L1110" s="14" t="n"/>
      <c r="M1110" s="12" t="n"/>
      <c r="N1110" s="12" t="n"/>
      <c r="O1110" s="12" t="n"/>
    </row>
    <row r="1111">
      <c r="A1111" s="12" t="n"/>
      <c r="B1111" s="13">
        <f>IF($A1111="","",IFERROR(INDEX(Emp_Names,MATCH($A1111,Emp_Codes,0)),"NOT FOUND"))</f>
        <v/>
      </c>
      <c r="C1111" s="14" t="n"/>
      <c r="D1111" s="15" t="n"/>
      <c r="E1111" s="15" t="n"/>
      <c r="F1111" s="15" t="n"/>
      <c r="G1111" s="15" t="n"/>
      <c r="H1111" s="16">
        <f>IF($A1111="","",$D1111+IF($E1111="",0,$E1111)+IF($F1111="",0,$F1111)-IF($G1111="",0,$G1111))</f>
        <v/>
      </c>
      <c r="I1111" s="12" t="n"/>
      <c r="J1111" s="12" t="n"/>
      <c r="K1111" s="12" t="n"/>
      <c r="L1111" s="14" t="n"/>
      <c r="M1111" s="12" t="n"/>
      <c r="N1111" s="12" t="n"/>
      <c r="O1111" s="12" t="n"/>
    </row>
    <row r="1112">
      <c r="A1112" s="12" t="n"/>
      <c r="B1112" s="13">
        <f>IF($A1112="","",IFERROR(INDEX(Emp_Names,MATCH($A1112,Emp_Codes,0)),"NOT FOUND"))</f>
        <v/>
      </c>
      <c r="C1112" s="14" t="n"/>
      <c r="D1112" s="15" t="n"/>
      <c r="E1112" s="15" t="n"/>
      <c r="F1112" s="15" t="n"/>
      <c r="G1112" s="15" t="n"/>
      <c r="H1112" s="16">
        <f>IF($A1112="","",$D1112+IF($E1112="",0,$E1112)+IF($F1112="",0,$F1112)-IF($G1112="",0,$G1112))</f>
        <v/>
      </c>
      <c r="I1112" s="12" t="n"/>
      <c r="J1112" s="12" t="n"/>
      <c r="K1112" s="12" t="n"/>
      <c r="L1112" s="14" t="n"/>
      <c r="M1112" s="12" t="n"/>
      <c r="N1112" s="12" t="n"/>
      <c r="O1112" s="12" t="n"/>
    </row>
    <row r="1113">
      <c r="A1113" s="12" t="n"/>
      <c r="B1113" s="13">
        <f>IF($A1113="","",IFERROR(INDEX(Emp_Names,MATCH($A1113,Emp_Codes,0)),"NOT FOUND"))</f>
        <v/>
      </c>
      <c r="C1113" s="14" t="n"/>
      <c r="D1113" s="15" t="n"/>
      <c r="E1113" s="15" t="n"/>
      <c r="F1113" s="15" t="n"/>
      <c r="G1113" s="15" t="n"/>
      <c r="H1113" s="16">
        <f>IF($A1113="","",$D1113+IF($E1113="",0,$E1113)+IF($F1113="",0,$F1113)-IF($G1113="",0,$G1113))</f>
        <v/>
      </c>
      <c r="I1113" s="12" t="n"/>
      <c r="J1113" s="12" t="n"/>
      <c r="K1113" s="12" t="n"/>
      <c r="L1113" s="14" t="n"/>
      <c r="M1113" s="12" t="n"/>
      <c r="N1113" s="12" t="n"/>
      <c r="O1113" s="12" t="n"/>
    </row>
    <row r="1114">
      <c r="A1114" s="12" t="n"/>
      <c r="B1114" s="13">
        <f>IF($A1114="","",IFERROR(INDEX(Emp_Names,MATCH($A1114,Emp_Codes,0)),"NOT FOUND"))</f>
        <v/>
      </c>
      <c r="C1114" s="14" t="n"/>
      <c r="D1114" s="15" t="n"/>
      <c r="E1114" s="15" t="n"/>
      <c r="F1114" s="15" t="n"/>
      <c r="G1114" s="15" t="n"/>
      <c r="H1114" s="16">
        <f>IF($A1114="","",$D1114+IF($E1114="",0,$E1114)+IF($F1114="",0,$F1114)-IF($G1114="",0,$G1114))</f>
        <v/>
      </c>
      <c r="I1114" s="12" t="n"/>
      <c r="J1114" s="12" t="n"/>
      <c r="K1114" s="12" t="n"/>
      <c r="L1114" s="14" t="n"/>
      <c r="M1114" s="12" t="n"/>
      <c r="N1114" s="12" t="n"/>
      <c r="O1114" s="12" t="n"/>
    </row>
    <row r="1115">
      <c r="A1115" s="12" t="n"/>
      <c r="B1115" s="13">
        <f>IF($A1115="","",IFERROR(INDEX(Emp_Names,MATCH($A1115,Emp_Codes,0)),"NOT FOUND"))</f>
        <v/>
      </c>
      <c r="C1115" s="14" t="n"/>
      <c r="D1115" s="15" t="n"/>
      <c r="E1115" s="15" t="n"/>
      <c r="F1115" s="15" t="n"/>
      <c r="G1115" s="15" t="n"/>
      <c r="H1115" s="16">
        <f>IF($A1115="","",$D1115+IF($E1115="",0,$E1115)+IF($F1115="",0,$F1115)-IF($G1115="",0,$G1115))</f>
        <v/>
      </c>
      <c r="I1115" s="12" t="n"/>
      <c r="J1115" s="12" t="n"/>
      <c r="K1115" s="12" t="n"/>
      <c r="L1115" s="14" t="n"/>
      <c r="M1115" s="12" t="n"/>
      <c r="N1115" s="12" t="n"/>
      <c r="O1115" s="12" t="n"/>
    </row>
    <row r="1116">
      <c r="A1116" s="12" t="n"/>
      <c r="B1116" s="13">
        <f>IF($A1116="","",IFERROR(INDEX(Emp_Names,MATCH($A1116,Emp_Codes,0)),"NOT FOUND"))</f>
        <v/>
      </c>
      <c r="C1116" s="14" t="n"/>
      <c r="D1116" s="15" t="n"/>
      <c r="E1116" s="15" t="n"/>
      <c r="F1116" s="15" t="n"/>
      <c r="G1116" s="15" t="n"/>
      <c r="H1116" s="16">
        <f>IF($A1116="","",$D1116+IF($E1116="",0,$E1116)+IF($F1116="",0,$F1116)-IF($G1116="",0,$G1116))</f>
        <v/>
      </c>
      <c r="I1116" s="12" t="n"/>
      <c r="J1116" s="12" t="n"/>
      <c r="K1116" s="12" t="n"/>
      <c r="L1116" s="14" t="n"/>
      <c r="M1116" s="12" t="n"/>
      <c r="N1116" s="12" t="n"/>
      <c r="O1116" s="12" t="n"/>
    </row>
    <row r="1117">
      <c r="A1117" s="12" t="n"/>
      <c r="B1117" s="13">
        <f>IF($A1117="","",IFERROR(INDEX(Emp_Names,MATCH($A1117,Emp_Codes,0)),"NOT FOUND"))</f>
        <v/>
      </c>
      <c r="C1117" s="14" t="n"/>
      <c r="D1117" s="15" t="n"/>
      <c r="E1117" s="15" t="n"/>
      <c r="F1117" s="15" t="n"/>
      <c r="G1117" s="15" t="n"/>
      <c r="H1117" s="16">
        <f>IF($A1117="","",$D1117+IF($E1117="",0,$E1117)+IF($F1117="",0,$F1117)-IF($G1117="",0,$G1117))</f>
        <v/>
      </c>
      <c r="I1117" s="12" t="n"/>
      <c r="J1117" s="12" t="n"/>
      <c r="K1117" s="12" t="n"/>
      <c r="L1117" s="14" t="n"/>
      <c r="M1117" s="12" t="n"/>
      <c r="N1117" s="12" t="n"/>
      <c r="O1117" s="12" t="n"/>
    </row>
    <row r="1118">
      <c r="A1118" s="12" t="n"/>
      <c r="B1118" s="13">
        <f>IF($A1118="","",IFERROR(INDEX(Emp_Names,MATCH($A1118,Emp_Codes,0)),"NOT FOUND"))</f>
        <v/>
      </c>
      <c r="C1118" s="14" t="n"/>
      <c r="D1118" s="15" t="n"/>
      <c r="E1118" s="15" t="n"/>
      <c r="F1118" s="15" t="n"/>
      <c r="G1118" s="15" t="n"/>
      <c r="H1118" s="16">
        <f>IF($A1118="","",$D1118+IF($E1118="",0,$E1118)+IF($F1118="",0,$F1118)-IF($G1118="",0,$G1118))</f>
        <v/>
      </c>
      <c r="I1118" s="12" t="n"/>
      <c r="J1118" s="12" t="n"/>
      <c r="K1118" s="12" t="n"/>
      <c r="L1118" s="14" t="n"/>
      <c r="M1118" s="12" t="n"/>
      <c r="N1118" s="12" t="n"/>
      <c r="O1118" s="12" t="n"/>
    </row>
    <row r="1119">
      <c r="A1119" s="12" t="n"/>
      <c r="B1119" s="13">
        <f>IF($A1119="","",IFERROR(INDEX(Emp_Names,MATCH($A1119,Emp_Codes,0)),"NOT FOUND"))</f>
        <v/>
      </c>
      <c r="C1119" s="14" t="n"/>
      <c r="D1119" s="15" t="n"/>
      <c r="E1119" s="15" t="n"/>
      <c r="F1119" s="15" t="n"/>
      <c r="G1119" s="15" t="n"/>
      <c r="H1119" s="16">
        <f>IF($A1119="","",$D1119+IF($E1119="",0,$E1119)+IF($F1119="",0,$F1119)-IF($G1119="",0,$G1119))</f>
        <v/>
      </c>
      <c r="I1119" s="12" t="n"/>
      <c r="J1119" s="12" t="n"/>
      <c r="K1119" s="12" t="n"/>
      <c r="L1119" s="14" t="n"/>
      <c r="M1119" s="12" t="n"/>
      <c r="N1119" s="12" t="n"/>
      <c r="O1119" s="12" t="n"/>
    </row>
    <row r="1120">
      <c r="A1120" s="12" t="n"/>
      <c r="B1120" s="13">
        <f>IF($A1120="","",IFERROR(INDEX(Emp_Names,MATCH($A1120,Emp_Codes,0)),"NOT FOUND"))</f>
        <v/>
      </c>
      <c r="C1120" s="14" t="n"/>
      <c r="D1120" s="15" t="n"/>
      <c r="E1120" s="15" t="n"/>
      <c r="F1120" s="15" t="n"/>
      <c r="G1120" s="15" t="n"/>
      <c r="H1120" s="16">
        <f>IF($A1120="","",$D1120+IF($E1120="",0,$E1120)+IF($F1120="",0,$F1120)-IF($G1120="",0,$G1120))</f>
        <v/>
      </c>
      <c r="I1120" s="12" t="n"/>
      <c r="J1120" s="12" t="n"/>
      <c r="K1120" s="12" t="n"/>
      <c r="L1120" s="14" t="n"/>
      <c r="M1120" s="12" t="n"/>
      <c r="N1120" s="12" t="n"/>
      <c r="O1120" s="12" t="n"/>
    </row>
    <row r="1121">
      <c r="A1121" s="12" t="n"/>
      <c r="B1121" s="13">
        <f>IF($A1121="","",IFERROR(INDEX(Emp_Names,MATCH($A1121,Emp_Codes,0)),"NOT FOUND"))</f>
        <v/>
      </c>
      <c r="C1121" s="14" t="n"/>
      <c r="D1121" s="15" t="n"/>
      <c r="E1121" s="15" t="n"/>
      <c r="F1121" s="15" t="n"/>
      <c r="G1121" s="15" t="n"/>
      <c r="H1121" s="16">
        <f>IF($A1121="","",$D1121+IF($E1121="",0,$E1121)+IF($F1121="",0,$F1121)-IF($G1121="",0,$G1121))</f>
        <v/>
      </c>
      <c r="I1121" s="12" t="n"/>
      <c r="J1121" s="12" t="n"/>
      <c r="K1121" s="12" t="n"/>
      <c r="L1121" s="14" t="n"/>
      <c r="M1121" s="12" t="n"/>
      <c r="N1121" s="12" t="n"/>
      <c r="O1121" s="12" t="n"/>
    </row>
    <row r="1122">
      <c r="A1122" s="12" t="n"/>
      <c r="B1122" s="13">
        <f>IF($A1122="","",IFERROR(INDEX(Emp_Names,MATCH($A1122,Emp_Codes,0)),"NOT FOUND"))</f>
        <v/>
      </c>
      <c r="C1122" s="14" t="n"/>
      <c r="D1122" s="15" t="n"/>
      <c r="E1122" s="15" t="n"/>
      <c r="F1122" s="15" t="n"/>
      <c r="G1122" s="15" t="n"/>
      <c r="H1122" s="16">
        <f>IF($A1122="","",$D1122+IF($E1122="",0,$E1122)+IF($F1122="",0,$F1122)-IF($G1122="",0,$G1122))</f>
        <v/>
      </c>
      <c r="I1122" s="12" t="n"/>
      <c r="J1122" s="12" t="n"/>
      <c r="K1122" s="12" t="n"/>
      <c r="L1122" s="14" t="n"/>
      <c r="M1122" s="12" t="n"/>
      <c r="N1122" s="12" t="n"/>
      <c r="O1122" s="12" t="n"/>
    </row>
    <row r="1123">
      <c r="A1123" s="12" t="n"/>
      <c r="B1123" s="13">
        <f>IF($A1123="","",IFERROR(INDEX(Emp_Names,MATCH($A1123,Emp_Codes,0)),"NOT FOUND"))</f>
        <v/>
      </c>
      <c r="C1123" s="14" t="n"/>
      <c r="D1123" s="15" t="n"/>
      <c r="E1123" s="15" t="n"/>
      <c r="F1123" s="15" t="n"/>
      <c r="G1123" s="15" t="n"/>
      <c r="H1123" s="16">
        <f>IF($A1123="","",$D1123+IF($E1123="",0,$E1123)+IF($F1123="",0,$F1123)-IF($G1123="",0,$G1123))</f>
        <v/>
      </c>
      <c r="I1123" s="12" t="n"/>
      <c r="J1123" s="12" t="n"/>
      <c r="K1123" s="12" t="n"/>
      <c r="L1123" s="14" t="n"/>
      <c r="M1123" s="12" t="n"/>
      <c r="N1123" s="12" t="n"/>
      <c r="O1123" s="12" t="n"/>
    </row>
    <row r="1124">
      <c r="A1124" s="12" t="n"/>
      <c r="B1124" s="13">
        <f>IF($A1124="","",IFERROR(INDEX(Emp_Names,MATCH($A1124,Emp_Codes,0)),"NOT FOUND"))</f>
        <v/>
      </c>
      <c r="C1124" s="14" t="n"/>
      <c r="D1124" s="15" t="n"/>
      <c r="E1124" s="15" t="n"/>
      <c r="F1124" s="15" t="n"/>
      <c r="G1124" s="15" t="n"/>
      <c r="H1124" s="16">
        <f>IF($A1124="","",$D1124+IF($E1124="",0,$E1124)+IF($F1124="",0,$F1124)-IF($G1124="",0,$G1124))</f>
        <v/>
      </c>
      <c r="I1124" s="12" t="n"/>
      <c r="J1124" s="12" t="n"/>
      <c r="K1124" s="12" t="n"/>
      <c r="L1124" s="14" t="n"/>
      <c r="M1124" s="12" t="n"/>
      <c r="N1124" s="12" t="n"/>
      <c r="O1124" s="12" t="n"/>
    </row>
    <row r="1125">
      <c r="A1125" s="12" t="n"/>
      <c r="B1125" s="13">
        <f>IF($A1125="","",IFERROR(INDEX(Emp_Names,MATCH($A1125,Emp_Codes,0)),"NOT FOUND"))</f>
        <v/>
      </c>
      <c r="C1125" s="14" t="n"/>
      <c r="D1125" s="15" t="n"/>
      <c r="E1125" s="15" t="n"/>
      <c r="F1125" s="15" t="n"/>
      <c r="G1125" s="15" t="n"/>
      <c r="H1125" s="16">
        <f>IF($A1125="","",$D1125+IF($E1125="",0,$E1125)+IF($F1125="",0,$F1125)-IF($G1125="",0,$G1125))</f>
        <v/>
      </c>
      <c r="I1125" s="12" t="n"/>
      <c r="J1125" s="12" t="n"/>
      <c r="K1125" s="12" t="n"/>
      <c r="L1125" s="14" t="n"/>
      <c r="M1125" s="12" t="n"/>
      <c r="N1125" s="12" t="n"/>
      <c r="O1125" s="12" t="n"/>
    </row>
    <row r="1126">
      <c r="A1126" s="12" t="n"/>
      <c r="B1126" s="13">
        <f>IF($A1126="","",IFERROR(INDEX(Emp_Names,MATCH($A1126,Emp_Codes,0)),"NOT FOUND"))</f>
        <v/>
      </c>
      <c r="C1126" s="14" t="n"/>
      <c r="D1126" s="15" t="n"/>
      <c r="E1126" s="15" t="n"/>
      <c r="F1126" s="15" t="n"/>
      <c r="G1126" s="15" t="n"/>
      <c r="H1126" s="16">
        <f>IF($A1126="","",$D1126+IF($E1126="",0,$E1126)+IF($F1126="",0,$F1126)-IF($G1126="",0,$G1126))</f>
        <v/>
      </c>
      <c r="I1126" s="12" t="n"/>
      <c r="J1126" s="12" t="n"/>
      <c r="K1126" s="12" t="n"/>
      <c r="L1126" s="14" t="n"/>
      <c r="M1126" s="12" t="n"/>
      <c r="N1126" s="12" t="n"/>
      <c r="O1126" s="12" t="n"/>
    </row>
    <row r="1127">
      <c r="A1127" s="12" t="n"/>
      <c r="B1127" s="13">
        <f>IF($A1127="","",IFERROR(INDEX(Emp_Names,MATCH($A1127,Emp_Codes,0)),"NOT FOUND"))</f>
        <v/>
      </c>
      <c r="C1127" s="14" t="n"/>
      <c r="D1127" s="15" t="n"/>
      <c r="E1127" s="15" t="n"/>
      <c r="F1127" s="15" t="n"/>
      <c r="G1127" s="15" t="n"/>
      <c r="H1127" s="16">
        <f>IF($A1127="","",$D1127+IF($E1127="",0,$E1127)+IF($F1127="",0,$F1127)-IF($G1127="",0,$G1127))</f>
        <v/>
      </c>
      <c r="I1127" s="12" t="n"/>
      <c r="J1127" s="12" t="n"/>
      <c r="K1127" s="12" t="n"/>
      <c r="L1127" s="14" t="n"/>
      <c r="M1127" s="12" t="n"/>
      <c r="N1127" s="12" t="n"/>
      <c r="O1127" s="12" t="n"/>
    </row>
    <row r="1128">
      <c r="A1128" s="12" t="n"/>
      <c r="B1128" s="13">
        <f>IF($A1128="","",IFERROR(INDEX(Emp_Names,MATCH($A1128,Emp_Codes,0)),"NOT FOUND"))</f>
        <v/>
      </c>
      <c r="C1128" s="14" t="n"/>
      <c r="D1128" s="15" t="n"/>
      <c r="E1128" s="15" t="n"/>
      <c r="F1128" s="15" t="n"/>
      <c r="G1128" s="15" t="n"/>
      <c r="H1128" s="16">
        <f>IF($A1128="","",$D1128+IF($E1128="",0,$E1128)+IF($F1128="",0,$F1128)-IF($G1128="",0,$G1128))</f>
        <v/>
      </c>
      <c r="I1128" s="12" t="n"/>
      <c r="J1128" s="12" t="n"/>
      <c r="K1128" s="12" t="n"/>
      <c r="L1128" s="14" t="n"/>
      <c r="M1128" s="12" t="n"/>
      <c r="N1128" s="12" t="n"/>
      <c r="O1128" s="12" t="n"/>
    </row>
    <row r="1129">
      <c r="A1129" s="12" t="n"/>
      <c r="B1129" s="13">
        <f>IF($A1129="","",IFERROR(INDEX(Emp_Names,MATCH($A1129,Emp_Codes,0)),"NOT FOUND"))</f>
        <v/>
      </c>
      <c r="C1129" s="14" t="n"/>
      <c r="D1129" s="15" t="n"/>
      <c r="E1129" s="15" t="n"/>
      <c r="F1129" s="15" t="n"/>
      <c r="G1129" s="15" t="n"/>
      <c r="H1129" s="16">
        <f>IF($A1129="","",$D1129+IF($E1129="",0,$E1129)+IF($F1129="",0,$F1129)-IF($G1129="",0,$G1129))</f>
        <v/>
      </c>
      <c r="I1129" s="12" t="n"/>
      <c r="J1129" s="12" t="n"/>
      <c r="K1129" s="12" t="n"/>
      <c r="L1129" s="14" t="n"/>
      <c r="M1129" s="12" t="n"/>
      <c r="N1129" s="12" t="n"/>
      <c r="O1129" s="12" t="n"/>
    </row>
    <row r="1130">
      <c r="A1130" s="12" t="n"/>
      <c r="B1130" s="13">
        <f>IF($A1130="","",IFERROR(INDEX(Emp_Names,MATCH($A1130,Emp_Codes,0)),"NOT FOUND"))</f>
        <v/>
      </c>
      <c r="C1130" s="14" t="n"/>
      <c r="D1130" s="15" t="n"/>
      <c r="E1130" s="15" t="n"/>
      <c r="F1130" s="15" t="n"/>
      <c r="G1130" s="15" t="n"/>
      <c r="H1130" s="16">
        <f>IF($A1130="","",$D1130+IF($E1130="",0,$E1130)+IF($F1130="",0,$F1130)-IF($G1130="",0,$G1130))</f>
        <v/>
      </c>
      <c r="I1130" s="12" t="n"/>
      <c r="J1130" s="12" t="n"/>
      <c r="K1130" s="12" t="n"/>
      <c r="L1130" s="14" t="n"/>
      <c r="M1130" s="12" t="n"/>
      <c r="N1130" s="12" t="n"/>
      <c r="O1130" s="12" t="n"/>
    </row>
    <row r="1131">
      <c r="A1131" s="12" t="n"/>
      <c r="B1131" s="13">
        <f>IF($A1131="","",IFERROR(INDEX(Emp_Names,MATCH($A1131,Emp_Codes,0)),"NOT FOUND"))</f>
        <v/>
      </c>
      <c r="C1131" s="14" t="n"/>
      <c r="D1131" s="15" t="n"/>
      <c r="E1131" s="15" t="n"/>
      <c r="F1131" s="15" t="n"/>
      <c r="G1131" s="15" t="n"/>
      <c r="H1131" s="16">
        <f>IF($A1131="","",$D1131+IF($E1131="",0,$E1131)+IF($F1131="",0,$F1131)-IF($G1131="",0,$G1131))</f>
        <v/>
      </c>
      <c r="I1131" s="12" t="n"/>
      <c r="J1131" s="12" t="n"/>
      <c r="K1131" s="12" t="n"/>
      <c r="L1131" s="14" t="n"/>
      <c r="M1131" s="12" t="n"/>
      <c r="N1131" s="12" t="n"/>
      <c r="O1131" s="12" t="n"/>
    </row>
    <row r="1132">
      <c r="A1132" s="12" t="n"/>
      <c r="B1132" s="13">
        <f>IF($A1132="","",IFERROR(INDEX(Emp_Names,MATCH($A1132,Emp_Codes,0)),"NOT FOUND"))</f>
        <v/>
      </c>
      <c r="C1132" s="14" t="n"/>
      <c r="D1132" s="15" t="n"/>
      <c r="E1132" s="15" t="n"/>
      <c r="F1132" s="15" t="n"/>
      <c r="G1132" s="15" t="n"/>
      <c r="H1132" s="16">
        <f>IF($A1132="","",$D1132+IF($E1132="",0,$E1132)+IF($F1132="",0,$F1132)-IF($G1132="",0,$G1132))</f>
        <v/>
      </c>
      <c r="I1132" s="12" t="n"/>
      <c r="J1132" s="12" t="n"/>
      <c r="K1132" s="12" t="n"/>
      <c r="L1132" s="14" t="n"/>
      <c r="M1132" s="12" t="n"/>
      <c r="N1132" s="12" t="n"/>
      <c r="O1132" s="12" t="n"/>
    </row>
    <row r="1133">
      <c r="A1133" s="12" t="n"/>
      <c r="B1133" s="13">
        <f>IF($A1133="","",IFERROR(INDEX(Emp_Names,MATCH($A1133,Emp_Codes,0)),"NOT FOUND"))</f>
        <v/>
      </c>
      <c r="C1133" s="14" t="n"/>
      <c r="D1133" s="15" t="n"/>
      <c r="E1133" s="15" t="n"/>
      <c r="F1133" s="15" t="n"/>
      <c r="G1133" s="15" t="n"/>
      <c r="H1133" s="16">
        <f>IF($A1133="","",$D1133+IF($E1133="",0,$E1133)+IF($F1133="",0,$F1133)-IF($G1133="",0,$G1133))</f>
        <v/>
      </c>
      <c r="I1133" s="12" t="n"/>
      <c r="J1133" s="12" t="n"/>
      <c r="K1133" s="12" t="n"/>
      <c r="L1133" s="14" t="n"/>
      <c r="M1133" s="12" t="n"/>
      <c r="N1133" s="12" t="n"/>
      <c r="O1133" s="12" t="n"/>
    </row>
    <row r="1134">
      <c r="A1134" s="12" t="n"/>
      <c r="B1134" s="13">
        <f>IF($A1134="","",IFERROR(INDEX(Emp_Names,MATCH($A1134,Emp_Codes,0)),"NOT FOUND"))</f>
        <v/>
      </c>
      <c r="C1134" s="14" t="n"/>
      <c r="D1134" s="15" t="n"/>
      <c r="E1134" s="15" t="n"/>
      <c r="F1134" s="15" t="n"/>
      <c r="G1134" s="15" t="n"/>
      <c r="H1134" s="16">
        <f>IF($A1134="","",$D1134+IF($E1134="",0,$E1134)+IF($F1134="",0,$F1134)-IF($G1134="",0,$G1134))</f>
        <v/>
      </c>
      <c r="I1134" s="12" t="n"/>
      <c r="J1134" s="12" t="n"/>
      <c r="K1134" s="12" t="n"/>
      <c r="L1134" s="14" t="n"/>
      <c r="M1134" s="12" t="n"/>
      <c r="N1134" s="12" t="n"/>
      <c r="O1134" s="12" t="n"/>
    </row>
    <row r="1135">
      <c r="A1135" s="12" t="n"/>
      <c r="B1135" s="13">
        <f>IF($A1135="","",IFERROR(INDEX(Emp_Names,MATCH($A1135,Emp_Codes,0)),"NOT FOUND"))</f>
        <v/>
      </c>
      <c r="C1135" s="14" t="n"/>
      <c r="D1135" s="15" t="n"/>
      <c r="E1135" s="15" t="n"/>
      <c r="F1135" s="15" t="n"/>
      <c r="G1135" s="15" t="n"/>
      <c r="H1135" s="16">
        <f>IF($A1135="","",$D1135+IF($E1135="",0,$E1135)+IF($F1135="",0,$F1135)-IF($G1135="",0,$G1135))</f>
        <v/>
      </c>
      <c r="I1135" s="12" t="n"/>
      <c r="J1135" s="12" t="n"/>
      <c r="K1135" s="12" t="n"/>
      <c r="L1135" s="14" t="n"/>
      <c r="M1135" s="12" t="n"/>
      <c r="N1135" s="12" t="n"/>
      <c r="O1135" s="12" t="n"/>
    </row>
    <row r="1136">
      <c r="A1136" s="12" t="n"/>
      <c r="B1136" s="13">
        <f>IF($A1136="","",IFERROR(INDEX(Emp_Names,MATCH($A1136,Emp_Codes,0)),"NOT FOUND"))</f>
        <v/>
      </c>
      <c r="C1136" s="14" t="n"/>
      <c r="D1136" s="15" t="n"/>
      <c r="E1136" s="15" t="n"/>
      <c r="F1136" s="15" t="n"/>
      <c r="G1136" s="15" t="n"/>
      <c r="H1136" s="16">
        <f>IF($A1136="","",$D1136+IF($E1136="",0,$E1136)+IF($F1136="",0,$F1136)-IF($G1136="",0,$G1136))</f>
        <v/>
      </c>
      <c r="I1136" s="12" t="n"/>
      <c r="J1136" s="12" t="n"/>
      <c r="K1136" s="12" t="n"/>
      <c r="L1136" s="14" t="n"/>
      <c r="M1136" s="12" t="n"/>
      <c r="N1136" s="12" t="n"/>
      <c r="O1136" s="12" t="n"/>
    </row>
    <row r="1137">
      <c r="A1137" s="12" t="n"/>
      <c r="B1137" s="13">
        <f>IF($A1137="","",IFERROR(INDEX(Emp_Names,MATCH($A1137,Emp_Codes,0)),"NOT FOUND"))</f>
        <v/>
      </c>
      <c r="C1137" s="14" t="n"/>
      <c r="D1137" s="15" t="n"/>
      <c r="E1137" s="15" t="n"/>
      <c r="F1137" s="15" t="n"/>
      <c r="G1137" s="15" t="n"/>
      <c r="H1137" s="16">
        <f>IF($A1137="","",$D1137+IF($E1137="",0,$E1137)+IF($F1137="",0,$F1137)-IF($G1137="",0,$G1137))</f>
        <v/>
      </c>
      <c r="I1137" s="12" t="n"/>
      <c r="J1137" s="12" t="n"/>
      <c r="K1137" s="12" t="n"/>
      <c r="L1137" s="14" t="n"/>
      <c r="M1137" s="12" t="n"/>
      <c r="N1137" s="12" t="n"/>
      <c r="O1137" s="12" t="n"/>
    </row>
    <row r="1138">
      <c r="A1138" s="12" t="n"/>
      <c r="B1138" s="13">
        <f>IF($A1138="","",IFERROR(INDEX(Emp_Names,MATCH($A1138,Emp_Codes,0)),"NOT FOUND"))</f>
        <v/>
      </c>
      <c r="C1138" s="14" t="n"/>
      <c r="D1138" s="15" t="n"/>
      <c r="E1138" s="15" t="n"/>
      <c r="F1138" s="15" t="n"/>
      <c r="G1138" s="15" t="n"/>
      <c r="H1138" s="16">
        <f>IF($A1138="","",$D1138+IF($E1138="",0,$E1138)+IF($F1138="",0,$F1138)-IF($G1138="",0,$G1138))</f>
        <v/>
      </c>
      <c r="I1138" s="12" t="n"/>
      <c r="J1138" s="12" t="n"/>
      <c r="K1138" s="12" t="n"/>
      <c r="L1138" s="14" t="n"/>
      <c r="M1138" s="12" t="n"/>
      <c r="N1138" s="12" t="n"/>
      <c r="O1138" s="12" t="n"/>
    </row>
    <row r="1139">
      <c r="A1139" s="12" t="n"/>
      <c r="B1139" s="13">
        <f>IF($A1139="","",IFERROR(INDEX(Emp_Names,MATCH($A1139,Emp_Codes,0)),"NOT FOUND"))</f>
        <v/>
      </c>
      <c r="C1139" s="14" t="n"/>
      <c r="D1139" s="15" t="n"/>
      <c r="E1139" s="15" t="n"/>
      <c r="F1139" s="15" t="n"/>
      <c r="G1139" s="15" t="n"/>
      <c r="H1139" s="16">
        <f>IF($A1139="","",$D1139+IF($E1139="",0,$E1139)+IF($F1139="",0,$F1139)-IF($G1139="",0,$G1139))</f>
        <v/>
      </c>
      <c r="I1139" s="12" t="n"/>
      <c r="J1139" s="12" t="n"/>
      <c r="K1139" s="12" t="n"/>
      <c r="L1139" s="14" t="n"/>
      <c r="M1139" s="12" t="n"/>
      <c r="N1139" s="12" t="n"/>
      <c r="O1139" s="12" t="n"/>
    </row>
    <row r="1140">
      <c r="A1140" s="12" t="n"/>
      <c r="B1140" s="13">
        <f>IF($A1140="","",IFERROR(INDEX(Emp_Names,MATCH($A1140,Emp_Codes,0)),"NOT FOUND"))</f>
        <v/>
      </c>
      <c r="C1140" s="14" t="n"/>
      <c r="D1140" s="15" t="n"/>
      <c r="E1140" s="15" t="n"/>
      <c r="F1140" s="15" t="n"/>
      <c r="G1140" s="15" t="n"/>
      <c r="H1140" s="16">
        <f>IF($A1140="","",$D1140+IF($E1140="",0,$E1140)+IF($F1140="",0,$F1140)-IF($G1140="",0,$G1140))</f>
        <v/>
      </c>
      <c r="I1140" s="12" t="n"/>
      <c r="J1140" s="12" t="n"/>
      <c r="K1140" s="12" t="n"/>
      <c r="L1140" s="14" t="n"/>
      <c r="M1140" s="12" t="n"/>
      <c r="N1140" s="12" t="n"/>
      <c r="O1140" s="12" t="n"/>
    </row>
    <row r="1141">
      <c r="A1141" s="12" t="n"/>
      <c r="B1141" s="13">
        <f>IF($A1141="","",IFERROR(INDEX(Emp_Names,MATCH($A1141,Emp_Codes,0)),"NOT FOUND"))</f>
        <v/>
      </c>
      <c r="C1141" s="14" t="n"/>
      <c r="D1141" s="15" t="n"/>
      <c r="E1141" s="15" t="n"/>
      <c r="F1141" s="15" t="n"/>
      <c r="G1141" s="15" t="n"/>
      <c r="H1141" s="16">
        <f>IF($A1141="","",$D1141+IF($E1141="",0,$E1141)+IF($F1141="",0,$F1141)-IF($G1141="",0,$G1141))</f>
        <v/>
      </c>
      <c r="I1141" s="12" t="n"/>
      <c r="J1141" s="12" t="n"/>
      <c r="K1141" s="12" t="n"/>
      <c r="L1141" s="14" t="n"/>
      <c r="M1141" s="12" t="n"/>
      <c r="N1141" s="12" t="n"/>
      <c r="O1141" s="12" t="n"/>
    </row>
    <row r="1142">
      <c r="A1142" s="12" t="n"/>
      <c r="B1142" s="13">
        <f>IF($A1142="","",IFERROR(INDEX(Emp_Names,MATCH($A1142,Emp_Codes,0)),"NOT FOUND"))</f>
        <v/>
      </c>
      <c r="C1142" s="14" t="n"/>
      <c r="D1142" s="15" t="n"/>
      <c r="E1142" s="15" t="n"/>
      <c r="F1142" s="15" t="n"/>
      <c r="G1142" s="15" t="n"/>
      <c r="H1142" s="16">
        <f>IF($A1142="","",$D1142+IF($E1142="",0,$E1142)+IF($F1142="",0,$F1142)-IF($G1142="",0,$G1142))</f>
        <v/>
      </c>
      <c r="I1142" s="12" t="n"/>
      <c r="J1142" s="12" t="n"/>
      <c r="K1142" s="12" t="n"/>
      <c r="L1142" s="14" t="n"/>
      <c r="M1142" s="12" t="n"/>
      <c r="N1142" s="12" t="n"/>
      <c r="O1142" s="12" t="n"/>
    </row>
    <row r="1143">
      <c r="A1143" s="12" t="n"/>
      <c r="B1143" s="13">
        <f>IF($A1143="","",IFERROR(INDEX(Emp_Names,MATCH($A1143,Emp_Codes,0)),"NOT FOUND"))</f>
        <v/>
      </c>
      <c r="C1143" s="14" t="n"/>
      <c r="D1143" s="15" t="n"/>
      <c r="E1143" s="15" t="n"/>
      <c r="F1143" s="15" t="n"/>
      <c r="G1143" s="15" t="n"/>
      <c r="H1143" s="16">
        <f>IF($A1143="","",$D1143+IF($E1143="",0,$E1143)+IF($F1143="",0,$F1143)-IF($G1143="",0,$G1143))</f>
        <v/>
      </c>
      <c r="I1143" s="12" t="n"/>
      <c r="J1143" s="12" t="n"/>
      <c r="K1143" s="12" t="n"/>
      <c r="L1143" s="14" t="n"/>
      <c r="M1143" s="12" t="n"/>
      <c r="N1143" s="12" t="n"/>
      <c r="O1143" s="12" t="n"/>
    </row>
    <row r="1144">
      <c r="A1144" s="12" t="n"/>
      <c r="B1144" s="13">
        <f>IF($A1144="","",IFERROR(INDEX(Emp_Names,MATCH($A1144,Emp_Codes,0)),"NOT FOUND"))</f>
        <v/>
      </c>
      <c r="C1144" s="14" t="n"/>
      <c r="D1144" s="15" t="n"/>
      <c r="E1144" s="15" t="n"/>
      <c r="F1144" s="15" t="n"/>
      <c r="G1144" s="15" t="n"/>
      <c r="H1144" s="16">
        <f>IF($A1144="","",$D1144+IF($E1144="",0,$E1144)+IF($F1144="",0,$F1144)-IF($G1144="",0,$G1144))</f>
        <v/>
      </c>
      <c r="I1144" s="12" t="n"/>
      <c r="J1144" s="12" t="n"/>
      <c r="K1144" s="12" t="n"/>
      <c r="L1144" s="14" t="n"/>
      <c r="M1144" s="12" t="n"/>
      <c r="N1144" s="12" t="n"/>
      <c r="O1144" s="12" t="n"/>
    </row>
    <row r="1145">
      <c r="A1145" s="12" t="n"/>
      <c r="B1145" s="13">
        <f>IF($A1145="","",IFERROR(INDEX(Emp_Names,MATCH($A1145,Emp_Codes,0)),"NOT FOUND"))</f>
        <v/>
      </c>
      <c r="C1145" s="14" t="n"/>
      <c r="D1145" s="15" t="n"/>
      <c r="E1145" s="15" t="n"/>
      <c r="F1145" s="15" t="n"/>
      <c r="G1145" s="15" t="n"/>
      <c r="H1145" s="16">
        <f>IF($A1145="","",$D1145+IF($E1145="",0,$E1145)+IF($F1145="",0,$F1145)-IF($G1145="",0,$G1145))</f>
        <v/>
      </c>
      <c r="I1145" s="12" t="n"/>
      <c r="J1145" s="12" t="n"/>
      <c r="K1145" s="12" t="n"/>
      <c r="L1145" s="14" t="n"/>
      <c r="M1145" s="12" t="n"/>
      <c r="N1145" s="12" t="n"/>
      <c r="O1145" s="12" t="n"/>
    </row>
    <row r="1146">
      <c r="A1146" s="12" t="n"/>
      <c r="B1146" s="13">
        <f>IF($A1146="","",IFERROR(INDEX(Emp_Names,MATCH($A1146,Emp_Codes,0)),"NOT FOUND"))</f>
        <v/>
      </c>
      <c r="C1146" s="14" t="n"/>
      <c r="D1146" s="15" t="n"/>
      <c r="E1146" s="15" t="n"/>
      <c r="F1146" s="15" t="n"/>
      <c r="G1146" s="15" t="n"/>
      <c r="H1146" s="16">
        <f>IF($A1146="","",$D1146+IF($E1146="",0,$E1146)+IF($F1146="",0,$F1146)-IF($G1146="",0,$G1146))</f>
        <v/>
      </c>
      <c r="I1146" s="12" t="n"/>
      <c r="J1146" s="12" t="n"/>
      <c r="K1146" s="12" t="n"/>
      <c r="L1146" s="14" t="n"/>
      <c r="M1146" s="12" t="n"/>
      <c r="N1146" s="12" t="n"/>
      <c r="O1146" s="12" t="n"/>
    </row>
    <row r="1147">
      <c r="A1147" s="12" t="n"/>
      <c r="B1147" s="13">
        <f>IF($A1147="","",IFERROR(INDEX(Emp_Names,MATCH($A1147,Emp_Codes,0)),"NOT FOUND"))</f>
        <v/>
      </c>
      <c r="C1147" s="14" t="n"/>
      <c r="D1147" s="15" t="n"/>
      <c r="E1147" s="15" t="n"/>
      <c r="F1147" s="15" t="n"/>
      <c r="G1147" s="15" t="n"/>
      <c r="H1147" s="16">
        <f>IF($A1147="","",$D1147+IF($E1147="",0,$E1147)+IF($F1147="",0,$F1147)-IF($G1147="",0,$G1147))</f>
        <v/>
      </c>
      <c r="I1147" s="12" t="n"/>
      <c r="J1147" s="12" t="n"/>
      <c r="K1147" s="12" t="n"/>
      <c r="L1147" s="14" t="n"/>
      <c r="M1147" s="12" t="n"/>
      <c r="N1147" s="12" t="n"/>
      <c r="O1147" s="12" t="n"/>
    </row>
    <row r="1148">
      <c r="A1148" s="12" t="n"/>
      <c r="B1148" s="13">
        <f>IF($A1148="","",IFERROR(INDEX(Emp_Names,MATCH($A1148,Emp_Codes,0)),"NOT FOUND"))</f>
        <v/>
      </c>
      <c r="C1148" s="14" t="n"/>
      <c r="D1148" s="15" t="n"/>
      <c r="E1148" s="15" t="n"/>
      <c r="F1148" s="15" t="n"/>
      <c r="G1148" s="15" t="n"/>
      <c r="H1148" s="16">
        <f>IF($A1148="","",$D1148+IF($E1148="",0,$E1148)+IF($F1148="",0,$F1148)-IF($G1148="",0,$G1148))</f>
        <v/>
      </c>
      <c r="I1148" s="12" t="n"/>
      <c r="J1148" s="12" t="n"/>
      <c r="K1148" s="12" t="n"/>
      <c r="L1148" s="14" t="n"/>
      <c r="M1148" s="12" t="n"/>
      <c r="N1148" s="12" t="n"/>
      <c r="O1148" s="12" t="n"/>
    </row>
    <row r="1149">
      <c r="A1149" s="12" t="n"/>
      <c r="B1149" s="13">
        <f>IF($A1149="","",IFERROR(INDEX(Emp_Names,MATCH($A1149,Emp_Codes,0)),"NOT FOUND"))</f>
        <v/>
      </c>
      <c r="C1149" s="14" t="n"/>
      <c r="D1149" s="15" t="n"/>
      <c r="E1149" s="15" t="n"/>
      <c r="F1149" s="15" t="n"/>
      <c r="G1149" s="15" t="n"/>
      <c r="H1149" s="16">
        <f>IF($A1149="","",$D1149+IF($E1149="",0,$E1149)+IF($F1149="",0,$F1149)-IF($G1149="",0,$G1149))</f>
        <v/>
      </c>
      <c r="I1149" s="12" t="n"/>
      <c r="J1149" s="12" t="n"/>
      <c r="K1149" s="12" t="n"/>
      <c r="L1149" s="14" t="n"/>
      <c r="M1149" s="12" t="n"/>
      <c r="N1149" s="12" t="n"/>
      <c r="O1149" s="12" t="n"/>
    </row>
    <row r="1150">
      <c r="A1150" s="12" t="n"/>
      <c r="B1150" s="13">
        <f>IF($A1150="","",IFERROR(INDEX(Emp_Names,MATCH($A1150,Emp_Codes,0)),"NOT FOUND"))</f>
        <v/>
      </c>
      <c r="C1150" s="14" t="n"/>
      <c r="D1150" s="15" t="n"/>
      <c r="E1150" s="15" t="n"/>
      <c r="F1150" s="15" t="n"/>
      <c r="G1150" s="15" t="n"/>
      <c r="H1150" s="16">
        <f>IF($A1150="","",$D1150+IF($E1150="",0,$E1150)+IF($F1150="",0,$F1150)-IF($G1150="",0,$G1150))</f>
        <v/>
      </c>
      <c r="I1150" s="12" t="n"/>
      <c r="J1150" s="12" t="n"/>
      <c r="K1150" s="12" t="n"/>
      <c r="L1150" s="14" t="n"/>
      <c r="M1150" s="12" t="n"/>
      <c r="N1150" s="12" t="n"/>
      <c r="O1150" s="12" t="n"/>
    </row>
    <row r="1151">
      <c r="A1151" s="12" t="n"/>
      <c r="B1151" s="13">
        <f>IF($A1151="","",IFERROR(INDEX(Emp_Names,MATCH($A1151,Emp_Codes,0)),"NOT FOUND"))</f>
        <v/>
      </c>
      <c r="C1151" s="14" t="n"/>
      <c r="D1151" s="15" t="n"/>
      <c r="E1151" s="15" t="n"/>
      <c r="F1151" s="15" t="n"/>
      <c r="G1151" s="15" t="n"/>
      <c r="H1151" s="16">
        <f>IF($A1151="","",$D1151+IF($E1151="",0,$E1151)+IF($F1151="",0,$F1151)-IF($G1151="",0,$G1151))</f>
        <v/>
      </c>
      <c r="I1151" s="12" t="n"/>
      <c r="J1151" s="12" t="n"/>
      <c r="K1151" s="12" t="n"/>
      <c r="L1151" s="14" t="n"/>
      <c r="M1151" s="12" t="n"/>
      <c r="N1151" s="12" t="n"/>
      <c r="O1151" s="12" t="n"/>
    </row>
    <row r="1152">
      <c r="A1152" s="12" t="n"/>
      <c r="B1152" s="13">
        <f>IF($A1152="","",IFERROR(INDEX(Emp_Names,MATCH($A1152,Emp_Codes,0)),"NOT FOUND"))</f>
        <v/>
      </c>
      <c r="C1152" s="14" t="n"/>
      <c r="D1152" s="15" t="n"/>
      <c r="E1152" s="15" t="n"/>
      <c r="F1152" s="15" t="n"/>
      <c r="G1152" s="15" t="n"/>
      <c r="H1152" s="16">
        <f>IF($A1152="","",$D1152+IF($E1152="",0,$E1152)+IF($F1152="",0,$F1152)-IF($G1152="",0,$G1152))</f>
        <v/>
      </c>
      <c r="I1152" s="12" t="n"/>
      <c r="J1152" s="12" t="n"/>
      <c r="K1152" s="12" t="n"/>
      <c r="L1152" s="14" t="n"/>
      <c r="M1152" s="12" t="n"/>
      <c r="N1152" s="12" t="n"/>
      <c r="O1152" s="12" t="n"/>
    </row>
    <row r="1153">
      <c r="A1153" s="12" t="n"/>
      <c r="B1153" s="13">
        <f>IF($A1153="","",IFERROR(INDEX(Emp_Names,MATCH($A1153,Emp_Codes,0)),"NOT FOUND"))</f>
        <v/>
      </c>
      <c r="C1153" s="14" t="n"/>
      <c r="D1153" s="15" t="n"/>
      <c r="E1153" s="15" t="n"/>
      <c r="F1153" s="15" t="n"/>
      <c r="G1153" s="15" t="n"/>
      <c r="H1153" s="16">
        <f>IF($A1153="","",$D1153+IF($E1153="",0,$E1153)+IF($F1153="",0,$F1153)-IF($G1153="",0,$G1153))</f>
        <v/>
      </c>
      <c r="I1153" s="12" t="n"/>
      <c r="J1153" s="12" t="n"/>
      <c r="K1153" s="12" t="n"/>
      <c r="L1153" s="14" t="n"/>
      <c r="M1153" s="12" t="n"/>
      <c r="N1153" s="12" t="n"/>
      <c r="O1153" s="12" t="n"/>
    </row>
    <row r="1154">
      <c r="A1154" s="12" t="n"/>
      <c r="B1154" s="13">
        <f>IF($A1154="","",IFERROR(INDEX(Emp_Names,MATCH($A1154,Emp_Codes,0)),"NOT FOUND"))</f>
        <v/>
      </c>
      <c r="C1154" s="14" t="n"/>
      <c r="D1154" s="15" t="n"/>
      <c r="E1154" s="15" t="n"/>
      <c r="F1154" s="15" t="n"/>
      <c r="G1154" s="15" t="n"/>
      <c r="H1154" s="16">
        <f>IF($A1154="","",$D1154+IF($E1154="",0,$E1154)+IF($F1154="",0,$F1154)-IF($G1154="",0,$G1154))</f>
        <v/>
      </c>
      <c r="I1154" s="12" t="n"/>
      <c r="J1154" s="12" t="n"/>
      <c r="K1154" s="12" t="n"/>
      <c r="L1154" s="14" t="n"/>
      <c r="M1154" s="12" t="n"/>
      <c r="N1154" s="12" t="n"/>
      <c r="O1154" s="12" t="n"/>
    </row>
    <row r="1155">
      <c r="A1155" s="12" t="n"/>
      <c r="B1155" s="13">
        <f>IF($A1155="","",IFERROR(INDEX(Emp_Names,MATCH($A1155,Emp_Codes,0)),"NOT FOUND"))</f>
        <v/>
      </c>
      <c r="C1155" s="14" t="n"/>
      <c r="D1155" s="15" t="n"/>
      <c r="E1155" s="15" t="n"/>
      <c r="F1155" s="15" t="n"/>
      <c r="G1155" s="15" t="n"/>
      <c r="H1155" s="16">
        <f>IF($A1155="","",$D1155+IF($E1155="",0,$E1155)+IF($F1155="",0,$F1155)-IF($G1155="",0,$G1155))</f>
        <v/>
      </c>
      <c r="I1155" s="12" t="n"/>
      <c r="J1155" s="12" t="n"/>
      <c r="K1155" s="12" t="n"/>
      <c r="L1155" s="14" t="n"/>
      <c r="M1155" s="12" t="n"/>
      <c r="N1155" s="12" t="n"/>
      <c r="O1155" s="12" t="n"/>
    </row>
    <row r="1156">
      <c r="A1156" s="12" t="n"/>
      <c r="B1156" s="13">
        <f>IF($A1156="","",IFERROR(INDEX(Emp_Names,MATCH($A1156,Emp_Codes,0)),"NOT FOUND"))</f>
        <v/>
      </c>
      <c r="C1156" s="14" t="n"/>
      <c r="D1156" s="15" t="n"/>
      <c r="E1156" s="15" t="n"/>
      <c r="F1156" s="15" t="n"/>
      <c r="G1156" s="15" t="n"/>
      <c r="H1156" s="16">
        <f>IF($A1156="","",$D1156+IF($E1156="",0,$E1156)+IF($F1156="",0,$F1156)-IF($G1156="",0,$G1156))</f>
        <v/>
      </c>
      <c r="I1156" s="12" t="n"/>
      <c r="J1156" s="12" t="n"/>
      <c r="K1156" s="12" t="n"/>
      <c r="L1156" s="14" t="n"/>
      <c r="M1156" s="12" t="n"/>
      <c r="N1156" s="12" t="n"/>
      <c r="O1156" s="12" t="n"/>
    </row>
    <row r="1157">
      <c r="A1157" s="12" t="n"/>
      <c r="B1157" s="13">
        <f>IF($A1157="","",IFERROR(INDEX(Emp_Names,MATCH($A1157,Emp_Codes,0)),"NOT FOUND"))</f>
        <v/>
      </c>
      <c r="C1157" s="14" t="n"/>
      <c r="D1157" s="15" t="n"/>
      <c r="E1157" s="15" t="n"/>
      <c r="F1157" s="15" t="n"/>
      <c r="G1157" s="15" t="n"/>
      <c r="H1157" s="16">
        <f>IF($A1157="","",$D1157+IF($E1157="",0,$E1157)+IF($F1157="",0,$F1157)-IF($G1157="",0,$G1157))</f>
        <v/>
      </c>
      <c r="I1157" s="12" t="n"/>
      <c r="J1157" s="12" t="n"/>
      <c r="K1157" s="12" t="n"/>
      <c r="L1157" s="14" t="n"/>
      <c r="M1157" s="12" t="n"/>
      <c r="N1157" s="12" t="n"/>
      <c r="O1157" s="12" t="n"/>
    </row>
    <row r="1158">
      <c r="A1158" s="12" t="n"/>
      <c r="B1158" s="13">
        <f>IF($A1158="","",IFERROR(INDEX(Emp_Names,MATCH($A1158,Emp_Codes,0)),"NOT FOUND"))</f>
        <v/>
      </c>
      <c r="C1158" s="14" t="n"/>
      <c r="D1158" s="15" t="n"/>
      <c r="E1158" s="15" t="n"/>
      <c r="F1158" s="15" t="n"/>
      <c r="G1158" s="15" t="n"/>
      <c r="H1158" s="16">
        <f>IF($A1158="","",$D1158+IF($E1158="",0,$E1158)+IF($F1158="",0,$F1158)-IF($G1158="",0,$G1158))</f>
        <v/>
      </c>
      <c r="I1158" s="12" t="n"/>
      <c r="J1158" s="12" t="n"/>
      <c r="K1158" s="12" t="n"/>
      <c r="L1158" s="14" t="n"/>
      <c r="M1158" s="12" t="n"/>
      <c r="N1158" s="12" t="n"/>
      <c r="O1158" s="12" t="n"/>
    </row>
    <row r="1159">
      <c r="A1159" s="12" t="n"/>
      <c r="B1159" s="13">
        <f>IF($A1159="","",IFERROR(INDEX(Emp_Names,MATCH($A1159,Emp_Codes,0)),"NOT FOUND"))</f>
        <v/>
      </c>
      <c r="C1159" s="14" t="n"/>
      <c r="D1159" s="15" t="n"/>
      <c r="E1159" s="15" t="n"/>
      <c r="F1159" s="15" t="n"/>
      <c r="G1159" s="15" t="n"/>
      <c r="H1159" s="16">
        <f>IF($A1159="","",$D1159+IF($E1159="",0,$E1159)+IF($F1159="",0,$F1159)-IF($G1159="",0,$G1159))</f>
        <v/>
      </c>
      <c r="I1159" s="12" t="n"/>
      <c r="J1159" s="12" t="n"/>
      <c r="K1159" s="12" t="n"/>
      <c r="L1159" s="14" t="n"/>
      <c r="M1159" s="12" t="n"/>
      <c r="N1159" s="12" t="n"/>
      <c r="O1159" s="12" t="n"/>
    </row>
    <row r="1160">
      <c r="A1160" s="12" t="n"/>
      <c r="B1160" s="13">
        <f>IF($A1160="","",IFERROR(INDEX(Emp_Names,MATCH($A1160,Emp_Codes,0)),"NOT FOUND"))</f>
        <v/>
      </c>
      <c r="C1160" s="14" t="n"/>
      <c r="D1160" s="15" t="n"/>
      <c r="E1160" s="15" t="n"/>
      <c r="F1160" s="15" t="n"/>
      <c r="G1160" s="15" t="n"/>
      <c r="H1160" s="16">
        <f>IF($A1160="","",$D1160+IF($E1160="",0,$E1160)+IF($F1160="",0,$F1160)-IF($G1160="",0,$G1160))</f>
        <v/>
      </c>
      <c r="I1160" s="12" t="n"/>
      <c r="J1160" s="12" t="n"/>
      <c r="K1160" s="12" t="n"/>
      <c r="L1160" s="14" t="n"/>
      <c r="M1160" s="12" t="n"/>
      <c r="N1160" s="12" t="n"/>
      <c r="O1160" s="12" t="n"/>
    </row>
    <row r="1161">
      <c r="A1161" s="12" t="n"/>
      <c r="B1161" s="13">
        <f>IF($A1161="","",IFERROR(INDEX(Emp_Names,MATCH($A1161,Emp_Codes,0)),"NOT FOUND"))</f>
        <v/>
      </c>
      <c r="C1161" s="14" t="n"/>
      <c r="D1161" s="15" t="n"/>
      <c r="E1161" s="15" t="n"/>
      <c r="F1161" s="15" t="n"/>
      <c r="G1161" s="15" t="n"/>
      <c r="H1161" s="16">
        <f>IF($A1161="","",$D1161+IF($E1161="",0,$E1161)+IF($F1161="",0,$F1161)-IF($G1161="",0,$G1161))</f>
        <v/>
      </c>
      <c r="I1161" s="12" t="n"/>
      <c r="J1161" s="12" t="n"/>
      <c r="K1161" s="12" t="n"/>
      <c r="L1161" s="14" t="n"/>
      <c r="M1161" s="12" t="n"/>
      <c r="N1161" s="12" t="n"/>
      <c r="O1161" s="12" t="n"/>
    </row>
    <row r="1162">
      <c r="A1162" s="12" t="n"/>
      <c r="B1162" s="13">
        <f>IF($A1162="","",IFERROR(INDEX(Emp_Names,MATCH($A1162,Emp_Codes,0)),"NOT FOUND"))</f>
        <v/>
      </c>
      <c r="C1162" s="14" t="n"/>
      <c r="D1162" s="15" t="n"/>
      <c r="E1162" s="15" t="n"/>
      <c r="F1162" s="15" t="n"/>
      <c r="G1162" s="15" t="n"/>
      <c r="H1162" s="16">
        <f>IF($A1162="","",$D1162+IF($E1162="",0,$E1162)+IF($F1162="",0,$F1162)-IF($G1162="",0,$G1162))</f>
        <v/>
      </c>
      <c r="I1162" s="12" t="n"/>
      <c r="J1162" s="12" t="n"/>
      <c r="K1162" s="12" t="n"/>
      <c r="L1162" s="14" t="n"/>
      <c r="M1162" s="12" t="n"/>
      <c r="N1162" s="12" t="n"/>
      <c r="O1162" s="12" t="n"/>
    </row>
    <row r="1163">
      <c r="A1163" s="12" t="n"/>
      <c r="B1163" s="13">
        <f>IF($A1163="","",IFERROR(INDEX(Emp_Names,MATCH($A1163,Emp_Codes,0)),"NOT FOUND"))</f>
        <v/>
      </c>
      <c r="C1163" s="14" t="n"/>
      <c r="D1163" s="15" t="n"/>
      <c r="E1163" s="15" t="n"/>
      <c r="F1163" s="15" t="n"/>
      <c r="G1163" s="15" t="n"/>
      <c r="H1163" s="16">
        <f>IF($A1163="","",$D1163+IF($E1163="",0,$E1163)+IF($F1163="",0,$F1163)-IF($G1163="",0,$G1163))</f>
        <v/>
      </c>
      <c r="I1163" s="12" t="n"/>
      <c r="J1163" s="12" t="n"/>
      <c r="K1163" s="12" t="n"/>
      <c r="L1163" s="14" t="n"/>
      <c r="M1163" s="12" t="n"/>
      <c r="N1163" s="12" t="n"/>
      <c r="O1163" s="12" t="n"/>
    </row>
    <row r="1164">
      <c r="A1164" s="12" t="n"/>
      <c r="B1164" s="13">
        <f>IF($A1164="","",IFERROR(INDEX(Emp_Names,MATCH($A1164,Emp_Codes,0)),"NOT FOUND"))</f>
        <v/>
      </c>
      <c r="C1164" s="14" t="n"/>
      <c r="D1164" s="15" t="n"/>
      <c r="E1164" s="15" t="n"/>
      <c r="F1164" s="15" t="n"/>
      <c r="G1164" s="15" t="n"/>
      <c r="H1164" s="16">
        <f>IF($A1164="","",$D1164+IF($E1164="",0,$E1164)+IF($F1164="",0,$F1164)-IF($G1164="",0,$G1164))</f>
        <v/>
      </c>
      <c r="I1164" s="12" t="n"/>
      <c r="J1164" s="12" t="n"/>
      <c r="K1164" s="12" t="n"/>
      <c r="L1164" s="14" t="n"/>
      <c r="M1164" s="12" t="n"/>
      <c r="N1164" s="12" t="n"/>
      <c r="O1164" s="12" t="n"/>
    </row>
    <row r="1165">
      <c r="A1165" s="12" t="n"/>
      <c r="B1165" s="13">
        <f>IF($A1165="","",IFERROR(INDEX(Emp_Names,MATCH($A1165,Emp_Codes,0)),"NOT FOUND"))</f>
        <v/>
      </c>
      <c r="C1165" s="14" t="n"/>
      <c r="D1165" s="15" t="n"/>
      <c r="E1165" s="15" t="n"/>
      <c r="F1165" s="15" t="n"/>
      <c r="G1165" s="15" t="n"/>
      <c r="H1165" s="16">
        <f>IF($A1165="","",$D1165+IF($E1165="",0,$E1165)+IF($F1165="",0,$F1165)-IF($G1165="",0,$G1165))</f>
        <v/>
      </c>
      <c r="I1165" s="12" t="n"/>
      <c r="J1165" s="12" t="n"/>
      <c r="K1165" s="12" t="n"/>
      <c r="L1165" s="14" t="n"/>
      <c r="M1165" s="12" t="n"/>
      <c r="N1165" s="12" t="n"/>
      <c r="O1165" s="12" t="n"/>
    </row>
    <row r="1166">
      <c r="A1166" s="12" t="n"/>
      <c r="B1166" s="13">
        <f>IF($A1166="","",IFERROR(INDEX(Emp_Names,MATCH($A1166,Emp_Codes,0)),"NOT FOUND"))</f>
        <v/>
      </c>
      <c r="C1166" s="14" t="n"/>
      <c r="D1166" s="15" t="n"/>
      <c r="E1166" s="15" t="n"/>
      <c r="F1166" s="15" t="n"/>
      <c r="G1166" s="15" t="n"/>
      <c r="H1166" s="16">
        <f>IF($A1166="","",$D1166+IF($E1166="",0,$E1166)+IF($F1166="",0,$F1166)-IF($G1166="",0,$G1166))</f>
        <v/>
      </c>
      <c r="I1166" s="12" t="n"/>
      <c r="J1166" s="12" t="n"/>
      <c r="K1166" s="12" t="n"/>
      <c r="L1166" s="14" t="n"/>
      <c r="M1166" s="12" t="n"/>
      <c r="N1166" s="12" t="n"/>
      <c r="O1166" s="12" t="n"/>
    </row>
    <row r="1167">
      <c r="A1167" s="12" t="n"/>
      <c r="B1167" s="13">
        <f>IF($A1167="","",IFERROR(INDEX(Emp_Names,MATCH($A1167,Emp_Codes,0)),"NOT FOUND"))</f>
        <v/>
      </c>
      <c r="C1167" s="14" t="n"/>
      <c r="D1167" s="15" t="n"/>
      <c r="E1167" s="15" t="n"/>
      <c r="F1167" s="15" t="n"/>
      <c r="G1167" s="15" t="n"/>
      <c r="H1167" s="16">
        <f>IF($A1167="","",$D1167+IF($E1167="",0,$E1167)+IF($F1167="",0,$F1167)-IF($G1167="",0,$G1167))</f>
        <v/>
      </c>
      <c r="I1167" s="12" t="n"/>
      <c r="J1167" s="12" t="n"/>
      <c r="K1167" s="12" t="n"/>
      <c r="L1167" s="14" t="n"/>
      <c r="M1167" s="12" t="n"/>
      <c r="N1167" s="12" t="n"/>
      <c r="O1167" s="12" t="n"/>
    </row>
    <row r="1168">
      <c r="A1168" s="12" t="n"/>
      <c r="B1168" s="13">
        <f>IF($A1168="","",IFERROR(INDEX(Emp_Names,MATCH($A1168,Emp_Codes,0)),"NOT FOUND"))</f>
        <v/>
      </c>
      <c r="C1168" s="14" t="n"/>
      <c r="D1168" s="15" t="n"/>
      <c r="E1168" s="15" t="n"/>
      <c r="F1168" s="15" t="n"/>
      <c r="G1168" s="15" t="n"/>
      <c r="H1168" s="16">
        <f>IF($A1168="","",$D1168+IF($E1168="",0,$E1168)+IF($F1168="",0,$F1168)-IF($G1168="",0,$G1168))</f>
        <v/>
      </c>
      <c r="I1168" s="12" t="n"/>
      <c r="J1168" s="12" t="n"/>
      <c r="K1168" s="12" t="n"/>
      <c r="L1168" s="14" t="n"/>
      <c r="M1168" s="12" t="n"/>
      <c r="N1168" s="12" t="n"/>
      <c r="O1168" s="12" t="n"/>
    </row>
    <row r="1169">
      <c r="A1169" s="12" t="n"/>
      <c r="B1169" s="13">
        <f>IF($A1169="","",IFERROR(INDEX(Emp_Names,MATCH($A1169,Emp_Codes,0)),"NOT FOUND"))</f>
        <v/>
      </c>
      <c r="C1169" s="14" t="n"/>
      <c r="D1169" s="15" t="n"/>
      <c r="E1169" s="15" t="n"/>
      <c r="F1169" s="15" t="n"/>
      <c r="G1169" s="15" t="n"/>
      <c r="H1169" s="16">
        <f>IF($A1169="","",$D1169+IF($E1169="",0,$E1169)+IF($F1169="",0,$F1169)-IF($G1169="",0,$G1169))</f>
        <v/>
      </c>
      <c r="I1169" s="12" t="n"/>
      <c r="J1169" s="12" t="n"/>
      <c r="K1169" s="12" t="n"/>
      <c r="L1169" s="14" t="n"/>
      <c r="M1169" s="12" t="n"/>
      <c r="N1169" s="12" t="n"/>
      <c r="O1169" s="12" t="n"/>
    </row>
    <row r="1170">
      <c r="A1170" s="12" t="n"/>
      <c r="B1170" s="13">
        <f>IF($A1170="","",IFERROR(INDEX(Emp_Names,MATCH($A1170,Emp_Codes,0)),"NOT FOUND"))</f>
        <v/>
      </c>
      <c r="C1170" s="14" t="n"/>
      <c r="D1170" s="15" t="n"/>
      <c r="E1170" s="15" t="n"/>
      <c r="F1170" s="15" t="n"/>
      <c r="G1170" s="15" t="n"/>
      <c r="H1170" s="16">
        <f>IF($A1170="","",$D1170+IF($E1170="",0,$E1170)+IF($F1170="",0,$F1170)-IF($G1170="",0,$G1170))</f>
        <v/>
      </c>
      <c r="I1170" s="12" t="n"/>
      <c r="J1170" s="12" t="n"/>
      <c r="K1170" s="12" t="n"/>
      <c r="L1170" s="14" t="n"/>
      <c r="M1170" s="12" t="n"/>
      <c r="N1170" s="12" t="n"/>
      <c r="O1170" s="12" t="n"/>
    </row>
    <row r="1171">
      <c r="A1171" s="12" t="n"/>
      <c r="B1171" s="13">
        <f>IF($A1171="","",IFERROR(INDEX(Emp_Names,MATCH($A1171,Emp_Codes,0)),"NOT FOUND"))</f>
        <v/>
      </c>
      <c r="C1171" s="14" t="n"/>
      <c r="D1171" s="15" t="n"/>
      <c r="E1171" s="15" t="n"/>
      <c r="F1171" s="15" t="n"/>
      <c r="G1171" s="15" t="n"/>
      <c r="H1171" s="16">
        <f>IF($A1171="","",$D1171+IF($E1171="",0,$E1171)+IF($F1171="",0,$F1171)-IF($G1171="",0,$G1171))</f>
        <v/>
      </c>
      <c r="I1171" s="12" t="n"/>
      <c r="J1171" s="12" t="n"/>
      <c r="K1171" s="12" t="n"/>
      <c r="L1171" s="14" t="n"/>
      <c r="M1171" s="12" t="n"/>
      <c r="N1171" s="12" t="n"/>
      <c r="O1171" s="12" t="n"/>
    </row>
    <row r="1172">
      <c r="A1172" s="12" t="n"/>
      <c r="B1172" s="13">
        <f>IF($A1172="","",IFERROR(INDEX(Emp_Names,MATCH($A1172,Emp_Codes,0)),"NOT FOUND"))</f>
        <v/>
      </c>
      <c r="C1172" s="14" t="n"/>
      <c r="D1172" s="15" t="n"/>
      <c r="E1172" s="15" t="n"/>
      <c r="F1172" s="15" t="n"/>
      <c r="G1172" s="15" t="n"/>
      <c r="H1172" s="16">
        <f>IF($A1172="","",$D1172+IF($E1172="",0,$E1172)+IF($F1172="",0,$F1172)-IF($G1172="",0,$G1172))</f>
        <v/>
      </c>
      <c r="I1172" s="12" t="n"/>
      <c r="J1172" s="12" t="n"/>
      <c r="K1172" s="12" t="n"/>
      <c r="L1172" s="14" t="n"/>
      <c r="M1172" s="12" t="n"/>
      <c r="N1172" s="12" t="n"/>
      <c r="O1172" s="12" t="n"/>
    </row>
    <row r="1173">
      <c r="A1173" s="12" t="n"/>
      <c r="B1173" s="13">
        <f>IF($A1173="","",IFERROR(INDEX(Emp_Names,MATCH($A1173,Emp_Codes,0)),"NOT FOUND"))</f>
        <v/>
      </c>
      <c r="C1173" s="14" t="n"/>
      <c r="D1173" s="15" t="n"/>
      <c r="E1173" s="15" t="n"/>
      <c r="F1173" s="15" t="n"/>
      <c r="G1173" s="15" t="n"/>
      <c r="H1173" s="16">
        <f>IF($A1173="","",$D1173+IF($E1173="",0,$E1173)+IF($F1173="",0,$F1173)-IF($G1173="",0,$G1173))</f>
        <v/>
      </c>
      <c r="I1173" s="12" t="n"/>
      <c r="J1173" s="12" t="n"/>
      <c r="K1173" s="12" t="n"/>
      <c r="L1173" s="14" t="n"/>
      <c r="M1173" s="12" t="n"/>
      <c r="N1173" s="12" t="n"/>
      <c r="O1173" s="12" t="n"/>
    </row>
    <row r="1174">
      <c r="A1174" s="12" t="n"/>
      <c r="B1174" s="13">
        <f>IF($A1174="","",IFERROR(INDEX(Emp_Names,MATCH($A1174,Emp_Codes,0)),"NOT FOUND"))</f>
        <v/>
      </c>
      <c r="C1174" s="14" t="n"/>
      <c r="D1174" s="15" t="n"/>
      <c r="E1174" s="15" t="n"/>
      <c r="F1174" s="15" t="n"/>
      <c r="G1174" s="15" t="n"/>
      <c r="H1174" s="16">
        <f>IF($A1174="","",$D1174+IF($E1174="",0,$E1174)+IF($F1174="",0,$F1174)-IF($G1174="",0,$G1174))</f>
        <v/>
      </c>
      <c r="I1174" s="12" t="n"/>
      <c r="J1174" s="12" t="n"/>
      <c r="K1174" s="12" t="n"/>
      <c r="L1174" s="14" t="n"/>
      <c r="M1174" s="12" t="n"/>
      <c r="N1174" s="12" t="n"/>
      <c r="O1174" s="12" t="n"/>
    </row>
    <row r="1175">
      <c r="A1175" s="12" t="n"/>
      <c r="B1175" s="13">
        <f>IF($A1175="","",IFERROR(INDEX(Emp_Names,MATCH($A1175,Emp_Codes,0)),"NOT FOUND"))</f>
        <v/>
      </c>
      <c r="C1175" s="14" t="n"/>
      <c r="D1175" s="15" t="n"/>
      <c r="E1175" s="15" t="n"/>
      <c r="F1175" s="15" t="n"/>
      <c r="G1175" s="15" t="n"/>
      <c r="H1175" s="16">
        <f>IF($A1175="","",$D1175+IF($E1175="",0,$E1175)+IF($F1175="",0,$F1175)-IF($G1175="",0,$G1175))</f>
        <v/>
      </c>
      <c r="I1175" s="12" t="n"/>
      <c r="J1175" s="12" t="n"/>
      <c r="K1175" s="12" t="n"/>
      <c r="L1175" s="14" t="n"/>
      <c r="M1175" s="12" t="n"/>
      <c r="N1175" s="12" t="n"/>
      <c r="O1175" s="12" t="n"/>
    </row>
    <row r="1176">
      <c r="A1176" s="12" t="n"/>
      <c r="B1176" s="13">
        <f>IF($A1176="","",IFERROR(INDEX(Emp_Names,MATCH($A1176,Emp_Codes,0)),"NOT FOUND"))</f>
        <v/>
      </c>
      <c r="C1176" s="14" t="n"/>
      <c r="D1176" s="15" t="n"/>
      <c r="E1176" s="15" t="n"/>
      <c r="F1176" s="15" t="n"/>
      <c r="G1176" s="15" t="n"/>
      <c r="H1176" s="16">
        <f>IF($A1176="","",$D1176+IF($E1176="",0,$E1176)+IF($F1176="",0,$F1176)-IF($G1176="",0,$G1176))</f>
        <v/>
      </c>
      <c r="I1176" s="12" t="n"/>
      <c r="J1176" s="12" t="n"/>
      <c r="K1176" s="12" t="n"/>
      <c r="L1176" s="14" t="n"/>
      <c r="M1176" s="12" t="n"/>
      <c r="N1176" s="12" t="n"/>
      <c r="O1176" s="12" t="n"/>
    </row>
    <row r="1177">
      <c r="A1177" s="12" t="n"/>
      <c r="B1177" s="13">
        <f>IF($A1177="","",IFERROR(INDEX(Emp_Names,MATCH($A1177,Emp_Codes,0)),"NOT FOUND"))</f>
        <v/>
      </c>
      <c r="C1177" s="14" t="n"/>
      <c r="D1177" s="15" t="n"/>
      <c r="E1177" s="15" t="n"/>
      <c r="F1177" s="15" t="n"/>
      <c r="G1177" s="15" t="n"/>
      <c r="H1177" s="16">
        <f>IF($A1177="","",$D1177+IF($E1177="",0,$E1177)+IF($F1177="",0,$F1177)-IF($G1177="",0,$G1177))</f>
        <v/>
      </c>
      <c r="I1177" s="12" t="n"/>
      <c r="J1177" s="12" t="n"/>
      <c r="K1177" s="12" t="n"/>
      <c r="L1177" s="14" t="n"/>
      <c r="M1177" s="12" t="n"/>
      <c r="N1177" s="12" t="n"/>
      <c r="O1177" s="12" t="n"/>
    </row>
    <row r="1178">
      <c r="A1178" s="12" t="n"/>
      <c r="B1178" s="13">
        <f>IF($A1178="","",IFERROR(INDEX(Emp_Names,MATCH($A1178,Emp_Codes,0)),"NOT FOUND"))</f>
        <v/>
      </c>
      <c r="C1178" s="14" t="n"/>
      <c r="D1178" s="15" t="n"/>
      <c r="E1178" s="15" t="n"/>
      <c r="F1178" s="15" t="n"/>
      <c r="G1178" s="15" t="n"/>
      <c r="H1178" s="16">
        <f>IF($A1178="","",$D1178+IF($E1178="",0,$E1178)+IF($F1178="",0,$F1178)-IF($G1178="",0,$G1178))</f>
        <v/>
      </c>
      <c r="I1178" s="12" t="n"/>
      <c r="J1178" s="12" t="n"/>
      <c r="K1178" s="12" t="n"/>
      <c r="L1178" s="14" t="n"/>
      <c r="M1178" s="12" t="n"/>
      <c r="N1178" s="12" t="n"/>
      <c r="O1178" s="12" t="n"/>
    </row>
    <row r="1179">
      <c r="A1179" s="12" t="n"/>
      <c r="B1179" s="13">
        <f>IF($A1179="","",IFERROR(INDEX(Emp_Names,MATCH($A1179,Emp_Codes,0)),"NOT FOUND"))</f>
        <v/>
      </c>
      <c r="C1179" s="14" t="n"/>
      <c r="D1179" s="15" t="n"/>
      <c r="E1179" s="15" t="n"/>
      <c r="F1179" s="15" t="n"/>
      <c r="G1179" s="15" t="n"/>
      <c r="H1179" s="16">
        <f>IF($A1179="","",$D1179+IF($E1179="",0,$E1179)+IF($F1179="",0,$F1179)-IF($G1179="",0,$G1179))</f>
        <v/>
      </c>
      <c r="I1179" s="12" t="n"/>
      <c r="J1179" s="12" t="n"/>
      <c r="K1179" s="12" t="n"/>
      <c r="L1179" s="14" t="n"/>
      <c r="M1179" s="12" t="n"/>
      <c r="N1179" s="12" t="n"/>
      <c r="O1179" s="12" t="n"/>
    </row>
    <row r="1180">
      <c r="A1180" s="12" t="n"/>
      <c r="B1180" s="13">
        <f>IF($A1180="","",IFERROR(INDEX(Emp_Names,MATCH($A1180,Emp_Codes,0)),"NOT FOUND"))</f>
        <v/>
      </c>
      <c r="C1180" s="14" t="n"/>
      <c r="D1180" s="15" t="n"/>
      <c r="E1180" s="15" t="n"/>
      <c r="F1180" s="15" t="n"/>
      <c r="G1180" s="15" t="n"/>
      <c r="H1180" s="16">
        <f>IF($A1180="","",$D1180+IF($E1180="",0,$E1180)+IF($F1180="",0,$F1180)-IF($G1180="",0,$G1180))</f>
        <v/>
      </c>
      <c r="I1180" s="12" t="n"/>
      <c r="J1180" s="12" t="n"/>
      <c r="K1180" s="12" t="n"/>
      <c r="L1180" s="14" t="n"/>
      <c r="M1180" s="12" t="n"/>
      <c r="N1180" s="12" t="n"/>
      <c r="O1180" s="12" t="n"/>
    </row>
    <row r="1181">
      <c r="A1181" s="12" t="n"/>
      <c r="B1181" s="13">
        <f>IF($A1181="","",IFERROR(INDEX(Emp_Names,MATCH($A1181,Emp_Codes,0)),"NOT FOUND"))</f>
        <v/>
      </c>
      <c r="C1181" s="14" t="n"/>
      <c r="D1181" s="15" t="n"/>
      <c r="E1181" s="15" t="n"/>
      <c r="F1181" s="15" t="n"/>
      <c r="G1181" s="15" t="n"/>
      <c r="H1181" s="16">
        <f>IF($A1181="","",$D1181+IF($E1181="",0,$E1181)+IF($F1181="",0,$F1181)-IF($G1181="",0,$G1181))</f>
        <v/>
      </c>
      <c r="I1181" s="12" t="n"/>
      <c r="J1181" s="12" t="n"/>
      <c r="K1181" s="12" t="n"/>
      <c r="L1181" s="14" t="n"/>
      <c r="M1181" s="12" t="n"/>
      <c r="N1181" s="12" t="n"/>
      <c r="O1181" s="12" t="n"/>
    </row>
    <row r="1182">
      <c r="A1182" s="12" t="n"/>
      <c r="B1182" s="13">
        <f>IF($A1182="","",IFERROR(INDEX(Emp_Names,MATCH($A1182,Emp_Codes,0)),"NOT FOUND"))</f>
        <v/>
      </c>
      <c r="C1182" s="14" t="n"/>
      <c r="D1182" s="15" t="n"/>
      <c r="E1182" s="15" t="n"/>
      <c r="F1182" s="15" t="n"/>
      <c r="G1182" s="15" t="n"/>
      <c r="H1182" s="16">
        <f>IF($A1182="","",$D1182+IF($E1182="",0,$E1182)+IF($F1182="",0,$F1182)-IF($G1182="",0,$G1182))</f>
        <v/>
      </c>
      <c r="I1182" s="12" t="n"/>
      <c r="J1182" s="12" t="n"/>
      <c r="K1182" s="12" t="n"/>
      <c r="L1182" s="14" t="n"/>
      <c r="M1182" s="12" t="n"/>
      <c r="N1182" s="12" t="n"/>
      <c r="O1182" s="12" t="n"/>
    </row>
    <row r="1183">
      <c r="A1183" s="12" t="n"/>
      <c r="B1183" s="13">
        <f>IF($A1183="","",IFERROR(INDEX(Emp_Names,MATCH($A1183,Emp_Codes,0)),"NOT FOUND"))</f>
        <v/>
      </c>
      <c r="C1183" s="14" t="n"/>
      <c r="D1183" s="15" t="n"/>
      <c r="E1183" s="15" t="n"/>
      <c r="F1183" s="15" t="n"/>
      <c r="G1183" s="15" t="n"/>
      <c r="H1183" s="16">
        <f>IF($A1183="","",$D1183+IF($E1183="",0,$E1183)+IF($F1183="",0,$F1183)-IF($G1183="",0,$G1183))</f>
        <v/>
      </c>
      <c r="I1183" s="12" t="n"/>
      <c r="J1183" s="12" t="n"/>
      <c r="K1183" s="12" t="n"/>
      <c r="L1183" s="14" t="n"/>
      <c r="M1183" s="12" t="n"/>
      <c r="N1183" s="12" t="n"/>
      <c r="O1183" s="12" t="n"/>
    </row>
    <row r="1184">
      <c r="A1184" s="12" t="n"/>
      <c r="B1184" s="13">
        <f>IF($A1184="","",IFERROR(INDEX(Emp_Names,MATCH($A1184,Emp_Codes,0)),"NOT FOUND"))</f>
        <v/>
      </c>
      <c r="C1184" s="14" t="n"/>
      <c r="D1184" s="15" t="n"/>
      <c r="E1184" s="15" t="n"/>
      <c r="F1184" s="15" t="n"/>
      <c r="G1184" s="15" t="n"/>
      <c r="H1184" s="16">
        <f>IF($A1184="","",$D1184+IF($E1184="",0,$E1184)+IF($F1184="",0,$F1184)-IF($G1184="",0,$G1184))</f>
        <v/>
      </c>
      <c r="I1184" s="12" t="n"/>
      <c r="J1184" s="12" t="n"/>
      <c r="K1184" s="12" t="n"/>
      <c r="L1184" s="14" t="n"/>
      <c r="M1184" s="12" t="n"/>
      <c r="N1184" s="12" t="n"/>
      <c r="O1184" s="12" t="n"/>
    </row>
    <row r="1185">
      <c r="A1185" s="12" t="n"/>
      <c r="B1185" s="13">
        <f>IF($A1185="","",IFERROR(INDEX(Emp_Names,MATCH($A1185,Emp_Codes,0)),"NOT FOUND"))</f>
        <v/>
      </c>
      <c r="C1185" s="14" t="n"/>
      <c r="D1185" s="15" t="n"/>
      <c r="E1185" s="15" t="n"/>
      <c r="F1185" s="15" t="n"/>
      <c r="G1185" s="15" t="n"/>
      <c r="H1185" s="16">
        <f>IF($A1185="","",$D1185+IF($E1185="",0,$E1185)+IF($F1185="",0,$F1185)-IF($G1185="",0,$G1185))</f>
        <v/>
      </c>
      <c r="I1185" s="12" t="n"/>
      <c r="J1185" s="12" t="n"/>
      <c r="K1185" s="12" t="n"/>
      <c r="L1185" s="14" t="n"/>
      <c r="M1185" s="12" t="n"/>
      <c r="N1185" s="12" t="n"/>
      <c r="O1185" s="12" t="n"/>
    </row>
    <row r="1186">
      <c r="A1186" s="12" t="n"/>
      <c r="B1186" s="13">
        <f>IF($A1186="","",IFERROR(INDEX(Emp_Names,MATCH($A1186,Emp_Codes,0)),"NOT FOUND"))</f>
        <v/>
      </c>
      <c r="C1186" s="14" t="n"/>
      <c r="D1186" s="15" t="n"/>
      <c r="E1186" s="15" t="n"/>
      <c r="F1186" s="15" t="n"/>
      <c r="G1186" s="15" t="n"/>
      <c r="H1186" s="16">
        <f>IF($A1186="","",$D1186+IF($E1186="",0,$E1186)+IF($F1186="",0,$F1186)-IF($G1186="",0,$G1186))</f>
        <v/>
      </c>
      <c r="I1186" s="12" t="n"/>
      <c r="J1186" s="12" t="n"/>
      <c r="K1186" s="12" t="n"/>
      <c r="L1186" s="14" t="n"/>
      <c r="M1186" s="12" t="n"/>
      <c r="N1186" s="12" t="n"/>
      <c r="O1186" s="12" t="n"/>
    </row>
    <row r="1187">
      <c r="A1187" s="12" t="n"/>
      <c r="B1187" s="13">
        <f>IF($A1187="","",IFERROR(INDEX(Emp_Names,MATCH($A1187,Emp_Codes,0)),"NOT FOUND"))</f>
        <v/>
      </c>
      <c r="C1187" s="14" t="n"/>
      <c r="D1187" s="15" t="n"/>
      <c r="E1187" s="15" t="n"/>
      <c r="F1187" s="15" t="n"/>
      <c r="G1187" s="15" t="n"/>
      <c r="H1187" s="16">
        <f>IF($A1187="","",$D1187+IF($E1187="",0,$E1187)+IF($F1187="",0,$F1187)-IF($G1187="",0,$G1187))</f>
        <v/>
      </c>
      <c r="I1187" s="12" t="n"/>
      <c r="J1187" s="12" t="n"/>
      <c r="K1187" s="12" t="n"/>
      <c r="L1187" s="14" t="n"/>
      <c r="M1187" s="12" t="n"/>
      <c r="N1187" s="12" t="n"/>
      <c r="O1187" s="12" t="n"/>
    </row>
    <row r="1188">
      <c r="A1188" s="12" t="n"/>
      <c r="B1188" s="13">
        <f>IF($A1188="","",IFERROR(INDEX(Emp_Names,MATCH($A1188,Emp_Codes,0)),"NOT FOUND"))</f>
        <v/>
      </c>
      <c r="C1188" s="14" t="n"/>
      <c r="D1188" s="15" t="n"/>
      <c r="E1188" s="15" t="n"/>
      <c r="F1188" s="15" t="n"/>
      <c r="G1188" s="15" t="n"/>
      <c r="H1188" s="16">
        <f>IF($A1188="","",$D1188+IF($E1188="",0,$E1188)+IF($F1188="",0,$F1188)-IF($G1188="",0,$G1188))</f>
        <v/>
      </c>
      <c r="I1188" s="12" t="n"/>
      <c r="J1188" s="12" t="n"/>
      <c r="K1188" s="12" t="n"/>
      <c r="L1188" s="14" t="n"/>
      <c r="M1188" s="12" t="n"/>
      <c r="N1188" s="12" t="n"/>
      <c r="O1188" s="12" t="n"/>
    </row>
    <row r="1189">
      <c r="A1189" s="12" t="n"/>
      <c r="B1189" s="13">
        <f>IF($A1189="","",IFERROR(INDEX(Emp_Names,MATCH($A1189,Emp_Codes,0)),"NOT FOUND"))</f>
        <v/>
      </c>
      <c r="C1189" s="14" t="n"/>
      <c r="D1189" s="15" t="n"/>
      <c r="E1189" s="15" t="n"/>
      <c r="F1189" s="15" t="n"/>
      <c r="G1189" s="15" t="n"/>
      <c r="H1189" s="16">
        <f>IF($A1189="","",$D1189+IF($E1189="",0,$E1189)+IF($F1189="",0,$F1189)-IF($G1189="",0,$G1189))</f>
        <v/>
      </c>
      <c r="I1189" s="12" t="n"/>
      <c r="J1189" s="12" t="n"/>
      <c r="K1189" s="12" t="n"/>
      <c r="L1189" s="14" t="n"/>
      <c r="M1189" s="12" t="n"/>
      <c r="N1189" s="12" t="n"/>
      <c r="O1189" s="12" t="n"/>
    </row>
    <row r="1190">
      <c r="A1190" s="12" t="n"/>
      <c r="B1190" s="13">
        <f>IF($A1190="","",IFERROR(INDEX(Emp_Names,MATCH($A1190,Emp_Codes,0)),"NOT FOUND"))</f>
        <v/>
      </c>
      <c r="C1190" s="14" t="n"/>
      <c r="D1190" s="15" t="n"/>
      <c r="E1190" s="15" t="n"/>
      <c r="F1190" s="15" t="n"/>
      <c r="G1190" s="15" t="n"/>
      <c r="H1190" s="16">
        <f>IF($A1190="","",$D1190+IF($E1190="",0,$E1190)+IF($F1190="",0,$F1190)-IF($G1190="",0,$G1190))</f>
        <v/>
      </c>
      <c r="I1190" s="12" t="n"/>
      <c r="J1190" s="12" t="n"/>
      <c r="K1190" s="12" t="n"/>
      <c r="L1190" s="14" t="n"/>
      <c r="M1190" s="12" t="n"/>
      <c r="N1190" s="12" t="n"/>
      <c r="O1190" s="12" t="n"/>
    </row>
    <row r="1191">
      <c r="A1191" s="12" t="n"/>
      <c r="B1191" s="13">
        <f>IF($A1191="","",IFERROR(INDEX(Emp_Names,MATCH($A1191,Emp_Codes,0)),"NOT FOUND"))</f>
        <v/>
      </c>
      <c r="C1191" s="14" t="n"/>
      <c r="D1191" s="15" t="n"/>
      <c r="E1191" s="15" t="n"/>
      <c r="F1191" s="15" t="n"/>
      <c r="G1191" s="15" t="n"/>
      <c r="H1191" s="16">
        <f>IF($A1191="","",$D1191+IF($E1191="",0,$E1191)+IF($F1191="",0,$F1191)-IF($G1191="",0,$G1191))</f>
        <v/>
      </c>
      <c r="I1191" s="12" t="n"/>
      <c r="J1191" s="12" t="n"/>
      <c r="K1191" s="12" t="n"/>
      <c r="L1191" s="14" t="n"/>
      <c r="M1191" s="12" t="n"/>
      <c r="N1191" s="12" t="n"/>
      <c r="O1191" s="12" t="n"/>
    </row>
    <row r="1192">
      <c r="A1192" s="12" t="n"/>
      <c r="B1192" s="13">
        <f>IF($A1192="","",IFERROR(INDEX(Emp_Names,MATCH($A1192,Emp_Codes,0)),"NOT FOUND"))</f>
        <v/>
      </c>
      <c r="C1192" s="14" t="n"/>
      <c r="D1192" s="15" t="n"/>
      <c r="E1192" s="15" t="n"/>
      <c r="F1192" s="15" t="n"/>
      <c r="G1192" s="15" t="n"/>
      <c r="H1192" s="16">
        <f>IF($A1192="","",$D1192+IF($E1192="",0,$E1192)+IF($F1192="",0,$F1192)-IF($G1192="",0,$G1192))</f>
        <v/>
      </c>
      <c r="I1192" s="12" t="n"/>
      <c r="J1192" s="12" t="n"/>
      <c r="K1192" s="12" t="n"/>
      <c r="L1192" s="14" t="n"/>
      <c r="M1192" s="12" t="n"/>
      <c r="N1192" s="12" t="n"/>
      <c r="O1192" s="12" t="n"/>
    </row>
    <row r="1193">
      <c r="A1193" s="12" t="n"/>
      <c r="B1193" s="13">
        <f>IF($A1193="","",IFERROR(INDEX(Emp_Names,MATCH($A1193,Emp_Codes,0)),"NOT FOUND"))</f>
        <v/>
      </c>
      <c r="C1193" s="14" t="n"/>
      <c r="D1193" s="15" t="n"/>
      <c r="E1193" s="15" t="n"/>
      <c r="F1193" s="15" t="n"/>
      <c r="G1193" s="15" t="n"/>
      <c r="H1193" s="16">
        <f>IF($A1193="","",$D1193+IF($E1193="",0,$E1193)+IF($F1193="",0,$F1193)-IF($G1193="",0,$G1193))</f>
        <v/>
      </c>
      <c r="I1193" s="12" t="n"/>
      <c r="J1193" s="12" t="n"/>
      <c r="K1193" s="12" t="n"/>
      <c r="L1193" s="14" t="n"/>
      <c r="M1193" s="12" t="n"/>
      <c r="N1193" s="12" t="n"/>
      <c r="O1193" s="12" t="n"/>
    </row>
    <row r="1194">
      <c r="A1194" s="12" t="n"/>
      <c r="B1194" s="13">
        <f>IF($A1194="","",IFERROR(INDEX(Emp_Names,MATCH($A1194,Emp_Codes,0)),"NOT FOUND"))</f>
        <v/>
      </c>
      <c r="C1194" s="14" t="n"/>
      <c r="D1194" s="15" t="n"/>
      <c r="E1194" s="15" t="n"/>
      <c r="F1194" s="15" t="n"/>
      <c r="G1194" s="15" t="n"/>
      <c r="H1194" s="16">
        <f>IF($A1194="","",$D1194+IF($E1194="",0,$E1194)+IF($F1194="",0,$F1194)-IF($G1194="",0,$G1194))</f>
        <v/>
      </c>
      <c r="I1194" s="12" t="n"/>
      <c r="J1194" s="12" t="n"/>
      <c r="K1194" s="12" t="n"/>
      <c r="L1194" s="14" t="n"/>
      <c r="M1194" s="12" t="n"/>
      <c r="N1194" s="12" t="n"/>
      <c r="O1194" s="12" t="n"/>
    </row>
    <row r="1195">
      <c r="A1195" s="12" t="n"/>
      <c r="B1195" s="13">
        <f>IF($A1195="","",IFERROR(INDEX(Emp_Names,MATCH($A1195,Emp_Codes,0)),"NOT FOUND"))</f>
        <v/>
      </c>
      <c r="C1195" s="14" t="n"/>
      <c r="D1195" s="15" t="n"/>
      <c r="E1195" s="15" t="n"/>
      <c r="F1195" s="15" t="n"/>
      <c r="G1195" s="15" t="n"/>
      <c r="H1195" s="16">
        <f>IF($A1195="","",$D1195+IF($E1195="",0,$E1195)+IF($F1195="",0,$F1195)-IF($G1195="",0,$G1195))</f>
        <v/>
      </c>
      <c r="I1195" s="12" t="n"/>
      <c r="J1195" s="12" t="n"/>
      <c r="K1195" s="12" t="n"/>
      <c r="L1195" s="14" t="n"/>
      <c r="M1195" s="12" t="n"/>
      <c r="N1195" s="12" t="n"/>
      <c r="O1195" s="12" t="n"/>
    </row>
    <row r="1196">
      <c r="A1196" s="12" t="n"/>
      <c r="B1196" s="13">
        <f>IF($A1196="","",IFERROR(INDEX(Emp_Names,MATCH($A1196,Emp_Codes,0)),"NOT FOUND"))</f>
        <v/>
      </c>
      <c r="C1196" s="14" t="n"/>
      <c r="D1196" s="15" t="n"/>
      <c r="E1196" s="15" t="n"/>
      <c r="F1196" s="15" t="n"/>
      <c r="G1196" s="15" t="n"/>
      <c r="H1196" s="16">
        <f>IF($A1196="","",$D1196+IF($E1196="",0,$E1196)+IF($F1196="",0,$F1196)-IF($G1196="",0,$G1196))</f>
        <v/>
      </c>
      <c r="I1196" s="12" t="n"/>
      <c r="J1196" s="12" t="n"/>
      <c r="K1196" s="12" t="n"/>
      <c r="L1196" s="14" t="n"/>
      <c r="M1196" s="12" t="n"/>
      <c r="N1196" s="12" t="n"/>
      <c r="O1196" s="12" t="n"/>
    </row>
    <row r="1197">
      <c r="A1197" s="12" t="n"/>
      <c r="B1197" s="13">
        <f>IF($A1197="","",IFERROR(INDEX(Emp_Names,MATCH($A1197,Emp_Codes,0)),"NOT FOUND"))</f>
        <v/>
      </c>
      <c r="C1197" s="14" t="n"/>
      <c r="D1197" s="15" t="n"/>
      <c r="E1197" s="15" t="n"/>
      <c r="F1197" s="15" t="n"/>
      <c r="G1197" s="15" t="n"/>
      <c r="H1197" s="16">
        <f>IF($A1197="","",$D1197+IF($E1197="",0,$E1197)+IF($F1197="",0,$F1197)-IF($G1197="",0,$G1197))</f>
        <v/>
      </c>
      <c r="I1197" s="12" t="n"/>
      <c r="J1197" s="12" t="n"/>
      <c r="K1197" s="12" t="n"/>
      <c r="L1197" s="14" t="n"/>
      <c r="M1197" s="12" t="n"/>
      <c r="N1197" s="12" t="n"/>
      <c r="O1197" s="12" t="n"/>
    </row>
    <row r="1198">
      <c r="A1198" s="12" t="n"/>
      <c r="B1198" s="13">
        <f>IF($A1198="","",IFERROR(INDEX(Emp_Names,MATCH($A1198,Emp_Codes,0)),"NOT FOUND"))</f>
        <v/>
      </c>
      <c r="C1198" s="14" t="n"/>
      <c r="D1198" s="15" t="n"/>
      <c r="E1198" s="15" t="n"/>
      <c r="F1198" s="15" t="n"/>
      <c r="G1198" s="15" t="n"/>
      <c r="H1198" s="16">
        <f>IF($A1198="","",$D1198+IF($E1198="",0,$E1198)+IF($F1198="",0,$F1198)-IF($G1198="",0,$G1198))</f>
        <v/>
      </c>
      <c r="I1198" s="12" t="n"/>
      <c r="J1198" s="12" t="n"/>
      <c r="K1198" s="12" t="n"/>
      <c r="L1198" s="14" t="n"/>
      <c r="M1198" s="12" t="n"/>
      <c r="N1198" s="12" t="n"/>
      <c r="O1198" s="12" t="n"/>
    </row>
    <row r="1199">
      <c r="A1199" s="12" t="n"/>
      <c r="B1199" s="13">
        <f>IF($A1199="","",IFERROR(INDEX(Emp_Names,MATCH($A1199,Emp_Codes,0)),"NOT FOUND"))</f>
        <v/>
      </c>
      <c r="C1199" s="14" t="n"/>
      <c r="D1199" s="15" t="n"/>
      <c r="E1199" s="15" t="n"/>
      <c r="F1199" s="15" t="n"/>
      <c r="G1199" s="15" t="n"/>
      <c r="H1199" s="16">
        <f>IF($A1199="","",$D1199+IF($E1199="",0,$E1199)+IF($F1199="",0,$F1199)-IF($G1199="",0,$G1199))</f>
        <v/>
      </c>
      <c r="I1199" s="12" t="n"/>
      <c r="J1199" s="12" t="n"/>
      <c r="K1199" s="12" t="n"/>
      <c r="L1199" s="14" t="n"/>
      <c r="M1199" s="12" t="n"/>
      <c r="N1199" s="12" t="n"/>
      <c r="O1199" s="12" t="n"/>
    </row>
    <row r="1200">
      <c r="A1200" s="12" t="n"/>
      <c r="B1200" s="13">
        <f>IF($A1200="","",IFERROR(INDEX(Emp_Names,MATCH($A1200,Emp_Codes,0)),"NOT FOUND"))</f>
        <v/>
      </c>
      <c r="C1200" s="14" t="n"/>
      <c r="D1200" s="15" t="n"/>
      <c r="E1200" s="15" t="n"/>
      <c r="F1200" s="15" t="n"/>
      <c r="G1200" s="15" t="n"/>
      <c r="H1200" s="16">
        <f>IF($A1200="","",$D1200+IF($E1200="",0,$E1200)+IF($F1200="",0,$F1200)-IF($G1200="",0,$G1200))</f>
        <v/>
      </c>
      <c r="I1200" s="12" t="n"/>
      <c r="J1200" s="12" t="n"/>
      <c r="K1200" s="12" t="n"/>
      <c r="L1200" s="14" t="n"/>
      <c r="M1200" s="12" t="n"/>
      <c r="N1200" s="12" t="n"/>
      <c r="O1200" s="12" t="n"/>
    </row>
    <row r="1201">
      <c r="A1201" s="12" t="n"/>
      <c r="B1201" s="13">
        <f>IF($A1201="","",IFERROR(INDEX(Emp_Names,MATCH($A1201,Emp_Codes,0)),"NOT FOUND"))</f>
        <v/>
      </c>
      <c r="C1201" s="14" t="n"/>
      <c r="D1201" s="15" t="n"/>
      <c r="E1201" s="15" t="n"/>
      <c r="F1201" s="15" t="n"/>
      <c r="G1201" s="15" t="n"/>
      <c r="H1201" s="16">
        <f>IF($A1201="","",$D1201+IF($E1201="",0,$E1201)+IF($F1201="",0,$F1201)-IF($G1201="",0,$G1201))</f>
        <v/>
      </c>
      <c r="I1201" s="12" t="n"/>
      <c r="J1201" s="12" t="n"/>
      <c r="K1201" s="12" t="n"/>
      <c r="L1201" s="14" t="n"/>
      <c r="M1201" s="12" t="n"/>
      <c r="N1201" s="12" t="n"/>
      <c r="O1201" s="12" t="n"/>
    </row>
    <row r="1202">
      <c r="A1202" s="12" t="n"/>
      <c r="B1202" s="13">
        <f>IF($A1202="","",IFERROR(INDEX(Emp_Names,MATCH($A1202,Emp_Codes,0)),"NOT FOUND"))</f>
        <v/>
      </c>
      <c r="C1202" s="14" t="n"/>
      <c r="D1202" s="15" t="n"/>
      <c r="E1202" s="15" t="n"/>
      <c r="F1202" s="15" t="n"/>
      <c r="G1202" s="15" t="n"/>
      <c r="H1202" s="16">
        <f>IF($A1202="","",$D1202+IF($E1202="",0,$E1202)+IF($F1202="",0,$F1202)-IF($G1202="",0,$G1202))</f>
        <v/>
      </c>
      <c r="I1202" s="12" t="n"/>
      <c r="J1202" s="12" t="n"/>
      <c r="K1202" s="12" t="n"/>
      <c r="L1202" s="14" t="n"/>
      <c r="M1202" s="12" t="n"/>
      <c r="N1202" s="12" t="n"/>
      <c r="O1202" s="12" t="n"/>
    </row>
    <row r="1203">
      <c r="A1203" s="12" t="n"/>
      <c r="B1203" s="13">
        <f>IF($A1203="","",IFERROR(INDEX(Emp_Names,MATCH($A1203,Emp_Codes,0)),"NOT FOUND"))</f>
        <v/>
      </c>
      <c r="C1203" s="14" t="n"/>
      <c r="D1203" s="15" t="n"/>
      <c r="E1203" s="15" t="n"/>
      <c r="F1203" s="15" t="n"/>
      <c r="G1203" s="15" t="n"/>
      <c r="H1203" s="16">
        <f>IF($A1203="","",$D1203+IF($E1203="",0,$E1203)+IF($F1203="",0,$F1203)-IF($G1203="",0,$G1203))</f>
        <v/>
      </c>
      <c r="I1203" s="12" t="n"/>
      <c r="J1203" s="12" t="n"/>
      <c r="K1203" s="12" t="n"/>
      <c r="L1203" s="14" t="n"/>
      <c r="M1203" s="12" t="n"/>
      <c r="N1203" s="12" t="n"/>
      <c r="O1203" s="12" t="n"/>
    </row>
    <row r="1204">
      <c r="A1204" s="12" t="n"/>
      <c r="B1204" s="13">
        <f>IF($A1204="","",IFERROR(INDEX(Emp_Names,MATCH($A1204,Emp_Codes,0)),"NOT FOUND"))</f>
        <v/>
      </c>
      <c r="C1204" s="14" t="n"/>
      <c r="D1204" s="15" t="n"/>
      <c r="E1204" s="15" t="n"/>
      <c r="F1204" s="15" t="n"/>
      <c r="G1204" s="15" t="n"/>
      <c r="H1204" s="16">
        <f>IF($A1204="","",$D1204+IF($E1204="",0,$E1204)+IF($F1204="",0,$F1204)-IF($G1204="",0,$G1204))</f>
        <v/>
      </c>
      <c r="I1204" s="12" t="n"/>
      <c r="J1204" s="12" t="n"/>
      <c r="K1204" s="12" t="n"/>
      <c r="L1204" s="14" t="n"/>
      <c r="M1204" s="12" t="n"/>
      <c r="N1204" s="12" t="n"/>
      <c r="O1204" s="12" t="n"/>
    </row>
    <row r="1205">
      <c r="A1205" s="12" t="n"/>
      <c r="B1205" s="13">
        <f>IF($A1205="","",IFERROR(INDEX(Emp_Names,MATCH($A1205,Emp_Codes,0)),"NOT FOUND"))</f>
        <v/>
      </c>
      <c r="C1205" s="14" t="n"/>
      <c r="D1205" s="15" t="n"/>
      <c r="E1205" s="15" t="n"/>
      <c r="F1205" s="15" t="n"/>
      <c r="G1205" s="15" t="n"/>
      <c r="H1205" s="16">
        <f>IF($A1205="","",$D1205+IF($E1205="",0,$E1205)+IF($F1205="",0,$F1205)-IF($G1205="",0,$G1205))</f>
        <v/>
      </c>
      <c r="I1205" s="12" t="n"/>
      <c r="J1205" s="12" t="n"/>
      <c r="K1205" s="12" t="n"/>
      <c r="L1205" s="14" t="n"/>
      <c r="M1205" s="12" t="n"/>
      <c r="N1205" s="12" t="n"/>
      <c r="O1205" s="12" t="n"/>
    </row>
    <row r="1206">
      <c r="A1206" s="12" t="n"/>
      <c r="B1206" s="13">
        <f>IF($A1206="","",IFERROR(INDEX(Emp_Names,MATCH($A1206,Emp_Codes,0)),"NOT FOUND"))</f>
        <v/>
      </c>
      <c r="C1206" s="14" t="n"/>
      <c r="D1206" s="15" t="n"/>
      <c r="E1206" s="15" t="n"/>
      <c r="F1206" s="15" t="n"/>
      <c r="G1206" s="15" t="n"/>
      <c r="H1206" s="16">
        <f>IF($A1206="","",$D1206+IF($E1206="",0,$E1206)+IF($F1206="",0,$F1206)-IF($G1206="",0,$G1206))</f>
        <v/>
      </c>
      <c r="I1206" s="12" t="n"/>
      <c r="J1206" s="12" t="n"/>
      <c r="K1206" s="12" t="n"/>
      <c r="L1206" s="14" t="n"/>
      <c r="M1206" s="12" t="n"/>
      <c r="N1206" s="12" t="n"/>
      <c r="O1206" s="12" t="n"/>
    </row>
    <row r="1207">
      <c r="A1207" s="12" t="n"/>
      <c r="B1207" s="13">
        <f>IF($A1207="","",IFERROR(INDEX(Emp_Names,MATCH($A1207,Emp_Codes,0)),"NOT FOUND"))</f>
        <v/>
      </c>
      <c r="C1207" s="14" t="n"/>
      <c r="D1207" s="15" t="n"/>
      <c r="E1207" s="15" t="n"/>
      <c r="F1207" s="15" t="n"/>
      <c r="G1207" s="15" t="n"/>
      <c r="H1207" s="16">
        <f>IF($A1207="","",$D1207+IF($E1207="",0,$E1207)+IF($F1207="",0,$F1207)-IF($G1207="",0,$G1207))</f>
        <v/>
      </c>
      <c r="I1207" s="12" t="n"/>
      <c r="J1207" s="12" t="n"/>
      <c r="K1207" s="12" t="n"/>
      <c r="L1207" s="14" t="n"/>
      <c r="M1207" s="12" t="n"/>
      <c r="N1207" s="12" t="n"/>
      <c r="O1207" s="12" t="n"/>
    </row>
    <row r="1208">
      <c r="A1208" s="12" t="n"/>
      <c r="B1208" s="13">
        <f>IF($A1208="","",IFERROR(INDEX(Emp_Names,MATCH($A1208,Emp_Codes,0)),"NOT FOUND"))</f>
        <v/>
      </c>
      <c r="C1208" s="14" t="n"/>
      <c r="D1208" s="15" t="n"/>
      <c r="E1208" s="15" t="n"/>
      <c r="F1208" s="15" t="n"/>
      <c r="G1208" s="15" t="n"/>
      <c r="H1208" s="16">
        <f>IF($A1208="","",$D1208+IF($E1208="",0,$E1208)+IF($F1208="",0,$F1208)-IF($G1208="",0,$G1208))</f>
        <v/>
      </c>
      <c r="I1208" s="12" t="n"/>
      <c r="J1208" s="12" t="n"/>
      <c r="K1208" s="12" t="n"/>
      <c r="L1208" s="14" t="n"/>
      <c r="M1208" s="12" t="n"/>
      <c r="N1208" s="12" t="n"/>
      <c r="O1208" s="12" t="n"/>
    </row>
    <row r="1209">
      <c r="A1209" s="12" t="n"/>
      <c r="B1209" s="13">
        <f>IF($A1209="","",IFERROR(INDEX(Emp_Names,MATCH($A1209,Emp_Codes,0)),"NOT FOUND"))</f>
        <v/>
      </c>
      <c r="C1209" s="14" t="n"/>
      <c r="D1209" s="15" t="n"/>
      <c r="E1209" s="15" t="n"/>
      <c r="F1209" s="15" t="n"/>
      <c r="G1209" s="15" t="n"/>
      <c r="H1209" s="16">
        <f>IF($A1209="","",$D1209+IF($E1209="",0,$E1209)+IF($F1209="",0,$F1209)-IF($G1209="",0,$G1209))</f>
        <v/>
      </c>
      <c r="I1209" s="12" t="n"/>
      <c r="J1209" s="12" t="n"/>
      <c r="K1209" s="12" t="n"/>
      <c r="L1209" s="14" t="n"/>
      <c r="M1209" s="12" t="n"/>
      <c r="N1209" s="12" t="n"/>
      <c r="O1209" s="12" t="n"/>
    </row>
    <row r="1210">
      <c r="A1210" s="12" t="n"/>
      <c r="B1210" s="13">
        <f>IF($A1210="","",IFERROR(INDEX(Emp_Names,MATCH($A1210,Emp_Codes,0)),"NOT FOUND"))</f>
        <v/>
      </c>
      <c r="C1210" s="14" t="n"/>
      <c r="D1210" s="15" t="n"/>
      <c r="E1210" s="15" t="n"/>
      <c r="F1210" s="15" t="n"/>
      <c r="G1210" s="15" t="n"/>
      <c r="H1210" s="16">
        <f>IF($A1210="","",$D1210+IF($E1210="",0,$E1210)+IF($F1210="",0,$F1210)-IF($G1210="",0,$G1210))</f>
        <v/>
      </c>
      <c r="I1210" s="12" t="n"/>
      <c r="J1210" s="12" t="n"/>
      <c r="K1210" s="12" t="n"/>
      <c r="L1210" s="14" t="n"/>
      <c r="M1210" s="12" t="n"/>
      <c r="N1210" s="12" t="n"/>
      <c r="O1210" s="12" t="n"/>
    </row>
    <row r="1211">
      <c r="A1211" s="12" t="n"/>
      <c r="B1211" s="13">
        <f>IF($A1211="","",IFERROR(INDEX(Emp_Names,MATCH($A1211,Emp_Codes,0)),"NOT FOUND"))</f>
        <v/>
      </c>
      <c r="C1211" s="14" t="n"/>
      <c r="D1211" s="15" t="n"/>
      <c r="E1211" s="15" t="n"/>
      <c r="F1211" s="15" t="n"/>
      <c r="G1211" s="15" t="n"/>
      <c r="H1211" s="16">
        <f>IF($A1211="","",$D1211+IF($E1211="",0,$E1211)+IF($F1211="",0,$F1211)-IF($G1211="",0,$G1211))</f>
        <v/>
      </c>
      <c r="I1211" s="12" t="n"/>
      <c r="J1211" s="12" t="n"/>
      <c r="K1211" s="12" t="n"/>
      <c r="L1211" s="14" t="n"/>
      <c r="M1211" s="12" t="n"/>
      <c r="N1211" s="12" t="n"/>
      <c r="O1211" s="12" t="n"/>
    </row>
    <row r="1212">
      <c r="A1212" s="12" t="n"/>
      <c r="B1212" s="13">
        <f>IF($A1212="","",IFERROR(INDEX(Emp_Names,MATCH($A1212,Emp_Codes,0)),"NOT FOUND"))</f>
        <v/>
      </c>
      <c r="C1212" s="14" t="n"/>
      <c r="D1212" s="15" t="n"/>
      <c r="E1212" s="15" t="n"/>
      <c r="F1212" s="15" t="n"/>
      <c r="G1212" s="15" t="n"/>
      <c r="H1212" s="16">
        <f>IF($A1212="","",$D1212+IF($E1212="",0,$E1212)+IF($F1212="",0,$F1212)-IF($G1212="",0,$G1212))</f>
        <v/>
      </c>
      <c r="I1212" s="12" t="n"/>
      <c r="J1212" s="12" t="n"/>
      <c r="K1212" s="12" t="n"/>
      <c r="L1212" s="14" t="n"/>
      <c r="M1212" s="12" t="n"/>
      <c r="N1212" s="12" t="n"/>
      <c r="O1212" s="12" t="n"/>
    </row>
    <row r="1213">
      <c r="A1213" s="12" t="n"/>
      <c r="B1213" s="13">
        <f>IF($A1213="","",IFERROR(INDEX(Emp_Names,MATCH($A1213,Emp_Codes,0)),"NOT FOUND"))</f>
        <v/>
      </c>
      <c r="C1213" s="14" t="n"/>
      <c r="D1213" s="15" t="n"/>
      <c r="E1213" s="15" t="n"/>
      <c r="F1213" s="15" t="n"/>
      <c r="G1213" s="15" t="n"/>
      <c r="H1213" s="16">
        <f>IF($A1213="","",$D1213+IF($E1213="",0,$E1213)+IF($F1213="",0,$F1213)-IF($G1213="",0,$G1213))</f>
        <v/>
      </c>
      <c r="I1213" s="12" t="n"/>
      <c r="J1213" s="12" t="n"/>
      <c r="K1213" s="12" t="n"/>
      <c r="L1213" s="14" t="n"/>
      <c r="M1213" s="12" t="n"/>
      <c r="N1213" s="12" t="n"/>
      <c r="O1213" s="12" t="n"/>
    </row>
    <row r="1214">
      <c r="A1214" s="12" t="n"/>
      <c r="B1214" s="13">
        <f>IF($A1214="","",IFERROR(INDEX(Emp_Names,MATCH($A1214,Emp_Codes,0)),"NOT FOUND"))</f>
        <v/>
      </c>
      <c r="C1214" s="14" t="n"/>
      <c r="D1214" s="15" t="n"/>
      <c r="E1214" s="15" t="n"/>
      <c r="F1214" s="15" t="n"/>
      <c r="G1214" s="15" t="n"/>
      <c r="H1214" s="16">
        <f>IF($A1214="","",$D1214+IF($E1214="",0,$E1214)+IF($F1214="",0,$F1214)-IF($G1214="",0,$G1214))</f>
        <v/>
      </c>
      <c r="I1214" s="12" t="n"/>
      <c r="J1214" s="12" t="n"/>
      <c r="K1214" s="12" t="n"/>
      <c r="L1214" s="14" t="n"/>
      <c r="M1214" s="12" t="n"/>
      <c r="N1214" s="12" t="n"/>
      <c r="O1214" s="12" t="n"/>
    </row>
    <row r="1215">
      <c r="A1215" s="12" t="n"/>
      <c r="B1215" s="13">
        <f>IF($A1215="","",IFERROR(INDEX(Emp_Names,MATCH($A1215,Emp_Codes,0)),"NOT FOUND"))</f>
        <v/>
      </c>
      <c r="C1215" s="14" t="n"/>
      <c r="D1215" s="15" t="n"/>
      <c r="E1215" s="15" t="n"/>
      <c r="F1215" s="15" t="n"/>
      <c r="G1215" s="15" t="n"/>
      <c r="H1215" s="16">
        <f>IF($A1215="","",$D1215+IF($E1215="",0,$E1215)+IF($F1215="",0,$F1215)-IF($G1215="",0,$G1215))</f>
        <v/>
      </c>
      <c r="I1215" s="12" t="n"/>
      <c r="J1215" s="12" t="n"/>
      <c r="K1215" s="12" t="n"/>
      <c r="L1215" s="14" t="n"/>
      <c r="M1215" s="12" t="n"/>
      <c r="N1215" s="12" t="n"/>
      <c r="O1215" s="12" t="n"/>
    </row>
    <row r="1216">
      <c r="A1216" s="12" t="n"/>
      <c r="B1216" s="13">
        <f>IF($A1216="","",IFERROR(INDEX(Emp_Names,MATCH($A1216,Emp_Codes,0)),"NOT FOUND"))</f>
        <v/>
      </c>
      <c r="C1216" s="14" t="n"/>
      <c r="D1216" s="15" t="n"/>
      <c r="E1216" s="15" t="n"/>
      <c r="F1216" s="15" t="n"/>
      <c r="G1216" s="15" t="n"/>
      <c r="H1216" s="16">
        <f>IF($A1216="","",$D1216+IF($E1216="",0,$E1216)+IF($F1216="",0,$F1216)-IF($G1216="",0,$G1216))</f>
        <v/>
      </c>
      <c r="I1216" s="12" t="n"/>
      <c r="J1216" s="12" t="n"/>
      <c r="K1216" s="12" t="n"/>
      <c r="L1216" s="14" t="n"/>
      <c r="M1216" s="12" t="n"/>
      <c r="N1216" s="12" t="n"/>
      <c r="O1216" s="12" t="n"/>
    </row>
    <row r="1217">
      <c r="A1217" s="12" t="n"/>
      <c r="B1217" s="13">
        <f>IF($A1217="","",IFERROR(INDEX(Emp_Names,MATCH($A1217,Emp_Codes,0)),"NOT FOUND"))</f>
        <v/>
      </c>
      <c r="C1217" s="14" t="n"/>
      <c r="D1217" s="15" t="n"/>
      <c r="E1217" s="15" t="n"/>
      <c r="F1217" s="15" t="n"/>
      <c r="G1217" s="15" t="n"/>
      <c r="H1217" s="16">
        <f>IF($A1217="","",$D1217+IF($E1217="",0,$E1217)+IF($F1217="",0,$F1217)-IF($G1217="",0,$G1217))</f>
        <v/>
      </c>
      <c r="I1217" s="12" t="n"/>
      <c r="J1217" s="12" t="n"/>
      <c r="K1217" s="12" t="n"/>
      <c r="L1217" s="14" t="n"/>
      <c r="M1217" s="12" t="n"/>
      <c r="N1217" s="12" t="n"/>
      <c r="O1217" s="12" t="n"/>
    </row>
    <row r="1218">
      <c r="A1218" s="12" t="n"/>
      <c r="B1218" s="13">
        <f>IF($A1218="","",IFERROR(INDEX(Emp_Names,MATCH($A1218,Emp_Codes,0)),"NOT FOUND"))</f>
        <v/>
      </c>
      <c r="C1218" s="14" t="n"/>
      <c r="D1218" s="15" t="n"/>
      <c r="E1218" s="15" t="n"/>
      <c r="F1218" s="15" t="n"/>
      <c r="G1218" s="15" t="n"/>
      <c r="H1218" s="16">
        <f>IF($A1218="","",$D1218+IF($E1218="",0,$E1218)+IF($F1218="",0,$F1218)-IF($G1218="",0,$G1218))</f>
        <v/>
      </c>
      <c r="I1218" s="12" t="n"/>
      <c r="J1218" s="12" t="n"/>
      <c r="K1218" s="12" t="n"/>
      <c r="L1218" s="14" t="n"/>
      <c r="M1218" s="12" t="n"/>
      <c r="N1218" s="12" t="n"/>
      <c r="O1218" s="12" t="n"/>
    </row>
    <row r="1219">
      <c r="A1219" s="12" t="n"/>
      <c r="B1219" s="13">
        <f>IF($A1219="","",IFERROR(INDEX(Emp_Names,MATCH($A1219,Emp_Codes,0)),"NOT FOUND"))</f>
        <v/>
      </c>
      <c r="C1219" s="14" t="n"/>
      <c r="D1219" s="15" t="n"/>
      <c r="E1219" s="15" t="n"/>
      <c r="F1219" s="15" t="n"/>
      <c r="G1219" s="15" t="n"/>
      <c r="H1219" s="16">
        <f>IF($A1219="","",$D1219+IF($E1219="",0,$E1219)+IF($F1219="",0,$F1219)-IF($G1219="",0,$G1219))</f>
        <v/>
      </c>
      <c r="I1219" s="12" t="n"/>
      <c r="J1219" s="12" t="n"/>
      <c r="K1219" s="12" t="n"/>
      <c r="L1219" s="14" t="n"/>
      <c r="M1219" s="12" t="n"/>
      <c r="N1219" s="12" t="n"/>
      <c r="O1219" s="12" t="n"/>
    </row>
    <row r="1220">
      <c r="A1220" s="12" t="n"/>
      <c r="B1220" s="13">
        <f>IF($A1220="","",IFERROR(INDEX(Emp_Names,MATCH($A1220,Emp_Codes,0)),"NOT FOUND"))</f>
        <v/>
      </c>
      <c r="C1220" s="14" t="n"/>
      <c r="D1220" s="15" t="n"/>
      <c r="E1220" s="15" t="n"/>
      <c r="F1220" s="15" t="n"/>
      <c r="G1220" s="15" t="n"/>
      <c r="H1220" s="16">
        <f>IF($A1220="","",$D1220+IF($E1220="",0,$E1220)+IF($F1220="",0,$F1220)-IF($G1220="",0,$G1220))</f>
        <v/>
      </c>
      <c r="I1220" s="12" t="n"/>
      <c r="J1220" s="12" t="n"/>
      <c r="K1220" s="12" t="n"/>
      <c r="L1220" s="14" t="n"/>
      <c r="M1220" s="12" t="n"/>
      <c r="N1220" s="12" t="n"/>
      <c r="O1220" s="12" t="n"/>
    </row>
    <row r="1221">
      <c r="A1221" s="12" t="n"/>
      <c r="B1221" s="13">
        <f>IF($A1221="","",IFERROR(INDEX(Emp_Names,MATCH($A1221,Emp_Codes,0)),"NOT FOUND"))</f>
        <v/>
      </c>
      <c r="C1221" s="14" t="n"/>
      <c r="D1221" s="15" t="n"/>
      <c r="E1221" s="15" t="n"/>
      <c r="F1221" s="15" t="n"/>
      <c r="G1221" s="15" t="n"/>
      <c r="H1221" s="16">
        <f>IF($A1221="","",$D1221+IF($E1221="",0,$E1221)+IF($F1221="",0,$F1221)-IF($G1221="",0,$G1221))</f>
        <v/>
      </c>
      <c r="I1221" s="12" t="n"/>
      <c r="J1221" s="12" t="n"/>
      <c r="K1221" s="12" t="n"/>
      <c r="L1221" s="14" t="n"/>
      <c r="M1221" s="12" t="n"/>
      <c r="N1221" s="12" t="n"/>
      <c r="O1221" s="12" t="n"/>
    </row>
    <row r="1222">
      <c r="A1222" s="12" t="n"/>
      <c r="B1222" s="13">
        <f>IF($A1222="","",IFERROR(INDEX(Emp_Names,MATCH($A1222,Emp_Codes,0)),"NOT FOUND"))</f>
        <v/>
      </c>
      <c r="C1222" s="14" t="n"/>
      <c r="D1222" s="15" t="n"/>
      <c r="E1222" s="15" t="n"/>
      <c r="F1222" s="15" t="n"/>
      <c r="G1222" s="15" t="n"/>
      <c r="H1222" s="16">
        <f>IF($A1222="","",$D1222+IF($E1222="",0,$E1222)+IF($F1222="",0,$F1222)-IF($G1222="",0,$G1222))</f>
        <v/>
      </c>
      <c r="I1222" s="12" t="n"/>
      <c r="J1222" s="12" t="n"/>
      <c r="K1222" s="12" t="n"/>
      <c r="L1222" s="14" t="n"/>
      <c r="M1222" s="12" t="n"/>
      <c r="N1222" s="12" t="n"/>
      <c r="O1222" s="12" t="n"/>
    </row>
    <row r="1223">
      <c r="A1223" s="12" t="n"/>
      <c r="B1223" s="13">
        <f>IF($A1223="","",IFERROR(INDEX(Emp_Names,MATCH($A1223,Emp_Codes,0)),"NOT FOUND"))</f>
        <v/>
      </c>
      <c r="C1223" s="14" t="n"/>
      <c r="D1223" s="15" t="n"/>
      <c r="E1223" s="15" t="n"/>
      <c r="F1223" s="15" t="n"/>
      <c r="G1223" s="15" t="n"/>
      <c r="H1223" s="16">
        <f>IF($A1223="","",$D1223+IF($E1223="",0,$E1223)+IF($F1223="",0,$F1223)-IF($G1223="",0,$G1223))</f>
        <v/>
      </c>
      <c r="I1223" s="12" t="n"/>
      <c r="J1223" s="12" t="n"/>
      <c r="K1223" s="12" t="n"/>
      <c r="L1223" s="14" t="n"/>
      <c r="M1223" s="12" t="n"/>
      <c r="N1223" s="12" t="n"/>
      <c r="O1223" s="12" t="n"/>
    </row>
    <row r="1224">
      <c r="A1224" s="12" t="n"/>
      <c r="B1224" s="13">
        <f>IF($A1224="","",IFERROR(INDEX(Emp_Names,MATCH($A1224,Emp_Codes,0)),"NOT FOUND"))</f>
        <v/>
      </c>
      <c r="C1224" s="14" t="n"/>
      <c r="D1224" s="15" t="n"/>
      <c r="E1224" s="15" t="n"/>
      <c r="F1224" s="15" t="n"/>
      <c r="G1224" s="15" t="n"/>
      <c r="H1224" s="16">
        <f>IF($A1224="","",$D1224+IF($E1224="",0,$E1224)+IF($F1224="",0,$F1224)-IF($G1224="",0,$G1224))</f>
        <v/>
      </c>
      <c r="I1224" s="12" t="n"/>
      <c r="J1224" s="12" t="n"/>
      <c r="K1224" s="12" t="n"/>
      <c r="L1224" s="14" t="n"/>
      <c r="M1224" s="12" t="n"/>
      <c r="N1224" s="12" t="n"/>
      <c r="O1224" s="12" t="n"/>
    </row>
    <row r="1225">
      <c r="A1225" s="12" t="n"/>
      <c r="B1225" s="13">
        <f>IF($A1225="","",IFERROR(INDEX(Emp_Names,MATCH($A1225,Emp_Codes,0)),"NOT FOUND"))</f>
        <v/>
      </c>
      <c r="C1225" s="14" t="n"/>
      <c r="D1225" s="15" t="n"/>
      <c r="E1225" s="15" t="n"/>
      <c r="F1225" s="15" t="n"/>
      <c r="G1225" s="15" t="n"/>
      <c r="H1225" s="16">
        <f>IF($A1225="","",$D1225+IF($E1225="",0,$E1225)+IF($F1225="",0,$F1225)-IF($G1225="",0,$G1225))</f>
        <v/>
      </c>
      <c r="I1225" s="12" t="n"/>
      <c r="J1225" s="12" t="n"/>
      <c r="K1225" s="12" t="n"/>
      <c r="L1225" s="14" t="n"/>
      <c r="M1225" s="12" t="n"/>
      <c r="N1225" s="12" t="n"/>
      <c r="O1225" s="12" t="n"/>
    </row>
    <row r="1226">
      <c r="A1226" s="12" t="n"/>
      <c r="B1226" s="13">
        <f>IF($A1226="","",IFERROR(INDEX(Emp_Names,MATCH($A1226,Emp_Codes,0)),"NOT FOUND"))</f>
        <v/>
      </c>
      <c r="C1226" s="14" t="n"/>
      <c r="D1226" s="15" t="n"/>
      <c r="E1226" s="15" t="n"/>
      <c r="F1226" s="15" t="n"/>
      <c r="G1226" s="15" t="n"/>
      <c r="H1226" s="16">
        <f>IF($A1226="","",$D1226+IF($E1226="",0,$E1226)+IF($F1226="",0,$F1226)-IF($G1226="",0,$G1226))</f>
        <v/>
      </c>
      <c r="I1226" s="12" t="n"/>
      <c r="J1226" s="12" t="n"/>
      <c r="K1226" s="12" t="n"/>
      <c r="L1226" s="14" t="n"/>
      <c r="M1226" s="12" t="n"/>
      <c r="N1226" s="12" t="n"/>
      <c r="O1226" s="12" t="n"/>
    </row>
    <row r="1227">
      <c r="A1227" s="12" t="n"/>
      <c r="B1227" s="13">
        <f>IF($A1227="","",IFERROR(INDEX(Emp_Names,MATCH($A1227,Emp_Codes,0)),"NOT FOUND"))</f>
        <v/>
      </c>
      <c r="C1227" s="14" t="n"/>
      <c r="D1227" s="15" t="n"/>
      <c r="E1227" s="15" t="n"/>
      <c r="F1227" s="15" t="n"/>
      <c r="G1227" s="15" t="n"/>
      <c r="H1227" s="16">
        <f>IF($A1227="","",$D1227+IF($E1227="",0,$E1227)+IF($F1227="",0,$F1227)-IF($G1227="",0,$G1227))</f>
        <v/>
      </c>
      <c r="I1227" s="12" t="n"/>
      <c r="J1227" s="12" t="n"/>
      <c r="K1227" s="12" t="n"/>
      <c r="L1227" s="14" t="n"/>
      <c r="M1227" s="12" t="n"/>
      <c r="N1227" s="12" t="n"/>
      <c r="O1227" s="12" t="n"/>
    </row>
    <row r="1228">
      <c r="A1228" s="12" t="n"/>
      <c r="B1228" s="13">
        <f>IF($A1228="","",IFERROR(INDEX(Emp_Names,MATCH($A1228,Emp_Codes,0)),"NOT FOUND"))</f>
        <v/>
      </c>
      <c r="C1228" s="14" t="n"/>
      <c r="D1228" s="15" t="n"/>
      <c r="E1228" s="15" t="n"/>
      <c r="F1228" s="15" t="n"/>
      <c r="G1228" s="15" t="n"/>
      <c r="H1228" s="16">
        <f>IF($A1228="","",$D1228+IF($E1228="",0,$E1228)+IF($F1228="",0,$F1228)-IF($G1228="",0,$G1228))</f>
        <v/>
      </c>
      <c r="I1228" s="12" t="n"/>
      <c r="J1228" s="12" t="n"/>
      <c r="K1228" s="12" t="n"/>
      <c r="L1228" s="14" t="n"/>
      <c r="M1228" s="12" t="n"/>
      <c r="N1228" s="12" t="n"/>
      <c r="O1228" s="12" t="n"/>
    </row>
    <row r="1229">
      <c r="A1229" s="12" t="n"/>
      <c r="B1229" s="13">
        <f>IF($A1229="","",IFERROR(INDEX(Emp_Names,MATCH($A1229,Emp_Codes,0)),"NOT FOUND"))</f>
        <v/>
      </c>
      <c r="C1229" s="14" t="n"/>
      <c r="D1229" s="15" t="n"/>
      <c r="E1229" s="15" t="n"/>
      <c r="F1229" s="15" t="n"/>
      <c r="G1229" s="15" t="n"/>
      <c r="H1229" s="16">
        <f>IF($A1229="","",$D1229+IF($E1229="",0,$E1229)+IF($F1229="",0,$F1229)-IF($G1229="",0,$G1229))</f>
        <v/>
      </c>
      <c r="I1229" s="12" t="n"/>
      <c r="J1229" s="12" t="n"/>
      <c r="K1229" s="12" t="n"/>
      <c r="L1229" s="14" t="n"/>
      <c r="M1229" s="12" t="n"/>
      <c r="N1229" s="12" t="n"/>
      <c r="O1229" s="12" t="n"/>
    </row>
    <row r="1230">
      <c r="A1230" s="12" t="n"/>
      <c r="B1230" s="13">
        <f>IF($A1230="","",IFERROR(INDEX(Emp_Names,MATCH($A1230,Emp_Codes,0)),"NOT FOUND"))</f>
        <v/>
      </c>
      <c r="C1230" s="14" t="n"/>
      <c r="D1230" s="15" t="n"/>
      <c r="E1230" s="15" t="n"/>
      <c r="F1230" s="15" t="n"/>
      <c r="G1230" s="15" t="n"/>
      <c r="H1230" s="16">
        <f>IF($A1230="","",$D1230+IF($E1230="",0,$E1230)+IF($F1230="",0,$F1230)-IF($G1230="",0,$G1230))</f>
        <v/>
      </c>
      <c r="I1230" s="12" t="n"/>
      <c r="J1230" s="12" t="n"/>
      <c r="K1230" s="12" t="n"/>
      <c r="L1230" s="14" t="n"/>
      <c r="M1230" s="12" t="n"/>
      <c r="N1230" s="12" t="n"/>
      <c r="O1230" s="12" t="n"/>
    </row>
    <row r="1231">
      <c r="A1231" s="12" t="n"/>
      <c r="B1231" s="13">
        <f>IF($A1231="","",IFERROR(INDEX(Emp_Names,MATCH($A1231,Emp_Codes,0)),"NOT FOUND"))</f>
        <v/>
      </c>
      <c r="C1231" s="14" t="n"/>
      <c r="D1231" s="15" t="n"/>
      <c r="E1231" s="15" t="n"/>
      <c r="F1231" s="15" t="n"/>
      <c r="G1231" s="15" t="n"/>
      <c r="H1231" s="16">
        <f>IF($A1231="","",$D1231+IF($E1231="",0,$E1231)+IF($F1231="",0,$F1231)-IF($G1231="",0,$G1231))</f>
        <v/>
      </c>
      <c r="I1231" s="12" t="n"/>
      <c r="J1231" s="12" t="n"/>
      <c r="K1231" s="12" t="n"/>
      <c r="L1231" s="14" t="n"/>
      <c r="M1231" s="12" t="n"/>
      <c r="N1231" s="12" t="n"/>
      <c r="O1231" s="12" t="n"/>
    </row>
    <row r="1232">
      <c r="A1232" s="12" t="n"/>
      <c r="B1232" s="13">
        <f>IF($A1232="","",IFERROR(INDEX(Emp_Names,MATCH($A1232,Emp_Codes,0)),"NOT FOUND"))</f>
        <v/>
      </c>
      <c r="C1232" s="14" t="n"/>
      <c r="D1232" s="15" t="n"/>
      <c r="E1232" s="15" t="n"/>
      <c r="F1232" s="15" t="n"/>
      <c r="G1232" s="15" t="n"/>
      <c r="H1232" s="16">
        <f>IF($A1232="","",$D1232+IF($E1232="",0,$E1232)+IF($F1232="",0,$F1232)-IF($G1232="",0,$G1232))</f>
        <v/>
      </c>
      <c r="I1232" s="12" t="n"/>
      <c r="J1232" s="12" t="n"/>
      <c r="K1232" s="12" t="n"/>
      <c r="L1232" s="14" t="n"/>
      <c r="M1232" s="12" t="n"/>
      <c r="N1232" s="12" t="n"/>
      <c r="O1232" s="12" t="n"/>
    </row>
    <row r="1233">
      <c r="A1233" s="12" t="n"/>
      <c r="B1233" s="13">
        <f>IF($A1233="","",IFERROR(INDEX(Emp_Names,MATCH($A1233,Emp_Codes,0)),"NOT FOUND"))</f>
        <v/>
      </c>
      <c r="C1233" s="14" t="n"/>
      <c r="D1233" s="15" t="n"/>
      <c r="E1233" s="15" t="n"/>
      <c r="F1233" s="15" t="n"/>
      <c r="G1233" s="15" t="n"/>
      <c r="H1233" s="16">
        <f>IF($A1233="","",$D1233+IF($E1233="",0,$E1233)+IF($F1233="",0,$F1233)-IF($G1233="",0,$G1233))</f>
        <v/>
      </c>
      <c r="I1233" s="12" t="n"/>
      <c r="J1233" s="12" t="n"/>
      <c r="K1233" s="12" t="n"/>
      <c r="L1233" s="14" t="n"/>
      <c r="M1233" s="12" t="n"/>
      <c r="N1233" s="12" t="n"/>
      <c r="O1233" s="12" t="n"/>
    </row>
    <row r="1234">
      <c r="A1234" s="12" t="n"/>
      <c r="B1234" s="13">
        <f>IF($A1234="","",IFERROR(INDEX(Emp_Names,MATCH($A1234,Emp_Codes,0)),"NOT FOUND"))</f>
        <v/>
      </c>
      <c r="C1234" s="14" t="n"/>
      <c r="D1234" s="15" t="n"/>
      <c r="E1234" s="15" t="n"/>
      <c r="F1234" s="15" t="n"/>
      <c r="G1234" s="15" t="n"/>
      <c r="H1234" s="16">
        <f>IF($A1234="","",$D1234+IF($E1234="",0,$E1234)+IF($F1234="",0,$F1234)-IF($G1234="",0,$G1234))</f>
        <v/>
      </c>
      <c r="I1234" s="12" t="n"/>
      <c r="J1234" s="12" t="n"/>
      <c r="K1234" s="12" t="n"/>
      <c r="L1234" s="14" t="n"/>
      <c r="M1234" s="12" t="n"/>
      <c r="N1234" s="12" t="n"/>
      <c r="O1234" s="12" t="n"/>
    </row>
    <row r="1235">
      <c r="A1235" s="12" t="n"/>
      <c r="B1235" s="13">
        <f>IF($A1235="","",IFERROR(INDEX(Emp_Names,MATCH($A1235,Emp_Codes,0)),"NOT FOUND"))</f>
        <v/>
      </c>
      <c r="C1235" s="14" t="n"/>
      <c r="D1235" s="15" t="n"/>
      <c r="E1235" s="15" t="n"/>
      <c r="F1235" s="15" t="n"/>
      <c r="G1235" s="15" t="n"/>
      <c r="H1235" s="16">
        <f>IF($A1235="","",$D1235+IF($E1235="",0,$E1235)+IF($F1235="",0,$F1235)-IF($G1235="",0,$G1235))</f>
        <v/>
      </c>
      <c r="I1235" s="12" t="n"/>
      <c r="J1235" s="12" t="n"/>
      <c r="K1235" s="12" t="n"/>
      <c r="L1235" s="14" t="n"/>
      <c r="M1235" s="12" t="n"/>
      <c r="N1235" s="12" t="n"/>
      <c r="O1235" s="12" t="n"/>
    </row>
    <row r="1236">
      <c r="A1236" s="12" t="n"/>
      <c r="B1236" s="13">
        <f>IF($A1236="","",IFERROR(INDEX(Emp_Names,MATCH($A1236,Emp_Codes,0)),"NOT FOUND"))</f>
        <v/>
      </c>
      <c r="C1236" s="14" t="n"/>
      <c r="D1236" s="15" t="n"/>
      <c r="E1236" s="15" t="n"/>
      <c r="F1236" s="15" t="n"/>
      <c r="G1236" s="15" t="n"/>
      <c r="H1236" s="16">
        <f>IF($A1236="","",$D1236+IF($E1236="",0,$E1236)+IF($F1236="",0,$F1236)-IF($G1236="",0,$G1236))</f>
        <v/>
      </c>
      <c r="I1236" s="12" t="n"/>
      <c r="J1236" s="12" t="n"/>
      <c r="K1236" s="12" t="n"/>
      <c r="L1236" s="14" t="n"/>
      <c r="M1236" s="12" t="n"/>
      <c r="N1236" s="12" t="n"/>
      <c r="O1236" s="12" t="n"/>
    </row>
    <row r="1237">
      <c r="A1237" s="12" t="n"/>
      <c r="B1237" s="13">
        <f>IF($A1237="","",IFERROR(INDEX(Emp_Names,MATCH($A1237,Emp_Codes,0)),"NOT FOUND"))</f>
        <v/>
      </c>
      <c r="C1237" s="14" t="n"/>
      <c r="D1237" s="15" t="n"/>
      <c r="E1237" s="15" t="n"/>
      <c r="F1237" s="15" t="n"/>
      <c r="G1237" s="15" t="n"/>
      <c r="H1237" s="16">
        <f>IF($A1237="","",$D1237+IF($E1237="",0,$E1237)+IF($F1237="",0,$F1237)-IF($G1237="",0,$G1237))</f>
        <v/>
      </c>
      <c r="I1237" s="12" t="n"/>
      <c r="J1237" s="12" t="n"/>
      <c r="K1237" s="12" t="n"/>
      <c r="L1237" s="14" t="n"/>
      <c r="M1237" s="12" t="n"/>
      <c r="N1237" s="12" t="n"/>
      <c r="O1237" s="12" t="n"/>
    </row>
    <row r="1238">
      <c r="A1238" s="12" t="n"/>
      <c r="B1238" s="13">
        <f>IF($A1238="","",IFERROR(INDEX(Emp_Names,MATCH($A1238,Emp_Codes,0)),"NOT FOUND"))</f>
        <v/>
      </c>
      <c r="C1238" s="14" t="n"/>
      <c r="D1238" s="15" t="n"/>
      <c r="E1238" s="15" t="n"/>
      <c r="F1238" s="15" t="n"/>
      <c r="G1238" s="15" t="n"/>
      <c r="H1238" s="16">
        <f>IF($A1238="","",$D1238+IF($E1238="",0,$E1238)+IF($F1238="",0,$F1238)-IF($G1238="",0,$G1238))</f>
        <v/>
      </c>
      <c r="I1238" s="12" t="n"/>
      <c r="J1238" s="12" t="n"/>
      <c r="K1238" s="12" t="n"/>
      <c r="L1238" s="14" t="n"/>
      <c r="M1238" s="12" t="n"/>
      <c r="N1238" s="12" t="n"/>
      <c r="O1238" s="12" t="n"/>
    </row>
    <row r="1239">
      <c r="A1239" s="12" t="n"/>
      <c r="B1239" s="13">
        <f>IF($A1239="","",IFERROR(INDEX(Emp_Names,MATCH($A1239,Emp_Codes,0)),"NOT FOUND"))</f>
        <v/>
      </c>
      <c r="C1239" s="14" t="n"/>
      <c r="D1239" s="15" t="n"/>
      <c r="E1239" s="15" t="n"/>
      <c r="F1239" s="15" t="n"/>
      <c r="G1239" s="15" t="n"/>
      <c r="H1239" s="16">
        <f>IF($A1239="","",$D1239+IF($E1239="",0,$E1239)+IF($F1239="",0,$F1239)-IF($G1239="",0,$G1239))</f>
        <v/>
      </c>
      <c r="I1239" s="12" t="n"/>
      <c r="J1239" s="12" t="n"/>
      <c r="K1239" s="12" t="n"/>
      <c r="L1239" s="14" t="n"/>
      <c r="M1239" s="12" t="n"/>
      <c r="N1239" s="12" t="n"/>
      <c r="O1239" s="12" t="n"/>
    </row>
    <row r="1240">
      <c r="A1240" s="12" t="n"/>
      <c r="B1240" s="13">
        <f>IF($A1240="","",IFERROR(INDEX(Emp_Names,MATCH($A1240,Emp_Codes,0)),"NOT FOUND"))</f>
        <v/>
      </c>
      <c r="C1240" s="14" t="n"/>
      <c r="D1240" s="15" t="n"/>
      <c r="E1240" s="15" t="n"/>
      <c r="F1240" s="15" t="n"/>
      <c r="G1240" s="15" t="n"/>
      <c r="H1240" s="16">
        <f>IF($A1240="","",$D1240+IF($E1240="",0,$E1240)+IF($F1240="",0,$F1240)-IF($G1240="",0,$G1240))</f>
        <v/>
      </c>
      <c r="I1240" s="12" t="n"/>
      <c r="J1240" s="12" t="n"/>
      <c r="K1240" s="12" t="n"/>
      <c r="L1240" s="14" t="n"/>
      <c r="M1240" s="12" t="n"/>
      <c r="N1240" s="12" t="n"/>
      <c r="O1240" s="12" t="n"/>
    </row>
    <row r="1241">
      <c r="A1241" s="12" t="n"/>
      <c r="B1241" s="13">
        <f>IF($A1241="","",IFERROR(INDEX(Emp_Names,MATCH($A1241,Emp_Codes,0)),"NOT FOUND"))</f>
        <v/>
      </c>
      <c r="C1241" s="14" t="n"/>
      <c r="D1241" s="15" t="n"/>
      <c r="E1241" s="15" t="n"/>
      <c r="F1241" s="15" t="n"/>
      <c r="G1241" s="15" t="n"/>
      <c r="H1241" s="16">
        <f>IF($A1241="","",$D1241+IF($E1241="",0,$E1241)+IF($F1241="",0,$F1241)-IF($G1241="",0,$G1241))</f>
        <v/>
      </c>
      <c r="I1241" s="12" t="n"/>
      <c r="J1241" s="12" t="n"/>
      <c r="K1241" s="12" t="n"/>
      <c r="L1241" s="14" t="n"/>
      <c r="M1241" s="12" t="n"/>
      <c r="N1241" s="12" t="n"/>
      <c r="O1241" s="12" t="n"/>
    </row>
    <row r="1242">
      <c r="A1242" s="12" t="n"/>
      <c r="B1242" s="13">
        <f>IF($A1242="","",IFERROR(INDEX(Emp_Names,MATCH($A1242,Emp_Codes,0)),"NOT FOUND"))</f>
        <v/>
      </c>
      <c r="C1242" s="14" t="n"/>
      <c r="D1242" s="15" t="n"/>
      <c r="E1242" s="15" t="n"/>
      <c r="F1242" s="15" t="n"/>
      <c r="G1242" s="15" t="n"/>
      <c r="H1242" s="16">
        <f>IF($A1242="","",$D1242+IF($E1242="",0,$E1242)+IF($F1242="",0,$F1242)-IF($G1242="",0,$G1242))</f>
        <v/>
      </c>
      <c r="I1242" s="12" t="n"/>
      <c r="J1242" s="12" t="n"/>
      <c r="K1242" s="12" t="n"/>
      <c r="L1242" s="14" t="n"/>
      <c r="M1242" s="12" t="n"/>
      <c r="N1242" s="12" t="n"/>
      <c r="O1242" s="12" t="n"/>
    </row>
    <row r="1243">
      <c r="A1243" s="12" t="n"/>
      <c r="B1243" s="13">
        <f>IF($A1243="","",IFERROR(INDEX(Emp_Names,MATCH($A1243,Emp_Codes,0)),"NOT FOUND"))</f>
        <v/>
      </c>
      <c r="C1243" s="14" t="n"/>
      <c r="D1243" s="15" t="n"/>
      <c r="E1243" s="15" t="n"/>
      <c r="F1243" s="15" t="n"/>
      <c r="G1243" s="15" t="n"/>
      <c r="H1243" s="16">
        <f>IF($A1243="","",$D1243+IF($E1243="",0,$E1243)+IF($F1243="",0,$F1243)-IF($G1243="",0,$G1243))</f>
        <v/>
      </c>
      <c r="I1243" s="12" t="n"/>
      <c r="J1243" s="12" t="n"/>
      <c r="K1243" s="12" t="n"/>
      <c r="L1243" s="14" t="n"/>
      <c r="M1243" s="12" t="n"/>
      <c r="N1243" s="12" t="n"/>
      <c r="O1243" s="12" t="n"/>
    </row>
    <row r="1244">
      <c r="A1244" s="12" t="n"/>
      <c r="B1244" s="13">
        <f>IF($A1244="","",IFERROR(INDEX(Emp_Names,MATCH($A1244,Emp_Codes,0)),"NOT FOUND"))</f>
        <v/>
      </c>
      <c r="C1244" s="14" t="n"/>
      <c r="D1244" s="15" t="n"/>
      <c r="E1244" s="15" t="n"/>
      <c r="F1244" s="15" t="n"/>
      <c r="G1244" s="15" t="n"/>
      <c r="H1244" s="16">
        <f>IF($A1244="","",$D1244+IF($E1244="",0,$E1244)+IF($F1244="",0,$F1244)-IF($G1244="",0,$G1244))</f>
        <v/>
      </c>
      <c r="I1244" s="12" t="n"/>
      <c r="J1244" s="12" t="n"/>
      <c r="K1244" s="12" t="n"/>
      <c r="L1244" s="14" t="n"/>
      <c r="M1244" s="12" t="n"/>
      <c r="N1244" s="12" t="n"/>
      <c r="O1244" s="12" t="n"/>
    </row>
    <row r="1245">
      <c r="A1245" s="12" t="n"/>
      <c r="B1245" s="13">
        <f>IF($A1245="","",IFERROR(INDEX(Emp_Names,MATCH($A1245,Emp_Codes,0)),"NOT FOUND"))</f>
        <v/>
      </c>
      <c r="C1245" s="14" t="n"/>
      <c r="D1245" s="15" t="n"/>
      <c r="E1245" s="15" t="n"/>
      <c r="F1245" s="15" t="n"/>
      <c r="G1245" s="15" t="n"/>
      <c r="H1245" s="16">
        <f>IF($A1245="","",$D1245+IF($E1245="",0,$E1245)+IF($F1245="",0,$F1245)-IF($G1245="",0,$G1245))</f>
        <v/>
      </c>
      <c r="I1245" s="12" t="n"/>
      <c r="J1245" s="12" t="n"/>
      <c r="K1245" s="12" t="n"/>
      <c r="L1245" s="14" t="n"/>
      <c r="M1245" s="12" t="n"/>
      <c r="N1245" s="12" t="n"/>
      <c r="O1245" s="12" t="n"/>
    </row>
    <row r="1246">
      <c r="A1246" s="12" t="n"/>
      <c r="B1246" s="13">
        <f>IF($A1246="","",IFERROR(INDEX(Emp_Names,MATCH($A1246,Emp_Codes,0)),"NOT FOUND"))</f>
        <v/>
      </c>
      <c r="C1246" s="14" t="n"/>
      <c r="D1246" s="15" t="n"/>
      <c r="E1246" s="15" t="n"/>
      <c r="F1246" s="15" t="n"/>
      <c r="G1246" s="15" t="n"/>
      <c r="H1246" s="16">
        <f>IF($A1246="","",$D1246+IF($E1246="",0,$E1246)+IF($F1246="",0,$F1246)-IF($G1246="",0,$G1246))</f>
        <v/>
      </c>
      <c r="I1246" s="12" t="n"/>
      <c r="J1246" s="12" t="n"/>
      <c r="K1246" s="12" t="n"/>
      <c r="L1246" s="14" t="n"/>
      <c r="M1246" s="12" t="n"/>
      <c r="N1246" s="12" t="n"/>
      <c r="O1246" s="12" t="n"/>
    </row>
    <row r="1247">
      <c r="A1247" s="12" t="n"/>
      <c r="B1247" s="13">
        <f>IF($A1247="","",IFERROR(INDEX(Emp_Names,MATCH($A1247,Emp_Codes,0)),"NOT FOUND"))</f>
        <v/>
      </c>
      <c r="C1247" s="14" t="n"/>
      <c r="D1247" s="15" t="n"/>
      <c r="E1247" s="15" t="n"/>
      <c r="F1247" s="15" t="n"/>
      <c r="G1247" s="15" t="n"/>
      <c r="H1247" s="16">
        <f>IF($A1247="","",$D1247+IF($E1247="",0,$E1247)+IF($F1247="",0,$F1247)-IF($G1247="",0,$G1247))</f>
        <v/>
      </c>
      <c r="I1247" s="12" t="n"/>
      <c r="J1247" s="12" t="n"/>
      <c r="K1247" s="12" t="n"/>
      <c r="L1247" s="14" t="n"/>
      <c r="M1247" s="12" t="n"/>
      <c r="N1247" s="12" t="n"/>
      <c r="O1247" s="12" t="n"/>
    </row>
    <row r="1248">
      <c r="A1248" s="12" t="n"/>
      <c r="B1248" s="13">
        <f>IF($A1248="","",IFERROR(INDEX(Emp_Names,MATCH($A1248,Emp_Codes,0)),"NOT FOUND"))</f>
        <v/>
      </c>
      <c r="C1248" s="14" t="n"/>
      <c r="D1248" s="15" t="n"/>
      <c r="E1248" s="15" t="n"/>
      <c r="F1248" s="15" t="n"/>
      <c r="G1248" s="15" t="n"/>
      <c r="H1248" s="16">
        <f>IF($A1248="","",$D1248+IF($E1248="",0,$E1248)+IF($F1248="",0,$F1248)-IF($G1248="",0,$G1248))</f>
        <v/>
      </c>
      <c r="I1248" s="12" t="n"/>
      <c r="J1248" s="12" t="n"/>
      <c r="K1248" s="12" t="n"/>
      <c r="L1248" s="14" t="n"/>
      <c r="M1248" s="12" t="n"/>
      <c r="N1248" s="12" t="n"/>
      <c r="O1248" s="12" t="n"/>
    </row>
    <row r="1249">
      <c r="A1249" s="12" t="n"/>
      <c r="B1249" s="13">
        <f>IF($A1249="","",IFERROR(INDEX(Emp_Names,MATCH($A1249,Emp_Codes,0)),"NOT FOUND"))</f>
        <v/>
      </c>
      <c r="C1249" s="14" t="n"/>
      <c r="D1249" s="15" t="n"/>
      <c r="E1249" s="15" t="n"/>
      <c r="F1249" s="15" t="n"/>
      <c r="G1249" s="15" t="n"/>
      <c r="H1249" s="16">
        <f>IF($A1249="","",$D1249+IF($E1249="",0,$E1249)+IF($F1249="",0,$F1249)-IF($G1249="",0,$G1249))</f>
        <v/>
      </c>
      <c r="I1249" s="12" t="n"/>
      <c r="J1249" s="12" t="n"/>
      <c r="K1249" s="12" t="n"/>
      <c r="L1249" s="14" t="n"/>
      <c r="M1249" s="12" t="n"/>
      <c r="N1249" s="12" t="n"/>
      <c r="O1249" s="12" t="n"/>
    </row>
    <row r="1250">
      <c r="A1250" s="12" t="n"/>
      <c r="B1250" s="13">
        <f>IF($A1250="","",IFERROR(INDEX(Emp_Names,MATCH($A1250,Emp_Codes,0)),"NOT FOUND"))</f>
        <v/>
      </c>
      <c r="C1250" s="14" t="n"/>
      <c r="D1250" s="15" t="n"/>
      <c r="E1250" s="15" t="n"/>
      <c r="F1250" s="15" t="n"/>
      <c r="G1250" s="15" t="n"/>
      <c r="H1250" s="16">
        <f>IF($A1250="","",$D1250+IF($E1250="",0,$E1250)+IF($F1250="",0,$F1250)-IF($G1250="",0,$G1250))</f>
        <v/>
      </c>
      <c r="I1250" s="12" t="n"/>
      <c r="J1250" s="12" t="n"/>
      <c r="K1250" s="12" t="n"/>
      <c r="L1250" s="14" t="n"/>
      <c r="M1250" s="12" t="n"/>
      <c r="N1250" s="12" t="n"/>
      <c r="O1250" s="12" t="n"/>
    </row>
    <row r="1251">
      <c r="A1251" s="12" t="n"/>
      <c r="B1251" s="13">
        <f>IF($A1251="","",IFERROR(INDEX(Emp_Names,MATCH($A1251,Emp_Codes,0)),"NOT FOUND"))</f>
        <v/>
      </c>
      <c r="C1251" s="14" t="n"/>
      <c r="D1251" s="15" t="n"/>
      <c r="E1251" s="15" t="n"/>
      <c r="F1251" s="15" t="n"/>
      <c r="G1251" s="15" t="n"/>
      <c r="H1251" s="16">
        <f>IF($A1251="","",$D1251+IF($E1251="",0,$E1251)+IF($F1251="",0,$F1251)-IF($G1251="",0,$G1251))</f>
        <v/>
      </c>
      <c r="I1251" s="12" t="n"/>
      <c r="J1251" s="12" t="n"/>
      <c r="K1251" s="12" t="n"/>
      <c r="L1251" s="14" t="n"/>
      <c r="M1251" s="12" t="n"/>
      <c r="N1251" s="12" t="n"/>
      <c r="O1251" s="12" t="n"/>
    </row>
    <row r="1252">
      <c r="A1252" s="12" t="n"/>
      <c r="B1252" s="13">
        <f>IF($A1252="","",IFERROR(INDEX(Emp_Names,MATCH($A1252,Emp_Codes,0)),"NOT FOUND"))</f>
        <v/>
      </c>
      <c r="C1252" s="14" t="n"/>
      <c r="D1252" s="15" t="n"/>
      <c r="E1252" s="15" t="n"/>
      <c r="F1252" s="15" t="n"/>
      <c r="G1252" s="15" t="n"/>
      <c r="H1252" s="16">
        <f>IF($A1252="","",$D1252+IF($E1252="",0,$E1252)+IF($F1252="",0,$F1252)-IF($G1252="",0,$G1252))</f>
        <v/>
      </c>
      <c r="I1252" s="12" t="n"/>
      <c r="J1252" s="12" t="n"/>
      <c r="K1252" s="12" t="n"/>
      <c r="L1252" s="14" t="n"/>
      <c r="M1252" s="12" t="n"/>
      <c r="N1252" s="12" t="n"/>
      <c r="O1252" s="12" t="n"/>
    </row>
    <row r="1253">
      <c r="A1253" s="12" t="n"/>
      <c r="B1253" s="13">
        <f>IF($A1253="","",IFERROR(INDEX(Emp_Names,MATCH($A1253,Emp_Codes,0)),"NOT FOUND"))</f>
        <v/>
      </c>
      <c r="C1253" s="14" t="n"/>
      <c r="D1253" s="15" t="n"/>
      <c r="E1253" s="15" t="n"/>
      <c r="F1253" s="15" t="n"/>
      <c r="G1253" s="15" t="n"/>
      <c r="H1253" s="16">
        <f>IF($A1253="","",$D1253+IF($E1253="",0,$E1253)+IF($F1253="",0,$F1253)-IF($G1253="",0,$G1253))</f>
        <v/>
      </c>
      <c r="I1253" s="12" t="n"/>
      <c r="J1253" s="12" t="n"/>
      <c r="K1253" s="12" t="n"/>
      <c r="L1253" s="14" t="n"/>
      <c r="M1253" s="12" t="n"/>
      <c r="N1253" s="12" t="n"/>
      <c r="O1253" s="12" t="n"/>
    </row>
    <row r="1254">
      <c r="A1254" s="12" t="n"/>
      <c r="B1254" s="13">
        <f>IF($A1254="","",IFERROR(INDEX(Emp_Names,MATCH($A1254,Emp_Codes,0)),"NOT FOUND"))</f>
        <v/>
      </c>
      <c r="C1254" s="14" t="n"/>
      <c r="D1254" s="15" t="n"/>
      <c r="E1254" s="15" t="n"/>
      <c r="F1254" s="15" t="n"/>
      <c r="G1254" s="15" t="n"/>
      <c r="H1254" s="16">
        <f>IF($A1254="","",$D1254+IF($E1254="",0,$E1254)+IF($F1254="",0,$F1254)-IF($G1254="",0,$G1254))</f>
        <v/>
      </c>
      <c r="I1254" s="12" t="n"/>
      <c r="J1254" s="12" t="n"/>
      <c r="K1254" s="12" t="n"/>
      <c r="L1254" s="14" t="n"/>
      <c r="M1254" s="12" t="n"/>
      <c r="N1254" s="12" t="n"/>
      <c r="O1254" s="12" t="n"/>
    </row>
    <row r="1255">
      <c r="A1255" s="12" t="n"/>
      <c r="B1255" s="13">
        <f>IF($A1255="","",IFERROR(INDEX(Emp_Names,MATCH($A1255,Emp_Codes,0)),"NOT FOUND"))</f>
        <v/>
      </c>
      <c r="C1255" s="14" t="n"/>
      <c r="D1255" s="15" t="n"/>
      <c r="E1255" s="15" t="n"/>
      <c r="F1255" s="15" t="n"/>
      <c r="G1255" s="15" t="n"/>
      <c r="H1255" s="16">
        <f>IF($A1255="","",$D1255+IF($E1255="",0,$E1255)+IF($F1255="",0,$F1255)-IF($G1255="",0,$G1255))</f>
        <v/>
      </c>
      <c r="I1255" s="12" t="n"/>
      <c r="J1255" s="12" t="n"/>
      <c r="K1255" s="12" t="n"/>
      <c r="L1255" s="14" t="n"/>
      <c r="M1255" s="12" t="n"/>
      <c r="N1255" s="12" t="n"/>
      <c r="O1255" s="12" t="n"/>
    </row>
    <row r="1256">
      <c r="A1256" s="12" t="n"/>
      <c r="B1256" s="13">
        <f>IF($A1256="","",IFERROR(INDEX(Emp_Names,MATCH($A1256,Emp_Codes,0)),"NOT FOUND"))</f>
        <v/>
      </c>
      <c r="C1256" s="14" t="n"/>
      <c r="D1256" s="15" t="n"/>
      <c r="E1256" s="15" t="n"/>
      <c r="F1256" s="15" t="n"/>
      <c r="G1256" s="15" t="n"/>
      <c r="H1256" s="16">
        <f>IF($A1256="","",$D1256+IF($E1256="",0,$E1256)+IF($F1256="",0,$F1256)-IF($G1256="",0,$G1256))</f>
        <v/>
      </c>
      <c r="I1256" s="12" t="n"/>
      <c r="J1256" s="12" t="n"/>
      <c r="K1256" s="12" t="n"/>
      <c r="L1256" s="14" t="n"/>
      <c r="M1256" s="12" t="n"/>
      <c r="N1256" s="12" t="n"/>
      <c r="O1256" s="12" t="n"/>
    </row>
    <row r="1257">
      <c r="A1257" s="12" t="n"/>
      <c r="B1257" s="13">
        <f>IF($A1257="","",IFERROR(INDEX(Emp_Names,MATCH($A1257,Emp_Codes,0)),"NOT FOUND"))</f>
        <v/>
      </c>
      <c r="C1257" s="14" t="n"/>
      <c r="D1257" s="15" t="n"/>
      <c r="E1257" s="15" t="n"/>
      <c r="F1257" s="15" t="n"/>
      <c r="G1257" s="15" t="n"/>
      <c r="H1257" s="16">
        <f>IF($A1257="","",$D1257+IF($E1257="",0,$E1257)+IF($F1257="",0,$F1257)-IF($G1257="",0,$G1257))</f>
        <v/>
      </c>
      <c r="I1257" s="12" t="n"/>
      <c r="J1257" s="12" t="n"/>
      <c r="K1257" s="12" t="n"/>
      <c r="L1257" s="14" t="n"/>
      <c r="M1257" s="12" t="n"/>
      <c r="N1257" s="12" t="n"/>
      <c r="O1257" s="12" t="n"/>
    </row>
    <row r="1258">
      <c r="A1258" s="12" t="n"/>
      <c r="B1258" s="13">
        <f>IF($A1258="","",IFERROR(INDEX(Emp_Names,MATCH($A1258,Emp_Codes,0)),"NOT FOUND"))</f>
        <v/>
      </c>
      <c r="C1258" s="14" t="n"/>
      <c r="D1258" s="15" t="n"/>
      <c r="E1258" s="15" t="n"/>
      <c r="F1258" s="15" t="n"/>
      <c r="G1258" s="15" t="n"/>
      <c r="H1258" s="16">
        <f>IF($A1258="","",$D1258+IF($E1258="",0,$E1258)+IF($F1258="",0,$F1258)-IF($G1258="",0,$G1258))</f>
        <v/>
      </c>
      <c r="I1258" s="12" t="n"/>
      <c r="J1258" s="12" t="n"/>
      <c r="K1258" s="12" t="n"/>
      <c r="L1258" s="14" t="n"/>
      <c r="M1258" s="12" t="n"/>
      <c r="N1258" s="12" t="n"/>
      <c r="O1258" s="12" t="n"/>
    </row>
    <row r="1259">
      <c r="A1259" s="12" t="n"/>
      <c r="B1259" s="13">
        <f>IF($A1259="","",IFERROR(INDEX(Emp_Names,MATCH($A1259,Emp_Codes,0)),"NOT FOUND"))</f>
        <v/>
      </c>
      <c r="C1259" s="14" t="n"/>
      <c r="D1259" s="15" t="n"/>
      <c r="E1259" s="15" t="n"/>
      <c r="F1259" s="15" t="n"/>
      <c r="G1259" s="15" t="n"/>
      <c r="H1259" s="16">
        <f>IF($A1259="","",$D1259+IF($E1259="",0,$E1259)+IF($F1259="",0,$F1259)-IF($G1259="",0,$G1259))</f>
        <v/>
      </c>
      <c r="I1259" s="12" t="n"/>
      <c r="J1259" s="12" t="n"/>
      <c r="K1259" s="12" t="n"/>
      <c r="L1259" s="14" t="n"/>
      <c r="M1259" s="12" t="n"/>
      <c r="N1259" s="12" t="n"/>
      <c r="O1259" s="12" t="n"/>
    </row>
    <row r="1260">
      <c r="A1260" s="12" t="n"/>
      <c r="B1260" s="13">
        <f>IF($A1260="","",IFERROR(INDEX(Emp_Names,MATCH($A1260,Emp_Codes,0)),"NOT FOUND"))</f>
        <v/>
      </c>
      <c r="C1260" s="14" t="n"/>
      <c r="D1260" s="15" t="n"/>
      <c r="E1260" s="15" t="n"/>
      <c r="F1260" s="15" t="n"/>
      <c r="G1260" s="15" t="n"/>
      <c r="H1260" s="16">
        <f>IF($A1260="","",$D1260+IF($E1260="",0,$E1260)+IF($F1260="",0,$F1260)-IF($G1260="",0,$G1260))</f>
        <v/>
      </c>
      <c r="I1260" s="12" t="n"/>
      <c r="J1260" s="12" t="n"/>
      <c r="K1260" s="12" t="n"/>
      <c r="L1260" s="14" t="n"/>
      <c r="M1260" s="12" t="n"/>
      <c r="N1260" s="12" t="n"/>
      <c r="O1260" s="12" t="n"/>
    </row>
    <row r="1261">
      <c r="A1261" s="12" t="n"/>
      <c r="B1261" s="13">
        <f>IF($A1261="","",IFERROR(INDEX(Emp_Names,MATCH($A1261,Emp_Codes,0)),"NOT FOUND"))</f>
        <v/>
      </c>
      <c r="C1261" s="14" t="n"/>
      <c r="D1261" s="15" t="n"/>
      <c r="E1261" s="15" t="n"/>
      <c r="F1261" s="15" t="n"/>
      <c r="G1261" s="15" t="n"/>
      <c r="H1261" s="16">
        <f>IF($A1261="","",$D1261+IF($E1261="",0,$E1261)+IF($F1261="",0,$F1261)-IF($G1261="",0,$G1261))</f>
        <v/>
      </c>
      <c r="I1261" s="12" t="n"/>
      <c r="J1261" s="12" t="n"/>
      <c r="K1261" s="12" t="n"/>
      <c r="L1261" s="14" t="n"/>
      <c r="M1261" s="12" t="n"/>
      <c r="N1261" s="12" t="n"/>
      <c r="O1261" s="12" t="n"/>
    </row>
    <row r="1262">
      <c r="A1262" s="12" t="n"/>
      <c r="B1262" s="13">
        <f>IF($A1262="","",IFERROR(INDEX(Emp_Names,MATCH($A1262,Emp_Codes,0)),"NOT FOUND"))</f>
        <v/>
      </c>
      <c r="C1262" s="14" t="n"/>
      <c r="D1262" s="15" t="n"/>
      <c r="E1262" s="15" t="n"/>
      <c r="F1262" s="15" t="n"/>
      <c r="G1262" s="15" t="n"/>
      <c r="H1262" s="16">
        <f>IF($A1262="","",$D1262+IF($E1262="",0,$E1262)+IF($F1262="",0,$F1262)-IF($G1262="",0,$G1262))</f>
        <v/>
      </c>
      <c r="I1262" s="12" t="n"/>
      <c r="J1262" s="12" t="n"/>
      <c r="K1262" s="12" t="n"/>
      <c r="L1262" s="14" t="n"/>
      <c r="M1262" s="12" t="n"/>
      <c r="N1262" s="12" t="n"/>
      <c r="O1262" s="12" t="n"/>
    </row>
    <row r="1263">
      <c r="A1263" s="12" t="n"/>
      <c r="B1263" s="13">
        <f>IF($A1263="","",IFERROR(INDEX(Emp_Names,MATCH($A1263,Emp_Codes,0)),"NOT FOUND"))</f>
        <v/>
      </c>
      <c r="C1263" s="14" t="n"/>
      <c r="D1263" s="15" t="n"/>
      <c r="E1263" s="15" t="n"/>
      <c r="F1263" s="15" t="n"/>
      <c r="G1263" s="15" t="n"/>
      <c r="H1263" s="16">
        <f>IF($A1263="","",$D1263+IF($E1263="",0,$E1263)+IF($F1263="",0,$F1263)-IF($G1263="",0,$G1263))</f>
        <v/>
      </c>
      <c r="I1263" s="12" t="n"/>
      <c r="J1263" s="12" t="n"/>
      <c r="K1263" s="12" t="n"/>
      <c r="L1263" s="14" t="n"/>
      <c r="M1263" s="12" t="n"/>
      <c r="N1263" s="12" t="n"/>
      <c r="O1263" s="12" t="n"/>
    </row>
    <row r="1264">
      <c r="A1264" s="12" t="n"/>
      <c r="B1264" s="13">
        <f>IF($A1264="","",IFERROR(INDEX(Emp_Names,MATCH($A1264,Emp_Codes,0)),"NOT FOUND"))</f>
        <v/>
      </c>
      <c r="C1264" s="14" t="n"/>
      <c r="D1264" s="15" t="n"/>
      <c r="E1264" s="15" t="n"/>
      <c r="F1264" s="15" t="n"/>
      <c r="G1264" s="15" t="n"/>
      <c r="H1264" s="16">
        <f>IF($A1264="","",$D1264+IF($E1264="",0,$E1264)+IF($F1264="",0,$F1264)-IF($G1264="",0,$G1264))</f>
        <v/>
      </c>
      <c r="I1264" s="12" t="n"/>
      <c r="J1264" s="12" t="n"/>
      <c r="K1264" s="12" t="n"/>
      <c r="L1264" s="14" t="n"/>
      <c r="M1264" s="12" t="n"/>
      <c r="N1264" s="12" t="n"/>
      <c r="O1264" s="12" t="n"/>
    </row>
    <row r="1265">
      <c r="A1265" s="12" t="n"/>
      <c r="B1265" s="13">
        <f>IF($A1265="","",IFERROR(INDEX(Emp_Names,MATCH($A1265,Emp_Codes,0)),"NOT FOUND"))</f>
        <v/>
      </c>
      <c r="C1265" s="14" t="n"/>
      <c r="D1265" s="15" t="n"/>
      <c r="E1265" s="15" t="n"/>
      <c r="F1265" s="15" t="n"/>
      <c r="G1265" s="15" t="n"/>
      <c r="H1265" s="16">
        <f>IF($A1265="","",$D1265+IF($E1265="",0,$E1265)+IF($F1265="",0,$F1265)-IF($G1265="",0,$G1265))</f>
        <v/>
      </c>
      <c r="I1265" s="12" t="n"/>
      <c r="J1265" s="12" t="n"/>
      <c r="K1265" s="12" t="n"/>
      <c r="L1265" s="14" t="n"/>
      <c r="M1265" s="12" t="n"/>
      <c r="N1265" s="12" t="n"/>
      <c r="O1265" s="12" t="n"/>
    </row>
    <row r="1266">
      <c r="A1266" s="12" t="n"/>
      <c r="B1266" s="13">
        <f>IF($A1266="","",IFERROR(INDEX(Emp_Names,MATCH($A1266,Emp_Codes,0)),"NOT FOUND"))</f>
        <v/>
      </c>
      <c r="C1266" s="14" t="n"/>
      <c r="D1266" s="15" t="n"/>
      <c r="E1266" s="15" t="n"/>
      <c r="F1266" s="15" t="n"/>
      <c r="G1266" s="15" t="n"/>
      <c r="H1266" s="16">
        <f>IF($A1266="","",$D1266+IF($E1266="",0,$E1266)+IF($F1266="",0,$F1266)-IF($G1266="",0,$G1266))</f>
        <v/>
      </c>
      <c r="I1266" s="12" t="n"/>
      <c r="J1266" s="12" t="n"/>
      <c r="K1266" s="12" t="n"/>
      <c r="L1266" s="14" t="n"/>
      <c r="M1266" s="12" t="n"/>
      <c r="N1266" s="12" t="n"/>
      <c r="O1266" s="12" t="n"/>
    </row>
    <row r="1267">
      <c r="A1267" s="12" t="n"/>
      <c r="B1267" s="13">
        <f>IF($A1267="","",IFERROR(INDEX(Emp_Names,MATCH($A1267,Emp_Codes,0)),"NOT FOUND"))</f>
        <v/>
      </c>
      <c r="C1267" s="14" t="n"/>
      <c r="D1267" s="15" t="n"/>
      <c r="E1267" s="15" t="n"/>
      <c r="F1267" s="15" t="n"/>
      <c r="G1267" s="15" t="n"/>
      <c r="H1267" s="16">
        <f>IF($A1267="","",$D1267+IF($E1267="",0,$E1267)+IF($F1267="",0,$F1267)-IF($G1267="",0,$G1267))</f>
        <v/>
      </c>
      <c r="I1267" s="12" t="n"/>
      <c r="J1267" s="12" t="n"/>
      <c r="K1267" s="12" t="n"/>
      <c r="L1267" s="14" t="n"/>
      <c r="M1267" s="12" t="n"/>
      <c r="N1267" s="12" t="n"/>
      <c r="O1267" s="12" t="n"/>
    </row>
    <row r="1268">
      <c r="A1268" s="12" t="n"/>
      <c r="B1268" s="13">
        <f>IF($A1268="","",IFERROR(INDEX(Emp_Names,MATCH($A1268,Emp_Codes,0)),"NOT FOUND"))</f>
        <v/>
      </c>
      <c r="C1268" s="14" t="n"/>
      <c r="D1268" s="15" t="n"/>
      <c r="E1268" s="15" t="n"/>
      <c r="F1268" s="15" t="n"/>
      <c r="G1268" s="15" t="n"/>
      <c r="H1268" s="16">
        <f>IF($A1268="","",$D1268+IF($E1268="",0,$E1268)+IF($F1268="",0,$F1268)-IF($G1268="",0,$G1268))</f>
        <v/>
      </c>
      <c r="I1268" s="12" t="n"/>
      <c r="J1268" s="12" t="n"/>
      <c r="K1268" s="12" t="n"/>
      <c r="L1268" s="14" t="n"/>
      <c r="M1268" s="12" t="n"/>
      <c r="N1268" s="12" t="n"/>
      <c r="O1268" s="12" t="n"/>
    </row>
    <row r="1269">
      <c r="A1269" s="12" t="n"/>
      <c r="B1269" s="13">
        <f>IF($A1269="","",IFERROR(INDEX(Emp_Names,MATCH($A1269,Emp_Codes,0)),"NOT FOUND"))</f>
        <v/>
      </c>
      <c r="C1269" s="14" t="n"/>
      <c r="D1269" s="15" t="n"/>
      <c r="E1269" s="15" t="n"/>
      <c r="F1269" s="15" t="n"/>
      <c r="G1269" s="15" t="n"/>
      <c r="H1269" s="16">
        <f>IF($A1269="","",$D1269+IF($E1269="",0,$E1269)+IF($F1269="",0,$F1269)-IF($G1269="",0,$G1269))</f>
        <v/>
      </c>
      <c r="I1269" s="12" t="n"/>
      <c r="J1269" s="12" t="n"/>
      <c r="K1269" s="12" t="n"/>
      <c r="L1269" s="14" t="n"/>
      <c r="M1269" s="12" t="n"/>
      <c r="N1269" s="12" t="n"/>
      <c r="O1269" s="12" t="n"/>
    </row>
    <row r="1270">
      <c r="A1270" s="12" t="n"/>
      <c r="B1270" s="13">
        <f>IF($A1270="","",IFERROR(INDEX(Emp_Names,MATCH($A1270,Emp_Codes,0)),"NOT FOUND"))</f>
        <v/>
      </c>
      <c r="C1270" s="14" t="n"/>
      <c r="D1270" s="15" t="n"/>
      <c r="E1270" s="15" t="n"/>
      <c r="F1270" s="15" t="n"/>
      <c r="G1270" s="15" t="n"/>
      <c r="H1270" s="16">
        <f>IF($A1270="","",$D1270+IF($E1270="",0,$E1270)+IF($F1270="",0,$F1270)-IF($G1270="",0,$G1270))</f>
        <v/>
      </c>
      <c r="I1270" s="12" t="n"/>
      <c r="J1270" s="12" t="n"/>
      <c r="K1270" s="12" t="n"/>
      <c r="L1270" s="14" t="n"/>
      <c r="M1270" s="12" t="n"/>
      <c r="N1270" s="12" t="n"/>
      <c r="O1270" s="12" t="n"/>
    </row>
    <row r="1271">
      <c r="A1271" s="12" t="n"/>
      <c r="B1271" s="13">
        <f>IF($A1271="","",IFERROR(INDEX(Emp_Names,MATCH($A1271,Emp_Codes,0)),"NOT FOUND"))</f>
        <v/>
      </c>
      <c r="C1271" s="14" t="n"/>
      <c r="D1271" s="15" t="n"/>
      <c r="E1271" s="15" t="n"/>
      <c r="F1271" s="15" t="n"/>
      <c r="G1271" s="15" t="n"/>
      <c r="H1271" s="16">
        <f>IF($A1271="","",$D1271+IF($E1271="",0,$E1271)+IF($F1271="",0,$F1271)-IF($G1271="",0,$G1271))</f>
        <v/>
      </c>
      <c r="I1271" s="12" t="n"/>
      <c r="J1271" s="12" t="n"/>
      <c r="K1271" s="12" t="n"/>
      <c r="L1271" s="14" t="n"/>
      <c r="M1271" s="12" t="n"/>
      <c r="N1271" s="12" t="n"/>
      <c r="O1271" s="12" t="n"/>
    </row>
    <row r="1272">
      <c r="A1272" s="12" t="n"/>
      <c r="B1272" s="13">
        <f>IF($A1272="","",IFERROR(INDEX(Emp_Names,MATCH($A1272,Emp_Codes,0)),"NOT FOUND"))</f>
        <v/>
      </c>
      <c r="C1272" s="14" t="n"/>
      <c r="D1272" s="15" t="n"/>
      <c r="E1272" s="15" t="n"/>
      <c r="F1272" s="15" t="n"/>
      <c r="G1272" s="15" t="n"/>
      <c r="H1272" s="16">
        <f>IF($A1272="","",$D1272+IF($E1272="",0,$E1272)+IF($F1272="",0,$F1272)-IF($G1272="",0,$G1272))</f>
        <v/>
      </c>
      <c r="I1272" s="12" t="n"/>
      <c r="J1272" s="12" t="n"/>
      <c r="K1272" s="12" t="n"/>
      <c r="L1272" s="14" t="n"/>
      <c r="M1272" s="12" t="n"/>
      <c r="N1272" s="12" t="n"/>
      <c r="O1272" s="12" t="n"/>
    </row>
    <row r="1273">
      <c r="A1273" s="12" t="n"/>
      <c r="B1273" s="13">
        <f>IF($A1273="","",IFERROR(INDEX(Emp_Names,MATCH($A1273,Emp_Codes,0)),"NOT FOUND"))</f>
        <v/>
      </c>
      <c r="C1273" s="14" t="n"/>
      <c r="D1273" s="15" t="n"/>
      <c r="E1273" s="15" t="n"/>
      <c r="F1273" s="15" t="n"/>
      <c r="G1273" s="15" t="n"/>
      <c r="H1273" s="16">
        <f>IF($A1273="","",$D1273+IF($E1273="",0,$E1273)+IF($F1273="",0,$F1273)-IF($G1273="",0,$G1273))</f>
        <v/>
      </c>
      <c r="I1273" s="12" t="n"/>
      <c r="J1273" s="12" t="n"/>
      <c r="K1273" s="12" t="n"/>
      <c r="L1273" s="14" t="n"/>
      <c r="M1273" s="12" t="n"/>
      <c r="N1273" s="12" t="n"/>
      <c r="O1273" s="12" t="n"/>
    </row>
    <row r="1274">
      <c r="A1274" s="12" t="n"/>
      <c r="B1274" s="13">
        <f>IF($A1274="","",IFERROR(INDEX(Emp_Names,MATCH($A1274,Emp_Codes,0)),"NOT FOUND"))</f>
        <v/>
      </c>
      <c r="C1274" s="14" t="n"/>
      <c r="D1274" s="15" t="n"/>
      <c r="E1274" s="15" t="n"/>
      <c r="F1274" s="15" t="n"/>
      <c r="G1274" s="15" t="n"/>
      <c r="H1274" s="16">
        <f>IF($A1274="","",$D1274+IF($E1274="",0,$E1274)+IF($F1274="",0,$F1274)-IF($G1274="",0,$G1274))</f>
        <v/>
      </c>
      <c r="I1274" s="12" t="n"/>
      <c r="J1274" s="12" t="n"/>
      <c r="K1274" s="12" t="n"/>
      <c r="L1274" s="14" t="n"/>
      <c r="M1274" s="12" t="n"/>
      <c r="N1274" s="12" t="n"/>
      <c r="O1274" s="12" t="n"/>
    </row>
    <row r="1275">
      <c r="A1275" s="12" t="n"/>
      <c r="B1275" s="13">
        <f>IF($A1275="","",IFERROR(INDEX(Emp_Names,MATCH($A1275,Emp_Codes,0)),"NOT FOUND"))</f>
        <v/>
      </c>
      <c r="C1275" s="14" t="n"/>
      <c r="D1275" s="15" t="n"/>
      <c r="E1275" s="15" t="n"/>
      <c r="F1275" s="15" t="n"/>
      <c r="G1275" s="15" t="n"/>
      <c r="H1275" s="16">
        <f>IF($A1275="","",$D1275+IF($E1275="",0,$E1275)+IF($F1275="",0,$F1275)-IF($G1275="",0,$G1275))</f>
        <v/>
      </c>
      <c r="I1275" s="12" t="n"/>
      <c r="J1275" s="12" t="n"/>
      <c r="K1275" s="12" t="n"/>
      <c r="L1275" s="14" t="n"/>
      <c r="M1275" s="12" t="n"/>
      <c r="N1275" s="12" t="n"/>
      <c r="O1275" s="12" t="n"/>
    </row>
    <row r="1276">
      <c r="A1276" s="12" t="n"/>
      <c r="B1276" s="13">
        <f>IF($A1276="","",IFERROR(INDEX(Emp_Names,MATCH($A1276,Emp_Codes,0)),"NOT FOUND"))</f>
        <v/>
      </c>
      <c r="C1276" s="14" t="n"/>
      <c r="D1276" s="15" t="n"/>
      <c r="E1276" s="15" t="n"/>
      <c r="F1276" s="15" t="n"/>
      <c r="G1276" s="15" t="n"/>
      <c r="H1276" s="16">
        <f>IF($A1276="","",$D1276+IF($E1276="",0,$E1276)+IF($F1276="",0,$F1276)-IF($G1276="",0,$G1276))</f>
        <v/>
      </c>
      <c r="I1276" s="12" t="n"/>
      <c r="J1276" s="12" t="n"/>
      <c r="K1276" s="12" t="n"/>
      <c r="L1276" s="14" t="n"/>
      <c r="M1276" s="12" t="n"/>
      <c r="N1276" s="12" t="n"/>
      <c r="O1276" s="12" t="n"/>
    </row>
    <row r="1277">
      <c r="A1277" s="12" t="n"/>
      <c r="B1277" s="13">
        <f>IF($A1277="","",IFERROR(INDEX(Emp_Names,MATCH($A1277,Emp_Codes,0)),"NOT FOUND"))</f>
        <v/>
      </c>
      <c r="C1277" s="14" t="n"/>
      <c r="D1277" s="15" t="n"/>
      <c r="E1277" s="15" t="n"/>
      <c r="F1277" s="15" t="n"/>
      <c r="G1277" s="15" t="n"/>
      <c r="H1277" s="16">
        <f>IF($A1277="","",$D1277+IF($E1277="",0,$E1277)+IF($F1277="",0,$F1277)-IF($G1277="",0,$G1277))</f>
        <v/>
      </c>
      <c r="I1277" s="12" t="n"/>
      <c r="J1277" s="12" t="n"/>
      <c r="K1277" s="12" t="n"/>
      <c r="L1277" s="14" t="n"/>
      <c r="M1277" s="12" t="n"/>
      <c r="N1277" s="12" t="n"/>
      <c r="O1277" s="12" t="n"/>
    </row>
    <row r="1278">
      <c r="A1278" s="12" t="n"/>
      <c r="B1278" s="13">
        <f>IF($A1278="","",IFERROR(INDEX(Emp_Names,MATCH($A1278,Emp_Codes,0)),"NOT FOUND"))</f>
        <v/>
      </c>
      <c r="C1278" s="14" t="n"/>
      <c r="D1278" s="15" t="n"/>
      <c r="E1278" s="15" t="n"/>
      <c r="F1278" s="15" t="n"/>
      <c r="G1278" s="15" t="n"/>
      <c r="H1278" s="16">
        <f>IF($A1278="","",$D1278+IF($E1278="",0,$E1278)+IF($F1278="",0,$F1278)-IF($G1278="",0,$G1278))</f>
        <v/>
      </c>
      <c r="I1278" s="12" t="n"/>
      <c r="J1278" s="12" t="n"/>
      <c r="K1278" s="12" t="n"/>
      <c r="L1278" s="14" t="n"/>
      <c r="M1278" s="12" t="n"/>
      <c r="N1278" s="12" t="n"/>
      <c r="O1278" s="12" t="n"/>
    </row>
    <row r="1279">
      <c r="A1279" s="12" t="n"/>
      <c r="B1279" s="13">
        <f>IF($A1279="","",IFERROR(INDEX(Emp_Names,MATCH($A1279,Emp_Codes,0)),"NOT FOUND"))</f>
        <v/>
      </c>
      <c r="C1279" s="14" t="n"/>
      <c r="D1279" s="15" t="n"/>
      <c r="E1279" s="15" t="n"/>
      <c r="F1279" s="15" t="n"/>
      <c r="G1279" s="15" t="n"/>
      <c r="H1279" s="16">
        <f>IF($A1279="","",$D1279+IF($E1279="",0,$E1279)+IF($F1279="",0,$F1279)-IF($G1279="",0,$G1279))</f>
        <v/>
      </c>
      <c r="I1279" s="12" t="n"/>
      <c r="J1279" s="12" t="n"/>
      <c r="K1279" s="12" t="n"/>
      <c r="L1279" s="14" t="n"/>
      <c r="M1279" s="12" t="n"/>
      <c r="N1279" s="12" t="n"/>
      <c r="O1279" s="12" t="n"/>
    </row>
    <row r="1280">
      <c r="A1280" s="12" t="n"/>
      <c r="B1280" s="13">
        <f>IF($A1280="","",IFERROR(INDEX(Emp_Names,MATCH($A1280,Emp_Codes,0)),"NOT FOUND"))</f>
        <v/>
      </c>
      <c r="C1280" s="14" t="n"/>
      <c r="D1280" s="15" t="n"/>
      <c r="E1280" s="15" t="n"/>
      <c r="F1280" s="15" t="n"/>
      <c r="G1280" s="15" t="n"/>
      <c r="H1280" s="16">
        <f>IF($A1280="","",$D1280+IF($E1280="",0,$E1280)+IF($F1280="",0,$F1280)-IF($G1280="",0,$G1280))</f>
        <v/>
      </c>
      <c r="I1280" s="12" t="n"/>
      <c r="J1280" s="12" t="n"/>
      <c r="K1280" s="12" t="n"/>
      <c r="L1280" s="14" t="n"/>
      <c r="M1280" s="12" t="n"/>
      <c r="N1280" s="12" t="n"/>
      <c r="O1280" s="12" t="n"/>
    </row>
    <row r="1281">
      <c r="A1281" s="12" t="n"/>
      <c r="B1281" s="13">
        <f>IF($A1281="","",IFERROR(INDEX(Emp_Names,MATCH($A1281,Emp_Codes,0)),"NOT FOUND"))</f>
        <v/>
      </c>
      <c r="C1281" s="14" t="n"/>
      <c r="D1281" s="15" t="n"/>
      <c r="E1281" s="15" t="n"/>
      <c r="F1281" s="15" t="n"/>
      <c r="G1281" s="15" t="n"/>
      <c r="H1281" s="16">
        <f>IF($A1281="","",$D1281+IF($E1281="",0,$E1281)+IF($F1281="",0,$F1281)-IF($G1281="",0,$G1281))</f>
        <v/>
      </c>
      <c r="I1281" s="12" t="n"/>
      <c r="J1281" s="12" t="n"/>
      <c r="K1281" s="12" t="n"/>
      <c r="L1281" s="14" t="n"/>
      <c r="M1281" s="12" t="n"/>
      <c r="N1281" s="12" t="n"/>
      <c r="O1281" s="12" t="n"/>
    </row>
    <row r="1282">
      <c r="A1282" s="12" t="n"/>
      <c r="B1282" s="13">
        <f>IF($A1282="","",IFERROR(INDEX(Emp_Names,MATCH($A1282,Emp_Codes,0)),"NOT FOUND"))</f>
        <v/>
      </c>
      <c r="C1282" s="14" t="n"/>
      <c r="D1282" s="15" t="n"/>
      <c r="E1282" s="15" t="n"/>
      <c r="F1282" s="15" t="n"/>
      <c r="G1282" s="15" t="n"/>
      <c r="H1282" s="16">
        <f>IF($A1282="","",$D1282+IF($E1282="",0,$E1282)+IF($F1282="",0,$F1282)-IF($G1282="",0,$G1282))</f>
        <v/>
      </c>
      <c r="I1282" s="12" t="n"/>
      <c r="J1282" s="12" t="n"/>
      <c r="K1282" s="12" t="n"/>
      <c r="L1282" s="14" t="n"/>
      <c r="M1282" s="12" t="n"/>
      <c r="N1282" s="12" t="n"/>
      <c r="O1282" s="12" t="n"/>
    </row>
    <row r="1283">
      <c r="A1283" s="12" t="n"/>
      <c r="B1283" s="13">
        <f>IF($A1283="","",IFERROR(INDEX(Emp_Names,MATCH($A1283,Emp_Codes,0)),"NOT FOUND"))</f>
        <v/>
      </c>
      <c r="C1283" s="14" t="n"/>
      <c r="D1283" s="15" t="n"/>
      <c r="E1283" s="15" t="n"/>
      <c r="F1283" s="15" t="n"/>
      <c r="G1283" s="15" t="n"/>
      <c r="H1283" s="16">
        <f>IF($A1283="","",$D1283+IF($E1283="",0,$E1283)+IF($F1283="",0,$F1283)-IF($G1283="",0,$G1283))</f>
        <v/>
      </c>
      <c r="I1283" s="12" t="n"/>
      <c r="J1283" s="12" t="n"/>
      <c r="K1283" s="12" t="n"/>
      <c r="L1283" s="14" t="n"/>
      <c r="M1283" s="12" t="n"/>
      <c r="N1283" s="12" t="n"/>
      <c r="O1283" s="12" t="n"/>
    </row>
    <row r="1284">
      <c r="A1284" s="12" t="n"/>
      <c r="B1284" s="13">
        <f>IF($A1284="","",IFERROR(INDEX(Emp_Names,MATCH($A1284,Emp_Codes,0)),"NOT FOUND"))</f>
        <v/>
      </c>
      <c r="C1284" s="14" t="n"/>
      <c r="D1284" s="15" t="n"/>
      <c r="E1284" s="15" t="n"/>
      <c r="F1284" s="15" t="n"/>
      <c r="G1284" s="15" t="n"/>
      <c r="H1284" s="16">
        <f>IF($A1284="","",$D1284+IF($E1284="",0,$E1284)+IF($F1284="",0,$F1284)-IF($G1284="",0,$G1284))</f>
        <v/>
      </c>
      <c r="I1284" s="12" t="n"/>
      <c r="J1284" s="12" t="n"/>
      <c r="K1284" s="12" t="n"/>
      <c r="L1284" s="14" t="n"/>
      <c r="M1284" s="12" t="n"/>
      <c r="N1284" s="12" t="n"/>
      <c r="O1284" s="12" t="n"/>
    </row>
    <row r="1285">
      <c r="A1285" s="12" t="n"/>
      <c r="B1285" s="13">
        <f>IF($A1285="","",IFERROR(INDEX(Emp_Names,MATCH($A1285,Emp_Codes,0)),"NOT FOUND"))</f>
        <v/>
      </c>
      <c r="C1285" s="14" t="n"/>
      <c r="D1285" s="15" t="n"/>
      <c r="E1285" s="15" t="n"/>
      <c r="F1285" s="15" t="n"/>
      <c r="G1285" s="15" t="n"/>
      <c r="H1285" s="16">
        <f>IF($A1285="","",$D1285+IF($E1285="",0,$E1285)+IF($F1285="",0,$F1285)-IF($G1285="",0,$G1285))</f>
        <v/>
      </c>
      <c r="I1285" s="12" t="n"/>
      <c r="J1285" s="12" t="n"/>
      <c r="K1285" s="12" t="n"/>
      <c r="L1285" s="14" t="n"/>
      <c r="M1285" s="12" t="n"/>
      <c r="N1285" s="12" t="n"/>
      <c r="O1285" s="12" t="n"/>
    </row>
    <row r="1286">
      <c r="A1286" s="12" t="n"/>
      <c r="B1286" s="13">
        <f>IF($A1286="","",IFERROR(INDEX(Emp_Names,MATCH($A1286,Emp_Codes,0)),"NOT FOUND"))</f>
        <v/>
      </c>
      <c r="C1286" s="14" t="n"/>
      <c r="D1286" s="15" t="n"/>
      <c r="E1286" s="15" t="n"/>
      <c r="F1286" s="15" t="n"/>
      <c r="G1286" s="15" t="n"/>
      <c r="H1286" s="16">
        <f>IF($A1286="","",$D1286+IF($E1286="",0,$E1286)+IF($F1286="",0,$F1286)-IF($G1286="",0,$G1286))</f>
        <v/>
      </c>
      <c r="I1286" s="12" t="n"/>
      <c r="J1286" s="12" t="n"/>
      <c r="K1286" s="12" t="n"/>
      <c r="L1286" s="14" t="n"/>
      <c r="M1286" s="12" t="n"/>
      <c r="N1286" s="12" t="n"/>
      <c r="O1286" s="12" t="n"/>
    </row>
    <row r="1287">
      <c r="A1287" s="12" t="n"/>
      <c r="B1287" s="13">
        <f>IF($A1287="","",IFERROR(INDEX(Emp_Names,MATCH($A1287,Emp_Codes,0)),"NOT FOUND"))</f>
        <v/>
      </c>
      <c r="C1287" s="14" t="n"/>
      <c r="D1287" s="15" t="n"/>
      <c r="E1287" s="15" t="n"/>
      <c r="F1287" s="15" t="n"/>
      <c r="G1287" s="15" t="n"/>
      <c r="H1287" s="16">
        <f>IF($A1287="","",$D1287+IF($E1287="",0,$E1287)+IF($F1287="",0,$F1287)-IF($G1287="",0,$G1287))</f>
        <v/>
      </c>
      <c r="I1287" s="12" t="n"/>
      <c r="J1287" s="12" t="n"/>
      <c r="K1287" s="12" t="n"/>
      <c r="L1287" s="14" t="n"/>
      <c r="M1287" s="12" t="n"/>
      <c r="N1287" s="12" t="n"/>
      <c r="O1287" s="12" t="n"/>
    </row>
    <row r="1288">
      <c r="A1288" s="12" t="n"/>
      <c r="B1288" s="13">
        <f>IF($A1288="","",IFERROR(INDEX(Emp_Names,MATCH($A1288,Emp_Codes,0)),"NOT FOUND"))</f>
        <v/>
      </c>
      <c r="C1288" s="14" t="n"/>
      <c r="D1288" s="15" t="n"/>
      <c r="E1288" s="15" t="n"/>
      <c r="F1288" s="15" t="n"/>
      <c r="G1288" s="15" t="n"/>
      <c r="H1288" s="16">
        <f>IF($A1288="","",$D1288+IF($E1288="",0,$E1288)+IF($F1288="",0,$F1288)-IF($G1288="",0,$G1288))</f>
        <v/>
      </c>
      <c r="I1288" s="12" t="n"/>
      <c r="J1288" s="12" t="n"/>
      <c r="K1288" s="12" t="n"/>
      <c r="L1288" s="14" t="n"/>
      <c r="M1288" s="12" t="n"/>
      <c r="N1288" s="12" t="n"/>
      <c r="O1288" s="12" t="n"/>
    </row>
    <row r="1289">
      <c r="A1289" s="12" t="n"/>
      <c r="B1289" s="13">
        <f>IF($A1289="","",IFERROR(INDEX(Emp_Names,MATCH($A1289,Emp_Codes,0)),"NOT FOUND"))</f>
        <v/>
      </c>
      <c r="C1289" s="14" t="n"/>
      <c r="D1289" s="15" t="n"/>
      <c r="E1289" s="15" t="n"/>
      <c r="F1289" s="15" t="n"/>
      <c r="G1289" s="15" t="n"/>
      <c r="H1289" s="16">
        <f>IF($A1289="","",$D1289+IF($E1289="",0,$E1289)+IF($F1289="",0,$F1289)-IF($G1289="",0,$G1289))</f>
        <v/>
      </c>
      <c r="I1289" s="12" t="n"/>
      <c r="J1289" s="12" t="n"/>
      <c r="K1289" s="12" t="n"/>
      <c r="L1289" s="14" t="n"/>
      <c r="M1289" s="12" t="n"/>
      <c r="N1289" s="12" t="n"/>
      <c r="O1289" s="12" t="n"/>
    </row>
    <row r="1290">
      <c r="A1290" s="12" t="n"/>
      <c r="B1290" s="13">
        <f>IF($A1290="","",IFERROR(INDEX(Emp_Names,MATCH($A1290,Emp_Codes,0)),"NOT FOUND"))</f>
        <v/>
      </c>
      <c r="C1290" s="14" t="n"/>
      <c r="D1290" s="15" t="n"/>
      <c r="E1290" s="15" t="n"/>
      <c r="F1290" s="15" t="n"/>
      <c r="G1290" s="15" t="n"/>
      <c r="H1290" s="16">
        <f>IF($A1290="","",$D1290+IF($E1290="",0,$E1290)+IF($F1290="",0,$F1290)-IF($G1290="",0,$G1290))</f>
        <v/>
      </c>
      <c r="I1290" s="12" t="n"/>
      <c r="J1290" s="12" t="n"/>
      <c r="K1290" s="12" t="n"/>
      <c r="L1290" s="14" t="n"/>
      <c r="M1290" s="12" t="n"/>
      <c r="N1290" s="12" t="n"/>
      <c r="O1290" s="12" t="n"/>
    </row>
    <row r="1291">
      <c r="A1291" s="12" t="n"/>
      <c r="B1291" s="13">
        <f>IF($A1291="","",IFERROR(INDEX(Emp_Names,MATCH($A1291,Emp_Codes,0)),"NOT FOUND"))</f>
        <v/>
      </c>
      <c r="C1291" s="14" t="n"/>
      <c r="D1291" s="15" t="n"/>
      <c r="E1291" s="15" t="n"/>
      <c r="F1291" s="15" t="n"/>
      <c r="G1291" s="15" t="n"/>
      <c r="H1291" s="16">
        <f>IF($A1291="","",$D1291+IF($E1291="",0,$E1291)+IF($F1291="",0,$F1291)-IF($G1291="",0,$G1291))</f>
        <v/>
      </c>
      <c r="I1291" s="12" t="n"/>
      <c r="J1291" s="12" t="n"/>
      <c r="K1291" s="12" t="n"/>
      <c r="L1291" s="14" t="n"/>
      <c r="M1291" s="12" t="n"/>
      <c r="N1291" s="12" t="n"/>
      <c r="O1291" s="12" t="n"/>
    </row>
    <row r="1292">
      <c r="A1292" s="12" t="n"/>
      <c r="B1292" s="13">
        <f>IF($A1292="","",IFERROR(INDEX(Emp_Names,MATCH($A1292,Emp_Codes,0)),"NOT FOUND"))</f>
        <v/>
      </c>
      <c r="C1292" s="14" t="n"/>
      <c r="D1292" s="15" t="n"/>
      <c r="E1292" s="15" t="n"/>
      <c r="F1292" s="15" t="n"/>
      <c r="G1292" s="15" t="n"/>
      <c r="H1292" s="16">
        <f>IF($A1292="","",$D1292+IF($E1292="",0,$E1292)+IF($F1292="",0,$F1292)-IF($G1292="",0,$G1292))</f>
        <v/>
      </c>
      <c r="I1292" s="12" t="n"/>
      <c r="J1292" s="12" t="n"/>
      <c r="K1292" s="12" t="n"/>
      <c r="L1292" s="14" t="n"/>
      <c r="M1292" s="12" t="n"/>
      <c r="N1292" s="12" t="n"/>
      <c r="O1292" s="12" t="n"/>
    </row>
    <row r="1293">
      <c r="A1293" s="12" t="n"/>
      <c r="B1293" s="13">
        <f>IF($A1293="","",IFERROR(INDEX(Emp_Names,MATCH($A1293,Emp_Codes,0)),"NOT FOUND"))</f>
        <v/>
      </c>
      <c r="C1293" s="14" t="n"/>
      <c r="D1293" s="15" t="n"/>
      <c r="E1293" s="15" t="n"/>
      <c r="F1293" s="15" t="n"/>
      <c r="G1293" s="15" t="n"/>
      <c r="H1293" s="16">
        <f>IF($A1293="","",$D1293+IF($E1293="",0,$E1293)+IF($F1293="",0,$F1293)-IF($G1293="",0,$G1293))</f>
        <v/>
      </c>
      <c r="I1293" s="12" t="n"/>
      <c r="J1293" s="12" t="n"/>
      <c r="K1293" s="12" t="n"/>
      <c r="L1293" s="14" t="n"/>
      <c r="M1293" s="12" t="n"/>
      <c r="N1293" s="12" t="n"/>
      <c r="O1293" s="12" t="n"/>
    </row>
    <row r="1294">
      <c r="A1294" s="12" t="n"/>
      <c r="B1294" s="13">
        <f>IF($A1294="","",IFERROR(INDEX(Emp_Names,MATCH($A1294,Emp_Codes,0)),"NOT FOUND"))</f>
        <v/>
      </c>
      <c r="C1294" s="14" t="n"/>
      <c r="D1294" s="15" t="n"/>
      <c r="E1294" s="15" t="n"/>
      <c r="F1294" s="15" t="n"/>
      <c r="G1294" s="15" t="n"/>
      <c r="H1294" s="16">
        <f>IF($A1294="","",$D1294+IF($E1294="",0,$E1294)+IF($F1294="",0,$F1294)-IF($G1294="",0,$G1294))</f>
        <v/>
      </c>
      <c r="I1294" s="12" t="n"/>
      <c r="J1294" s="12" t="n"/>
      <c r="K1294" s="12" t="n"/>
      <c r="L1294" s="14" t="n"/>
      <c r="M1294" s="12" t="n"/>
      <c r="N1294" s="12" t="n"/>
      <c r="O1294" s="12" t="n"/>
    </row>
    <row r="1295">
      <c r="A1295" s="12" t="n"/>
      <c r="B1295" s="13">
        <f>IF($A1295="","",IFERROR(INDEX(Emp_Names,MATCH($A1295,Emp_Codes,0)),"NOT FOUND"))</f>
        <v/>
      </c>
      <c r="C1295" s="14" t="n"/>
      <c r="D1295" s="15" t="n"/>
      <c r="E1295" s="15" t="n"/>
      <c r="F1295" s="15" t="n"/>
      <c r="G1295" s="15" t="n"/>
      <c r="H1295" s="16">
        <f>IF($A1295="","",$D1295+IF($E1295="",0,$E1295)+IF($F1295="",0,$F1295)-IF($G1295="",0,$G1295))</f>
        <v/>
      </c>
      <c r="I1295" s="12" t="n"/>
      <c r="J1295" s="12" t="n"/>
      <c r="K1295" s="12" t="n"/>
      <c r="L1295" s="14" t="n"/>
      <c r="M1295" s="12" t="n"/>
      <c r="N1295" s="12" t="n"/>
      <c r="O1295" s="12" t="n"/>
    </row>
    <row r="1296">
      <c r="A1296" s="12" t="n"/>
      <c r="B1296" s="13">
        <f>IF($A1296="","",IFERROR(INDEX(Emp_Names,MATCH($A1296,Emp_Codes,0)),"NOT FOUND"))</f>
        <v/>
      </c>
      <c r="C1296" s="14" t="n"/>
      <c r="D1296" s="15" t="n"/>
      <c r="E1296" s="15" t="n"/>
      <c r="F1296" s="15" t="n"/>
      <c r="G1296" s="15" t="n"/>
      <c r="H1296" s="16">
        <f>IF($A1296="","",$D1296+IF($E1296="",0,$E1296)+IF($F1296="",0,$F1296)-IF($G1296="",0,$G1296))</f>
        <v/>
      </c>
      <c r="I1296" s="12" t="n"/>
      <c r="J1296" s="12" t="n"/>
      <c r="K1296" s="12" t="n"/>
      <c r="L1296" s="14" t="n"/>
      <c r="M1296" s="12" t="n"/>
      <c r="N1296" s="12" t="n"/>
      <c r="O1296" s="12" t="n"/>
    </row>
    <row r="1297">
      <c r="A1297" s="12" t="n"/>
      <c r="B1297" s="13">
        <f>IF($A1297="","",IFERROR(INDEX(Emp_Names,MATCH($A1297,Emp_Codes,0)),"NOT FOUND"))</f>
        <v/>
      </c>
      <c r="C1297" s="14" t="n"/>
      <c r="D1297" s="15" t="n"/>
      <c r="E1297" s="15" t="n"/>
      <c r="F1297" s="15" t="n"/>
      <c r="G1297" s="15" t="n"/>
      <c r="H1297" s="16">
        <f>IF($A1297="","",$D1297+IF($E1297="",0,$E1297)+IF($F1297="",0,$F1297)-IF($G1297="",0,$G1297))</f>
        <v/>
      </c>
      <c r="I1297" s="12" t="n"/>
      <c r="J1297" s="12" t="n"/>
      <c r="K1297" s="12" t="n"/>
      <c r="L1297" s="14" t="n"/>
      <c r="M1297" s="12" t="n"/>
      <c r="N1297" s="12" t="n"/>
      <c r="O1297" s="12" t="n"/>
    </row>
    <row r="1298">
      <c r="A1298" s="12" t="n"/>
      <c r="B1298" s="13">
        <f>IF($A1298="","",IFERROR(INDEX(Emp_Names,MATCH($A1298,Emp_Codes,0)),"NOT FOUND"))</f>
        <v/>
      </c>
      <c r="C1298" s="14" t="n"/>
      <c r="D1298" s="15" t="n"/>
      <c r="E1298" s="15" t="n"/>
      <c r="F1298" s="15" t="n"/>
      <c r="G1298" s="15" t="n"/>
      <c r="H1298" s="16">
        <f>IF($A1298="","",$D1298+IF($E1298="",0,$E1298)+IF($F1298="",0,$F1298)-IF($G1298="",0,$G1298))</f>
        <v/>
      </c>
      <c r="I1298" s="12" t="n"/>
      <c r="J1298" s="12" t="n"/>
      <c r="K1298" s="12" t="n"/>
      <c r="L1298" s="14" t="n"/>
      <c r="M1298" s="12" t="n"/>
      <c r="N1298" s="12" t="n"/>
      <c r="O1298" s="12" t="n"/>
    </row>
    <row r="1299">
      <c r="A1299" s="12" t="n"/>
      <c r="B1299" s="13">
        <f>IF($A1299="","",IFERROR(INDEX(Emp_Names,MATCH($A1299,Emp_Codes,0)),"NOT FOUND"))</f>
        <v/>
      </c>
      <c r="C1299" s="14" t="n"/>
      <c r="D1299" s="15" t="n"/>
      <c r="E1299" s="15" t="n"/>
      <c r="F1299" s="15" t="n"/>
      <c r="G1299" s="15" t="n"/>
      <c r="H1299" s="16">
        <f>IF($A1299="","",$D1299+IF($E1299="",0,$E1299)+IF($F1299="",0,$F1299)-IF($G1299="",0,$G1299))</f>
        <v/>
      </c>
      <c r="I1299" s="12" t="n"/>
      <c r="J1299" s="12" t="n"/>
      <c r="K1299" s="12" t="n"/>
      <c r="L1299" s="14" t="n"/>
      <c r="M1299" s="12" t="n"/>
      <c r="N1299" s="12" t="n"/>
      <c r="O1299" s="12" t="n"/>
    </row>
    <row r="1300">
      <c r="A1300" s="12" t="n"/>
      <c r="B1300" s="13">
        <f>IF($A1300="","",IFERROR(INDEX(Emp_Names,MATCH($A1300,Emp_Codes,0)),"NOT FOUND"))</f>
        <v/>
      </c>
      <c r="C1300" s="14" t="n"/>
      <c r="D1300" s="15" t="n"/>
      <c r="E1300" s="15" t="n"/>
      <c r="F1300" s="15" t="n"/>
      <c r="G1300" s="15" t="n"/>
      <c r="H1300" s="16">
        <f>IF($A1300="","",$D1300+IF($E1300="",0,$E1300)+IF($F1300="",0,$F1300)-IF($G1300="",0,$G1300))</f>
        <v/>
      </c>
      <c r="I1300" s="12" t="n"/>
      <c r="J1300" s="12" t="n"/>
      <c r="K1300" s="12" t="n"/>
      <c r="L1300" s="14" t="n"/>
      <c r="M1300" s="12" t="n"/>
      <c r="N1300" s="12" t="n"/>
      <c r="O1300" s="12" t="n"/>
    </row>
    <row r="1301">
      <c r="A1301" s="12" t="n"/>
      <c r="B1301" s="13">
        <f>IF($A1301="","",IFERROR(INDEX(Emp_Names,MATCH($A1301,Emp_Codes,0)),"NOT FOUND"))</f>
        <v/>
      </c>
      <c r="C1301" s="14" t="n"/>
      <c r="D1301" s="15" t="n"/>
      <c r="E1301" s="15" t="n"/>
      <c r="F1301" s="15" t="n"/>
      <c r="G1301" s="15" t="n"/>
      <c r="H1301" s="16">
        <f>IF($A1301="","",$D1301+IF($E1301="",0,$E1301)+IF($F1301="",0,$F1301)-IF($G1301="",0,$G1301))</f>
        <v/>
      </c>
      <c r="I1301" s="12" t="n"/>
      <c r="J1301" s="12" t="n"/>
      <c r="K1301" s="12" t="n"/>
      <c r="L1301" s="14" t="n"/>
      <c r="M1301" s="12" t="n"/>
      <c r="N1301" s="12" t="n"/>
      <c r="O1301" s="12" t="n"/>
    </row>
    <row r="1302">
      <c r="A1302" s="12" t="n"/>
      <c r="B1302" s="13">
        <f>IF($A1302="","",IFERROR(INDEX(Emp_Names,MATCH($A1302,Emp_Codes,0)),"NOT FOUND"))</f>
        <v/>
      </c>
      <c r="C1302" s="14" t="n"/>
      <c r="D1302" s="15" t="n"/>
      <c r="E1302" s="15" t="n"/>
      <c r="F1302" s="15" t="n"/>
      <c r="G1302" s="15" t="n"/>
      <c r="H1302" s="16">
        <f>IF($A1302="","",$D1302+IF($E1302="",0,$E1302)+IF($F1302="",0,$F1302)-IF($G1302="",0,$G1302))</f>
        <v/>
      </c>
      <c r="I1302" s="12" t="n"/>
      <c r="J1302" s="12" t="n"/>
      <c r="K1302" s="12" t="n"/>
      <c r="L1302" s="14" t="n"/>
      <c r="M1302" s="12" t="n"/>
      <c r="N1302" s="12" t="n"/>
      <c r="O1302" s="12" t="n"/>
    </row>
    <row r="1303">
      <c r="A1303" s="12" t="n"/>
      <c r="B1303" s="13">
        <f>IF($A1303="","",IFERROR(INDEX(Emp_Names,MATCH($A1303,Emp_Codes,0)),"NOT FOUND"))</f>
        <v/>
      </c>
      <c r="C1303" s="14" t="n"/>
      <c r="D1303" s="15" t="n"/>
      <c r="E1303" s="15" t="n"/>
      <c r="F1303" s="15" t="n"/>
      <c r="G1303" s="15" t="n"/>
      <c r="H1303" s="16">
        <f>IF($A1303="","",$D1303+IF($E1303="",0,$E1303)+IF($F1303="",0,$F1303)-IF($G1303="",0,$G1303))</f>
        <v/>
      </c>
      <c r="I1303" s="12" t="n"/>
      <c r="J1303" s="12" t="n"/>
      <c r="K1303" s="12" t="n"/>
      <c r="L1303" s="14" t="n"/>
      <c r="M1303" s="12" t="n"/>
      <c r="N1303" s="12" t="n"/>
      <c r="O1303" s="12" t="n"/>
    </row>
    <row r="1304">
      <c r="A1304" s="12" t="n"/>
      <c r="B1304" s="13">
        <f>IF($A1304="","",IFERROR(INDEX(Emp_Names,MATCH($A1304,Emp_Codes,0)),"NOT FOUND"))</f>
        <v/>
      </c>
      <c r="C1304" s="14" t="n"/>
      <c r="D1304" s="15" t="n"/>
      <c r="E1304" s="15" t="n"/>
      <c r="F1304" s="15" t="n"/>
      <c r="G1304" s="15" t="n"/>
      <c r="H1304" s="16">
        <f>IF($A1304="","",$D1304+IF($E1304="",0,$E1304)+IF($F1304="",0,$F1304)-IF($G1304="",0,$G1304))</f>
        <v/>
      </c>
      <c r="I1304" s="12" t="n"/>
      <c r="J1304" s="12" t="n"/>
      <c r="K1304" s="12" t="n"/>
      <c r="L1304" s="14" t="n"/>
      <c r="M1304" s="12" t="n"/>
      <c r="N1304" s="12" t="n"/>
      <c r="O1304" s="12" t="n"/>
    </row>
    <row r="1305">
      <c r="A1305" s="12" t="n"/>
      <c r="B1305" s="13">
        <f>IF($A1305="","",IFERROR(INDEX(Emp_Names,MATCH($A1305,Emp_Codes,0)),"NOT FOUND"))</f>
        <v/>
      </c>
      <c r="C1305" s="14" t="n"/>
      <c r="D1305" s="15" t="n"/>
      <c r="E1305" s="15" t="n"/>
      <c r="F1305" s="15" t="n"/>
      <c r="G1305" s="15" t="n"/>
      <c r="H1305" s="16">
        <f>IF($A1305="","",$D1305+IF($E1305="",0,$E1305)+IF($F1305="",0,$F1305)-IF($G1305="",0,$G1305))</f>
        <v/>
      </c>
      <c r="I1305" s="12" t="n"/>
      <c r="J1305" s="12" t="n"/>
      <c r="K1305" s="12" t="n"/>
      <c r="L1305" s="14" t="n"/>
      <c r="M1305" s="12" t="n"/>
      <c r="N1305" s="12" t="n"/>
      <c r="O1305" s="12" t="n"/>
    </row>
    <row r="1306">
      <c r="A1306" s="12" t="n"/>
      <c r="B1306" s="13">
        <f>IF($A1306="","",IFERROR(INDEX(Emp_Names,MATCH($A1306,Emp_Codes,0)),"NOT FOUND"))</f>
        <v/>
      </c>
      <c r="C1306" s="14" t="n"/>
      <c r="D1306" s="15" t="n"/>
      <c r="E1306" s="15" t="n"/>
      <c r="F1306" s="15" t="n"/>
      <c r="G1306" s="15" t="n"/>
      <c r="H1306" s="16">
        <f>IF($A1306="","",$D1306+IF($E1306="",0,$E1306)+IF($F1306="",0,$F1306)-IF($G1306="",0,$G1306))</f>
        <v/>
      </c>
      <c r="I1306" s="12" t="n"/>
      <c r="J1306" s="12" t="n"/>
      <c r="K1306" s="12" t="n"/>
      <c r="L1306" s="14" t="n"/>
      <c r="M1306" s="12" t="n"/>
      <c r="N1306" s="12" t="n"/>
      <c r="O1306" s="12" t="n"/>
    </row>
    <row r="1307">
      <c r="A1307" s="12" t="n"/>
      <c r="B1307" s="13">
        <f>IF($A1307="","",IFERROR(INDEX(Emp_Names,MATCH($A1307,Emp_Codes,0)),"NOT FOUND"))</f>
        <v/>
      </c>
      <c r="C1307" s="14" t="n"/>
      <c r="D1307" s="15" t="n"/>
      <c r="E1307" s="15" t="n"/>
      <c r="F1307" s="15" t="n"/>
      <c r="G1307" s="15" t="n"/>
      <c r="H1307" s="16">
        <f>IF($A1307="","",$D1307+IF($E1307="",0,$E1307)+IF($F1307="",0,$F1307)-IF($G1307="",0,$G1307))</f>
        <v/>
      </c>
      <c r="I1307" s="12" t="n"/>
      <c r="J1307" s="12" t="n"/>
      <c r="K1307" s="12" t="n"/>
      <c r="L1307" s="14" t="n"/>
      <c r="M1307" s="12" t="n"/>
      <c r="N1307" s="12" t="n"/>
      <c r="O1307" s="12" t="n"/>
    </row>
    <row r="1308">
      <c r="A1308" s="12" t="n"/>
      <c r="B1308" s="13">
        <f>IF($A1308="","",IFERROR(INDEX(Emp_Names,MATCH($A1308,Emp_Codes,0)),"NOT FOUND"))</f>
        <v/>
      </c>
      <c r="C1308" s="14" t="n"/>
      <c r="D1308" s="15" t="n"/>
      <c r="E1308" s="15" t="n"/>
      <c r="F1308" s="15" t="n"/>
      <c r="G1308" s="15" t="n"/>
      <c r="H1308" s="16">
        <f>IF($A1308="","",$D1308+IF($E1308="",0,$E1308)+IF($F1308="",0,$F1308)-IF($G1308="",0,$G1308))</f>
        <v/>
      </c>
      <c r="I1308" s="12" t="n"/>
      <c r="J1308" s="12" t="n"/>
      <c r="K1308" s="12" t="n"/>
      <c r="L1308" s="14" t="n"/>
      <c r="M1308" s="12" t="n"/>
      <c r="N1308" s="12" t="n"/>
      <c r="O1308" s="12" t="n"/>
    </row>
    <row r="1309">
      <c r="A1309" s="12" t="n"/>
      <c r="B1309" s="13">
        <f>IF($A1309="","",IFERROR(INDEX(Emp_Names,MATCH($A1309,Emp_Codes,0)),"NOT FOUND"))</f>
        <v/>
      </c>
      <c r="C1309" s="14" t="n"/>
      <c r="D1309" s="15" t="n"/>
      <c r="E1309" s="15" t="n"/>
      <c r="F1309" s="15" t="n"/>
      <c r="G1309" s="15" t="n"/>
      <c r="H1309" s="16">
        <f>IF($A1309="","",$D1309+IF($E1309="",0,$E1309)+IF($F1309="",0,$F1309)-IF($G1309="",0,$G1309))</f>
        <v/>
      </c>
      <c r="I1309" s="12" t="n"/>
      <c r="J1309" s="12" t="n"/>
      <c r="K1309" s="12" t="n"/>
      <c r="L1309" s="14" t="n"/>
      <c r="M1309" s="12" t="n"/>
      <c r="N1309" s="12" t="n"/>
      <c r="O1309" s="12" t="n"/>
    </row>
    <row r="1310">
      <c r="A1310" s="12" t="n"/>
      <c r="B1310" s="13">
        <f>IF($A1310="","",IFERROR(INDEX(Emp_Names,MATCH($A1310,Emp_Codes,0)),"NOT FOUND"))</f>
        <v/>
      </c>
      <c r="C1310" s="14" t="n"/>
      <c r="D1310" s="15" t="n"/>
      <c r="E1310" s="15" t="n"/>
      <c r="F1310" s="15" t="n"/>
      <c r="G1310" s="15" t="n"/>
      <c r="H1310" s="16">
        <f>IF($A1310="","",$D1310+IF($E1310="",0,$E1310)+IF($F1310="",0,$F1310)-IF($G1310="",0,$G1310))</f>
        <v/>
      </c>
      <c r="I1310" s="12" t="n"/>
      <c r="J1310" s="12" t="n"/>
      <c r="K1310" s="12" t="n"/>
      <c r="L1310" s="14" t="n"/>
      <c r="M1310" s="12" t="n"/>
      <c r="N1310" s="12" t="n"/>
      <c r="O1310" s="12" t="n"/>
    </row>
    <row r="1311">
      <c r="A1311" s="12" t="n"/>
      <c r="B1311" s="13">
        <f>IF($A1311="","",IFERROR(INDEX(Emp_Names,MATCH($A1311,Emp_Codes,0)),"NOT FOUND"))</f>
        <v/>
      </c>
      <c r="C1311" s="14" t="n"/>
      <c r="D1311" s="15" t="n"/>
      <c r="E1311" s="15" t="n"/>
      <c r="F1311" s="15" t="n"/>
      <c r="G1311" s="15" t="n"/>
      <c r="H1311" s="16">
        <f>IF($A1311="","",$D1311+IF($E1311="",0,$E1311)+IF($F1311="",0,$F1311)-IF($G1311="",0,$G1311))</f>
        <v/>
      </c>
      <c r="I1311" s="12" t="n"/>
      <c r="J1311" s="12" t="n"/>
      <c r="K1311" s="12" t="n"/>
      <c r="L1311" s="14" t="n"/>
      <c r="M1311" s="12" t="n"/>
      <c r="N1311" s="12" t="n"/>
      <c r="O1311" s="12" t="n"/>
    </row>
    <row r="1312">
      <c r="A1312" s="12" t="n"/>
      <c r="B1312" s="13">
        <f>IF($A1312="","",IFERROR(INDEX(Emp_Names,MATCH($A1312,Emp_Codes,0)),"NOT FOUND"))</f>
        <v/>
      </c>
      <c r="C1312" s="14" t="n"/>
      <c r="D1312" s="15" t="n"/>
      <c r="E1312" s="15" t="n"/>
      <c r="F1312" s="15" t="n"/>
      <c r="G1312" s="15" t="n"/>
      <c r="H1312" s="16">
        <f>IF($A1312="","",$D1312+IF($E1312="",0,$E1312)+IF($F1312="",0,$F1312)-IF($G1312="",0,$G1312))</f>
        <v/>
      </c>
      <c r="I1312" s="12" t="n"/>
      <c r="J1312" s="12" t="n"/>
      <c r="K1312" s="12" t="n"/>
      <c r="L1312" s="14" t="n"/>
      <c r="M1312" s="12" t="n"/>
      <c r="N1312" s="12" t="n"/>
      <c r="O1312" s="12" t="n"/>
    </row>
    <row r="1313">
      <c r="A1313" s="12" t="n"/>
      <c r="B1313" s="13">
        <f>IF($A1313="","",IFERROR(INDEX(Emp_Names,MATCH($A1313,Emp_Codes,0)),"NOT FOUND"))</f>
        <v/>
      </c>
      <c r="C1313" s="14" t="n"/>
      <c r="D1313" s="15" t="n"/>
      <c r="E1313" s="15" t="n"/>
      <c r="F1313" s="15" t="n"/>
      <c r="G1313" s="15" t="n"/>
      <c r="H1313" s="16">
        <f>IF($A1313="","",$D1313+IF($E1313="",0,$E1313)+IF($F1313="",0,$F1313)-IF($G1313="",0,$G1313))</f>
        <v/>
      </c>
      <c r="I1313" s="12" t="n"/>
      <c r="J1313" s="12" t="n"/>
      <c r="K1313" s="12" t="n"/>
      <c r="L1313" s="14" t="n"/>
      <c r="M1313" s="12" t="n"/>
      <c r="N1313" s="12" t="n"/>
      <c r="O1313" s="12" t="n"/>
    </row>
    <row r="1314">
      <c r="A1314" s="12" t="n"/>
      <c r="B1314" s="13">
        <f>IF($A1314="","",IFERROR(INDEX(Emp_Names,MATCH($A1314,Emp_Codes,0)),"NOT FOUND"))</f>
        <v/>
      </c>
      <c r="C1314" s="14" t="n"/>
      <c r="D1314" s="15" t="n"/>
      <c r="E1314" s="15" t="n"/>
      <c r="F1314" s="15" t="n"/>
      <c r="G1314" s="15" t="n"/>
      <c r="H1314" s="16">
        <f>IF($A1314="","",$D1314+IF($E1314="",0,$E1314)+IF($F1314="",0,$F1314)-IF($G1314="",0,$G1314))</f>
        <v/>
      </c>
      <c r="I1314" s="12" t="n"/>
      <c r="J1314" s="12" t="n"/>
      <c r="K1314" s="12" t="n"/>
      <c r="L1314" s="14" t="n"/>
      <c r="M1314" s="12" t="n"/>
      <c r="N1314" s="12" t="n"/>
      <c r="O1314" s="12" t="n"/>
    </row>
    <row r="1315">
      <c r="A1315" s="12" t="n"/>
      <c r="B1315" s="13">
        <f>IF($A1315="","",IFERROR(INDEX(Emp_Names,MATCH($A1315,Emp_Codes,0)),"NOT FOUND"))</f>
        <v/>
      </c>
      <c r="C1315" s="14" t="n"/>
      <c r="D1315" s="15" t="n"/>
      <c r="E1315" s="15" t="n"/>
      <c r="F1315" s="15" t="n"/>
      <c r="G1315" s="15" t="n"/>
      <c r="H1315" s="16">
        <f>IF($A1315="","",$D1315+IF($E1315="",0,$E1315)+IF($F1315="",0,$F1315)-IF($G1315="",0,$G1315))</f>
        <v/>
      </c>
      <c r="I1315" s="12" t="n"/>
      <c r="J1315" s="12" t="n"/>
      <c r="K1315" s="12" t="n"/>
      <c r="L1315" s="14" t="n"/>
      <c r="M1315" s="12" t="n"/>
      <c r="N1315" s="12" t="n"/>
      <c r="O1315" s="12" t="n"/>
    </row>
    <row r="1316">
      <c r="A1316" s="12" t="n"/>
      <c r="B1316" s="13">
        <f>IF($A1316="","",IFERROR(INDEX(Emp_Names,MATCH($A1316,Emp_Codes,0)),"NOT FOUND"))</f>
        <v/>
      </c>
      <c r="C1316" s="14" t="n"/>
      <c r="D1316" s="15" t="n"/>
      <c r="E1316" s="15" t="n"/>
      <c r="F1316" s="15" t="n"/>
      <c r="G1316" s="15" t="n"/>
      <c r="H1316" s="16">
        <f>IF($A1316="","",$D1316+IF($E1316="",0,$E1316)+IF($F1316="",0,$F1316)-IF($G1316="",0,$G1316))</f>
        <v/>
      </c>
      <c r="I1316" s="12" t="n"/>
      <c r="J1316" s="12" t="n"/>
      <c r="K1316" s="12" t="n"/>
      <c r="L1316" s="14" t="n"/>
      <c r="M1316" s="12" t="n"/>
      <c r="N1316" s="12" t="n"/>
      <c r="O1316" s="12" t="n"/>
    </row>
    <row r="1317">
      <c r="A1317" s="12" t="n"/>
      <c r="B1317" s="13">
        <f>IF($A1317="","",IFERROR(INDEX(Emp_Names,MATCH($A1317,Emp_Codes,0)),"NOT FOUND"))</f>
        <v/>
      </c>
      <c r="C1317" s="14" t="n"/>
      <c r="D1317" s="15" t="n"/>
      <c r="E1317" s="15" t="n"/>
      <c r="F1317" s="15" t="n"/>
      <c r="G1317" s="15" t="n"/>
      <c r="H1317" s="16">
        <f>IF($A1317="","",$D1317+IF($E1317="",0,$E1317)+IF($F1317="",0,$F1317)-IF($G1317="",0,$G1317))</f>
        <v/>
      </c>
      <c r="I1317" s="12" t="n"/>
      <c r="J1317" s="12" t="n"/>
      <c r="K1317" s="12" t="n"/>
      <c r="L1317" s="14" t="n"/>
      <c r="M1317" s="12" t="n"/>
      <c r="N1317" s="12" t="n"/>
      <c r="O1317" s="12" t="n"/>
    </row>
    <row r="1318">
      <c r="A1318" s="12" t="n"/>
      <c r="B1318" s="13">
        <f>IF($A1318="","",IFERROR(INDEX(Emp_Names,MATCH($A1318,Emp_Codes,0)),"NOT FOUND"))</f>
        <v/>
      </c>
      <c r="C1318" s="14" t="n"/>
      <c r="D1318" s="15" t="n"/>
      <c r="E1318" s="15" t="n"/>
      <c r="F1318" s="15" t="n"/>
      <c r="G1318" s="15" t="n"/>
      <c r="H1318" s="16">
        <f>IF($A1318="","",$D1318+IF($E1318="",0,$E1318)+IF($F1318="",0,$F1318)-IF($G1318="",0,$G1318))</f>
        <v/>
      </c>
      <c r="I1318" s="12" t="n"/>
      <c r="J1318" s="12" t="n"/>
      <c r="K1318" s="12" t="n"/>
      <c r="L1318" s="14" t="n"/>
      <c r="M1318" s="12" t="n"/>
      <c r="N1318" s="12" t="n"/>
      <c r="O1318" s="12" t="n"/>
    </row>
    <row r="1319">
      <c r="A1319" s="12" t="n"/>
      <c r="B1319" s="13">
        <f>IF($A1319="","",IFERROR(INDEX(Emp_Names,MATCH($A1319,Emp_Codes,0)),"NOT FOUND"))</f>
        <v/>
      </c>
      <c r="C1319" s="14" t="n"/>
      <c r="D1319" s="15" t="n"/>
      <c r="E1319" s="15" t="n"/>
      <c r="F1319" s="15" t="n"/>
      <c r="G1319" s="15" t="n"/>
      <c r="H1319" s="16">
        <f>IF($A1319="","",$D1319+IF($E1319="",0,$E1319)+IF($F1319="",0,$F1319)-IF($G1319="",0,$G1319))</f>
        <v/>
      </c>
      <c r="I1319" s="12" t="n"/>
      <c r="J1319" s="12" t="n"/>
      <c r="K1319" s="12" t="n"/>
      <c r="L1319" s="14" t="n"/>
      <c r="M1319" s="12" t="n"/>
      <c r="N1319" s="12" t="n"/>
      <c r="O1319" s="12" t="n"/>
    </row>
    <row r="1320">
      <c r="A1320" s="12" t="n"/>
      <c r="B1320" s="13">
        <f>IF($A1320="","",IFERROR(INDEX(Emp_Names,MATCH($A1320,Emp_Codes,0)),"NOT FOUND"))</f>
        <v/>
      </c>
      <c r="C1320" s="14" t="n"/>
      <c r="D1320" s="15" t="n"/>
      <c r="E1320" s="15" t="n"/>
      <c r="F1320" s="15" t="n"/>
      <c r="G1320" s="15" t="n"/>
      <c r="H1320" s="16">
        <f>IF($A1320="","",$D1320+IF($E1320="",0,$E1320)+IF($F1320="",0,$F1320)-IF($G1320="",0,$G1320))</f>
        <v/>
      </c>
      <c r="I1320" s="12" t="n"/>
      <c r="J1320" s="12" t="n"/>
      <c r="K1320" s="12" t="n"/>
      <c r="L1320" s="14" t="n"/>
      <c r="M1320" s="12" t="n"/>
      <c r="N1320" s="12" t="n"/>
      <c r="O1320" s="12" t="n"/>
    </row>
    <row r="1321">
      <c r="A1321" s="12" t="n"/>
      <c r="B1321" s="13">
        <f>IF($A1321="","",IFERROR(INDEX(Emp_Names,MATCH($A1321,Emp_Codes,0)),"NOT FOUND"))</f>
        <v/>
      </c>
      <c r="C1321" s="14" t="n"/>
      <c r="D1321" s="15" t="n"/>
      <c r="E1321" s="15" t="n"/>
      <c r="F1321" s="15" t="n"/>
      <c r="G1321" s="15" t="n"/>
      <c r="H1321" s="16">
        <f>IF($A1321="","",$D1321+IF($E1321="",0,$E1321)+IF($F1321="",0,$F1321)-IF($G1321="",0,$G1321))</f>
        <v/>
      </c>
      <c r="I1321" s="12" t="n"/>
      <c r="J1321" s="12" t="n"/>
      <c r="K1321" s="12" t="n"/>
      <c r="L1321" s="14" t="n"/>
      <c r="M1321" s="12" t="n"/>
      <c r="N1321" s="12" t="n"/>
      <c r="O1321" s="12" t="n"/>
    </row>
    <row r="1322">
      <c r="A1322" s="12" t="n"/>
      <c r="B1322" s="13">
        <f>IF($A1322="","",IFERROR(INDEX(Emp_Names,MATCH($A1322,Emp_Codes,0)),"NOT FOUND"))</f>
        <v/>
      </c>
      <c r="C1322" s="14" t="n"/>
      <c r="D1322" s="15" t="n"/>
      <c r="E1322" s="15" t="n"/>
      <c r="F1322" s="15" t="n"/>
      <c r="G1322" s="15" t="n"/>
      <c r="H1322" s="16">
        <f>IF($A1322="","",$D1322+IF($E1322="",0,$E1322)+IF($F1322="",0,$F1322)-IF($G1322="",0,$G1322))</f>
        <v/>
      </c>
      <c r="I1322" s="12" t="n"/>
      <c r="J1322" s="12" t="n"/>
      <c r="K1322" s="12" t="n"/>
      <c r="L1322" s="14" t="n"/>
      <c r="M1322" s="12" t="n"/>
      <c r="N1322" s="12" t="n"/>
      <c r="O1322" s="12" t="n"/>
    </row>
    <row r="1323">
      <c r="A1323" s="12" t="n"/>
      <c r="B1323" s="13">
        <f>IF($A1323="","",IFERROR(INDEX(Emp_Names,MATCH($A1323,Emp_Codes,0)),"NOT FOUND"))</f>
        <v/>
      </c>
      <c r="C1323" s="14" t="n"/>
      <c r="D1323" s="15" t="n"/>
      <c r="E1323" s="15" t="n"/>
      <c r="F1323" s="15" t="n"/>
      <c r="G1323" s="15" t="n"/>
      <c r="H1323" s="16">
        <f>IF($A1323="","",$D1323+IF($E1323="",0,$E1323)+IF($F1323="",0,$F1323)-IF($G1323="",0,$G1323))</f>
        <v/>
      </c>
      <c r="I1323" s="12" t="n"/>
      <c r="J1323" s="12" t="n"/>
      <c r="K1323" s="12" t="n"/>
      <c r="L1323" s="14" t="n"/>
      <c r="M1323" s="12" t="n"/>
      <c r="N1323" s="12" t="n"/>
      <c r="O1323" s="12" t="n"/>
    </row>
    <row r="1324">
      <c r="A1324" s="12" t="n"/>
      <c r="B1324" s="13">
        <f>IF($A1324="","",IFERROR(INDEX(Emp_Names,MATCH($A1324,Emp_Codes,0)),"NOT FOUND"))</f>
        <v/>
      </c>
      <c r="C1324" s="14" t="n"/>
      <c r="D1324" s="15" t="n"/>
      <c r="E1324" s="15" t="n"/>
      <c r="F1324" s="15" t="n"/>
      <c r="G1324" s="15" t="n"/>
      <c r="H1324" s="16">
        <f>IF($A1324="","",$D1324+IF($E1324="",0,$E1324)+IF($F1324="",0,$F1324)-IF($G1324="",0,$G1324))</f>
        <v/>
      </c>
      <c r="I1324" s="12" t="n"/>
      <c r="J1324" s="12" t="n"/>
      <c r="K1324" s="12" t="n"/>
      <c r="L1324" s="14" t="n"/>
      <c r="M1324" s="12" t="n"/>
      <c r="N1324" s="12" t="n"/>
      <c r="O1324" s="12" t="n"/>
    </row>
    <row r="1325">
      <c r="A1325" s="12" t="n"/>
      <c r="B1325" s="13">
        <f>IF($A1325="","",IFERROR(INDEX(Emp_Names,MATCH($A1325,Emp_Codes,0)),"NOT FOUND"))</f>
        <v/>
      </c>
      <c r="C1325" s="14" t="n"/>
      <c r="D1325" s="15" t="n"/>
      <c r="E1325" s="15" t="n"/>
      <c r="F1325" s="15" t="n"/>
      <c r="G1325" s="15" t="n"/>
      <c r="H1325" s="16">
        <f>IF($A1325="","",$D1325+IF($E1325="",0,$E1325)+IF($F1325="",0,$F1325)-IF($G1325="",0,$G1325))</f>
        <v/>
      </c>
      <c r="I1325" s="12" t="n"/>
      <c r="J1325" s="12" t="n"/>
      <c r="K1325" s="12" t="n"/>
      <c r="L1325" s="14" t="n"/>
      <c r="M1325" s="12" t="n"/>
      <c r="N1325" s="12" t="n"/>
      <c r="O1325" s="12" t="n"/>
    </row>
    <row r="1326">
      <c r="A1326" s="12" t="n"/>
      <c r="B1326" s="13">
        <f>IF($A1326="","",IFERROR(INDEX(Emp_Names,MATCH($A1326,Emp_Codes,0)),"NOT FOUND"))</f>
        <v/>
      </c>
      <c r="C1326" s="14" t="n"/>
      <c r="D1326" s="15" t="n"/>
      <c r="E1326" s="15" t="n"/>
      <c r="F1326" s="15" t="n"/>
      <c r="G1326" s="15" t="n"/>
      <c r="H1326" s="16">
        <f>IF($A1326="","",$D1326+IF($E1326="",0,$E1326)+IF($F1326="",0,$F1326)-IF($G1326="",0,$G1326))</f>
        <v/>
      </c>
      <c r="I1326" s="12" t="n"/>
      <c r="J1326" s="12" t="n"/>
      <c r="K1326" s="12" t="n"/>
      <c r="L1326" s="14" t="n"/>
      <c r="M1326" s="12" t="n"/>
      <c r="N1326" s="12" t="n"/>
      <c r="O1326" s="12" t="n"/>
    </row>
    <row r="1327">
      <c r="A1327" s="12" t="n"/>
      <c r="B1327" s="13">
        <f>IF($A1327="","",IFERROR(INDEX(Emp_Names,MATCH($A1327,Emp_Codes,0)),"NOT FOUND"))</f>
        <v/>
      </c>
      <c r="C1327" s="14" t="n"/>
      <c r="D1327" s="15" t="n"/>
      <c r="E1327" s="15" t="n"/>
      <c r="F1327" s="15" t="n"/>
      <c r="G1327" s="15" t="n"/>
      <c r="H1327" s="16">
        <f>IF($A1327="","",$D1327+IF($E1327="",0,$E1327)+IF($F1327="",0,$F1327)-IF($G1327="",0,$G1327))</f>
        <v/>
      </c>
      <c r="I1327" s="12" t="n"/>
      <c r="J1327" s="12" t="n"/>
      <c r="K1327" s="12" t="n"/>
      <c r="L1327" s="14" t="n"/>
      <c r="M1327" s="12" t="n"/>
      <c r="N1327" s="12" t="n"/>
      <c r="O1327" s="12" t="n"/>
    </row>
    <row r="1328">
      <c r="A1328" s="12" t="n"/>
      <c r="B1328" s="13">
        <f>IF($A1328="","",IFERROR(INDEX(Emp_Names,MATCH($A1328,Emp_Codes,0)),"NOT FOUND"))</f>
        <v/>
      </c>
      <c r="C1328" s="14" t="n"/>
      <c r="D1328" s="15" t="n"/>
      <c r="E1328" s="15" t="n"/>
      <c r="F1328" s="15" t="n"/>
      <c r="G1328" s="15" t="n"/>
      <c r="H1328" s="16">
        <f>IF($A1328="","",$D1328+IF($E1328="",0,$E1328)+IF($F1328="",0,$F1328)-IF($G1328="",0,$G1328))</f>
        <v/>
      </c>
      <c r="I1328" s="12" t="n"/>
      <c r="J1328" s="12" t="n"/>
      <c r="K1328" s="12" t="n"/>
      <c r="L1328" s="14" t="n"/>
      <c r="M1328" s="12" t="n"/>
      <c r="N1328" s="12" t="n"/>
      <c r="O1328" s="12" t="n"/>
    </row>
    <row r="1329">
      <c r="A1329" s="12" t="n"/>
      <c r="B1329" s="13">
        <f>IF($A1329="","",IFERROR(INDEX(Emp_Names,MATCH($A1329,Emp_Codes,0)),"NOT FOUND"))</f>
        <v/>
      </c>
      <c r="C1329" s="14" t="n"/>
      <c r="D1329" s="15" t="n"/>
      <c r="E1329" s="15" t="n"/>
      <c r="F1329" s="15" t="n"/>
      <c r="G1329" s="15" t="n"/>
      <c r="H1329" s="16">
        <f>IF($A1329="","",$D1329+IF($E1329="",0,$E1329)+IF($F1329="",0,$F1329)-IF($G1329="",0,$G1329))</f>
        <v/>
      </c>
      <c r="I1329" s="12" t="n"/>
      <c r="J1329" s="12" t="n"/>
      <c r="K1329" s="12" t="n"/>
      <c r="L1329" s="14" t="n"/>
      <c r="M1329" s="12" t="n"/>
      <c r="N1329" s="12" t="n"/>
      <c r="O1329" s="12" t="n"/>
    </row>
    <row r="1330">
      <c r="A1330" s="12" t="n"/>
      <c r="B1330" s="13">
        <f>IF($A1330="","",IFERROR(INDEX(Emp_Names,MATCH($A1330,Emp_Codes,0)),"NOT FOUND"))</f>
        <v/>
      </c>
      <c r="C1330" s="14" t="n"/>
      <c r="D1330" s="15" t="n"/>
      <c r="E1330" s="15" t="n"/>
      <c r="F1330" s="15" t="n"/>
      <c r="G1330" s="15" t="n"/>
      <c r="H1330" s="16">
        <f>IF($A1330="","",$D1330+IF($E1330="",0,$E1330)+IF($F1330="",0,$F1330)-IF($G1330="",0,$G1330))</f>
        <v/>
      </c>
      <c r="I1330" s="12" t="n"/>
      <c r="J1330" s="12" t="n"/>
      <c r="K1330" s="12" t="n"/>
      <c r="L1330" s="14" t="n"/>
      <c r="M1330" s="12" t="n"/>
      <c r="N1330" s="12" t="n"/>
      <c r="O1330" s="12" t="n"/>
    </row>
    <row r="1331">
      <c r="A1331" s="12" t="n"/>
      <c r="B1331" s="13">
        <f>IF($A1331="","",IFERROR(INDEX(Emp_Names,MATCH($A1331,Emp_Codes,0)),"NOT FOUND"))</f>
        <v/>
      </c>
      <c r="C1331" s="14" t="n"/>
      <c r="D1331" s="15" t="n"/>
      <c r="E1331" s="15" t="n"/>
      <c r="F1331" s="15" t="n"/>
      <c r="G1331" s="15" t="n"/>
      <c r="H1331" s="16">
        <f>IF($A1331="","",$D1331+IF($E1331="",0,$E1331)+IF($F1331="",0,$F1331)-IF($G1331="",0,$G1331))</f>
        <v/>
      </c>
      <c r="I1331" s="12" t="n"/>
      <c r="J1331" s="12" t="n"/>
      <c r="K1331" s="12" t="n"/>
      <c r="L1331" s="14" t="n"/>
      <c r="M1331" s="12" t="n"/>
      <c r="N1331" s="12" t="n"/>
      <c r="O1331" s="12" t="n"/>
    </row>
    <row r="1332">
      <c r="A1332" s="12" t="n"/>
      <c r="B1332" s="13">
        <f>IF($A1332="","",IFERROR(INDEX(Emp_Names,MATCH($A1332,Emp_Codes,0)),"NOT FOUND"))</f>
        <v/>
      </c>
      <c r="C1332" s="14" t="n"/>
      <c r="D1332" s="15" t="n"/>
      <c r="E1332" s="15" t="n"/>
      <c r="F1332" s="15" t="n"/>
      <c r="G1332" s="15" t="n"/>
      <c r="H1332" s="16">
        <f>IF($A1332="","",$D1332+IF($E1332="",0,$E1332)+IF($F1332="",0,$F1332)-IF($G1332="",0,$G1332))</f>
        <v/>
      </c>
      <c r="I1332" s="12" t="n"/>
      <c r="J1332" s="12" t="n"/>
      <c r="K1332" s="12" t="n"/>
      <c r="L1332" s="14" t="n"/>
      <c r="M1332" s="12" t="n"/>
      <c r="N1332" s="12" t="n"/>
      <c r="O1332" s="12" t="n"/>
    </row>
    <row r="1333">
      <c r="A1333" s="12" t="n"/>
      <c r="B1333" s="13">
        <f>IF($A1333="","",IFERROR(INDEX(Emp_Names,MATCH($A1333,Emp_Codes,0)),"NOT FOUND"))</f>
        <v/>
      </c>
      <c r="C1333" s="14" t="n"/>
      <c r="D1333" s="15" t="n"/>
      <c r="E1333" s="15" t="n"/>
      <c r="F1333" s="15" t="n"/>
      <c r="G1333" s="15" t="n"/>
      <c r="H1333" s="16">
        <f>IF($A1333="","",$D1333+IF($E1333="",0,$E1333)+IF($F1333="",0,$F1333)-IF($G1333="",0,$G1333))</f>
        <v/>
      </c>
      <c r="I1333" s="12" t="n"/>
      <c r="J1333" s="12" t="n"/>
      <c r="K1333" s="12" t="n"/>
      <c r="L1333" s="14" t="n"/>
      <c r="M1333" s="12" t="n"/>
      <c r="N1333" s="12" t="n"/>
      <c r="O1333" s="12" t="n"/>
    </row>
    <row r="1334">
      <c r="A1334" s="12" t="n"/>
      <c r="B1334" s="13">
        <f>IF($A1334="","",IFERROR(INDEX(Emp_Names,MATCH($A1334,Emp_Codes,0)),"NOT FOUND"))</f>
        <v/>
      </c>
      <c r="C1334" s="14" t="n"/>
      <c r="D1334" s="15" t="n"/>
      <c r="E1334" s="15" t="n"/>
      <c r="F1334" s="15" t="n"/>
      <c r="G1334" s="15" t="n"/>
      <c r="H1334" s="16">
        <f>IF($A1334="","",$D1334+IF($E1334="",0,$E1334)+IF($F1334="",0,$F1334)-IF($G1334="",0,$G1334))</f>
        <v/>
      </c>
      <c r="I1334" s="12" t="n"/>
      <c r="J1334" s="12" t="n"/>
      <c r="K1334" s="12" t="n"/>
      <c r="L1334" s="14" t="n"/>
      <c r="M1334" s="12" t="n"/>
      <c r="N1334" s="12" t="n"/>
      <c r="O1334" s="12" t="n"/>
    </row>
    <row r="1335">
      <c r="A1335" s="12" t="n"/>
      <c r="B1335" s="13">
        <f>IF($A1335="","",IFERROR(INDEX(Emp_Names,MATCH($A1335,Emp_Codes,0)),"NOT FOUND"))</f>
        <v/>
      </c>
      <c r="C1335" s="14" t="n"/>
      <c r="D1335" s="15" t="n"/>
      <c r="E1335" s="15" t="n"/>
      <c r="F1335" s="15" t="n"/>
      <c r="G1335" s="15" t="n"/>
      <c r="H1335" s="16">
        <f>IF($A1335="","",$D1335+IF($E1335="",0,$E1335)+IF($F1335="",0,$F1335)-IF($G1335="",0,$G1335))</f>
        <v/>
      </c>
      <c r="I1335" s="12" t="n"/>
      <c r="J1335" s="12" t="n"/>
      <c r="K1335" s="12" t="n"/>
      <c r="L1335" s="14" t="n"/>
      <c r="M1335" s="12" t="n"/>
      <c r="N1335" s="12" t="n"/>
      <c r="O1335" s="12" t="n"/>
    </row>
    <row r="1336">
      <c r="A1336" s="12" t="n"/>
      <c r="B1336" s="13">
        <f>IF($A1336="","",IFERROR(INDEX(Emp_Names,MATCH($A1336,Emp_Codes,0)),"NOT FOUND"))</f>
        <v/>
      </c>
      <c r="C1336" s="14" t="n"/>
      <c r="D1336" s="15" t="n"/>
      <c r="E1336" s="15" t="n"/>
      <c r="F1336" s="15" t="n"/>
      <c r="G1336" s="15" t="n"/>
      <c r="H1336" s="16">
        <f>IF($A1336="","",$D1336+IF($E1336="",0,$E1336)+IF($F1336="",0,$F1336)-IF($G1336="",0,$G1336))</f>
        <v/>
      </c>
      <c r="I1336" s="12" t="n"/>
      <c r="J1336" s="12" t="n"/>
      <c r="K1336" s="12" t="n"/>
      <c r="L1336" s="14" t="n"/>
      <c r="M1336" s="12" t="n"/>
      <c r="N1336" s="12" t="n"/>
      <c r="O1336" s="12" t="n"/>
    </row>
    <row r="1337">
      <c r="A1337" s="12" t="n"/>
      <c r="B1337" s="13">
        <f>IF($A1337="","",IFERROR(INDEX(Emp_Names,MATCH($A1337,Emp_Codes,0)),"NOT FOUND"))</f>
        <v/>
      </c>
      <c r="C1337" s="14" t="n"/>
      <c r="D1337" s="15" t="n"/>
      <c r="E1337" s="15" t="n"/>
      <c r="F1337" s="15" t="n"/>
      <c r="G1337" s="15" t="n"/>
      <c r="H1337" s="16">
        <f>IF($A1337="","",$D1337+IF($E1337="",0,$E1337)+IF($F1337="",0,$F1337)-IF($G1337="",0,$G1337))</f>
        <v/>
      </c>
      <c r="I1337" s="12" t="n"/>
      <c r="J1337" s="12" t="n"/>
      <c r="K1337" s="12" t="n"/>
      <c r="L1337" s="14" t="n"/>
      <c r="M1337" s="12" t="n"/>
      <c r="N1337" s="12" t="n"/>
      <c r="O1337" s="12" t="n"/>
    </row>
    <row r="1338">
      <c r="A1338" s="12" t="n"/>
      <c r="B1338" s="13">
        <f>IF($A1338="","",IFERROR(INDEX(Emp_Names,MATCH($A1338,Emp_Codes,0)),"NOT FOUND"))</f>
        <v/>
      </c>
      <c r="C1338" s="14" t="n"/>
      <c r="D1338" s="15" t="n"/>
      <c r="E1338" s="15" t="n"/>
      <c r="F1338" s="15" t="n"/>
      <c r="G1338" s="15" t="n"/>
      <c r="H1338" s="16">
        <f>IF($A1338="","",$D1338+IF($E1338="",0,$E1338)+IF($F1338="",0,$F1338)-IF($G1338="",0,$G1338))</f>
        <v/>
      </c>
      <c r="I1338" s="12" t="n"/>
      <c r="J1338" s="12" t="n"/>
      <c r="K1338" s="12" t="n"/>
      <c r="L1338" s="14" t="n"/>
      <c r="M1338" s="12" t="n"/>
      <c r="N1338" s="12" t="n"/>
      <c r="O1338" s="12" t="n"/>
    </row>
    <row r="1339">
      <c r="A1339" s="12" t="n"/>
      <c r="B1339" s="13">
        <f>IF($A1339="","",IFERROR(INDEX(Emp_Names,MATCH($A1339,Emp_Codes,0)),"NOT FOUND"))</f>
        <v/>
      </c>
      <c r="C1339" s="14" t="n"/>
      <c r="D1339" s="15" t="n"/>
      <c r="E1339" s="15" t="n"/>
      <c r="F1339" s="15" t="n"/>
      <c r="G1339" s="15" t="n"/>
      <c r="H1339" s="16">
        <f>IF($A1339="","",$D1339+IF($E1339="",0,$E1339)+IF($F1339="",0,$F1339)-IF($G1339="",0,$G1339))</f>
        <v/>
      </c>
      <c r="I1339" s="12" t="n"/>
      <c r="J1339" s="12" t="n"/>
      <c r="K1339" s="12" t="n"/>
      <c r="L1339" s="14" t="n"/>
      <c r="M1339" s="12" t="n"/>
      <c r="N1339" s="12" t="n"/>
      <c r="O1339" s="12" t="n"/>
    </row>
    <row r="1340">
      <c r="A1340" s="12" t="n"/>
      <c r="B1340" s="13">
        <f>IF($A1340="","",IFERROR(INDEX(Emp_Names,MATCH($A1340,Emp_Codes,0)),"NOT FOUND"))</f>
        <v/>
      </c>
      <c r="C1340" s="14" t="n"/>
      <c r="D1340" s="15" t="n"/>
      <c r="E1340" s="15" t="n"/>
      <c r="F1340" s="15" t="n"/>
      <c r="G1340" s="15" t="n"/>
      <c r="H1340" s="16">
        <f>IF($A1340="","",$D1340+IF($E1340="",0,$E1340)+IF($F1340="",0,$F1340)-IF($G1340="",0,$G1340))</f>
        <v/>
      </c>
      <c r="I1340" s="12" t="n"/>
      <c r="J1340" s="12" t="n"/>
      <c r="K1340" s="12" t="n"/>
      <c r="L1340" s="14" t="n"/>
      <c r="M1340" s="12" t="n"/>
      <c r="N1340" s="12" t="n"/>
      <c r="O1340" s="12" t="n"/>
    </row>
    <row r="1341">
      <c r="A1341" s="12" t="n"/>
      <c r="B1341" s="13">
        <f>IF($A1341="","",IFERROR(INDEX(Emp_Names,MATCH($A1341,Emp_Codes,0)),"NOT FOUND"))</f>
        <v/>
      </c>
      <c r="C1341" s="14" t="n"/>
      <c r="D1341" s="15" t="n"/>
      <c r="E1341" s="15" t="n"/>
      <c r="F1341" s="15" t="n"/>
      <c r="G1341" s="15" t="n"/>
      <c r="H1341" s="16">
        <f>IF($A1341="","",$D1341+IF($E1341="",0,$E1341)+IF($F1341="",0,$F1341)-IF($G1341="",0,$G1341))</f>
        <v/>
      </c>
      <c r="I1341" s="12" t="n"/>
      <c r="J1341" s="12" t="n"/>
      <c r="K1341" s="12" t="n"/>
      <c r="L1341" s="14" t="n"/>
      <c r="M1341" s="12" t="n"/>
      <c r="N1341" s="12" t="n"/>
      <c r="O1341" s="12" t="n"/>
    </row>
    <row r="1342">
      <c r="A1342" s="12" t="n"/>
      <c r="B1342" s="13">
        <f>IF($A1342="","",IFERROR(INDEX(Emp_Names,MATCH($A1342,Emp_Codes,0)),"NOT FOUND"))</f>
        <v/>
      </c>
      <c r="C1342" s="14" t="n"/>
      <c r="D1342" s="15" t="n"/>
      <c r="E1342" s="15" t="n"/>
      <c r="F1342" s="15" t="n"/>
      <c r="G1342" s="15" t="n"/>
      <c r="H1342" s="16">
        <f>IF($A1342="","",$D1342+IF($E1342="",0,$E1342)+IF($F1342="",0,$F1342)-IF($G1342="",0,$G1342))</f>
        <v/>
      </c>
      <c r="I1342" s="12" t="n"/>
      <c r="J1342" s="12" t="n"/>
      <c r="K1342" s="12" t="n"/>
      <c r="L1342" s="14" t="n"/>
      <c r="M1342" s="12" t="n"/>
      <c r="N1342" s="12" t="n"/>
      <c r="O1342" s="12" t="n"/>
    </row>
    <row r="1343">
      <c r="A1343" s="12" t="n"/>
      <c r="B1343" s="13">
        <f>IF($A1343="","",IFERROR(INDEX(Emp_Names,MATCH($A1343,Emp_Codes,0)),"NOT FOUND"))</f>
        <v/>
      </c>
      <c r="C1343" s="14" t="n"/>
      <c r="D1343" s="15" t="n"/>
      <c r="E1343" s="15" t="n"/>
      <c r="F1343" s="15" t="n"/>
      <c r="G1343" s="15" t="n"/>
      <c r="H1343" s="16">
        <f>IF($A1343="","",$D1343+IF($E1343="",0,$E1343)+IF($F1343="",0,$F1343)-IF($G1343="",0,$G1343))</f>
        <v/>
      </c>
      <c r="I1343" s="12" t="n"/>
      <c r="J1343" s="12" t="n"/>
      <c r="K1343" s="12" t="n"/>
      <c r="L1343" s="14" t="n"/>
      <c r="M1343" s="12" t="n"/>
      <c r="N1343" s="12" t="n"/>
      <c r="O1343" s="12" t="n"/>
    </row>
    <row r="1344">
      <c r="A1344" s="12" t="n"/>
      <c r="B1344" s="13">
        <f>IF($A1344="","",IFERROR(INDEX(Emp_Names,MATCH($A1344,Emp_Codes,0)),"NOT FOUND"))</f>
        <v/>
      </c>
      <c r="C1344" s="14" t="n"/>
      <c r="D1344" s="15" t="n"/>
      <c r="E1344" s="15" t="n"/>
      <c r="F1344" s="15" t="n"/>
      <c r="G1344" s="15" t="n"/>
      <c r="H1344" s="16">
        <f>IF($A1344="","",$D1344+IF($E1344="",0,$E1344)+IF($F1344="",0,$F1344)-IF($G1344="",0,$G1344))</f>
        <v/>
      </c>
      <c r="I1344" s="12" t="n"/>
      <c r="J1344" s="12" t="n"/>
      <c r="K1344" s="12" t="n"/>
      <c r="L1344" s="14" t="n"/>
      <c r="M1344" s="12" t="n"/>
      <c r="N1344" s="12" t="n"/>
      <c r="O1344" s="12" t="n"/>
    </row>
    <row r="1345">
      <c r="A1345" s="12" t="n"/>
      <c r="B1345" s="13">
        <f>IF($A1345="","",IFERROR(INDEX(Emp_Names,MATCH($A1345,Emp_Codes,0)),"NOT FOUND"))</f>
        <v/>
      </c>
      <c r="C1345" s="14" t="n"/>
      <c r="D1345" s="15" t="n"/>
      <c r="E1345" s="15" t="n"/>
      <c r="F1345" s="15" t="n"/>
      <c r="G1345" s="15" t="n"/>
      <c r="H1345" s="16">
        <f>IF($A1345="","",$D1345+IF($E1345="",0,$E1345)+IF($F1345="",0,$F1345)-IF($G1345="",0,$G1345))</f>
        <v/>
      </c>
      <c r="I1345" s="12" t="n"/>
      <c r="J1345" s="12" t="n"/>
      <c r="K1345" s="12" t="n"/>
      <c r="L1345" s="14" t="n"/>
      <c r="M1345" s="12" t="n"/>
      <c r="N1345" s="12" t="n"/>
      <c r="O1345" s="12" t="n"/>
    </row>
    <row r="1346">
      <c r="A1346" s="12" t="n"/>
      <c r="B1346" s="13">
        <f>IF($A1346="","",IFERROR(INDEX(Emp_Names,MATCH($A1346,Emp_Codes,0)),"NOT FOUND"))</f>
        <v/>
      </c>
      <c r="C1346" s="14" t="n"/>
      <c r="D1346" s="15" t="n"/>
      <c r="E1346" s="15" t="n"/>
      <c r="F1346" s="15" t="n"/>
      <c r="G1346" s="15" t="n"/>
      <c r="H1346" s="16">
        <f>IF($A1346="","",$D1346+IF($E1346="",0,$E1346)+IF($F1346="",0,$F1346)-IF($G1346="",0,$G1346))</f>
        <v/>
      </c>
      <c r="I1346" s="12" t="n"/>
      <c r="J1346" s="12" t="n"/>
      <c r="K1346" s="12" t="n"/>
      <c r="L1346" s="14" t="n"/>
      <c r="M1346" s="12" t="n"/>
      <c r="N1346" s="12" t="n"/>
      <c r="O1346" s="12" t="n"/>
    </row>
    <row r="1347">
      <c r="A1347" s="12" t="n"/>
      <c r="B1347" s="13">
        <f>IF($A1347="","",IFERROR(INDEX(Emp_Names,MATCH($A1347,Emp_Codes,0)),"NOT FOUND"))</f>
        <v/>
      </c>
      <c r="C1347" s="14" t="n"/>
      <c r="D1347" s="15" t="n"/>
      <c r="E1347" s="15" t="n"/>
      <c r="F1347" s="15" t="n"/>
      <c r="G1347" s="15" t="n"/>
      <c r="H1347" s="16">
        <f>IF($A1347="","",$D1347+IF($E1347="",0,$E1347)+IF($F1347="",0,$F1347)-IF($G1347="",0,$G1347))</f>
        <v/>
      </c>
      <c r="I1347" s="12" t="n"/>
      <c r="J1347" s="12" t="n"/>
      <c r="K1347" s="12" t="n"/>
      <c r="L1347" s="14" t="n"/>
      <c r="M1347" s="12" t="n"/>
      <c r="N1347" s="12" t="n"/>
      <c r="O1347" s="12" t="n"/>
    </row>
    <row r="1348">
      <c r="A1348" s="12" t="n"/>
      <c r="B1348" s="13">
        <f>IF($A1348="","",IFERROR(INDEX(Emp_Names,MATCH($A1348,Emp_Codes,0)),"NOT FOUND"))</f>
        <v/>
      </c>
      <c r="C1348" s="14" t="n"/>
      <c r="D1348" s="15" t="n"/>
      <c r="E1348" s="15" t="n"/>
      <c r="F1348" s="15" t="n"/>
      <c r="G1348" s="15" t="n"/>
      <c r="H1348" s="16">
        <f>IF($A1348="","",$D1348+IF($E1348="",0,$E1348)+IF($F1348="",0,$F1348)-IF($G1348="",0,$G1348))</f>
        <v/>
      </c>
      <c r="I1348" s="12" t="n"/>
      <c r="J1348" s="12" t="n"/>
      <c r="K1348" s="12" t="n"/>
      <c r="L1348" s="14" t="n"/>
      <c r="M1348" s="12" t="n"/>
      <c r="N1348" s="12" t="n"/>
      <c r="O1348" s="12" t="n"/>
    </row>
    <row r="1349">
      <c r="A1349" s="12" t="n"/>
      <c r="B1349" s="13">
        <f>IF($A1349="","",IFERROR(INDEX(Emp_Names,MATCH($A1349,Emp_Codes,0)),"NOT FOUND"))</f>
        <v/>
      </c>
      <c r="C1349" s="14" t="n"/>
      <c r="D1349" s="15" t="n"/>
      <c r="E1349" s="15" t="n"/>
      <c r="F1349" s="15" t="n"/>
      <c r="G1349" s="15" t="n"/>
      <c r="H1349" s="16">
        <f>IF($A1349="","",$D1349+IF($E1349="",0,$E1349)+IF($F1349="",0,$F1349)-IF($G1349="",0,$G1349))</f>
        <v/>
      </c>
      <c r="I1349" s="12" t="n"/>
      <c r="J1349" s="12" t="n"/>
      <c r="K1349" s="12" t="n"/>
      <c r="L1349" s="14" t="n"/>
      <c r="M1349" s="12" t="n"/>
      <c r="N1349" s="12" t="n"/>
      <c r="O1349" s="12" t="n"/>
    </row>
    <row r="1350">
      <c r="A1350" s="12" t="n"/>
      <c r="B1350" s="13">
        <f>IF($A1350="","",IFERROR(INDEX(Emp_Names,MATCH($A1350,Emp_Codes,0)),"NOT FOUND"))</f>
        <v/>
      </c>
      <c r="C1350" s="14" t="n"/>
      <c r="D1350" s="15" t="n"/>
      <c r="E1350" s="15" t="n"/>
      <c r="F1350" s="15" t="n"/>
      <c r="G1350" s="15" t="n"/>
      <c r="H1350" s="16">
        <f>IF($A1350="","",$D1350+IF($E1350="",0,$E1350)+IF($F1350="",0,$F1350)-IF($G1350="",0,$G1350))</f>
        <v/>
      </c>
      <c r="I1350" s="12" t="n"/>
      <c r="J1350" s="12" t="n"/>
      <c r="K1350" s="12" t="n"/>
      <c r="L1350" s="14" t="n"/>
      <c r="M1350" s="12" t="n"/>
      <c r="N1350" s="12" t="n"/>
      <c r="O1350" s="12" t="n"/>
    </row>
    <row r="1351">
      <c r="A1351" s="12" t="n"/>
      <c r="B1351" s="13">
        <f>IF($A1351="","",IFERROR(INDEX(Emp_Names,MATCH($A1351,Emp_Codes,0)),"NOT FOUND"))</f>
        <v/>
      </c>
      <c r="C1351" s="14" t="n"/>
      <c r="D1351" s="15" t="n"/>
      <c r="E1351" s="15" t="n"/>
      <c r="F1351" s="15" t="n"/>
      <c r="G1351" s="15" t="n"/>
      <c r="H1351" s="16">
        <f>IF($A1351="","",$D1351+IF($E1351="",0,$E1351)+IF($F1351="",0,$F1351)-IF($G1351="",0,$G1351))</f>
        <v/>
      </c>
      <c r="I1351" s="12" t="n"/>
      <c r="J1351" s="12" t="n"/>
      <c r="K1351" s="12" t="n"/>
      <c r="L1351" s="14" t="n"/>
      <c r="M1351" s="12" t="n"/>
      <c r="N1351" s="12" t="n"/>
      <c r="O1351" s="12" t="n"/>
    </row>
    <row r="1352">
      <c r="A1352" s="12" t="n"/>
      <c r="B1352" s="13">
        <f>IF($A1352="","",IFERROR(INDEX(Emp_Names,MATCH($A1352,Emp_Codes,0)),"NOT FOUND"))</f>
        <v/>
      </c>
      <c r="C1352" s="14" t="n"/>
      <c r="D1352" s="15" t="n"/>
      <c r="E1352" s="15" t="n"/>
      <c r="F1352" s="15" t="n"/>
      <c r="G1352" s="15" t="n"/>
      <c r="H1352" s="16">
        <f>IF($A1352="","",$D1352+IF($E1352="",0,$E1352)+IF($F1352="",0,$F1352)-IF($G1352="",0,$G1352))</f>
        <v/>
      </c>
      <c r="I1352" s="12" t="n"/>
      <c r="J1352" s="12" t="n"/>
      <c r="K1352" s="12" t="n"/>
      <c r="L1352" s="14" t="n"/>
      <c r="M1352" s="12" t="n"/>
      <c r="N1352" s="12" t="n"/>
      <c r="O1352" s="12" t="n"/>
    </row>
    <row r="1353">
      <c r="A1353" s="12" t="n"/>
      <c r="B1353" s="13">
        <f>IF($A1353="","",IFERROR(INDEX(Emp_Names,MATCH($A1353,Emp_Codes,0)),"NOT FOUND"))</f>
        <v/>
      </c>
      <c r="C1353" s="14" t="n"/>
      <c r="D1353" s="15" t="n"/>
      <c r="E1353" s="15" t="n"/>
      <c r="F1353" s="15" t="n"/>
      <c r="G1353" s="15" t="n"/>
      <c r="H1353" s="16">
        <f>IF($A1353="","",$D1353+IF($E1353="",0,$E1353)+IF($F1353="",0,$F1353)-IF($G1353="",0,$G1353))</f>
        <v/>
      </c>
      <c r="I1353" s="12" t="n"/>
      <c r="J1353" s="12" t="n"/>
      <c r="K1353" s="12" t="n"/>
      <c r="L1353" s="14" t="n"/>
      <c r="M1353" s="12" t="n"/>
      <c r="N1353" s="12" t="n"/>
      <c r="O1353" s="12" t="n"/>
    </row>
    <row r="1354">
      <c r="A1354" s="12" t="n"/>
      <c r="B1354" s="13">
        <f>IF($A1354="","",IFERROR(INDEX(Emp_Names,MATCH($A1354,Emp_Codes,0)),"NOT FOUND"))</f>
        <v/>
      </c>
      <c r="C1354" s="14" t="n"/>
      <c r="D1354" s="15" t="n"/>
      <c r="E1354" s="15" t="n"/>
      <c r="F1354" s="15" t="n"/>
      <c r="G1354" s="15" t="n"/>
      <c r="H1354" s="16">
        <f>IF($A1354="","",$D1354+IF($E1354="",0,$E1354)+IF($F1354="",0,$F1354)-IF($G1354="",0,$G1354))</f>
        <v/>
      </c>
      <c r="I1354" s="12" t="n"/>
      <c r="J1354" s="12" t="n"/>
      <c r="K1354" s="12" t="n"/>
      <c r="L1354" s="14" t="n"/>
      <c r="M1354" s="12" t="n"/>
      <c r="N1354" s="12" t="n"/>
      <c r="O1354" s="12" t="n"/>
    </row>
    <row r="1355">
      <c r="A1355" s="12" t="n"/>
      <c r="B1355" s="13">
        <f>IF($A1355="","",IFERROR(INDEX(Emp_Names,MATCH($A1355,Emp_Codes,0)),"NOT FOUND"))</f>
        <v/>
      </c>
      <c r="C1355" s="14" t="n"/>
      <c r="D1355" s="15" t="n"/>
      <c r="E1355" s="15" t="n"/>
      <c r="F1355" s="15" t="n"/>
      <c r="G1355" s="15" t="n"/>
      <c r="H1355" s="16">
        <f>IF($A1355="","",$D1355+IF($E1355="",0,$E1355)+IF($F1355="",0,$F1355)-IF($G1355="",0,$G1355))</f>
        <v/>
      </c>
      <c r="I1355" s="12" t="n"/>
      <c r="J1355" s="12" t="n"/>
      <c r="K1355" s="12" t="n"/>
      <c r="L1355" s="14" t="n"/>
      <c r="M1355" s="12" t="n"/>
      <c r="N1355" s="12" t="n"/>
      <c r="O1355" s="12" t="n"/>
    </row>
    <row r="1356">
      <c r="A1356" s="12" t="n"/>
      <c r="B1356" s="13">
        <f>IF($A1356="","",IFERROR(INDEX(Emp_Names,MATCH($A1356,Emp_Codes,0)),"NOT FOUND"))</f>
        <v/>
      </c>
      <c r="C1356" s="14" t="n"/>
      <c r="D1356" s="15" t="n"/>
      <c r="E1356" s="15" t="n"/>
      <c r="F1356" s="15" t="n"/>
      <c r="G1356" s="15" t="n"/>
      <c r="H1356" s="16">
        <f>IF($A1356="","",$D1356+IF($E1356="",0,$E1356)+IF($F1356="",0,$F1356)-IF($G1356="",0,$G1356))</f>
        <v/>
      </c>
      <c r="I1356" s="12" t="n"/>
      <c r="J1356" s="12" t="n"/>
      <c r="K1356" s="12" t="n"/>
      <c r="L1356" s="14" t="n"/>
      <c r="M1356" s="12" t="n"/>
      <c r="N1356" s="12" t="n"/>
      <c r="O1356" s="12" t="n"/>
    </row>
    <row r="1357">
      <c r="A1357" s="12" t="n"/>
      <c r="B1357" s="13">
        <f>IF($A1357="","",IFERROR(INDEX(Emp_Names,MATCH($A1357,Emp_Codes,0)),"NOT FOUND"))</f>
        <v/>
      </c>
      <c r="C1357" s="14" t="n"/>
      <c r="D1357" s="15" t="n"/>
      <c r="E1357" s="15" t="n"/>
      <c r="F1357" s="15" t="n"/>
      <c r="G1357" s="15" t="n"/>
      <c r="H1357" s="16">
        <f>IF($A1357="","",$D1357+IF($E1357="",0,$E1357)+IF($F1357="",0,$F1357)-IF($G1357="",0,$G1357))</f>
        <v/>
      </c>
      <c r="I1357" s="12" t="n"/>
      <c r="J1357" s="12" t="n"/>
      <c r="K1357" s="12" t="n"/>
      <c r="L1357" s="14" t="n"/>
      <c r="M1357" s="12" t="n"/>
      <c r="N1357" s="12" t="n"/>
      <c r="O1357" s="12" t="n"/>
    </row>
    <row r="1358">
      <c r="A1358" s="12" t="n"/>
      <c r="B1358" s="13">
        <f>IF($A1358="","",IFERROR(INDEX(Emp_Names,MATCH($A1358,Emp_Codes,0)),"NOT FOUND"))</f>
        <v/>
      </c>
      <c r="C1358" s="14" t="n"/>
      <c r="D1358" s="15" t="n"/>
      <c r="E1358" s="15" t="n"/>
      <c r="F1358" s="15" t="n"/>
      <c r="G1358" s="15" t="n"/>
      <c r="H1358" s="16">
        <f>IF($A1358="","",$D1358+IF($E1358="",0,$E1358)+IF($F1358="",0,$F1358)-IF($G1358="",0,$G1358))</f>
        <v/>
      </c>
      <c r="I1358" s="12" t="n"/>
      <c r="J1358" s="12" t="n"/>
      <c r="K1358" s="12" t="n"/>
      <c r="L1358" s="14" t="n"/>
      <c r="M1358" s="12" t="n"/>
      <c r="N1358" s="12" t="n"/>
      <c r="O1358" s="12" t="n"/>
    </row>
    <row r="1359">
      <c r="A1359" s="12" t="n"/>
      <c r="B1359" s="13">
        <f>IF($A1359="","",IFERROR(INDEX(Emp_Names,MATCH($A1359,Emp_Codes,0)),"NOT FOUND"))</f>
        <v/>
      </c>
      <c r="C1359" s="14" t="n"/>
      <c r="D1359" s="15" t="n"/>
      <c r="E1359" s="15" t="n"/>
      <c r="F1359" s="15" t="n"/>
      <c r="G1359" s="15" t="n"/>
      <c r="H1359" s="16">
        <f>IF($A1359="","",$D1359+IF($E1359="",0,$E1359)+IF($F1359="",0,$F1359)-IF($G1359="",0,$G1359))</f>
        <v/>
      </c>
      <c r="I1359" s="12" t="n"/>
      <c r="J1359" s="12" t="n"/>
      <c r="K1359" s="12" t="n"/>
      <c r="L1359" s="14" t="n"/>
      <c r="M1359" s="12" t="n"/>
      <c r="N1359" s="12" t="n"/>
      <c r="O1359" s="12" t="n"/>
    </row>
    <row r="1360">
      <c r="A1360" s="12" t="n"/>
      <c r="B1360" s="13">
        <f>IF($A1360="","",IFERROR(INDEX(Emp_Names,MATCH($A1360,Emp_Codes,0)),"NOT FOUND"))</f>
        <v/>
      </c>
      <c r="C1360" s="14" t="n"/>
      <c r="D1360" s="15" t="n"/>
      <c r="E1360" s="15" t="n"/>
      <c r="F1360" s="15" t="n"/>
      <c r="G1360" s="15" t="n"/>
      <c r="H1360" s="16">
        <f>IF($A1360="","",$D1360+IF($E1360="",0,$E1360)+IF($F1360="",0,$F1360)-IF($G1360="",0,$G1360))</f>
        <v/>
      </c>
      <c r="I1360" s="12" t="n"/>
      <c r="J1360" s="12" t="n"/>
      <c r="K1360" s="12" t="n"/>
      <c r="L1360" s="14" t="n"/>
      <c r="M1360" s="12" t="n"/>
      <c r="N1360" s="12" t="n"/>
      <c r="O1360" s="12" t="n"/>
    </row>
    <row r="1361">
      <c r="A1361" s="12" t="n"/>
      <c r="B1361" s="13">
        <f>IF($A1361="","",IFERROR(INDEX(Emp_Names,MATCH($A1361,Emp_Codes,0)),"NOT FOUND"))</f>
        <v/>
      </c>
      <c r="C1361" s="14" t="n"/>
      <c r="D1361" s="15" t="n"/>
      <c r="E1361" s="15" t="n"/>
      <c r="F1361" s="15" t="n"/>
      <c r="G1361" s="15" t="n"/>
      <c r="H1361" s="16">
        <f>IF($A1361="","",$D1361+IF($E1361="",0,$E1361)+IF($F1361="",0,$F1361)-IF($G1361="",0,$G1361))</f>
        <v/>
      </c>
      <c r="I1361" s="12" t="n"/>
      <c r="J1361" s="12" t="n"/>
      <c r="K1361" s="12" t="n"/>
      <c r="L1361" s="14" t="n"/>
      <c r="M1361" s="12" t="n"/>
      <c r="N1361" s="12" t="n"/>
      <c r="O1361" s="12" t="n"/>
    </row>
    <row r="1362">
      <c r="A1362" s="12" t="n"/>
      <c r="B1362" s="13">
        <f>IF($A1362="","",IFERROR(INDEX(Emp_Names,MATCH($A1362,Emp_Codes,0)),"NOT FOUND"))</f>
        <v/>
      </c>
      <c r="C1362" s="14" t="n"/>
      <c r="D1362" s="15" t="n"/>
      <c r="E1362" s="15" t="n"/>
      <c r="F1362" s="15" t="n"/>
      <c r="G1362" s="15" t="n"/>
      <c r="H1362" s="16">
        <f>IF($A1362="","",$D1362+IF($E1362="",0,$E1362)+IF($F1362="",0,$F1362)-IF($G1362="",0,$G1362))</f>
        <v/>
      </c>
      <c r="I1362" s="12" t="n"/>
      <c r="J1362" s="12" t="n"/>
      <c r="K1362" s="12" t="n"/>
      <c r="L1362" s="14" t="n"/>
      <c r="M1362" s="12" t="n"/>
      <c r="N1362" s="12" t="n"/>
      <c r="O1362" s="12" t="n"/>
    </row>
    <row r="1363">
      <c r="A1363" s="12" t="n"/>
      <c r="B1363" s="13">
        <f>IF($A1363="","",IFERROR(INDEX(Emp_Names,MATCH($A1363,Emp_Codes,0)),"NOT FOUND"))</f>
        <v/>
      </c>
      <c r="C1363" s="14" t="n"/>
      <c r="D1363" s="15" t="n"/>
      <c r="E1363" s="15" t="n"/>
      <c r="F1363" s="15" t="n"/>
      <c r="G1363" s="15" t="n"/>
      <c r="H1363" s="16">
        <f>IF($A1363="","",$D1363+IF($E1363="",0,$E1363)+IF($F1363="",0,$F1363)-IF($G1363="",0,$G1363))</f>
        <v/>
      </c>
      <c r="I1363" s="12" t="n"/>
      <c r="J1363" s="12" t="n"/>
      <c r="K1363" s="12" t="n"/>
      <c r="L1363" s="14" t="n"/>
      <c r="M1363" s="12" t="n"/>
      <c r="N1363" s="12" t="n"/>
      <c r="O1363" s="12" t="n"/>
    </row>
    <row r="1364">
      <c r="A1364" s="12" t="n"/>
      <c r="B1364" s="13">
        <f>IF($A1364="","",IFERROR(INDEX(Emp_Names,MATCH($A1364,Emp_Codes,0)),"NOT FOUND"))</f>
        <v/>
      </c>
      <c r="C1364" s="14" t="n"/>
      <c r="D1364" s="15" t="n"/>
      <c r="E1364" s="15" t="n"/>
      <c r="F1364" s="15" t="n"/>
      <c r="G1364" s="15" t="n"/>
      <c r="H1364" s="16">
        <f>IF($A1364="","",$D1364+IF($E1364="",0,$E1364)+IF($F1364="",0,$F1364)-IF($G1364="",0,$G1364))</f>
        <v/>
      </c>
      <c r="I1364" s="12" t="n"/>
      <c r="J1364" s="12" t="n"/>
      <c r="K1364" s="12" t="n"/>
      <c r="L1364" s="14" t="n"/>
      <c r="M1364" s="12" t="n"/>
      <c r="N1364" s="12" t="n"/>
      <c r="O1364" s="12" t="n"/>
    </row>
    <row r="1365">
      <c r="A1365" s="12" t="n"/>
      <c r="B1365" s="13">
        <f>IF($A1365="","",IFERROR(INDEX(Emp_Names,MATCH($A1365,Emp_Codes,0)),"NOT FOUND"))</f>
        <v/>
      </c>
      <c r="C1365" s="14" t="n"/>
      <c r="D1365" s="15" t="n"/>
      <c r="E1365" s="15" t="n"/>
      <c r="F1365" s="15" t="n"/>
      <c r="G1365" s="15" t="n"/>
      <c r="H1365" s="16">
        <f>IF($A1365="","",$D1365+IF($E1365="",0,$E1365)+IF($F1365="",0,$F1365)-IF($G1365="",0,$G1365))</f>
        <v/>
      </c>
      <c r="I1365" s="12" t="n"/>
      <c r="J1365" s="12" t="n"/>
      <c r="K1365" s="12" t="n"/>
      <c r="L1365" s="14" t="n"/>
      <c r="M1365" s="12" t="n"/>
      <c r="N1365" s="12" t="n"/>
      <c r="O1365" s="12" t="n"/>
    </row>
    <row r="1366">
      <c r="A1366" s="12" t="n"/>
      <c r="B1366" s="13">
        <f>IF($A1366="","",IFERROR(INDEX(Emp_Names,MATCH($A1366,Emp_Codes,0)),"NOT FOUND"))</f>
        <v/>
      </c>
      <c r="C1366" s="14" t="n"/>
      <c r="D1366" s="15" t="n"/>
      <c r="E1366" s="15" t="n"/>
      <c r="F1366" s="15" t="n"/>
      <c r="G1366" s="15" t="n"/>
      <c r="H1366" s="16">
        <f>IF($A1366="","",$D1366+IF($E1366="",0,$E1366)+IF($F1366="",0,$F1366)-IF($G1366="",0,$G1366))</f>
        <v/>
      </c>
      <c r="I1366" s="12" t="n"/>
      <c r="J1366" s="12" t="n"/>
      <c r="K1366" s="12" t="n"/>
      <c r="L1366" s="14" t="n"/>
      <c r="M1366" s="12" t="n"/>
      <c r="N1366" s="12" t="n"/>
      <c r="O1366" s="12" t="n"/>
    </row>
    <row r="1367">
      <c r="A1367" s="12" t="n"/>
      <c r="B1367" s="13">
        <f>IF($A1367="","",IFERROR(INDEX(Emp_Names,MATCH($A1367,Emp_Codes,0)),"NOT FOUND"))</f>
        <v/>
      </c>
      <c r="C1367" s="14" t="n"/>
      <c r="D1367" s="15" t="n"/>
      <c r="E1367" s="15" t="n"/>
      <c r="F1367" s="15" t="n"/>
      <c r="G1367" s="15" t="n"/>
      <c r="H1367" s="16">
        <f>IF($A1367="","",$D1367+IF($E1367="",0,$E1367)+IF($F1367="",0,$F1367)-IF($G1367="",0,$G1367))</f>
        <v/>
      </c>
      <c r="I1367" s="12" t="n"/>
      <c r="J1367" s="12" t="n"/>
      <c r="K1367" s="12" t="n"/>
      <c r="L1367" s="14" t="n"/>
      <c r="M1367" s="12" t="n"/>
      <c r="N1367" s="12" t="n"/>
      <c r="O1367" s="12" t="n"/>
    </row>
    <row r="1368">
      <c r="A1368" s="12" t="n"/>
      <c r="B1368" s="13">
        <f>IF($A1368="","",IFERROR(INDEX(Emp_Names,MATCH($A1368,Emp_Codes,0)),"NOT FOUND"))</f>
        <v/>
      </c>
      <c r="C1368" s="14" t="n"/>
      <c r="D1368" s="15" t="n"/>
      <c r="E1368" s="15" t="n"/>
      <c r="F1368" s="15" t="n"/>
      <c r="G1368" s="15" t="n"/>
      <c r="H1368" s="16">
        <f>IF($A1368="","",$D1368+IF($E1368="",0,$E1368)+IF($F1368="",0,$F1368)-IF($G1368="",0,$G1368))</f>
        <v/>
      </c>
      <c r="I1368" s="12" t="n"/>
      <c r="J1368" s="12" t="n"/>
      <c r="K1368" s="12" t="n"/>
      <c r="L1368" s="14" t="n"/>
      <c r="M1368" s="12" t="n"/>
      <c r="N1368" s="12" t="n"/>
      <c r="O1368" s="12" t="n"/>
    </row>
    <row r="1369">
      <c r="A1369" s="12" t="n"/>
      <c r="B1369" s="13">
        <f>IF($A1369="","",IFERROR(INDEX(Emp_Names,MATCH($A1369,Emp_Codes,0)),"NOT FOUND"))</f>
        <v/>
      </c>
      <c r="C1369" s="14" t="n"/>
      <c r="D1369" s="15" t="n"/>
      <c r="E1369" s="15" t="n"/>
      <c r="F1369" s="15" t="n"/>
      <c r="G1369" s="15" t="n"/>
      <c r="H1369" s="16">
        <f>IF($A1369="","",$D1369+IF($E1369="",0,$E1369)+IF($F1369="",0,$F1369)-IF($G1369="",0,$G1369))</f>
        <v/>
      </c>
      <c r="I1369" s="12" t="n"/>
      <c r="J1369" s="12" t="n"/>
      <c r="K1369" s="12" t="n"/>
      <c r="L1369" s="14" t="n"/>
      <c r="M1369" s="12" t="n"/>
      <c r="N1369" s="12" t="n"/>
      <c r="O1369" s="12" t="n"/>
    </row>
    <row r="1370">
      <c r="A1370" s="12" t="n"/>
      <c r="B1370" s="13">
        <f>IF($A1370="","",IFERROR(INDEX(Emp_Names,MATCH($A1370,Emp_Codes,0)),"NOT FOUND"))</f>
        <v/>
      </c>
      <c r="C1370" s="14" t="n"/>
      <c r="D1370" s="15" t="n"/>
      <c r="E1370" s="15" t="n"/>
      <c r="F1370" s="15" t="n"/>
      <c r="G1370" s="15" t="n"/>
      <c r="H1370" s="16">
        <f>IF($A1370="","",$D1370+IF($E1370="",0,$E1370)+IF($F1370="",0,$F1370)-IF($G1370="",0,$G1370))</f>
        <v/>
      </c>
      <c r="I1370" s="12" t="n"/>
      <c r="J1370" s="12" t="n"/>
      <c r="K1370" s="12" t="n"/>
      <c r="L1370" s="14" t="n"/>
      <c r="M1370" s="12" t="n"/>
      <c r="N1370" s="12" t="n"/>
      <c r="O1370" s="12" t="n"/>
    </row>
    <row r="1371">
      <c r="A1371" s="12" t="n"/>
      <c r="B1371" s="13">
        <f>IF($A1371="","",IFERROR(INDEX(Emp_Names,MATCH($A1371,Emp_Codes,0)),"NOT FOUND"))</f>
        <v/>
      </c>
      <c r="C1371" s="14" t="n"/>
      <c r="D1371" s="15" t="n"/>
      <c r="E1371" s="15" t="n"/>
      <c r="F1371" s="15" t="n"/>
      <c r="G1371" s="15" t="n"/>
      <c r="H1371" s="16">
        <f>IF($A1371="","",$D1371+IF($E1371="",0,$E1371)+IF($F1371="",0,$F1371)-IF($G1371="",0,$G1371))</f>
        <v/>
      </c>
      <c r="I1371" s="12" t="n"/>
      <c r="J1371" s="12" t="n"/>
      <c r="K1371" s="12" t="n"/>
      <c r="L1371" s="14" t="n"/>
      <c r="M1371" s="12" t="n"/>
      <c r="N1371" s="12" t="n"/>
      <c r="O1371" s="12" t="n"/>
    </row>
    <row r="1372">
      <c r="A1372" s="12" t="n"/>
      <c r="B1372" s="13">
        <f>IF($A1372="","",IFERROR(INDEX(Emp_Names,MATCH($A1372,Emp_Codes,0)),"NOT FOUND"))</f>
        <v/>
      </c>
      <c r="C1372" s="14" t="n"/>
      <c r="D1372" s="15" t="n"/>
      <c r="E1372" s="15" t="n"/>
      <c r="F1372" s="15" t="n"/>
      <c r="G1372" s="15" t="n"/>
      <c r="H1372" s="16">
        <f>IF($A1372="","",$D1372+IF($E1372="",0,$E1372)+IF($F1372="",0,$F1372)-IF($G1372="",0,$G1372))</f>
        <v/>
      </c>
      <c r="I1372" s="12" t="n"/>
      <c r="J1372" s="12" t="n"/>
      <c r="K1372" s="12" t="n"/>
      <c r="L1372" s="14" t="n"/>
      <c r="M1372" s="12" t="n"/>
      <c r="N1372" s="12" t="n"/>
      <c r="O1372" s="12" t="n"/>
    </row>
    <row r="1373">
      <c r="A1373" s="12" t="n"/>
      <c r="B1373" s="13">
        <f>IF($A1373="","",IFERROR(INDEX(Emp_Names,MATCH($A1373,Emp_Codes,0)),"NOT FOUND"))</f>
        <v/>
      </c>
      <c r="C1373" s="14" t="n"/>
      <c r="D1373" s="15" t="n"/>
      <c r="E1373" s="15" t="n"/>
      <c r="F1373" s="15" t="n"/>
      <c r="G1373" s="15" t="n"/>
      <c r="H1373" s="16">
        <f>IF($A1373="","",$D1373+IF($E1373="",0,$E1373)+IF($F1373="",0,$F1373)-IF($G1373="",0,$G1373))</f>
        <v/>
      </c>
      <c r="I1373" s="12" t="n"/>
      <c r="J1373" s="12" t="n"/>
      <c r="K1373" s="12" t="n"/>
      <c r="L1373" s="14" t="n"/>
      <c r="M1373" s="12" t="n"/>
      <c r="N1373" s="12" t="n"/>
      <c r="O1373" s="12" t="n"/>
    </row>
    <row r="1374">
      <c r="A1374" s="12" t="n"/>
      <c r="B1374" s="13">
        <f>IF($A1374="","",IFERROR(INDEX(Emp_Names,MATCH($A1374,Emp_Codes,0)),"NOT FOUND"))</f>
        <v/>
      </c>
      <c r="C1374" s="14" t="n"/>
      <c r="D1374" s="15" t="n"/>
      <c r="E1374" s="15" t="n"/>
      <c r="F1374" s="15" t="n"/>
      <c r="G1374" s="15" t="n"/>
      <c r="H1374" s="16">
        <f>IF($A1374="","",$D1374+IF($E1374="",0,$E1374)+IF($F1374="",0,$F1374)-IF($G1374="",0,$G1374))</f>
        <v/>
      </c>
      <c r="I1374" s="12" t="n"/>
      <c r="J1374" s="12" t="n"/>
      <c r="K1374" s="12" t="n"/>
      <c r="L1374" s="14" t="n"/>
      <c r="M1374" s="12" t="n"/>
      <c r="N1374" s="12" t="n"/>
      <c r="O1374" s="12" t="n"/>
    </row>
    <row r="1375">
      <c r="A1375" s="12" t="n"/>
      <c r="B1375" s="13">
        <f>IF($A1375="","",IFERROR(INDEX(Emp_Names,MATCH($A1375,Emp_Codes,0)),"NOT FOUND"))</f>
        <v/>
      </c>
      <c r="C1375" s="14" t="n"/>
      <c r="D1375" s="15" t="n"/>
      <c r="E1375" s="15" t="n"/>
      <c r="F1375" s="15" t="n"/>
      <c r="G1375" s="15" t="n"/>
      <c r="H1375" s="16">
        <f>IF($A1375="","",$D1375+IF($E1375="",0,$E1375)+IF($F1375="",0,$F1375)-IF($G1375="",0,$G1375))</f>
        <v/>
      </c>
      <c r="I1375" s="12" t="n"/>
      <c r="J1375" s="12" t="n"/>
      <c r="K1375" s="12" t="n"/>
      <c r="L1375" s="14" t="n"/>
      <c r="M1375" s="12" t="n"/>
      <c r="N1375" s="12" t="n"/>
      <c r="O1375" s="12" t="n"/>
    </row>
    <row r="1376">
      <c r="A1376" s="12" t="n"/>
      <c r="B1376" s="13">
        <f>IF($A1376="","",IFERROR(INDEX(Emp_Names,MATCH($A1376,Emp_Codes,0)),"NOT FOUND"))</f>
        <v/>
      </c>
      <c r="C1376" s="14" t="n"/>
      <c r="D1376" s="15" t="n"/>
      <c r="E1376" s="15" t="n"/>
      <c r="F1376" s="15" t="n"/>
      <c r="G1376" s="15" t="n"/>
      <c r="H1376" s="16">
        <f>IF($A1376="","",$D1376+IF($E1376="",0,$E1376)+IF($F1376="",0,$F1376)-IF($G1376="",0,$G1376))</f>
        <v/>
      </c>
      <c r="I1376" s="12" t="n"/>
      <c r="J1376" s="12" t="n"/>
      <c r="K1376" s="12" t="n"/>
      <c r="L1376" s="14" t="n"/>
      <c r="M1376" s="12" t="n"/>
      <c r="N1376" s="12" t="n"/>
      <c r="O1376" s="12" t="n"/>
    </row>
    <row r="1377">
      <c r="A1377" s="12" t="n"/>
      <c r="B1377" s="13">
        <f>IF($A1377="","",IFERROR(INDEX(Emp_Names,MATCH($A1377,Emp_Codes,0)),"NOT FOUND"))</f>
        <v/>
      </c>
      <c r="C1377" s="14" t="n"/>
      <c r="D1377" s="15" t="n"/>
      <c r="E1377" s="15" t="n"/>
      <c r="F1377" s="15" t="n"/>
      <c r="G1377" s="15" t="n"/>
      <c r="H1377" s="16">
        <f>IF($A1377="","",$D1377+IF($E1377="",0,$E1377)+IF($F1377="",0,$F1377)-IF($G1377="",0,$G1377))</f>
        <v/>
      </c>
      <c r="I1377" s="12" t="n"/>
      <c r="J1377" s="12" t="n"/>
      <c r="K1377" s="12" t="n"/>
      <c r="L1377" s="14" t="n"/>
      <c r="M1377" s="12" t="n"/>
      <c r="N1377" s="12" t="n"/>
      <c r="O1377" s="12" t="n"/>
    </row>
    <row r="1378">
      <c r="A1378" s="12" t="n"/>
      <c r="B1378" s="13">
        <f>IF($A1378="","",IFERROR(INDEX(Emp_Names,MATCH($A1378,Emp_Codes,0)),"NOT FOUND"))</f>
        <v/>
      </c>
      <c r="C1378" s="14" t="n"/>
      <c r="D1378" s="15" t="n"/>
      <c r="E1378" s="15" t="n"/>
      <c r="F1378" s="15" t="n"/>
      <c r="G1378" s="15" t="n"/>
      <c r="H1378" s="16">
        <f>IF($A1378="","",$D1378+IF($E1378="",0,$E1378)+IF($F1378="",0,$F1378)-IF($G1378="",0,$G1378))</f>
        <v/>
      </c>
      <c r="I1378" s="12" t="n"/>
      <c r="J1378" s="12" t="n"/>
      <c r="K1378" s="12" t="n"/>
      <c r="L1378" s="14" t="n"/>
      <c r="M1378" s="12" t="n"/>
      <c r="N1378" s="12" t="n"/>
      <c r="O1378" s="12" t="n"/>
    </row>
    <row r="1379">
      <c r="A1379" s="12" t="n"/>
      <c r="B1379" s="13">
        <f>IF($A1379="","",IFERROR(INDEX(Emp_Names,MATCH($A1379,Emp_Codes,0)),"NOT FOUND"))</f>
        <v/>
      </c>
      <c r="C1379" s="14" t="n"/>
      <c r="D1379" s="15" t="n"/>
      <c r="E1379" s="15" t="n"/>
      <c r="F1379" s="15" t="n"/>
      <c r="G1379" s="15" t="n"/>
      <c r="H1379" s="16">
        <f>IF($A1379="","",$D1379+IF($E1379="",0,$E1379)+IF($F1379="",0,$F1379)-IF($G1379="",0,$G1379))</f>
        <v/>
      </c>
      <c r="I1379" s="12" t="n"/>
      <c r="J1379" s="12" t="n"/>
      <c r="K1379" s="12" t="n"/>
      <c r="L1379" s="14" t="n"/>
      <c r="M1379" s="12" t="n"/>
      <c r="N1379" s="12" t="n"/>
      <c r="O1379" s="12" t="n"/>
    </row>
    <row r="1380">
      <c r="A1380" s="12" t="n"/>
      <c r="B1380" s="13">
        <f>IF($A1380="","",IFERROR(INDEX(Emp_Names,MATCH($A1380,Emp_Codes,0)),"NOT FOUND"))</f>
        <v/>
      </c>
      <c r="C1380" s="14" t="n"/>
      <c r="D1380" s="15" t="n"/>
      <c r="E1380" s="15" t="n"/>
      <c r="F1380" s="15" t="n"/>
      <c r="G1380" s="15" t="n"/>
      <c r="H1380" s="16">
        <f>IF($A1380="","",$D1380+IF($E1380="",0,$E1380)+IF($F1380="",0,$F1380)-IF($G1380="",0,$G1380))</f>
        <v/>
      </c>
      <c r="I1380" s="12" t="n"/>
      <c r="J1380" s="12" t="n"/>
      <c r="K1380" s="12" t="n"/>
      <c r="L1380" s="14" t="n"/>
      <c r="M1380" s="12" t="n"/>
      <c r="N1380" s="12" t="n"/>
      <c r="O1380" s="12" t="n"/>
    </row>
    <row r="1381">
      <c r="A1381" s="12" t="n"/>
      <c r="B1381" s="13">
        <f>IF($A1381="","",IFERROR(INDEX(Emp_Names,MATCH($A1381,Emp_Codes,0)),"NOT FOUND"))</f>
        <v/>
      </c>
      <c r="C1381" s="14" t="n"/>
      <c r="D1381" s="15" t="n"/>
      <c r="E1381" s="15" t="n"/>
      <c r="F1381" s="15" t="n"/>
      <c r="G1381" s="15" t="n"/>
      <c r="H1381" s="16">
        <f>IF($A1381="","",$D1381+IF($E1381="",0,$E1381)+IF($F1381="",0,$F1381)-IF($G1381="",0,$G1381))</f>
        <v/>
      </c>
      <c r="I1381" s="12" t="n"/>
      <c r="J1381" s="12" t="n"/>
      <c r="K1381" s="12" t="n"/>
      <c r="L1381" s="14" t="n"/>
      <c r="M1381" s="12" t="n"/>
      <c r="N1381" s="12" t="n"/>
      <c r="O1381" s="12" t="n"/>
    </row>
    <row r="1382">
      <c r="A1382" s="12" t="n"/>
      <c r="B1382" s="13">
        <f>IF($A1382="","",IFERROR(INDEX(Emp_Names,MATCH($A1382,Emp_Codes,0)),"NOT FOUND"))</f>
        <v/>
      </c>
      <c r="C1382" s="14" t="n"/>
      <c r="D1382" s="15" t="n"/>
      <c r="E1382" s="15" t="n"/>
      <c r="F1382" s="15" t="n"/>
      <c r="G1382" s="15" t="n"/>
      <c r="H1382" s="16">
        <f>IF($A1382="","",$D1382+IF($E1382="",0,$E1382)+IF($F1382="",0,$F1382)-IF($G1382="",0,$G1382))</f>
        <v/>
      </c>
      <c r="I1382" s="12" t="n"/>
      <c r="J1382" s="12" t="n"/>
      <c r="K1382" s="12" t="n"/>
      <c r="L1382" s="14" t="n"/>
      <c r="M1382" s="12" t="n"/>
      <c r="N1382" s="12" t="n"/>
      <c r="O1382" s="12" t="n"/>
    </row>
    <row r="1383">
      <c r="A1383" s="12" t="n"/>
      <c r="B1383" s="13">
        <f>IF($A1383="","",IFERROR(INDEX(Emp_Names,MATCH($A1383,Emp_Codes,0)),"NOT FOUND"))</f>
        <v/>
      </c>
      <c r="C1383" s="14" t="n"/>
      <c r="D1383" s="15" t="n"/>
      <c r="E1383" s="15" t="n"/>
      <c r="F1383" s="15" t="n"/>
      <c r="G1383" s="15" t="n"/>
      <c r="H1383" s="16">
        <f>IF($A1383="","",$D1383+IF($E1383="",0,$E1383)+IF($F1383="",0,$F1383)-IF($G1383="",0,$G1383))</f>
        <v/>
      </c>
      <c r="I1383" s="12" t="n"/>
      <c r="J1383" s="12" t="n"/>
      <c r="K1383" s="12" t="n"/>
      <c r="L1383" s="14" t="n"/>
      <c r="M1383" s="12" t="n"/>
      <c r="N1383" s="12" t="n"/>
      <c r="O1383" s="12" t="n"/>
    </row>
    <row r="1384">
      <c r="A1384" s="12" t="n"/>
      <c r="B1384" s="13">
        <f>IF($A1384="","",IFERROR(INDEX(Emp_Names,MATCH($A1384,Emp_Codes,0)),"NOT FOUND"))</f>
        <v/>
      </c>
      <c r="C1384" s="14" t="n"/>
      <c r="D1384" s="15" t="n"/>
      <c r="E1384" s="15" t="n"/>
      <c r="F1384" s="15" t="n"/>
      <c r="G1384" s="15" t="n"/>
      <c r="H1384" s="16">
        <f>IF($A1384="","",$D1384+IF($E1384="",0,$E1384)+IF($F1384="",0,$F1384)-IF($G1384="",0,$G1384))</f>
        <v/>
      </c>
      <c r="I1384" s="12" t="n"/>
      <c r="J1384" s="12" t="n"/>
      <c r="K1384" s="12" t="n"/>
      <c r="L1384" s="14" t="n"/>
      <c r="M1384" s="12" t="n"/>
      <c r="N1384" s="12" t="n"/>
      <c r="O1384" s="12" t="n"/>
    </row>
    <row r="1385">
      <c r="A1385" s="12" t="n"/>
      <c r="B1385" s="13">
        <f>IF($A1385="","",IFERROR(INDEX(Emp_Names,MATCH($A1385,Emp_Codes,0)),"NOT FOUND"))</f>
        <v/>
      </c>
      <c r="C1385" s="14" t="n"/>
      <c r="D1385" s="15" t="n"/>
      <c r="E1385" s="15" t="n"/>
      <c r="F1385" s="15" t="n"/>
      <c r="G1385" s="15" t="n"/>
      <c r="H1385" s="16">
        <f>IF($A1385="","",$D1385+IF($E1385="",0,$E1385)+IF($F1385="",0,$F1385)-IF($G1385="",0,$G1385))</f>
        <v/>
      </c>
      <c r="I1385" s="12" t="n"/>
      <c r="J1385" s="12" t="n"/>
      <c r="K1385" s="12" t="n"/>
      <c r="L1385" s="14" t="n"/>
      <c r="M1385" s="12" t="n"/>
      <c r="N1385" s="12" t="n"/>
      <c r="O1385" s="12" t="n"/>
    </row>
    <row r="1386">
      <c r="A1386" s="12" t="n"/>
      <c r="B1386" s="13">
        <f>IF($A1386="","",IFERROR(INDEX(Emp_Names,MATCH($A1386,Emp_Codes,0)),"NOT FOUND"))</f>
        <v/>
      </c>
      <c r="C1386" s="14" t="n"/>
      <c r="D1386" s="15" t="n"/>
      <c r="E1386" s="15" t="n"/>
      <c r="F1386" s="15" t="n"/>
      <c r="G1386" s="15" t="n"/>
      <c r="H1386" s="16">
        <f>IF($A1386="","",$D1386+IF($E1386="",0,$E1386)+IF($F1386="",0,$F1386)-IF($G1386="",0,$G1386))</f>
        <v/>
      </c>
      <c r="I1386" s="12" t="n"/>
      <c r="J1386" s="12" t="n"/>
      <c r="K1386" s="12" t="n"/>
      <c r="L1386" s="14" t="n"/>
      <c r="M1386" s="12" t="n"/>
      <c r="N1386" s="12" t="n"/>
      <c r="O1386" s="12" t="n"/>
    </row>
    <row r="1387">
      <c r="A1387" s="12" t="n"/>
      <c r="B1387" s="13">
        <f>IF($A1387="","",IFERROR(INDEX(Emp_Names,MATCH($A1387,Emp_Codes,0)),"NOT FOUND"))</f>
        <v/>
      </c>
      <c r="C1387" s="14" t="n"/>
      <c r="D1387" s="15" t="n"/>
      <c r="E1387" s="15" t="n"/>
      <c r="F1387" s="15" t="n"/>
      <c r="G1387" s="15" t="n"/>
      <c r="H1387" s="16">
        <f>IF($A1387="","",$D1387+IF($E1387="",0,$E1387)+IF($F1387="",0,$F1387)-IF($G1387="",0,$G1387))</f>
        <v/>
      </c>
      <c r="I1387" s="12" t="n"/>
      <c r="J1387" s="12" t="n"/>
      <c r="K1387" s="12" t="n"/>
      <c r="L1387" s="14" t="n"/>
      <c r="M1387" s="12" t="n"/>
      <c r="N1387" s="12" t="n"/>
      <c r="O1387" s="12" t="n"/>
    </row>
    <row r="1388">
      <c r="A1388" s="12" t="n"/>
      <c r="B1388" s="13">
        <f>IF($A1388="","",IFERROR(INDEX(Emp_Names,MATCH($A1388,Emp_Codes,0)),"NOT FOUND"))</f>
        <v/>
      </c>
      <c r="C1388" s="14" t="n"/>
      <c r="D1388" s="15" t="n"/>
      <c r="E1388" s="15" t="n"/>
      <c r="F1388" s="15" t="n"/>
      <c r="G1388" s="15" t="n"/>
      <c r="H1388" s="16">
        <f>IF($A1388="","",$D1388+IF($E1388="",0,$E1388)+IF($F1388="",0,$F1388)-IF($G1388="",0,$G1388))</f>
        <v/>
      </c>
      <c r="I1388" s="12" t="n"/>
      <c r="J1388" s="12" t="n"/>
      <c r="K1388" s="12" t="n"/>
      <c r="L1388" s="14" t="n"/>
      <c r="M1388" s="12" t="n"/>
      <c r="N1388" s="12" t="n"/>
      <c r="O1388" s="12" t="n"/>
    </row>
    <row r="1389">
      <c r="A1389" s="12" t="n"/>
      <c r="B1389" s="13">
        <f>IF($A1389="","",IFERROR(INDEX(Emp_Names,MATCH($A1389,Emp_Codes,0)),"NOT FOUND"))</f>
        <v/>
      </c>
      <c r="C1389" s="14" t="n"/>
      <c r="D1389" s="15" t="n"/>
      <c r="E1389" s="15" t="n"/>
      <c r="F1389" s="15" t="n"/>
      <c r="G1389" s="15" t="n"/>
      <c r="H1389" s="16">
        <f>IF($A1389="","",$D1389+IF($E1389="",0,$E1389)+IF($F1389="",0,$F1389)-IF($G1389="",0,$G1389))</f>
        <v/>
      </c>
      <c r="I1389" s="12" t="n"/>
      <c r="J1389" s="12" t="n"/>
      <c r="K1389" s="12" t="n"/>
      <c r="L1389" s="14" t="n"/>
      <c r="M1389" s="12" t="n"/>
      <c r="N1389" s="12" t="n"/>
      <c r="O1389" s="12" t="n"/>
    </row>
    <row r="1390">
      <c r="A1390" s="12" t="n"/>
      <c r="B1390" s="13">
        <f>IF($A1390="","",IFERROR(INDEX(Emp_Names,MATCH($A1390,Emp_Codes,0)),"NOT FOUND"))</f>
        <v/>
      </c>
      <c r="C1390" s="14" t="n"/>
      <c r="D1390" s="15" t="n"/>
      <c r="E1390" s="15" t="n"/>
      <c r="F1390" s="15" t="n"/>
      <c r="G1390" s="15" t="n"/>
      <c r="H1390" s="16">
        <f>IF($A1390="","",$D1390+IF($E1390="",0,$E1390)+IF($F1390="",0,$F1390)-IF($G1390="",0,$G1390))</f>
        <v/>
      </c>
      <c r="I1390" s="12" t="n"/>
      <c r="J1390" s="12" t="n"/>
      <c r="K1390" s="12" t="n"/>
      <c r="L1390" s="14" t="n"/>
      <c r="M1390" s="12" t="n"/>
      <c r="N1390" s="12" t="n"/>
      <c r="O1390" s="12" t="n"/>
    </row>
    <row r="1391">
      <c r="A1391" s="12" t="n"/>
      <c r="B1391" s="13">
        <f>IF($A1391="","",IFERROR(INDEX(Emp_Names,MATCH($A1391,Emp_Codes,0)),"NOT FOUND"))</f>
        <v/>
      </c>
      <c r="C1391" s="14" t="n"/>
      <c r="D1391" s="15" t="n"/>
      <c r="E1391" s="15" t="n"/>
      <c r="F1391" s="15" t="n"/>
      <c r="G1391" s="15" t="n"/>
      <c r="H1391" s="16">
        <f>IF($A1391="","",$D1391+IF($E1391="",0,$E1391)+IF($F1391="",0,$F1391)-IF($G1391="",0,$G1391))</f>
        <v/>
      </c>
      <c r="I1391" s="12" t="n"/>
      <c r="J1391" s="12" t="n"/>
      <c r="K1391" s="12" t="n"/>
      <c r="L1391" s="14" t="n"/>
      <c r="M1391" s="12" t="n"/>
      <c r="N1391" s="12" t="n"/>
      <c r="O1391" s="12" t="n"/>
    </row>
    <row r="1392">
      <c r="A1392" s="12" t="n"/>
      <c r="B1392" s="13">
        <f>IF($A1392="","",IFERROR(INDEX(Emp_Names,MATCH($A1392,Emp_Codes,0)),"NOT FOUND"))</f>
        <v/>
      </c>
      <c r="C1392" s="14" t="n"/>
      <c r="D1392" s="15" t="n"/>
      <c r="E1392" s="15" t="n"/>
      <c r="F1392" s="15" t="n"/>
      <c r="G1392" s="15" t="n"/>
      <c r="H1392" s="16">
        <f>IF($A1392="","",$D1392+IF($E1392="",0,$E1392)+IF($F1392="",0,$F1392)-IF($G1392="",0,$G1392))</f>
        <v/>
      </c>
      <c r="I1392" s="12" t="n"/>
      <c r="J1392" s="12" t="n"/>
      <c r="K1392" s="12" t="n"/>
      <c r="L1392" s="14" t="n"/>
      <c r="M1392" s="12" t="n"/>
      <c r="N1392" s="12" t="n"/>
      <c r="O1392" s="12" t="n"/>
    </row>
    <row r="1393">
      <c r="A1393" s="12" t="n"/>
      <c r="B1393" s="13">
        <f>IF($A1393="","",IFERROR(INDEX(Emp_Names,MATCH($A1393,Emp_Codes,0)),"NOT FOUND"))</f>
        <v/>
      </c>
      <c r="C1393" s="14" t="n"/>
      <c r="D1393" s="15" t="n"/>
      <c r="E1393" s="15" t="n"/>
      <c r="F1393" s="15" t="n"/>
      <c r="G1393" s="15" t="n"/>
      <c r="H1393" s="16">
        <f>IF($A1393="","",$D1393+IF($E1393="",0,$E1393)+IF($F1393="",0,$F1393)-IF($G1393="",0,$G1393))</f>
        <v/>
      </c>
      <c r="I1393" s="12" t="n"/>
      <c r="J1393" s="12" t="n"/>
      <c r="K1393" s="12" t="n"/>
      <c r="L1393" s="14" t="n"/>
      <c r="M1393" s="12" t="n"/>
      <c r="N1393" s="12" t="n"/>
      <c r="O1393" s="12" t="n"/>
    </row>
    <row r="1394">
      <c r="A1394" s="12" t="n"/>
      <c r="B1394" s="13">
        <f>IF($A1394="","",IFERROR(INDEX(Emp_Names,MATCH($A1394,Emp_Codes,0)),"NOT FOUND"))</f>
        <v/>
      </c>
      <c r="C1394" s="14" t="n"/>
      <c r="D1394" s="15" t="n"/>
      <c r="E1394" s="15" t="n"/>
      <c r="F1394" s="15" t="n"/>
      <c r="G1394" s="15" t="n"/>
      <c r="H1394" s="16">
        <f>IF($A1394="","",$D1394+IF($E1394="",0,$E1394)+IF($F1394="",0,$F1394)-IF($G1394="",0,$G1394))</f>
        <v/>
      </c>
      <c r="I1394" s="12" t="n"/>
      <c r="J1394" s="12" t="n"/>
      <c r="K1394" s="12" t="n"/>
      <c r="L1394" s="14" t="n"/>
      <c r="M1394" s="12" t="n"/>
      <c r="N1394" s="12" t="n"/>
      <c r="O1394" s="12" t="n"/>
    </row>
    <row r="1395">
      <c r="A1395" s="12" t="n"/>
      <c r="B1395" s="13">
        <f>IF($A1395="","",IFERROR(INDEX(Emp_Names,MATCH($A1395,Emp_Codes,0)),"NOT FOUND"))</f>
        <v/>
      </c>
      <c r="C1395" s="14" t="n"/>
      <c r="D1395" s="15" t="n"/>
      <c r="E1395" s="15" t="n"/>
      <c r="F1395" s="15" t="n"/>
      <c r="G1395" s="15" t="n"/>
      <c r="H1395" s="16">
        <f>IF($A1395="","",$D1395+IF($E1395="",0,$E1395)+IF($F1395="",0,$F1395)-IF($G1395="",0,$G1395))</f>
        <v/>
      </c>
      <c r="I1395" s="12" t="n"/>
      <c r="J1395" s="12" t="n"/>
      <c r="K1395" s="12" t="n"/>
      <c r="L1395" s="14" t="n"/>
      <c r="M1395" s="12" t="n"/>
      <c r="N1395" s="12" t="n"/>
      <c r="O1395" s="12" t="n"/>
    </row>
    <row r="1396">
      <c r="A1396" s="12" t="n"/>
      <c r="B1396" s="13">
        <f>IF($A1396="","",IFERROR(INDEX(Emp_Names,MATCH($A1396,Emp_Codes,0)),"NOT FOUND"))</f>
        <v/>
      </c>
      <c r="C1396" s="14" t="n"/>
      <c r="D1396" s="15" t="n"/>
      <c r="E1396" s="15" t="n"/>
      <c r="F1396" s="15" t="n"/>
      <c r="G1396" s="15" t="n"/>
      <c r="H1396" s="16">
        <f>IF($A1396="","",$D1396+IF($E1396="",0,$E1396)+IF($F1396="",0,$F1396)-IF($G1396="",0,$G1396))</f>
        <v/>
      </c>
      <c r="I1396" s="12" t="n"/>
      <c r="J1396" s="12" t="n"/>
      <c r="K1396" s="12" t="n"/>
      <c r="L1396" s="14" t="n"/>
      <c r="M1396" s="12" t="n"/>
      <c r="N1396" s="12" t="n"/>
      <c r="O1396" s="12" t="n"/>
    </row>
    <row r="1397">
      <c r="A1397" s="12" t="n"/>
      <c r="B1397" s="13">
        <f>IF($A1397="","",IFERROR(INDEX(Emp_Names,MATCH($A1397,Emp_Codes,0)),"NOT FOUND"))</f>
        <v/>
      </c>
      <c r="C1397" s="14" t="n"/>
      <c r="D1397" s="15" t="n"/>
      <c r="E1397" s="15" t="n"/>
      <c r="F1397" s="15" t="n"/>
      <c r="G1397" s="15" t="n"/>
      <c r="H1397" s="16">
        <f>IF($A1397="","",$D1397+IF($E1397="",0,$E1397)+IF($F1397="",0,$F1397)-IF($G1397="",0,$G1397))</f>
        <v/>
      </c>
      <c r="I1397" s="12" t="n"/>
      <c r="J1397" s="12" t="n"/>
      <c r="K1397" s="12" t="n"/>
      <c r="L1397" s="14" t="n"/>
      <c r="M1397" s="12" t="n"/>
      <c r="N1397" s="12" t="n"/>
      <c r="O1397" s="12" t="n"/>
    </row>
    <row r="1398">
      <c r="A1398" s="12" t="n"/>
      <c r="B1398" s="13">
        <f>IF($A1398="","",IFERROR(INDEX(Emp_Names,MATCH($A1398,Emp_Codes,0)),"NOT FOUND"))</f>
        <v/>
      </c>
      <c r="C1398" s="14" t="n"/>
      <c r="D1398" s="15" t="n"/>
      <c r="E1398" s="15" t="n"/>
      <c r="F1398" s="15" t="n"/>
      <c r="G1398" s="15" t="n"/>
      <c r="H1398" s="16">
        <f>IF($A1398="","",$D1398+IF($E1398="",0,$E1398)+IF($F1398="",0,$F1398)-IF($G1398="",0,$G1398))</f>
        <v/>
      </c>
      <c r="I1398" s="12" t="n"/>
      <c r="J1398" s="12" t="n"/>
      <c r="K1398" s="12" t="n"/>
      <c r="L1398" s="14" t="n"/>
      <c r="M1398" s="12" t="n"/>
      <c r="N1398" s="12" t="n"/>
      <c r="O1398" s="12" t="n"/>
    </row>
    <row r="1399">
      <c r="A1399" s="12" t="n"/>
      <c r="B1399" s="13">
        <f>IF($A1399="","",IFERROR(INDEX(Emp_Names,MATCH($A1399,Emp_Codes,0)),"NOT FOUND"))</f>
        <v/>
      </c>
      <c r="C1399" s="14" t="n"/>
      <c r="D1399" s="15" t="n"/>
      <c r="E1399" s="15" t="n"/>
      <c r="F1399" s="15" t="n"/>
      <c r="G1399" s="15" t="n"/>
      <c r="H1399" s="16">
        <f>IF($A1399="","",$D1399+IF($E1399="",0,$E1399)+IF($F1399="",0,$F1399)-IF($G1399="",0,$G1399))</f>
        <v/>
      </c>
      <c r="I1399" s="12" t="n"/>
      <c r="J1399" s="12" t="n"/>
      <c r="K1399" s="12" t="n"/>
      <c r="L1399" s="14" t="n"/>
      <c r="M1399" s="12" t="n"/>
      <c r="N1399" s="12" t="n"/>
      <c r="O1399" s="12" t="n"/>
    </row>
    <row r="1400">
      <c r="A1400" s="12" t="n"/>
      <c r="B1400" s="13">
        <f>IF($A1400="","",IFERROR(INDEX(Emp_Names,MATCH($A1400,Emp_Codes,0)),"NOT FOUND"))</f>
        <v/>
      </c>
      <c r="C1400" s="14" t="n"/>
      <c r="D1400" s="15" t="n"/>
      <c r="E1400" s="15" t="n"/>
      <c r="F1400" s="15" t="n"/>
      <c r="G1400" s="15" t="n"/>
      <c r="H1400" s="16">
        <f>IF($A1400="","",$D1400+IF($E1400="",0,$E1400)+IF($F1400="",0,$F1400)-IF($G1400="",0,$G1400))</f>
        <v/>
      </c>
      <c r="I1400" s="12" t="n"/>
      <c r="J1400" s="12" t="n"/>
      <c r="K1400" s="12" t="n"/>
      <c r="L1400" s="14" t="n"/>
      <c r="M1400" s="12" t="n"/>
      <c r="N1400" s="12" t="n"/>
      <c r="O1400" s="12" t="n"/>
    </row>
    <row r="1401">
      <c r="A1401" s="12" t="n"/>
      <c r="B1401" s="13">
        <f>IF($A1401="","",IFERROR(INDEX(Emp_Names,MATCH($A1401,Emp_Codes,0)),"NOT FOUND"))</f>
        <v/>
      </c>
      <c r="C1401" s="14" t="n"/>
      <c r="D1401" s="15" t="n"/>
      <c r="E1401" s="15" t="n"/>
      <c r="F1401" s="15" t="n"/>
      <c r="G1401" s="15" t="n"/>
      <c r="H1401" s="16">
        <f>IF($A1401="","",$D1401+IF($E1401="",0,$E1401)+IF($F1401="",0,$F1401)-IF($G1401="",0,$G1401))</f>
        <v/>
      </c>
      <c r="I1401" s="12" t="n"/>
      <c r="J1401" s="12" t="n"/>
      <c r="K1401" s="12" t="n"/>
      <c r="L1401" s="14" t="n"/>
      <c r="M1401" s="12" t="n"/>
      <c r="N1401" s="12" t="n"/>
      <c r="O1401" s="12" t="n"/>
    </row>
    <row r="1402">
      <c r="A1402" s="12" t="n"/>
      <c r="B1402" s="13">
        <f>IF($A1402="","",IFERROR(INDEX(Emp_Names,MATCH($A1402,Emp_Codes,0)),"NOT FOUND"))</f>
        <v/>
      </c>
      <c r="C1402" s="14" t="n"/>
      <c r="D1402" s="15" t="n"/>
      <c r="E1402" s="15" t="n"/>
      <c r="F1402" s="15" t="n"/>
      <c r="G1402" s="15" t="n"/>
      <c r="H1402" s="16">
        <f>IF($A1402="","",$D1402+IF($E1402="",0,$E1402)+IF($F1402="",0,$F1402)-IF($G1402="",0,$G1402))</f>
        <v/>
      </c>
      <c r="I1402" s="12" t="n"/>
      <c r="J1402" s="12" t="n"/>
      <c r="K1402" s="12" t="n"/>
      <c r="L1402" s="14" t="n"/>
      <c r="M1402" s="12" t="n"/>
      <c r="N1402" s="12" t="n"/>
      <c r="O1402" s="12" t="n"/>
    </row>
    <row r="1403">
      <c r="A1403" s="12" t="n"/>
      <c r="B1403" s="13">
        <f>IF($A1403="","",IFERROR(INDEX(Emp_Names,MATCH($A1403,Emp_Codes,0)),"NOT FOUND"))</f>
        <v/>
      </c>
      <c r="C1403" s="14" t="n"/>
      <c r="D1403" s="15" t="n"/>
      <c r="E1403" s="15" t="n"/>
      <c r="F1403" s="15" t="n"/>
      <c r="G1403" s="15" t="n"/>
      <c r="H1403" s="16">
        <f>IF($A1403="","",$D1403+IF($E1403="",0,$E1403)+IF($F1403="",0,$F1403)-IF($G1403="",0,$G1403))</f>
        <v/>
      </c>
      <c r="I1403" s="12" t="n"/>
      <c r="J1403" s="12" t="n"/>
      <c r="K1403" s="12" t="n"/>
      <c r="L1403" s="14" t="n"/>
      <c r="M1403" s="12" t="n"/>
      <c r="N1403" s="12" t="n"/>
      <c r="O1403" s="12" t="n"/>
    </row>
    <row r="1404">
      <c r="A1404" s="12" t="n"/>
      <c r="B1404" s="13">
        <f>IF($A1404="","",IFERROR(INDEX(Emp_Names,MATCH($A1404,Emp_Codes,0)),"NOT FOUND"))</f>
        <v/>
      </c>
      <c r="C1404" s="14" t="n"/>
      <c r="D1404" s="15" t="n"/>
      <c r="E1404" s="15" t="n"/>
      <c r="F1404" s="15" t="n"/>
      <c r="G1404" s="15" t="n"/>
      <c r="H1404" s="16">
        <f>IF($A1404="","",$D1404+IF($E1404="",0,$E1404)+IF($F1404="",0,$F1404)-IF($G1404="",0,$G1404))</f>
        <v/>
      </c>
      <c r="I1404" s="12" t="n"/>
      <c r="J1404" s="12" t="n"/>
      <c r="K1404" s="12" t="n"/>
      <c r="L1404" s="14" t="n"/>
      <c r="M1404" s="12" t="n"/>
      <c r="N1404" s="12" t="n"/>
      <c r="O1404" s="12" t="n"/>
    </row>
    <row r="1405">
      <c r="A1405" s="12" t="n"/>
      <c r="B1405" s="13">
        <f>IF($A1405="","",IFERROR(INDEX(Emp_Names,MATCH($A1405,Emp_Codes,0)),"NOT FOUND"))</f>
        <v/>
      </c>
      <c r="C1405" s="14" t="n"/>
      <c r="D1405" s="15" t="n"/>
      <c r="E1405" s="15" t="n"/>
      <c r="F1405" s="15" t="n"/>
      <c r="G1405" s="15" t="n"/>
      <c r="H1405" s="16">
        <f>IF($A1405="","",$D1405+IF($E1405="",0,$E1405)+IF($F1405="",0,$F1405)-IF($G1405="",0,$G1405))</f>
        <v/>
      </c>
      <c r="I1405" s="12" t="n"/>
      <c r="J1405" s="12" t="n"/>
      <c r="K1405" s="12" t="n"/>
      <c r="L1405" s="14" t="n"/>
      <c r="M1405" s="12" t="n"/>
      <c r="N1405" s="12" t="n"/>
      <c r="O1405" s="12" t="n"/>
    </row>
    <row r="1406">
      <c r="A1406" s="12" t="n"/>
      <c r="B1406" s="13">
        <f>IF($A1406="","",IFERROR(INDEX(Emp_Names,MATCH($A1406,Emp_Codes,0)),"NOT FOUND"))</f>
        <v/>
      </c>
      <c r="C1406" s="14" t="n"/>
      <c r="D1406" s="15" t="n"/>
      <c r="E1406" s="15" t="n"/>
      <c r="F1406" s="15" t="n"/>
      <c r="G1406" s="15" t="n"/>
      <c r="H1406" s="16">
        <f>IF($A1406="","",$D1406+IF($E1406="",0,$E1406)+IF($F1406="",0,$F1406)-IF($G1406="",0,$G1406))</f>
        <v/>
      </c>
      <c r="I1406" s="12" t="n"/>
      <c r="J1406" s="12" t="n"/>
      <c r="K1406" s="12" t="n"/>
      <c r="L1406" s="14" t="n"/>
      <c r="M1406" s="12" t="n"/>
      <c r="N1406" s="12" t="n"/>
      <c r="O1406" s="12" t="n"/>
    </row>
    <row r="1407">
      <c r="A1407" s="12" t="n"/>
      <c r="B1407" s="13">
        <f>IF($A1407="","",IFERROR(INDEX(Emp_Names,MATCH($A1407,Emp_Codes,0)),"NOT FOUND"))</f>
        <v/>
      </c>
      <c r="C1407" s="14" t="n"/>
      <c r="D1407" s="15" t="n"/>
      <c r="E1407" s="15" t="n"/>
      <c r="F1407" s="15" t="n"/>
      <c r="G1407" s="15" t="n"/>
      <c r="H1407" s="16">
        <f>IF($A1407="","",$D1407+IF($E1407="",0,$E1407)+IF($F1407="",0,$F1407)-IF($G1407="",0,$G1407))</f>
        <v/>
      </c>
      <c r="I1407" s="12" t="n"/>
      <c r="J1407" s="12" t="n"/>
      <c r="K1407" s="12" t="n"/>
      <c r="L1407" s="14" t="n"/>
      <c r="M1407" s="12" t="n"/>
      <c r="N1407" s="12" t="n"/>
      <c r="O1407" s="12" t="n"/>
    </row>
    <row r="1408">
      <c r="A1408" s="12" t="n"/>
      <c r="B1408" s="13">
        <f>IF($A1408="","",IFERROR(INDEX(Emp_Names,MATCH($A1408,Emp_Codes,0)),"NOT FOUND"))</f>
        <v/>
      </c>
      <c r="C1408" s="14" t="n"/>
      <c r="D1408" s="15" t="n"/>
      <c r="E1408" s="15" t="n"/>
      <c r="F1408" s="15" t="n"/>
      <c r="G1408" s="15" t="n"/>
      <c r="H1408" s="16">
        <f>IF($A1408="","",$D1408+IF($E1408="",0,$E1408)+IF($F1408="",0,$F1408)-IF($G1408="",0,$G1408))</f>
        <v/>
      </c>
      <c r="I1408" s="12" t="n"/>
      <c r="J1408" s="12" t="n"/>
      <c r="K1408" s="12" t="n"/>
      <c r="L1408" s="14" t="n"/>
      <c r="M1408" s="12" t="n"/>
      <c r="N1408" s="12" t="n"/>
      <c r="O1408" s="12" t="n"/>
    </row>
    <row r="1409">
      <c r="A1409" s="12" t="n"/>
      <c r="B1409" s="13">
        <f>IF($A1409="","",IFERROR(INDEX(Emp_Names,MATCH($A1409,Emp_Codes,0)),"NOT FOUND"))</f>
        <v/>
      </c>
      <c r="C1409" s="14" t="n"/>
      <c r="D1409" s="15" t="n"/>
      <c r="E1409" s="15" t="n"/>
      <c r="F1409" s="15" t="n"/>
      <c r="G1409" s="15" t="n"/>
      <c r="H1409" s="16">
        <f>IF($A1409="","",$D1409+IF($E1409="",0,$E1409)+IF($F1409="",0,$F1409)-IF($G1409="",0,$G1409))</f>
        <v/>
      </c>
      <c r="I1409" s="12" t="n"/>
      <c r="J1409" s="12" t="n"/>
      <c r="K1409" s="12" t="n"/>
      <c r="L1409" s="14" t="n"/>
      <c r="M1409" s="12" t="n"/>
      <c r="N1409" s="12" t="n"/>
      <c r="O1409" s="12" t="n"/>
    </row>
    <row r="1410">
      <c r="A1410" s="12" t="n"/>
      <c r="B1410" s="13">
        <f>IF($A1410="","",IFERROR(INDEX(Emp_Names,MATCH($A1410,Emp_Codes,0)),"NOT FOUND"))</f>
        <v/>
      </c>
      <c r="C1410" s="14" t="n"/>
      <c r="D1410" s="15" t="n"/>
      <c r="E1410" s="15" t="n"/>
      <c r="F1410" s="15" t="n"/>
      <c r="G1410" s="15" t="n"/>
      <c r="H1410" s="16">
        <f>IF($A1410="","",$D1410+IF($E1410="",0,$E1410)+IF($F1410="",0,$F1410)-IF($G1410="",0,$G1410))</f>
        <v/>
      </c>
      <c r="I1410" s="12" t="n"/>
      <c r="J1410" s="12" t="n"/>
      <c r="K1410" s="12" t="n"/>
      <c r="L1410" s="14" t="n"/>
      <c r="M1410" s="12" t="n"/>
      <c r="N1410" s="12" t="n"/>
      <c r="O1410" s="12" t="n"/>
    </row>
    <row r="1411">
      <c r="A1411" s="12" t="n"/>
      <c r="B1411" s="13">
        <f>IF($A1411="","",IFERROR(INDEX(Emp_Names,MATCH($A1411,Emp_Codes,0)),"NOT FOUND"))</f>
        <v/>
      </c>
      <c r="C1411" s="14" t="n"/>
      <c r="D1411" s="15" t="n"/>
      <c r="E1411" s="15" t="n"/>
      <c r="F1411" s="15" t="n"/>
      <c r="G1411" s="15" t="n"/>
      <c r="H1411" s="16">
        <f>IF($A1411="","",$D1411+IF($E1411="",0,$E1411)+IF($F1411="",0,$F1411)-IF($G1411="",0,$G1411))</f>
        <v/>
      </c>
      <c r="I1411" s="12" t="n"/>
      <c r="J1411" s="12" t="n"/>
      <c r="K1411" s="12" t="n"/>
      <c r="L1411" s="14" t="n"/>
      <c r="M1411" s="12" t="n"/>
      <c r="N1411" s="12" t="n"/>
      <c r="O1411" s="12" t="n"/>
    </row>
    <row r="1412">
      <c r="A1412" s="12" t="n"/>
      <c r="B1412" s="13">
        <f>IF($A1412="","",IFERROR(INDEX(Emp_Names,MATCH($A1412,Emp_Codes,0)),"NOT FOUND"))</f>
        <v/>
      </c>
      <c r="C1412" s="14" t="n"/>
      <c r="D1412" s="15" t="n"/>
      <c r="E1412" s="15" t="n"/>
      <c r="F1412" s="15" t="n"/>
      <c r="G1412" s="15" t="n"/>
      <c r="H1412" s="16">
        <f>IF($A1412="","",$D1412+IF($E1412="",0,$E1412)+IF($F1412="",0,$F1412)-IF($G1412="",0,$G1412))</f>
        <v/>
      </c>
      <c r="I1412" s="12" t="n"/>
      <c r="J1412" s="12" t="n"/>
      <c r="K1412" s="12" t="n"/>
      <c r="L1412" s="14" t="n"/>
      <c r="M1412" s="12" t="n"/>
      <c r="N1412" s="12" t="n"/>
      <c r="O1412" s="12" t="n"/>
    </row>
    <row r="1413">
      <c r="A1413" s="12" t="n"/>
      <c r="B1413" s="13">
        <f>IF($A1413="","",IFERROR(INDEX(Emp_Names,MATCH($A1413,Emp_Codes,0)),"NOT FOUND"))</f>
        <v/>
      </c>
      <c r="C1413" s="14" t="n"/>
      <c r="D1413" s="15" t="n"/>
      <c r="E1413" s="15" t="n"/>
      <c r="F1413" s="15" t="n"/>
      <c r="G1413" s="15" t="n"/>
      <c r="H1413" s="16">
        <f>IF($A1413="","",$D1413+IF($E1413="",0,$E1413)+IF($F1413="",0,$F1413)-IF($G1413="",0,$G1413))</f>
        <v/>
      </c>
      <c r="I1413" s="12" t="n"/>
      <c r="J1413" s="12" t="n"/>
      <c r="K1413" s="12" t="n"/>
      <c r="L1413" s="14" t="n"/>
      <c r="M1413" s="12" t="n"/>
      <c r="N1413" s="12" t="n"/>
      <c r="O1413" s="12" t="n"/>
    </row>
    <row r="1414">
      <c r="A1414" s="12" t="n"/>
      <c r="B1414" s="13">
        <f>IF($A1414="","",IFERROR(INDEX(Emp_Names,MATCH($A1414,Emp_Codes,0)),"NOT FOUND"))</f>
        <v/>
      </c>
      <c r="C1414" s="14" t="n"/>
      <c r="D1414" s="15" t="n"/>
      <c r="E1414" s="15" t="n"/>
      <c r="F1414" s="15" t="n"/>
      <c r="G1414" s="15" t="n"/>
      <c r="H1414" s="16">
        <f>IF($A1414="","",$D1414+IF($E1414="",0,$E1414)+IF($F1414="",0,$F1414)-IF($G1414="",0,$G1414))</f>
        <v/>
      </c>
      <c r="I1414" s="12" t="n"/>
      <c r="J1414" s="12" t="n"/>
      <c r="K1414" s="12" t="n"/>
      <c r="L1414" s="14" t="n"/>
      <c r="M1414" s="12" t="n"/>
      <c r="N1414" s="12" t="n"/>
      <c r="O1414" s="12" t="n"/>
    </row>
    <row r="1415">
      <c r="A1415" s="12" t="n"/>
      <c r="B1415" s="13">
        <f>IF($A1415="","",IFERROR(INDEX(Emp_Names,MATCH($A1415,Emp_Codes,0)),"NOT FOUND"))</f>
        <v/>
      </c>
      <c r="C1415" s="14" t="n"/>
      <c r="D1415" s="15" t="n"/>
      <c r="E1415" s="15" t="n"/>
      <c r="F1415" s="15" t="n"/>
      <c r="G1415" s="15" t="n"/>
      <c r="H1415" s="16">
        <f>IF($A1415="","",$D1415+IF($E1415="",0,$E1415)+IF($F1415="",0,$F1415)-IF($G1415="",0,$G1415))</f>
        <v/>
      </c>
      <c r="I1415" s="12" t="n"/>
      <c r="J1415" s="12" t="n"/>
      <c r="K1415" s="12" t="n"/>
      <c r="L1415" s="14" t="n"/>
      <c r="M1415" s="12" t="n"/>
      <c r="N1415" s="12" t="n"/>
      <c r="O1415" s="12" t="n"/>
    </row>
    <row r="1416">
      <c r="A1416" s="12" t="n"/>
      <c r="B1416" s="13">
        <f>IF($A1416="","",IFERROR(INDEX(Emp_Names,MATCH($A1416,Emp_Codes,0)),"NOT FOUND"))</f>
        <v/>
      </c>
      <c r="C1416" s="14" t="n"/>
      <c r="D1416" s="15" t="n"/>
      <c r="E1416" s="15" t="n"/>
      <c r="F1416" s="15" t="n"/>
      <c r="G1416" s="15" t="n"/>
      <c r="H1416" s="16">
        <f>IF($A1416="","",$D1416+IF($E1416="",0,$E1416)+IF($F1416="",0,$F1416)-IF($G1416="",0,$G1416))</f>
        <v/>
      </c>
      <c r="I1416" s="12" t="n"/>
      <c r="J1416" s="12" t="n"/>
      <c r="K1416" s="12" t="n"/>
      <c r="L1416" s="14" t="n"/>
      <c r="M1416" s="12" t="n"/>
      <c r="N1416" s="12" t="n"/>
      <c r="O1416" s="12" t="n"/>
    </row>
    <row r="1417">
      <c r="A1417" s="12" t="n"/>
      <c r="B1417" s="13">
        <f>IF($A1417="","",IFERROR(INDEX(Emp_Names,MATCH($A1417,Emp_Codes,0)),"NOT FOUND"))</f>
        <v/>
      </c>
      <c r="C1417" s="14" t="n"/>
      <c r="D1417" s="15" t="n"/>
      <c r="E1417" s="15" t="n"/>
      <c r="F1417" s="15" t="n"/>
      <c r="G1417" s="15" t="n"/>
      <c r="H1417" s="16">
        <f>IF($A1417="","",$D1417+IF($E1417="",0,$E1417)+IF($F1417="",0,$F1417)-IF($G1417="",0,$G1417))</f>
        <v/>
      </c>
      <c r="I1417" s="12" t="n"/>
      <c r="J1417" s="12" t="n"/>
      <c r="K1417" s="12" t="n"/>
      <c r="L1417" s="14" t="n"/>
      <c r="M1417" s="12" t="n"/>
      <c r="N1417" s="12" t="n"/>
      <c r="O1417" s="12" t="n"/>
    </row>
    <row r="1418">
      <c r="A1418" s="12" t="n"/>
      <c r="B1418" s="13">
        <f>IF($A1418="","",IFERROR(INDEX(Emp_Names,MATCH($A1418,Emp_Codes,0)),"NOT FOUND"))</f>
        <v/>
      </c>
      <c r="C1418" s="14" t="n"/>
      <c r="D1418" s="15" t="n"/>
      <c r="E1418" s="15" t="n"/>
      <c r="F1418" s="15" t="n"/>
      <c r="G1418" s="15" t="n"/>
      <c r="H1418" s="16">
        <f>IF($A1418="","",$D1418+IF($E1418="",0,$E1418)+IF($F1418="",0,$F1418)-IF($G1418="",0,$G1418))</f>
        <v/>
      </c>
      <c r="I1418" s="12" t="n"/>
      <c r="J1418" s="12" t="n"/>
      <c r="K1418" s="12" t="n"/>
      <c r="L1418" s="14" t="n"/>
      <c r="M1418" s="12" t="n"/>
      <c r="N1418" s="12" t="n"/>
      <c r="O1418" s="12" t="n"/>
    </row>
    <row r="1419">
      <c r="A1419" s="12" t="n"/>
      <c r="B1419" s="13">
        <f>IF($A1419="","",IFERROR(INDEX(Emp_Names,MATCH($A1419,Emp_Codes,0)),"NOT FOUND"))</f>
        <v/>
      </c>
      <c r="C1419" s="14" t="n"/>
      <c r="D1419" s="15" t="n"/>
      <c r="E1419" s="15" t="n"/>
      <c r="F1419" s="15" t="n"/>
      <c r="G1419" s="15" t="n"/>
      <c r="H1419" s="16">
        <f>IF($A1419="","",$D1419+IF($E1419="",0,$E1419)+IF($F1419="",0,$F1419)-IF($G1419="",0,$G1419))</f>
        <v/>
      </c>
      <c r="I1419" s="12" t="n"/>
      <c r="J1419" s="12" t="n"/>
      <c r="K1419" s="12" t="n"/>
      <c r="L1419" s="14" t="n"/>
      <c r="M1419" s="12" t="n"/>
      <c r="N1419" s="12" t="n"/>
      <c r="O1419" s="12" t="n"/>
    </row>
    <row r="1420">
      <c r="A1420" s="12" t="n"/>
      <c r="B1420" s="13">
        <f>IF($A1420="","",IFERROR(INDEX(Emp_Names,MATCH($A1420,Emp_Codes,0)),"NOT FOUND"))</f>
        <v/>
      </c>
      <c r="C1420" s="14" t="n"/>
      <c r="D1420" s="15" t="n"/>
      <c r="E1420" s="15" t="n"/>
      <c r="F1420" s="15" t="n"/>
      <c r="G1420" s="15" t="n"/>
      <c r="H1420" s="16">
        <f>IF($A1420="","",$D1420+IF($E1420="",0,$E1420)+IF($F1420="",0,$F1420)-IF($G1420="",0,$G1420))</f>
        <v/>
      </c>
      <c r="I1420" s="12" t="n"/>
      <c r="J1420" s="12" t="n"/>
      <c r="K1420" s="12" t="n"/>
      <c r="L1420" s="14" t="n"/>
      <c r="M1420" s="12" t="n"/>
      <c r="N1420" s="12" t="n"/>
      <c r="O1420" s="12" t="n"/>
    </row>
    <row r="1421">
      <c r="A1421" s="12" t="n"/>
      <c r="B1421" s="13">
        <f>IF($A1421="","",IFERROR(INDEX(Emp_Names,MATCH($A1421,Emp_Codes,0)),"NOT FOUND"))</f>
        <v/>
      </c>
      <c r="C1421" s="14" t="n"/>
      <c r="D1421" s="15" t="n"/>
      <c r="E1421" s="15" t="n"/>
      <c r="F1421" s="15" t="n"/>
      <c r="G1421" s="15" t="n"/>
      <c r="H1421" s="16">
        <f>IF($A1421="","",$D1421+IF($E1421="",0,$E1421)+IF($F1421="",0,$F1421)-IF($G1421="",0,$G1421))</f>
        <v/>
      </c>
      <c r="I1421" s="12" t="n"/>
      <c r="J1421" s="12" t="n"/>
      <c r="K1421" s="12" t="n"/>
      <c r="L1421" s="14" t="n"/>
      <c r="M1421" s="12" t="n"/>
      <c r="N1421" s="12" t="n"/>
      <c r="O1421" s="12" t="n"/>
    </row>
    <row r="1422">
      <c r="A1422" s="12" t="n"/>
      <c r="B1422" s="13">
        <f>IF($A1422="","",IFERROR(INDEX(Emp_Names,MATCH($A1422,Emp_Codes,0)),"NOT FOUND"))</f>
        <v/>
      </c>
      <c r="C1422" s="14" t="n"/>
      <c r="D1422" s="15" t="n"/>
      <c r="E1422" s="15" t="n"/>
      <c r="F1422" s="15" t="n"/>
      <c r="G1422" s="15" t="n"/>
      <c r="H1422" s="16">
        <f>IF($A1422="","",$D1422+IF($E1422="",0,$E1422)+IF($F1422="",0,$F1422)-IF($G1422="",0,$G1422))</f>
        <v/>
      </c>
      <c r="I1422" s="12" t="n"/>
      <c r="J1422" s="12" t="n"/>
      <c r="K1422" s="12" t="n"/>
      <c r="L1422" s="14" t="n"/>
      <c r="M1422" s="12" t="n"/>
      <c r="N1422" s="12" t="n"/>
      <c r="O1422" s="12" t="n"/>
    </row>
    <row r="1423">
      <c r="A1423" s="12" t="n"/>
      <c r="B1423" s="13">
        <f>IF($A1423="","",IFERROR(INDEX(Emp_Names,MATCH($A1423,Emp_Codes,0)),"NOT FOUND"))</f>
        <v/>
      </c>
      <c r="C1423" s="14" t="n"/>
      <c r="D1423" s="15" t="n"/>
      <c r="E1423" s="15" t="n"/>
      <c r="F1423" s="15" t="n"/>
      <c r="G1423" s="15" t="n"/>
      <c r="H1423" s="16">
        <f>IF($A1423="","",$D1423+IF($E1423="",0,$E1423)+IF($F1423="",0,$F1423)-IF($G1423="",0,$G1423))</f>
        <v/>
      </c>
      <c r="I1423" s="12" t="n"/>
      <c r="J1423" s="12" t="n"/>
      <c r="K1423" s="12" t="n"/>
      <c r="L1423" s="14" t="n"/>
      <c r="M1423" s="12" t="n"/>
      <c r="N1423" s="12" t="n"/>
      <c r="O1423" s="12" t="n"/>
    </row>
    <row r="1424">
      <c r="A1424" s="12" t="n"/>
      <c r="B1424" s="13">
        <f>IF($A1424="","",IFERROR(INDEX(Emp_Names,MATCH($A1424,Emp_Codes,0)),"NOT FOUND"))</f>
        <v/>
      </c>
      <c r="C1424" s="14" t="n"/>
      <c r="D1424" s="15" t="n"/>
      <c r="E1424" s="15" t="n"/>
      <c r="F1424" s="15" t="n"/>
      <c r="G1424" s="15" t="n"/>
      <c r="H1424" s="16">
        <f>IF($A1424="","",$D1424+IF($E1424="",0,$E1424)+IF($F1424="",0,$F1424)-IF($G1424="",0,$G1424))</f>
        <v/>
      </c>
      <c r="I1424" s="12" t="n"/>
      <c r="J1424" s="12" t="n"/>
      <c r="K1424" s="12" t="n"/>
      <c r="L1424" s="14" t="n"/>
      <c r="M1424" s="12" t="n"/>
      <c r="N1424" s="12" t="n"/>
      <c r="O1424" s="12" t="n"/>
    </row>
    <row r="1425">
      <c r="A1425" s="12" t="n"/>
      <c r="B1425" s="13">
        <f>IF($A1425="","",IFERROR(INDEX(Emp_Names,MATCH($A1425,Emp_Codes,0)),"NOT FOUND"))</f>
        <v/>
      </c>
      <c r="C1425" s="14" t="n"/>
      <c r="D1425" s="15" t="n"/>
      <c r="E1425" s="15" t="n"/>
      <c r="F1425" s="15" t="n"/>
      <c r="G1425" s="15" t="n"/>
      <c r="H1425" s="16">
        <f>IF($A1425="","",$D1425+IF($E1425="",0,$E1425)+IF($F1425="",0,$F1425)-IF($G1425="",0,$G1425))</f>
        <v/>
      </c>
      <c r="I1425" s="12" t="n"/>
      <c r="J1425" s="12" t="n"/>
      <c r="K1425" s="12" t="n"/>
      <c r="L1425" s="14" t="n"/>
      <c r="M1425" s="12" t="n"/>
      <c r="N1425" s="12" t="n"/>
      <c r="O1425" s="12" t="n"/>
    </row>
    <row r="1426">
      <c r="A1426" s="12" t="n"/>
      <c r="B1426" s="13">
        <f>IF($A1426="","",IFERROR(INDEX(Emp_Names,MATCH($A1426,Emp_Codes,0)),"NOT FOUND"))</f>
        <v/>
      </c>
      <c r="C1426" s="14" t="n"/>
      <c r="D1426" s="15" t="n"/>
      <c r="E1426" s="15" t="n"/>
      <c r="F1426" s="15" t="n"/>
      <c r="G1426" s="15" t="n"/>
      <c r="H1426" s="16">
        <f>IF($A1426="","",$D1426+IF($E1426="",0,$E1426)+IF($F1426="",0,$F1426)-IF($G1426="",0,$G1426))</f>
        <v/>
      </c>
      <c r="I1426" s="12" t="n"/>
      <c r="J1426" s="12" t="n"/>
      <c r="K1426" s="12" t="n"/>
      <c r="L1426" s="14" t="n"/>
      <c r="M1426" s="12" t="n"/>
      <c r="N1426" s="12" t="n"/>
      <c r="O1426" s="12" t="n"/>
    </row>
    <row r="1427">
      <c r="A1427" s="12" t="n"/>
      <c r="B1427" s="13">
        <f>IF($A1427="","",IFERROR(INDEX(Emp_Names,MATCH($A1427,Emp_Codes,0)),"NOT FOUND"))</f>
        <v/>
      </c>
      <c r="C1427" s="14" t="n"/>
      <c r="D1427" s="15" t="n"/>
      <c r="E1427" s="15" t="n"/>
      <c r="F1427" s="15" t="n"/>
      <c r="G1427" s="15" t="n"/>
      <c r="H1427" s="16">
        <f>IF($A1427="","",$D1427+IF($E1427="",0,$E1427)+IF($F1427="",0,$F1427)-IF($G1427="",0,$G1427))</f>
        <v/>
      </c>
      <c r="I1427" s="12" t="n"/>
      <c r="J1427" s="12" t="n"/>
      <c r="K1427" s="12" t="n"/>
      <c r="L1427" s="14" t="n"/>
      <c r="M1427" s="12" t="n"/>
      <c r="N1427" s="12" t="n"/>
      <c r="O1427" s="12" t="n"/>
    </row>
    <row r="1428">
      <c r="A1428" s="12" t="n"/>
      <c r="B1428" s="13">
        <f>IF($A1428="","",IFERROR(INDEX(Emp_Names,MATCH($A1428,Emp_Codes,0)),"NOT FOUND"))</f>
        <v/>
      </c>
      <c r="C1428" s="14" t="n"/>
      <c r="D1428" s="15" t="n"/>
      <c r="E1428" s="15" t="n"/>
      <c r="F1428" s="15" t="n"/>
      <c r="G1428" s="15" t="n"/>
      <c r="H1428" s="16">
        <f>IF($A1428="","",$D1428+IF($E1428="",0,$E1428)+IF($F1428="",0,$F1428)-IF($G1428="",0,$G1428))</f>
        <v/>
      </c>
      <c r="I1428" s="12" t="n"/>
      <c r="J1428" s="12" t="n"/>
      <c r="K1428" s="12" t="n"/>
      <c r="L1428" s="14" t="n"/>
      <c r="M1428" s="12" t="n"/>
      <c r="N1428" s="12" t="n"/>
      <c r="O1428" s="12" t="n"/>
    </row>
    <row r="1429">
      <c r="A1429" s="12" t="n"/>
      <c r="B1429" s="13">
        <f>IF($A1429="","",IFERROR(INDEX(Emp_Names,MATCH($A1429,Emp_Codes,0)),"NOT FOUND"))</f>
        <v/>
      </c>
      <c r="C1429" s="14" t="n"/>
      <c r="D1429" s="15" t="n"/>
      <c r="E1429" s="15" t="n"/>
      <c r="F1429" s="15" t="n"/>
      <c r="G1429" s="15" t="n"/>
      <c r="H1429" s="16">
        <f>IF($A1429="","",$D1429+IF($E1429="",0,$E1429)+IF($F1429="",0,$F1429)-IF($G1429="",0,$G1429))</f>
        <v/>
      </c>
      <c r="I1429" s="12" t="n"/>
      <c r="J1429" s="12" t="n"/>
      <c r="K1429" s="12" t="n"/>
      <c r="L1429" s="14" t="n"/>
      <c r="M1429" s="12" t="n"/>
      <c r="N1429" s="12" t="n"/>
      <c r="O1429" s="12" t="n"/>
    </row>
    <row r="1430">
      <c r="A1430" s="12" t="n"/>
      <c r="B1430" s="13">
        <f>IF($A1430="","",IFERROR(INDEX(Emp_Names,MATCH($A1430,Emp_Codes,0)),"NOT FOUND"))</f>
        <v/>
      </c>
      <c r="C1430" s="14" t="n"/>
      <c r="D1430" s="15" t="n"/>
      <c r="E1430" s="15" t="n"/>
      <c r="F1430" s="15" t="n"/>
      <c r="G1430" s="15" t="n"/>
      <c r="H1430" s="16">
        <f>IF($A1430="","",$D1430+IF($E1430="",0,$E1430)+IF($F1430="",0,$F1430)-IF($G1430="",0,$G1430))</f>
        <v/>
      </c>
      <c r="I1430" s="12" t="n"/>
      <c r="J1430" s="12" t="n"/>
      <c r="K1430" s="12" t="n"/>
      <c r="L1430" s="14" t="n"/>
      <c r="M1430" s="12" t="n"/>
      <c r="N1430" s="12" t="n"/>
      <c r="O1430" s="12" t="n"/>
    </row>
    <row r="1431">
      <c r="A1431" s="12" t="n"/>
      <c r="B1431" s="13">
        <f>IF($A1431="","",IFERROR(INDEX(Emp_Names,MATCH($A1431,Emp_Codes,0)),"NOT FOUND"))</f>
        <v/>
      </c>
      <c r="C1431" s="14" t="n"/>
      <c r="D1431" s="15" t="n"/>
      <c r="E1431" s="15" t="n"/>
      <c r="F1431" s="15" t="n"/>
      <c r="G1431" s="15" t="n"/>
      <c r="H1431" s="16">
        <f>IF($A1431="","",$D1431+IF($E1431="",0,$E1431)+IF($F1431="",0,$F1431)-IF($G1431="",0,$G1431))</f>
        <v/>
      </c>
      <c r="I1431" s="12" t="n"/>
      <c r="J1431" s="12" t="n"/>
      <c r="K1431" s="12" t="n"/>
      <c r="L1431" s="14" t="n"/>
      <c r="M1431" s="12" t="n"/>
      <c r="N1431" s="12" t="n"/>
      <c r="O1431" s="12" t="n"/>
    </row>
    <row r="1432">
      <c r="A1432" s="12" t="n"/>
      <c r="B1432" s="13">
        <f>IF($A1432="","",IFERROR(INDEX(Emp_Names,MATCH($A1432,Emp_Codes,0)),"NOT FOUND"))</f>
        <v/>
      </c>
      <c r="C1432" s="14" t="n"/>
      <c r="D1432" s="15" t="n"/>
      <c r="E1432" s="15" t="n"/>
      <c r="F1432" s="15" t="n"/>
      <c r="G1432" s="15" t="n"/>
      <c r="H1432" s="16">
        <f>IF($A1432="","",$D1432+IF($E1432="",0,$E1432)+IF($F1432="",0,$F1432)-IF($G1432="",0,$G1432))</f>
        <v/>
      </c>
      <c r="I1432" s="12" t="n"/>
      <c r="J1432" s="12" t="n"/>
      <c r="K1432" s="12" t="n"/>
      <c r="L1432" s="14" t="n"/>
      <c r="M1432" s="12" t="n"/>
      <c r="N1432" s="12" t="n"/>
      <c r="O1432" s="12" t="n"/>
    </row>
    <row r="1433">
      <c r="A1433" s="12" t="n"/>
      <c r="B1433" s="13">
        <f>IF($A1433="","",IFERROR(INDEX(Emp_Names,MATCH($A1433,Emp_Codes,0)),"NOT FOUND"))</f>
        <v/>
      </c>
      <c r="C1433" s="14" t="n"/>
      <c r="D1433" s="15" t="n"/>
      <c r="E1433" s="15" t="n"/>
      <c r="F1433" s="15" t="n"/>
      <c r="G1433" s="15" t="n"/>
      <c r="H1433" s="16">
        <f>IF($A1433="","",$D1433+IF($E1433="",0,$E1433)+IF($F1433="",0,$F1433)-IF($G1433="",0,$G1433))</f>
        <v/>
      </c>
      <c r="I1433" s="12" t="n"/>
      <c r="J1433" s="12" t="n"/>
      <c r="K1433" s="12" t="n"/>
      <c r="L1433" s="14" t="n"/>
      <c r="M1433" s="12" t="n"/>
      <c r="N1433" s="12" t="n"/>
      <c r="O1433" s="12" t="n"/>
    </row>
    <row r="1434">
      <c r="A1434" s="12" t="n"/>
      <c r="B1434" s="13">
        <f>IF($A1434="","",IFERROR(INDEX(Emp_Names,MATCH($A1434,Emp_Codes,0)),"NOT FOUND"))</f>
        <v/>
      </c>
      <c r="C1434" s="14" t="n"/>
      <c r="D1434" s="15" t="n"/>
      <c r="E1434" s="15" t="n"/>
      <c r="F1434" s="15" t="n"/>
      <c r="G1434" s="15" t="n"/>
      <c r="H1434" s="16">
        <f>IF($A1434="","",$D1434+IF($E1434="",0,$E1434)+IF($F1434="",0,$F1434)-IF($G1434="",0,$G1434))</f>
        <v/>
      </c>
      <c r="I1434" s="12" t="n"/>
      <c r="J1434" s="12" t="n"/>
      <c r="K1434" s="12" t="n"/>
      <c r="L1434" s="14" t="n"/>
      <c r="M1434" s="12" t="n"/>
      <c r="N1434" s="12" t="n"/>
      <c r="O1434" s="12" t="n"/>
    </row>
    <row r="1435">
      <c r="A1435" s="12" t="n"/>
      <c r="B1435" s="13">
        <f>IF($A1435="","",IFERROR(INDEX(Emp_Names,MATCH($A1435,Emp_Codes,0)),"NOT FOUND"))</f>
        <v/>
      </c>
      <c r="C1435" s="14" t="n"/>
      <c r="D1435" s="15" t="n"/>
      <c r="E1435" s="15" t="n"/>
      <c r="F1435" s="15" t="n"/>
      <c r="G1435" s="15" t="n"/>
      <c r="H1435" s="16">
        <f>IF($A1435="","",$D1435+IF($E1435="",0,$E1435)+IF($F1435="",0,$F1435)-IF($G1435="",0,$G1435))</f>
        <v/>
      </c>
      <c r="I1435" s="12" t="n"/>
      <c r="J1435" s="12" t="n"/>
      <c r="K1435" s="12" t="n"/>
      <c r="L1435" s="14" t="n"/>
      <c r="M1435" s="12" t="n"/>
      <c r="N1435" s="12" t="n"/>
      <c r="O1435" s="12" t="n"/>
    </row>
    <row r="1436">
      <c r="A1436" s="12" t="n"/>
      <c r="B1436" s="13">
        <f>IF($A1436="","",IFERROR(INDEX(Emp_Names,MATCH($A1436,Emp_Codes,0)),"NOT FOUND"))</f>
        <v/>
      </c>
      <c r="C1436" s="14" t="n"/>
      <c r="D1436" s="15" t="n"/>
      <c r="E1436" s="15" t="n"/>
      <c r="F1436" s="15" t="n"/>
      <c r="G1436" s="15" t="n"/>
      <c r="H1436" s="16">
        <f>IF($A1436="","",$D1436+IF($E1436="",0,$E1436)+IF($F1436="",0,$F1436)-IF($G1436="",0,$G1436))</f>
        <v/>
      </c>
      <c r="I1436" s="12" t="n"/>
      <c r="J1436" s="12" t="n"/>
      <c r="K1436" s="12" t="n"/>
      <c r="L1436" s="14" t="n"/>
      <c r="M1436" s="12" t="n"/>
      <c r="N1436" s="12" t="n"/>
      <c r="O1436" s="12" t="n"/>
    </row>
    <row r="1437">
      <c r="A1437" s="12" t="n"/>
      <c r="B1437" s="13">
        <f>IF($A1437="","",IFERROR(INDEX(Emp_Names,MATCH($A1437,Emp_Codes,0)),"NOT FOUND"))</f>
        <v/>
      </c>
      <c r="C1437" s="14" t="n"/>
      <c r="D1437" s="15" t="n"/>
      <c r="E1437" s="15" t="n"/>
      <c r="F1437" s="15" t="n"/>
      <c r="G1437" s="15" t="n"/>
      <c r="H1437" s="16">
        <f>IF($A1437="","",$D1437+IF($E1437="",0,$E1437)+IF($F1437="",0,$F1437)-IF($G1437="",0,$G1437))</f>
        <v/>
      </c>
      <c r="I1437" s="12" t="n"/>
      <c r="J1437" s="12" t="n"/>
      <c r="K1437" s="12" t="n"/>
      <c r="L1437" s="14" t="n"/>
      <c r="M1437" s="12" t="n"/>
      <c r="N1437" s="12" t="n"/>
      <c r="O1437" s="12" t="n"/>
    </row>
    <row r="1438">
      <c r="A1438" s="12" t="n"/>
      <c r="B1438" s="13">
        <f>IF($A1438="","",IFERROR(INDEX(Emp_Names,MATCH($A1438,Emp_Codes,0)),"NOT FOUND"))</f>
        <v/>
      </c>
      <c r="C1438" s="14" t="n"/>
      <c r="D1438" s="15" t="n"/>
      <c r="E1438" s="15" t="n"/>
      <c r="F1438" s="15" t="n"/>
      <c r="G1438" s="15" t="n"/>
      <c r="H1438" s="16">
        <f>IF($A1438="","",$D1438+IF($E1438="",0,$E1438)+IF($F1438="",0,$F1438)-IF($G1438="",0,$G1438))</f>
        <v/>
      </c>
      <c r="I1438" s="12" t="n"/>
      <c r="J1438" s="12" t="n"/>
      <c r="K1438" s="12" t="n"/>
      <c r="L1438" s="14" t="n"/>
      <c r="M1438" s="12" t="n"/>
      <c r="N1438" s="12" t="n"/>
      <c r="O1438" s="12" t="n"/>
    </row>
    <row r="1439">
      <c r="A1439" s="12" t="n"/>
      <c r="B1439" s="13">
        <f>IF($A1439="","",IFERROR(INDEX(Emp_Names,MATCH($A1439,Emp_Codes,0)),"NOT FOUND"))</f>
        <v/>
      </c>
      <c r="C1439" s="14" t="n"/>
      <c r="D1439" s="15" t="n"/>
      <c r="E1439" s="15" t="n"/>
      <c r="F1439" s="15" t="n"/>
      <c r="G1439" s="15" t="n"/>
      <c r="H1439" s="16">
        <f>IF($A1439="","",$D1439+IF($E1439="",0,$E1439)+IF($F1439="",0,$F1439)-IF($G1439="",0,$G1439))</f>
        <v/>
      </c>
      <c r="I1439" s="12" t="n"/>
      <c r="J1439" s="12" t="n"/>
      <c r="K1439" s="12" t="n"/>
      <c r="L1439" s="14" t="n"/>
      <c r="M1439" s="12" t="n"/>
      <c r="N1439" s="12" t="n"/>
      <c r="O1439" s="12" t="n"/>
    </row>
    <row r="1440">
      <c r="A1440" s="12" t="n"/>
      <c r="B1440" s="13">
        <f>IF($A1440="","",IFERROR(INDEX(Emp_Names,MATCH($A1440,Emp_Codes,0)),"NOT FOUND"))</f>
        <v/>
      </c>
      <c r="C1440" s="14" t="n"/>
      <c r="D1440" s="15" t="n"/>
      <c r="E1440" s="15" t="n"/>
      <c r="F1440" s="15" t="n"/>
      <c r="G1440" s="15" t="n"/>
      <c r="H1440" s="16">
        <f>IF($A1440="","",$D1440+IF($E1440="",0,$E1440)+IF($F1440="",0,$F1440)-IF($G1440="",0,$G1440))</f>
        <v/>
      </c>
      <c r="I1440" s="12" t="n"/>
      <c r="J1440" s="12" t="n"/>
      <c r="K1440" s="12" t="n"/>
      <c r="L1440" s="14" t="n"/>
      <c r="M1440" s="12" t="n"/>
      <c r="N1440" s="12" t="n"/>
      <c r="O1440" s="12" t="n"/>
    </row>
    <row r="1441">
      <c r="A1441" s="12" t="n"/>
      <c r="B1441" s="13">
        <f>IF($A1441="","",IFERROR(INDEX(Emp_Names,MATCH($A1441,Emp_Codes,0)),"NOT FOUND"))</f>
        <v/>
      </c>
      <c r="C1441" s="14" t="n"/>
      <c r="D1441" s="15" t="n"/>
      <c r="E1441" s="15" t="n"/>
      <c r="F1441" s="15" t="n"/>
      <c r="G1441" s="15" t="n"/>
      <c r="H1441" s="16">
        <f>IF($A1441="","",$D1441+IF($E1441="",0,$E1441)+IF($F1441="",0,$F1441)-IF($G1441="",0,$G1441))</f>
        <v/>
      </c>
      <c r="I1441" s="12" t="n"/>
      <c r="J1441" s="12" t="n"/>
      <c r="K1441" s="12" t="n"/>
      <c r="L1441" s="14" t="n"/>
      <c r="M1441" s="12" t="n"/>
      <c r="N1441" s="12" t="n"/>
      <c r="O1441" s="12" t="n"/>
    </row>
    <row r="1442">
      <c r="A1442" s="12" t="n"/>
      <c r="B1442" s="13">
        <f>IF($A1442="","",IFERROR(INDEX(Emp_Names,MATCH($A1442,Emp_Codes,0)),"NOT FOUND"))</f>
        <v/>
      </c>
      <c r="C1442" s="14" t="n"/>
      <c r="D1442" s="15" t="n"/>
      <c r="E1442" s="15" t="n"/>
      <c r="F1442" s="15" t="n"/>
      <c r="G1442" s="15" t="n"/>
      <c r="H1442" s="16">
        <f>IF($A1442="","",$D1442+IF($E1442="",0,$E1442)+IF($F1442="",0,$F1442)-IF($G1442="",0,$G1442))</f>
        <v/>
      </c>
      <c r="I1442" s="12" t="n"/>
      <c r="J1442" s="12" t="n"/>
      <c r="K1442" s="12" t="n"/>
      <c r="L1442" s="14" t="n"/>
      <c r="M1442" s="12" t="n"/>
      <c r="N1442" s="12" t="n"/>
      <c r="O1442" s="12" t="n"/>
    </row>
    <row r="1443">
      <c r="A1443" s="12" t="n"/>
      <c r="B1443" s="13">
        <f>IF($A1443="","",IFERROR(INDEX(Emp_Names,MATCH($A1443,Emp_Codes,0)),"NOT FOUND"))</f>
        <v/>
      </c>
      <c r="C1443" s="14" t="n"/>
      <c r="D1443" s="15" t="n"/>
      <c r="E1443" s="15" t="n"/>
      <c r="F1443" s="15" t="n"/>
      <c r="G1443" s="15" t="n"/>
      <c r="H1443" s="16">
        <f>IF($A1443="","",$D1443+IF($E1443="",0,$E1443)+IF($F1443="",0,$F1443)-IF($G1443="",0,$G1443))</f>
        <v/>
      </c>
      <c r="I1443" s="12" t="n"/>
      <c r="J1443" s="12" t="n"/>
      <c r="K1443" s="12" t="n"/>
      <c r="L1443" s="14" t="n"/>
      <c r="M1443" s="12" t="n"/>
      <c r="N1443" s="12" t="n"/>
      <c r="O1443" s="12" t="n"/>
    </row>
    <row r="1444">
      <c r="A1444" s="12" t="n"/>
      <c r="B1444" s="13">
        <f>IF($A1444="","",IFERROR(INDEX(Emp_Names,MATCH($A1444,Emp_Codes,0)),"NOT FOUND"))</f>
        <v/>
      </c>
      <c r="C1444" s="14" t="n"/>
      <c r="D1444" s="15" t="n"/>
      <c r="E1444" s="15" t="n"/>
      <c r="F1444" s="15" t="n"/>
      <c r="G1444" s="15" t="n"/>
      <c r="H1444" s="16">
        <f>IF($A1444="","",$D1444+IF($E1444="",0,$E1444)+IF($F1444="",0,$F1444)-IF($G1444="",0,$G1444))</f>
        <v/>
      </c>
      <c r="I1444" s="12" t="n"/>
      <c r="J1444" s="12" t="n"/>
      <c r="K1444" s="12" t="n"/>
      <c r="L1444" s="14" t="n"/>
      <c r="M1444" s="12" t="n"/>
      <c r="N1444" s="12" t="n"/>
      <c r="O1444" s="12" t="n"/>
    </row>
    <row r="1445">
      <c r="A1445" s="12" t="n"/>
      <c r="B1445" s="13">
        <f>IF($A1445="","",IFERROR(INDEX(Emp_Names,MATCH($A1445,Emp_Codes,0)),"NOT FOUND"))</f>
        <v/>
      </c>
      <c r="C1445" s="14" t="n"/>
      <c r="D1445" s="15" t="n"/>
      <c r="E1445" s="15" t="n"/>
      <c r="F1445" s="15" t="n"/>
      <c r="G1445" s="15" t="n"/>
      <c r="H1445" s="16">
        <f>IF($A1445="","",$D1445+IF($E1445="",0,$E1445)+IF($F1445="",0,$F1445)-IF($G1445="",0,$G1445))</f>
        <v/>
      </c>
      <c r="I1445" s="12" t="n"/>
      <c r="J1445" s="12" t="n"/>
      <c r="K1445" s="12" t="n"/>
      <c r="L1445" s="14" t="n"/>
      <c r="M1445" s="12" t="n"/>
      <c r="N1445" s="12" t="n"/>
      <c r="O1445" s="12" t="n"/>
    </row>
    <row r="1446">
      <c r="A1446" s="12" t="n"/>
      <c r="B1446" s="13">
        <f>IF($A1446="","",IFERROR(INDEX(Emp_Names,MATCH($A1446,Emp_Codes,0)),"NOT FOUND"))</f>
        <v/>
      </c>
      <c r="C1446" s="14" t="n"/>
      <c r="D1446" s="15" t="n"/>
      <c r="E1446" s="15" t="n"/>
      <c r="F1446" s="15" t="n"/>
      <c r="G1446" s="15" t="n"/>
      <c r="H1446" s="16">
        <f>IF($A1446="","",$D1446+IF($E1446="",0,$E1446)+IF($F1446="",0,$F1446)-IF($G1446="",0,$G1446))</f>
        <v/>
      </c>
      <c r="I1446" s="12" t="n"/>
      <c r="J1446" s="12" t="n"/>
      <c r="K1446" s="12" t="n"/>
      <c r="L1446" s="14" t="n"/>
      <c r="M1446" s="12" t="n"/>
      <c r="N1446" s="12" t="n"/>
      <c r="O1446" s="12" t="n"/>
    </row>
    <row r="1447">
      <c r="A1447" s="12" t="n"/>
      <c r="B1447" s="13">
        <f>IF($A1447="","",IFERROR(INDEX(Emp_Names,MATCH($A1447,Emp_Codes,0)),"NOT FOUND"))</f>
        <v/>
      </c>
      <c r="C1447" s="14" t="n"/>
      <c r="D1447" s="15" t="n"/>
      <c r="E1447" s="15" t="n"/>
      <c r="F1447" s="15" t="n"/>
      <c r="G1447" s="15" t="n"/>
      <c r="H1447" s="16">
        <f>IF($A1447="","",$D1447+IF($E1447="",0,$E1447)+IF($F1447="",0,$F1447)-IF($G1447="",0,$G1447))</f>
        <v/>
      </c>
      <c r="I1447" s="12" t="n"/>
      <c r="J1447" s="12" t="n"/>
      <c r="K1447" s="12" t="n"/>
      <c r="L1447" s="14" t="n"/>
      <c r="M1447" s="12" t="n"/>
      <c r="N1447" s="12" t="n"/>
      <c r="O1447" s="12" t="n"/>
    </row>
    <row r="1448">
      <c r="A1448" s="12" t="n"/>
      <c r="B1448" s="13">
        <f>IF($A1448="","",IFERROR(INDEX(Emp_Names,MATCH($A1448,Emp_Codes,0)),"NOT FOUND"))</f>
        <v/>
      </c>
      <c r="C1448" s="14" t="n"/>
      <c r="D1448" s="15" t="n"/>
      <c r="E1448" s="15" t="n"/>
      <c r="F1448" s="15" t="n"/>
      <c r="G1448" s="15" t="n"/>
      <c r="H1448" s="16">
        <f>IF($A1448="","",$D1448+IF($E1448="",0,$E1448)+IF($F1448="",0,$F1448)-IF($G1448="",0,$G1448))</f>
        <v/>
      </c>
      <c r="I1448" s="12" t="n"/>
      <c r="J1448" s="12" t="n"/>
      <c r="K1448" s="12" t="n"/>
      <c r="L1448" s="14" t="n"/>
      <c r="M1448" s="12" t="n"/>
      <c r="N1448" s="12" t="n"/>
      <c r="O1448" s="12" t="n"/>
    </row>
    <row r="1449">
      <c r="A1449" s="12" t="n"/>
      <c r="B1449" s="13">
        <f>IF($A1449="","",IFERROR(INDEX(Emp_Names,MATCH($A1449,Emp_Codes,0)),"NOT FOUND"))</f>
        <v/>
      </c>
      <c r="C1449" s="14" t="n"/>
      <c r="D1449" s="15" t="n"/>
      <c r="E1449" s="15" t="n"/>
      <c r="F1449" s="15" t="n"/>
      <c r="G1449" s="15" t="n"/>
      <c r="H1449" s="16">
        <f>IF($A1449="","",$D1449+IF($E1449="",0,$E1449)+IF($F1449="",0,$F1449)-IF($G1449="",0,$G1449))</f>
        <v/>
      </c>
      <c r="I1449" s="12" t="n"/>
      <c r="J1449" s="12" t="n"/>
      <c r="K1449" s="12" t="n"/>
      <c r="L1449" s="14" t="n"/>
      <c r="M1449" s="12" t="n"/>
      <c r="N1449" s="12" t="n"/>
      <c r="O1449" s="12" t="n"/>
    </row>
    <row r="1450">
      <c r="A1450" s="12" t="n"/>
      <c r="B1450" s="13">
        <f>IF($A1450="","",IFERROR(INDEX(Emp_Names,MATCH($A1450,Emp_Codes,0)),"NOT FOUND"))</f>
        <v/>
      </c>
      <c r="C1450" s="14" t="n"/>
      <c r="D1450" s="15" t="n"/>
      <c r="E1450" s="15" t="n"/>
      <c r="F1450" s="15" t="n"/>
      <c r="G1450" s="15" t="n"/>
      <c r="H1450" s="16">
        <f>IF($A1450="","",$D1450+IF($E1450="",0,$E1450)+IF($F1450="",0,$F1450)-IF($G1450="",0,$G1450))</f>
        <v/>
      </c>
      <c r="I1450" s="12" t="n"/>
      <c r="J1450" s="12" t="n"/>
      <c r="K1450" s="12" t="n"/>
      <c r="L1450" s="14" t="n"/>
      <c r="M1450" s="12" t="n"/>
      <c r="N1450" s="12" t="n"/>
      <c r="O1450" s="12" t="n"/>
    </row>
    <row r="1451">
      <c r="A1451" s="12" t="n"/>
      <c r="B1451" s="13">
        <f>IF($A1451="","",IFERROR(INDEX(Emp_Names,MATCH($A1451,Emp_Codes,0)),"NOT FOUND"))</f>
        <v/>
      </c>
      <c r="C1451" s="14" t="n"/>
      <c r="D1451" s="15" t="n"/>
      <c r="E1451" s="15" t="n"/>
      <c r="F1451" s="15" t="n"/>
      <c r="G1451" s="15" t="n"/>
      <c r="H1451" s="16">
        <f>IF($A1451="","",$D1451+IF($E1451="",0,$E1451)+IF($F1451="",0,$F1451)-IF($G1451="",0,$G1451))</f>
        <v/>
      </c>
      <c r="I1451" s="12" t="n"/>
      <c r="J1451" s="12" t="n"/>
      <c r="K1451" s="12" t="n"/>
      <c r="L1451" s="14" t="n"/>
      <c r="M1451" s="12" t="n"/>
      <c r="N1451" s="12" t="n"/>
      <c r="O1451" s="12" t="n"/>
    </row>
    <row r="1452">
      <c r="A1452" s="12" t="n"/>
      <c r="B1452" s="13">
        <f>IF($A1452="","",IFERROR(INDEX(Emp_Names,MATCH($A1452,Emp_Codes,0)),"NOT FOUND"))</f>
        <v/>
      </c>
      <c r="C1452" s="14" t="n"/>
      <c r="D1452" s="15" t="n"/>
      <c r="E1452" s="15" t="n"/>
      <c r="F1452" s="15" t="n"/>
      <c r="G1452" s="15" t="n"/>
      <c r="H1452" s="16">
        <f>IF($A1452="","",$D1452+IF($E1452="",0,$E1452)+IF($F1452="",0,$F1452)-IF($G1452="",0,$G1452))</f>
        <v/>
      </c>
      <c r="I1452" s="12" t="n"/>
      <c r="J1452" s="12" t="n"/>
      <c r="K1452" s="12" t="n"/>
      <c r="L1452" s="14" t="n"/>
      <c r="M1452" s="12" t="n"/>
      <c r="N1452" s="12" t="n"/>
      <c r="O1452" s="12" t="n"/>
    </row>
    <row r="1453">
      <c r="A1453" s="12" t="n"/>
      <c r="B1453" s="13">
        <f>IF($A1453="","",IFERROR(INDEX(Emp_Names,MATCH($A1453,Emp_Codes,0)),"NOT FOUND"))</f>
        <v/>
      </c>
      <c r="C1453" s="14" t="n"/>
      <c r="D1453" s="15" t="n"/>
      <c r="E1453" s="15" t="n"/>
      <c r="F1453" s="15" t="n"/>
      <c r="G1453" s="15" t="n"/>
      <c r="H1453" s="16">
        <f>IF($A1453="","",$D1453+IF($E1453="",0,$E1453)+IF($F1453="",0,$F1453)-IF($G1453="",0,$G1453))</f>
        <v/>
      </c>
      <c r="I1453" s="12" t="n"/>
      <c r="J1453" s="12" t="n"/>
      <c r="K1453" s="12" t="n"/>
      <c r="L1453" s="14" t="n"/>
      <c r="M1453" s="12" t="n"/>
      <c r="N1453" s="12" t="n"/>
      <c r="O1453" s="12" t="n"/>
    </row>
    <row r="1454">
      <c r="A1454" s="12" t="n"/>
      <c r="B1454" s="13">
        <f>IF($A1454="","",IFERROR(INDEX(Emp_Names,MATCH($A1454,Emp_Codes,0)),"NOT FOUND"))</f>
        <v/>
      </c>
      <c r="C1454" s="14" t="n"/>
      <c r="D1454" s="15" t="n"/>
      <c r="E1454" s="15" t="n"/>
      <c r="F1454" s="15" t="n"/>
      <c r="G1454" s="15" t="n"/>
      <c r="H1454" s="16">
        <f>IF($A1454="","",$D1454+IF($E1454="",0,$E1454)+IF($F1454="",0,$F1454)-IF($G1454="",0,$G1454))</f>
        <v/>
      </c>
      <c r="I1454" s="12" t="n"/>
      <c r="J1454" s="12" t="n"/>
      <c r="K1454" s="12" t="n"/>
      <c r="L1454" s="14" t="n"/>
      <c r="M1454" s="12" t="n"/>
      <c r="N1454" s="12" t="n"/>
      <c r="O1454" s="12" t="n"/>
    </row>
    <row r="1455">
      <c r="A1455" s="12" t="n"/>
      <c r="B1455" s="13">
        <f>IF($A1455="","",IFERROR(INDEX(Emp_Names,MATCH($A1455,Emp_Codes,0)),"NOT FOUND"))</f>
        <v/>
      </c>
      <c r="C1455" s="14" t="n"/>
      <c r="D1455" s="15" t="n"/>
      <c r="E1455" s="15" t="n"/>
      <c r="F1455" s="15" t="n"/>
      <c r="G1455" s="15" t="n"/>
      <c r="H1455" s="16">
        <f>IF($A1455="","",$D1455+IF($E1455="",0,$E1455)+IF($F1455="",0,$F1455)-IF($G1455="",0,$G1455))</f>
        <v/>
      </c>
      <c r="I1455" s="12" t="n"/>
      <c r="J1455" s="12" t="n"/>
      <c r="K1455" s="12" t="n"/>
      <c r="L1455" s="14" t="n"/>
      <c r="M1455" s="12" t="n"/>
      <c r="N1455" s="12" t="n"/>
      <c r="O1455" s="12" t="n"/>
    </row>
    <row r="1456">
      <c r="A1456" s="12" t="n"/>
      <c r="B1456" s="13">
        <f>IF($A1456="","",IFERROR(INDEX(Emp_Names,MATCH($A1456,Emp_Codes,0)),"NOT FOUND"))</f>
        <v/>
      </c>
      <c r="C1456" s="14" t="n"/>
      <c r="D1456" s="15" t="n"/>
      <c r="E1456" s="15" t="n"/>
      <c r="F1456" s="15" t="n"/>
      <c r="G1456" s="15" t="n"/>
      <c r="H1456" s="16">
        <f>IF($A1456="","",$D1456+IF($E1456="",0,$E1456)+IF($F1456="",0,$F1456)-IF($G1456="",0,$G1456))</f>
        <v/>
      </c>
      <c r="I1456" s="12" t="n"/>
      <c r="J1456" s="12" t="n"/>
      <c r="K1456" s="12" t="n"/>
      <c r="L1456" s="14" t="n"/>
      <c r="M1456" s="12" t="n"/>
      <c r="N1456" s="12" t="n"/>
      <c r="O1456" s="12" t="n"/>
    </row>
    <row r="1457">
      <c r="A1457" s="12" t="n"/>
      <c r="B1457" s="13">
        <f>IF($A1457="","",IFERROR(INDEX(Emp_Names,MATCH($A1457,Emp_Codes,0)),"NOT FOUND"))</f>
        <v/>
      </c>
      <c r="C1457" s="14" t="n"/>
      <c r="D1457" s="15" t="n"/>
      <c r="E1457" s="15" t="n"/>
      <c r="F1457" s="15" t="n"/>
      <c r="G1457" s="15" t="n"/>
      <c r="H1457" s="16">
        <f>IF($A1457="","",$D1457+IF($E1457="",0,$E1457)+IF($F1457="",0,$F1457)-IF($G1457="",0,$G1457))</f>
        <v/>
      </c>
      <c r="I1457" s="12" t="n"/>
      <c r="J1457" s="12" t="n"/>
      <c r="K1457" s="12" t="n"/>
      <c r="L1457" s="14" t="n"/>
      <c r="M1457" s="12" t="n"/>
      <c r="N1457" s="12" t="n"/>
      <c r="O1457" s="12" t="n"/>
    </row>
    <row r="1458">
      <c r="A1458" s="12" t="n"/>
      <c r="B1458" s="13">
        <f>IF($A1458="","",IFERROR(INDEX(Emp_Names,MATCH($A1458,Emp_Codes,0)),"NOT FOUND"))</f>
        <v/>
      </c>
      <c r="C1458" s="14" t="n"/>
      <c r="D1458" s="15" t="n"/>
      <c r="E1458" s="15" t="n"/>
      <c r="F1458" s="15" t="n"/>
      <c r="G1458" s="15" t="n"/>
      <c r="H1458" s="16">
        <f>IF($A1458="","",$D1458+IF($E1458="",0,$E1458)+IF($F1458="",0,$F1458)-IF($G1458="",0,$G1458))</f>
        <v/>
      </c>
      <c r="I1458" s="12" t="n"/>
      <c r="J1458" s="12" t="n"/>
      <c r="K1458" s="12" t="n"/>
      <c r="L1458" s="14" t="n"/>
      <c r="M1458" s="12" t="n"/>
      <c r="N1458" s="12" t="n"/>
      <c r="O1458" s="12" t="n"/>
    </row>
    <row r="1459">
      <c r="A1459" s="12" t="n"/>
      <c r="B1459" s="13">
        <f>IF($A1459="","",IFERROR(INDEX(Emp_Names,MATCH($A1459,Emp_Codes,0)),"NOT FOUND"))</f>
        <v/>
      </c>
      <c r="C1459" s="14" t="n"/>
      <c r="D1459" s="15" t="n"/>
      <c r="E1459" s="15" t="n"/>
      <c r="F1459" s="15" t="n"/>
      <c r="G1459" s="15" t="n"/>
      <c r="H1459" s="16">
        <f>IF($A1459="","",$D1459+IF($E1459="",0,$E1459)+IF($F1459="",0,$F1459)-IF($G1459="",0,$G1459))</f>
        <v/>
      </c>
      <c r="I1459" s="12" t="n"/>
      <c r="J1459" s="12" t="n"/>
      <c r="K1459" s="12" t="n"/>
      <c r="L1459" s="14" t="n"/>
      <c r="M1459" s="12" t="n"/>
      <c r="N1459" s="12" t="n"/>
      <c r="O1459" s="12" t="n"/>
    </row>
    <row r="1460">
      <c r="A1460" s="12" t="n"/>
      <c r="B1460" s="13">
        <f>IF($A1460="","",IFERROR(INDEX(Emp_Names,MATCH($A1460,Emp_Codes,0)),"NOT FOUND"))</f>
        <v/>
      </c>
      <c r="C1460" s="14" t="n"/>
      <c r="D1460" s="15" t="n"/>
      <c r="E1460" s="15" t="n"/>
      <c r="F1460" s="15" t="n"/>
      <c r="G1460" s="15" t="n"/>
      <c r="H1460" s="16">
        <f>IF($A1460="","",$D1460+IF($E1460="",0,$E1460)+IF($F1460="",0,$F1460)-IF($G1460="",0,$G1460))</f>
        <v/>
      </c>
      <c r="I1460" s="12" t="n"/>
      <c r="J1460" s="12" t="n"/>
      <c r="K1460" s="12" t="n"/>
      <c r="L1460" s="14" t="n"/>
      <c r="M1460" s="12" t="n"/>
      <c r="N1460" s="12" t="n"/>
      <c r="O1460" s="12" t="n"/>
    </row>
    <row r="1461">
      <c r="A1461" s="12" t="n"/>
      <c r="B1461" s="13">
        <f>IF($A1461="","",IFERROR(INDEX(Emp_Names,MATCH($A1461,Emp_Codes,0)),"NOT FOUND"))</f>
        <v/>
      </c>
      <c r="C1461" s="14" t="n"/>
      <c r="D1461" s="15" t="n"/>
      <c r="E1461" s="15" t="n"/>
      <c r="F1461" s="15" t="n"/>
      <c r="G1461" s="15" t="n"/>
      <c r="H1461" s="16">
        <f>IF($A1461="","",$D1461+IF($E1461="",0,$E1461)+IF($F1461="",0,$F1461)-IF($G1461="",0,$G1461))</f>
        <v/>
      </c>
      <c r="I1461" s="12" t="n"/>
      <c r="J1461" s="12" t="n"/>
      <c r="K1461" s="12" t="n"/>
      <c r="L1461" s="14" t="n"/>
      <c r="M1461" s="12" t="n"/>
      <c r="N1461" s="12" t="n"/>
      <c r="O1461" s="12" t="n"/>
    </row>
    <row r="1462">
      <c r="A1462" s="12" t="n"/>
      <c r="B1462" s="13">
        <f>IF($A1462="","",IFERROR(INDEX(Emp_Names,MATCH($A1462,Emp_Codes,0)),"NOT FOUND"))</f>
        <v/>
      </c>
      <c r="C1462" s="14" t="n"/>
      <c r="D1462" s="15" t="n"/>
      <c r="E1462" s="15" t="n"/>
      <c r="F1462" s="15" t="n"/>
      <c r="G1462" s="15" t="n"/>
      <c r="H1462" s="16">
        <f>IF($A1462="","",$D1462+IF($E1462="",0,$E1462)+IF($F1462="",0,$F1462)-IF($G1462="",0,$G1462))</f>
        <v/>
      </c>
      <c r="I1462" s="12" t="n"/>
      <c r="J1462" s="12" t="n"/>
      <c r="K1462" s="12" t="n"/>
      <c r="L1462" s="14" t="n"/>
      <c r="M1462" s="12" t="n"/>
      <c r="N1462" s="12" t="n"/>
      <c r="O1462" s="12" t="n"/>
    </row>
    <row r="1463">
      <c r="A1463" s="12" t="n"/>
      <c r="B1463" s="13">
        <f>IF($A1463="","",IFERROR(INDEX(Emp_Names,MATCH($A1463,Emp_Codes,0)),"NOT FOUND"))</f>
        <v/>
      </c>
      <c r="C1463" s="14" t="n"/>
      <c r="D1463" s="15" t="n"/>
      <c r="E1463" s="15" t="n"/>
      <c r="F1463" s="15" t="n"/>
      <c r="G1463" s="15" t="n"/>
      <c r="H1463" s="16">
        <f>IF($A1463="","",$D1463+IF($E1463="",0,$E1463)+IF($F1463="",0,$F1463)-IF($G1463="",0,$G1463))</f>
        <v/>
      </c>
      <c r="I1463" s="12" t="n"/>
      <c r="J1463" s="12" t="n"/>
      <c r="K1463" s="12" t="n"/>
      <c r="L1463" s="14" t="n"/>
      <c r="M1463" s="12" t="n"/>
      <c r="N1463" s="12" t="n"/>
      <c r="O1463" s="12" t="n"/>
    </row>
    <row r="1464">
      <c r="A1464" s="12" t="n"/>
      <c r="B1464" s="13">
        <f>IF($A1464="","",IFERROR(INDEX(Emp_Names,MATCH($A1464,Emp_Codes,0)),"NOT FOUND"))</f>
        <v/>
      </c>
      <c r="C1464" s="14" t="n"/>
      <c r="D1464" s="15" t="n"/>
      <c r="E1464" s="15" t="n"/>
      <c r="F1464" s="15" t="n"/>
      <c r="G1464" s="15" t="n"/>
      <c r="H1464" s="16">
        <f>IF($A1464="","",$D1464+IF($E1464="",0,$E1464)+IF($F1464="",0,$F1464)-IF($G1464="",0,$G1464))</f>
        <v/>
      </c>
      <c r="I1464" s="12" t="n"/>
      <c r="J1464" s="12" t="n"/>
      <c r="K1464" s="12" t="n"/>
      <c r="L1464" s="14" t="n"/>
      <c r="M1464" s="12" t="n"/>
      <c r="N1464" s="12" t="n"/>
      <c r="O1464" s="12" t="n"/>
    </row>
    <row r="1465">
      <c r="A1465" s="12" t="n"/>
      <c r="B1465" s="13">
        <f>IF($A1465="","",IFERROR(INDEX(Emp_Names,MATCH($A1465,Emp_Codes,0)),"NOT FOUND"))</f>
        <v/>
      </c>
      <c r="C1465" s="14" t="n"/>
      <c r="D1465" s="15" t="n"/>
      <c r="E1465" s="15" t="n"/>
      <c r="F1465" s="15" t="n"/>
      <c r="G1465" s="15" t="n"/>
      <c r="H1465" s="16">
        <f>IF($A1465="","",$D1465+IF($E1465="",0,$E1465)+IF($F1465="",0,$F1465)-IF($G1465="",0,$G1465))</f>
        <v/>
      </c>
      <c r="I1465" s="12" t="n"/>
      <c r="J1465" s="12" t="n"/>
      <c r="K1465" s="12" t="n"/>
      <c r="L1465" s="14" t="n"/>
      <c r="M1465" s="12" t="n"/>
      <c r="N1465" s="12" t="n"/>
      <c r="O1465" s="12" t="n"/>
    </row>
    <row r="1466">
      <c r="A1466" s="12" t="n"/>
      <c r="B1466" s="13">
        <f>IF($A1466="","",IFERROR(INDEX(Emp_Names,MATCH($A1466,Emp_Codes,0)),"NOT FOUND"))</f>
        <v/>
      </c>
      <c r="C1466" s="14" t="n"/>
      <c r="D1466" s="15" t="n"/>
      <c r="E1466" s="15" t="n"/>
      <c r="F1466" s="15" t="n"/>
      <c r="G1466" s="15" t="n"/>
      <c r="H1466" s="16">
        <f>IF($A1466="","",$D1466+IF($E1466="",0,$E1466)+IF($F1466="",0,$F1466)-IF($G1466="",0,$G1466))</f>
        <v/>
      </c>
      <c r="I1466" s="12" t="n"/>
      <c r="J1466" s="12" t="n"/>
      <c r="K1466" s="12" t="n"/>
      <c r="L1466" s="14" t="n"/>
      <c r="M1466" s="12" t="n"/>
      <c r="N1466" s="12" t="n"/>
      <c r="O1466" s="12" t="n"/>
    </row>
    <row r="1467">
      <c r="A1467" s="12" t="n"/>
      <c r="B1467" s="13">
        <f>IF($A1467="","",IFERROR(INDEX(Emp_Names,MATCH($A1467,Emp_Codes,0)),"NOT FOUND"))</f>
        <v/>
      </c>
      <c r="C1467" s="14" t="n"/>
      <c r="D1467" s="15" t="n"/>
      <c r="E1467" s="15" t="n"/>
      <c r="F1467" s="15" t="n"/>
      <c r="G1467" s="15" t="n"/>
      <c r="H1467" s="16">
        <f>IF($A1467="","",$D1467+IF($E1467="",0,$E1467)+IF($F1467="",0,$F1467)-IF($G1467="",0,$G1467))</f>
        <v/>
      </c>
      <c r="I1467" s="12" t="n"/>
      <c r="J1467" s="12" t="n"/>
      <c r="K1467" s="12" t="n"/>
      <c r="L1467" s="14" t="n"/>
      <c r="M1467" s="12" t="n"/>
      <c r="N1467" s="12" t="n"/>
      <c r="O1467" s="12" t="n"/>
    </row>
    <row r="1468">
      <c r="A1468" s="12" t="n"/>
      <c r="B1468" s="13">
        <f>IF($A1468="","",IFERROR(INDEX(Emp_Names,MATCH($A1468,Emp_Codes,0)),"NOT FOUND"))</f>
        <v/>
      </c>
      <c r="C1468" s="14" t="n"/>
      <c r="D1468" s="15" t="n"/>
      <c r="E1468" s="15" t="n"/>
      <c r="F1468" s="15" t="n"/>
      <c r="G1468" s="15" t="n"/>
      <c r="H1468" s="16">
        <f>IF($A1468="","",$D1468+IF($E1468="",0,$E1468)+IF($F1468="",0,$F1468)-IF($G1468="",0,$G1468))</f>
        <v/>
      </c>
      <c r="I1468" s="12" t="n"/>
      <c r="J1468" s="12" t="n"/>
      <c r="K1468" s="12" t="n"/>
      <c r="L1468" s="14" t="n"/>
      <c r="M1468" s="12" t="n"/>
      <c r="N1468" s="12" t="n"/>
      <c r="O1468" s="12" t="n"/>
    </row>
    <row r="1469">
      <c r="A1469" s="12" t="n"/>
      <c r="B1469" s="13">
        <f>IF($A1469="","",IFERROR(INDEX(Emp_Names,MATCH($A1469,Emp_Codes,0)),"NOT FOUND"))</f>
        <v/>
      </c>
      <c r="C1469" s="14" t="n"/>
      <c r="D1469" s="15" t="n"/>
      <c r="E1469" s="15" t="n"/>
      <c r="F1469" s="15" t="n"/>
      <c r="G1469" s="15" t="n"/>
      <c r="H1469" s="16">
        <f>IF($A1469="","",$D1469+IF($E1469="",0,$E1469)+IF($F1469="",0,$F1469)-IF($G1469="",0,$G1469))</f>
        <v/>
      </c>
      <c r="I1469" s="12" t="n"/>
      <c r="J1469" s="12" t="n"/>
      <c r="K1469" s="12" t="n"/>
      <c r="L1469" s="14" t="n"/>
      <c r="M1469" s="12" t="n"/>
      <c r="N1469" s="12" t="n"/>
      <c r="O1469" s="12" t="n"/>
    </row>
    <row r="1470">
      <c r="A1470" s="12" t="n"/>
      <c r="B1470" s="13">
        <f>IF($A1470="","",IFERROR(INDEX(Emp_Names,MATCH($A1470,Emp_Codes,0)),"NOT FOUND"))</f>
        <v/>
      </c>
      <c r="C1470" s="14" t="n"/>
      <c r="D1470" s="15" t="n"/>
      <c r="E1470" s="15" t="n"/>
      <c r="F1470" s="15" t="n"/>
      <c r="G1470" s="15" t="n"/>
      <c r="H1470" s="16">
        <f>IF($A1470="","",$D1470+IF($E1470="",0,$E1470)+IF($F1470="",0,$F1470)-IF($G1470="",0,$G1470))</f>
        <v/>
      </c>
      <c r="I1470" s="12" t="n"/>
      <c r="J1470" s="12" t="n"/>
      <c r="K1470" s="12" t="n"/>
      <c r="L1470" s="14" t="n"/>
      <c r="M1470" s="12" t="n"/>
      <c r="N1470" s="12" t="n"/>
      <c r="O1470" s="12" t="n"/>
    </row>
    <row r="1471">
      <c r="A1471" s="12" t="n"/>
      <c r="B1471" s="13">
        <f>IF($A1471="","",IFERROR(INDEX(Emp_Names,MATCH($A1471,Emp_Codes,0)),"NOT FOUND"))</f>
        <v/>
      </c>
      <c r="C1471" s="14" t="n"/>
      <c r="D1471" s="15" t="n"/>
      <c r="E1471" s="15" t="n"/>
      <c r="F1471" s="15" t="n"/>
      <c r="G1471" s="15" t="n"/>
      <c r="H1471" s="16">
        <f>IF($A1471="","",$D1471+IF($E1471="",0,$E1471)+IF($F1471="",0,$F1471)-IF($G1471="",0,$G1471))</f>
        <v/>
      </c>
      <c r="I1471" s="12" t="n"/>
      <c r="J1471" s="12" t="n"/>
      <c r="K1471" s="12" t="n"/>
      <c r="L1471" s="14" t="n"/>
      <c r="M1471" s="12" t="n"/>
      <c r="N1471" s="12" t="n"/>
      <c r="O1471" s="12" t="n"/>
    </row>
    <row r="1472">
      <c r="A1472" s="12" t="n"/>
      <c r="B1472" s="13">
        <f>IF($A1472="","",IFERROR(INDEX(Emp_Names,MATCH($A1472,Emp_Codes,0)),"NOT FOUND"))</f>
        <v/>
      </c>
      <c r="C1472" s="14" t="n"/>
      <c r="D1472" s="15" t="n"/>
      <c r="E1472" s="15" t="n"/>
      <c r="F1472" s="15" t="n"/>
      <c r="G1472" s="15" t="n"/>
      <c r="H1472" s="16">
        <f>IF($A1472="","",$D1472+IF($E1472="",0,$E1472)+IF($F1472="",0,$F1472)-IF($G1472="",0,$G1472))</f>
        <v/>
      </c>
      <c r="I1472" s="12" t="n"/>
      <c r="J1472" s="12" t="n"/>
      <c r="K1472" s="12" t="n"/>
      <c r="L1472" s="14" t="n"/>
      <c r="M1472" s="12" t="n"/>
      <c r="N1472" s="12" t="n"/>
      <c r="O1472" s="12" t="n"/>
    </row>
    <row r="1473">
      <c r="A1473" s="12" t="n"/>
      <c r="B1473" s="13">
        <f>IF($A1473="","",IFERROR(INDEX(Emp_Names,MATCH($A1473,Emp_Codes,0)),"NOT FOUND"))</f>
        <v/>
      </c>
      <c r="C1473" s="14" t="n"/>
      <c r="D1473" s="15" t="n"/>
      <c r="E1473" s="15" t="n"/>
      <c r="F1473" s="15" t="n"/>
      <c r="G1473" s="15" t="n"/>
      <c r="H1473" s="16">
        <f>IF($A1473="","",$D1473+IF($E1473="",0,$E1473)+IF($F1473="",0,$F1473)-IF($G1473="",0,$G1473))</f>
        <v/>
      </c>
      <c r="I1473" s="12" t="n"/>
      <c r="J1473" s="12" t="n"/>
      <c r="K1473" s="12" t="n"/>
      <c r="L1473" s="14" t="n"/>
      <c r="M1473" s="12" t="n"/>
      <c r="N1473" s="12" t="n"/>
      <c r="O1473" s="12" t="n"/>
    </row>
    <row r="1474">
      <c r="A1474" s="12" t="n"/>
      <c r="B1474" s="13">
        <f>IF($A1474="","",IFERROR(INDEX(Emp_Names,MATCH($A1474,Emp_Codes,0)),"NOT FOUND"))</f>
        <v/>
      </c>
      <c r="C1474" s="14" t="n"/>
      <c r="D1474" s="15" t="n"/>
      <c r="E1474" s="15" t="n"/>
      <c r="F1474" s="15" t="n"/>
      <c r="G1474" s="15" t="n"/>
      <c r="H1474" s="16">
        <f>IF($A1474="","",$D1474+IF($E1474="",0,$E1474)+IF($F1474="",0,$F1474)-IF($G1474="",0,$G1474))</f>
        <v/>
      </c>
      <c r="I1474" s="12" t="n"/>
      <c r="J1474" s="12" t="n"/>
      <c r="K1474" s="12" t="n"/>
      <c r="L1474" s="14" t="n"/>
      <c r="M1474" s="12" t="n"/>
      <c r="N1474" s="12" t="n"/>
      <c r="O1474" s="12" t="n"/>
    </row>
    <row r="1475">
      <c r="A1475" s="12" t="n"/>
      <c r="B1475" s="13">
        <f>IF($A1475="","",IFERROR(INDEX(Emp_Names,MATCH($A1475,Emp_Codes,0)),"NOT FOUND"))</f>
        <v/>
      </c>
      <c r="C1475" s="14" t="n"/>
      <c r="D1475" s="15" t="n"/>
      <c r="E1475" s="15" t="n"/>
      <c r="F1475" s="15" t="n"/>
      <c r="G1475" s="15" t="n"/>
      <c r="H1475" s="16">
        <f>IF($A1475="","",$D1475+IF($E1475="",0,$E1475)+IF($F1475="",0,$F1475)-IF($G1475="",0,$G1475))</f>
        <v/>
      </c>
      <c r="I1475" s="12" t="n"/>
      <c r="J1475" s="12" t="n"/>
      <c r="K1475" s="12" t="n"/>
      <c r="L1475" s="14" t="n"/>
      <c r="M1475" s="12" t="n"/>
      <c r="N1475" s="12" t="n"/>
      <c r="O1475" s="12" t="n"/>
    </row>
    <row r="1476">
      <c r="A1476" s="12" t="n"/>
      <c r="B1476" s="13">
        <f>IF($A1476="","",IFERROR(INDEX(Emp_Names,MATCH($A1476,Emp_Codes,0)),"NOT FOUND"))</f>
        <v/>
      </c>
      <c r="C1476" s="14" t="n"/>
      <c r="D1476" s="15" t="n"/>
      <c r="E1476" s="15" t="n"/>
      <c r="F1476" s="15" t="n"/>
      <c r="G1476" s="15" t="n"/>
      <c r="H1476" s="16">
        <f>IF($A1476="","",$D1476+IF($E1476="",0,$E1476)+IF($F1476="",0,$F1476)-IF($G1476="",0,$G1476))</f>
        <v/>
      </c>
      <c r="I1476" s="12" t="n"/>
      <c r="J1476" s="12" t="n"/>
      <c r="K1476" s="12" t="n"/>
      <c r="L1476" s="14" t="n"/>
      <c r="M1476" s="12" t="n"/>
      <c r="N1476" s="12" t="n"/>
      <c r="O1476" s="12" t="n"/>
    </row>
    <row r="1477">
      <c r="A1477" s="12" t="n"/>
      <c r="B1477" s="13">
        <f>IF($A1477="","",IFERROR(INDEX(Emp_Names,MATCH($A1477,Emp_Codes,0)),"NOT FOUND"))</f>
        <v/>
      </c>
      <c r="C1477" s="14" t="n"/>
      <c r="D1477" s="15" t="n"/>
      <c r="E1477" s="15" t="n"/>
      <c r="F1477" s="15" t="n"/>
      <c r="G1477" s="15" t="n"/>
      <c r="H1477" s="16">
        <f>IF($A1477="","",$D1477+IF($E1477="",0,$E1477)+IF($F1477="",0,$F1477)-IF($G1477="",0,$G1477))</f>
        <v/>
      </c>
      <c r="I1477" s="12" t="n"/>
      <c r="J1477" s="12" t="n"/>
      <c r="K1477" s="12" t="n"/>
      <c r="L1477" s="14" t="n"/>
      <c r="M1477" s="12" t="n"/>
      <c r="N1477" s="12" t="n"/>
      <c r="O1477" s="12" t="n"/>
    </row>
    <row r="1478">
      <c r="A1478" s="12" t="n"/>
      <c r="B1478" s="13">
        <f>IF($A1478="","",IFERROR(INDEX(Emp_Names,MATCH($A1478,Emp_Codes,0)),"NOT FOUND"))</f>
        <v/>
      </c>
      <c r="C1478" s="14" t="n"/>
      <c r="D1478" s="15" t="n"/>
      <c r="E1478" s="15" t="n"/>
      <c r="F1478" s="15" t="n"/>
      <c r="G1478" s="15" t="n"/>
      <c r="H1478" s="16">
        <f>IF($A1478="","",$D1478+IF($E1478="",0,$E1478)+IF($F1478="",0,$F1478)-IF($G1478="",0,$G1478))</f>
        <v/>
      </c>
      <c r="I1478" s="12" t="n"/>
      <c r="J1478" s="12" t="n"/>
      <c r="K1478" s="12" t="n"/>
      <c r="L1478" s="14" t="n"/>
      <c r="M1478" s="12" t="n"/>
      <c r="N1478" s="12" t="n"/>
      <c r="O1478" s="12" t="n"/>
    </row>
    <row r="1479">
      <c r="A1479" s="12" t="n"/>
      <c r="B1479" s="13">
        <f>IF($A1479="","",IFERROR(INDEX(Emp_Names,MATCH($A1479,Emp_Codes,0)),"NOT FOUND"))</f>
        <v/>
      </c>
      <c r="C1479" s="14" t="n"/>
      <c r="D1479" s="15" t="n"/>
      <c r="E1479" s="15" t="n"/>
      <c r="F1479" s="15" t="n"/>
      <c r="G1479" s="15" t="n"/>
      <c r="H1479" s="16">
        <f>IF($A1479="","",$D1479+IF($E1479="",0,$E1479)+IF($F1479="",0,$F1479)-IF($G1479="",0,$G1479))</f>
        <v/>
      </c>
      <c r="I1479" s="12" t="n"/>
      <c r="J1479" s="12" t="n"/>
      <c r="K1479" s="12" t="n"/>
      <c r="L1479" s="14" t="n"/>
      <c r="M1479" s="12" t="n"/>
      <c r="N1479" s="12" t="n"/>
      <c r="O1479" s="12" t="n"/>
    </row>
    <row r="1480">
      <c r="A1480" s="12" t="n"/>
      <c r="B1480" s="13">
        <f>IF($A1480="","",IFERROR(INDEX(Emp_Names,MATCH($A1480,Emp_Codes,0)),"NOT FOUND"))</f>
        <v/>
      </c>
      <c r="C1480" s="14" t="n"/>
      <c r="D1480" s="15" t="n"/>
      <c r="E1480" s="15" t="n"/>
      <c r="F1480" s="15" t="n"/>
      <c r="G1480" s="15" t="n"/>
      <c r="H1480" s="16">
        <f>IF($A1480="","",$D1480+IF($E1480="",0,$E1480)+IF($F1480="",0,$F1480)-IF($G1480="",0,$G1480))</f>
        <v/>
      </c>
      <c r="I1480" s="12" t="n"/>
      <c r="J1480" s="12" t="n"/>
      <c r="K1480" s="12" t="n"/>
      <c r="L1480" s="14" t="n"/>
      <c r="M1480" s="12" t="n"/>
      <c r="N1480" s="12" t="n"/>
      <c r="O1480" s="12" t="n"/>
    </row>
    <row r="1481">
      <c r="A1481" s="12" t="n"/>
      <c r="B1481" s="13">
        <f>IF($A1481="","",IFERROR(INDEX(Emp_Names,MATCH($A1481,Emp_Codes,0)),"NOT FOUND"))</f>
        <v/>
      </c>
      <c r="C1481" s="14" t="n"/>
      <c r="D1481" s="15" t="n"/>
      <c r="E1481" s="15" t="n"/>
      <c r="F1481" s="15" t="n"/>
      <c r="G1481" s="15" t="n"/>
      <c r="H1481" s="16">
        <f>IF($A1481="","",$D1481+IF($E1481="",0,$E1481)+IF($F1481="",0,$F1481)-IF($G1481="",0,$G1481))</f>
        <v/>
      </c>
      <c r="I1481" s="12" t="n"/>
      <c r="J1481" s="12" t="n"/>
      <c r="K1481" s="12" t="n"/>
      <c r="L1481" s="14" t="n"/>
      <c r="M1481" s="12" t="n"/>
      <c r="N1481" s="12" t="n"/>
      <c r="O1481" s="12" t="n"/>
    </row>
    <row r="1482">
      <c r="A1482" s="12" t="n"/>
      <c r="B1482" s="13">
        <f>IF($A1482="","",IFERROR(INDEX(Emp_Names,MATCH($A1482,Emp_Codes,0)),"NOT FOUND"))</f>
        <v/>
      </c>
      <c r="C1482" s="14" t="n"/>
      <c r="D1482" s="15" t="n"/>
      <c r="E1482" s="15" t="n"/>
      <c r="F1482" s="15" t="n"/>
      <c r="G1482" s="15" t="n"/>
      <c r="H1482" s="16">
        <f>IF($A1482="","",$D1482+IF($E1482="",0,$E1482)+IF($F1482="",0,$F1482)-IF($G1482="",0,$G1482))</f>
        <v/>
      </c>
      <c r="I1482" s="12" t="n"/>
      <c r="J1482" s="12" t="n"/>
      <c r="K1482" s="12" t="n"/>
      <c r="L1482" s="14" t="n"/>
      <c r="M1482" s="12" t="n"/>
      <c r="N1482" s="12" t="n"/>
      <c r="O1482" s="12" t="n"/>
    </row>
    <row r="1483">
      <c r="A1483" s="12" t="n"/>
      <c r="B1483" s="13">
        <f>IF($A1483="","",IFERROR(INDEX(Emp_Names,MATCH($A1483,Emp_Codes,0)),"NOT FOUND"))</f>
        <v/>
      </c>
      <c r="C1483" s="14" t="n"/>
      <c r="D1483" s="15" t="n"/>
      <c r="E1483" s="15" t="n"/>
      <c r="F1483" s="15" t="n"/>
      <c r="G1483" s="15" t="n"/>
      <c r="H1483" s="16">
        <f>IF($A1483="","",$D1483+IF($E1483="",0,$E1483)+IF($F1483="",0,$F1483)-IF($G1483="",0,$G1483))</f>
        <v/>
      </c>
      <c r="I1483" s="12" t="n"/>
      <c r="J1483" s="12" t="n"/>
      <c r="K1483" s="12" t="n"/>
      <c r="L1483" s="14" t="n"/>
      <c r="M1483" s="12" t="n"/>
      <c r="N1483" s="12" t="n"/>
      <c r="O1483" s="12" t="n"/>
    </row>
    <row r="1484">
      <c r="A1484" s="12" t="n"/>
      <c r="B1484" s="13">
        <f>IF($A1484="","",IFERROR(INDEX(Emp_Names,MATCH($A1484,Emp_Codes,0)),"NOT FOUND"))</f>
        <v/>
      </c>
      <c r="C1484" s="14" t="n"/>
      <c r="D1484" s="15" t="n"/>
      <c r="E1484" s="15" t="n"/>
      <c r="F1484" s="15" t="n"/>
      <c r="G1484" s="15" t="n"/>
      <c r="H1484" s="16">
        <f>IF($A1484="","",$D1484+IF($E1484="",0,$E1484)+IF($F1484="",0,$F1484)-IF($G1484="",0,$G1484))</f>
        <v/>
      </c>
      <c r="I1484" s="12" t="n"/>
      <c r="J1484" s="12" t="n"/>
      <c r="K1484" s="12" t="n"/>
      <c r="L1484" s="14" t="n"/>
      <c r="M1484" s="12" t="n"/>
      <c r="N1484" s="12" t="n"/>
      <c r="O1484" s="12" t="n"/>
    </row>
    <row r="1485">
      <c r="A1485" s="12" t="n"/>
      <c r="B1485" s="13">
        <f>IF($A1485="","",IFERROR(INDEX(Emp_Names,MATCH($A1485,Emp_Codes,0)),"NOT FOUND"))</f>
        <v/>
      </c>
      <c r="C1485" s="14" t="n"/>
      <c r="D1485" s="15" t="n"/>
      <c r="E1485" s="15" t="n"/>
      <c r="F1485" s="15" t="n"/>
      <c r="G1485" s="15" t="n"/>
      <c r="H1485" s="16">
        <f>IF($A1485="","",$D1485+IF($E1485="",0,$E1485)+IF($F1485="",0,$F1485)-IF($G1485="",0,$G1485))</f>
        <v/>
      </c>
      <c r="I1485" s="12" t="n"/>
      <c r="J1485" s="12" t="n"/>
      <c r="K1485" s="12" t="n"/>
      <c r="L1485" s="14" t="n"/>
      <c r="M1485" s="12" t="n"/>
      <c r="N1485" s="12" t="n"/>
      <c r="O1485" s="12" t="n"/>
    </row>
    <row r="1486">
      <c r="A1486" s="12" t="n"/>
      <c r="B1486" s="13">
        <f>IF($A1486="","",IFERROR(INDEX(Emp_Names,MATCH($A1486,Emp_Codes,0)),"NOT FOUND"))</f>
        <v/>
      </c>
      <c r="C1486" s="14" t="n"/>
      <c r="D1486" s="15" t="n"/>
      <c r="E1486" s="15" t="n"/>
      <c r="F1486" s="15" t="n"/>
      <c r="G1486" s="15" t="n"/>
      <c r="H1486" s="16">
        <f>IF($A1486="","",$D1486+IF($E1486="",0,$E1486)+IF($F1486="",0,$F1486)-IF($G1486="",0,$G1486))</f>
        <v/>
      </c>
      <c r="I1486" s="12" t="n"/>
      <c r="J1486" s="12" t="n"/>
      <c r="K1486" s="12" t="n"/>
      <c r="L1486" s="14" t="n"/>
      <c r="M1486" s="12" t="n"/>
      <c r="N1486" s="12" t="n"/>
      <c r="O1486" s="12" t="n"/>
    </row>
    <row r="1487">
      <c r="A1487" s="12" t="n"/>
      <c r="B1487" s="13">
        <f>IF($A1487="","",IFERROR(INDEX(Emp_Names,MATCH($A1487,Emp_Codes,0)),"NOT FOUND"))</f>
        <v/>
      </c>
      <c r="C1487" s="14" t="n"/>
      <c r="D1487" s="15" t="n"/>
      <c r="E1487" s="15" t="n"/>
      <c r="F1487" s="15" t="n"/>
      <c r="G1487" s="15" t="n"/>
      <c r="H1487" s="16">
        <f>IF($A1487="","",$D1487+IF($E1487="",0,$E1487)+IF($F1487="",0,$F1487)-IF($G1487="",0,$G1487))</f>
        <v/>
      </c>
      <c r="I1487" s="12" t="n"/>
      <c r="J1487" s="12" t="n"/>
      <c r="K1487" s="12" t="n"/>
      <c r="L1487" s="14" t="n"/>
      <c r="M1487" s="12" t="n"/>
      <c r="N1487" s="12" t="n"/>
      <c r="O1487" s="12" t="n"/>
    </row>
    <row r="1488">
      <c r="A1488" s="12" t="n"/>
      <c r="B1488" s="13">
        <f>IF($A1488="","",IFERROR(INDEX(Emp_Names,MATCH($A1488,Emp_Codes,0)),"NOT FOUND"))</f>
        <v/>
      </c>
      <c r="C1488" s="14" t="n"/>
      <c r="D1488" s="15" t="n"/>
      <c r="E1488" s="15" t="n"/>
      <c r="F1488" s="15" t="n"/>
      <c r="G1488" s="15" t="n"/>
      <c r="H1488" s="16">
        <f>IF($A1488="","",$D1488+IF($E1488="",0,$E1488)+IF($F1488="",0,$F1488)-IF($G1488="",0,$G1488))</f>
        <v/>
      </c>
      <c r="I1488" s="12" t="n"/>
      <c r="J1488" s="12" t="n"/>
      <c r="K1488" s="12" t="n"/>
      <c r="L1488" s="14" t="n"/>
      <c r="M1488" s="12" t="n"/>
      <c r="N1488" s="12" t="n"/>
      <c r="O1488" s="12" t="n"/>
    </row>
    <row r="1489">
      <c r="A1489" s="12" t="n"/>
      <c r="B1489" s="13">
        <f>IF($A1489="","",IFERROR(INDEX(Emp_Names,MATCH($A1489,Emp_Codes,0)),"NOT FOUND"))</f>
        <v/>
      </c>
      <c r="C1489" s="14" t="n"/>
      <c r="D1489" s="15" t="n"/>
      <c r="E1489" s="15" t="n"/>
      <c r="F1489" s="15" t="n"/>
      <c r="G1489" s="15" t="n"/>
      <c r="H1489" s="16">
        <f>IF($A1489="","",$D1489+IF($E1489="",0,$E1489)+IF($F1489="",0,$F1489)-IF($G1489="",0,$G1489))</f>
        <v/>
      </c>
      <c r="I1489" s="12" t="n"/>
      <c r="J1489" s="12" t="n"/>
      <c r="K1489" s="12" t="n"/>
      <c r="L1489" s="14" t="n"/>
      <c r="M1489" s="12" t="n"/>
      <c r="N1489" s="12" t="n"/>
      <c r="O1489" s="12" t="n"/>
    </row>
    <row r="1490">
      <c r="A1490" s="12" t="n"/>
      <c r="B1490" s="13">
        <f>IF($A1490="","",IFERROR(INDEX(Emp_Names,MATCH($A1490,Emp_Codes,0)),"NOT FOUND"))</f>
        <v/>
      </c>
      <c r="C1490" s="14" t="n"/>
      <c r="D1490" s="15" t="n"/>
      <c r="E1490" s="15" t="n"/>
      <c r="F1490" s="15" t="n"/>
      <c r="G1490" s="15" t="n"/>
      <c r="H1490" s="16">
        <f>IF($A1490="","",$D1490+IF($E1490="",0,$E1490)+IF($F1490="",0,$F1490)-IF($G1490="",0,$G1490))</f>
        <v/>
      </c>
      <c r="I1490" s="12" t="n"/>
      <c r="J1490" s="12" t="n"/>
      <c r="K1490" s="12" t="n"/>
      <c r="L1490" s="14" t="n"/>
      <c r="M1490" s="12" t="n"/>
      <c r="N1490" s="12" t="n"/>
      <c r="O1490" s="12" t="n"/>
    </row>
    <row r="1491">
      <c r="A1491" s="12" t="n"/>
      <c r="B1491" s="13">
        <f>IF($A1491="","",IFERROR(INDEX(Emp_Names,MATCH($A1491,Emp_Codes,0)),"NOT FOUND"))</f>
        <v/>
      </c>
      <c r="C1491" s="14" t="n"/>
      <c r="D1491" s="15" t="n"/>
      <c r="E1491" s="15" t="n"/>
      <c r="F1491" s="15" t="n"/>
      <c r="G1491" s="15" t="n"/>
      <c r="H1491" s="16">
        <f>IF($A1491="","",$D1491+IF($E1491="",0,$E1491)+IF($F1491="",0,$F1491)-IF($G1491="",0,$G1491))</f>
        <v/>
      </c>
      <c r="I1491" s="12" t="n"/>
      <c r="J1491" s="12" t="n"/>
      <c r="K1491" s="12" t="n"/>
      <c r="L1491" s="14" t="n"/>
      <c r="M1491" s="12" t="n"/>
      <c r="N1491" s="12" t="n"/>
      <c r="O1491" s="12" t="n"/>
    </row>
    <row r="1492">
      <c r="A1492" s="12" t="n"/>
      <c r="B1492" s="13">
        <f>IF($A1492="","",IFERROR(INDEX(Emp_Names,MATCH($A1492,Emp_Codes,0)),"NOT FOUND"))</f>
        <v/>
      </c>
      <c r="C1492" s="14" t="n"/>
      <c r="D1492" s="15" t="n"/>
      <c r="E1492" s="15" t="n"/>
      <c r="F1492" s="15" t="n"/>
      <c r="G1492" s="15" t="n"/>
      <c r="H1492" s="16">
        <f>IF($A1492="","",$D1492+IF($E1492="",0,$E1492)+IF($F1492="",0,$F1492)-IF($G1492="",0,$G1492))</f>
        <v/>
      </c>
      <c r="I1492" s="12" t="n"/>
      <c r="J1492" s="12" t="n"/>
      <c r="K1492" s="12" t="n"/>
      <c r="L1492" s="14" t="n"/>
      <c r="M1492" s="12" t="n"/>
      <c r="N1492" s="12" t="n"/>
      <c r="O1492" s="12" t="n"/>
    </row>
    <row r="1493">
      <c r="A1493" s="12" t="n"/>
      <c r="B1493" s="13">
        <f>IF($A1493="","",IFERROR(INDEX(Emp_Names,MATCH($A1493,Emp_Codes,0)),"NOT FOUND"))</f>
        <v/>
      </c>
      <c r="C1493" s="14" t="n"/>
      <c r="D1493" s="15" t="n"/>
      <c r="E1493" s="15" t="n"/>
      <c r="F1493" s="15" t="n"/>
      <c r="G1493" s="15" t="n"/>
      <c r="H1493" s="16">
        <f>IF($A1493="","",$D1493+IF($E1493="",0,$E1493)+IF($F1493="",0,$F1493)-IF($G1493="",0,$G1493))</f>
        <v/>
      </c>
      <c r="I1493" s="12" t="n"/>
      <c r="J1493" s="12" t="n"/>
      <c r="K1493" s="12" t="n"/>
      <c r="L1493" s="14" t="n"/>
      <c r="M1493" s="12" t="n"/>
      <c r="N1493" s="12" t="n"/>
      <c r="O1493" s="12" t="n"/>
    </row>
    <row r="1494">
      <c r="A1494" s="12" t="n"/>
      <c r="B1494" s="13">
        <f>IF($A1494="","",IFERROR(INDEX(Emp_Names,MATCH($A1494,Emp_Codes,0)),"NOT FOUND"))</f>
        <v/>
      </c>
      <c r="C1494" s="14" t="n"/>
      <c r="D1494" s="15" t="n"/>
      <c r="E1494" s="15" t="n"/>
      <c r="F1494" s="15" t="n"/>
      <c r="G1494" s="15" t="n"/>
      <c r="H1494" s="16">
        <f>IF($A1494="","",$D1494+IF($E1494="",0,$E1494)+IF($F1494="",0,$F1494)-IF($G1494="",0,$G1494))</f>
        <v/>
      </c>
      <c r="I1494" s="12" t="n"/>
      <c r="J1494" s="12" t="n"/>
      <c r="K1494" s="12" t="n"/>
      <c r="L1494" s="14" t="n"/>
      <c r="M1494" s="12" t="n"/>
      <c r="N1494" s="12" t="n"/>
      <c r="O1494" s="12" t="n"/>
    </row>
    <row r="1495">
      <c r="A1495" s="12" t="n"/>
      <c r="B1495" s="13">
        <f>IF($A1495="","",IFERROR(INDEX(Emp_Names,MATCH($A1495,Emp_Codes,0)),"NOT FOUND"))</f>
        <v/>
      </c>
      <c r="C1495" s="14" t="n"/>
      <c r="D1495" s="15" t="n"/>
      <c r="E1495" s="15" t="n"/>
      <c r="F1495" s="15" t="n"/>
      <c r="G1495" s="15" t="n"/>
      <c r="H1495" s="16">
        <f>IF($A1495="","",$D1495+IF($E1495="",0,$E1495)+IF($F1495="",0,$F1495)-IF($G1495="",0,$G1495))</f>
        <v/>
      </c>
      <c r="I1495" s="12" t="n"/>
      <c r="J1495" s="12" t="n"/>
      <c r="K1495" s="12" t="n"/>
      <c r="L1495" s="14" t="n"/>
      <c r="M1495" s="12" t="n"/>
      <c r="N1495" s="12" t="n"/>
      <c r="O1495" s="12" t="n"/>
    </row>
    <row r="1496">
      <c r="A1496" s="12" t="n"/>
      <c r="B1496" s="13">
        <f>IF($A1496="","",IFERROR(INDEX(Emp_Names,MATCH($A1496,Emp_Codes,0)),"NOT FOUND"))</f>
        <v/>
      </c>
      <c r="C1496" s="14" t="n"/>
      <c r="D1496" s="15" t="n"/>
      <c r="E1496" s="15" t="n"/>
      <c r="F1496" s="15" t="n"/>
      <c r="G1496" s="15" t="n"/>
      <c r="H1496" s="16">
        <f>IF($A1496="","",$D1496+IF($E1496="",0,$E1496)+IF($F1496="",0,$F1496)-IF($G1496="",0,$G1496))</f>
        <v/>
      </c>
      <c r="I1496" s="12" t="n"/>
      <c r="J1496" s="12" t="n"/>
      <c r="K1496" s="12" t="n"/>
      <c r="L1496" s="14" t="n"/>
      <c r="M1496" s="12" t="n"/>
      <c r="N1496" s="12" t="n"/>
      <c r="O1496" s="12" t="n"/>
    </row>
    <row r="1497">
      <c r="A1497" s="12" t="n"/>
      <c r="B1497" s="13">
        <f>IF($A1497="","",IFERROR(INDEX(Emp_Names,MATCH($A1497,Emp_Codes,0)),"NOT FOUND"))</f>
        <v/>
      </c>
      <c r="C1497" s="14" t="n"/>
      <c r="D1497" s="15" t="n"/>
      <c r="E1497" s="15" t="n"/>
      <c r="F1497" s="15" t="n"/>
      <c r="G1497" s="15" t="n"/>
      <c r="H1497" s="16">
        <f>IF($A1497="","",$D1497+IF($E1497="",0,$E1497)+IF($F1497="",0,$F1497)-IF($G1497="",0,$G1497))</f>
        <v/>
      </c>
      <c r="I1497" s="12" t="n"/>
      <c r="J1497" s="12" t="n"/>
      <c r="K1497" s="12" t="n"/>
      <c r="L1497" s="14" t="n"/>
      <c r="M1497" s="12" t="n"/>
      <c r="N1497" s="12" t="n"/>
      <c r="O1497" s="12" t="n"/>
    </row>
    <row r="1498">
      <c r="A1498" s="12" t="n"/>
      <c r="B1498" s="13">
        <f>IF($A1498="","",IFERROR(INDEX(Emp_Names,MATCH($A1498,Emp_Codes,0)),"NOT FOUND"))</f>
        <v/>
      </c>
      <c r="C1498" s="14" t="n"/>
      <c r="D1498" s="15" t="n"/>
      <c r="E1498" s="15" t="n"/>
      <c r="F1498" s="15" t="n"/>
      <c r="G1498" s="15" t="n"/>
      <c r="H1498" s="16">
        <f>IF($A1498="","",$D1498+IF($E1498="",0,$E1498)+IF($F1498="",0,$F1498)-IF($G1498="",0,$G1498))</f>
        <v/>
      </c>
      <c r="I1498" s="12" t="n"/>
      <c r="J1498" s="12" t="n"/>
      <c r="K1498" s="12" t="n"/>
      <c r="L1498" s="14" t="n"/>
      <c r="M1498" s="12" t="n"/>
      <c r="N1498" s="12" t="n"/>
      <c r="O1498" s="12" t="n"/>
    </row>
    <row r="1499">
      <c r="A1499" s="12" t="n"/>
      <c r="B1499" s="13">
        <f>IF($A1499="","",IFERROR(INDEX(Emp_Names,MATCH($A1499,Emp_Codes,0)),"NOT FOUND"))</f>
        <v/>
      </c>
      <c r="C1499" s="14" t="n"/>
      <c r="D1499" s="15" t="n"/>
      <c r="E1499" s="15" t="n"/>
      <c r="F1499" s="15" t="n"/>
      <c r="G1499" s="15" t="n"/>
      <c r="H1499" s="16">
        <f>IF($A1499="","",$D1499+IF($E1499="",0,$E1499)+IF($F1499="",0,$F1499)-IF($G1499="",0,$G1499))</f>
        <v/>
      </c>
      <c r="I1499" s="12" t="n"/>
      <c r="J1499" s="12" t="n"/>
      <c r="K1499" s="12" t="n"/>
      <c r="L1499" s="14" t="n"/>
      <c r="M1499" s="12" t="n"/>
      <c r="N1499" s="12" t="n"/>
      <c r="O1499" s="12" t="n"/>
    </row>
    <row r="1500">
      <c r="A1500" s="12" t="n"/>
      <c r="B1500" s="13">
        <f>IF($A1500="","",IFERROR(INDEX(Emp_Names,MATCH($A1500,Emp_Codes,0)),"NOT FOUND"))</f>
        <v/>
      </c>
      <c r="C1500" s="14" t="n"/>
      <c r="D1500" s="15" t="n"/>
      <c r="E1500" s="15" t="n"/>
      <c r="F1500" s="15" t="n"/>
      <c r="G1500" s="15" t="n"/>
      <c r="H1500" s="16">
        <f>IF($A1500="","",$D1500+IF($E1500="",0,$E1500)+IF($F1500="",0,$F1500)-IF($G1500="",0,$G1500))</f>
        <v/>
      </c>
      <c r="I1500" s="12" t="n"/>
      <c r="J1500" s="12" t="n"/>
      <c r="K1500" s="12" t="n"/>
      <c r="L1500" s="14" t="n"/>
      <c r="M1500" s="12" t="n"/>
      <c r="N1500" s="12" t="n"/>
      <c r="O1500" s="12" t="n"/>
    </row>
    <row r="1501">
      <c r="A1501" s="12" t="n"/>
      <c r="B1501" s="13">
        <f>IF($A1501="","",IFERROR(INDEX(Emp_Names,MATCH($A1501,Emp_Codes,0)),"NOT FOUND"))</f>
        <v/>
      </c>
      <c r="C1501" s="14" t="n"/>
      <c r="D1501" s="15" t="n"/>
      <c r="E1501" s="15" t="n"/>
      <c r="F1501" s="15" t="n"/>
      <c r="G1501" s="15" t="n"/>
      <c r="H1501" s="16">
        <f>IF($A1501="","",$D1501+IF($E1501="",0,$E1501)+IF($F1501="",0,$F1501)-IF($G1501="",0,$G1501))</f>
        <v/>
      </c>
      <c r="I1501" s="12" t="n"/>
      <c r="J1501" s="12" t="n"/>
      <c r="K1501" s="12" t="n"/>
      <c r="L1501" s="14" t="n"/>
      <c r="M1501" s="12" t="n"/>
      <c r="N1501" s="12" t="n"/>
      <c r="O1501" s="12" t="n"/>
    </row>
    <row r="1502">
      <c r="A1502" s="12" t="n"/>
      <c r="B1502" s="13">
        <f>IF($A1502="","",IFERROR(INDEX(Emp_Names,MATCH($A1502,Emp_Codes,0)),"NOT FOUND"))</f>
        <v/>
      </c>
      <c r="C1502" s="14" t="n"/>
      <c r="D1502" s="15" t="n"/>
      <c r="E1502" s="15" t="n"/>
      <c r="F1502" s="15" t="n"/>
      <c r="G1502" s="15" t="n"/>
      <c r="H1502" s="16">
        <f>IF($A1502="","",$D1502+IF($E1502="",0,$E1502)+IF($F1502="",0,$F1502)-IF($G1502="",0,$G1502))</f>
        <v/>
      </c>
      <c r="I1502" s="12" t="n"/>
      <c r="J1502" s="12" t="n"/>
      <c r="K1502" s="12" t="n"/>
      <c r="L1502" s="14" t="n"/>
      <c r="M1502" s="12" t="n"/>
      <c r="N1502" s="12" t="n"/>
      <c r="O1502" s="12" t="n"/>
    </row>
    <row r="1503">
      <c r="A1503" s="12" t="n"/>
      <c r="B1503" s="13">
        <f>IF($A1503="","",IFERROR(INDEX(Emp_Names,MATCH($A1503,Emp_Codes,0)),"NOT FOUND"))</f>
        <v/>
      </c>
      <c r="C1503" s="14" t="n"/>
      <c r="D1503" s="15" t="n"/>
      <c r="E1503" s="15" t="n"/>
      <c r="F1503" s="15" t="n"/>
      <c r="G1503" s="15" t="n"/>
      <c r="H1503" s="16">
        <f>IF($A1503="","",$D1503+IF($E1503="",0,$E1503)+IF($F1503="",0,$F1503)-IF($G1503="",0,$G1503))</f>
        <v/>
      </c>
      <c r="I1503" s="12" t="n"/>
      <c r="J1503" s="12" t="n"/>
      <c r="K1503" s="12" t="n"/>
      <c r="L1503" s="14" t="n"/>
      <c r="M1503" s="12" t="n"/>
      <c r="N1503" s="12" t="n"/>
      <c r="O1503" s="12" t="n"/>
    </row>
    <row r="1504">
      <c r="A1504" s="12" t="n"/>
      <c r="B1504" s="13">
        <f>IF($A1504="","",IFERROR(INDEX(Emp_Names,MATCH($A1504,Emp_Codes,0)),"NOT FOUND"))</f>
        <v/>
      </c>
      <c r="C1504" s="14" t="n"/>
      <c r="D1504" s="15" t="n"/>
      <c r="E1504" s="15" t="n"/>
      <c r="F1504" s="15" t="n"/>
      <c r="G1504" s="15" t="n"/>
      <c r="H1504" s="16">
        <f>IF($A1504="","",$D1504+IF($E1504="",0,$E1504)+IF($F1504="",0,$F1504)-IF($G1504="",0,$G1504))</f>
        <v/>
      </c>
      <c r="I1504" s="12" t="n"/>
      <c r="J1504" s="12" t="n"/>
      <c r="K1504" s="12" t="n"/>
      <c r="L1504" s="14" t="n"/>
      <c r="M1504" s="12" t="n"/>
      <c r="N1504" s="12" t="n"/>
      <c r="O1504" s="12" t="n"/>
    </row>
    <row r="1505">
      <c r="A1505" s="12" t="n"/>
      <c r="B1505" s="13">
        <f>IF($A1505="","",IFERROR(INDEX(Emp_Names,MATCH($A1505,Emp_Codes,0)),"NOT FOUND"))</f>
        <v/>
      </c>
      <c r="C1505" s="14" t="n"/>
      <c r="D1505" s="15" t="n"/>
      <c r="E1505" s="15" t="n"/>
      <c r="F1505" s="15" t="n"/>
      <c r="G1505" s="15" t="n"/>
      <c r="H1505" s="16">
        <f>IF($A1505="","",$D1505+IF($E1505="",0,$E1505)+IF($F1505="",0,$F1505)-IF($G1505="",0,$G1505))</f>
        <v/>
      </c>
      <c r="I1505" s="12" t="n"/>
      <c r="J1505" s="12" t="n"/>
      <c r="K1505" s="12" t="n"/>
      <c r="L1505" s="14" t="n"/>
      <c r="M1505" s="12" t="n"/>
      <c r="N1505" s="12" t="n"/>
      <c r="O1505" s="12" t="n"/>
    </row>
    <row r="1506">
      <c r="A1506" s="12" t="n"/>
      <c r="B1506" s="13">
        <f>IF($A1506="","",IFERROR(INDEX(Emp_Names,MATCH($A1506,Emp_Codes,0)),"NOT FOUND"))</f>
        <v/>
      </c>
      <c r="C1506" s="14" t="n"/>
      <c r="D1506" s="15" t="n"/>
      <c r="E1506" s="15" t="n"/>
      <c r="F1506" s="15" t="n"/>
      <c r="G1506" s="15" t="n"/>
      <c r="H1506" s="16">
        <f>IF($A1506="","",$D1506+IF($E1506="",0,$E1506)+IF($F1506="",0,$F1506)-IF($G1506="",0,$G1506))</f>
        <v/>
      </c>
      <c r="I1506" s="12" t="n"/>
      <c r="J1506" s="12" t="n"/>
      <c r="K1506" s="12" t="n"/>
      <c r="L1506" s="14" t="n"/>
      <c r="M1506" s="12" t="n"/>
      <c r="N1506" s="12" t="n"/>
      <c r="O1506" s="12" t="n"/>
    </row>
    <row r="1507">
      <c r="A1507" s="12" t="n"/>
      <c r="B1507" s="13">
        <f>IF($A1507="","",IFERROR(INDEX(Emp_Names,MATCH($A1507,Emp_Codes,0)),"NOT FOUND"))</f>
        <v/>
      </c>
      <c r="C1507" s="14" t="n"/>
      <c r="D1507" s="15" t="n"/>
      <c r="E1507" s="15" t="n"/>
      <c r="F1507" s="15" t="n"/>
      <c r="G1507" s="15" t="n"/>
      <c r="H1507" s="16">
        <f>IF($A1507="","",$D1507+IF($E1507="",0,$E1507)+IF($F1507="",0,$F1507)-IF($G1507="",0,$G1507))</f>
        <v/>
      </c>
      <c r="I1507" s="12" t="n"/>
      <c r="J1507" s="12" t="n"/>
      <c r="K1507" s="12" t="n"/>
      <c r="L1507" s="14" t="n"/>
      <c r="M1507" s="12" t="n"/>
      <c r="N1507" s="12" t="n"/>
      <c r="O1507" s="12" t="n"/>
    </row>
    <row r="1508">
      <c r="A1508" s="12" t="n"/>
      <c r="B1508" s="13">
        <f>IF($A1508="","",IFERROR(INDEX(Emp_Names,MATCH($A1508,Emp_Codes,0)),"NOT FOUND"))</f>
        <v/>
      </c>
      <c r="C1508" s="14" t="n"/>
      <c r="D1508" s="15" t="n"/>
      <c r="E1508" s="15" t="n"/>
      <c r="F1508" s="15" t="n"/>
      <c r="G1508" s="15" t="n"/>
      <c r="H1508" s="16">
        <f>IF($A1508="","",$D1508+IF($E1508="",0,$E1508)+IF($F1508="",0,$F1508)-IF($G1508="",0,$G1508))</f>
        <v/>
      </c>
      <c r="I1508" s="12" t="n"/>
      <c r="J1508" s="12" t="n"/>
      <c r="K1508" s="12" t="n"/>
      <c r="L1508" s="14" t="n"/>
      <c r="M1508" s="12" t="n"/>
      <c r="N1508" s="12" t="n"/>
      <c r="O1508" s="12" t="n"/>
    </row>
    <row r="1509">
      <c r="A1509" s="12" t="n"/>
      <c r="B1509" s="13">
        <f>IF($A1509="","",IFERROR(INDEX(Emp_Names,MATCH($A1509,Emp_Codes,0)),"NOT FOUND"))</f>
        <v/>
      </c>
      <c r="C1509" s="14" t="n"/>
      <c r="D1509" s="15" t="n"/>
      <c r="E1509" s="15" t="n"/>
      <c r="F1509" s="15" t="n"/>
      <c r="G1509" s="15" t="n"/>
      <c r="H1509" s="16">
        <f>IF($A1509="","",$D1509+IF($E1509="",0,$E1509)+IF($F1509="",0,$F1509)-IF($G1509="",0,$G1509))</f>
        <v/>
      </c>
      <c r="I1509" s="12" t="n"/>
      <c r="J1509" s="12" t="n"/>
      <c r="K1509" s="12" t="n"/>
      <c r="L1509" s="14" t="n"/>
      <c r="M1509" s="12" t="n"/>
      <c r="N1509" s="12" t="n"/>
      <c r="O1509" s="12" t="n"/>
    </row>
    <row r="1510">
      <c r="A1510" s="12" t="n"/>
      <c r="B1510" s="13">
        <f>IF($A1510="","",IFERROR(INDEX(Emp_Names,MATCH($A1510,Emp_Codes,0)),"NOT FOUND"))</f>
        <v/>
      </c>
      <c r="C1510" s="14" t="n"/>
      <c r="D1510" s="15" t="n"/>
      <c r="E1510" s="15" t="n"/>
      <c r="F1510" s="15" t="n"/>
      <c r="G1510" s="15" t="n"/>
      <c r="H1510" s="16">
        <f>IF($A1510="","",$D1510+IF($E1510="",0,$E1510)+IF($F1510="",0,$F1510)-IF($G1510="",0,$G1510))</f>
        <v/>
      </c>
      <c r="I1510" s="12" t="n"/>
      <c r="J1510" s="12" t="n"/>
      <c r="K1510" s="12" t="n"/>
      <c r="L1510" s="14" t="n"/>
      <c r="M1510" s="12" t="n"/>
      <c r="N1510" s="12" t="n"/>
      <c r="O1510" s="12" t="n"/>
    </row>
    <row r="1511">
      <c r="A1511" s="12" t="n"/>
      <c r="B1511" s="13">
        <f>IF($A1511="","",IFERROR(INDEX(Emp_Names,MATCH($A1511,Emp_Codes,0)),"NOT FOUND"))</f>
        <v/>
      </c>
      <c r="C1511" s="14" t="n"/>
      <c r="D1511" s="15" t="n"/>
      <c r="E1511" s="15" t="n"/>
      <c r="F1511" s="15" t="n"/>
      <c r="G1511" s="15" t="n"/>
      <c r="H1511" s="16">
        <f>IF($A1511="","",$D1511+IF($E1511="",0,$E1511)+IF($F1511="",0,$F1511)-IF($G1511="",0,$G1511))</f>
        <v/>
      </c>
      <c r="I1511" s="12" t="n"/>
      <c r="J1511" s="12" t="n"/>
      <c r="K1511" s="12" t="n"/>
      <c r="L1511" s="14" t="n"/>
      <c r="M1511" s="12" t="n"/>
      <c r="N1511" s="12" t="n"/>
      <c r="O1511" s="12" t="n"/>
    </row>
    <row r="1512">
      <c r="A1512" s="12" t="n"/>
      <c r="B1512" s="13">
        <f>IF($A1512="","",IFERROR(INDEX(Emp_Names,MATCH($A1512,Emp_Codes,0)),"NOT FOUND"))</f>
        <v/>
      </c>
      <c r="C1512" s="14" t="n"/>
      <c r="D1512" s="15" t="n"/>
      <c r="E1512" s="15" t="n"/>
      <c r="F1512" s="15" t="n"/>
      <c r="G1512" s="15" t="n"/>
      <c r="H1512" s="16">
        <f>IF($A1512="","",$D1512+IF($E1512="",0,$E1512)+IF($F1512="",0,$F1512)-IF($G1512="",0,$G1512))</f>
        <v/>
      </c>
      <c r="I1512" s="12" t="n"/>
      <c r="J1512" s="12" t="n"/>
      <c r="K1512" s="12" t="n"/>
      <c r="L1512" s="14" t="n"/>
      <c r="M1512" s="12" t="n"/>
      <c r="N1512" s="12" t="n"/>
      <c r="O1512" s="12" t="n"/>
    </row>
    <row r="1513">
      <c r="A1513" s="12" t="n"/>
      <c r="B1513" s="13">
        <f>IF($A1513="","",IFERROR(INDEX(Emp_Names,MATCH($A1513,Emp_Codes,0)),"NOT FOUND"))</f>
        <v/>
      </c>
      <c r="C1513" s="14" t="n"/>
      <c r="D1513" s="15" t="n"/>
      <c r="E1513" s="15" t="n"/>
      <c r="F1513" s="15" t="n"/>
      <c r="G1513" s="15" t="n"/>
      <c r="H1513" s="16">
        <f>IF($A1513="","",$D1513+IF($E1513="",0,$E1513)+IF($F1513="",0,$F1513)-IF($G1513="",0,$G1513))</f>
        <v/>
      </c>
      <c r="I1513" s="12" t="n"/>
      <c r="J1513" s="12" t="n"/>
      <c r="K1513" s="12" t="n"/>
      <c r="L1513" s="14" t="n"/>
      <c r="M1513" s="12" t="n"/>
      <c r="N1513" s="12" t="n"/>
      <c r="O1513" s="12" t="n"/>
    </row>
    <row r="1514">
      <c r="A1514" s="12" t="n"/>
      <c r="B1514" s="13">
        <f>IF($A1514="","",IFERROR(INDEX(Emp_Names,MATCH($A1514,Emp_Codes,0)),"NOT FOUND"))</f>
        <v/>
      </c>
      <c r="C1514" s="14" t="n"/>
      <c r="D1514" s="15" t="n"/>
      <c r="E1514" s="15" t="n"/>
      <c r="F1514" s="15" t="n"/>
      <c r="G1514" s="15" t="n"/>
      <c r="H1514" s="16">
        <f>IF($A1514="","",$D1514+IF($E1514="",0,$E1514)+IF($F1514="",0,$F1514)-IF($G1514="",0,$G1514))</f>
        <v/>
      </c>
      <c r="I1514" s="12" t="n"/>
      <c r="J1514" s="12" t="n"/>
      <c r="K1514" s="12" t="n"/>
      <c r="L1514" s="14" t="n"/>
      <c r="M1514" s="12" t="n"/>
      <c r="N1514" s="12" t="n"/>
      <c r="O1514" s="12" t="n"/>
    </row>
    <row r="1515">
      <c r="A1515" s="12" t="n"/>
      <c r="B1515" s="13">
        <f>IF($A1515="","",IFERROR(INDEX(Emp_Names,MATCH($A1515,Emp_Codes,0)),"NOT FOUND"))</f>
        <v/>
      </c>
      <c r="C1515" s="14" t="n"/>
      <c r="D1515" s="15" t="n"/>
      <c r="E1515" s="15" t="n"/>
      <c r="F1515" s="15" t="n"/>
      <c r="G1515" s="15" t="n"/>
      <c r="H1515" s="16">
        <f>IF($A1515="","",$D1515+IF($E1515="",0,$E1515)+IF($F1515="",0,$F1515)-IF($G1515="",0,$G1515))</f>
        <v/>
      </c>
      <c r="I1515" s="12" t="n"/>
      <c r="J1515" s="12" t="n"/>
      <c r="K1515" s="12" t="n"/>
      <c r="L1515" s="14" t="n"/>
      <c r="M1515" s="12" t="n"/>
      <c r="N1515" s="12" t="n"/>
      <c r="O1515" s="12" t="n"/>
    </row>
    <row r="1516">
      <c r="A1516" s="12" t="n"/>
      <c r="B1516" s="13">
        <f>IF($A1516="","",IFERROR(INDEX(Emp_Names,MATCH($A1516,Emp_Codes,0)),"NOT FOUND"))</f>
        <v/>
      </c>
      <c r="C1516" s="14" t="n"/>
      <c r="D1516" s="15" t="n"/>
      <c r="E1516" s="15" t="n"/>
      <c r="F1516" s="15" t="n"/>
      <c r="G1516" s="15" t="n"/>
      <c r="H1516" s="16">
        <f>IF($A1516="","",$D1516+IF($E1516="",0,$E1516)+IF($F1516="",0,$F1516)-IF($G1516="",0,$G1516))</f>
        <v/>
      </c>
      <c r="I1516" s="12" t="n"/>
      <c r="J1516" s="12" t="n"/>
      <c r="K1516" s="12" t="n"/>
      <c r="L1516" s="14" t="n"/>
      <c r="M1516" s="12" t="n"/>
      <c r="N1516" s="12" t="n"/>
      <c r="O1516" s="12" t="n"/>
    </row>
    <row r="1517">
      <c r="A1517" s="12" t="n"/>
      <c r="B1517" s="13">
        <f>IF($A1517="","",IFERROR(INDEX(Emp_Names,MATCH($A1517,Emp_Codes,0)),"NOT FOUND"))</f>
        <v/>
      </c>
      <c r="C1517" s="14" t="n"/>
      <c r="D1517" s="15" t="n"/>
      <c r="E1517" s="15" t="n"/>
      <c r="F1517" s="15" t="n"/>
      <c r="G1517" s="15" t="n"/>
      <c r="H1517" s="16">
        <f>IF($A1517="","",$D1517+IF($E1517="",0,$E1517)+IF($F1517="",0,$F1517)-IF($G1517="",0,$G1517))</f>
        <v/>
      </c>
      <c r="I1517" s="12" t="n"/>
      <c r="J1517" s="12" t="n"/>
      <c r="K1517" s="12" t="n"/>
      <c r="L1517" s="14" t="n"/>
      <c r="M1517" s="12" t="n"/>
      <c r="N1517" s="12" t="n"/>
      <c r="O1517" s="12" t="n"/>
    </row>
    <row r="1518">
      <c r="A1518" s="12" t="n"/>
      <c r="B1518" s="13">
        <f>IF($A1518="","",IFERROR(INDEX(Emp_Names,MATCH($A1518,Emp_Codes,0)),"NOT FOUND"))</f>
        <v/>
      </c>
      <c r="C1518" s="14" t="n"/>
      <c r="D1518" s="15" t="n"/>
      <c r="E1518" s="15" t="n"/>
      <c r="F1518" s="15" t="n"/>
      <c r="G1518" s="15" t="n"/>
      <c r="H1518" s="16">
        <f>IF($A1518="","",$D1518+IF($E1518="",0,$E1518)+IF($F1518="",0,$F1518)-IF($G1518="",0,$G1518))</f>
        <v/>
      </c>
      <c r="I1518" s="12" t="n"/>
      <c r="J1518" s="12" t="n"/>
      <c r="K1518" s="12" t="n"/>
      <c r="L1518" s="14" t="n"/>
      <c r="M1518" s="12" t="n"/>
      <c r="N1518" s="12" t="n"/>
      <c r="O1518" s="12" t="n"/>
    </row>
    <row r="1519">
      <c r="A1519" s="12" t="n"/>
      <c r="B1519" s="13">
        <f>IF($A1519="","",IFERROR(INDEX(Emp_Names,MATCH($A1519,Emp_Codes,0)),"NOT FOUND"))</f>
        <v/>
      </c>
      <c r="C1519" s="14" t="n"/>
      <c r="D1519" s="15" t="n"/>
      <c r="E1519" s="15" t="n"/>
      <c r="F1519" s="15" t="n"/>
      <c r="G1519" s="15" t="n"/>
      <c r="H1519" s="16">
        <f>IF($A1519="","",$D1519+IF($E1519="",0,$E1519)+IF($F1519="",0,$F1519)-IF($G1519="",0,$G1519))</f>
        <v/>
      </c>
      <c r="I1519" s="12" t="n"/>
      <c r="J1519" s="12" t="n"/>
      <c r="K1519" s="12" t="n"/>
      <c r="L1519" s="14" t="n"/>
      <c r="M1519" s="12" t="n"/>
      <c r="N1519" s="12" t="n"/>
      <c r="O1519" s="12" t="n"/>
    </row>
    <row r="1520">
      <c r="A1520" s="12" t="n"/>
      <c r="B1520" s="13">
        <f>IF($A1520="","",IFERROR(INDEX(Emp_Names,MATCH($A1520,Emp_Codes,0)),"NOT FOUND"))</f>
        <v/>
      </c>
      <c r="C1520" s="14" t="n"/>
      <c r="D1520" s="15" t="n"/>
      <c r="E1520" s="15" t="n"/>
      <c r="F1520" s="15" t="n"/>
      <c r="G1520" s="15" t="n"/>
      <c r="H1520" s="16">
        <f>IF($A1520="","",$D1520+IF($E1520="",0,$E1520)+IF($F1520="",0,$F1520)-IF($G1520="",0,$G1520))</f>
        <v/>
      </c>
      <c r="I1520" s="12" t="n"/>
      <c r="J1520" s="12" t="n"/>
      <c r="K1520" s="12" t="n"/>
      <c r="L1520" s="14" t="n"/>
      <c r="M1520" s="12" t="n"/>
      <c r="N1520" s="12" t="n"/>
      <c r="O1520" s="12" t="n"/>
    </row>
    <row r="1521">
      <c r="A1521" s="12" t="n"/>
      <c r="B1521" s="13">
        <f>IF($A1521="","",IFERROR(INDEX(Emp_Names,MATCH($A1521,Emp_Codes,0)),"NOT FOUND"))</f>
        <v/>
      </c>
      <c r="C1521" s="14" t="n"/>
      <c r="D1521" s="15" t="n"/>
      <c r="E1521" s="15" t="n"/>
      <c r="F1521" s="15" t="n"/>
      <c r="G1521" s="15" t="n"/>
      <c r="H1521" s="16">
        <f>IF($A1521="","",$D1521+IF($E1521="",0,$E1521)+IF($F1521="",0,$F1521)-IF($G1521="",0,$G1521))</f>
        <v/>
      </c>
      <c r="I1521" s="12" t="n"/>
      <c r="J1521" s="12" t="n"/>
      <c r="K1521" s="12" t="n"/>
      <c r="L1521" s="14" t="n"/>
      <c r="M1521" s="12" t="n"/>
      <c r="N1521" s="12" t="n"/>
      <c r="O1521" s="12" t="n"/>
    </row>
    <row r="1522">
      <c r="A1522" s="12" t="n"/>
      <c r="B1522" s="13">
        <f>IF($A1522="","",IFERROR(INDEX(Emp_Names,MATCH($A1522,Emp_Codes,0)),"NOT FOUND"))</f>
        <v/>
      </c>
      <c r="C1522" s="14" t="n"/>
      <c r="D1522" s="15" t="n"/>
      <c r="E1522" s="15" t="n"/>
      <c r="F1522" s="15" t="n"/>
      <c r="G1522" s="15" t="n"/>
      <c r="H1522" s="16">
        <f>IF($A1522="","",$D1522+IF($E1522="",0,$E1522)+IF($F1522="",0,$F1522)-IF($G1522="",0,$G1522))</f>
        <v/>
      </c>
      <c r="I1522" s="12" t="n"/>
      <c r="J1522" s="12" t="n"/>
      <c r="K1522" s="12" t="n"/>
      <c r="L1522" s="14" t="n"/>
      <c r="M1522" s="12" t="n"/>
      <c r="N1522" s="12" t="n"/>
      <c r="O1522" s="12" t="n"/>
    </row>
    <row r="1523">
      <c r="A1523" s="12" t="n"/>
      <c r="B1523" s="13">
        <f>IF($A1523="","",IFERROR(INDEX(Emp_Names,MATCH($A1523,Emp_Codes,0)),"NOT FOUND"))</f>
        <v/>
      </c>
      <c r="C1523" s="14" t="n"/>
      <c r="D1523" s="15" t="n"/>
      <c r="E1523" s="15" t="n"/>
      <c r="F1523" s="15" t="n"/>
      <c r="G1523" s="15" t="n"/>
      <c r="H1523" s="16">
        <f>IF($A1523="","",$D1523+IF($E1523="",0,$E1523)+IF($F1523="",0,$F1523)-IF($G1523="",0,$G1523))</f>
        <v/>
      </c>
      <c r="I1523" s="12" t="n"/>
      <c r="J1523" s="12" t="n"/>
      <c r="K1523" s="12" t="n"/>
      <c r="L1523" s="14" t="n"/>
      <c r="M1523" s="12" t="n"/>
      <c r="N1523" s="12" t="n"/>
      <c r="O1523" s="12" t="n"/>
    </row>
    <row r="1524">
      <c r="A1524" s="12" t="n"/>
      <c r="B1524" s="13">
        <f>IF($A1524="","",IFERROR(INDEX(Emp_Names,MATCH($A1524,Emp_Codes,0)),"NOT FOUND"))</f>
        <v/>
      </c>
      <c r="C1524" s="14" t="n"/>
      <c r="D1524" s="15" t="n"/>
      <c r="E1524" s="15" t="n"/>
      <c r="F1524" s="15" t="n"/>
      <c r="G1524" s="15" t="n"/>
      <c r="H1524" s="16">
        <f>IF($A1524="","",$D1524+IF($E1524="",0,$E1524)+IF($F1524="",0,$F1524)-IF($G1524="",0,$G1524))</f>
        <v/>
      </c>
      <c r="I1524" s="12" t="n"/>
      <c r="J1524" s="12" t="n"/>
      <c r="K1524" s="12" t="n"/>
      <c r="L1524" s="14" t="n"/>
      <c r="M1524" s="12" t="n"/>
      <c r="N1524" s="12" t="n"/>
      <c r="O1524" s="12" t="n"/>
    </row>
    <row r="1525">
      <c r="A1525" s="12" t="n"/>
      <c r="B1525" s="13">
        <f>IF($A1525="","",IFERROR(INDEX(Emp_Names,MATCH($A1525,Emp_Codes,0)),"NOT FOUND"))</f>
        <v/>
      </c>
      <c r="C1525" s="14" t="n"/>
      <c r="D1525" s="15" t="n"/>
      <c r="E1525" s="15" t="n"/>
      <c r="F1525" s="15" t="n"/>
      <c r="G1525" s="15" t="n"/>
      <c r="H1525" s="16">
        <f>IF($A1525="","",$D1525+IF($E1525="",0,$E1525)+IF($F1525="",0,$F1525)-IF($G1525="",0,$G1525))</f>
        <v/>
      </c>
      <c r="I1525" s="12" t="n"/>
      <c r="J1525" s="12" t="n"/>
      <c r="K1525" s="12" t="n"/>
      <c r="L1525" s="14" t="n"/>
      <c r="M1525" s="12" t="n"/>
      <c r="N1525" s="12" t="n"/>
      <c r="O1525" s="12" t="n"/>
    </row>
    <row r="1526">
      <c r="A1526" s="12" t="n"/>
      <c r="B1526" s="13">
        <f>IF($A1526="","",IFERROR(INDEX(Emp_Names,MATCH($A1526,Emp_Codes,0)),"NOT FOUND"))</f>
        <v/>
      </c>
      <c r="C1526" s="14" t="n"/>
      <c r="D1526" s="15" t="n"/>
      <c r="E1526" s="15" t="n"/>
      <c r="F1526" s="15" t="n"/>
      <c r="G1526" s="15" t="n"/>
      <c r="H1526" s="16">
        <f>IF($A1526="","",$D1526+IF($E1526="",0,$E1526)+IF($F1526="",0,$F1526)-IF($G1526="",0,$G1526))</f>
        <v/>
      </c>
      <c r="I1526" s="12" t="n"/>
      <c r="J1526" s="12" t="n"/>
      <c r="K1526" s="12" t="n"/>
      <c r="L1526" s="14" t="n"/>
      <c r="M1526" s="12" t="n"/>
      <c r="N1526" s="12" t="n"/>
      <c r="O1526" s="12" t="n"/>
    </row>
    <row r="1527">
      <c r="A1527" s="12" t="n"/>
      <c r="B1527" s="13">
        <f>IF($A1527="","",IFERROR(INDEX(Emp_Names,MATCH($A1527,Emp_Codes,0)),"NOT FOUND"))</f>
        <v/>
      </c>
      <c r="C1527" s="14" t="n"/>
      <c r="D1527" s="15" t="n"/>
      <c r="E1527" s="15" t="n"/>
      <c r="F1527" s="15" t="n"/>
      <c r="G1527" s="15" t="n"/>
      <c r="H1527" s="16">
        <f>IF($A1527="","",$D1527+IF($E1527="",0,$E1527)+IF($F1527="",0,$F1527)-IF($G1527="",0,$G1527))</f>
        <v/>
      </c>
      <c r="I1527" s="12" t="n"/>
      <c r="J1527" s="12" t="n"/>
      <c r="K1527" s="12" t="n"/>
      <c r="L1527" s="14" t="n"/>
      <c r="M1527" s="12" t="n"/>
      <c r="N1527" s="12" t="n"/>
      <c r="O1527" s="12" t="n"/>
    </row>
    <row r="1528">
      <c r="A1528" s="12" t="n"/>
      <c r="B1528" s="13">
        <f>IF($A1528="","",IFERROR(INDEX(Emp_Names,MATCH($A1528,Emp_Codes,0)),"NOT FOUND"))</f>
        <v/>
      </c>
      <c r="C1528" s="14" t="n"/>
      <c r="D1528" s="15" t="n"/>
      <c r="E1528" s="15" t="n"/>
      <c r="F1528" s="15" t="n"/>
      <c r="G1528" s="15" t="n"/>
      <c r="H1528" s="16">
        <f>IF($A1528="","",$D1528+IF($E1528="",0,$E1528)+IF($F1528="",0,$F1528)-IF($G1528="",0,$G1528))</f>
        <v/>
      </c>
      <c r="I1528" s="12" t="n"/>
      <c r="J1528" s="12" t="n"/>
      <c r="K1528" s="12" t="n"/>
      <c r="L1528" s="14" t="n"/>
      <c r="M1528" s="12" t="n"/>
      <c r="N1528" s="12" t="n"/>
      <c r="O1528" s="12" t="n"/>
    </row>
    <row r="1529">
      <c r="A1529" s="12" t="n"/>
      <c r="B1529" s="13">
        <f>IF($A1529="","",IFERROR(INDEX(Emp_Names,MATCH($A1529,Emp_Codes,0)),"NOT FOUND"))</f>
        <v/>
      </c>
      <c r="C1529" s="14" t="n"/>
      <c r="D1529" s="15" t="n"/>
      <c r="E1529" s="15" t="n"/>
      <c r="F1529" s="15" t="n"/>
      <c r="G1529" s="15" t="n"/>
      <c r="H1529" s="16">
        <f>IF($A1529="","",$D1529+IF($E1529="",0,$E1529)+IF($F1529="",0,$F1529)-IF($G1529="",0,$G1529))</f>
        <v/>
      </c>
      <c r="I1529" s="12" t="n"/>
      <c r="J1529" s="12" t="n"/>
      <c r="K1529" s="12" t="n"/>
      <c r="L1529" s="14" t="n"/>
      <c r="M1529" s="12" t="n"/>
      <c r="N1529" s="12" t="n"/>
      <c r="O1529" s="12" t="n"/>
    </row>
    <row r="1530">
      <c r="A1530" s="12" t="n"/>
      <c r="B1530" s="13">
        <f>IF($A1530="","",IFERROR(INDEX(Emp_Names,MATCH($A1530,Emp_Codes,0)),"NOT FOUND"))</f>
        <v/>
      </c>
      <c r="C1530" s="14" t="n"/>
      <c r="D1530" s="15" t="n"/>
      <c r="E1530" s="15" t="n"/>
      <c r="F1530" s="15" t="n"/>
      <c r="G1530" s="15" t="n"/>
      <c r="H1530" s="16">
        <f>IF($A1530="","",$D1530+IF($E1530="",0,$E1530)+IF($F1530="",0,$F1530)-IF($G1530="",0,$G1530))</f>
        <v/>
      </c>
      <c r="I1530" s="12" t="n"/>
      <c r="J1530" s="12" t="n"/>
      <c r="K1530" s="12" t="n"/>
      <c r="L1530" s="14" t="n"/>
      <c r="M1530" s="12" t="n"/>
      <c r="N1530" s="12" t="n"/>
      <c r="O1530" s="12" t="n"/>
    </row>
    <row r="1531">
      <c r="A1531" s="12" t="n"/>
      <c r="B1531" s="13">
        <f>IF($A1531="","",IFERROR(INDEX(Emp_Names,MATCH($A1531,Emp_Codes,0)),"NOT FOUND"))</f>
        <v/>
      </c>
      <c r="C1531" s="14" t="n"/>
      <c r="D1531" s="15" t="n"/>
      <c r="E1531" s="15" t="n"/>
      <c r="F1531" s="15" t="n"/>
      <c r="G1531" s="15" t="n"/>
      <c r="H1531" s="16">
        <f>IF($A1531="","",$D1531+IF($E1531="",0,$E1531)+IF($F1531="",0,$F1531)-IF($G1531="",0,$G1531))</f>
        <v/>
      </c>
      <c r="I1531" s="12" t="n"/>
      <c r="J1531" s="12" t="n"/>
      <c r="K1531" s="12" t="n"/>
      <c r="L1531" s="14" t="n"/>
      <c r="M1531" s="12" t="n"/>
      <c r="N1531" s="12" t="n"/>
      <c r="O1531" s="12" t="n"/>
    </row>
    <row r="1532">
      <c r="A1532" s="12" t="n"/>
      <c r="B1532" s="13">
        <f>IF($A1532="","",IFERROR(INDEX(Emp_Names,MATCH($A1532,Emp_Codes,0)),"NOT FOUND"))</f>
        <v/>
      </c>
      <c r="C1532" s="14" t="n"/>
      <c r="D1532" s="15" t="n"/>
      <c r="E1532" s="15" t="n"/>
      <c r="F1532" s="15" t="n"/>
      <c r="G1532" s="15" t="n"/>
      <c r="H1532" s="16">
        <f>IF($A1532="","",$D1532+IF($E1532="",0,$E1532)+IF($F1532="",0,$F1532)-IF($G1532="",0,$G1532))</f>
        <v/>
      </c>
      <c r="I1532" s="12" t="n"/>
      <c r="J1532" s="12" t="n"/>
      <c r="K1532" s="12" t="n"/>
      <c r="L1532" s="14" t="n"/>
      <c r="M1532" s="12" t="n"/>
      <c r="N1532" s="12" t="n"/>
      <c r="O1532" s="12" t="n"/>
    </row>
    <row r="1533">
      <c r="A1533" s="12" t="n"/>
      <c r="B1533" s="13">
        <f>IF($A1533="","",IFERROR(INDEX(Emp_Names,MATCH($A1533,Emp_Codes,0)),"NOT FOUND"))</f>
        <v/>
      </c>
      <c r="C1533" s="14" t="n"/>
      <c r="D1533" s="15" t="n"/>
      <c r="E1533" s="15" t="n"/>
      <c r="F1533" s="15" t="n"/>
      <c r="G1533" s="15" t="n"/>
      <c r="H1533" s="16">
        <f>IF($A1533="","",$D1533+IF($E1533="",0,$E1533)+IF($F1533="",0,$F1533)-IF($G1533="",0,$G1533))</f>
        <v/>
      </c>
      <c r="I1533" s="12" t="n"/>
      <c r="J1533" s="12" t="n"/>
      <c r="K1533" s="12" t="n"/>
      <c r="L1533" s="14" t="n"/>
      <c r="M1533" s="12" t="n"/>
      <c r="N1533" s="12" t="n"/>
      <c r="O1533" s="12" t="n"/>
    </row>
    <row r="1534">
      <c r="A1534" s="12" t="n"/>
      <c r="B1534" s="13">
        <f>IF($A1534="","",IFERROR(INDEX(Emp_Names,MATCH($A1534,Emp_Codes,0)),"NOT FOUND"))</f>
        <v/>
      </c>
      <c r="C1534" s="14" t="n"/>
      <c r="D1534" s="15" t="n"/>
      <c r="E1534" s="15" t="n"/>
      <c r="F1534" s="15" t="n"/>
      <c r="G1534" s="15" t="n"/>
      <c r="H1534" s="16">
        <f>IF($A1534="","",$D1534+IF($E1534="",0,$E1534)+IF($F1534="",0,$F1534)-IF($G1534="",0,$G1534))</f>
        <v/>
      </c>
      <c r="I1534" s="12" t="n"/>
      <c r="J1534" s="12" t="n"/>
      <c r="K1534" s="12" t="n"/>
      <c r="L1534" s="14" t="n"/>
      <c r="M1534" s="12" t="n"/>
      <c r="N1534" s="12" t="n"/>
      <c r="O1534" s="12" t="n"/>
    </row>
    <row r="1535">
      <c r="A1535" s="12" t="n"/>
      <c r="B1535" s="13">
        <f>IF($A1535="","",IFERROR(INDEX(Emp_Names,MATCH($A1535,Emp_Codes,0)),"NOT FOUND"))</f>
        <v/>
      </c>
      <c r="C1535" s="14" t="n"/>
      <c r="D1535" s="15" t="n"/>
      <c r="E1535" s="15" t="n"/>
      <c r="F1535" s="15" t="n"/>
      <c r="G1535" s="15" t="n"/>
      <c r="H1535" s="16">
        <f>IF($A1535="","",$D1535+IF($E1535="",0,$E1535)+IF($F1535="",0,$F1535)-IF($G1535="",0,$G1535))</f>
        <v/>
      </c>
      <c r="I1535" s="12" t="n"/>
      <c r="J1535" s="12" t="n"/>
      <c r="K1535" s="12" t="n"/>
      <c r="L1535" s="14" t="n"/>
      <c r="M1535" s="12" t="n"/>
      <c r="N1535" s="12" t="n"/>
      <c r="O1535" s="12" t="n"/>
    </row>
    <row r="1536">
      <c r="A1536" s="12" t="n"/>
      <c r="B1536" s="13">
        <f>IF($A1536="","",IFERROR(INDEX(Emp_Names,MATCH($A1536,Emp_Codes,0)),"NOT FOUND"))</f>
        <v/>
      </c>
      <c r="C1536" s="14" t="n"/>
      <c r="D1536" s="15" t="n"/>
      <c r="E1536" s="15" t="n"/>
      <c r="F1536" s="15" t="n"/>
      <c r="G1536" s="15" t="n"/>
      <c r="H1536" s="16">
        <f>IF($A1536="","",$D1536+IF($E1536="",0,$E1536)+IF($F1536="",0,$F1536)-IF($G1536="",0,$G1536))</f>
        <v/>
      </c>
      <c r="I1536" s="12" t="n"/>
      <c r="J1536" s="12" t="n"/>
      <c r="K1536" s="12" t="n"/>
      <c r="L1536" s="14" t="n"/>
      <c r="M1536" s="12" t="n"/>
      <c r="N1536" s="12" t="n"/>
      <c r="O1536" s="12" t="n"/>
    </row>
    <row r="1537">
      <c r="A1537" s="12" t="n"/>
      <c r="B1537" s="13">
        <f>IF($A1537="","",IFERROR(INDEX(Emp_Names,MATCH($A1537,Emp_Codes,0)),"NOT FOUND"))</f>
        <v/>
      </c>
      <c r="C1537" s="14" t="n"/>
      <c r="D1537" s="15" t="n"/>
      <c r="E1537" s="15" t="n"/>
      <c r="F1537" s="15" t="n"/>
      <c r="G1537" s="15" t="n"/>
      <c r="H1537" s="16">
        <f>IF($A1537="","",$D1537+IF($E1537="",0,$E1537)+IF($F1537="",0,$F1537)-IF($G1537="",0,$G1537))</f>
        <v/>
      </c>
      <c r="I1537" s="12" t="n"/>
      <c r="J1537" s="12" t="n"/>
      <c r="K1537" s="12" t="n"/>
      <c r="L1537" s="14" t="n"/>
      <c r="M1537" s="12" t="n"/>
      <c r="N1537" s="12" t="n"/>
      <c r="O1537" s="12" t="n"/>
    </row>
    <row r="1538">
      <c r="A1538" s="12" t="n"/>
      <c r="B1538" s="13">
        <f>IF($A1538="","",IFERROR(INDEX(Emp_Names,MATCH($A1538,Emp_Codes,0)),"NOT FOUND"))</f>
        <v/>
      </c>
      <c r="C1538" s="14" t="n"/>
      <c r="D1538" s="15" t="n"/>
      <c r="E1538" s="15" t="n"/>
      <c r="F1538" s="15" t="n"/>
      <c r="G1538" s="15" t="n"/>
      <c r="H1538" s="16">
        <f>IF($A1538="","",$D1538+IF($E1538="",0,$E1538)+IF($F1538="",0,$F1538)-IF($G1538="",0,$G1538))</f>
        <v/>
      </c>
      <c r="I1538" s="12" t="n"/>
      <c r="J1538" s="12" t="n"/>
      <c r="K1538" s="12" t="n"/>
      <c r="L1538" s="14" t="n"/>
      <c r="M1538" s="12" t="n"/>
      <c r="N1538" s="12" t="n"/>
      <c r="O1538" s="12" t="n"/>
    </row>
    <row r="1539">
      <c r="A1539" s="12" t="n"/>
      <c r="B1539" s="13">
        <f>IF($A1539="","",IFERROR(INDEX(Emp_Names,MATCH($A1539,Emp_Codes,0)),"NOT FOUND"))</f>
        <v/>
      </c>
      <c r="C1539" s="14" t="n"/>
      <c r="D1539" s="15" t="n"/>
      <c r="E1539" s="15" t="n"/>
      <c r="F1539" s="15" t="n"/>
      <c r="G1539" s="15" t="n"/>
      <c r="H1539" s="16">
        <f>IF($A1539="","",$D1539+IF($E1539="",0,$E1539)+IF($F1539="",0,$F1539)-IF($G1539="",0,$G1539))</f>
        <v/>
      </c>
      <c r="I1539" s="12" t="n"/>
      <c r="J1539" s="12" t="n"/>
      <c r="K1539" s="12" t="n"/>
      <c r="L1539" s="14" t="n"/>
      <c r="M1539" s="12" t="n"/>
      <c r="N1539" s="12" t="n"/>
      <c r="O1539" s="12" t="n"/>
    </row>
    <row r="1540">
      <c r="A1540" s="12" t="n"/>
      <c r="B1540" s="13">
        <f>IF($A1540="","",IFERROR(INDEX(Emp_Names,MATCH($A1540,Emp_Codes,0)),"NOT FOUND"))</f>
        <v/>
      </c>
      <c r="C1540" s="14" t="n"/>
      <c r="D1540" s="15" t="n"/>
      <c r="E1540" s="15" t="n"/>
      <c r="F1540" s="15" t="n"/>
      <c r="G1540" s="15" t="n"/>
      <c r="H1540" s="16">
        <f>IF($A1540="","",$D1540+IF($E1540="",0,$E1540)+IF($F1540="",0,$F1540)-IF($G1540="",0,$G1540))</f>
        <v/>
      </c>
      <c r="I1540" s="12" t="n"/>
      <c r="J1540" s="12" t="n"/>
      <c r="K1540" s="12" t="n"/>
      <c r="L1540" s="14" t="n"/>
      <c r="M1540" s="12" t="n"/>
      <c r="N1540" s="12" t="n"/>
      <c r="O1540" s="12" t="n"/>
    </row>
    <row r="1541">
      <c r="A1541" s="12" t="n"/>
      <c r="B1541" s="13">
        <f>IF($A1541="","",IFERROR(INDEX(Emp_Names,MATCH($A1541,Emp_Codes,0)),"NOT FOUND"))</f>
        <v/>
      </c>
      <c r="C1541" s="14" t="n"/>
      <c r="D1541" s="15" t="n"/>
      <c r="E1541" s="15" t="n"/>
      <c r="F1541" s="15" t="n"/>
      <c r="G1541" s="15" t="n"/>
      <c r="H1541" s="16">
        <f>IF($A1541="","",$D1541+IF($E1541="",0,$E1541)+IF($F1541="",0,$F1541)-IF($G1541="",0,$G1541))</f>
        <v/>
      </c>
      <c r="I1541" s="12" t="n"/>
      <c r="J1541" s="12" t="n"/>
      <c r="K1541" s="12" t="n"/>
      <c r="L1541" s="14" t="n"/>
      <c r="M1541" s="12" t="n"/>
      <c r="N1541" s="12" t="n"/>
      <c r="O1541" s="12" t="n"/>
    </row>
    <row r="1542">
      <c r="A1542" s="12" t="n"/>
      <c r="B1542" s="13">
        <f>IF($A1542="","",IFERROR(INDEX(Emp_Names,MATCH($A1542,Emp_Codes,0)),"NOT FOUND"))</f>
        <v/>
      </c>
      <c r="C1542" s="14" t="n"/>
      <c r="D1542" s="15" t="n"/>
      <c r="E1542" s="15" t="n"/>
      <c r="F1542" s="15" t="n"/>
      <c r="G1542" s="15" t="n"/>
      <c r="H1542" s="16">
        <f>IF($A1542="","",$D1542+IF($E1542="",0,$E1542)+IF($F1542="",0,$F1542)-IF($G1542="",0,$G1542))</f>
        <v/>
      </c>
      <c r="I1542" s="12" t="n"/>
      <c r="J1542" s="12" t="n"/>
      <c r="K1542" s="12" t="n"/>
      <c r="L1542" s="14" t="n"/>
      <c r="M1542" s="12" t="n"/>
      <c r="N1542" s="12" t="n"/>
      <c r="O1542" s="12" t="n"/>
    </row>
    <row r="1543">
      <c r="A1543" s="12" t="n"/>
      <c r="B1543" s="13">
        <f>IF($A1543="","",IFERROR(INDEX(Emp_Names,MATCH($A1543,Emp_Codes,0)),"NOT FOUND"))</f>
        <v/>
      </c>
      <c r="C1543" s="14" t="n"/>
      <c r="D1543" s="15" t="n"/>
      <c r="E1543" s="15" t="n"/>
      <c r="F1543" s="15" t="n"/>
      <c r="G1543" s="15" t="n"/>
      <c r="H1543" s="16">
        <f>IF($A1543="","",$D1543+IF($E1543="",0,$E1543)+IF($F1543="",0,$F1543)-IF($G1543="",0,$G1543))</f>
        <v/>
      </c>
      <c r="I1543" s="12" t="n"/>
      <c r="J1543" s="12" t="n"/>
      <c r="K1543" s="12" t="n"/>
      <c r="L1543" s="14" t="n"/>
      <c r="M1543" s="12" t="n"/>
      <c r="N1543" s="12" t="n"/>
      <c r="O1543" s="12" t="n"/>
    </row>
    <row r="1544">
      <c r="A1544" s="12" t="n"/>
      <c r="B1544" s="13">
        <f>IF($A1544="","",IFERROR(INDEX(Emp_Names,MATCH($A1544,Emp_Codes,0)),"NOT FOUND"))</f>
        <v/>
      </c>
      <c r="C1544" s="14" t="n"/>
      <c r="D1544" s="15" t="n"/>
      <c r="E1544" s="15" t="n"/>
      <c r="F1544" s="15" t="n"/>
      <c r="G1544" s="15" t="n"/>
      <c r="H1544" s="16">
        <f>IF($A1544="","",$D1544+IF($E1544="",0,$E1544)+IF($F1544="",0,$F1544)-IF($G1544="",0,$G1544))</f>
        <v/>
      </c>
      <c r="I1544" s="12" t="n"/>
      <c r="J1544" s="12" t="n"/>
      <c r="K1544" s="12" t="n"/>
      <c r="L1544" s="14" t="n"/>
      <c r="M1544" s="12" t="n"/>
      <c r="N1544" s="12" t="n"/>
      <c r="O1544" s="12" t="n"/>
    </row>
    <row r="1545">
      <c r="A1545" s="12" t="n"/>
      <c r="B1545" s="13">
        <f>IF($A1545="","",IFERROR(INDEX(Emp_Names,MATCH($A1545,Emp_Codes,0)),"NOT FOUND"))</f>
        <v/>
      </c>
      <c r="C1545" s="14" t="n"/>
      <c r="D1545" s="15" t="n"/>
      <c r="E1545" s="15" t="n"/>
      <c r="F1545" s="15" t="n"/>
      <c r="G1545" s="15" t="n"/>
      <c r="H1545" s="16">
        <f>IF($A1545="","",$D1545+IF($E1545="",0,$E1545)+IF($F1545="",0,$F1545)-IF($G1545="",0,$G1545))</f>
        <v/>
      </c>
      <c r="I1545" s="12" t="n"/>
      <c r="J1545" s="12" t="n"/>
      <c r="K1545" s="12" t="n"/>
      <c r="L1545" s="14" t="n"/>
      <c r="M1545" s="12" t="n"/>
      <c r="N1545" s="12" t="n"/>
      <c r="O1545" s="12" t="n"/>
    </row>
    <row r="1546">
      <c r="A1546" s="12" t="n"/>
      <c r="B1546" s="13">
        <f>IF($A1546="","",IFERROR(INDEX(Emp_Names,MATCH($A1546,Emp_Codes,0)),"NOT FOUND"))</f>
        <v/>
      </c>
      <c r="C1546" s="14" t="n"/>
      <c r="D1546" s="15" t="n"/>
      <c r="E1546" s="15" t="n"/>
      <c r="F1546" s="15" t="n"/>
      <c r="G1546" s="15" t="n"/>
      <c r="H1546" s="16">
        <f>IF($A1546="","",$D1546+IF($E1546="",0,$E1546)+IF($F1546="",0,$F1546)-IF($G1546="",0,$G1546))</f>
        <v/>
      </c>
      <c r="I1546" s="12" t="n"/>
      <c r="J1546" s="12" t="n"/>
      <c r="K1546" s="12" t="n"/>
      <c r="L1546" s="14" t="n"/>
      <c r="M1546" s="12" t="n"/>
      <c r="N1546" s="12" t="n"/>
      <c r="O1546" s="12" t="n"/>
    </row>
    <row r="1547">
      <c r="A1547" s="12" t="n"/>
      <c r="B1547" s="13">
        <f>IF($A1547="","",IFERROR(INDEX(Emp_Names,MATCH($A1547,Emp_Codes,0)),"NOT FOUND"))</f>
        <v/>
      </c>
      <c r="C1547" s="14" t="n"/>
      <c r="D1547" s="15" t="n"/>
      <c r="E1547" s="15" t="n"/>
      <c r="F1547" s="15" t="n"/>
      <c r="G1547" s="15" t="n"/>
      <c r="H1547" s="16">
        <f>IF($A1547="","",$D1547+IF($E1547="",0,$E1547)+IF($F1547="",0,$F1547)-IF($G1547="",0,$G1547))</f>
        <v/>
      </c>
      <c r="I1547" s="12" t="n"/>
      <c r="J1547" s="12" t="n"/>
      <c r="K1547" s="12" t="n"/>
      <c r="L1547" s="14" t="n"/>
      <c r="M1547" s="12" t="n"/>
      <c r="N1547" s="12" t="n"/>
      <c r="O1547" s="12" t="n"/>
    </row>
    <row r="1548">
      <c r="A1548" s="12" t="n"/>
      <c r="B1548" s="13">
        <f>IF($A1548="","",IFERROR(INDEX(Emp_Names,MATCH($A1548,Emp_Codes,0)),"NOT FOUND"))</f>
        <v/>
      </c>
      <c r="C1548" s="14" t="n"/>
      <c r="D1548" s="15" t="n"/>
      <c r="E1548" s="15" t="n"/>
      <c r="F1548" s="15" t="n"/>
      <c r="G1548" s="15" t="n"/>
      <c r="H1548" s="16">
        <f>IF($A1548="","",$D1548+IF($E1548="",0,$E1548)+IF($F1548="",0,$F1548)-IF($G1548="",0,$G1548))</f>
        <v/>
      </c>
      <c r="I1548" s="12" t="n"/>
      <c r="J1548" s="12" t="n"/>
      <c r="K1548" s="12" t="n"/>
      <c r="L1548" s="14" t="n"/>
      <c r="M1548" s="12" t="n"/>
      <c r="N1548" s="12" t="n"/>
      <c r="O1548" s="12" t="n"/>
    </row>
    <row r="1549">
      <c r="A1549" s="12" t="n"/>
      <c r="B1549" s="13">
        <f>IF($A1549="","",IFERROR(INDEX(Emp_Names,MATCH($A1549,Emp_Codes,0)),"NOT FOUND"))</f>
        <v/>
      </c>
      <c r="C1549" s="14" t="n"/>
      <c r="D1549" s="15" t="n"/>
      <c r="E1549" s="15" t="n"/>
      <c r="F1549" s="15" t="n"/>
      <c r="G1549" s="15" t="n"/>
      <c r="H1549" s="16">
        <f>IF($A1549="","",$D1549+IF($E1549="",0,$E1549)+IF($F1549="",0,$F1549)-IF($G1549="",0,$G1549))</f>
        <v/>
      </c>
      <c r="I1549" s="12" t="n"/>
      <c r="J1549" s="12" t="n"/>
      <c r="K1549" s="12" t="n"/>
      <c r="L1549" s="14" t="n"/>
      <c r="M1549" s="12" t="n"/>
      <c r="N1549" s="12" t="n"/>
      <c r="O1549" s="12" t="n"/>
    </row>
    <row r="1550">
      <c r="A1550" s="12" t="n"/>
      <c r="B1550" s="13">
        <f>IF($A1550="","",IFERROR(INDEX(Emp_Names,MATCH($A1550,Emp_Codes,0)),"NOT FOUND"))</f>
        <v/>
      </c>
      <c r="C1550" s="14" t="n"/>
      <c r="D1550" s="15" t="n"/>
      <c r="E1550" s="15" t="n"/>
      <c r="F1550" s="15" t="n"/>
      <c r="G1550" s="15" t="n"/>
      <c r="H1550" s="16">
        <f>IF($A1550="","",$D1550+IF($E1550="",0,$E1550)+IF($F1550="",0,$F1550)-IF($G1550="",0,$G1550))</f>
        <v/>
      </c>
      <c r="I1550" s="12" t="n"/>
      <c r="J1550" s="12" t="n"/>
      <c r="K1550" s="12" t="n"/>
      <c r="L1550" s="14" t="n"/>
      <c r="M1550" s="12" t="n"/>
      <c r="N1550" s="12" t="n"/>
      <c r="O1550" s="12" t="n"/>
    </row>
    <row r="1551">
      <c r="A1551" s="12" t="n"/>
      <c r="B1551" s="13">
        <f>IF($A1551="","",IFERROR(INDEX(Emp_Names,MATCH($A1551,Emp_Codes,0)),"NOT FOUND"))</f>
        <v/>
      </c>
      <c r="C1551" s="14" t="n"/>
      <c r="D1551" s="15" t="n"/>
      <c r="E1551" s="15" t="n"/>
      <c r="F1551" s="15" t="n"/>
      <c r="G1551" s="15" t="n"/>
      <c r="H1551" s="16">
        <f>IF($A1551="","",$D1551+IF($E1551="",0,$E1551)+IF($F1551="",0,$F1551)-IF($G1551="",0,$G1551))</f>
        <v/>
      </c>
      <c r="I1551" s="12" t="n"/>
      <c r="J1551" s="12" t="n"/>
      <c r="K1551" s="12" t="n"/>
      <c r="L1551" s="14" t="n"/>
      <c r="M1551" s="12" t="n"/>
      <c r="N1551" s="12" t="n"/>
      <c r="O1551" s="12" t="n"/>
    </row>
    <row r="1552">
      <c r="A1552" s="12" t="n"/>
      <c r="B1552" s="13">
        <f>IF($A1552="","",IFERROR(INDEX(Emp_Names,MATCH($A1552,Emp_Codes,0)),"NOT FOUND"))</f>
        <v/>
      </c>
      <c r="C1552" s="14" t="n"/>
      <c r="D1552" s="15" t="n"/>
      <c r="E1552" s="15" t="n"/>
      <c r="F1552" s="15" t="n"/>
      <c r="G1552" s="15" t="n"/>
      <c r="H1552" s="16">
        <f>IF($A1552="","",$D1552+IF($E1552="",0,$E1552)+IF($F1552="",0,$F1552)-IF($G1552="",0,$G1552))</f>
        <v/>
      </c>
      <c r="I1552" s="12" t="n"/>
      <c r="J1552" s="12" t="n"/>
      <c r="K1552" s="12" t="n"/>
      <c r="L1552" s="14" t="n"/>
      <c r="M1552" s="12" t="n"/>
      <c r="N1552" s="12" t="n"/>
      <c r="O1552" s="12" t="n"/>
    </row>
    <row r="1553">
      <c r="A1553" s="12" t="n"/>
      <c r="B1553" s="13">
        <f>IF($A1553="","",IFERROR(INDEX(Emp_Names,MATCH($A1553,Emp_Codes,0)),"NOT FOUND"))</f>
        <v/>
      </c>
      <c r="C1553" s="14" t="n"/>
      <c r="D1553" s="15" t="n"/>
      <c r="E1553" s="15" t="n"/>
      <c r="F1553" s="15" t="n"/>
      <c r="G1553" s="15" t="n"/>
      <c r="H1553" s="16">
        <f>IF($A1553="","",$D1553+IF($E1553="",0,$E1553)+IF($F1553="",0,$F1553)-IF($G1553="",0,$G1553))</f>
        <v/>
      </c>
      <c r="I1553" s="12" t="n"/>
      <c r="J1553" s="12" t="n"/>
      <c r="K1553" s="12" t="n"/>
      <c r="L1553" s="14" t="n"/>
      <c r="M1553" s="12" t="n"/>
      <c r="N1553" s="12" t="n"/>
      <c r="O1553" s="12" t="n"/>
    </row>
    <row r="1554">
      <c r="A1554" s="12" t="n"/>
      <c r="B1554" s="13">
        <f>IF($A1554="","",IFERROR(INDEX(Emp_Names,MATCH($A1554,Emp_Codes,0)),"NOT FOUND"))</f>
        <v/>
      </c>
      <c r="C1554" s="14" t="n"/>
      <c r="D1554" s="15" t="n"/>
      <c r="E1554" s="15" t="n"/>
      <c r="F1554" s="15" t="n"/>
      <c r="G1554" s="15" t="n"/>
      <c r="H1554" s="16">
        <f>IF($A1554="","",$D1554+IF($E1554="",0,$E1554)+IF($F1554="",0,$F1554)-IF($G1554="",0,$G1554))</f>
        <v/>
      </c>
      <c r="I1554" s="12" t="n"/>
      <c r="J1554" s="12" t="n"/>
      <c r="K1554" s="12" t="n"/>
      <c r="L1554" s="14" t="n"/>
      <c r="M1554" s="12" t="n"/>
      <c r="N1554" s="12" t="n"/>
      <c r="O1554" s="12" t="n"/>
    </row>
    <row r="1555">
      <c r="A1555" s="12" t="n"/>
      <c r="B1555" s="13">
        <f>IF($A1555="","",IFERROR(INDEX(Emp_Names,MATCH($A1555,Emp_Codes,0)),"NOT FOUND"))</f>
        <v/>
      </c>
      <c r="C1555" s="14" t="n"/>
      <c r="D1555" s="15" t="n"/>
      <c r="E1555" s="15" t="n"/>
      <c r="F1555" s="15" t="n"/>
      <c r="G1555" s="15" t="n"/>
      <c r="H1555" s="16">
        <f>IF($A1555="","",$D1555+IF($E1555="",0,$E1555)+IF($F1555="",0,$F1555)-IF($G1555="",0,$G1555))</f>
        <v/>
      </c>
      <c r="I1555" s="12" t="n"/>
      <c r="J1555" s="12" t="n"/>
      <c r="K1555" s="12" t="n"/>
      <c r="L1555" s="14" t="n"/>
      <c r="M1555" s="12" t="n"/>
      <c r="N1555" s="12" t="n"/>
      <c r="O1555" s="12" t="n"/>
    </row>
    <row r="1556">
      <c r="A1556" s="12" t="n"/>
      <c r="B1556" s="13">
        <f>IF($A1556="","",IFERROR(INDEX(Emp_Names,MATCH($A1556,Emp_Codes,0)),"NOT FOUND"))</f>
        <v/>
      </c>
      <c r="C1556" s="14" t="n"/>
      <c r="D1556" s="15" t="n"/>
      <c r="E1556" s="15" t="n"/>
      <c r="F1556" s="15" t="n"/>
      <c r="G1556" s="15" t="n"/>
      <c r="H1556" s="16">
        <f>IF($A1556="","",$D1556+IF($E1556="",0,$E1556)+IF($F1556="",0,$F1556)-IF($G1556="",0,$G1556))</f>
        <v/>
      </c>
      <c r="I1556" s="12" t="n"/>
      <c r="J1556" s="12" t="n"/>
      <c r="K1556" s="12" t="n"/>
      <c r="L1556" s="14" t="n"/>
      <c r="M1556" s="12" t="n"/>
      <c r="N1556" s="12" t="n"/>
      <c r="O1556" s="12" t="n"/>
    </row>
    <row r="1557">
      <c r="A1557" s="12" t="n"/>
      <c r="B1557" s="13">
        <f>IF($A1557="","",IFERROR(INDEX(Emp_Names,MATCH($A1557,Emp_Codes,0)),"NOT FOUND"))</f>
        <v/>
      </c>
      <c r="C1557" s="14" t="n"/>
      <c r="D1557" s="15" t="n"/>
      <c r="E1557" s="15" t="n"/>
      <c r="F1557" s="15" t="n"/>
      <c r="G1557" s="15" t="n"/>
      <c r="H1557" s="16">
        <f>IF($A1557="","",$D1557+IF($E1557="",0,$E1557)+IF($F1557="",0,$F1557)-IF($G1557="",0,$G1557))</f>
        <v/>
      </c>
      <c r="I1557" s="12" t="n"/>
      <c r="J1557" s="12" t="n"/>
      <c r="K1557" s="12" t="n"/>
      <c r="L1557" s="14" t="n"/>
      <c r="M1557" s="12" t="n"/>
      <c r="N1557" s="12" t="n"/>
      <c r="O1557" s="12" t="n"/>
    </row>
    <row r="1558">
      <c r="A1558" s="12" t="n"/>
      <c r="B1558" s="13">
        <f>IF($A1558="","",IFERROR(INDEX(Emp_Names,MATCH($A1558,Emp_Codes,0)),"NOT FOUND"))</f>
        <v/>
      </c>
      <c r="C1558" s="14" t="n"/>
      <c r="D1558" s="15" t="n"/>
      <c r="E1558" s="15" t="n"/>
      <c r="F1558" s="15" t="n"/>
      <c r="G1558" s="15" t="n"/>
      <c r="H1558" s="16">
        <f>IF($A1558="","",$D1558+IF($E1558="",0,$E1558)+IF($F1558="",0,$F1558)-IF($G1558="",0,$G1558))</f>
        <v/>
      </c>
      <c r="I1558" s="12" t="n"/>
      <c r="J1558" s="12" t="n"/>
      <c r="K1558" s="12" t="n"/>
      <c r="L1558" s="14" t="n"/>
      <c r="M1558" s="12" t="n"/>
      <c r="N1558" s="12" t="n"/>
      <c r="O1558" s="12" t="n"/>
    </row>
    <row r="1559">
      <c r="A1559" s="12" t="n"/>
      <c r="B1559" s="13">
        <f>IF($A1559="","",IFERROR(INDEX(Emp_Names,MATCH($A1559,Emp_Codes,0)),"NOT FOUND"))</f>
        <v/>
      </c>
      <c r="C1559" s="14" t="n"/>
      <c r="D1559" s="15" t="n"/>
      <c r="E1559" s="15" t="n"/>
      <c r="F1559" s="15" t="n"/>
      <c r="G1559" s="15" t="n"/>
      <c r="H1559" s="16">
        <f>IF($A1559="","",$D1559+IF($E1559="",0,$E1559)+IF($F1559="",0,$F1559)-IF($G1559="",0,$G1559))</f>
        <v/>
      </c>
      <c r="I1559" s="12" t="n"/>
      <c r="J1559" s="12" t="n"/>
      <c r="K1559" s="12" t="n"/>
      <c r="L1559" s="14" t="n"/>
      <c r="M1559" s="12" t="n"/>
      <c r="N1559" s="12" t="n"/>
      <c r="O1559" s="12" t="n"/>
    </row>
    <row r="1560">
      <c r="A1560" s="12" t="n"/>
      <c r="B1560" s="13">
        <f>IF($A1560="","",IFERROR(INDEX(Emp_Names,MATCH($A1560,Emp_Codes,0)),"NOT FOUND"))</f>
        <v/>
      </c>
      <c r="C1560" s="14" t="n"/>
      <c r="D1560" s="15" t="n"/>
      <c r="E1560" s="15" t="n"/>
      <c r="F1560" s="15" t="n"/>
      <c r="G1560" s="15" t="n"/>
      <c r="H1560" s="16">
        <f>IF($A1560="","",$D1560+IF($E1560="",0,$E1560)+IF($F1560="",0,$F1560)-IF($G1560="",0,$G1560))</f>
        <v/>
      </c>
      <c r="I1560" s="12" t="n"/>
      <c r="J1560" s="12" t="n"/>
      <c r="K1560" s="12" t="n"/>
      <c r="L1560" s="14" t="n"/>
      <c r="M1560" s="12" t="n"/>
      <c r="N1560" s="12" t="n"/>
      <c r="O1560" s="12" t="n"/>
    </row>
    <row r="1561">
      <c r="A1561" s="12" t="n"/>
      <c r="B1561" s="13">
        <f>IF($A1561="","",IFERROR(INDEX(Emp_Names,MATCH($A1561,Emp_Codes,0)),"NOT FOUND"))</f>
        <v/>
      </c>
      <c r="C1561" s="14" t="n"/>
      <c r="D1561" s="15" t="n"/>
      <c r="E1561" s="15" t="n"/>
      <c r="F1561" s="15" t="n"/>
      <c r="G1561" s="15" t="n"/>
      <c r="H1561" s="16">
        <f>IF($A1561="","",$D1561+IF($E1561="",0,$E1561)+IF($F1561="",0,$F1561)-IF($G1561="",0,$G1561))</f>
        <v/>
      </c>
      <c r="I1561" s="12" t="n"/>
      <c r="J1561" s="12" t="n"/>
      <c r="K1561" s="12" t="n"/>
      <c r="L1561" s="14" t="n"/>
      <c r="M1561" s="12" t="n"/>
      <c r="N1561" s="12" t="n"/>
      <c r="O1561" s="12" t="n"/>
    </row>
    <row r="1562">
      <c r="A1562" s="12" t="n"/>
      <c r="B1562" s="13">
        <f>IF($A1562="","",IFERROR(INDEX(Emp_Names,MATCH($A1562,Emp_Codes,0)),"NOT FOUND"))</f>
        <v/>
      </c>
      <c r="C1562" s="14" t="n"/>
      <c r="D1562" s="15" t="n"/>
      <c r="E1562" s="15" t="n"/>
      <c r="F1562" s="15" t="n"/>
      <c r="G1562" s="15" t="n"/>
      <c r="H1562" s="16">
        <f>IF($A1562="","",$D1562+IF($E1562="",0,$E1562)+IF($F1562="",0,$F1562)-IF($G1562="",0,$G1562))</f>
        <v/>
      </c>
      <c r="I1562" s="12" t="n"/>
      <c r="J1562" s="12" t="n"/>
      <c r="K1562" s="12" t="n"/>
      <c r="L1562" s="14" t="n"/>
      <c r="M1562" s="12" t="n"/>
      <c r="N1562" s="12" t="n"/>
      <c r="O1562" s="12" t="n"/>
    </row>
    <row r="1563">
      <c r="A1563" s="12" t="n"/>
      <c r="B1563" s="13">
        <f>IF($A1563="","",IFERROR(INDEX(Emp_Names,MATCH($A1563,Emp_Codes,0)),"NOT FOUND"))</f>
        <v/>
      </c>
      <c r="C1563" s="14" t="n"/>
      <c r="D1563" s="15" t="n"/>
      <c r="E1563" s="15" t="n"/>
      <c r="F1563" s="15" t="n"/>
      <c r="G1563" s="15" t="n"/>
      <c r="H1563" s="16">
        <f>IF($A1563="","",$D1563+IF($E1563="",0,$E1563)+IF($F1563="",0,$F1563)-IF($G1563="",0,$G1563))</f>
        <v/>
      </c>
      <c r="I1563" s="12" t="n"/>
      <c r="J1563" s="12" t="n"/>
      <c r="K1563" s="12" t="n"/>
      <c r="L1563" s="14" t="n"/>
      <c r="M1563" s="12" t="n"/>
      <c r="N1563" s="12" t="n"/>
      <c r="O1563" s="12" t="n"/>
    </row>
    <row r="1564">
      <c r="A1564" s="12" t="n"/>
      <c r="B1564" s="13">
        <f>IF($A1564="","",IFERROR(INDEX(Emp_Names,MATCH($A1564,Emp_Codes,0)),"NOT FOUND"))</f>
        <v/>
      </c>
      <c r="C1564" s="14" t="n"/>
      <c r="D1564" s="15" t="n"/>
      <c r="E1564" s="15" t="n"/>
      <c r="F1564" s="15" t="n"/>
      <c r="G1564" s="15" t="n"/>
      <c r="H1564" s="16">
        <f>IF($A1564="","",$D1564+IF($E1564="",0,$E1564)+IF($F1564="",0,$F1564)-IF($G1564="",0,$G1564))</f>
        <v/>
      </c>
      <c r="I1564" s="12" t="n"/>
      <c r="J1564" s="12" t="n"/>
      <c r="K1564" s="12" t="n"/>
      <c r="L1564" s="14" t="n"/>
      <c r="M1564" s="12" t="n"/>
      <c r="N1564" s="12" t="n"/>
      <c r="O1564" s="12" t="n"/>
    </row>
    <row r="1565">
      <c r="A1565" s="12" t="n"/>
      <c r="B1565" s="13">
        <f>IF($A1565="","",IFERROR(INDEX(Emp_Names,MATCH($A1565,Emp_Codes,0)),"NOT FOUND"))</f>
        <v/>
      </c>
      <c r="C1565" s="14" t="n"/>
      <c r="D1565" s="15" t="n"/>
      <c r="E1565" s="15" t="n"/>
      <c r="F1565" s="15" t="n"/>
      <c r="G1565" s="15" t="n"/>
      <c r="H1565" s="16">
        <f>IF($A1565="","",$D1565+IF($E1565="",0,$E1565)+IF($F1565="",0,$F1565)-IF($G1565="",0,$G1565))</f>
        <v/>
      </c>
      <c r="I1565" s="12" t="n"/>
      <c r="J1565" s="12" t="n"/>
      <c r="K1565" s="12" t="n"/>
      <c r="L1565" s="14" t="n"/>
      <c r="M1565" s="12" t="n"/>
      <c r="N1565" s="12" t="n"/>
      <c r="O1565" s="12" t="n"/>
    </row>
    <row r="1566">
      <c r="A1566" s="12" t="n"/>
      <c r="B1566" s="13">
        <f>IF($A1566="","",IFERROR(INDEX(Emp_Names,MATCH($A1566,Emp_Codes,0)),"NOT FOUND"))</f>
        <v/>
      </c>
      <c r="C1566" s="14" t="n"/>
      <c r="D1566" s="15" t="n"/>
      <c r="E1566" s="15" t="n"/>
      <c r="F1566" s="15" t="n"/>
      <c r="G1566" s="15" t="n"/>
      <c r="H1566" s="16">
        <f>IF($A1566="","",$D1566+IF($E1566="",0,$E1566)+IF($F1566="",0,$F1566)-IF($G1566="",0,$G1566))</f>
        <v/>
      </c>
      <c r="I1566" s="12" t="n"/>
      <c r="J1566" s="12" t="n"/>
      <c r="K1566" s="12" t="n"/>
      <c r="L1566" s="14" t="n"/>
      <c r="M1566" s="12" t="n"/>
      <c r="N1566" s="12" t="n"/>
      <c r="O1566" s="12" t="n"/>
    </row>
    <row r="1567">
      <c r="A1567" s="12" t="n"/>
      <c r="B1567" s="13">
        <f>IF($A1567="","",IFERROR(INDEX(Emp_Names,MATCH($A1567,Emp_Codes,0)),"NOT FOUND"))</f>
        <v/>
      </c>
      <c r="C1567" s="14" t="n"/>
      <c r="D1567" s="15" t="n"/>
      <c r="E1567" s="15" t="n"/>
      <c r="F1567" s="15" t="n"/>
      <c r="G1567" s="15" t="n"/>
      <c r="H1567" s="16">
        <f>IF($A1567="","",$D1567+IF($E1567="",0,$E1567)+IF($F1567="",0,$F1567)-IF($G1567="",0,$G1567))</f>
        <v/>
      </c>
      <c r="I1567" s="12" t="n"/>
      <c r="J1567" s="12" t="n"/>
      <c r="K1567" s="12" t="n"/>
      <c r="L1567" s="14" t="n"/>
      <c r="M1567" s="12" t="n"/>
      <c r="N1567" s="12" t="n"/>
      <c r="O1567" s="12" t="n"/>
    </row>
    <row r="1568">
      <c r="A1568" s="12" t="n"/>
      <c r="B1568" s="13">
        <f>IF($A1568="","",IFERROR(INDEX(Emp_Names,MATCH($A1568,Emp_Codes,0)),"NOT FOUND"))</f>
        <v/>
      </c>
      <c r="C1568" s="14" t="n"/>
      <c r="D1568" s="15" t="n"/>
      <c r="E1568" s="15" t="n"/>
      <c r="F1568" s="15" t="n"/>
      <c r="G1568" s="15" t="n"/>
      <c r="H1568" s="16">
        <f>IF($A1568="","",$D1568+IF($E1568="",0,$E1568)+IF($F1568="",0,$F1568)-IF($G1568="",0,$G1568))</f>
        <v/>
      </c>
      <c r="I1568" s="12" t="n"/>
      <c r="J1568" s="12" t="n"/>
      <c r="K1568" s="12" t="n"/>
      <c r="L1568" s="14" t="n"/>
      <c r="M1568" s="12" t="n"/>
      <c r="N1568" s="12" t="n"/>
      <c r="O1568" s="12" t="n"/>
    </row>
    <row r="1569">
      <c r="A1569" s="12" t="n"/>
      <c r="B1569" s="13">
        <f>IF($A1569="","",IFERROR(INDEX(Emp_Names,MATCH($A1569,Emp_Codes,0)),"NOT FOUND"))</f>
        <v/>
      </c>
      <c r="C1569" s="14" t="n"/>
      <c r="D1569" s="15" t="n"/>
      <c r="E1569" s="15" t="n"/>
      <c r="F1569" s="15" t="n"/>
      <c r="G1569" s="15" t="n"/>
      <c r="H1569" s="16">
        <f>IF($A1569="","",$D1569+IF($E1569="",0,$E1569)+IF($F1569="",0,$F1569)-IF($G1569="",0,$G1569))</f>
        <v/>
      </c>
      <c r="I1569" s="12" t="n"/>
      <c r="J1569" s="12" t="n"/>
      <c r="K1569" s="12" t="n"/>
      <c r="L1569" s="14" t="n"/>
      <c r="M1569" s="12" t="n"/>
      <c r="N1569" s="12" t="n"/>
      <c r="O1569" s="12" t="n"/>
    </row>
    <row r="1570">
      <c r="A1570" s="12" t="n"/>
      <c r="B1570" s="13">
        <f>IF($A1570="","",IFERROR(INDEX(Emp_Names,MATCH($A1570,Emp_Codes,0)),"NOT FOUND"))</f>
        <v/>
      </c>
      <c r="C1570" s="14" t="n"/>
      <c r="D1570" s="15" t="n"/>
      <c r="E1570" s="15" t="n"/>
      <c r="F1570" s="15" t="n"/>
      <c r="G1570" s="15" t="n"/>
      <c r="H1570" s="16">
        <f>IF($A1570="","",$D1570+IF($E1570="",0,$E1570)+IF($F1570="",0,$F1570)-IF($G1570="",0,$G1570))</f>
        <v/>
      </c>
      <c r="I1570" s="12" t="n"/>
      <c r="J1570" s="12" t="n"/>
      <c r="K1570" s="12" t="n"/>
      <c r="L1570" s="14" t="n"/>
      <c r="M1570" s="12" t="n"/>
      <c r="N1570" s="12" t="n"/>
      <c r="O1570" s="12" t="n"/>
    </row>
    <row r="1571">
      <c r="A1571" s="12" t="n"/>
      <c r="B1571" s="13">
        <f>IF($A1571="","",IFERROR(INDEX(Emp_Names,MATCH($A1571,Emp_Codes,0)),"NOT FOUND"))</f>
        <v/>
      </c>
      <c r="C1571" s="14" t="n"/>
      <c r="D1571" s="15" t="n"/>
      <c r="E1571" s="15" t="n"/>
      <c r="F1571" s="15" t="n"/>
      <c r="G1571" s="15" t="n"/>
      <c r="H1571" s="16">
        <f>IF($A1571="","",$D1571+IF($E1571="",0,$E1571)+IF($F1571="",0,$F1571)-IF($G1571="",0,$G1571))</f>
        <v/>
      </c>
      <c r="I1571" s="12" t="n"/>
      <c r="J1571" s="12" t="n"/>
      <c r="K1571" s="12" t="n"/>
      <c r="L1571" s="14" t="n"/>
      <c r="M1571" s="12" t="n"/>
      <c r="N1571" s="12" t="n"/>
      <c r="O1571" s="12" t="n"/>
    </row>
    <row r="1572">
      <c r="A1572" s="12" t="n"/>
      <c r="B1572" s="13">
        <f>IF($A1572="","",IFERROR(INDEX(Emp_Names,MATCH($A1572,Emp_Codes,0)),"NOT FOUND"))</f>
        <v/>
      </c>
      <c r="C1572" s="14" t="n"/>
      <c r="D1572" s="15" t="n"/>
      <c r="E1572" s="15" t="n"/>
      <c r="F1572" s="15" t="n"/>
      <c r="G1572" s="15" t="n"/>
      <c r="H1572" s="16">
        <f>IF($A1572="","",$D1572+IF($E1572="",0,$E1572)+IF($F1572="",0,$F1572)-IF($G1572="",0,$G1572))</f>
        <v/>
      </c>
      <c r="I1572" s="12" t="n"/>
      <c r="J1572" s="12" t="n"/>
      <c r="K1572" s="12" t="n"/>
      <c r="L1572" s="14" t="n"/>
      <c r="M1572" s="12" t="n"/>
      <c r="N1572" s="12" t="n"/>
      <c r="O1572" s="12" t="n"/>
    </row>
    <row r="1573">
      <c r="A1573" s="12" t="n"/>
      <c r="B1573" s="13">
        <f>IF($A1573="","",IFERROR(INDEX(Emp_Names,MATCH($A1573,Emp_Codes,0)),"NOT FOUND"))</f>
        <v/>
      </c>
      <c r="C1573" s="14" t="n"/>
      <c r="D1573" s="15" t="n"/>
      <c r="E1573" s="15" t="n"/>
      <c r="F1573" s="15" t="n"/>
      <c r="G1573" s="15" t="n"/>
      <c r="H1573" s="16">
        <f>IF($A1573="","",$D1573+IF($E1573="",0,$E1573)+IF($F1573="",0,$F1573)-IF($G1573="",0,$G1573))</f>
        <v/>
      </c>
      <c r="I1573" s="12" t="n"/>
      <c r="J1573" s="12" t="n"/>
      <c r="K1573" s="12" t="n"/>
      <c r="L1573" s="14" t="n"/>
      <c r="M1573" s="12" t="n"/>
      <c r="N1573" s="12" t="n"/>
      <c r="O1573" s="12" t="n"/>
    </row>
    <row r="1574">
      <c r="A1574" s="12" t="n"/>
      <c r="B1574" s="13">
        <f>IF($A1574="","",IFERROR(INDEX(Emp_Names,MATCH($A1574,Emp_Codes,0)),"NOT FOUND"))</f>
        <v/>
      </c>
      <c r="C1574" s="14" t="n"/>
      <c r="D1574" s="15" t="n"/>
      <c r="E1574" s="15" t="n"/>
      <c r="F1574" s="15" t="n"/>
      <c r="G1574" s="15" t="n"/>
      <c r="H1574" s="16">
        <f>IF($A1574="","",$D1574+IF($E1574="",0,$E1574)+IF($F1574="",0,$F1574)-IF($G1574="",0,$G1574))</f>
        <v/>
      </c>
      <c r="I1574" s="12" t="n"/>
      <c r="J1574" s="12" t="n"/>
      <c r="K1574" s="12" t="n"/>
      <c r="L1574" s="14" t="n"/>
      <c r="M1574" s="12" t="n"/>
      <c r="N1574" s="12" t="n"/>
      <c r="O1574" s="12" t="n"/>
    </row>
    <row r="1575">
      <c r="A1575" s="12" t="n"/>
      <c r="B1575" s="13">
        <f>IF($A1575="","",IFERROR(INDEX(Emp_Names,MATCH($A1575,Emp_Codes,0)),"NOT FOUND"))</f>
        <v/>
      </c>
      <c r="C1575" s="14" t="n"/>
      <c r="D1575" s="15" t="n"/>
      <c r="E1575" s="15" t="n"/>
      <c r="F1575" s="15" t="n"/>
      <c r="G1575" s="15" t="n"/>
      <c r="H1575" s="16">
        <f>IF($A1575="","",$D1575+IF($E1575="",0,$E1575)+IF($F1575="",0,$F1575)-IF($G1575="",0,$G1575))</f>
        <v/>
      </c>
      <c r="I1575" s="12" t="n"/>
      <c r="J1575" s="12" t="n"/>
      <c r="K1575" s="12" t="n"/>
      <c r="L1575" s="14" t="n"/>
      <c r="M1575" s="12" t="n"/>
      <c r="N1575" s="12" t="n"/>
      <c r="O1575" s="12" t="n"/>
    </row>
    <row r="1576">
      <c r="A1576" s="12" t="n"/>
      <c r="B1576" s="13">
        <f>IF($A1576="","",IFERROR(INDEX(Emp_Names,MATCH($A1576,Emp_Codes,0)),"NOT FOUND"))</f>
        <v/>
      </c>
      <c r="C1576" s="14" t="n"/>
      <c r="D1576" s="15" t="n"/>
      <c r="E1576" s="15" t="n"/>
      <c r="F1576" s="15" t="n"/>
      <c r="G1576" s="15" t="n"/>
      <c r="H1576" s="16">
        <f>IF($A1576="","",$D1576+IF($E1576="",0,$E1576)+IF($F1576="",0,$F1576)-IF($G1576="",0,$G1576))</f>
        <v/>
      </c>
      <c r="I1576" s="12" t="n"/>
      <c r="J1576" s="12" t="n"/>
      <c r="K1576" s="12" t="n"/>
      <c r="L1576" s="14" t="n"/>
      <c r="M1576" s="12" t="n"/>
      <c r="N1576" s="12" t="n"/>
      <c r="O1576" s="12" t="n"/>
    </row>
    <row r="1577">
      <c r="A1577" s="12" t="n"/>
      <c r="B1577" s="13">
        <f>IF($A1577="","",IFERROR(INDEX(Emp_Names,MATCH($A1577,Emp_Codes,0)),"NOT FOUND"))</f>
        <v/>
      </c>
      <c r="C1577" s="14" t="n"/>
      <c r="D1577" s="15" t="n"/>
      <c r="E1577" s="15" t="n"/>
      <c r="F1577" s="15" t="n"/>
      <c r="G1577" s="15" t="n"/>
      <c r="H1577" s="16">
        <f>IF($A1577="","",$D1577+IF($E1577="",0,$E1577)+IF($F1577="",0,$F1577)-IF($G1577="",0,$G1577))</f>
        <v/>
      </c>
      <c r="I1577" s="12" t="n"/>
      <c r="J1577" s="12" t="n"/>
      <c r="K1577" s="12" t="n"/>
      <c r="L1577" s="14" t="n"/>
      <c r="M1577" s="12" t="n"/>
      <c r="N1577" s="12" t="n"/>
      <c r="O1577" s="12" t="n"/>
    </row>
    <row r="1578">
      <c r="A1578" s="12" t="n"/>
      <c r="B1578" s="13">
        <f>IF($A1578="","",IFERROR(INDEX(Emp_Names,MATCH($A1578,Emp_Codes,0)),"NOT FOUND"))</f>
        <v/>
      </c>
      <c r="C1578" s="14" t="n"/>
      <c r="D1578" s="15" t="n"/>
      <c r="E1578" s="15" t="n"/>
      <c r="F1578" s="15" t="n"/>
      <c r="G1578" s="15" t="n"/>
      <c r="H1578" s="16">
        <f>IF($A1578="","",$D1578+IF($E1578="",0,$E1578)+IF($F1578="",0,$F1578)-IF($G1578="",0,$G1578))</f>
        <v/>
      </c>
      <c r="I1578" s="12" t="n"/>
      <c r="J1578" s="12" t="n"/>
      <c r="K1578" s="12" t="n"/>
      <c r="L1578" s="14" t="n"/>
      <c r="M1578" s="12" t="n"/>
      <c r="N1578" s="12" t="n"/>
      <c r="O1578" s="12" t="n"/>
    </row>
    <row r="1579">
      <c r="A1579" s="12" t="n"/>
      <c r="B1579" s="13">
        <f>IF($A1579="","",IFERROR(INDEX(Emp_Names,MATCH($A1579,Emp_Codes,0)),"NOT FOUND"))</f>
        <v/>
      </c>
      <c r="C1579" s="14" t="n"/>
      <c r="D1579" s="15" t="n"/>
      <c r="E1579" s="15" t="n"/>
      <c r="F1579" s="15" t="n"/>
      <c r="G1579" s="15" t="n"/>
      <c r="H1579" s="16">
        <f>IF($A1579="","",$D1579+IF($E1579="",0,$E1579)+IF($F1579="",0,$F1579)-IF($G1579="",0,$G1579))</f>
        <v/>
      </c>
      <c r="I1579" s="12" t="n"/>
      <c r="J1579" s="12" t="n"/>
      <c r="K1579" s="12" t="n"/>
      <c r="L1579" s="14" t="n"/>
      <c r="M1579" s="12" t="n"/>
      <c r="N1579" s="12" t="n"/>
      <c r="O1579" s="12" t="n"/>
    </row>
    <row r="1580">
      <c r="A1580" s="12" t="n"/>
      <c r="B1580" s="13">
        <f>IF($A1580="","",IFERROR(INDEX(Emp_Names,MATCH($A1580,Emp_Codes,0)),"NOT FOUND"))</f>
        <v/>
      </c>
      <c r="C1580" s="14" t="n"/>
      <c r="D1580" s="15" t="n"/>
      <c r="E1580" s="15" t="n"/>
      <c r="F1580" s="15" t="n"/>
      <c r="G1580" s="15" t="n"/>
      <c r="H1580" s="16">
        <f>IF($A1580="","",$D1580+IF($E1580="",0,$E1580)+IF($F1580="",0,$F1580)-IF($G1580="",0,$G1580))</f>
        <v/>
      </c>
      <c r="I1580" s="12" t="n"/>
      <c r="J1580" s="12" t="n"/>
      <c r="K1580" s="12" t="n"/>
      <c r="L1580" s="14" t="n"/>
      <c r="M1580" s="12" t="n"/>
      <c r="N1580" s="12" t="n"/>
      <c r="O1580" s="12" t="n"/>
    </row>
    <row r="1581">
      <c r="A1581" s="12" t="n"/>
      <c r="B1581" s="13">
        <f>IF($A1581="","",IFERROR(INDEX(Emp_Names,MATCH($A1581,Emp_Codes,0)),"NOT FOUND"))</f>
        <v/>
      </c>
      <c r="C1581" s="14" t="n"/>
      <c r="D1581" s="15" t="n"/>
      <c r="E1581" s="15" t="n"/>
      <c r="F1581" s="15" t="n"/>
      <c r="G1581" s="15" t="n"/>
      <c r="H1581" s="16">
        <f>IF($A1581="","",$D1581+IF($E1581="",0,$E1581)+IF($F1581="",0,$F1581)-IF($G1581="",0,$G1581))</f>
        <v/>
      </c>
      <c r="I1581" s="12" t="n"/>
      <c r="J1581" s="12" t="n"/>
      <c r="K1581" s="12" t="n"/>
      <c r="L1581" s="14" t="n"/>
      <c r="M1581" s="12" t="n"/>
      <c r="N1581" s="12" t="n"/>
      <c r="O1581" s="12" t="n"/>
    </row>
    <row r="1582">
      <c r="A1582" s="12" t="n"/>
      <c r="B1582" s="13">
        <f>IF($A1582="","",IFERROR(INDEX(Emp_Names,MATCH($A1582,Emp_Codes,0)),"NOT FOUND"))</f>
        <v/>
      </c>
      <c r="C1582" s="14" t="n"/>
      <c r="D1582" s="15" t="n"/>
      <c r="E1582" s="15" t="n"/>
      <c r="F1582" s="15" t="n"/>
      <c r="G1582" s="15" t="n"/>
      <c r="H1582" s="16">
        <f>IF($A1582="","",$D1582+IF($E1582="",0,$E1582)+IF($F1582="",0,$F1582)-IF($G1582="",0,$G1582))</f>
        <v/>
      </c>
      <c r="I1582" s="12" t="n"/>
      <c r="J1582" s="12" t="n"/>
      <c r="K1582" s="12" t="n"/>
      <c r="L1582" s="14" t="n"/>
      <c r="M1582" s="12" t="n"/>
      <c r="N1582" s="12" t="n"/>
      <c r="O1582" s="12" t="n"/>
    </row>
    <row r="1583">
      <c r="A1583" s="12" t="n"/>
      <c r="B1583" s="13">
        <f>IF($A1583="","",IFERROR(INDEX(Emp_Names,MATCH($A1583,Emp_Codes,0)),"NOT FOUND"))</f>
        <v/>
      </c>
      <c r="C1583" s="14" t="n"/>
      <c r="D1583" s="15" t="n"/>
      <c r="E1583" s="15" t="n"/>
      <c r="F1583" s="15" t="n"/>
      <c r="G1583" s="15" t="n"/>
      <c r="H1583" s="16">
        <f>IF($A1583="","",$D1583+IF($E1583="",0,$E1583)+IF($F1583="",0,$F1583)-IF($G1583="",0,$G1583))</f>
        <v/>
      </c>
      <c r="I1583" s="12" t="n"/>
      <c r="J1583" s="12" t="n"/>
      <c r="K1583" s="12" t="n"/>
      <c r="L1583" s="14" t="n"/>
      <c r="M1583" s="12" t="n"/>
      <c r="N1583" s="12" t="n"/>
      <c r="O1583" s="12" t="n"/>
    </row>
    <row r="1584">
      <c r="A1584" s="12" t="n"/>
      <c r="B1584" s="13">
        <f>IF($A1584="","",IFERROR(INDEX(Emp_Names,MATCH($A1584,Emp_Codes,0)),"NOT FOUND"))</f>
        <v/>
      </c>
      <c r="C1584" s="14" t="n"/>
      <c r="D1584" s="15" t="n"/>
      <c r="E1584" s="15" t="n"/>
      <c r="F1584" s="15" t="n"/>
      <c r="G1584" s="15" t="n"/>
      <c r="H1584" s="16">
        <f>IF($A1584="","",$D1584+IF($E1584="",0,$E1584)+IF($F1584="",0,$F1584)-IF($G1584="",0,$G1584))</f>
        <v/>
      </c>
      <c r="I1584" s="12" t="n"/>
      <c r="J1584" s="12" t="n"/>
      <c r="K1584" s="12" t="n"/>
      <c r="L1584" s="14" t="n"/>
      <c r="M1584" s="12" t="n"/>
      <c r="N1584" s="12" t="n"/>
      <c r="O1584" s="12" t="n"/>
    </row>
    <row r="1585">
      <c r="A1585" s="12" t="n"/>
      <c r="B1585" s="13">
        <f>IF($A1585="","",IFERROR(INDEX(Emp_Names,MATCH($A1585,Emp_Codes,0)),"NOT FOUND"))</f>
        <v/>
      </c>
      <c r="C1585" s="14" t="n"/>
      <c r="D1585" s="15" t="n"/>
      <c r="E1585" s="15" t="n"/>
      <c r="F1585" s="15" t="n"/>
      <c r="G1585" s="15" t="n"/>
      <c r="H1585" s="16">
        <f>IF($A1585="","",$D1585+IF($E1585="",0,$E1585)+IF($F1585="",0,$F1585)-IF($G1585="",0,$G1585))</f>
        <v/>
      </c>
      <c r="I1585" s="12" t="n"/>
      <c r="J1585" s="12" t="n"/>
      <c r="K1585" s="12" t="n"/>
      <c r="L1585" s="14" t="n"/>
      <c r="M1585" s="12" t="n"/>
      <c r="N1585" s="12" t="n"/>
      <c r="O1585" s="12" t="n"/>
    </row>
    <row r="1586">
      <c r="A1586" s="12" t="n"/>
      <c r="B1586" s="13">
        <f>IF($A1586="","",IFERROR(INDEX(Emp_Names,MATCH($A1586,Emp_Codes,0)),"NOT FOUND"))</f>
        <v/>
      </c>
      <c r="C1586" s="14" t="n"/>
      <c r="D1586" s="15" t="n"/>
      <c r="E1586" s="15" t="n"/>
      <c r="F1586" s="15" t="n"/>
      <c r="G1586" s="15" t="n"/>
      <c r="H1586" s="16">
        <f>IF($A1586="","",$D1586+IF($E1586="",0,$E1586)+IF($F1586="",0,$F1586)-IF($G1586="",0,$G1586))</f>
        <v/>
      </c>
      <c r="I1586" s="12" t="n"/>
      <c r="J1586" s="12" t="n"/>
      <c r="K1586" s="12" t="n"/>
      <c r="L1586" s="14" t="n"/>
      <c r="M1586" s="12" t="n"/>
      <c r="N1586" s="12" t="n"/>
      <c r="O1586" s="12" t="n"/>
    </row>
    <row r="1587">
      <c r="A1587" s="12" t="n"/>
      <c r="B1587" s="13">
        <f>IF($A1587="","",IFERROR(INDEX(Emp_Names,MATCH($A1587,Emp_Codes,0)),"NOT FOUND"))</f>
        <v/>
      </c>
      <c r="C1587" s="14" t="n"/>
      <c r="D1587" s="15" t="n"/>
      <c r="E1587" s="15" t="n"/>
      <c r="F1587" s="15" t="n"/>
      <c r="G1587" s="15" t="n"/>
      <c r="H1587" s="16">
        <f>IF($A1587="","",$D1587+IF($E1587="",0,$E1587)+IF($F1587="",0,$F1587)-IF($G1587="",0,$G1587))</f>
        <v/>
      </c>
      <c r="I1587" s="12" t="n"/>
      <c r="J1587" s="12" t="n"/>
      <c r="K1587" s="12" t="n"/>
      <c r="L1587" s="14" t="n"/>
      <c r="M1587" s="12" t="n"/>
      <c r="N1587" s="12" t="n"/>
      <c r="O1587" s="12" t="n"/>
    </row>
    <row r="1588">
      <c r="A1588" s="12" t="n"/>
      <c r="B1588" s="13">
        <f>IF($A1588="","",IFERROR(INDEX(Emp_Names,MATCH($A1588,Emp_Codes,0)),"NOT FOUND"))</f>
        <v/>
      </c>
      <c r="C1588" s="14" t="n"/>
      <c r="D1588" s="15" t="n"/>
      <c r="E1588" s="15" t="n"/>
      <c r="F1588" s="15" t="n"/>
      <c r="G1588" s="15" t="n"/>
      <c r="H1588" s="16">
        <f>IF($A1588="","",$D1588+IF($E1588="",0,$E1588)+IF($F1588="",0,$F1588)-IF($G1588="",0,$G1588))</f>
        <v/>
      </c>
      <c r="I1588" s="12" t="n"/>
      <c r="J1588" s="12" t="n"/>
      <c r="K1588" s="12" t="n"/>
      <c r="L1588" s="14" t="n"/>
      <c r="M1588" s="12" t="n"/>
      <c r="N1588" s="12" t="n"/>
      <c r="O1588" s="12" t="n"/>
    </row>
    <row r="1589">
      <c r="A1589" s="12" t="n"/>
      <c r="B1589" s="13">
        <f>IF($A1589="","",IFERROR(INDEX(Emp_Names,MATCH($A1589,Emp_Codes,0)),"NOT FOUND"))</f>
        <v/>
      </c>
      <c r="C1589" s="14" t="n"/>
      <c r="D1589" s="15" t="n"/>
      <c r="E1589" s="15" t="n"/>
      <c r="F1589" s="15" t="n"/>
      <c r="G1589" s="15" t="n"/>
      <c r="H1589" s="16">
        <f>IF($A1589="","",$D1589+IF($E1589="",0,$E1589)+IF($F1589="",0,$F1589)-IF($G1589="",0,$G1589))</f>
        <v/>
      </c>
      <c r="I1589" s="12" t="n"/>
      <c r="J1589" s="12" t="n"/>
      <c r="K1589" s="12" t="n"/>
      <c r="L1589" s="14" t="n"/>
      <c r="M1589" s="12" t="n"/>
      <c r="N1589" s="12" t="n"/>
      <c r="O1589" s="12" t="n"/>
    </row>
    <row r="1590">
      <c r="A1590" s="12" t="n"/>
      <c r="B1590" s="13">
        <f>IF($A1590="","",IFERROR(INDEX(Emp_Names,MATCH($A1590,Emp_Codes,0)),"NOT FOUND"))</f>
        <v/>
      </c>
      <c r="C1590" s="14" t="n"/>
      <c r="D1590" s="15" t="n"/>
      <c r="E1590" s="15" t="n"/>
      <c r="F1590" s="15" t="n"/>
      <c r="G1590" s="15" t="n"/>
      <c r="H1590" s="16">
        <f>IF($A1590="","",$D1590+IF($E1590="",0,$E1590)+IF($F1590="",0,$F1590)-IF($G1590="",0,$G1590))</f>
        <v/>
      </c>
      <c r="I1590" s="12" t="n"/>
      <c r="J1590" s="12" t="n"/>
      <c r="K1590" s="12" t="n"/>
      <c r="L1590" s="14" t="n"/>
      <c r="M1590" s="12" t="n"/>
      <c r="N1590" s="12" t="n"/>
      <c r="O1590" s="12" t="n"/>
    </row>
    <row r="1591">
      <c r="A1591" s="12" t="n"/>
      <c r="B1591" s="13">
        <f>IF($A1591="","",IFERROR(INDEX(Emp_Names,MATCH($A1591,Emp_Codes,0)),"NOT FOUND"))</f>
        <v/>
      </c>
      <c r="C1591" s="14" t="n"/>
      <c r="D1591" s="15" t="n"/>
      <c r="E1591" s="15" t="n"/>
      <c r="F1591" s="15" t="n"/>
      <c r="G1591" s="15" t="n"/>
      <c r="H1591" s="16">
        <f>IF($A1591="","",$D1591+IF($E1591="",0,$E1591)+IF($F1591="",0,$F1591)-IF($G1591="",0,$G1591))</f>
        <v/>
      </c>
      <c r="I1591" s="12" t="n"/>
      <c r="J1591" s="12" t="n"/>
      <c r="K1591" s="12" t="n"/>
      <c r="L1591" s="14" t="n"/>
      <c r="M1591" s="12" t="n"/>
      <c r="N1591" s="12" t="n"/>
      <c r="O1591" s="12" t="n"/>
    </row>
    <row r="1592">
      <c r="A1592" s="12" t="n"/>
      <c r="B1592" s="13">
        <f>IF($A1592="","",IFERROR(INDEX(Emp_Names,MATCH($A1592,Emp_Codes,0)),"NOT FOUND"))</f>
        <v/>
      </c>
      <c r="C1592" s="14" t="n"/>
      <c r="D1592" s="15" t="n"/>
      <c r="E1592" s="15" t="n"/>
      <c r="F1592" s="15" t="n"/>
      <c r="G1592" s="15" t="n"/>
      <c r="H1592" s="16">
        <f>IF($A1592="","",$D1592+IF($E1592="",0,$E1592)+IF($F1592="",0,$F1592)-IF($G1592="",0,$G1592))</f>
        <v/>
      </c>
      <c r="I1592" s="12" t="n"/>
      <c r="J1592" s="12" t="n"/>
      <c r="K1592" s="12" t="n"/>
      <c r="L1592" s="14" t="n"/>
      <c r="M1592" s="12" t="n"/>
      <c r="N1592" s="12" t="n"/>
      <c r="O1592" s="12" t="n"/>
    </row>
    <row r="1593">
      <c r="A1593" s="12" t="n"/>
      <c r="B1593" s="13">
        <f>IF($A1593="","",IFERROR(INDEX(Emp_Names,MATCH($A1593,Emp_Codes,0)),"NOT FOUND"))</f>
        <v/>
      </c>
      <c r="C1593" s="14" t="n"/>
      <c r="D1593" s="15" t="n"/>
      <c r="E1593" s="15" t="n"/>
      <c r="F1593" s="15" t="n"/>
      <c r="G1593" s="15" t="n"/>
      <c r="H1593" s="16">
        <f>IF($A1593="","",$D1593+IF($E1593="",0,$E1593)+IF($F1593="",0,$F1593)-IF($G1593="",0,$G1593))</f>
        <v/>
      </c>
      <c r="I1593" s="12" t="n"/>
      <c r="J1593" s="12" t="n"/>
      <c r="K1593" s="12" t="n"/>
      <c r="L1593" s="14" t="n"/>
      <c r="M1593" s="12" t="n"/>
      <c r="N1593" s="12" t="n"/>
      <c r="O1593" s="12" t="n"/>
    </row>
    <row r="1594">
      <c r="A1594" s="12" t="n"/>
      <c r="B1594" s="13">
        <f>IF($A1594="","",IFERROR(INDEX(Emp_Names,MATCH($A1594,Emp_Codes,0)),"NOT FOUND"))</f>
        <v/>
      </c>
      <c r="C1594" s="14" t="n"/>
      <c r="D1594" s="15" t="n"/>
      <c r="E1594" s="15" t="n"/>
      <c r="F1594" s="15" t="n"/>
      <c r="G1594" s="15" t="n"/>
      <c r="H1594" s="16">
        <f>IF($A1594="","",$D1594+IF($E1594="",0,$E1594)+IF($F1594="",0,$F1594)-IF($G1594="",0,$G1594))</f>
        <v/>
      </c>
      <c r="I1594" s="12" t="n"/>
      <c r="J1594" s="12" t="n"/>
      <c r="K1594" s="12" t="n"/>
      <c r="L1594" s="14" t="n"/>
      <c r="M1594" s="12" t="n"/>
      <c r="N1594" s="12" t="n"/>
      <c r="O1594" s="12" t="n"/>
    </row>
    <row r="1595">
      <c r="A1595" s="12" t="n"/>
      <c r="B1595" s="13">
        <f>IF($A1595="","",IFERROR(INDEX(Emp_Names,MATCH($A1595,Emp_Codes,0)),"NOT FOUND"))</f>
        <v/>
      </c>
      <c r="C1595" s="14" t="n"/>
      <c r="D1595" s="15" t="n"/>
      <c r="E1595" s="15" t="n"/>
      <c r="F1595" s="15" t="n"/>
      <c r="G1595" s="15" t="n"/>
      <c r="H1595" s="16">
        <f>IF($A1595="","",$D1595+IF($E1595="",0,$E1595)+IF($F1595="",0,$F1595)-IF($G1595="",0,$G1595))</f>
        <v/>
      </c>
      <c r="I1595" s="12" t="n"/>
      <c r="J1595" s="12" t="n"/>
      <c r="K1595" s="12" t="n"/>
      <c r="L1595" s="14" t="n"/>
      <c r="M1595" s="12" t="n"/>
      <c r="N1595" s="12" t="n"/>
      <c r="O1595" s="12" t="n"/>
    </row>
    <row r="1596">
      <c r="A1596" s="12" t="n"/>
      <c r="B1596" s="13">
        <f>IF($A1596="","",IFERROR(INDEX(Emp_Names,MATCH($A1596,Emp_Codes,0)),"NOT FOUND"))</f>
        <v/>
      </c>
      <c r="C1596" s="14" t="n"/>
      <c r="D1596" s="15" t="n"/>
      <c r="E1596" s="15" t="n"/>
      <c r="F1596" s="15" t="n"/>
      <c r="G1596" s="15" t="n"/>
      <c r="H1596" s="16">
        <f>IF($A1596="","",$D1596+IF($E1596="",0,$E1596)+IF($F1596="",0,$F1596)-IF($G1596="",0,$G1596))</f>
        <v/>
      </c>
      <c r="I1596" s="12" t="n"/>
      <c r="J1596" s="12" t="n"/>
      <c r="K1596" s="12" t="n"/>
      <c r="L1596" s="14" t="n"/>
      <c r="M1596" s="12" t="n"/>
      <c r="N1596" s="12" t="n"/>
      <c r="O1596" s="12" t="n"/>
    </row>
    <row r="1597">
      <c r="A1597" s="12" t="n"/>
      <c r="B1597" s="13">
        <f>IF($A1597="","",IFERROR(INDEX(Emp_Names,MATCH($A1597,Emp_Codes,0)),"NOT FOUND"))</f>
        <v/>
      </c>
      <c r="C1597" s="14" t="n"/>
      <c r="D1597" s="15" t="n"/>
      <c r="E1597" s="15" t="n"/>
      <c r="F1597" s="15" t="n"/>
      <c r="G1597" s="15" t="n"/>
      <c r="H1597" s="16">
        <f>IF($A1597="","",$D1597+IF($E1597="",0,$E1597)+IF($F1597="",0,$F1597)-IF($G1597="",0,$G1597))</f>
        <v/>
      </c>
      <c r="I1597" s="12" t="n"/>
      <c r="J1597" s="12" t="n"/>
      <c r="K1597" s="12" t="n"/>
      <c r="L1597" s="14" t="n"/>
      <c r="M1597" s="12" t="n"/>
      <c r="N1597" s="12" t="n"/>
      <c r="O1597" s="12" t="n"/>
    </row>
    <row r="1598">
      <c r="A1598" s="12" t="n"/>
      <c r="B1598" s="13">
        <f>IF($A1598="","",IFERROR(INDEX(Emp_Names,MATCH($A1598,Emp_Codes,0)),"NOT FOUND"))</f>
        <v/>
      </c>
      <c r="C1598" s="14" t="n"/>
      <c r="D1598" s="15" t="n"/>
      <c r="E1598" s="15" t="n"/>
      <c r="F1598" s="15" t="n"/>
      <c r="G1598" s="15" t="n"/>
      <c r="H1598" s="16">
        <f>IF($A1598="","",$D1598+IF($E1598="",0,$E1598)+IF($F1598="",0,$F1598)-IF($G1598="",0,$G1598))</f>
        <v/>
      </c>
      <c r="I1598" s="12" t="n"/>
      <c r="J1598" s="12" t="n"/>
      <c r="K1598" s="12" t="n"/>
      <c r="L1598" s="14" t="n"/>
      <c r="M1598" s="12" t="n"/>
      <c r="N1598" s="12" t="n"/>
      <c r="O1598" s="12" t="n"/>
    </row>
    <row r="1599">
      <c r="A1599" s="12" t="n"/>
      <c r="B1599" s="13">
        <f>IF($A1599="","",IFERROR(INDEX(Emp_Names,MATCH($A1599,Emp_Codes,0)),"NOT FOUND"))</f>
        <v/>
      </c>
      <c r="C1599" s="14" t="n"/>
      <c r="D1599" s="15" t="n"/>
      <c r="E1599" s="15" t="n"/>
      <c r="F1599" s="15" t="n"/>
      <c r="G1599" s="15" t="n"/>
      <c r="H1599" s="16">
        <f>IF($A1599="","",$D1599+IF($E1599="",0,$E1599)+IF($F1599="",0,$F1599)-IF($G1599="",0,$G1599))</f>
        <v/>
      </c>
      <c r="I1599" s="12" t="n"/>
      <c r="J1599" s="12" t="n"/>
      <c r="K1599" s="12" t="n"/>
      <c r="L1599" s="14" t="n"/>
      <c r="M1599" s="12" t="n"/>
      <c r="N1599" s="12" t="n"/>
      <c r="O1599" s="12" t="n"/>
    </row>
    <row r="1600">
      <c r="A1600" s="12" t="n"/>
      <c r="B1600" s="13">
        <f>IF($A1600="","",IFERROR(INDEX(Emp_Names,MATCH($A1600,Emp_Codes,0)),"NOT FOUND"))</f>
        <v/>
      </c>
      <c r="C1600" s="14" t="n"/>
      <c r="D1600" s="15" t="n"/>
      <c r="E1600" s="15" t="n"/>
      <c r="F1600" s="15" t="n"/>
      <c r="G1600" s="15" t="n"/>
      <c r="H1600" s="16">
        <f>IF($A1600="","",$D1600+IF($E1600="",0,$E1600)+IF($F1600="",0,$F1600)-IF($G1600="",0,$G1600))</f>
        <v/>
      </c>
      <c r="I1600" s="12" t="n"/>
      <c r="J1600" s="12" t="n"/>
      <c r="K1600" s="12" t="n"/>
      <c r="L1600" s="14" t="n"/>
      <c r="M1600" s="12" t="n"/>
      <c r="N1600" s="12" t="n"/>
      <c r="O1600" s="12" t="n"/>
    </row>
    <row r="1601">
      <c r="A1601" s="12" t="n"/>
      <c r="B1601" s="13">
        <f>IF($A1601="","",IFERROR(INDEX(Emp_Names,MATCH($A1601,Emp_Codes,0)),"NOT FOUND"))</f>
        <v/>
      </c>
      <c r="C1601" s="14" t="n"/>
      <c r="D1601" s="15" t="n"/>
      <c r="E1601" s="15" t="n"/>
      <c r="F1601" s="15" t="n"/>
      <c r="G1601" s="15" t="n"/>
      <c r="H1601" s="16">
        <f>IF($A1601="","",$D1601+IF($E1601="",0,$E1601)+IF($F1601="",0,$F1601)-IF($G1601="",0,$G1601))</f>
        <v/>
      </c>
      <c r="I1601" s="12" t="n"/>
      <c r="J1601" s="12" t="n"/>
      <c r="K1601" s="12" t="n"/>
      <c r="L1601" s="14" t="n"/>
      <c r="M1601" s="12" t="n"/>
      <c r="N1601" s="12" t="n"/>
      <c r="O1601" s="12" t="n"/>
    </row>
    <row r="1602">
      <c r="A1602" s="12" t="n"/>
      <c r="B1602" s="13">
        <f>IF($A1602="","",IFERROR(INDEX(Emp_Names,MATCH($A1602,Emp_Codes,0)),"NOT FOUND"))</f>
        <v/>
      </c>
      <c r="C1602" s="14" t="n"/>
      <c r="D1602" s="15" t="n"/>
      <c r="E1602" s="15" t="n"/>
      <c r="F1602" s="15" t="n"/>
      <c r="G1602" s="15" t="n"/>
      <c r="H1602" s="16">
        <f>IF($A1602="","",$D1602+IF($E1602="",0,$E1602)+IF($F1602="",0,$F1602)-IF($G1602="",0,$G1602))</f>
        <v/>
      </c>
      <c r="I1602" s="12" t="n"/>
      <c r="J1602" s="12" t="n"/>
      <c r="K1602" s="12" t="n"/>
      <c r="L1602" s="14" t="n"/>
      <c r="M1602" s="12" t="n"/>
      <c r="N1602" s="12" t="n"/>
      <c r="O1602" s="12" t="n"/>
    </row>
    <row r="1603">
      <c r="A1603" s="12" t="n"/>
      <c r="B1603" s="13">
        <f>IF($A1603="","",IFERROR(INDEX(Emp_Names,MATCH($A1603,Emp_Codes,0)),"NOT FOUND"))</f>
        <v/>
      </c>
      <c r="C1603" s="14" t="n"/>
      <c r="D1603" s="15" t="n"/>
      <c r="E1603" s="15" t="n"/>
      <c r="F1603" s="15" t="n"/>
      <c r="G1603" s="15" t="n"/>
      <c r="H1603" s="16">
        <f>IF($A1603="","",$D1603+IF($E1603="",0,$E1603)+IF($F1603="",0,$F1603)-IF($G1603="",0,$G1603))</f>
        <v/>
      </c>
      <c r="I1603" s="12" t="n"/>
      <c r="J1603" s="12" t="n"/>
      <c r="K1603" s="12" t="n"/>
      <c r="L1603" s="14" t="n"/>
      <c r="M1603" s="12" t="n"/>
      <c r="N1603" s="12" t="n"/>
      <c r="O1603" s="12" t="n"/>
    </row>
    <row r="1604">
      <c r="A1604" s="12" t="n"/>
      <c r="B1604" s="13">
        <f>IF($A1604="","",IFERROR(INDEX(Emp_Names,MATCH($A1604,Emp_Codes,0)),"NOT FOUND"))</f>
        <v/>
      </c>
      <c r="C1604" s="14" t="n"/>
      <c r="D1604" s="15" t="n"/>
      <c r="E1604" s="15" t="n"/>
      <c r="F1604" s="15" t="n"/>
      <c r="G1604" s="15" t="n"/>
      <c r="H1604" s="16">
        <f>IF($A1604="","",$D1604+IF($E1604="",0,$E1604)+IF($F1604="",0,$F1604)-IF($G1604="",0,$G1604))</f>
        <v/>
      </c>
      <c r="I1604" s="12" t="n"/>
      <c r="J1604" s="12" t="n"/>
      <c r="K1604" s="12" t="n"/>
      <c r="L1604" s="14" t="n"/>
      <c r="M1604" s="12" t="n"/>
      <c r="N1604" s="12" t="n"/>
      <c r="O1604" s="12" t="n"/>
    </row>
    <row r="1605">
      <c r="A1605" s="12" t="n"/>
      <c r="B1605" s="13">
        <f>IF($A1605="","",IFERROR(INDEX(Emp_Names,MATCH($A1605,Emp_Codes,0)),"NOT FOUND"))</f>
        <v/>
      </c>
      <c r="C1605" s="14" t="n"/>
      <c r="D1605" s="15" t="n"/>
      <c r="E1605" s="15" t="n"/>
      <c r="F1605" s="15" t="n"/>
      <c r="G1605" s="15" t="n"/>
      <c r="H1605" s="16">
        <f>IF($A1605="","",$D1605+IF($E1605="",0,$E1605)+IF($F1605="",0,$F1605)-IF($G1605="",0,$G1605))</f>
        <v/>
      </c>
      <c r="I1605" s="12" t="n"/>
      <c r="J1605" s="12" t="n"/>
      <c r="K1605" s="12" t="n"/>
      <c r="L1605" s="14" t="n"/>
      <c r="M1605" s="12" t="n"/>
      <c r="N1605" s="12" t="n"/>
      <c r="O1605" s="12" t="n"/>
    </row>
    <row r="1606">
      <c r="A1606" s="12" t="n"/>
      <c r="B1606" s="13">
        <f>IF($A1606="","",IFERROR(INDEX(Emp_Names,MATCH($A1606,Emp_Codes,0)),"NOT FOUND"))</f>
        <v/>
      </c>
      <c r="C1606" s="14" t="n"/>
      <c r="D1606" s="15" t="n"/>
      <c r="E1606" s="15" t="n"/>
      <c r="F1606" s="15" t="n"/>
      <c r="G1606" s="15" t="n"/>
      <c r="H1606" s="16">
        <f>IF($A1606="","",$D1606+IF($E1606="",0,$E1606)+IF($F1606="",0,$F1606)-IF($G1606="",0,$G1606))</f>
        <v/>
      </c>
      <c r="I1606" s="12" t="n"/>
      <c r="J1606" s="12" t="n"/>
      <c r="K1606" s="12" t="n"/>
      <c r="L1606" s="14" t="n"/>
      <c r="M1606" s="12" t="n"/>
      <c r="N1606" s="12" t="n"/>
      <c r="O1606" s="12" t="n"/>
    </row>
    <row r="1607">
      <c r="A1607" s="12" t="n"/>
      <c r="B1607" s="13">
        <f>IF($A1607="","",IFERROR(INDEX(Emp_Names,MATCH($A1607,Emp_Codes,0)),"NOT FOUND"))</f>
        <v/>
      </c>
      <c r="C1607" s="14" t="n"/>
      <c r="D1607" s="15" t="n"/>
      <c r="E1607" s="15" t="n"/>
      <c r="F1607" s="15" t="n"/>
      <c r="G1607" s="15" t="n"/>
      <c r="H1607" s="16">
        <f>IF($A1607="","",$D1607+IF($E1607="",0,$E1607)+IF($F1607="",0,$F1607)-IF($G1607="",0,$G1607))</f>
        <v/>
      </c>
      <c r="I1607" s="12" t="n"/>
      <c r="J1607" s="12" t="n"/>
      <c r="K1607" s="12" t="n"/>
      <c r="L1607" s="14" t="n"/>
      <c r="M1607" s="12" t="n"/>
      <c r="N1607" s="12" t="n"/>
      <c r="O1607" s="12" t="n"/>
    </row>
    <row r="1608">
      <c r="A1608" s="12" t="n"/>
      <c r="B1608" s="13">
        <f>IF($A1608="","",IFERROR(INDEX(Emp_Names,MATCH($A1608,Emp_Codes,0)),"NOT FOUND"))</f>
        <v/>
      </c>
      <c r="C1608" s="14" t="n"/>
      <c r="D1608" s="15" t="n"/>
      <c r="E1608" s="15" t="n"/>
      <c r="F1608" s="15" t="n"/>
      <c r="G1608" s="15" t="n"/>
      <c r="H1608" s="16">
        <f>IF($A1608="","",$D1608+IF($E1608="",0,$E1608)+IF($F1608="",0,$F1608)-IF($G1608="",0,$G1608))</f>
        <v/>
      </c>
      <c r="I1608" s="12" t="n"/>
      <c r="J1608" s="12" t="n"/>
      <c r="K1608" s="12" t="n"/>
      <c r="L1608" s="14" t="n"/>
      <c r="M1608" s="12" t="n"/>
      <c r="N1608" s="12" t="n"/>
      <c r="O1608" s="12" t="n"/>
    </row>
    <row r="1609">
      <c r="A1609" s="12" t="n"/>
      <c r="B1609" s="13">
        <f>IF($A1609="","",IFERROR(INDEX(Emp_Names,MATCH($A1609,Emp_Codes,0)),"NOT FOUND"))</f>
        <v/>
      </c>
      <c r="C1609" s="14" t="n"/>
      <c r="D1609" s="15" t="n"/>
      <c r="E1609" s="15" t="n"/>
      <c r="F1609" s="15" t="n"/>
      <c r="G1609" s="15" t="n"/>
      <c r="H1609" s="16">
        <f>IF($A1609="","",$D1609+IF($E1609="",0,$E1609)+IF($F1609="",0,$F1609)-IF($G1609="",0,$G1609))</f>
        <v/>
      </c>
      <c r="I1609" s="12" t="n"/>
      <c r="J1609" s="12" t="n"/>
      <c r="K1609" s="12" t="n"/>
      <c r="L1609" s="14" t="n"/>
      <c r="M1609" s="12" t="n"/>
      <c r="N1609" s="12" t="n"/>
      <c r="O1609" s="12" t="n"/>
    </row>
    <row r="1610">
      <c r="A1610" s="12" t="n"/>
      <c r="B1610" s="13">
        <f>IF($A1610="","",IFERROR(INDEX(Emp_Names,MATCH($A1610,Emp_Codes,0)),"NOT FOUND"))</f>
        <v/>
      </c>
      <c r="C1610" s="14" t="n"/>
      <c r="D1610" s="15" t="n"/>
      <c r="E1610" s="15" t="n"/>
      <c r="F1610" s="15" t="n"/>
      <c r="G1610" s="15" t="n"/>
      <c r="H1610" s="16">
        <f>IF($A1610="","",$D1610+IF($E1610="",0,$E1610)+IF($F1610="",0,$F1610)-IF($G1610="",0,$G1610))</f>
        <v/>
      </c>
      <c r="I1610" s="12" t="n"/>
      <c r="J1610" s="12" t="n"/>
      <c r="K1610" s="12" t="n"/>
      <c r="L1610" s="14" t="n"/>
      <c r="M1610" s="12" t="n"/>
      <c r="N1610" s="12" t="n"/>
      <c r="O1610" s="12" t="n"/>
    </row>
    <row r="1611">
      <c r="A1611" s="12" t="n"/>
      <c r="B1611" s="13">
        <f>IF($A1611="","",IFERROR(INDEX(Emp_Names,MATCH($A1611,Emp_Codes,0)),"NOT FOUND"))</f>
        <v/>
      </c>
      <c r="C1611" s="14" t="n"/>
      <c r="D1611" s="15" t="n"/>
      <c r="E1611" s="15" t="n"/>
      <c r="F1611" s="15" t="n"/>
      <c r="G1611" s="15" t="n"/>
      <c r="H1611" s="16">
        <f>IF($A1611="","",$D1611+IF($E1611="",0,$E1611)+IF($F1611="",0,$F1611)-IF($G1611="",0,$G1611))</f>
        <v/>
      </c>
      <c r="I1611" s="12" t="n"/>
      <c r="J1611" s="12" t="n"/>
      <c r="K1611" s="12" t="n"/>
      <c r="L1611" s="14" t="n"/>
      <c r="M1611" s="12" t="n"/>
      <c r="N1611" s="12" t="n"/>
      <c r="O1611" s="12" t="n"/>
    </row>
    <row r="1612">
      <c r="A1612" s="12" t="n"/>
      <c r="B1612" s="13">
        <f>IF($A1612="","",IFERROR(INDEX(Emp_Names,MATCH($A1612,Emp_Codes,0)),"NOT FOUND"))</f>
        <v/>
      </c>
      <c r="C1612" s="14" t="n"/>
      <c r="D1612" s="15" t="n"/>
      <c r="E1612" s="15" t="n"/>
      <c r="F1612" s="15" t="n"/>
      <c r="G1612" s="15" t="n"/>
      <c r="H1612" s="16">
        <f>IF($A1612="","",$D1612+IF($E1612="",0,$E1612)+IF($F1612="",0,$F1612)-IF($G1612="",0,$G1612))</f>
        <v/>
      </c>
      <c r="I1612" s="12" t="n"/>
      <c r="J1612" s="12" t="n"/>
      <c r="K1612" s="12" t="n"/>
      <c r="L1612" s="14" t="n"/>
      <c r="M1612" s="12" t="n"/>
      <c r="N1612" s="12" t="n"/>
      <c r="O1612" s="12" t="n"/>
    </row>
    <row r="1613">
      <c r="A1613" s="12" t="n"/>
      <c r="B1613" s="13">
        <f>IF($A1613="","",IFERROR(INDEX(Emp_Names,MATCH($A1613,Emp_Codes,0)),"NOT FOUND"))</f>
        <v/>
      </c>
      <c r="C1613" s="14" t="n"/>
      <c r="D1613" s="15" t="n"/>
      <c r="E1613" s="15" t="n"/>
      <c r="F1613" s="15" t="n"/>
      <c r="G1613" s="15" t="n"/>
      <c r="H1613" s="16">
        <f>IF($A1613="","",$D1613+IF($E1613="",0,$E1613)+IF($F1613="",0,$F1613)-IF($G1613="",0,$G1613))</f>
        <v/>
      </c>
      <c r="I1613" s="12" t="n"/>
      <c r="J1613" s="12" t="n"/>
      <c r="K1613" s="12" t="n"/>
      <c r="L1613" s="14" t="n"/>
      <c r="M1613" s="12" t="n"/>
      <c r="N1613" s="12" t="n"/>
      <c r="O1613" s="12" t="n"/>
    </row>
    <row r="1614">
      <c r="A1614" s="12" t="n"/>
      <c r="B1614" s="13">
        <f>IF($A1614="","",IFERROR(INDEX(Emp_Names,MATCH($A1614,Emp_Codes,0)),"NOT FOUND"))</f>
        <v/>
      </c>
      <c r="C1614" s="14" t="n"/>
      <c r="D1614" s="15" t="n"/>
      <c r="E1614" s="15" t="n"/>
      <c r="F1614" s="15" t="n"/>
      <c r="G1614" s="15" t="n"/>
      <c r="H1614" s="16">
        <f>IF($A1614="","",$D1614+IF($E1614="",0,$E1614)+IF($F1614="",0,$F1614)-IF($G1614="",0,$G1614))</f>
        <v/>
      </c>
      <c r="I1614" s="12" t="n"/>
      <c r="J1614" s="12" t="n"/>
      <c r="K1614" s="12" t="n"/>
      <c r="L1614" s="14" t="n"/>
      <c r="M1614" s="12" t="n"/>
      <c r="N1614" s="12" t="n"/>
      <c r="O1614" s="12" t="n"/>
    </row>
    <row r="1615">
      <c r="A1615" s="12" t="n"/>
      <c r="B1615" s="13">
        <f>IF($A1615="","",IFERROR(INDEX(Emp_Names,MATCH($A1615,Emp_Codes,0)),"NOT FOUND"))</f>
        <v/>
      </c>
      <c r="C1615" s="14" t="n"/>
      <c r="D1615" s="15" t="n"/>
      <c r="E1615" s="15" t="n"/>
      <c r="F1615" s="15" t="n"/>
      <c r="G1615" s="15" t="n"/>
      <c r="H1615" s="16">
        <f>IF($A1615="","",$D1615+IF($E1615="",0,$E1615)+IF($F1615="",0,$F1615)-IF($G1615="",0,$G1615))</f>
        <v/>
      </c>
      <c r="I1615" s="12" t="n"/>
      <c r="J1615" s="12" t="n"/>
      <c r="K1615" s="12" t="n"/>
      <c r="L1615" s="14" t="n"/>
      <c r="M1615" s="12" t="n"/>
      <c r="N1615" s="12" t="n"/>
      <c r="O1615" s="12" t="n"/>
    </row>
    <row r="1616">
      <c r="A1616" s="12" t="n"/>
      <c r="B1616" s="13">
        <f>IF($A1616="","",IFERROR(INDEX(Emp_Names,MATCH($A1616,Emp_Codes,0)),"NOT FOUND"))</f>
        <v/>
      </c>
      <c r="C1616" s="14" t="n"/>
      <c r="D1616" s="15" t="n"/>
      <c r="E1616" s="15" t="n"/>
      <c r="F1616" s="15" t="n"/>
      <c r="G1616" s="15" t="n"/>
      <c r="H1616" s="16">
        <f>IF($A1616="","",$D1616+IF($E1616="",0,$E1616)+IF($F1616="",0,$F1616)-IF($G1616="",0,$G1616))</f>
        <v/>
      </c>
      <c r="I1616" s="12" t="n"/>
      <c r="J1616" s="12" t="n"/>
      <c r="K1616" s="12" t="n"/>
      <c r="L1616" s="14" t="n"/>
      <c r="M1616" s="12" t="n"/>
      <c r="N1616" s="12" t="n"/>
      <c r="O1616" s="12" t="n"/>
    </row>
    <row r="1617">
      <c r="A1617" s="12" t="n"/>
      <c r="B1617" s="13">
        <f>IF($A1617="","",IFERROR(INDEX(Emp_Names,MATCH($A1617,Emp_Codes,0)),"NOT FOUND"))</f>
        <v/>
      </c>
      <c r="C1617" s="14" t="n"/>
      <c r="D1617" s="15" t="n"/>
      <c r="E1617" s="15" t="n"/>
      <c r="F1617" s="15" t="n"/>
      <c r="G1617" s="15" t="n"/>
      <c r="H1617" s="16">
        <f>IF($A1617="","",$D1617+IF($E1617="",0,$E1617)+IF($F1617="",0,$F1617)-IF($G1617="",0,$G1617))</f>
        <v/>
      </c>
      <c r="I1617" s="12" t="n"/>
      <c r="J1617" s="12" t="n"/>
      <c r="K1617" s="12" t="n"/>
      <c r="L1617" s="14" t="n"/>
      <c r="M1617" s="12" t="n"/>
      <c r="N1617" s="12" t="n"/>
      <c r="O1617" s="12" t="n"/>
    </row>
    <row r="1618">
      <c r="A1618" s="12" t="n"/>
      <c r="B1618" s="13">
        <f>IF($A1618="","",IFERROR(INDEX(Emp_Names,MATCH($A1618,Emp_Codes,0)),"NOT FOUND"))</f>
        <v/>
      </c>
      <c r="C1618" s="14" t="n"/>
      <c r="D1618" s="15" t="n"/>
      <c r="E1618" s="15" t="n"/>
      <c r="F1618" s="15" t="n"/>
      <c r="G1618" s="15" t="n"/>
      <c r="H1618" s="16">
        <f>IF($A1618="","",$D1618+IF($E1618="",0,$E1618)+IF($F1618="",0,$F1618)-IF($G1618="",0,$G1618))</f>
        <v/>
      </c>
      <c r="I1618" s="12" t="n"/>
      <c r="J1618" s="12" t="n"/>
      <c r="K1618" s="12" t="n"/>
      <c r="L1618" s="14" t="n"/>
      <c r="M1618" s="12" t="n"/>
      <c r="N1618" s="12" t="n"/>
      <c r="O1618" s="12" t="n"/>
    </row>
    <row r="1619">
      <c r="A1619" s="12" t="n"/>
      <c r="B1619" s="13">
        <f>IF($A1619="","",IFERROR(INDEX(Emp_Names,MATCH($A1619,Emp_Codes,0)),"NOT FOUND"))</f>
        <v/>
      </c>
      <c r="C1619" s="14" t="n"/>
      <c r="D1619" s="15" t="n"/>
      <c r="E1619" s="15" t="n"/>
      <c r="F1619" s="15" t="n"/>
      <c r="G1619" s="15" t="n"/>
      <c r="H1619" s="16">
        <f>IF($A1619="","",$D1619+IF($E1619="",0,$E1619)+IF($F1619="",0,$F1619)-IF($G1619="",0,$G1619))</f>
        <v/>
      </c>
      <c r="I1619" s="12" t="n"/>
      <c r="J1619" s="12" t="n"/>
      <c r="K1619" s="12" t="n"/>
      <c r="L1619" s="14" t="n"/>
      <c r="M1619" s="12" t="n"/>
      <c r="N1619" s="12" t="n"/>
      <c r="O1619" s="12" t="n"/>
    </row>
    <row r="1620">
      <c r="A1620" s="12" t="n"/>
      <c r="B1620" s="13">
        <f>IF($A1620="","",IFERROR(INDEX(Emp_Names,MATCH($A1620,Emp_Codes,0)),"NOT FOUND"))</f>
        <v/>
      </c>
      <c r="C1620" s="14" t="n"/>
      <c r="D1620" s="15" t="n"/>
      <c r="E1620" s="15" t="n"/>
      <c r="F1620" s="15" t="n"/>
      <c r="G1620" s="15" t="n"/>
      <c r="H1620" s="16">
        <f>IF($A1620="","",$D1620+IF($E1620="",0,$E1620)+IF($F1620="",0,$F1620)-IF($G1620="",0,$G1620))</f>
        <v/>
      </c>
      <c r="I1620" s="12" t="n"/>
      <c r="J1620" s="12" t="n"/>
      <c r="K1620" s="12" t="n"/>
      <c r="L1620" s="14" t="n"/>
      <c r="M1620" s="12" t="n"/>
      <c r="N1620" s="12" t="n"/>
      <c r="O1620" s="12" t="n"/>
    </row>
    <row r="1621">
      <c r="A1621" s="12" t="n"/>
      <c r="B1621" s="13">
        <f>IF($A1621="","",IFERROR(INDEX(Emp_Names,MATCH($A1621,Emp_Codes,0)),"NOT FOUND"))</f>
        <v/>
      </c>
      <c r="C1621" s="14" t="n"/>
      <c r="D1621" s="15" t="n"/>
      <c r="E1621" s="15" t="n"/>
      <c r="F1621" s="15" t="n"/>
      <c r="G1621" s="15" t="n"/>
      <c r="H1621" s="16">
        <f>IF($A1621="","",$D1621+IF($E1621="",0,$E1621)+IF($F1621="",0,$F1621)-IF($G1621="",0,$G1621))</f>
        <v/>
      </c>
      <c r="I1621" s="12" t="n"/>
      <c r="J1621" s="12" t="n"/>
      <c r="K1621" s="12" t="n"/>
      <c r="L1621" s="14" t="n"/>
      <c r="M1621" s="12" t="n"/>
      <c r="N1621" s="12" t="n"/>
      <c r="O1621" s="12" t="n"/>
    </row>
    <row r="1622">
      <c r="A1622" s="12" t="n"/>
      <c r="B1622" s="13">
        <f>IF($A1622="","",IFERROR(INDEX(Emp_Names,MATCH($A1622,Emp_Codes,0)),"NOT FOUND"))</f>
        <v/>
      </c>
      <c r="C1622" s="14" t="n"/>
      <c r="D1622" s="15" t="n"/>
      <c r="E1622" s="15" t="n"/>
      <c r="F1622" s="15" t="n"/>
      <c r="G1622" s="15" t="n"/>
      <c r="H1622" s="16">
        <f>IF($A1622="","",$D1622+IF($E1622="",0,$E1622)+IF($F1622="",0,$F1622)-IF($G1622="",0,$G1622))</f>
        <v/>
      </c>
      <c r="I1622" s="12" t="n"/>
      <c r="J1622" s="12" t="n"/>
      <c r="K1622" s="12" t="n"/>
      <c r="L1622" s="14" t="n"/>
      <c r="M1622" s="12" t="n"/>
      <c r="N1622" s="12" t="n"/>
      <c r="O1622" s="12" t="n"/>
    </row>
    <row r="1623">
      <c r="A1623" s="12" t="n"/>
      <c r="B1623" s="13">
        <f>IF($A1623="","",IFERROR(INDEX(Emp_Names,MATCH($A1623,Emp_Codes,0)),"NOT FOUND"))</f>
        <v/>
      </c>
      <c r="C1623" s="14" t="n"/>
      <c r="D1623" s="15" t="n"/>
      <c r="E1623" s="15" t="n"/>
      <c r="F1623" s="15" t="n"/>
      <c r="G1623" s="15" t="n"/>
      <c r="H1623" s="16">
        <f>IF($A1623="","",$D1623+IF($E1623="",0,$E1623)+IF($F1623="",0,$F1623)-IF($G1623="",0,$G1623))</f>
        <v/>
      </c>
      <c r="I1623" s="12" t="n"/>
      <c r="J1623" s="12" t="n"/>
      <c r="K1623" s="12" t="n"/>
      <c r="L1623" s="14" t="n"/>
      <c r="M1623" s="12" t="n"/>
      <c r="N1623" s="12" t="n"/>
      <c r="O1623" s="12" t="n"/>
    </row>
    <row r="1624">
      <c r="A1624" s="12" t="n"/>
      <c r="B1624" s="13">
        <f>IF($A1624="","",IFERROR(INDEX(Emp_Names,MATCH($A1624,Emp_Codes,0)),"NOT FOUND"))</f>
        <v/>
      </c>
      <c r="C1624" s="14" t="n"/>
      <c r="D1624" s="15" t="n"/>
      <c r="E1624" s="15" t="n"/>
      <c r="F1624" s="15" t="n"/>
      <c r="G1624" s="15" t="n"/>
      <c r="H1624" s="16">
        <f>IF($A1624="","",$D1624+IF($E1624="",0,$E1624)+IF($F1624="",0,$F1624)-IF($G1624="",0,$G1624))</f>
        <v/>
      </c>
      <c r="I1624" s="12" t="n"/>
      <c r="J1624" s="12" t="n"/>
      <c r="K1624" s="12" t="n"/>
      <c r="L1624" s="14" t="n"/>
      <c r="M1624" s="12" t="n"/>
      <c r="N1624" s="12" t="n"/>
      <c r="O1624" s="12" t="n"/>
    </row>
    <row r="1625">
      <c r="A1625" s="12" t="n"/>
      <c r="B1625" s="13">
        <f>IF($A1625="","",IFERROR(INDEX(Emp_Names,MATCH($A1625,Emp_Codes,0)),"NOT FOUND"))</f>
        <v/>
      </c>
      <c r="C1625" s="14" t="n"/>
      <c r="D1625" s="15" t="n"/>
      <c r="E1625" s="15" t="n"/>
      <c r="F1625" s="15" t="n"/>
      <c r="G1625" s="15" t="n"/>
      <c r="H1625" s="16">
        <f>IF($A1625="","",$D1625+IF($E1625="",0,$E1625)+IF($F1625="",0,$F1625)-IF($G1625="",0,$G1625))</f>
        <v/>
      </c>
      <c r="I1625" s="12" t="n"/>
      <c r="J1625" s="12" t="n"/>
      <c r="K1625" s="12" t="n"/>
      <c r="L1625" s="14" t="n"/>
      <c r="M1625" s="12" t="n"/>
      <c r="N1625" s="12" t="n"/>
      <c r="O1625" s="12" t="n"/>
    </row>
    <row r="1626">
      <c r="A1626" s="12" t="n"/>
      <c r="B1626" s="13">
        <f>IF($A1626="","",IFERROR(INDEX(Emp_Names,MATCH($A1626,Emp_Codes,0)),"NOT FOUND"))</f>
        <v/>
      </c>
      <c r="C1626" s="14" t="n"/>
      <c r="D1626" s="15" t="n"/>
      <c r="E1626" s="15" t="n"/>
      <c r="F1626" s="15" t="n"/>
      <c r="G1626" s="15" t="n"/>
      <c r="H1626" s="16">
        <f>IF($A1626="","",$D1626+IF($E1626="",0,$E1626)+IF($F1626="",0,$F1626)-IF($G1626="",0,$G1626))</f>
        <v/>
      </c>
      <c r="I1626" s="12" t="n"/>
      <c r="J1626" s="12" t="n"/>
      <c r="K1626" s="12" t="n"/>
      <c r="L1626" s="14" t="n"/>
      <c r="M1626" s="12" t="n"/>
      <c r="N1626" s="12" t="n"/>
      <c r="O1626" s="12" t="n"/>
    </row>
    <row r="1627">
      <c r="A1627" s="12" t="n"/>
      <c r="B1627" s="13">
        <f>IF($A1627="","",IFERROR(INDEX(Emp_Names,MATCH($A1627,Emp_Codes,0)),"NOT FOUND"))</f>
        <v/>
      </c>
      <c r="C1627" s="14" t="n"/>
      <c r="D1627" s="15" t="n"/>
      <c r="E1627" s="15" t="n"/>
      <c r="F1627" s="15" t="n"/>
      <c r="G1627" s="15" t="n"/>
      <c r="H1627" s="16">
        <f>IF($A1627="","",$D1627+IF($E1627="",0,$E1627)+IF($F1627="",0,$F1627)-IF($G1627="",0,$G1627))</f>
        <v/>
      </c>
      <c r="I1627" s="12" t="n"/>
      <c r="J1627" s="12" t="n"/>
      <c r="K1627" s="12" t="n"/>
      <c r="L1627" s="14" t="n"/>
      <c r="M1627" s="12" t="n"/>
      <c r="N1627" s="12" t="n"/>
      <c r="O1627" s="12" t="n"/>
    </row>
    <row r="1628">
      <c r="A1628" s="12" t="n"/>
      <c r="B1628" s="13">
        <f>IF($A1628="","",IFERROR(INDEX(Emp_Names,MATCH($A1628,Emp_Codes,0)),"NOT FOUND"))</f>
        <v/>
      </c>
      <c r="C1628" s="14" t="n"/>
      <c r="D1628" s="15" t="n"/>
      <c r="E1628" s="15" t="n"/>
      <c r="F1628" s="15" t="n"/>
      <c r="G1628" s="15" t="n"/>
      <c r="H1628" s="16">
        <f>IF($A1628="","",$D1628+IF($E1628="",0,$E1628)+IF($F1628="",0,$F1628)-IF($G1628="",0,$G1628))</f>
        <v/>
      </c>
      <c r="I1628" s="12" t="n"/>
      <c r="J1628" s="12" t="n"/>
      <c r="K1628" s="12" t="n"/>
      <c r="L1628" s="14" t="n"/>
      <c r="M1628" s="12" t="n"/>
      <c r="N1628" s="12" t="n"/>
      <c r="O1628" s="12" t="n"/>
    </row>
    <row r="1629">
      <c r="A1629" s="12" t="n"/>
      <c r="B1629" s="13">
        <f>IF($A1629="","",IFERROR(INDEX(Emp_Names,MATCH($A1629,Emp_Codes,0)),"NOT FOUND"))</f>
        <v/>
      </c>
      <c r="C1629" s="14" t="n"/>
      <c r="D1629" s="15" t="n"/>
      <c r="E1629" s="15" t="n"/>
      <c r="F1629" s="15" t="n"/>
      <c r="G1629" s="15" t="n"/>
      <c r="H1629" s="16">
        <f>IF($A1629="","",$D1629+IF($E1629="",0,$E1629)+IF($F1629="",0,$F1629)-IF($G1629="",0,$G1629))</f>
        <v/>
      </c>
      <c r="I1629" s="12" t="n"/>
      <c r="J1629" s="12" t="n"/>
      <c r="K1629" s="12" t="n"/>
      <c r="L1629" s="14" t="n"/>
      <c r="M1629" s="12" t="n"/>
      <c r="N1629" s="12" t="n"/>
      <c r="O1629" s="12" t="n"/>
    </row>
    <row r="1630">
      <c r="A1630" s="12" t="n"/>
      <c r="B1630" s="13">
        <f>IF($A1630="","",IFERROR(INDEX(Emp_Names,MATCH($A1630,Emp_Codes,0)),"NOT FOUND"))</f>
        <v/>
      </c>
      <c r="C1630" s="14" t="n"/>
      <c r="D1630" s="15" t="n"/>
      <c r="E1630" s="15" t="n"/>
      <c r="F1630" s="15" t="n"/>
      <c r="G1630" s="15" t="n"/>
      <c r="H1630" s="16">
        <f>IF($A1630="","",$D1630+IF($E1630="",0,$E1630)+IF($F1630="",0,$F1630)-IF($G1630="",0,$G1630))</f>
        <v/>
      </c>
      <c r="I1630" s="12" t="n"/>
      <c r="J1630" s="12" t="n"/>
      <c r="K1630" s="12" t="n"/>
      <c r="L1630" s="14" t="n"/>
      <c r="M1630" s="12" t="n"/>
      <c r="N1630" s="12" t="n"/>
      <c r="O1630" s="12" t="n"/>
    </row>
    <row r="1631">
      <c r="A1631" s="12" t="n"/>
      <c r="B1631" s="13">
        <f>IF($A1631="","",IFERROR(INDEX(Emp_Names,MATCH($A1631,Emp_Codes,0)),"NOT FOUND"))</f>
        <v/>
      </c>
      <c r="C1631" s="14" t="n"/>
      <c r="D1631" s="15" t="n"/>
      <c r="E1631" s="15" t="n"/>
      <c r="F1631" s="15" t="n"/>
      <c r="G1631" s="15" t="n"/>
      <c r="H1631" s="16">
        <f>IF($A1631="","",$D1631+IF($E1631="",0,$E1631)+IF($F1631="",0,$F1631)-IF($G1631="",0,$G1631))</f>
        <v/>
      </c>
      <c r="I1631" s="12" t="n"/>
      <c r="J1631" s="12" t="n"/>
      <c r="K1631" s="12" t="n"/>
      <c r="L1631" s="14" t="n"/>
      <c r="M1631" s="12" t="n"/>
      <c r="N1631" s="12" t="n"/>
      <c r="O1631" s="12" t="n"/>
    </row>
    <row r="1632">
      <c r="A1632" s="12" t="n"/>
      <c r="B1632" s="13">
        <f>IF($A1632="","",IFERROR(INDEX(Emp_Names,MATCH($A1632,Emp_Codes,0)),"NOT FOUND"))</f>
        <v/>
      </c>
      <c r="C1632" s="14" t="n"/>
      <c r="D1632" s="15" t="n"/>
      <c r="E1632" s="15" t="n"/>
      <c r="F1632" s="15" t="n"/>
      <c r="G1632" s="15" t="n"/>
      <c r="H1632" s="16">
        <f>IF($A1632="","",$D1632+IF($E1632="",0,$E1632)+IF($F1632="",0,$F1632)-IF($G1632="",0,$G1632))</f>
        <v/>
      </c>
      <c r="I1632" s="12" t="n"/>
      <c r="J1632" s="12" t="n"/>
      <c r="K1632" s="12" t="n"/>
      <c r="L1632" s="14" t="n"/>
      <c r="M1632" s="12" t="n"/>
      <c r="N1632" s="12" t="n"/>
      <c r="O1632" s="12" t="n"/>
    </row>
    <row r="1633">
      <c r="A1633" s="12" t="n"/>
      <c r="B1633" s="13">
        <f>IF($A1633="","",IFERROR(INDEX(Emp_Names,MATCH($A1633,Emp_Codes,0)),"NOT FOUND"))</f>
        <v/>
      </c>
      <c r="C1633" s="14" t="n"/>
      <c r="D1633" s="15" t="n"/>
      <c r="E1633" s="15" t="n"/>
      <c r="F1633" s="15" t="n"/>
      <c r="G1633" s="15" t="n"/>
      <c r="H1633" s="16">
        <f>IF($A1633="","",$D1633+IF($E1633="",0,$E1633)+IF($F1633="",0,$F1633)-IF($G1633="",0,$G1633))</f>
        <v/>
      </c>
      <c r="I1633" s="12" t="n"/>
      <c r="J1633" s="12" t="n"/>
      <c r="K1633" s="12" t="n"/>
      <c r="L1633" s="14" t="n"/>
      <c r="M1633" s="12" t="n"/>
      <c r="N1633" s="12" t="n"/>
      <c r="O1633" s="12" t="n"/>
    </row>
    <row r="1634">
      <c r="A1634" s="12" t="n"/>
      <c r="B1634" s="13">
        <f>IF($A1634="","",IFERROR(INDEX(Emp_Names,MATCH($A1634,Emp_Codes,0)),"NOT FOUND"))</f>
        <v/>
      </c>
      <c r="C1634" s="14" t="n"/>
      <c r="D1634" s="15" t="n"/>
      <c r="E1634" s="15" t="n"/>
      <c r="F1634" s="15" t="n"/>
      <c r="G1634" s="15" t="n"/>
      <c r="H1634" s="16">
        <f>IF($A1634="","",$D1634+IF($E1634="",0,$E1634)+IF($F1634="",0,$F1634)-IF($G1634="",0,$G1634))</f>
        <v/>
      </c>
      <c r="I1634" s="12" t="n"/>
      <c r="J1634" s="12" t="n"/>
      <c r="K1634" s="12" t="n"/>
      <c r="L1634" s="14" t="n"/>
      <c r="M1634" s="12" t="n"/>
      <c r="N1634" s="12" t="n"/>
      <c r="O1634" s="12" t="n"/>
    </row>
    <row r="1635">
      <c r="A1635" s="12" t="n"/>
      <c r="B1635" s="13">
        <f>IF($A1635="","",IFERROR(INDEX(Emp_Names,MATCH($A1635,Emp_Codes,0)),"NOT FOUND"))</f>
        <v/>
      </c>
      <c r="C1635" s="14" t="n"/>
      <c r="D1635" s="15" t="n"/>
      <c r="E1635" s="15" t="n"/>
      <c r="F1635" s="15" t="n"/>
      <c r="G1635" s="15" t="n"/>
      <c r="H1635" s="16">
        <f>IF($A1635="","",$D1635+IF($E1635="",0,$E1635)+IF($F1635="",0,$F1635)-IF($G1635="",0,$G1635))</f>
        <v/>
      </c>
      <c r="I1635" s="12" t="n"/>
      <c r="J1635" s="12" t="n"/>
      <c r="K1635" s="12" t="n"/>
      <c r="L1635" s="14" t="n"/>
      <c r="M1635" s="12" t="n"/>
      <c r="N1635" s="12" t="n"/>
      <c r="O1635" s="12" t="n"/>
    </row>
    <row r="1636">
      <c r="A1636" s="12" t="n"/>
      <c r="B1636" s="13">
        <f>IF($A1636="","",IFERROR(INDEX(Emp_Names,MATCH($A1636,Emp_Codes,0)),"NOT FOUND"))</f>
        <v/>
      </c>
      <c r="C1636" s="14" t="n"/>
      <c r="D1636" s="15" t="n"/>
      <c r="E1636" s="15" t="n"/>
      <c r="F1636" s="15" t="n"/>
      <c r="G1636" s="15" t="n"/>
      <c r="H1636" s="16">
        <f>IF($A1636="","",$D1636+IF($E1636="",0,$E1636)+IF($F1636="",0,$F1636)-IF($G1636="",0,$G1636))</f>
        <v/>
      </c>
      <c r="I1636" s="12" t="n"/>
      <c r="J1636" s="12" t="n"/>
      <c r="K1636" s="12" t="n"/>
      <c r="L1636" s="14" t="n"/>
      <c r="M1636" s="12" t="n"/>
      <c r="N1636" s="12" t="n"/>
      <c r="O1636" s="12" t="n"/>
    </row>
    <row r="1637">
      <c r="A1637" s="12" t="n"/>
      <c r="B1637" s="13">
        <f>IF($A1637="","",IFERROR(INDEX(Emp_Names,MATCH($A1637,Emp_Codes,0)),"NOT FOUND"))</f>
        <v/>
      </c>
      <c r="C1637" s="14" t="n"/>
      <c r="D1637" s="15" t="n"/>
      <c r="E1637" s="15" t="n"/>
      <c r="F1637" s="15" t="n"/>
      <c r="G1637" s="15" t="n"/>
      <c r="H1637" s="16">
        <f>IF($A1637="","",$D1637+IF($E1637="",0,$E1637)+IF($F1637="",0,$F1637)-IF($G1637="",0,$G1637))</f>
        <v/>
      </c>
      <c r="I1637" s="12" t="n"/>
      <c r="J1637" s="12" t="n"/>
      <c r="K1637" s="12" t="n"/>
      <c r="L1637" s="14" t="n"/>
      <c r="M1637" s="12" t="n"/>
      <c r="N1637" s="12" t="n"/>
      <c r="O1637" s="12" t="n"/>
    </row>
    <row r="1638">
      <c r="A1638" s="12" t="n"/>
      <c r="B1638" s="13">
        <f>IF($A1638="","",IFERROR(INDEX(Emp_Names,MATCH($A1638,Emp_Codes,0)),"NOT FOUND"))</f>
        <v/>
      </c>
      <c r="C1638" s="14" t="n"/>
      <c r="D1638" s="15" t="n"/>
      <c r="E1638" s="15" t="n"/>
      <c r="F1638" s="15" t="n"/>
      <c r="G1638" s="15" t="n"/>
      <c r="H1638" s="16">
        <f>IF($A1638="","",$D1638+IF($E1638="",0,$E1638)+IF($F1638="",0,$F1638)-IF($G1638="",0,$G1638))</f>
        <v/>
      </c>
      <c r="I1638" s="12" t="n"/>
      <c r="J1638" s="12" t="n"/>
      <c r="K1638" s="12" t="n"/>
      <c r="L1638" s="14" t="n"/>
      <c r="M1638" s="12" t="n"/>
      <c r="N1638" s="12" t="n"/>
      <c r="O1638" s="12" t="n"/>
    </row>
    <row r="1639">
      <c r="A1639" s="12" t="n"/>
      <c r="B1639" s="13">
        <f>IF($A1639="","",IFERROR(INDEX(Emp_Names,MATCH($A1639,Emp_Codes,0)),"NOT FOUND"))</f>
        <v/>
      </c>
      <c r="C1639" s="14" t="n"/>
      <c r="D1639" s="15" t="n"/>
      <c r="E1639" s="15" t="n"/>
      <c r="F1639" s="15" t="n"/>
      <c r="G1639" s="15" t="n"/>
      <c r="H1639" s="16">
        <f>IF($A1639="","",$D1639+IF($E1639="",0,$E1639)+IF($F1639="",0,$F1639)-IF($G1639="",0,$G1639))</f>
        <v/>
      </c>
      <c r="I1639" s="12" t="n"/>
      <c r="J1639" s="12" t="n"/>
      <c r="K1639" s="12" t="n"/>
      <c r="L1639" s="14" t="n"/>
      <c r="M1639" s="12" t="n"/>
      <c r="N1639" s="12" t="n"/>
      <c r="O1639" s="12" t="n"/>
    </row>
    <row r="1640">
      <c r="A1640" s="12" t="n"/>
      <c r="B1640" s="13">
        <f>IF($A1640="","",IFERROR(INDEX(Emp_Names,MATCH($A1640,Emp_Codes,0)),"NOT FOUND"))</f>
        <v/>
      </c>
      <c r="C1640" s="14" t="n"/>
      <c r="D1640" s="15" t="n"/>
      <c r="E1640" s="15" t="n"/>
      <c r="F1640" s="15" t="n"/>
      <c r="G1640" s="15" t="n"/>
      <c r="H1640" s="16">
        <f>IF($A1640="","",$D1640+IF($E1640="",0,$E1640)+IF($F1640="",0,$F1640)-IF($G1640="",0,$G1640))</f>
        <v/>
      </c>
      <c r="I1640" s="12" t="n"/>
      <c r="J1640" s="12" t="n"/>
      <c r="K1640" s="12" t="n"/>
      <c r="L1640" s="14" t="n"/>
      <c r="M1640" s="12" t="n"/>
      <c r="N1640" s="12" t="n"/>
      <c r="O1640" s="12" t="n"/>
    </row>
    <row r="1641">
      <c r="A1641" s="12" t="n"/>
      <c r="B1641" s="13">
        <f>IF($A1641="","",IFERROR(INDEX(Emp_Names,MATCH($A1641,Emp_Codes,0)),"NOT FOUND"))</f>
        <v/>
      </c>
      <c r="C1641" s="14" t="n"/>
      <c r="D1641" s="15" t="n"/>
      <c r="E1641" s="15" t="n"/>
      <c r="F1641" s="15" t="n"/>
      <c r="G1641" s="15" t="n"/>
      <c r="H1641" s="16">
        <f>IF($A1641="","",$D1641+IF($E1641="",0,$E1641)+IF($F1641="",0,$F1641)-IF($G1641="",0,$G1641))</f>
        <v/>
      </c>
      <c r="I1641" s="12" t="n"/>
      <c r="J1641" s="12" t="n"/>
      <c r="K1641" s="12" t="n"/>
      <c r="L1641" s="14" t="n"/>
      <c r="M1641" s="12" t="n"/>
      <c r="N1641" s="12" t="n"/>
      <c r="O1641" s="12" t="n"/>
    </row>
    <row r="1642">
      <c r="A1642" s="12" t="n"/>
      <c r="B1642" s="13">
        <f>IF($A1642="","",IFERROR(INDEX(Emp_Names,MATCH($A1642,Emp_Codes,0)),"NOT FOUND"))</f>
        <v/>
      </c>
      <c r="C1642" s="14" t="n"/>
      <c r="D1642" s="15" t="n"/>
      <c r="E1642" s="15" t="n"/>
      <c r="F1642" s="15" t="n"/>
      <c r="G1642" s="15" t="n"/>
      <c r="H1642" s="16">
        <f>IF($A1642="","",$D1642+IF($E1642="",0,$E1642)+IF($F1642="",0,$F1642)-IF($G1642="",0,$G1642))</f>
        <v/>
      </c>
      <c r="I1642" s="12" t="n"/>
      <c r="J1642" s="12" t="n"/>
      <c r="K1642" s="12" t="n"/>
      <c r="L1642" s="14" t="n"/>
      <c r="M1642" s="12" t="n"/>
      <c r="N1642" s="12" t="n"/>
      <c r="O1642" s="12" t="n"/>
    </row>
    <row r="1643">
      <c r="A1643" s="12" t="n"/>
      <c r="B1643" s="13">
        <f>IF($A1643="","",IFERROR(INDEX(Emp_Names,MATCH($A1643,Emp_Codes,0)),"NOT FOUND"))</f>
        <v/>
      </c>
      <c r="C1643" s="14" t="n"/>
      <c r="D1643" s="15" t="n"/>
      <c r="E1643" s="15" t="n"/>
      <c r="F1643" s="15" t="n"/>
      <c r="G1643" s="15" t="n"/>
      <c r="H1643" s="16">
        <f>IF($A1643="","",$D1643+IF($E1643="",0,$E1643)+IF($F1643="",0,$F1643)-IF($G1643="",0,$G1643))</f>
        <v/>
      </c>
      <c r="I1643" s="12" t="n"/>
      <c r="J1643" s="12" t="n"/>
      <c r="K1643" s="12" t="n"/>
      <c r="L1643" s="14" t="n"/>
      <c r="M1643" s="12" t="n"/>
      <c r="N1643" s="12" t="n"/>
      <c r="O1643" s="12" t="n"/>
    </row>
    <row r="1644">
      <c r="A1644" s="12" t="n"/>
      <c r="B1644" s="13">
        <f>IF($A1644="","",IFERROR(INDEX(Emp_Names,MATCH($A1644,Emp_Codes,0)),"NOT FOUND"))</f>
        <v/>
      </c>
      <c r="C1644" s="14" t="n"/>
      <c r="D1644" s="15" t="n"/>
      <c r="E1644" s="15" t="n"/>
      <c r="F1644" s="15" t="n"/>
      <c r="G1644" s="15" t="n"/>
      <c r="H1644" s="16">
        <f>IF($A1644="","",$D1644+IF($E1644="",0,$E1644)+IF($F1644="",0,$F1644)-IF($G1644="",0,$G1644))</f>
        <v/>
      </c>
      <c r="I1644" s="12" t="n"/>
      <c r="J1644" s="12" t="n"/>
      <c r="K1644" s="12" t="n"/>
      <c r="L1644" s="14" t="n"/>
      <c r="M1644" s="12" t="n"/>
      <c r="N1644" s="12" t="n"/>
      <c r="O1644" s="12" t="n"/>
    </row>
    <row r="1645">
      <c r="A1645" s="12" t="n"/>
      <c r="B1645" s="13">
        <f>IF($A1645="","",IFERROR(INDEX(Emp_Names,MATCH($A1645,Emp_Codes,0)),"NOT FOUND"))</f>
        <v/>
      </c>
      <c r="C1645" s="14" t="n"/>
      <c r="D1645" s="15" t="n"/>
      <c r="E1645" s="15" t="n"/>
      <c r="F1645" s="15" t="n"/>
      <c r="G1645" s="15" t="n"/>
      <c r="H1645" s="16">
        <f>IF($A1645="","",$D1645+IF($E1645="",0,$E1645)+IF($F1645="",0,$F1645)-IF($G1645="",0,$G1645))</f>
        <v/>
      </c>
      <c r="I1645" s="12" t="n"/>
      <c r="J1645" s="12" t="n"/>
      <c r="K1645" s="12" t="n"/>
      <c r="L1645" s="14" t="n"/>
      <c r="M1645" s="12" t="n"/>
      <c r="N1645" s="12" t="n"/>
      <c r="O1645" s="12" t="n"/>
    </row>
    <row r="1646">
      <c r="A1646" s="12" t="n"/>
      <c r="B1646" s="13">
        <f>IF($A1646="","",IFERROR(INDEX(Emp_Names,MATCH($A1646,Emp_Codes,0)),"NOT FOUND"))</f>
        <v/>
      </c>
      <c r="C1646" s="14" t="n"/>
      <c r="D1646" s="15" t="n"/>
      <c r="E1646" s="15" t="n"/>
      <c r="F1646" s="15" t="n"/>
      <c r="G1646" s="15" t="n"/>
      <c r="H1646" s="16">
        <f>IF($A1646="","",$D1646+IF($E1646="",0,$E1646)+IF($F1646="",0,$F1646)-IF($G1646="",0,$G1646))</f>
        <v/>
      </c>
      <c r="I1646" s="12" t="n"/>
      <c r="J1646" s="12" t="n"/>
      <c r="K1646" s="12" t="n"/>
      <c r="L1646" s="14" t="n"/>
      <c r="M1646" s="12" t="n"/>
      <c r="N1646" s="12" t="n"/>
      <c r="O1646" s="12" t="n"/>
    </row>
    <row r="1647">
      <c r="A1647" s="12" t="n"/>
      <c r="B1647" s="13">
        <f>IF($A1647="","",IFERROR(INDEX(Emp_Names,MATCH($A1647,Emp_Codes,0)),"NOT FOUND"))</f>
        <v/>
      </c>
      <c r="C1647" s="14" t="n"/>
      <c r="D1647" s="15" t="n"/>
      <c r="E1647" s="15" t="n"/>
      <c r="F1647" s="15" t="n"/>
      <c r="G1647" s="15" t="n"/>
      <c r="H1647" s="16">
        <f>IF($A1647="","",$D1647+IF($E1647="",0,$E1647)+IF($F1647="",0,$F1647)-IF($G1647="",0,$G1647))</f>
        <v/>
      </c>
      <c r="I1647" s="12" t="n"/>
      <c r="J1647" s="12" t="n"/>
      <c r="K1647" s="12" t="n"/>
      <c r="L1647" s="14" t="n"/>
      <c r="M1647" s="12" t="n"/>
      <c r="N1647" s="12" t="n"/>
      <c r="O1647" s="12" t="n"/>
    </row>
    <row r="1648">
      <c r="A1648" s="12" t="n"/>
      <c r="B1648" s="13">
        <f>IF($A1648="","",IFERROR(INDEX(Emp_Names,MATCH($A1648,Emp_Codes,0)),"NOT FOUND"))</f>
        <v/>
      </c>
      <c r="C1648" s="14" t="n"/>
      <c r="D1648" s="15" t="n"/>
      <c r="E1648" s="15" t="n"/>
      <c r="F1648" s="15" t="n"/>
      <c r="G1648" s="15" t="n"/>
      <c r="H1648" s="16">
        <f>IF($A1648="","",$D1648+IF($E1648="",0,$E1648)+IF($F1648="",0,$F1648)-IF($G1648="",0,$G1648))</f>
        <v/>
      </c>
      <c r="I1648" s="12" t="n"/>
      <c r="J1648" s="12" t="n"/>
      <c r="K1648" s="12" t="n"/>
      <c r="L1648" s="14" t="n"/>
      <c r="M1648" s="12" t="n"/>
      <c r="N1648" s="12" t="n"/>
      <c r="O1648" s="12" t="n"/>
    </row>
    <row r="1649">
      <c r="A1649" s="12" t="n"/>
      <c r="B1649" s="13">
        <f>IF($A1649="","",IFERROR(INDEX(Emp_Names,MATCH($A1649,Emp_Codes,0)),"NOT FOUND"))</f>
        <v/>
      </c>
      <c r="C1649" s="14" t="n"/>
      <c r="D1649" s="15" t="n"/>
      <c r="E1649" s="15" t="n"/>
      <c r="F1649" s="15" t="n"/>
      <c r="G1649" s="15" t="n"/>
      <c r="H1649" s="16">
        <f>IF($A1649="","",$D1649+IF($E1649="",0,$E1649)+IF($F1649="",0,$F1649)-IF($G1649="",0,$G1649))</f>
        <v/>
      </c>
      <c r="I1649" s="12" t="n"/>
      <c r="J1649" s="12" t="n"/>
      <c r="K1649" s="12" t="n"/>
      <c r="L1649" s="14" t="n"/>
      <c r="M1649" s="12" t="n"/>
      <c r="N1649" s="12" t="n"/>
      <c r="O1649" s="12" t="n"/>
    </row>
    <row r="1650">
      <c r="A1650" s="12" t="n"/>
      <c r="B1650" s="13">
        <f>IF($A1650="","",IFERROR(INDEX(Emp_Names,MATCH($A1650,Emp_Codes,0)),"NOT FOUND"))</f>
        <v/>
      </c>
      <c r="C1650" s="14" t="n"/>
      <c r="D1650" s="15" t="n"/>
      <c r="E1650" s="15" t="n"/>
      <c r="F1650" s="15" t="n"/>
      <c r="G1650" s="15" t="n"/>
      <c r="H1650" s="16">
        <f>IF($A1650="","",$D1650+IF($E1650="",0,$E1650)+IF($F1650="",0,$F1650)-IF($G1650="",0,$G1650))</f>
        <v/>
      </c>
      <c r="I1650" s="12" t="n"/>
      <c r="J1650" s="12" t="n"/>
      <c r="K1650" s="12" t="n"/>
      <c r="L1650" s="14" t="n"/>
      <c r="M1650" s="12" t="n"/>
      <c r="N1650" s="12" t="n"/>
      <c r="O1650" s="12" t="n"/>
    </row>
    <row r="1651">
      <c r="A1651" s="12" t="n"/>
      <c r="B1651" s="13">
        <f>IF($A1651="","",IFERROR(INDEX(Emp_Names,MATCH($A1651,Emp_Codes,0)),"NOT FOUND"))</f>
        <v/>
      </c>
      <c r="C1651" s="14" t="n"/>
      <c r="D1651" s="15" t="n"/>
      <c r="E1651" s="15" t="n"/>
      <c r="F1651" s="15" t="n"/>
      <c r="G1651" s="15" t="n"/>
      <c r="H1651" s="16">
        <f>IF($A1651="","",$D1651+IF($E1651="",0,$E1651)+IF($F1651="",0,$F1651)-IF($G1651="",0,$G1651))</f>
        <v/>
      </c>
      <c r="I1651" s="12" t="n"/>
      <c r="J1651" s="12" t="n"/>
      <c r="K1651" s="12" t="n"/>
      <c r="L1651" s="14" t="n"/>
      <c r="M1651" s="12" t="n"/>
      <c r="N1651" s="12" t="n"/>
      <c r="O1651" s="12" t="n"/>
    </row>
    <row r="1652">
      <c r="A1652" s="12" t="n"/>
      <c r="B1652" s="13">
        <f>IF($A1652="","",IFERROR(INDEX(Emp_Names,MATCH($A1652,Emp_Codes,0)),"NOT FOUND"))</f>
        <v/>
      </c>
      <c r="C1652" s="14" t="n"/>
      <c r="D1652" s="15" t="n"/>
      <c r="E1652" s="15" t="n"/>
      <c r="F1652" s="15" t="n"/>
      <c r="G1652" s="15" t="n"/>
      <c r="H1652" s="16">
        <f>IF($A1652="","",$D1652+IF($E1652="",0,$E1652)+IF($F1652="",0,$F1652)-IF($G1652="",0,$G1652))</f>
        <v/>
      </c>
      <c r="I1652" s="12" t="n"/>
      <c r="J1652" s="12" t="n"/>
      <c r="K1652" s="12" t="n"/>
      <c r="L1652" s="14" t="n"/>
      <c r="M1652" s="12" t="n"/>
      <c r="N1652" s="12" t="n"/>
      <c r="O1652" s="12" t="n"/>
    </row>
    <row r="1653">
      <c r="A1653" s="12" t="n"/>
      <c r="B1653" s="13">
        <f>IF($A1653="","",IFERROR(INDEX(Emp_Names,MATCH($A1653,Emp_Codes,0)),"NOT FOUND"))</f>
        <v/>
      </c>
      <c r="C1653" s="14" t="n"/>
      <c r="D1653" s="15" t="n"/>
      <c r="E1653" s="15" t="n"/>
      <c r="F1653" s="15" t="n"/>
      <c r="G1653" s="15" t="n"/>
      <c r="H1653" s="16">
        <f>IF($A1653="","",$D1653+IF($E1653="",0,$E1653)+IF($F1653="",0,$F1653)-IF($G1653="",0,$G1653))</f>
        <v/>
      </c>
      <c r="I1653" s="12" t="n"/>
      <c r="J1653" s="12" t="n"/>
      <c r="K1653" s="12" t="n"/>
      <c r="L1653" s="14" t="n"/>
      <c r="M1653" s="12" t="n"/>
      <c r="N1653" s="12" t="n"/>
      <c r="O1653" s="12" t="n"/>
    </row>
    <row r="1654">
      <c r="A1654" s="12" t="n"/>
      <c r="B1654" s="13">
        <f>IF($A1654="","",IFERROR(INDEX(Emp_Names,MATCH($A1654,Emp_Codes,0)),"NOT FOUND"))</f>
        <v/>
      </c>
      <c r="C1654" s="14" t="n"/>
      <c r="D1654" s="15" t="n"/>
      <c r="E1654" s="15" t="n"/>
      <c r="F1654" s="15" t="n"/>
      <c r="G1654" s="15" t="n"/>
      <c r="H1654" s="16">
        <f>IF($A1654="","",$D1654+IF($E1654="",0,$E1654)+IF($F1654="",0,$F1654)-IF($G1654="",0,$G1654))</f>
        <v/>
      </c>
      <c r="I1654" s="12" t="n"/>
      <c r="J1654" s="12" t="n"/>
      <c r="K1654" s="12" t="n"/>
      <c r="L1654" s="14" t="n"/>
      <c r="M1654" s="12" t="n"/>
      <c r="N1654" s="12" t="n"/>
      <c r="O1654" s="12" t="n"/>
    </row>
    <row r="1655">
      <c r="A1655" s="12" t="n"/>
      <c r="B1655" s="13">
        <f>IF($A1655="","",IFERROR(INDEX(Emp_Names,MATCH($A1655,Emp_Codes,0)),"NOT FOUND"))</f>
        <v/>
      </c>
      <c r="C1655" s="14" t="n"/>
      <c r="D1655" s="15" t="n"/>
      <c r="E1655" s="15" t="n"/>
      <c r="F1655" s="15" t="n"/>
      <c r="G1655" s="15" t="n"/>
      <c r="H1655" s="16">
        <f>IF($A1655="","",$D1655+IF($E1655="",0,$E1655)+IF($F1655="",0,$F1655)-IF($G1655="",0,$G1655))</f>
        <v/>
      </c>
      <c r="I1655" s="12" t="n"/>
      <c r="J1655" s="12" t="n"/>
      <c r="K1655" s="12" t="n"/>
      <c r="L1655" s="14" t="n"/>
      <c r="M1655" s="12" t="n"/>
      <c r="N1655" s="12" t="n"/>
      <c r="O1655" s="12" t="n"/>
    </row>
    <row r="1656">
      <c r="A1656" s="12" t="n"/>
      <c r="B1656" s="13">
        <f>IF($A1656="","",IFERROR(INDEX(Emp_Names,MATCH($A1656,Emp_Codes,0)),"NOT FOUND"))</f>
        <v/>
      </c>
      <c r="C1656" s="14" t="n"/>
      <c r="D1656" s="15" t="n"/>
      <c r="E1656" s="15" t="n"/>
      <c r="F1656" s="15" t="n"/>
      <c r="G1656" s="15" t="n"/>
      <c r="H1656" s="16">
        <f>IF($A1656="","",$D1656+IF($E1656="",0,$E1656)+IF($F1656="",0,$F1656)-IF($G1656="",0,$G1656))</f>
        <v/>
      </c>
      <c r="I1656" s="12" t="n"/>
      <c r="J1656" s="12" t="n"/>
      <c r="K1656" s="12" t="n"/>
      <c r="L1656" s="14" t="n"/>
      <c r="M1656" s="12" t="n"/>
      <c r="N1656" s="12" t="n"/>
      <c r="O1656" s="12" t="n"/>
    </row>
    <row r="1657">
      <c r="A1657" s="12" t="n"/>
      <c r="B1657" s="13">
        <f>IF($A1657="","",IFERROR(INDEX(Emp_Names,MATCH($A1657,Emp_Codes,0)),"NOT FOUND"))</f>
        <v/>
      </c>
      <c r="C1657" s="14" t="n"/>
      <c r="D1657" s="15" t="n"/>
      <c r="E1657" s="15" t="n"/>
      <c r="F1657" s="15" t="n"/>
      <c r="G1657" s="15" t="n"/>
      <c r="H1657" s="16">
        <f>IF($A1657="","",$D1657+IF($E1657="",0,$E1657)+IF($F1657="",0,$F1657)-IF($G1657="",0,$G1657))</f>
        <v/>
      </c>
      <c r="I1657" s="12" t="n"/>
      <c r="J1657" s="12" t="n"/>
      <c r="K1657" s="12" t="n"/>
      <c r="L1657" s="14" t="n"/>
      <c r="M1657" s="12" t="n"/>
      <c r="N1657" s="12" t="n"/>
      <c r="O1657" s="12" t="n"/>
    </row>
    <row r="1658">
      <c r="A1658" s="12" t="n"/>
      <c r="B1658" s="13">
        <f>IF($A1658="","",IFERROR(INDEX(Emp_Names,MATCH($A1658,Emp_Codes,0)),"NOT FOUND"))</f>
        <v/>
      </c>
      <c r="C1658" s="14" t="n"/>
      <c r="D1658" s="15" t="n"/>
      <c r="E1658" s="15" t="n"/>
      <c r="F1658" s="15" t="n"/>
      <c r="G1658" s="15" t="n"/>
      <c r="H1658" s="16">
        <f>IF($A1658="","",$D1658+IF($E1658="",0,$E1658)+IF($F1658="",0,$F1658)-IF($G1658="",0,$G1658))</f>
        <v/>
      </c>
      <c r="I1658" s="12" t="n"/>
      <c r="J1658" s="12" t="n"/>
      <c r="K1658" s="12" t="n"/>
      <c r="L1658" s="14" t="n"/>
      <c r="M1658" s="12" t="n"/>
      <c r="N1658" s="12" t="n"/>
      <c r="O1658" s="12" t="n"/>
    </row>
    <row r="1659">
      <c r="A1659" s="12" t="n"/>
      <c r="B1659" s="13">
        <f>IF($A1659="","",IFERROR(INDEX(Emp_Names,MATCH($A1659,Emp_Codes,0)),"NOT FOUND"))</f>
        <v/>
      </c>
      <c r="C1659" s="14" t="n"/>
      <c r="D1659" s="15" t="n"/>
      <c r="E1659" s="15" t="n"/>
      <c r="F1659" s="15" t="n"/>
      <c r="G1659" s="15" t="n"/>
      <c r="H1659" s="16">
        <f>IF($A1659="","",$D1659+IF($E1659="",0,$E1659)+IF($F1659="",0,$F1659)-IF($G1659="",0,$G1659))</f>
        <v/>
      </c>
      <c r="I1659" s="12" t="n"/>
      <c r="J1659" s="12" t="n"/>
      <c r="K1659" s="12" t="n"/>
      <c r="L1659" s="14" t="n"/>
      <c r="M1659" s="12" t="n"/>
      <c r="N1659" s="12" t="n"/>
      <c r="O1659" s="12" t="n"/>
    </row>
    <row r="1660">
      <c r="A1660" s="12" t="n"/>
      <c r="B1660" s="13">
        <f>IF($A1660="","",IFERROR(INDEX(Emp_Names,MATCH($A1660,Emp_Codes,0)),"NOT FOUND"))</f>
        <v/>
      </c>
      <c r="C1660" s="14" t="n"/>
      <c r="D1660" s="15" t="n"/>
      <c r="E1660" s="15" t="n"/>
      <c r="F1660" s="15" t="n"/>
      <c r="G1660" s="15" t="n"/>
      <c r="H1660" s="16">
        <f>IF($A1660="","",$D1660+IF($E1660="",0,$E1660)+IF($F1660="",0,$F1660)-IF($G1660="",0,$G1660))</f>
        <v/>
      </c>
      <c r="I1660" s="12" t="n"/>
      <c r="J1660" s="12" t="n"/>
      <c r="K1660" s="12" t="n"/>
      <c r="L1660" s="14" t="n"/>
      <c r="M1660" s="12" t="n"/>
      <c r="N1660" s="12" t="n"/>
      <c r="O1660" s="12" t="n"/>
    </row>
    <row r="1661">
      <c r="A1661" s="12" t="n"/>
      <c r="B1661" s="13">
        <f>IF($A1661="","",IFERROR(INDEX(Emp_Names,MATCH($A1661,Emp_Codes,0)),"NOT FOUND"))</f>
        <v/>
      </c>
      <c r="C1661" s="14" t="n"/>
      <c r="D1661" s="15" t="n"/>
      <c r="E1661" s="15" t="n"/>
      <c r="F1661" s="15" t="n"/>
      <c r="G1661" s="15" t="n"/>
      <c r="H1661" s="16">
        <f>IF($A1661="","",$D1661+IF($E1661="",0,$E1661)+IF($F1661="",0,$F1661)-IF($G1661="",0,$G1661))</f>
        <v/>
      </c>
      <c r="I1661" s="12" t="n"/>
      <c r="J1661" s="12" t="n"/>
      <c r="K1661" s="12" t="n"/>
      <c r="L1661" s="14" t="n"/>
      <c r="M1661" s="12" t="n"/>
      <c r="N1661" s="12" t="n"/>
      <c r="O1661" s="12" t="n"/>
    </row>
    <row r="1662">
      <c r="A1662" s="12" t="n"/>
      <c r="B1662" s="13">
        <f>IF($A1662="","",IFERROR(INDEX(Emp_Names,MATCH($A1662,Emp_Codes,0)),"NOT FOUND"))</f>
        <v/>
      </c>
      <c r="C1662" s="14" t="n"/>
      <c r="D1662" s="15" t="n"/>
      <c r="E1662" s="15" t="n"/>
      <c r="F1662" s="15" t="n"/>
      <c r="G1662" s="15" t="n"/>
      <c r="H1662" s="16">
        <f>IF($A1662="","",$D1662+IF($E1662="",0,$E1662)+IF($F1662="",0,$F1662)-IF($G1662="",0,$G1662))</f>
        <v/>
      </c>
      <c r="I1662" s="12" t="n"/>
      <c r="J1662" s="12" t="n"/>
      <c r="K1662" s="12" t="n"/>
      <c r="L1662" s="14" t="n"/>
      <c r="M1662" s="12" t="n"/>
      <c r="N1662" s="12" t="n"/>
      <c r="O1662" s="12" t="n"/>
    </row>
    <row r="1663">
      <c r="A1663" s="12" t="n"/>
      <c r="B1663" s="13">
        <f>IF($A1663="","",IFERROR(INDEX(Emp_Names,MATCH($A1663,Emp_Codes,0)),"NOT FOUND"))</f>
        <v/>
      </c>
      <c r="C1663" s="14" t="n"/>
      <c r="D1663" s="15" t="n"/>
      <c r="E1663" s="15" t="n"/>
      <c r="F1663" s="15" t="n"/>
      <c r="G1663" s="15" t="n"/>
      <c r="H1663" s="16">
        <f>IF($A1663="","",$D1663+IF($E1663="",0,$E1663)+IF($F1663="",0,$F1663)-IF($G1663="",0,$G1663))</f>
        <v/>
      </c>
      <c r="I1663" s="12" t="n"/>
      <c r="J1663" s="12" t="n"/>
      <c r="K1663" s="12" t="n"/>
      <c r="L1663" s="14" t="n"/>
      <c r="M1663" s="12" t="n"/>
      <c r="N1663" s="12" t="n"/>
      <c r="O1663" s="12" t="n"/>
    </row>
    <row r="1664">
      <c r="A1664" s="12" t="n"/>
      <c r="B1664" s="13">
        <f>IF($A1664="","",IFERROR(INDEX(Emp_Names,MATCH($A1664,Emp_Codes,0)),"NOT FOUND"))</f>
        <v/>
      </c>
      <c r="C1664" s="14" t="n"/>
      <c r="D1664" s="15" t="n"/>
      <c r="E1664" s="15" t="n"/>
      <c r="F1664" s="15" t="n"/>
      <c r="G1664" s="15" t="n"/>
      <c r="H1664" s="16">
        <f>IF($A1664="","",$D1664+IF($E1664="",0,$E1664)+IF($F1664="",0,$F1664)-IF($G1664="",0,$G1664))</f>
        <v/>
      </c>
      <c r="I1664" s="12" t="n"/>
      <c r="J1664" s="12" t="n"/>
      <c r="K1664" s="12" t="n"/>
      <c r="L1664" s="14" t="n"/>
      <c r="M1664" s="12" t="n"/>
      <c r="N1664" s="12" t="n"/>
      <c r="O1664" s="12" t="n"/>
    </row>
    <row r="1665">
      <c r="A1665" s="12" t="n"/>
      <c r="B1665" s="13">
        <f>IF($A1665="","",IFERROR(INDEX(Emp_Names,MATCH($A1665,Emp_Codes,0)),"NOT FOUND"))</f>
        <v/>
      </c>
      <c r="C1665" s="14" t="n"/>
      <c r="D1665" s="15" t="n"/>
      <c r="E1665" s="15" t="n"/>
      <c r="F1665" s="15" t="n"/>
      <c r="G1665" s="15" t="n"/>
      <c r="H1665" s="16">
        <f>IF($A1665="","",$D1665+IF($E1665="",0,$E1665)+IF($F1665="",0,$F1665)-IF($G1665="",0,$G1665))</f>
        <v/>
      </c>
      <c r="I1665" s="12" t="n"/>
      <c r="J1665" s="12" t="n"/>
      <c r="K1665" s="12" t="n"/>
      <c r="L1665" s="14" t="n"/>
      <c r="M1665" s="12" t="n"/>
      <c r="N1665" s="12" t="n"/>
      <c r="O1665" s="12" t="n"/>
    </row>
    <row r="1666">
      <c r="A1666" s="12" t="n"/>
      <c r="B1666" s="13">
        <f>IF($A1666="","",IFERROR(INDEX(Emp_Names,MATCH($A1666,Emp_Codes,0)),"NOT FOUND"))</f>
        <v/>
      </c>
      <c r="C1666" s="14" t="n"/>
      <c r="D1666" s="15" t="n"/>
      <c r="E1666" s="15" t="n"/>
      <c r="F1666" s="15" t="n"/>
      <c r="G1666" s="15" t="n"/>
      <c r="H1666" s="16">
        <f>IF($A1666="","",$D1666+IF($E1666="",0,$E1666)+IF($F1666="",0,$F1666)-IF($G1666="",0,$G1666))</f>
        <v/>
      </c>
      <c r="I1666" s="12" t="n"/>
      <c r="J1666" s="12" t="n"/>
      <c r="K1666" s="12" t="n"/>
      <c r="L1666" s="14" t="n"/>
      <c r="M1666" s="12" t="n"/>
      <c r="N1666" s="12" t="n"/>
      <c r="O1666" s="12" t="n"/>
    </row>
    <row r="1667">
      <c r="A1667" s="12" t="n"/>
      <c r="B1667" s="13">
        <f>IF($A1667="","",IFERROR(INDEX(Emp_Names,MATCH($A1667,Emp_Codes,0)),"NOT FOUND"))</f>
        <v/>
      </c>
      <c r="C1667" s="14" t="n"/>
      <c r="D1667" s="15" t="n"/>
      <c r="E1667" s="15" t="n"/>
      <c r="F1667" s="15" t="n"/>
      <c r="G1667" s="15" t="n"/>
      <c r="H1667" s="16">
        <f>IF($A1667="","",$D1667+IF($E1667="",0,$E1667)+IF($F1667="",0,$F1667)-IF($G1667="",0,$G1667))</f>
        <v/>
      </c>
      <c r="I1667" s="12" t="n"/>
      <c r="J1667" s="12" t="n"/>
      <c r="K1667" s="12" t="n"/>
      <c r="L1667" s="14" t="n"/>
      <c r="M1667" s="12" t="n"/>
      <c r="N1667" s="12" t="n"/>
      <c r="O1667" s="12" t="n"/>
    </row>
    <row r="1668">
      <c r="A1668" s="12" t="n"/>
      <c r="B1668" s="13">
        <f>IF($A1668="","",IFERROR(INDEX(Emp_Names,MATCH($A1668,Emp_Codes,0)),"NOT FOUND"))</f>
        <v/>
      </c>
      <c r="C1668" s="14" t="n"/>
      <c r="D1668" s="15" t="n"/>
      <c r="E1668" s="15" t="n"/>
      <c r="F1668" s="15" t="n"/>
      <c r="G1668" s="15" t="n"/>
      <c r="H1668" s="16">
        <f>IF($A1668="","",$D1668+IF($E1668="",0,$E1668)+IF($F1668="",0,$F1668)-IF($G1668="",0,$G1668))</f>
        <v/>
      </c>
      <c r="I1668" s="12" t="n"/>
      <c r="J1668" s="12" t="n"/>
      <c r="K1668" s="12" t="n"/>
      <c r="L1668" s="14" t="n"/>
      <c r="M1668" s="12" t="n"/>
      <c r="N1668" s="12" t="n"/>
      <c r="O1668" s="12" t="n"/>
    </row>
    <row r="1669">
      <c r="A1669" s="12" t="n"/>
      <c r="B1669" s="13">
        <f>IF($A1669="","",IFERROR(INDEX(Emp_Names,MATCH($A1669,Emp_Codes,0)),"NOT FOUND"))</f>
        <v/>
      </c>
      <c r="C1669" s="14" t="n"/>
      <c r="D1669" s="15" t="n"/>
      <c r="E1669" s="15" t="n"/>
      <c r="F1669" s="15" t="n"/>
      <c r="G1669" s="15" t="n"/>
      <c r="H1669" s="16">
        <f>IF($A1669="","",$D1669+IF($E1669="",0,$E1669)+IF($F1669="",0,$F1669)-IF($G1669="",0,$G1669))</f>
        <v/>
      </c>
      <c r="I1669" s="12" t="n"/>
      <c r="J1669" s="12" t="n"/>
      <c r="K1669" s="12" t="n"/>
      <c r="L1669" s="14" t="n"/>
      <c r="M1669" s="12" t="n"/>
      <c r="N1669" s="12" t="n"/>
      <c r="O1669" s="12" t="n"/>
    </row>
    <row r="1670">
      <c r="A1670" s="12" t="n"/>
      <c r="B1670" s="13">
        <f>IF($A1670="","",IFERROR(INDEX(Emp_Names,MATCH($A1670,Emp_Codes,0)),"NOT FOUND"))</f>
        <v/>
      </c>
      <c r="C1670" s="14" t="n"/>
      <c r="D1670" s="15" t="n"/>
      <c r="E1670" s="15" t="n"/>
      <c r="F1670" s="15" t="n"/>
      <c r="G1670" s="15" t="n"/>
      <c r="H1670" s="16">
        <f>IF($A1670="","",$D1670+IF($E1670="",0,$E1670)+IF($F1670="",0,$F1670)-IF($G1670="",0,$G1670))</f>
        <v/>
      </c>
      <c r="I1670" s="12" t="n"/>
      <c r="J1670" s="12" t="n"/>
      <c r="K1670" s="12" t="n"/>
      <c r="L1670" s="14" t="n"/>
      <c r="M1670" s="12" t="n"/>
      <c r="N1670" s="12" t="n"/>
      <c r="O1670" s="12" t="n"/>
    </row>
    <row r="1671">
      <c r="A1671" s="12" t="n"/>
      <c r="B1671" s="13">
        <f>IF($A1671="","",IFERROR(INDEX(Emp_Names,MATCH($A1671,Emp_Codes,0)),"NOT FOUND"))</f>
        <v/>
      </c>
      <c r="C1671" s="14" t="n"/>
      <c r="D1671" s="15" t="n"/>
      <c r="E1671" s="15" t="n"/>
      <c r="F1671" s="15" t="n"/>
      <c r="G1671" s="15" t="n"/>
      <c r="H1671" s="16">
        <f>IF($A1671="","",$D1671+IF($E1671="",0,$E1671)+IF($F1671="",0,$F1671)-IF($G1671="",0,$G1671))</f>
        <v/>
      </c>
      <c r="I1671" s="12" t="n"/>
      <c r="J1671" s="12" t="n"/>
      <c r="K1671" s="12" t="n"/>
      <c r="L1671" s="14" t="n"/>
      <c r="M1671" s="12" t="n"/>
      <c r="N1671" s="12" t="n"/>
      <c r="O1671" s="12" t="n"/>
    </row>
    <row r="1672">
      <c r="A1672" s="12" t="n"/>
      <c r="B1672" s="13">
        <f>IF($A1672="","",IFERROR(INDEX(Emp_Names,MATCH($A1672,Emp_Codes,0)),"NOT FOUND"))</f>
        <v/>
      </c>
      <c r="C1672" s="14" t="n"/>
      <c r="D1672" s="15" t="n"/>
      <c r="E1672" s="15" t="n"/>
      <c r="F1672" s="15" t="n"/>
      <c r="G1672" s="15" t="n"/>
      <c r="H1672" s="16">
        <f>IF($A1672="","",$D1672+IF($E1672="",0,$E1672)+IF($F1672="",0,$F1672)-IF($G1672="",0,$G1672))</f>
        <v/>
      </c>
      <c r="I1672" s="12" t="n"/>
      <c r="J1672" s="12" t="n"/>
      <c r="K1672" s="12" t="n"/>
      <c r="L1672" s="14" t="n"/>
      <c r="M1672" s="12" t="n"/>
      <c r="N1672" s="12" t="n"/>
      <c r="O1672" s="12" t="n"/>
    </row>
    <row r="1673">
      <c r="A1673" s="12" t="n"/>
      <c r="B1673" s="13">
        <f>IF($A1673="","",IFERROR(INDEX(Emp_Names,MATCH($A1673,Emp_Codes,0)),"NOT FOUND"))</f>
        <v/>
      </c>
      <c r="C1673" s="14" t="n"/>
      <c r="D1673" s="15" t="n"/>
      <c r="E1673" s="15" t="n"/>
      <c r="F1673" s="15" t="n"/>
      <c r="G1673" s="15" t="n"/>
      <c r="H1673" s="16">
        <f>IF($A1673="","",$D1673+IF($E1673="",0,$E1673)+IF($F1673="",0,$F1673)-IF($G1673="",0,$G1673))</f>
        <v/>
      </c>
      <c r="I1673" s="12" t="n"/>
      <c r="J1673" s="12" t="n"/>
      <c r="K1673" s="12" t="n"/>
      <c r="L1673" s="14" t="n"/>
      <c r="M1673" s="12" t="n"/>
      <c r="N1673" s="12" t="n"/>
      <c r="O1673" s="12" t="n"/>
    </row>
    <row r="1674">
      <c r="A1674" s="12" t="n"/>
      <c r="B1674" s="13">
        <f>IF($A1674="","",IFERROR(INDEX(Emp_Names,MATCH($A1674,Emp_Codes,0)),"NOT FOUND"))</f>
        <v/>
      </c>
      <c r="C1674" s="14" t="n"/>
      <c r="D1674" s="15" t="n"/>
      <c r="E1674" s="15" t="n"/>
      <c r="F1674" s="15" t="n"/>
      <c r="G1674" s="15" t="n"/>
      <c r="H1674" s="16">
        <f>IF($A1674="","",$D1674+IF($E1674="",0,$E1674)+IF($F1674="",0,$F1674)-IF($G1674="",0,$G1674))</f>
        <v/>
      </c>
      <c r="I1674" s="12" t="n"/>
      <c r="J1674" s="12" t="n"/>
      <c r="K1674" s="12" t="n"/>
      <c r="L1674" s="14" t="n"/>
      <c r="M1674" s="12" t="n"/>
      <c r="N1674" s="12" t="n"/>
      <c r="O1674" s="12" t="n"/>
    </row>
    <row r="1675">
      <c r="A1675" s="12" t="n"/>
      <c r="B1675" s="13">
        <f>IF($A1675="","",IFERROR(INDEX(Emp_Names,MATCH($A1675,Emp_Codes,0)),"NOT FOUND"))</f>
        <v/>
      </c>
      <c r="C1675" s="14" t="n"/>
      <c r="D1675" s="15" t="n"/>
      <c r="E1675" s="15" t="n"/>
      <c r="F1675" s="15" t="n"/>
      <c r="G1675" s="15" t="n"/>
      <c r="H1675" s="16">
        <f>IF($A1675="","",$D1675+IF($E1675="",0,$E1675)+IF($F1675="",0,$F1675)-IF($G1675="",0,$G1675))</f>
        <v/>
      </c>
      <c r="I1675" s="12" t="n"/>
      <c r="J1675" s="12" t="n"/>
      <c r="K1675" s="12" t="n"/>
      <c r="L1675" s="14" t="n"/>
      <c r="M1675" s="12" t="n"/>
      <c r="N1675" s="12" t="n"/>
      <c r="O1675" s="12" t="n"/>
    </row>
    <row r="1676">
      <c r="A1676" s="12" t="n"/>
      <c r="B1676" s="13">
        <f>IF($A1676="","",IFERROR(INDEX(Emp_Names,MATCH($A1676,Emp_Codes,0)),"NOT FOUND"))</f>
        <v/>
      </c>
      <c r="C1676" s="14" t="n"/>
      <c r="D1676" s="15" t="n"/>
      <c r="E1676" s="15" t="n"/>
      <c r="F1676" s="15" t="n"/>
      <c r="G1676" s="15" t="n"/>
      <c r="H1676" s="16">
        <f>IF($A1676="","",$D1676+IF($E1676="",0,$E1676)+IF($F1676="",0,$F1676)-IF($G1676="",0,$G1676))</f>
        <v/>
      </c>
      <c r="I1676" s="12" t="n"/>
      <c r="J1676" s="12" t="n"/>
      <c r="K1676" s="12" t="n"/>
      <c r="L1676" s="14" t="n"/>
      <c r="M1676" s="12" t="n"/>
      <c r="N1676" s="12" t="n"/>
      <c r="O1676" s="12" t="n"/>
    </row>
    <row r="1677">
      <c r="A1677" s="12" t="n"/>
      <c r="B1677" s="13">
        <f>IF($A1677="","",IFERROR(INDEX(Emp_Names,MATCH($A1677,Emp_Codes,0)),"NOT FOUND"))</f>
        <v/>
      </c>
      <c r="C1677" s="14" t="n"/>
      <c r="D1677" s="15" t="n"/>
      <c r="E1677" s="15" t="n"/>
      <c r="F1677" s="15" t="n"/>
      <c r="G1677" s="15" t="n"/>
      <c r="H1677" s="16">
        <f>IF($A1677="","",$D1677+IF($E1677="",0,$E1677)+IF($F1677="",0,$F1677)-IF($G1677="",0,$G1677))</f>
        <v/>
      </c>
      <c r="I1677" s="12" t="n"/>
      <c r="J1677" s="12" t="n"/>
      <c r="K1677" s="12" t="n"/>
      <c r="L1677" s="14" t="n"/>
      <c r="M1677" s="12" t="n"/>
      <c r="N1677" s="12" t="n"/>
      <c r="O1677" s="12" t="n"/>
    </row>
    <row r="1678">
      <c r="A1678" s="12" t="n"/>
      <c r="B1678" s="13">
        <f>IF($A1678="","",IFERROR(INDEX(Emp_Names,MATCH($A1678,Emp_Codes,0)),"NOT FOUND"))</f>
        <v/>
      </c>
      <c r="C1678" s="14" t="n"/>
      <c r="D1678" s="15" t="n"/>
      <c r="E1678" s="15" t="n"/>
      <c r="F1678" s="15" t="n"/>
      <c r="G1678" s="15" t="n"/>
      <c r="H1678" s="16">
        <f>IF($A1678="","",$D1678+IF($E1678="",0,$E1678)+IF($F1678="",0,$F1678)-IF($G1678="",0,$G1678))</f>
        <v/>
      </c>
      <c r="I1678" s="12" t="n"/>
      <c r="J1678" s="12" t="n"/>
      <c r="K1678" s="12" t="n"/>
      <c r="L1678" s="14" t="n"/>
      <c r="M1678" s="12" t="n"/>
      <c r="N1678" s="12" t="n"/>
      <c r="O1678" s="12" t="n"/>
    </row>
    <row r="1679">
      <c r="A1679" s="12" t="n"/>
      <c r="B1679" s="13">
        <f>IF($A1679="","",IFERROR(INDEX(Emp_Names,MATCH($A1679,Emp_Codes,0)),"NOT FOUND"))</f>
        <v/>
      </c>
      <c r="C1679" s="14" t="n"/>
      <c r="D1679" s="15" t="n"/>
      <c r="E1679" s="15" t="n"/>
      <c r="F1679" s="15" t="n"/>
      <c r="G1679" s="15" t="n"/>
      <c r="H1679" s="16">
        <f>IF($A1679="","",$D1679+IF($E1679="",0,$E1679)+IF($F1679="",0,$F1679)-IF($G1679="",0,$G1679))</f>
        <v/>
      </c>
      <c r="I1679" s="12" t="n"/>
      <c r="J1679" s="12" t="n"/>
      <c r="K1679" s="12" t="n"/>
      <c r="L1679" s="14" t="n"/>
      <c r="M1679" s="12" t="n"/>
      <c r="N1679" s="12" t="n"/>
      <c r="O1679" s="12" t="n"/>
    </row>
    <row r="1680">
      <c r="A1680" s="12" t="n"/>
      <c r="B1680" s="13">
        <f>IF($A1680="","",IFERROR(INDEX(Emp_Names,MATCH($A1680,Emp_Codes,0)),"NOT FOUND"))</f>
        <v/>
      </c>
      <c r="C1680" s="14" t="n"/>
      <c r="D1680" s="15" t="n"/>
      <c r="E1680" s="15" t="n"/>
      <c r="F1680" s="15" t="n"/>
      <c r="G1680" s="15" t="n"/>
      <c r="H1680" s="16">
        <f>IF($A1680="","",$D1680+IF($E1680="",0,$E1680)+IF($F1680="",0,$F1680)-IF($G1680="",0,$G1680))</f>
        <v/>
      </c>
      <c r="I1680" s="12" t="n"/>
      <c r="J1680" s="12" t="n"/>
      <c r="K1680" s="12" t="n"/>
      <c r="L1680" s="14" t="n"/>
      <c r="M1680" s="12" t="n"/>
      <c r="N1680" s="12" t="n"/>
      <c r="O1680" s="12" t="n"/>
    </row>
    <row r="1681">
      <c r="A1681" s="12" t="n"/>
      <c r="B1681" s="13">
        <f>IF($A1681="","",IFERROR(INDEX(Emp_Names,MATCH($A1681,Emp_Codes,0)),"NOT FOUND"))</f>
        <v/>
      </c>
      <c r="C1681" s="14" t="n"/>
      <c r="D1681" s="15" t="n"/>
      <c r="E1681" s="15" t="n"/>
      <c r="F1681" s="15" t="n"/>
      <c r="G1681" s="15" t="n"/>
      <c r="H1681" s="16">
        <f>IF($A1681="","",$D1681+IF($E1681="",0,$E1681)+IF($F1681="",0,$F1681)-IF($G1681="",0,$G1681))</f>
        <v/>
      </c>
      <c r="I1681" s="12" t="n"/>
      <c r="J1681" s="12" t="n"/>
      <c r="K1681" s="12" t="n"/>
      <c r="L1681" s="14" t="n"/>
      <c r="M1681" s="12" t="n"/>
      <c r="N1681" s="12" t="n"/>
      <c r="O1681" s="12" t="n"/>
    </row>
    <row r="1682">
      <c r="A1682" s="12" t="n"/>
      <c r="B1682" s="13">
        <f>IF($A1682="","",IFERROR(INDEX(Emp_Names,MATCH($A1682,Emp_Codes,0)),"NOT FOUND"))</f>
        <v/>
      </c>
      <c r="C1682" s="14" t="n"/>
      <c r="D1682" s="15" t="n"/>
      <c r="E1682" s="15" t="n"/>
      <c r="F1682" s="15" t="n"/>
      <c r="G1682" s="15" t="n"/>
      <c r="H1682" s="16">
        <f>IF($A1682="","",$D1682+IF($E1682="",0,$E1682)+IF($F1682="",0,$F1682)-IF($G1682="",0,$G1682))</f>
        <v/>
      </c>
      <c r="I1682" s="12" t="n"/>
      <c r="J1682" s="12" t="n"/>
      <c r="K1682" s="12" t="n"/>
      <c r="L1682" s="14" t="n"/>
      <c r="M1682" s="12" t="n"/>
      <c r="N1682" s="12" t="n"/>
      <c r="O1682" s="12" t="n"/>
    </row>
    <row r="1683">
      <c r="A1683" s="12" t="n"/>
      <c r="B1683" s="13">
        <f>IF($A1683="","",IFERROR(INDEX(Emp_Names,MATCH($A1683,Emp_Codes,0)),"NOT FOUND"))</f>
        <v/>
      </c>
      <c r="C1683" s="14" t="n"/>
      <c r="D1683" s="15" t="n"/>
      <c r="E1683" s="15" t="n"/>
      <c r="F1683" s="15" t="n"/>
      <c r="G1683" s="15" t="n"/>
      <c r="H1683" s="16">
        <f>IF($A1683="","",$D1683+IF($E1683="",0,$E1683)+IF($F1683="",0,$F1683)-IF($G1683="",0,$G1683))</f>
        <v/>
      </c>
      <c r="I1683" s="12" t="n"/>
      <c r="J1683" s="12" t="n"/>
      <c r="K1683" s="12" t="n"/>
      <c r="L1683" s="14" t="n"/>
      <c r="M1683" s="12" t="n"/>
      <c r="N1683" s="12" t="n"/>
      <c r="O1683" s="12" t="n"/>
    </row>
    <row r="1684">
      <c r="A1684" s="12" t="n"/>
      <c r="B1684" s="13">
        <f>IF($A1684="","",IFERROR(INDEX(Emp_Names,MATCH($A1684,Emp_Codes,0)),"NOT FOUND"))</f>
        <v/>
      </c>
      <c r="C1684" s="14" t="n"/>
      <c r="D1684" s="15" t="n"/>
      <c r="E1684" s="15" t="n"/>
      <c r="F1684" s="15" t="n"/>
      <c r="G1684" s="15" t="n"/>
      <c r="H1684" s="16">
        <f>IF($A1684="","",$D1684+IF($E1684="",0,$E1684)+IF($F1684="",0,$F1684)-IF($G1684="",0,$G1684))</f>
        <v/>
      </c>
      <c r="I1684" s="12" t="n"/>
      <c r="J1684" s="12" t="n"/>
      <c r="K1684" s="12" t="n"/>
      <c r="L1684" s="14" t="n"/>
      <c r="M1684" s="12" t="n"/>
      <c r="N1684" s="12" t="n"/>
      <c r="O1684" s="12" t="n"/>
    </row>
    <row r="1685">
      <c r="A1685" s="12" t="n"/>
      <c r="B1685" s="13">
        <f>IF($A1685="","",IFERROR(INDEX(Emp_Names,MATCH($A1685,Emp_Codes,0)),"NOT FOUND"))</f>
        <v/>
      </c>
      <c r="C1685" s="14" t="n"/>
      <c r="D1685" s="15" t="n"/>
      <c r="E1685" s="15" t="n"/>
      <c r="F1685" s="15" t="n"/>
      <c r="G1685" s="15" t="n"/>
      <c r="H1685" s="16">
        <f>IF($A1685="","",$D1685+IF($E1685="",0,$E1685)+IF($F1685="",0,$F1685)-IF($G1685="",0,$G1685))</f>
        <v/>
      </c>
      <c r="I1685" s="12" t="n"/>
      <c r="J1685" s="12" t="n"/>
      <c r="K1685" s="12" t="n"/>
      <c r="L1685" s="14" t="n"/>
      <c r="M1685" s="12" t="n"/>
      <c r="N1685" s="12" t="n"/>
      <c r="O1685" s="12" t="n"/>
    </row>
    <row r="1686">
      <c r="A1686" s="12" t="n"/>
      <c r="B1686" s="13">
        <f>IF($A1686="","",IFERROR(INDEX(Emp_Names,MATCH($A1686,Emp_Codes,0)),"NOT FOUND"))</f>
        <v/>
      </c>
      <c r="C1686" s="14" t="n"/>
      <c r="D1686" s="15" t="n"/>
      <c r="E1686" s="15" t="n"/>
      <c r="F1686" s="15" t="n"/>
      <c r="G1686" s="15" t="n"/>
      <c r="H1686" s="16">
        <f>IF($A1686="","",$D1686+IF($E1686="",0,$E1686)+IF($F1686="",0,$F1686)-IF($G1686="",0,$G1686))</f>
        <v/>
      </c>
      <c r="I1686" s="12" t="n"/>
      <c r="J1686" s="12" t="n"/>
      <c r="K1686" s="12" t="n"/>
      <c r="L1686" s="14" t="n"/>
      <c r="M1686" s="12" t="n"/>
      <c r="N1686" s="12" t="n"/>
      <c r="O1686" s="12" t="n"/>
    </row>
    <row r="1687">
      <c r="A1687" s="12" t="n"/>
      <c r="B1687" s="13">
        <f>IF($A1687="","",IFERROR(INDEX(Emp_Names,MATCH($A1687,Emp_Codes,0)),"NOT FOUND"))</f>
        <v/>
      </c>
      <c r="C1687" s="14" t="n"/>
      <c r="D1687" s="15" t="n"/>
      <c r="E1687" s="15" t="n"/>
      <c r="F1687" s="15" t="n"/>
      <c r="G1687" s="15" t="n"/>
      <c r="H1687" s="16">
        <f>IF($A1687="","",$D1687+IF($E1687="",0,$E1687)+IF($F1687="",0,$F1687)-IF($G1687="",0,$G1687))</f>
        <v/>
      </c>
      <c r="I1687" s="12" t="n"/>
      <c r="J1687" s="12" t="n"/>
      <c r="K1687" s="12" t="n"/>
      <c r="L1687" s="14" t="n"/>
      <c r="M1687" s="12" t="n"/>
      <c r="N1687" s="12" t="n"/>
      <c r="O1687" s="12" t="n"/>
    </row>
    <row r="1688">
      <c r="A1688" s="12" t="n"/>
      <c r="B1688" s="13">
        <f>IF($A1688="","",IFERROR(INDEX(Emp_Names,MATCH($A1688,Emp_Codes,0)),"NOT FOUND"))</f>
        <v/>
      </c>
      <c r="C1688" s="14" t="n"/>
      <c r="D1688" s="15" t="n"/>
      <c r="E1688" s="15" t="n"/>
      <c r="F1688" s="15" t="n"/>
      <c r="G1688" s="15" t="n"/>
      <c r="H1688" s="16">
        <f>IF($A1688="","",$D1688+IF($E1688="",0,$E1688)+IF($F1688="",0,$F1688)-IF($G1688="",0,$G1688))</f>
        <v/>
      </c>
      <c r="I1688" s="12" t="n"/>
      <c r="J1688" s="12" t="n"/>
      <c r="K1688" s="12" t="n"/>
      <c r="L1688" s="14" t="n"/>
      <c r="M1688" s="12" t="n"/>
      <c r="N1688" s="12" t="n"/>
      <c r="O1688" s="12" t="n"/>
    </row>
    <row r="1689">
      <c r="A1689" s="12" t="n"/>
      <c r="B1689" s="13">
        <f>IF($A1689="","",IFERROR(INDEX(Emp_Names,MATCH($A1689,Emp_Codes,0)),"NOT FOUND"))</f>
        <v/>
      </c>
      <c r="C1689" s="14" t="n"/>
      <c r="D1689" s="15" t="n"/>
      <c r="E1689" s="15" t="n"/>
      <c r="F1689" s="15" t="n"/>
      <c r="G1689" s="15" t="n"/>
      <c r="H1689" s="16">
        <f>IF($A1689="","",$D1689+IF($E1689="",0,$E1689)+IF($F1689="",0,$F1689)-IF($G1689="",0,$G1689))</f>
        <v/>
      </c>
      <c r="I1689" s="12" t="n"/>
      <c r="J1689" s="12" t="n"/>
      <c r="K1689" s="12" t="n"/>
      <c r="L1689" s="14" t="n"/>
      <c r="M1689" s="12" t="n"/>
      <c r="N1689" s="12" t="n"/>
      <c r="O1689" s="12" t="n"/>
    </row>
    <row r="1690">
      <c r="A1690" s="12" t="n"/>
      <c r="B1690" s="13">
        <f>IF($A1690="","",IFERROR(INDEX(Emp_Names,MATCH($A1690,Emp_Codes,0)),"NOT FOUND"))</f>
        <v/>
      </c>
      <c r="C1690" s="14" t="n"/>
      <c r="D1690" s="15" t="n"/>
      <c r="E1690" s="15" t="n"/>
      <c r="F1690" s="15" t="n"/>
      <c r="G1690" s="15" t="n"/>
      <c r="H1690" s="16">
        <f>IF($A1690="","",$D1690+IF($E1690="",0,$E1690)+IF($F1690="",0,$F1690)-IF($G1690="",0,$G1690))</f>
        <v/>
      </c>
      <c r="I1690" s="12" t="n"/>
      <c r="J1690" s="12" t="n"/>
      <c r="K1690" s="12" t="n"/>
      <c r="L1690" s="14" t="n"/>
      <c r="M1690" s="12" t="n"/>
      <c r="N1690" s="12" t="n"/>
      <c r="O1690" s="12" t="n"/>
    </row>
    <row r="1691">
      <c r="A1691" s="12" t="n"/>
      <c r="B1691" s="13">
        <f>IF($A1691="","",IFERROR(INDEX(Emp_Names,MATCH($A1691,Emp_Codes,0)),"NOT FOUND"))</f>
        <v/>
      </c>
      <c r="C1691" s="14" t="n"/>
      <c r="D1691" s="15" t="n"/>
      <c r="E1691" s="15" t="n"/>
      <c r="F1691" s="15" t="n"/>
      <c r="G1691" s="15" t="n"/>
      <c r="H1691" s="16">
        <f>IF($A1691="","",$D1691+IF($E1691="",0,$E1691)+IF($F1691="",0,$F1691)-IF($G1691="",0,$G1691))</f>
        <v/>
      </c>
      <c r="I1691" s="12" t="n"/>
      <c r="J1691" s="12" t="n"/>
      <c r="K1691" s="12" t="n"/>
      <c r="L1691" s="14" t="n"/>
      <c r="M1691" s="12" t="n"/>
      <c r="N1691" s="12" t="n"/>
      <c r="O1691" s="12" t="n"/>
    </row>
    <row r="1692">
      <c r="A1692" s="12" t="n"/>
      <c r="B1692" s="13">
        <f>IF($A1692="","",IFERROR(INDEX(Emp_Names,MATCH($A1692,Emp_Codes,0)),"NOT FOUND"))</f>
        <v/>
      </c>
      <c r="C1692" s="14" t="n"/>
      <c r="D1692" s="15" t="n"/>
      <c r="E1692" s="15" t="n"/>
      <c r="F1692" s="15" t="n"/>
      <c r="G1692" s="15" t="n"/>
      <c r="H1692" s="16">
        <f>IF($A1692="","",$D1692+IF($E1692="",0,$E1692)+IF($F1692="",0,$F1692)-IF($G1692="",0,$G1692))</f>
        <v/>
      </c>
      <c r="I1692" s="12" t="n"/>
      <c r="J1692" s="12" t="n"/>
      <c r="K1692" s="12" t="n"/>
      <c r="L1692" s="14" t="n"/>
      <c r="M1692" s="12" t="n"/>
      <c r="N1692" s="12" t="n"/>
      <c r="O1692" s="12" t="n"/>
    </row>
    <row r="1693">
      <c r="A1693" s="12" t="n"/>
      <c r="B1693" s="13">
        <f>IF($A1693="","",IFERROR(INDEX(Emp_Names,MATCH($A1693,Emp_Codes,0)),"NOT FOUND"))</f>
        <v/>
      </c>
      <c r="C1693" s="14" t="n"/>
      <c r="D1693" s="15" t="n"/>
      <c r="E1693" s="15" t="n"/>
      <c r="F1693" s="15" t="n"/>
      <c r="G1693" s="15" t="n"/>
      <c r="H1693" s="16">
        <f>IF($A1693="","",$D1693+IF($E1693="",0,$E1693)+IF($F1693="",0,$F1693)-IF($G1693="",0,$G1693))</f>
        <v/>
      </c>
      <c r="I1693" s="12" t="n"/>
      <c r="J1693" s="12" t="n"/>
      <c r="K1693" s="12" t="n"/>
      <c r="L1693" s="14" t="n"/>
      <c r="M1693" s="12" t="n"/>
      <c r="N1693" s="12" t="n"/>
      <c r="O1693" s="12" t="n"/>
    </row>
    <row r="1694">
      <c r="A1694" s="12" t="n"/>
      <c r="B1694" s="13">
        <f>IF($A1694="","",IFERROR(INDEX(Emp_Names,MATCH($A1694,Emp_Codes,0)),"NOT FOUND"))</f>
        <v/>
      </c>
      <c r="C1694" s="14" t="n"/>
      <c r="D1694" s="15" t="n"/>
      <c r="E1694" s="15" t="n"/>
      <c r="F1694" s="15" t="n"/>
      <c r="G1694" s="15" t="n"/>
      <c r="H1694" s="16">
        <f>IF($A1694="","",$D1694+IF($E1694="",0,$E1694)+IF($F1694="",0,$F1694)-IF($G1694="",0,$G1694))</f>
        <v/>
      </c>
      <c r="I1694" s="12" t="n"/>
      <c r="J1694" s="12" t="n"/>
      <c r="K1694" s="12" t="n"/>
      <c r="L1694" s="14" t="n"/>
      <c r="M1694" s="12" t="n"/>
      <c r="N1694" s="12" t="n"/>
      <c r="O1694" s="12" t="n"/>
    </row>
    <row r="1695">
      <c r="A1695" s="12" t="n"/>
      <c r="B1695" s="13">
        <f>IF($A1695="","",IFERROR(INDEX(Emp_Names,MATCH($A1695,Emp_Codes,0)),"NOT FOUND"))</f>
        <v/>
      </c>
      <c r="C1695" s="14" t="n"/>
      <c r="D1695" s="15" t="n"/>
      <c r="E1695" s="15" t="n"/>
      <c r="F1695" s="15" t="n"/>
      <c r="G1695" s="15" t="n"/>
      <c r="H1695" s="16">
        <f>IF($A1695="","",$D1695+IF($E1695="",0,$E1695)+IF($F1695="",0,$F1695)-IF($G1695="",0,$G1695))</f>
        <v/>
      </c>
      <c r="I1695" s="12" t="n"/>
      <c r="J1695" s="12" t="n"/>
      <c r="K1695" s="12" t="n"/>
      <c r="L1695" s="14" t="n"/>
      <c r="M1695" s="12" t="n"/>
      <c r="N1695" s="12" t="n"/>
      <c r="O1695" s="12" t="n"/>
    </row>
    <row r="1696">
      <c r="A1696" s="12" t="n"/>
      <c r="B1696" s="13">
        <f>IF($A1696="","",IFERROR(INDEX(Emp_Names,MATCH($A1696,Emp_Codes,0)),"NOT FOUND"))</f>
        <v/>
      </c>
      <c r="C1696" s="14" t="n"/>
      <c r="D1696" s="15" t="n"/>
      <c r="E1696" s="15" t="n"/>
      <c r="F1696" s="15" t="n"/>
      <c r="G1696" s="15" t="n"/>
      <c r="H1696" s="16">
        <f>IF($A1696="","",$D1696+IF($E1696="",0,$E1696)+IF($F1696="",0,$F1696)-IF($G1696="",0,$G1696))</f>
        <v/>
      </c>
      <c r="I1696" s="12" t="n"/>
      <c r="J1696" s="12" t="n"/>
      <c r="K1696" s="12" t="n"/>
      <c r="L1696" s="14" t="n"/>
      <c r="M1696" s="12" t="n"/>
      <c r="N1696" s="12" t="n"/>
      <c r="O1696" s="12" t="n"/>
    </row>
    <row r="1697">
      <c r="A1697" s="12" t="n"/>
      <c r="B1697" s="13">
        <f>IF($A1697="","",IFERROR(INDEX(Emp_Names,MATCH($A1697,Emp_Codes,0)),"NOT FOUND"))</f>
        <v/>
      </c>
      <c r="C1697" s="14" t="n"/>
      <c r="D1697" s="15" t="n"/>
      <c r="E1697" s="15" t="n"/>
      <c r="F1697" s="15" t="n"/>
      <c r="G1697" s="15" t="n"/>
      <c r="H1697" s="16">
        <f>IF($A1697="","",$D1697+IF($E1697="",0,$E1697)+IF($F1697="",0,$F1697)-IF($G1697="",0,$G1697))</f>
        <v/>
      </c>
      <c r="I1697" s="12" t="n"/>
      <c r="J1697" s="12" t="n"/>
      <c r="K1697" s="12" t="n"/>
      <c r="L1697" s="14" t="n"/>
      <c r="M1697" s="12" t="n"/>
      <c r="N1697" s="12" t="n"/>
      <c r="O1697" s="12" t="n"/>
    </row>
    <row r="1698">
      <c r="A1698" s="12" t="n"/>
      <c r="B1698" s="13">
        <f>IF($A1698="","",IFERROR(INDEX(Emp_Names,MATCH($A1698,Emp_Codes,0)),"NOT FOUND"))</f>
        <v/>
      </c>
      <c r="C1698" s="14" t="n"/>
      <c r="D1698" s="15" t="n"/>
      <c r="E1698" s="15" t="n"/>
      <c r="F1698" s="15" t="n"/>
      <c r="G1698" s="15" t="n"/>
      <c r="H1698" s="16">
        <f>IF($A1698="","",$D1698+IF($E1698="",0,$E1698)+IF($F1698="",0,$F1698)-IF($G1698="",0,$G1698))</f>
        <v/>
      </c>
      <c r="I1698" s="12" t="n"/>
      <c r="J1698" s="12" t="n"/>
      <c r="K1698" s="12" t="n"/>
      <c r="L1698" s="14" t="n"/>
      <c r="M1698" s="12" t="n"/>
      <c r="N1698" s="12" t="n"/>
      <c r="O1698" s="12" t="n"/>
    </row>
    <row r="1699">
      <c r="A1699" s="12" t="n"/>
      <c r="B1699" s="13">
        <f>IF($A1699="","",IFERROR(INDEX(Emp_Names,MATCH($A1699,Emp_Codes,0)),"NOT FOUND"))</f>
        <v/>
      </c>
      <c r="C1699" s="14" t="n"/>
      <c r="D1699" s="15" t="n"/>
      <c r="E1699" s="15" t="n"/>
      <c r="F1699" s="15" t="n"/>
      <c r="G1699" s="15" t="n"/>
      <c r="H1699" s="16">
        <f>IF($A1699="","",$D1699+IF($E1699="",0,$E1699)+IF($F1699="",0,$F1699)-IF($G1699="",0,$G1699))</f>
        <v/>
      </c>
      <c r="I1699" s="12" t="n"/>
      <c r="J1699" s="12" t="n"/>
      <c r="K1699" s="12" t="n"/>
      <c r="L1699" s="14" t="n"/>
      <c r="M1699" s="12" t="n"/>
      <c r="N1699" s="12" t="n"/>
      <c r="O1699" s="12" t="n"/>
    </row>
    <row r="1700">
      <c r="A1700" s="12" t="n"/>
      <c r="B1700" s="13">
        <f>IF($A1700="","",IFERROR(INDEX(Emp_Names,MATCH($A1700,Emp_Codes,0)),"NOT FOUND"))</f>
        <v/>
      </c>
      <c r="C1700" s="14" t="n"/>
      <c r="D1700" s="15" t="n"/>
      <c r="E1700" s="15" t="n"/>
      <c r="F1700" s="15" t="n"/>
      <c r="G1700" s="15" t="n"/>
      <c r="H1700" s="16">
        <f>IF($A1700="","",$D1700+IF($E1700="",0,$E1700)+IF($F1700="",0,$F1700)-IF($G1700="",0,$G1700))</f>
        <v/>
      </c>
      <c r="I1700" s="12" t="n"/>
      <c r="J1700" s="12" t="n"/>
      <c r="K1700" s="12" t="n"/>
      <c r="L1700" s="14" t="n"/>
      <c r="M1700" s="12" t="n"/>
      <c r="N1700" s="12" t="n"/>
      <c r="O1700" s="12" t="n"/>
    </row>
    <row r="1701">
      <c r="A1701" s="12" t="n"/>
      <c r="B1701" s="13">
        <f>IF($A1701="","",IFERROR(INDEX(Emp_Names,MATCH($A1701,Emp_Codes,0)),"NOT FOUND"))</f>
        <v/>
      </c>
      <c r="C1701" s="14" t="n"/>
      <c r="D1701" s="15" t="n"/>
      <c r="E1701" s="15" t="n"/>
      <c r="F1701" s="15" t="n"/>
      <c r="G1701" s="15" t="n"/>
      <c r="H1701" s="16">
        <f>IF($A1701="","",$D1701+IF($E1701="",0,$E1701)+IF($F1701="",0,$F1701)-IF($G1701="",0,$G1701))</f>
        <v/>
      </c>
      <c r="I1701" s="12" t="n"/>
      <c r="J1701" s="12" t="n"/>
      <c r="K1701" s="12" t="n"/>
      <c r="L1701" s="14" t="n"/>
      <c r="M1701" s="12" t="n"/>
      <c r="N1701" s="12" t="n"/>
      <c r="O1701" s="12" t="n"/>
    </row>
    <row r="1702">
      <c r="A1702" s="12" t="n"/>
      <c r="B1702" s="13">
        <f>IF($A1702="","",IFERROR(INDEX(Emp_Names,MATCH($A1702,Emp_Codes,0)),"NOT FOUND"))</f>
        <v/>
      </c>
      <c r="C1702" s="14" t="n"/>
      <c r="D1702" s="15" t="n"/>
      <c r="E1702" s="15" t="n"/>
      <c r="F1702" s="15" t="n"/>
      <c r="G1702" s="15" t="n"/>
      <c r="H1702" s="16">
        <f>IF($A1702="","",$D1702+IF($E1702="",0,$E1702)+IF($F1702="",0,$F1702)-IF($G1702="",0,$G1702))</f>
        <v/>
      </c>
      <c r="I1702" s="12" t="n"/>
      <c r="J1702" s="12" t="n"/>
      <c r="K1702" s="12" t="n"/>
      <c r="L1702" s="14" t="n"/>
      <c r="M1702" s="12" t="n"/>
      <c r="N1702" s="12" t="n"/>
      <c r="O1702" s="12" t="n"/>
    </row>
    <row r="1703">
      <c r="A1703" s="12" t="n"/>
      <c r="B1703" s="13">
        <f>IF($A1703="","",IFERROR(INDEX(Emp_Names,MATCH($A1703,Emp_Codes,0)),"NOT FOUND"))</f>
        <v/>
      </c>
      <c r="C1703" s="14" t="n"/>
      <c r="D1703" s="15" t="n"/>
      <c r="E1703" s="15" t="n"/>
      <c r="F1703" s="15" t="n"/>
      <c r="G1703" s="15" t="n"/>
      <c r="H1703" s="16">
        <f>IF($A1703="","",$D1703+IF($E1703="",0,$E1703)+IF($F1703="",0,$F1703)-IF($G1703="",0,$G1703))</f>
        <v/>
      </c>
      <c r="I1703" s="12" t="n"/>
      <c r="J1703" s="12" t="n"/>
      <c r="K1703" s="12" t="n"/>
      <c r="L1703" s="14" t="n"/>
      <c r="M1703" s="12" t="n"/>
      <c r="N1703" s="12" t="n"/>
      <c r="O1703" s="12" t="n"/>
    </row>
    <row r="1704">
      <c r="A1704" s="12" t="n"/>
      <c r="B1704" s="13">
        <f>IF($A1704="","",IFERROR(INDEX(Emp_Names,MATCH($A1704,Emp_Codes,0)),"NOT FOUND"))</f>
        <v/>
      </c>
      <c r="C1704" s="14" t="n"/>
      <c r="D1704" s="15" t="n"/>
      <c r="E1704" s="15" t="n"/>
      <c r="F1704" s="15" t="n"/>
      <c r="G1704" s="15" t="n"/>
      <c r="H1704" s="16">
        <f>IF($A1704="","",$D1704+IF($E1704="",0,$E1704)+IF($F1704="",0,$F1704)-IF($G1704="",0,$G1704))</f>
        <v/>
      </c>
      <c r="I1704" s="12" t="n"/>
      <c r="J1704" s="12" t="n"/>
      <c r="K1704" s="12" t="n"/>
      <c r="L1704" s="14" t="n"/>
      <c r="M1704" s="12" t="n"/>
      <c r="N1704" s="12" t="n"/>
      <c r="O1704" s="12" t="n"/>
    </row>
    <row r="1705">
      <c r="A1705" s="12" t="n"/>
      <c r="B1705" s="13">
        <f>IF($A1705="","",IFERROR(INDEX(Emp_Names,MATCH($A1705,Emp_Codes,0)),"NOT FOUND"))</f>
        <v/>
      </c>
      <c r="C1705" s="14" t="n"/>
      <c r="D1705" s="15" t="n"/>
      <c r="E1705" s="15" t="n"/>
      <c r="F1705" s="15" t="n"/>
      <c r="G1705" s="15" t="n"/>
      <c r="H1705" s="16">
        <f>IF($A1705="","",$D1705+IF($E1705="",0,$E1705)+IF($F1705="",0,$F1705)-IF($G1705="",0,$G1705))</f>
        <v/>
      </c>
      <c r="I1705" s="12" t="n"/>
      <c r="J1705" s="12" t="n"/>
      <c r="K1705" s="12" t="n"/>
      <c r="L1705" s="14" t="n"/>
      <c r="M1705" s="12" t="n"/>
      <c r="N1705" s="12" t="n"/>
      <c r="O1705" s="12" t="n"/>
    </row>
    <row r="1706">
      <c r="A1706" s="12" t="n"/>
      <c r="B1706" s="13">
        <f>IF($A1706="","",IFERROR(INDEX(Emp_Names,MATCH($A1706,Emp_Codes,0)),"NOT FOUND"))</f>
        <v/>
      </c>
      <c r="C1706" s="14" t="n"/>
      <c r="D1706" s="15" t="n"/>
      <c r="E1706" s="15" t="n"/>
      <c r="F1706" s="15" t="n"/>
      <c r="G1706" s="15" t="n"/>
      <c r="H1706" s="16">
        <f>IF($A1706="","",$D1706+IF($E1706="",0,$E1706)+IF($F1706="",0,$F1706)-IF($G1706="",0,$G1706))</f>
        <v/>
      </c>
      <c r="I1706" s="12" t="n"/>
      <c r="J1706" s="12" t="n"/>
      <c r="K1706" s="12" t="n"/>
      <c r="L1706" s="14" t="n"/>
      <c r="M1706" s="12" t="n"/>
      <c r="N1706" s="12" t="n"/>
      <c r="O1706" s="12" t="n"/>
    </row>
    <row r="1707">
      <c r="A1707" s="12" t="n"/>
      <c r="B1707" s="13">
        <f>IF($A1707="","",IFERROR(INDEX(Emp_Names,MATCH($A1707,Emp_Codes,0)),"NOT FOUND"))</f>
        <v/>
      </c>
      <c r="C1707" s="14" t="n"/>
      <c r="D1707" s="15" t="n"/>
      <c r="E1707" s="15" t="n"/>
      <c r="F1707" s="15" t="n"/>
      <c r="G1707" s="15" t="n"/>
      <c r="H1707" s="16">
        <f>IF($A1707="","",$D1707+IF($E1707="",0,$E1707)+IF($F1707="",0,$F1707)-IF($G1707="",0,$G1707))</f>
        <v/>
      </c>
      <c r="I1707" s="12" t="n"/>
      <c r="J1707" s="12" t="n"/>
      <c r="K1707" s="12" t="n"/>
      <c r="L1707" s="14" t="n"/>
      <c r="M1707" s="12" t="n"/>
      <c r="N1707" s="12" t="n"/>
      <c r="O1707" s="12" t="n"/>
    </row>
    <row r="1708">
      <c r="A1708" s="12" t="n"/>
      <c r="B1708" s="13">
        <f>IF($A1708="","",IFERROR(INDEX(Emp_Names,MATCH($A1708,Emp_Codes,0)),"NOT FOUND"))</f>
        <v/>
      </c>
      <c r="C1708" s="14" t="n"/>
      <c r="D1708" s="15" t="n"/>
      <c r="E1708" s="15" t="n"/>
      <c r="F1708" s="15" t="n"/>
      <c r="G1708" s="15" t="n"/>
      <c r="H1708" s="16">
        <f>IF($A1708="","",$D1708+IF($E1708="",0,$E1708)+IF($F1708="",0,$F1708)-IF($G1708="",0,$G1708))</f>
        <v/>
      </c>
      <c r="I1708" s="12" t="n"/>
      <c r="J1708" s="12" t="n"/>
      <c r="K1708" s="12" t="n"/>
      <c r="L1708" s="14" t="n"/>
      <c r="M1708" s="12" t="n"/>
      <c r="N1708" s="12" t="n"/>
      <c r="O1708" s="12" t="n"/>
    </row>
    <row r="1709">
      <c r="A1709" s="12" t="n"/>
      <c r="B1709" s="13">
        <f>IF($A1709="","",IFERROR(INDEX(Emp_Names,MATCH($A1709,Emp_Codes,0)),"NOT FOUND"))</f>
        <v/>
      </c>
      <c r="C1709" s="14" t="n"/>
      <c r="D1709" s="15" t="n"/>
      <c r="E1709" s="15" t="n"/>
      <c r="F1709" s="15" t="n"/>
      <c r="G1709" s="15" t="n"/>
      <c r="H1709" s="16">
        <f>IF($A1709="","",$D1709+IF($E1709="",0,$E1709)+IF($F1709="",0,$F1709)-IF($G1709="",0,$G1709))</f>
        <v/>
      </c>
      <c r="I1709" s="12" t="n"/>
      <c r="J1709" s="12" t="n"/>
      <c r="K1709" s="12" t="n"/>
      <c r="L1709" s="14" t="n"/>
      <c r="M1709" s="12" t="n"/>
      <c r="N1709" s="12" t="n"/>
      <c r="O1709" s="12" t="n"/>
    </row>
    <row r="1710">
      <c r="A1710" s="12" t="n"/>
      <c r="B1710" s="13">
        <f>IF($A1710="","",IFERROR(INDEX(Emp_Names,MATCH($A1710,Emp_Codes,0)),"NOT FOUND"))</f>
        <v/>
      </c>
      <c r="C1710" s="14" t="n"/>
      <c r="D1710" s="15" t="n"/>
      <c r="E1710" s="15" t="n"/>
      <c r="F1710" s="15" t="n"/>
      <c r="G1710" s="15" t="n"/>
      <c r="H1710" s="16">
        <f>IF($A1710="","",$D1710+IF($E1710="",0,$E1710)+IF($F1710="",0,$F1710)-IF($G1710="",0,$G1710))</f>
        <v/>
      </c>
      <c r="I1710" s="12" t="n"/>
      <c r="J1710" s="12" t="n"/>
      <c r="K1710" s="12" t="n"/>
      <c r="L1710" s="14" t="n"/>
      <c r="M1710" s="12" t="n"/>
      <c r="N1710" s="12" t="n"/>
      <c r="O1710" s="12" t="n"/>
    </row>
    <row r="1711">
      <c r="A1711" s="12" t="n"/>
      <c r="B1711" s="13">
        <f>IF($A1711="","",IFERROR(INDEX(Emp_Names,MATCH($A1711,Emp_Codes,0)),"NOT FOUND"))</f>
        <v/>
      </c>
      <c r="C1711" s="14" t="n"/>
      <c r="D1711" s="15" t="n"/>
      <c r="E1711" s="15" t="n"/>
      <c r="F1711" s="15" t="n"/>
      <c r="G1711" s="15" t="n"/>
      <c r="H1711" s="16">
        <f>IF($A1711="","",$D1711+IF($E1711="",0,$E1711)+IF($F1711="",0,$F1711)-IF($G1711="",0,$G1711))</f>
        <v/>
      </c>
      <c r="I1711" s="12" t="n"/>
      <c r="J1711" s="12" t="n"/>
      <c r="K1711" s="12" t="n"/>
      <c r="L1711" s="14" t="n"/>
      <c r="M1711" s="12" t="n"/>
      <c r="N1711" s="12" t="n"/>
      <c r="O1711" s="12" t="n"/>
    </row>
    <row r="1712">
      <c r="A1712" s="12" t="n"/>
      <c r="B1712" s="13">
        <f>IF($A1712="","",IFERROR(INDEX(Emp_Names,MATCH($A1712,Emp_Codes,0)),"NOT FOUND"))</f>
        <v/>
      </c>
      <c r="C1712" s="14" t="n"/>
      <c r="D1712" s="15" t="n"/>
      <c r="E1712" s="15" t="n"/>
      <c r="F1712" s="15" t="n"/>
      <c r="G1712" s="15" t="n"/>
      <c r="H1712" s="16">
        <f>IF($A1712="","",$D1712+IF($E1712="",0,$E1712)+IF($F1712="",0,$F1712)-IF($G1712="",0,$G1712))</f>
        <v/>
      </c>
      <c r="I1712" s="12" t="n"/>
      <c r="J1712" s="12" t="n"/>
      <c r="K1712" s="12" t="n"/>
      <c r="L1712" s="14" t="n"/>
      <c r="M1712" s="12" t="n"/>
      <c r="N1712" s="12" t="n"/>
      <c r="O1712" s="12" t="n"/>
    </row>
    <row r="1713">
      <c r="A1713" s="12" t="n"/>
      <c r="B1713" s="13">
        <f>IF($A1713="","",IFERROR(INDEX(Emp_Names,MATCH($A1713,Emp_Codes,0)),"NOT FOUND"))</f>
        <v/>
      </c>
      <c r="C1713" s="14" t="n"/>
      <c r="D1713" s="15" t="n"/>
      <c r="E1713" s="15" t="n"/>
      <c r="F1713" s="15" t="n"/>
      <c r="G1713" s="15" t="n"/>
      <c r="H1713" s="16">
        <f>IF($A1713="","",$D1713+IF($E1713="",0,$E1713)+IF($F1713="",0,$F1713)-IF($G1713="",0,$G1713))</f>
        <v/>
      </c>
      <c r="I1713" s="12" t="n"/>
      <c r="J1713" s="12" t="n"/>
      <c r="K1713" s="12" t="n"/>
      <c r="L1713" s="14" t="n"/>
      <c r="M1713" s="12" t="n"/>
      <c r="N1713" s="12" t="n"/>
      <c r="O1713" s="12" t="n"/>
    </row>
    <row r="1714">
      <c r="A1714" s="12" t="n"/>
      <c r="B1714" s="13">
        <f>IF($A1714="","",IFERROR(INDEX(Emp_Names,MATCH($A1714,Emp_Codes,0)),"NOT FOUND"))</f>
        <v/>
      </c>
      <c r="C1714" s="14" t="n"/>
      <c r="D1714" s="15" t="n"/>
      <c r="E1714" s="15" t="n"/>
      <c r="F1714" s="15" t="n"/>
      <c r="G1714" s="15" t="n"/>
      <c r="H1714" s="16">
        <f>IF($A1714="","",$D1714+IF($E1714="",0,$E1714)+IF($F1714="",0,$F1714)-IF($G1714="",0,$G1714))</f>
        <v/>
      </c>
      <c r="I1714" s="12" t="n"/>
      <c r="J1714" s="12" t="n"/>
      <c r="K1714" s="12" t="n"/>
      <c r="L1714" s="14" t="n"/>
      <c r="M1714" s="12" t="n"/>
      <c r="N1714" s="12" t="n"/>
      <c r="O1714" s="12" t="n"/>
    </row>
    <row r="1715">
      <c r="A1715" s="12" t="n"/>
      <c r="B1715" s="13">
        <f>IF($A1715="","",IFERROR(INDEX(Emp_Names,MATCH($A1715,Emp_Codes,0)),"NOT FOUND"))</f>
        <v/>
      </c>
      <c r="C1715" s="14" t="n"/>
      <c r="D1715" s="15" t="n"/>
      <c r="E1715" s="15" t="n"/>
      <c r="F1715" s="15" t="n"/>
      <c r="G1715" s="15" t="n"/>
      <c r="H1715" s="16">
        <f>IF($A1715="","",$D1715+IF($E1715="",0,$E1715)+IF($F1715="",0,$F1715)-IF($G1715="",0,$G1715))</f>
        <v/>
      </c>
      <c r="I1715" s="12" t="n"/>
      <c r="J1715" s="12" t="n"/>
      <c r="K1715" s="12" t="n"/>
      <c r="L1715" s="14" t="n"/>
      <c r="M1715" s="12" t="n"/>
      <c r="N1715" s="12" t="n"/>
      <c r="O1715" s="12" t="n"/>
    </row>
    <row r="1716">
      <c r="A1716" s="12" t="n"/>
      <c r="B1716" s="13">
        <f>IF($A1716="","",IFERROR(INDEX(Emp_Names,MATCH($A1716,Emp_Codes,0)),"NOT FOUND"))</f>
        <v/>
      </c>
      <c r="C1716" s="14" t="n"/>
      <c r="D1716" s="15" t="n"/>
      <c r="E1716" s="15" t="n"/>
      <c r="F1716" s="15" t="n"/>
      <c r="G1716" s="15" t="n"/>
      <c r="H1716" s="16">
        <f>IF($A1716="","",$D1716+IF($E1716="",0,$E1716)+IF($F1716="",0,$F1716)-IF($G1716="",0,$G1716))</f>
        <v/>
      </c>
      <c r="I1716" s="12" t="n"/>
      <c r="J1716" s="12" t="n"/>
      <c r="K1716" s="12" t="n"/>
      <c r="L1716" s="14" t="n"/>
      <c r="M1716" s="12" t="n"/>
      <c r="N1716" s="12" t="n"/>
      <c r="O1716" s="12" t="n"/>
    </row>
    <row r="1717">
      <c r="A1717" s="12" t="n"/>
      <c r="B1717" s="13">
        <f>IF($A1717="","",IFERROR(INDEX(Emp_Names,MATCH($A1717,Emp_Codes,0)),"NOT FOUND"))</f>
        <v/>
      </c>
      <c r="C1717" s="14" t="n"/>
      <c r="D1717" s="15" t="n"/>
      <c r="E1717" s="15" t="n"/>
      <c r="F1717" s="15" t="n"/>
      <c r="G1717" s="15" t="n"/>
      <c r="H1717" s="16">
        <f>IF($A1717="","",$D1717+IF($E1717="",0,$E1717)+IF($F1717="",0,$F1717)-IF($G1717="",0,$G1717))</f>
        <v/>
      </c>
      <c r="I1717" s="12" t="n"/>
      <c r="J1717" s="12" t="n"/>
      <c r="K1717" s="12" t="n"/>
      <c r="L1717" s="14" t="n"/>
      <c r="M1717" s="12" t="n"/>
      <c r="N1717" s="12" t="n"/>
      <c r="O1717" s="12" t="n"/>
    </row>
    <row r="1718">
      <c r="A1718" s="12" t="n"/>
      <c r="B1718" s="13">
        <f>IF($A1718="","",IFERROR(INDEX(Emp_Names,MATCH($A1718,Emp_Codes,0)),"NOT FOUND"))</f>
        <v/>
      </c>
      <c r="C1718" s="14" t="n"/>
      <c r="D1718" s="15" t="n"/>
      <c r="E1718" s="15" t="n"/>
      <c r="F1718" s="15" t="n"/>
      <c r="G1718" s="15" t="n"/>
      <c r="H1718" s="16">
        <f>IF($A1718="","",$D1718+IF($E1718="",0,$E1718)+IF($F1718="",0,$F1718)-IF($G1718="",0,$G1718))</f>
        <v/>
      </c>
      <c r="I1718" s="12" t="n"/>
      <c r="J1718" s="12" t="n"/>
      <c r="K1718" s="12" t="n"/>
      <c r="L1718" s="14" t="n"/>
      <c r="M1718" s="12" t="n"/>
      <c r="N1718" s="12" t="n"/>
      <c r="O1718" s="12" t="n"/>
    </row>
    <row r="1719">
      <c r="A1719" s="12" t="n"/>
      <c r="B1719" s="13">
        <f>IF($A1719="","",IFERROR(INDEX(Emp_Names,MATCH($A1719,Emp_Codes,0)),"NOT FOUND"))</f>
        <v/>
      </c>
      <c r="C1719" s="14" t="n"/>
      <c r="D1719" s="15" t="n"/>
      <c r="E1719" s="15" t="n"/>
      <c r="F1719" s="15" t="n"/>
      <c r="G1719" s="15" t="n"/>
      <c r="H1719" s="16">
        <f>IF($A1719="","",$D1719+IF($E1719="",0,$E1719)+IF($F1719="",0,$F1719)-IF($G1719="",0,$G1719))</f>
        <v/>
      </c>
      <c r="I1719" s="12" t="n"/>
      <c r="J1719" s="12" t="n"/>
      <c r="K1719" s="12" t="n"/>
      <c r="L1719" s="14" t="n"/>
      <c r="M1719" s="12" t="n"/>
      <c r="N1719" s="12" t="n"/>
      <c r="O1719" s="12" t="n"/>
    </row>
    <row r="1720">
      <c r="A1720" s="12" t="n"/>
      <c r="B1720" s="13">
        <f>IF($A1720="","",IFERROR(INDEX(Emp_Names,MATCH($A1720,Emp_Codes,0)),"NOT FOUND"))</f>
        <v/>
      </c>
      <c r="C1720" s="14" t="n"/>
      <c r="D1720" s="15" t="n"/>
      <c r="E1720" s="15" t="n"/>
      <c r="F1720" s="15" t="n"/>
      <c r="G1720" s="15" t="n"/>
      <c r="H1720" s="16">
        <f>IF($A1720="","",$D1720+IF($E1720="",0,$E1720)+IF($F1720="",0,$F1720)-IF($G1720="",0,$G1720))</f>
        <v/>
      </c>
      <c r="I1720" s="12" t="n"/>
      <c r="J1720" s="12" t="n"/>
      <c r="K1720" s="12" t="n"/>
      <c r="L1720" s="14" t="n"/>
      <c r="M1720" s="12" t="n"/>
      <c r="N1720" s="12" t="n"/>
      <c r="O1720" s="12" t="n"/>
    </row>
    <row r="1721">
      <c r="A1721" s="12" t="n"/>
      <c r="B1721" s="13">
        <f>IF($A1721="","",IFERROR(INDEX(Emp_Names,MATCH($A1721,Emp_Codes,0)),"NOT FOUND"))</f>
        <v/>
      </c>
      <c r="C1721" s="14" t="n"/>
      <c r="D1721" s="15" t="n"/>
      <c r="E1721" s="15" t="n"/>
      <c r="F1721" s="15" t="n"/>
      <c r="G1721" s="15" t="n"/>
      <c r="H1721" s="16">
        <f>IF($A1721="","",$D1721+IF($E1721="",0,$E1721)+IF($F1721="",0,$F1721)-IF($G1721="",0,$G1721))</f>
        <v/>
      </c>
      <c r="I1721" s="12" t="n"/>
      <c r="J1721" s="12" t="n"/>
      <c r="K1721" s="12" t="n"/>
      <c r="L1721" s="14" t="n"/>
      <c r="M1721" s="12" t="n"/>
      <c r="N1721" s="12" t="n"/>
      <c r="O1721" s="12" t="n"/>
    </row>
    <row r="1722">
      <c r="A1722" s="12" t="n"/>
      <c r="B1722" s="13">
        <f>IF($A1722="","",IFERROR(INDEX(Emp_Names,MATCH($A1722,Emp_Codes,0)),"NOT FOUND"))</f>
        <v/>
      </c>
      <c r="C1722" s="14" t="n"/>
      <c r="D1722" s="15" t="n"/>
      <c r="E1722" s="15" t="n"/>
      <c r="F1722" s="15" t="n"/>
      <c r="G1722" s="15" t="n"/>
      <c r="H1722" s="16">
        <f>IF($A1722="","",$D1722+IF($E1722="",0,$E1722)+IF($F1722="",0,$F1722)-IF($G1722="",0,$G1722))</f>
        <v/>
      </c>
      <c r="I1722" s="12" t="n"/>
      <c r="J1722" s="12" t="n"/>
      <c r="K1722" s="12" t="n"/>
      <c r="L1722" s="14" t="n"/>
      <c r="M1722" s="12" t="n"/>
      <c r="N1722" s="12" t="n"/>
      <c r="O1722" s="12" t="n"/>
    </row>
    <row r="1723">
      <c r="A1723" s="12" t="n"/>
      <c r="B1723" s="13">
        <f>IF($A1723="","",IFERROR(INDEX(Emp_Names,MATCH($A1723,Emp_Codes,0)),"NOT FOUND"))</f>
        <v/>
      </c>
      <c r="C1723" s="14" t="n"/>
      <c r="D1723" s="15" t="n"/>
      <c r="E1723" s="15" t="n"/>
      <c r="F1723" s="15" t="n"/>
      <c r="G1723" s="15" t="n"/>
      <c r="H1723" s="16">
        <f>IF($A1723="","",$D1723+IF($E1723="",0,$E1723)+IF($F1723="",0,$F1723)-IF($G1723="",0,$G1723))</f>
        <v/>
      </c>
      <c r="I1723" s="12" t="n"/>
      <c r="J1723" s="12" t="n"/>
      <c r="K1723" s="12" t="n"/>
      <c r="L1723" s="14" t="n"/>
      <c r="M1723" s="12" t="n"/>
      <c r="N1723" s="12" t="n"/>
      <c r="O1723" s="12" t="n"/>
    </row>
    <row r="1724">
      <c r="A1724" s="12" t="n"/>
      <c r="B1724" s="13">
        <f>IF($A1724="","",IFERROR(INDEX(Emp_Names,MATCH($A1724,Emp_Codes,0)),"NOT FOUND"))</f>
        <v/>
      </c>
      <c r="C1724" s="14" t="n"/>
      <c r="D1724" s="15" t="n"/>
      <c r="E1724" s="15" t="n"/>
      <c r="F1724" s="15" t="n"/>
      <c r="G1724" s="15" t="n"/>
      <c r="H1724" s="16">
        <f>IF($A1724="","",$D1724+IF($E1724="",0,$E1724)+IF($F1724="",0,$F1724)-IF($G1724="",0,$G1724))</f>
        <v/>
      </c>
      <c r="I1724" s="12" t="n"/>
      <c r="J1724" s="12" t="n"/>
      <c r="K1724" s="12" t="n"/>
      <c r="L1724" s="14" t="n"/>
      <c r="M1724" s="12" t="n"/>
      <c r="N1724" s="12" t="n"/>
      <c r="O1724" s="12" t="n"/>
    </row>
    <row r="1725">
      <c r="A1725" s="12" t="n"/>
      <c r="B1725" s="13">
        <f>IF($A1725="","",IFERROR(INDEX(Emp_Names,MATCH($A1725,Emp_Codes,0)),"NOT FOUND"))</f>
        <v/>
      </c>
      <c r="C1725" s="14" t="n"/>
      <c r="D1725" s="15" t="n"/>
      <c r="E1725" s="15" t="n"/>
      <c r="F1725" s="15" t="n"/>
      <c r="G1725" s="15" t="n"/>
      <c r="H1725" s="16">
        <f>IF($A1725="","",$D1725+IF($E1725="",0,$E1725)+IF($F1725="",0,$F1725)-IF($G1725="",0,$G1725))</f>
        <v/>
      </c>
      <c r="I1725" s="12" t="n"/>
      <c r="J1725" s="12" t="n"/>
      <c r="K1725" s="12" t="n"/>
      <c r="L1725" s="14" t="n"/>
      <c r="M1725" s="12" t="n"/>
      <c r="N1725" s="12" t="n"/>
      <c r="O1725" s="12" t="n"/>
    </row>
    <row r="1726">
      <c r="A1726" s="12" t="n"/>
      <c r="B1726" s="13">
        <f>IF($A1726="","",IFERROR(INDEX(Emp_Names,MATCH($A1726,Emp_Codes,0)),"NOT FOUND"))</f>
        <v/>
      </c>
      <c r="C1726" s="14" t="n"/>
      <c r="D1726" s="15" t="n"/>
      <c r="E1726" s="15" t="n"/>
      <c r="F1726" s="15" t="n"/>
      <c r="G1726" s="15" t="n"/>
      <c r="H1726" s="16">
        <f>IF($A1726="","",$D1726+IF($E1726="",0,$E1726)+IF($F1726="",0,$F1726)-IF($G1726="",0,$G1726))</f>
        <v/>
      </c>
      <c r="I1726" s="12" t="n"/>
      <c r="J1726" s="12" t="n"/>
      <c r="K1726" s="12" t="n"/>
      <c r="L1726" s="14" t="n"/>
      <c r="M1726" s="12" t="n"/>
      <c r="N1726" s="12" t="n"/>
      <c r="O1726" s="12" t="n"/>
    </row>
    <row r="1727">
      <c r="A1727" s="12" t="n"/>
      <c r="B1727" s="13">
        <f>IF($A1727="","",IFERROR(INDEX(Emp_Names,MATCH($A1727,Emp_Codes,0)),"NOT FOUND"))</f>
        <v/>
      </c>
      <c r="C1727" s="14" t="n"/>
      <c r="D1727" s="15" t="n"/>
      <c r="E1727" s="15" t="n"/>
      <c r="F1727" s="15" t="n"/>
      <c r="G1727" s="15" t="n"/>
      <c r="H1727" s="16">
        <f>IF($A1727="","",$D1727+IF($E1727="",0,$E1727)+IF($F1727="",0,$F1727)-IF($G1727="",0,$G1727))</f>
        <v/>
      </c>
      <c r="I1727" s="12" t="n"/>
      <c r="J1727" s="12" t="n"/>
      <c r="K1727" s="12" t="n"/>
      <c r="L1727" s="14" t="n"/>
      <c r="M1727" s="12" t="n"/>
      <c r="N1727" s="12" t="n"/>
      <c r="O1727" s="12" t="n"/>
    </row>
    <row r="1728">
      <c r="A1728" s="12" t="n"/>
      <c r="B1728" s="13">
        <f>IF($A1728="","",IFERROR(INDEX(Emp_Names,MATCH($A1728,Emp_Codes,0)),"NOT FOUND"))</f>
        <v/>
      </c>
      <c r="C1728" s="14" t="n"/>
      <c r="D1728" s="15" t="n"/>
      <c r="E1728" s="15" t="n"/>
      <c r="F1728" s="15" t="n"/>
      <c r="G1728" s="15" t="n"/>
      <c r="H1728" s="16">
        <f>IF($A1728="","",$D1728+IF($E1728="",0,$E1728)+IF($F1728="",0,$F1728)-IF($G1728="",0,$G1728))</f>
        <v/>
      </c>
      <c r="I1728" s="12" t="n"/>
      <c r="J1728" s="12" t="n"/>
      <c r="K1728" s="12" t="n"/>
      <c r="L1728" s="14" t="n"/>
      <c r="M1728" s="12" t="n"/>
      <c r="N1728" s="12" t="n"/>
      <c r="O1728" s="12" t="n"/>
    </row>
    <row r="1729">
      <c r="A1729" s="12" t="n"/>
      <c r="B1729" s="13">
        <f>IF($A1729="","",IFERROR(INDEX(Emp_Names,MATCH($A1729,Emp_Codes,0)),"NOT FOUND"))</f>
        <v/>
      </c>
      <c r="C1729" s="14" t="n"/>
      <c r="D1729" s="15" t="n"/>
      <c r="E1729" s="15" t="n"/>
      <c r="F1729" s="15" t="n"/>
      <c r="G1729" s="15" t="n"/>
      <c r="H1729" s="16">
        <f>IF($A1729="","",$D1729+IF($E1729="",0,$E1729)+IF($F1729="",0,$F1729)-IF($G1729="",0,$G1729))</f>
        <v/>
      </c>
      <c r="I1729" s="12" t="n"/>
      <c r="J1729" s="12" t="n"/>
      <c r="K1729" s="12" t="n"/>
      <c r="L1729" s="14" t="n"/>
      <c r="M1729" s="12" t="n"/>
      <c r="N1729" s="12" t="n"/>
      <c r="O1729" s="12" t="n"/>
    </row>
    <row r="1730">
      <c r="A1730" s="12" t="n"/>
      <c r="B1730" s="13">
        <f>IF($A1730="","",IFERROR(INDEX(Emp_Names,MATCH($A1730,Emp_Codes,0)),"NOT FOUND"))</f>
        <v/>
      </c>
      <c r="C1730" s="14" t="n"/>
      <c r="D1730" s="15" t="n"/>
      <c r="E1730" s="15" t="n"/>
      <c r="F1730" s="15" t="n"/>
      <c r="G1730" s="15" t="n"/>
      <c r="H1730" s="16">
        <f>IF($A1730="","",$D1730+IF($E1730="",0,$E1730)+IF($F1730="",0,$F1730)-IF($G1730="",0,$G1730))</f>
        <v/>
      </c>
      <c r="I1730" s="12" t="n"/>
      <c r="J1730" s="12" t="n"/>
      <c r="K1730" s="12" t="n"/>
      <c r="L1730" s="14" t="n"/>
      <c r="M1730" s="12" t="n"/>
      <c r="N1730" s="12" t="n"/>
      <c r="O1730" s="12" t="n"/>
    </row>
    <row r="1731">
      <c r="A1731" s="12" t="n"/>
      <c r="B1731" s="13">
        <f>IF($A1731="","",IFERROR(INDEX(Emp_Names,MATCH($A1731,Emp_Codes,0)),"NOT FOUND"))</f>
        <v/>
      </c>
      <c r="C1731" s="14" t="n"/>
      <c r="D1731" s="15" t="n"/>
      <c r="E1731" s="15" t="n"/>
      <c r="F1731" s="15" t="n"/>
      <c r="G1731" s="15" t="n"/>
      <c r="H1731" s="16">
        <f>IF($A1731="","",$D1731+IF($E1731="",0,$E1731)+IF($F1731="",0,$F1731)-IF($G1731="",0,$G1731))</f>
        <v/>
      </c>
      <c r="I1731" s="12" t="n"/>
      <c r="J1731" s="12" t="n"/>
      <c r="K1731" s="12" t="n"/>
      <c r="L1731" s="14" t="n"/>
      <c r="M1731" s="12" t="n"/>
      <c r="N1731" s="12" t="n"/>
      <c r="O1731" s="12" t="n"/>
    </row>
    <row r="1732">
      <c r="A1732" s="12" t="n"/>
      <c r="B1732" s="13">
        <f>IF($A1732="","",IFERROR(INDEX(Emp_Names,MATCH($A1732,Emp_Codes,0)),"NOT FOUND"))</f>
        <v/>
      </c>
      <c r="C1732" s="14" t="n"/>
      <c r="D1732" s="15" t="n"/>
      <c r="E1732" s="15" t="n"/>
      <c r="F1732" s="15" t="n"/>
      <c r="G1732" s="15" t="n"/>
      <c r="H1732" s="16">
        <f>IF($A1732="","",$D1732+IF($E1732="",0,$E1732)+IF($F1732="",0,$F1732)-IF($G1732="",0,$G1732))</f>
        <v/>
      </c>
      <c r="I1732" s="12" t="n"/>
      <c r="J1732" s="12" t="n"/>
      <c r="K1732" s="12" t="n"/>
      <c r="L1732" s="14" t="n"/>
      <c r="M1732" s="12" t="n"/>
      <c r="N1732" s="12" t="n"/>
      <c r="O1732" s="12" t="n"/>
    </row>
    <row r="1733">
      <c r="A1733" s="12" t="n"/>
      <c r="B1733" s="13">
        <f>IF($A1733="","",IFERROR(INDEX(Emp_Names,MATCH($A1733,Emp_Codes,0)),"NOT FOUND"))</f>
        <v/>
      </c>
      <c r="C1733" s="14" t="n"/>
      <c r="D1733" s="15" t="n"/>
      <c r="E1733" s="15" t="n"/>
      <c r="F1733" s="15" t="n"/>
      <c r="G1733" s="15" t="n"/>
      <c r="H1733" s="16">
        <f>IF($A1733="","",$D1733+IF($E1733="",0,$E1733)+IF($F1733="",0,$F1733)-IF($G1733="",0,$G1733))</f>
        <v/>
      </c>
      <c r="I1733" s="12" t="n"/>
      <c r="J1733" s="12" t="n"/>
      <c r="K1733" s="12" t="n"/>
      <c r="L1733" s="14" t="n"/>
      <c r="M1733" s="12" t="n"/>
      <c r="N1733" s="12" t="n"/>
      <c r="O1733" s="12" t="n"/>
    </row>
    <row r="1734">
      <c r="A1734" s="12" t="n"/>
      <c r="B1734" s="13">
        <f>IF($A1734="","",IFERROR(INDEX(Emp_Names,MATCH($A1734,Emp_Codes,0)),"NOT FOUND"))</f>
        <v/>
      </c>
      <c r="C1734" s="14" t="n"/>
      <c r="D1734" s="15" t="n"/>
      <c r="E1734" s="15" t="n"/>
      <c r="F1734" s="15" t="n"/>
      <c r="G1734" s="15" t="n"/>
      <c r="H1734" s="16">
        <f>IF($A1734="","",$D1734+IF($E1734="",0,$E1734)+IF($F1734="",0,$F1734)-IF($G1734="",0,$G1734))</f>
        <v/>
      </c>
      <c r="I1734" s="12" t="n"/>
      <c r="J1734" s="12" t="n"/>
      <c r="K1734" s="12" t="n"/>
      <c r="L1734" s="14" t="n"/>
      <c r="M1734" s="12" t="n"/>
      <c r="N1734" s="12" t="n"/>
      <c r="O1734" s="12" t="n"/>
    </row>
    <row r="1735">
      <c r="A1735" s="12" t="n"/>
      <c r="B1735" s="13">
        <f>IF($A1735="","",IFERROR(INDEX(Emp_Names,MATCH($A1735,Emp_Codes,0)),"NOT FOUND"))</f>
        <v/>
      </c>
      <c r="C1735" s="14" t="n"/>
      <c r="D1735" s="15" t="n"/>
      <c r="E1735" s="15" t="n"/>
      <c r="F1735" s="15" t="n"/>
      <c r="G1735" s="15" t="n"/>
      <c r="H1735" s="16">
        <f>IF($A1735="","",$D1735+IF($E1735="",0,$E1735)+IF($F1735="",0,$F1735)-IF($G1735="",0,$G1735))</f>
        <v/>
      </c>
      <c r="I1735" s="12" t="n"/>
      <c r="J1735" s="12" t="n"/>
      <c r="K1735" s="12" t="n"/>
      <c r="L1735" s="14" t="n"/>
      <c r="M1735" s="12" t="n"/>
      <c r="N1735" s="12" t="n"/>
      <c r="O1735" s="12" t="n"/>
    </row>
    <row r="1736">
      <c r="A1736" s="12" t="n"/>
      <c r="B1736" s="13">
        <f>IF($A1736="","",IFERROR(INDEX(Emp_Names,MATCH($A1736,Emp_Codes,0)),"NOT FOUND"))</f>
        <v/>
      </c>
      <c r="C1736" s="14" t="n"/>
      <c r="D1736" s="15" t="n"/>
      <c r="E1736" s="15" t="n"/>
      <c r="F1736" s="15" t="n"/>
      <c r="G1736" s="15" t="n"/>
      <c r="H1736" s="16">
        <f>IF($A1736="","",$D1736+IF($E1736="",0,$E1736)+IF($F1736="",0,$F1736)-IF($G1736="",0,$G1736))</f>
        <v/>
      </c>
      <c r="I1736" s="12" t="n"/>
      <c r="J1736" s="12" t="n"/>
      <c r="K1736" s="12" t="n"/>
      <c r="L1736" s="14" t="n"/>
      <c r="M1736" s="12" t="n"/>
      <c r="N1736" s="12" t="n"/>
      <c r="O1736" s="12" t="n"/>
    </row>
    <row r="1737">
      <c r="A1737" s="12" t="n"/>
      <c r="B1737" s="13">
        <f>IF($A1737="","",IFERROR(INDEX(Emp_Names,MATCH($A1737,Emp_Codes,0)),"NOT FOUND"))</f>
        <v/>
      </c>
      <c r="C1737" s="14" t="n"/>
      <c r="D1737" s="15" t="n"/>
      <c r="E1737" s="15" t="n"/>
      <c r="F1737" s="15" t="n"/>
      <c r="G1737" s="15" t="n"/>
      <c r="H1737" s="16">
        <f>IF($A1737="","",$D1737+IF($E1737="",0,$E1737)+IF($F1737="",0,$F1737)-IF($G1737="",0,$G1737))</f>
        <v/>
      </c>
      <c r="I1737" s="12" t="n"/>
      <c r="J1737" s="12" t="n"/>
      <c r="K1737" s="12" t="n"/>
      <c r="L1737" s="14" t="n"/>
      <c r="M1737" s="12" t="n"/>
      <c r="N1737" s="12" t="n"/>
      <c r="O1737" s="12" t="n"/>
    </row>
    <row r="1738">
      <c r="A1738" s="12" t="n"/>
      <c r="B1738" s="13">
        <f>IF($A1738="","",IFERROR(INDEX(Emp_Names,MATCH($A1738,Emp_Codes,0)),"NOT FOUND"))</f>
        <v/>
      </c>
      <c r="C1738" s="14" t="n"/>
      <c r="D1738" s="15" t="n"/>
      <c r="E1738" s="15" t="n"/>
      <c r="F1738" s="15" t="n"/>
      <c r="G1738" s="15" t="n"/>
      <c r="H1738" s="16">
        <f>IF($A1738="","",$D1738+IF($E1738="",0,$E1738)+IF($F1738="",0,$F1738)-IF($G1738="",0,$G1738))</f>
        <v/>
      </c>
      <c r="I1738" s="12" t="n"/>
      <c r="J1738" s="12" t="n"/>
      <c r="K1738" s="12" t="n"/>
      <c r="L1738" s="14" t="n"/>
      <c r="M1738" s="12" t="n"/>
      <c r="N1738" s="12" t="n"/>
      <c r="O1738" s="12" t="n"/>
    </row>
    <row r="1739">
      <c r="A1739" s="12" t="n"/>
      <c r="B1739" s="13">
        <f>IF($A1739="","",IFERROR(INDEX(Emp_Names,MATCH($A1739,Emp_Codes,0)),"NOT FOUND"))</f>
        <v/>
      </c>
      <c r="C1739" s="14" t="n"/>
      <c r="D1739" s="15" t="n"/>
      <c r="E1739" s="15" t="n"/>
      <c r="F1739" s="15" t="n"/>
      <c r="G1739" s="15" t="n"/>
      <c r="H1739" s="16">
        <f>IF($A1739="","",$D1739+IF($E1739="",0,$E1739)+IF($F1739="",0,$F1739)-IF($G1739="",0,$G1739))</f>
        <v/>
      </c>
      <c r="I1739" s="12" t="n"/>
      <c r="J1739" s="12" t="n"/>
      <c r="K1739" s="12" t="n"/>
      <c r="L1739" s="14" t="n"/>
      <c r="M1739" s="12" t="n"/>
      <c r="N1739" s="12" t="n"/>
      <c r="O1739" s="12" t="n"/>
    </row>
    <row r="1740">
      <c r="A1740" s="12" t="n"/>
      <c r="B1740" s="13">
        <f>IF($A1740="","",IFERROR(INDEX(Emp_Names,MATCH($A1740,Emp_Codes,0)),"NOT FOUND"))</f>
        <v/>
      </c>
      <c r="C1740" s="14" t="n"/>
      <c r="D1740" s="15" t="n"/>
      <c r="E1740" s="15" t="n"/>
      <c r="F1740" s="15" t="n"/>
      <c r="G1740" s="15" t="n"/>
      <c r="H1740" s="16">
        <f>IF($A1740="","",$D1740+IF($E1740="",0,$E1740)+IF($F1740="",0,$F1740)-IF($G1740="",0,$G1740))</f>
        <v/>
      </c>
      <c r="I1740" s="12" t="n"/>
      <c r="J1740" s="12" t="n"/>
      <c r="K1740" s="12" t="n"/>
      <c r="L1740" s="14" t="n"/>
      <c r="M1740" s="12" t="n"/>
      <c r="N1740" s="12" t="n"/>
      <c r="O1740" s="12" t="n"/>
    </row>
    <row r="1741">
      <c r="A1741" s="12" t="n"/>
      <c r="B1741" s="13">
        <f>IF($A1741="","",IFERROR(INDEX(Emp_Names,MATCH($A1741,Emp_Codes,0)),"NOT FOUND"))</f>
        <v/>
      </c>
      <c r="C1741" s="14" t="n"/>
      <c r="D1741" s="15" t="n"/>
      <c r="E1741" s="15" t="n"/>
      <c r="F1741" s="15" t="n"/>
      <c r="G1741" s="15" t="n"/>
      <c r="H1741" s="16">
        <f>IF($A1741="","",$D1741+IF($E1741="",0,$E1741)+IF($F1741="",0,$F1741)-IF($G1741="",0,$G1741))</f>
        <v/>
      </c>
      <c r="I1741" s="12" t="n"/>
      <c r="J1741" s="12" t="n"/>
      <c r="K1741" s="12" t="n"/>
      <c r="L1741" s="14" t="n"/>
      <c r="M1741" s="12" t="n"/>
      <c r="N1741" s="12" t="n"/>
      <c r="O1741" s="12" t="n"/>
    </row>
    <row r="1742">
      <c r="A1742" s="12" t="n"/>
      <c r="B1742" s="13">
        <f>IF($A1742="","",IFERROR(INDEX(Emp_Names,MATCH($A1742,Emp_Codes,0)),"NOT FOUND"))</f>
        <v/>
      </c>
      <c r="C1742" s="14" t="n"/>
      <c r="D1742" s="15" t="n"/>
      <c r="E1742" s="15" t="n"/>
      <c r="F1742" s="15" t="n"/>
      <c r="G1742" s="15" t="n"/>
      <c r="H1742" s="16">
        <f>IF($A1742="","",$D1742+IF($E1742="",0,$E1742)+IF($F1742="",0,$F1742)-IF($G1742="",0,$G1742))</f>
        <v/>
      </c>
      <c r="I1742" s="12" t="n"/>
      <c r="J1742" s="12" t="n"/>
      <c r="K1742" s="12" t="n"/>
      <c r="L1742" s="14" t="n"/>
      <c r="M1742" s="12" t="n"/>
      <c r="N1742" s="12" t="n"/>
      <c r="O1742" s="12" t="n"/>
    </row>
    <row r="1743">
      <c r="A1743" s="12" t="n"/>
      <c r="B1743" s="13">
        <f>IF($A1743="","",IFERROR(INDEX(Emp_Names,MATCH($A1743,Emp_Codes,0)),"NOT FOUND"))</f>
        <v/>
      </c>
      <c r="C1743" s="14" t="n"/>
      <c r="D1743" s="15" t="n"/>
      <c r="E1743" s="15" t="n"/>
      <c r="F1743" s="15" t="n"/>
      <c r="G1743" s="15" t="n"/>
      <c r="H1743" s="16">
        <f>IF($A1743="","",$D1743+IF($E1743="",0,$E1743)+IF($F1743="",0,$F1743)-IF($G1743="",0,$G1743))</f>
        <v/>
      </c>
      <c r="I1743" s="12" t="n"/>
      <c r="J1743" s="12" t="n"/>
      <c r="K1743" s="12" t="n"/>
      <c r="L1743" s="14" t="n"/>
      <c r="M1743" s="12" t="n"/>
      <c r="N1743" s="12" t="n"/>
      <c r="O1743" s="12" t="n"/>
    </row>
    <row r="1744">
      <c r="A1744" s="12" t="n"/>
      <c r="B1744" s="13">
        <f>IF($A1744="","",IFERROR(INDEX(Emp_Names,MATCH($A1744,Emp_Codes,0)),"NOT FOUND"))</f>
        <v/>
      </c>
      <c r="C1744" s="14" t="n"/>
      <c r="D1744" s="15" t="n"/>
      <c r="E1744" s="15" t="n"/>
      <c r="F1744" s="15" t="n"/>
      <c r="G1744" s="15" t="n"/>
      <c r="H1744" s="16">
        <f>IF($A1744="","",$D1744+IF($E1744="",0,$E1744)+IF($F1744="",0,$F1744)-IF($G1744="",0,$G1744))</f>
        <v/>
      </c>
      <c r="I1744" s="12" t="n"/>
      <c r="J1744" s="12" t="n"/>
      <c r="K1744" s="12" t="n"/>
      <c r="L1744" s="14" t="n"/>
      <c r="M1744" s="12" t="n"/>
      <c r="N1744" s="12" t="n"/>
      <c r="O1744" s="12" t="n"/>
    </row>
    <row r="1745">
      <c r="A1745" s="12" t="n"/>
      <c r="B1745" s="13">
        <f>IF($A1745="","",IFERROR(INDEX(Emp_Names,MATCH($A1745,Emp_Codes,0)),"NOT FOUND"))</f>
        <v/>
      </c>
      <c r="C1745" s="14" t="n"/>
      <c r="D1745" s="15" t="n"/>
      <c r="E1745" s="15" t="n"/>
      <c r="F1745" s="15" t="n"/>
      <c r="G1745" s="15" t="n"/>
      <c r="H1745" s="16">
        <f>IF($A1745="","",$D1745+IF($E1745="",0,$E1745)+IF($F1745="",0,$F1745)-IF($G1745="",0,$G1745))</f>
        <v/>
      </c>
      <c r="I1745" s="12" t="n"/>
      <c r="J1745" s="12" t="n"/>
      <c r="K1745" s="12" t="n"/>
      <c r="L1745" s="14" t="n"/>
      <c r="M1745" s="12" t="n"/>
      <c r="N1745" s="12" t="n"/>
      <c r="O1745" s="12" t="n"/>
    </row>
    <row r="1746">
      <c r="A1746" s="12" t="n"/>
      <c r="B1746" s="13">
        <f>IF($A1746="","",IFERROR(INDEX(Emp_Names,MATCH($A1746,Emp_Codes,0)),"NOT FOUND"))</f>
        <v/>
      </c>
      <c r="C1746" s="14" t="n"/>
      <c r="D1746" s="15" t="n"/>
      <c r="E1746" s="15" t="n"/>
      <c r="F1746" s="15" t="n"/>
      <c r="G1746" s="15" t="n"/>
      <c r="H1746" s="16">
        <f>IF($A1746="","",$D1746+IF($E1746="",0,$E1746)+IF($F1746="",0,$F1746)-IF($G1746="",0,$G1746))</f>
        <v/>
      </c>
      <c r="I1746" s="12" t="n"/>
      <c r="J1746" s="12" t="n"/>
      <c r="K1746" s="12" t="n"/>
      <c r="L1746" s="14" t="n"/>
      <c r="M1746" s="12" t="n"/>
      <c r="N1746" s="12" t="n"/>
      <c r="O1746" s="12" t="n"/>
    </row>
    <row r="1747">
      <c r="A1747" s="12" t="n"/>
      <c r="B1747" s="13">
        <f>IF($A1747="","",IFERROR(INDEX(Emp_Names,MATCH($A1747,Emp_Codes,0)),"NOT FOUND"))</f>
        <v/>
      </c>
      <c r="C1747" s="14" t="n"/>
      <c r="D1747" s="15" t="n"/>
      <c r="E1747" s="15" t="n"/>
      <c r="F1747" s="15" t="n"/>
      <c r="G1747" s="15" t="n"/>
      <c r="H1747" s="16">
        <f>IF($A1747="","",$D1747+IF($E1747="",0,$E1747)+IF($F1747="",0,$F1747)-IF($G1747="",0,$G1747))</f>
        <v/>
      </c>
      <c r="I1747" s="12" t="n"/>
      <c r="J1747" s="12" t="n"/>
      <c r="K1747" s="12" t="n"/>
      <c r="L1747" s="14" t="n"/>
      <c r="M1747" s="12" t="n"/>
      <c r="N1747" s="12" t="n"/>
      <c r="O1747" s="12" t="n"/>
    </row>
    <row r="1748">
      <c r="A1748" s="12" t="n"/>
      <c r="B1748" s="13">
        <f>IF($A1748="","",IFERROR(INDEX(Emp_Names,MATCH($A1748,Emp_Codes,0)),"NOT FOUND"))</f>
        <v/>
      </c>
      <c r="C1748" s="14" t="n"/>
      <c r="D1748" s="15" t="n"/>
      <c r="E1748" s="15" t="n"/>
      <c r="F1748" s="15" t="n"/>
      <c r="G1748" s="15" t="n"/>
      <c r="H1748" s="16">
        <f>IF($A1748="","",$D1748+IF($E1748="",0,$E1748)+IF($F1748="",0,$F1748)-IF($G1748="",0,$G1748))</f>
        <v/>
      </c>
      <c r="I1748" s="12" t="n"/>
      <c r="J1748" s="12" t="n"/>
      <c r="K1748" s="12" t="n"/>
      <c r="L1748" s="14" t="n"/>
      <c r="M1748" s="12" t="n"/>
      <c r="N1748" s="12" t="n"/>
      <c r="O1748" s="12" t="n"/>
    </row>
    <row r="1749">
      <c r="A1749" s="12" t="n"/>
      <c r="B1749" s="13">
        <f>IF($A1749="","",IFERROR(INDEX(Emp_Names,MATCH($A1749,Emp_Codes,0)),"NOT FOUND"))</f>
        <v/>
      </c>
      <c r="C1749" s="14" t="n"/>
      <c r="D1749" s="15" t="n"/>
      <c r="E1749" s="15" t="n"/>
      <c r="F1749" s="15" t="n"/>
      <c r="G1749" s="15" t="n"/>
      <c r="H1749" s="16">
        <f>IF($A1749="","",$D1749+IF($E1749="",0,$E1749)+IF($F1749="",0,$F1749)-IF($G1749="",0,$G1749))</f>
        <v/>
      </c>
      <c r="I1749" s="12" t="n"/>
      <c r="J1749" s="12" t="n"/>
      <c r="K1749" s="12" t="n"/>
      <c r="L1749" s="14" t="n"/>
      <c r="M1749" s="12" t="n"/>
      <c r="N1749" s="12" t="n"/>
      <c r="O1749" s="12" t="n"/>
    </row>
    <row r="1750">
      <c r="A1750" s="12" t="n"/>
      <c r="B1750" s="13">
        <f>IF($A1750="","",IFERROR(INDEX(Emp_Names,MATCH($A1750,Emp_Codes,0)),"NOT FOUND"))</f>
        <v/>
      </c>
      <c r="C1750" s="14" t="n"/>
      <c r="D1750" s="15" t="n"/>
      <c r="E1750" s="15" t="n"/>
      <c r="F1750" s="15" t="n"/>
      <c r="G1750" s="15" t="n"/>
      <c r="H1750" s="16">
        <f>IF($A1750="","",$D1750+IF($E1750="",0,$E1750)+IF($F1750="",0,$F1750)-IF($G1750="",0,$G1750))</f>
        <v/>
      </c>
      <c r="I1750" s="12" t="n"/>
      <c r="J1750" s="12" t="n"/>
      <c r="K1750" s="12" t="n"/>
      <c r="L1750" s="14" t="n"/>
      <c r="M1750" s="12" t="n"/>
      <c r="N1750" s="12" t="n"/>
      <c r="O1750" s="12" t="n"/>
    </row>
    <row r="1751">
      <c r="A1751" s="12" t="n"/>
      <c r="B1751" s="13">
        <f>IF($A1751="","",IFERROR(INDEX(Emp_Names,MATCH($A1751,Emp_Codes,0)),"NOT FOUND"))</f>
        <v/>
      </c>
      <c r="C1751" s="14" t="n"/>
      <c r="D1751" s="15" t="n"/>
      <c r="E1751" s="15" t="n"/>
      <c r="F1751" s="15" t="n"/>
      <c r="G1751" s="15" t="n"/>
      <c r="H1751" s="16">
        <f>IF($A1751="","",$D1751+IF($E1751="",0,$E1751)+IF($F1751="",0,$F1751)-IF($G1751="",0,$G1751))</f>
        <v/>
      </c>
      <c r="I1751" s="12" t="n"/>
      <c r="J1751" s="12" t="n"/>
      <c r="K1751" s="12" t="n"/>
      <c r="L1751" s="14" t="n"/>
      <c r="M1751" s="12" t="n"/>
      <c r="N1751" s="12" t="n"/>
      <c r="O1751" s="12" t="n"/>
    </row>
    <row r="1752">
      <c r="A1752" s="12" t="n"/>
      <c r="B1752" s="13">
        <f>IF($A1752="","",IFERROR(INDEX(Emp_Names,MATCH($A1752,Emp_Codes,0)),"NOT FOUND"))</f>
        <v/>
      </c>
      <c r="C1752" s="14" t="n"/>
      <c r="D1752" s="15" t="n"/>
      <c r="E1752" s="15" t="n"/>
      <c r="F1752" s="15" t="n"/>
      <c r="G1752" s="15" t="n"/>
      <c r="H1752" s="16">
        <f>IF($A1752="","",$D1752+IF($E1752="",0,$E1752)+IF($F1752="",0,$F1752)-IF($G1752="",0,$G1752))</f>
        <v/>
      </c>
      <c r="I1752" s="12" t="n"/>
      <c r="J1752" s="12" t="n"/>
      <c r="K1752" s="12" t="n"/>
      <c r="L1752" s="14" t="n"/>
      <c r="M1752" s="12" t="n"/>
      <c r="N1752" s="12" t="n"/>
      <c r="O1752" s="12" t="n"/>
    </row>
    <row r="1753">
      <c r="A1753" s="12" t="n"/>
      <c r="B1753" s="13">
        <f>IF($A1753="","",IFERROR(INDEX(Emp_Names,MATCH($A1753,Emp_Codes,0)),"NOT FOUND"))</f>
        <v/>
      </c>
      <c r="C1753" s="14" t="n"/>
      <c r="D1753" s="15" t="n"/>
      <c r="E1753" s="15" t="n"/>
      <c r="F1753" s="15" t="n"/>
      <c r="G1753" s="15" t="n"/>
      <c r="H1753" s="16">
        <f>IF($A1753="","",$D1753+IF($E1753="",0,$E1753)+IF($F1753="",0,$F1753)-IF($G1753="",0,$G1753))</f>
        <v/>
      </c>
      <c r="I1753" s="12" t="n"/>
      <c r="J1753" s="12" t="n"/>
      <c r="K1753" s="12" t="n"/>
      <c r="L1753" s="14" t="n"/>
      <c r="M1753" s="12" t="n"/>
      <c r="N1753" s="12" t="n"/>
      <c r="O1753" s="12" t="n"/>
    </row>
    <row r="1754">
      <c r="A1754" s="12" t="n"/>
      <c r="B1754" s="13">
        <f>IF($A1754="","",IFERROR(INDEX(Emp_Names,MATCH($A1754,Emp_Codes,0)),"NOT FOUND"))</f>
        <v/>
      </c>
      <c r="C1754" s="14" t="n"/>
      <c r="D1754" s="15" t="n"/>
      <c r="E1754" s="15" t="n"/>
      <c r="F1754" s="15" t="n"/>
      <c r="G1754" s="15" t="n"/>
      <c r="H1754" s="16">
        <f>IF($A1754="","",$D1754+IF($E1754="",0,$E1754)+IF($F1754="",0,$F1754)-IF($G1754="",0,$G1754))</f>
        <v/>
      </c>
      <c r="I1754" s="12" t="n"/>
      <c r="J1754" s="12" t="n"/>
      <c r="K1754" s="12" t="n"/>
      <c r="L1754" s="14" t="n"/>
      <c r="M1754" s="12" t="n"/>
      <c r="N1754" s="12" t="n"/>
      <c r="O1754" s="12" t="n"/>
    </row>
    <row r="1755">
      <c r="A1755" s="12" t="n"/>
      <c r="B1755" s="13">
        <f>IF($A1755="","",IFERROR(INDEX(Emp_Names,MATCH($A1755,Emp_Codes,0)),"NOT FOUND"))</f>
        <v/>
      </c>
      <c r="C1755" s="14" t="n"/>
      <c r="D1755" s="15" t="n"/>
      <c r="E1755" s="15" t="n"/>
      <c r="F1755" s="15" t="n"/>
      <c r="G1755" s="15" t="n"/>
      <c r="H1755" s="16">
        <f>IF($A1755="","",$D1755+IF($E1755="",0,$E1755)+IF($F1755="",0,$F1755)-IF($G1755="",0,$G1755))</f>
        <v/>
      </c>
      <c r="I1755" s="12" t="n"/>
      <c r="J1755" s="12" t="n"/>
      <c r="K1755" s="12" t="n"/>
      <c r="L1755" s="14" t="n"/>
      <c r="M1755" s="12" t="n"/>
      <c r="N1755" s="12" t="n"/>
      <c r="O1755" s="12" t="n"/>
    </row>
    <row r="1756">
      <c r="A1756" s="12" t="n"/>
      <c r="B1756" s="13">
        <f>IF($A1756="","",IFERROR(INDEX(Emp_Names,MATCH($A1756,Emp_Codes,0)),"NOT FOUND"))</f>
        <v/>
      </c>
      <c r="C1756" s="14" t="n"/>
      <c r="D1756" s="15" t="n"/>
      <c r="E1756" s="15" t="n"/>
      <c r="F1756" s="15" t="n"/>
      <c r="G1756" s="15" t="n"/>
      <c r="H1756" s="16">
        <f>IF($A1756="","",$D1756+IF($E1756="",0,$E1756)+IF($F1756="",0,$F1756)-IF($G1756="",0,$G1756))</f>
        <v/>
      </c>
      <c r="I1756" s="12" t="n"/>
      <c r="J1756" s="12" t="n"/>
      <c r="K1756" s="12" t="n"/>
      <c r="L1756" s="14" t="n"/>
      <c r="M1756" s="12" t="n"/>
      <c r="N1756" s="12" t="n"/>
      <c r="O1756" s="12" t="n"/>
    </row>
    <row r="1757">
      <c r="A1757" s="12" t="n"/>
      <c r="B1757" s="13">
        <f>IF($A1757="","",IFERROR(INDEX(Emp_Names,MATCH($A1757,Emp_Codes,0)),"NOT FOUND"))</f>
        <v/>
      </c>
      <c r="C1757" s="14" t="n"/>
      <c r="D1757" s="15" t="n"/>
      <c r="E1757" s="15" t="n"/>
      <c r="F1757" s="15" t="n"/>
      <c r="G1757" s="15" t="n"/>
      <c r="H1757" s="16">
        <f>IF($A1757="","",$D1757+IF($E1757="",0,$E1757)+IF($F1757="",0,$F1757)-IF($G1757="",0,$G1757))</f>
        <v/>
      </c>
      <c r="I1757" s="12" t="n"/>
      <c r="J1757" s="12" t="n"/>
      <c r="K1757" s="12" t="n"/>
      <c r="L1757" s="14" t="n"/>
      <c r="M1757" s="12" t="n"/>
      <c r="N1757" s="12" t="n"/>
      <c r="O1757" s="12" t="n"/>
    </row>
    <row r="1758">
      <c r="A1758" s="12" t="n"/>
      <c r="B1758" s="13">
        <f>IF($A1758="","",IFERROR(INDEX(Emp_Names,MATCH($A1758,Emp_Codes,0)),"NOT FOUND"))</f>
        <v/>
      </c>
      <c r="C1758" s="14" t="n"/>
      <c r="D1758" s="15" t="n"/>
      <c r="E1758" s="15" t="n"/>
      <c r="F1758" s="15" t="n"/>
      <c r="G1758" s="15" t="n"/>
      <c r="H1758" s="16">
        <f>IF($A1758="","",$D1758+IF($E1758="",0,$E1758)+IF($F1758="",0,$F1758)-IF($G1758="",0,$G1758))</f>
        <v/>
      </c>
      <c r="I1758" s="12" t="n"/>
      <c r="J1758" s="12" t="n"/>
      <c r="K1758" s="12" t="n"/>
      <c r="L1758" s="14" t="n"/>
      <c r="M1758" s="12" t="n"/>
      <c r="N1758" s="12" t="n"/>
      <c r="O1758" s="12" t="n"/>
    </row>
    <row r="1759">
      <c r="A1759" s="12" t="n"/>
      <c r="B1759" s="13">
        <f>IF($A1759="","",IFERROR(INDEX(Emp_Names,MATCH($A1759,Emp_Codes,0)),"NOT FOUND"))</f>
        <v/>
      </c>
      <c r="C1759" s="14" t="n"/>
      <c r="D1759" s="15" t="n"/>
      <c r="E1759" s="15" t="n"/>
      <c r="F1759" s="15" t="n"/>
      <c r="G1759" s="15" t="n"/>
      <c r="H1759" s="16">
        <f>IF($A1759="","",$D1759+IF($E1759="",0,$E1759)+IF($F1759="",0,$F1759)-IF($G1759="",0,$G1759))</f>
        <v/>
      </c>
      <c r="I1759" s="12" t="n"/>
      <c r="J1759" s="12" t="n"/>
      <c r="K1759" s="12" t="n"/>
      <c r="L1759" s="14" t="n"/>
      <c r="M1759" s="12" t="n"/>
      <c r="N1759" s="12" t="n"/>
      <c r="O1759" s="12" t="n"/>
    </row>
    <row r="1760">
      <c r="A1760" s="12" t="n"/>
      <c r="B1760" s="13">
        <f>IF($A1760="","",IFERROR(INDEX(Emp_Names,MATCH($A1760,Emp_Codes,0)),"NOT FOUND"))</f>
        <v/>
      </c>
      <c r="C1760" s="14" t="n"/>
      <c r="D1760" s="15" t="n"/>
      <c r="E1760" s="15" t="n"/>
      <c r="F1760" s="15" t="n"/>
      <c r="G1760" s="15" t="n"/>
      <c r="H1760" s="16">
        <f>IF($A1760="","",$D1760+IF($E1760="",0,$E1760)+IF($F1760="",0,$F1760)-IF($G1760="",0,$G1760))</f>
        <v/>
      </c>
      <c r="I1760" s="12" t="n"/>
      <c r="J1760" s="12" t="n"/>
      <c r="K1760" s="12" t="n"/>
      <c r="L1760" s="14" t="n"/>
      <c r="M1760" s="12" t="n"/>
      <c r="N1760" s="12" t="n"/>
      <c r="O1760" s="12" t="n"/>
    </row>
    <row r="1761">
      <c r="A1761" s="12" t="n"/>
      <c r="B1761" s="13">
        <f>IF($A1761="","",IFERROR(INDEX(Emp_Names,MATCH($A1761,Emp_Codes,0)),"NOT FOUND"))</f>
        <v/>
      </c>
      <c r="C1761" s="14" t="n"/>
      <c r="D1761" s="15" t="n"/>
      <c r="E1761" s="15" t="n"/>
      <c r="F1761" s="15" t="n"/>
      <c r="G1761" s="15" t="n"/>
      <c r="H1761" s="16">
        <f>IF($A1761="","",$D1761+IF($E1761="",0,$E1761)+IF($F1761="",0,$F1761)-IF($G1761="",0,$G1761))</f>
        <v/>
      </c>
      <c r="I1761" s="12" t="n"/>
      <c r="J1761" s="12" t="n"/>
      <c r="K1761" s="12" t="n"/>
      <c r="L1761" s="14" t="n"/>
      <c r="M1761" s="12" t="n"/>
      <c r="N1761" s="12" t="n"/>
      <c r="O1761" s="12" t="n"/>
    </row>
    <row r="1762">
      <c r="A1762" s="12" t="n"/>
      <c r="B1762" s="13">
        <f>IF($A1762="","",IFERROR(INDEX(Emp_Names,MATCH($A1762,Emp_Codes,0)),"NOT FOUND"))</f>
        <v/>
      </c>
      <c r="C1762" s="14" t="n"/>
      <c r="D1762" s="15" t="n"/>
      <c r="E1762" s="15" t="n"/>
      <c r="F1762" s="15" t="n"/>
      <c r="G1762" s="15" t="n"/>
      <c r="H1762" s="16">
        <f>IF($A1762="","",$D1762+IF($E1762="",0,$E1762)+IF($F1762="",0,$F1762)-IF($G1762="",0,$G1762))</f>
        <v/>
      </c>
      <c r="I1762" s="12" t="n"/>
      <c r="J1762" s="12" t="n"/>
      <c r="K1762" s="12" t="n"/>
      <c r="L1762" s="14" t="n"/>
      <c r="M1762" s="12" t="n"/>
      <c r="N1762" s="12" t="n"/>
      <c r="O1762" s="12" t="n"/>
    </row>
    <row r="1763">
      <c r="A1763" s="12" t="n"/>
      <c r="B1763" s="13">
        <f>IF($A1763="","",IFERROR(INDEX(Emp_Names,MATCH($A1763,Emp_Codes,0)),"NOT FOUND"))</f>
        <v/>
      </c>
      <c r="C1763" s="14" t="n"/>
      <c r="D1763" s="15" t="n"/>
      <c r="E1763" s="15" t="n"/>
      <c r="F1763" s="15" t="n"/>
      <c r="G1763" s="15" t="n"/>
      <c r="H1763" s="16">
        <f>IF($A1763="","",$D1763+IF($E1763="",0,$E1763)+IF($F1763="",0,$F1763)-IF($G1763="",0,$G1763))</f>
        <v/>
      </c>
      <c r="I1763" s="12" t="n"/>
      <c r="J1763" s="12" t="n"/>
      <c r="K1763" s="12" t="n"/>
      <c r="L1763" s="14" t="n"/>
      <c r="M1763" s="12" t="n"/>
      <c r="N1763" s="12" t="n"/>
      <c r="O1763" s="12" t="n"/>
    </row>
    <row r="1764">
      <c r="A1764" s="12" t="n"/>
      <c r="B1764" s="13">
        <f>IF($A1764="","",IFERROR(INDEX(Emp_Names,MATCH($A1764,Emp_Codes,0)),"NOT FOUND"))</f>
        <v/>
      </c>
      <c r="C1764" s="14" t="n"/>
      <c r="D1764" s="15" t="n"/>
      <c r="E1764" s="15" t="n"/>
      <c r="F1764" s="15" t="n"/>
      <c r="G1764" s="15" t="n"/>
      <c r="H1764" s="16">
        <f>IF($A1764="","",$D1764+IF($E1764="",0,$E1764)+IF($F1764="",0,$F1764)-IF($G1764="",0,$G1764))</f>
        <v/>
      </c>
      <c r="I1764" s="12" t="n"/>
      <c r="J1764" s="12" t="n"/>
      <c r="K1764" s="12" t="n"/>
      <c r="L1764" s="14" t="n"/>
      <c r="M1764" s="12" t="n"/>
      <c r="N1764" s="12" t="n"/>
      <c r="O1764" s="12" t="n"/>
    </row>
    <row r="1765">
      <c r="A1765" s="12" t="n"/>
      <c r="B1765" s="13">
        <f>IF($A1765="","",IFERROR(INDEX(Emp_Names,MATCH($A1765,Emp_Codes,0)),"NOT FOUND"))</f>
        <v/>
      </c>
      <c r="C1765" s="14" t="n"/>
      <c r="D1765" s="15" t="n"/>
      <c r="E1765" s="15" t="n"/>
      <c r="F1765" s="15" t="n"/>
      <c r="G1765" s="15" t="n"/>
      <c r="H1765" s="16">
        <f>IF($A1765="","",$D1765+IF($E1765="",0,$E1765)+IF($F1765="",0,$F1765)-IF($G1765="",0,$G1765))</f>
        <v/>
      </c>
      <c r="I1765" s="12" t="n"/>
      <c r="J1765" s="12" t="n"/>
      <c r="K1765" s="12" t="n"/>
      <c r="L1765" s="14" t="n"/>
      <c r="M1765" s="12" t="n"/>
      <c r="N1765" s="12" t="n"/>
      <c r="O1765" s="12" t="n"/>
    </row>
    <row r="1766">
      <c r="A1766" s="12" t="n"/>
      <c r="B1766" s="13">
        <f>IF($A1766="","",IFERROR(INDEX(Emp_Names,MATCH($A1766,Emp_Codes,0)),"NOT FOUND"))</f>
        <v/>
      </c>
      <c r="C1766" s="14" t="n"/>
      <c r="D1766" s="15" t="n"/>
      <c r="E1766" s="15" t="n"/>
      <c r="F1766" s="15" t="n"/>
      <c r="G1766" s="15" t="n"/>
      <c r="H1766" s="16">
        <f>IF($A1766="","",$D1766+IF($E1766="",0,$E1766)+IF($F1766="",0,$F1766)-IF($G1766="",0,$G1766))</f>
        <v/>
      </c>
      <c r="I1766" s="12" t="n"/>
      <c r="J1766" s="12" t="n"/>
      <c r="K1766" s="12" t="n"/>
      <c r="L1766" s="14" t="n"/>
      <c r="M1766" s="12" t="n"/>
      <c r="N1766" s="12" t="n"/>
      <c r="O1766" s="12" t="n"/>
    </row>
    <row r="1767">
      <c r="A1767" s="12" t="n"/>
      <c r="B1767" s="13">
        <f>IF($A1767="","",IFERROR(INDEX(Emp_Names,MATCH($A1767,Emp_Codes,0)),"NOT FOUND"))</f>
        <v/>
      </c>
      <c r="C1767" s="14" t="n"/>
      <c r="D1767" s="15" t="n"/>
      <c r="E1767" s="15" t="n"/>
      <c r="F1767" s="15" t="n"/>
      <c r="G1767" s="15" t="n"/>
      <c r="H1767" s="16">
        <f>IF($A1767="","",$D1767+IF($E1767="",0,$E1767)+IF($F1767="",0,$F1767)-IF($G1767="",0,$G1767))</f>
        <v/>
      </c>
      <c r="I1767" s="12" t="n"/>
      <c r="J1767" s="12" t="n"/>
      <c r="K1767" s="12" t="n"/>
      <c r="L1767" s="14" t="n"/>
      <c r="M1767" s="12" t="n"/>
      <c r="N1767" s="12" t="n"/>
      <c r="O1767" s="12" t="n"/>
    </row>
    <row r="1768">
      <c r="A1768" s="12" t="n"/>
      <c r="B1768" s="13">
        <f>IF($A1768="","",IFERROR(INDEX(Emp_Names,MATCH($A1768,Emp_Codes,0)),"NOT FOUND"))</f>
        <v/>
      </c>
      <c r="C1768" s="14" t="n"/>
      <c r="D1768" s="15" t="n"/>
      <c r="E1768" s="15" t="n"/>
      <c r="F1768" s="15" t="n"/>
      <c r="G1768" s="15" t="n"/>
      <c r="H1768" s="16">
        <f>IF($A1768="","",$D1768+IF($E1768="",0,$E1768)+IF($F1768="",0,$F1768)-IF($G1768="",0,$G1768))</f>
        <v/>
      </c>
      <c r="I1768" s="12" t="n"/>
      <c r="J1768" s="12" t="n"/>
      <c r="K1768" s="12" t="n"/>
      <c r="L1768" s="14" t="n"/>
      <c r="M1768" s="12" t="n"/>
      <c r="N1768" s="12" t="n"/>
      <c r="O1768" s="12" t="n"/>
    </row>
    <row r="1769">
      <c r="A1769" s="12" t="n"/>
      <c r="B1769" s="13">
        <f>IF($A1769="","",IFERROR(INDEX(Emp_Names,MATCH($A1769,Emp_Codes,0)),"NOT FOUND"))</f>
        <v/>
      </c>
      <c r="C1769" s="14" t="n"/>
      <c r="D1769" s="15" t="n"/>
      <c r="E1769" s="15" t="n"/>
      <c r="F1769" s="15" t="n"/>
      <c r="G1769" s="15" t="n"/>
      <c r="H1769" s="16">
        <f>IF($A1769="","",$D1769+IF($E1769="",0,$E1769)+IF($F1769="",0,$F1769)-IF($G1769="",0,$G1769))</f>
        <v/>
      </c>
      <c r="I1769" s="12" t="n"/>
      <c r="J1769" s="12" t="n"/>
      <c r="K1769" s="12" t="n"/>
      <c r="L1769" s="14" t="n"/>
      <c r="M1769" s="12" t="n"/>
      <c r="N1769" s="12" t="n"/>
      <c r="O1769" s="12" t="n"/>
    </row>
    <row r="1770">
      <c r="A1770" s="12" t="n"/>
      <c r="B1770" s="13">
        <f>IF($A1770="","",IFERROR(INDEX(Emp_Names,MATCH($A1770,Emp_Codes,0)),"NOT FOUND"))</f>
        <v/>
      </c>
      <c r="C1770" s="14" t="n"/>
      <c r="D1770" s="15" t="n"/>
      <c r="E1770" s="15" t="n"/>
      <c r="F1770" s="15" t="n"/>
      <c r="G1770" s="15" t="n"/>
      <c r="H1770" s="16">
        <f>IF($A1770="","",$D1770+IF($E1770="",0,$E1770)+IF($F1770="",0,$F1770)-IF($G1770="",0,$G1770))</f>
        <v/>
      </c>
      <c r="I1770" s="12" t="n"/>
      <c r="J1770" s="12" t="n"/>
      <c r="K1770" s="12" t="n"/>
      <c r="L1770" s="14" t="n"/>
      <c r="M1770" s="12" t="n"/>
      <c r="N1770" s="12" t="n"/>
      <c r="O1770" s="12" t="n"/>
    </row>
    <row r="1771">
      <c r="A1771" s="12" t="n"/>
      <c r="B1771" s="13">
        <f>IF($A1771="","",IFERROR(INDEX(Emp_Names,MATCH($A1771,Emp_Codes,0)),"NOT FOUND"))</f>
        <v/>
      </c>
      <c r="C1771" s="14" t="n"/>
      <c r="D1771" s="15" t="n"/>
      <c r="E1771" s="15" t="n"/>
      <c r="F1771" s="15" t="n"/>
      <c r="G1771" s="15" t="n"/>
      <c r="H1771" s="16">
        <f>IF($A1771="","",$D1771+IF($E1771="",0,$E1771)+IF($F1771="",0,$F1771)-IF($G1771="",0,$G1771))</f>
        <v/>
      </c>
      <c r="I1771" s="12" t="n"/>
      <c r="J1771" s="12" t="n"/>
      <c r="K1771" s="12" t="n"/>
      <c r="L1771" s="14" t="n"/>
      <c r="M1771" s="12" t="n"/>
      <c r="N1771" s="12" t="n"/>
      <c r="O1771" s="12" t="n"/>
    </row>
    <row r="1772">
      <c r="A1772" s="12" t="n"/>
      <c r="B1772" s="13">
        <f>IF($A1772="","",IFERROR(INDEX(Emp_Names,MATCH($A1772,Emp_Codes,0)),"NOT FOUND"))</f>
        <v/>
      </c>
      <c r="C1772" s="14" t="n"/>
      <c r="D1772" s="15" t="n"/>
      <c r="E1772" s="15" t="n"/>
      <c r="F1772" s="15" t="n"/>
      <c r="G1772" s="15" t="n"/>
      <c r="H1772" s="16">
        <f>IF($A1772="","",$D1772+IF($E1772="",0,$E1772)+IF($F1772="",0,$F1772)-IF($G1772="",0,$G1772))</f>
        <v/>
      </c>
      <c r="I1772" s="12" t="n"/>
      <c r="J1772" s="12" t="n"/>
      <c r="K1772" s="12" t="n"/>
      <c r="L1772" s="14" t="n"/>
      <c r="M1772" s="12" t="n"/>
      <c r="N1772" s="12" t="n"/>
      <c r="O1772" s="12" t="n"/>
    </row>
    <row r="1773">
      <c r="A1773" s="12" t="n"/>
      <c r="B1773" s="13">
        <f>IF($A1773="","",IFERROR(INDEX(Emp_Names,MATCH($A1773,Emp_Codes,0)),"NOT FOUND"))</f>
        <v/>
      </c>
      <c r="C1773" s="14" t="n"/>
      <c r="D1773" s="15" t="n"/>
      <c r="E1773" s="15" t="n"/>
      <c r="F1773" s="15" t="n"/>
      <c r="G1773" s="15" t="n"/>
      <c r="H1773" s="16">
        <f>IF($A1773="","",$D1773+IF($E1773="",0,$E1773)+IF($F1773="",0,$F1773)-IF($G1773="",0,$G1773))</f>
        <v/>
      </c>
      <c r="I1773" s="12" t="n"/>
      <c r="J1773" s="12" t="n"/>
      <c r="K1773" s="12" t="n"/>
      <c r="L1773" s="14" t="n"/>
      <c r="M1773" s="12" t="n"/>
      <c r="N1773" s="12" t="n"/>
      <c r="O1773" s="12" t="n"/>
    </row>
    <row r="1774">
      <c r="A1774" s="12" t="n"/>
      <c r="B1774" s="13">
        <f>IF($A1774="","",IFERROR(INDEX(Emp_Names,MATCH($A1774,Emp_Codes,0)),"NOT FOUND"))</f>
        <v/>
      </c>
      <c r="C1774" s="14" t="n"/>
      <c r="D1774" s="15" t="n"/>
      <c r="E1774" s="15" t="n"/>
      <c r="F1774" s="15" t="n"/>
      <c r="G1774" s="15" t="n"/>
      <c r="H1774" s="16">
        <f>IF($A1774="","",$D1774+IF($E1774="",0,$E1774)+IF($F1774="",0,$F1774)-IF($G1774="",0,$G1774))</f>
        <v/>
      </c>
      <c r="I1774" s="12" t="n"/>
      <c r="J1774" s="12" t="n"/>
      <c r="K1774" s="12" t="n"/>
      <c r="L1774" s="14" t="n"/>
      <c r="M1774" s="12" t="n"/>
      <c r="N1774" s="12" t="n"/>
      <c r="O1774" s="12" t="n"/>
    </row>
    <row r="1775">
      <c r="A1775" s="12" t="n"/>
      <c r="B1775" s="13">
        <f>IF($A1775="","",IFERROR(INDEX(Emp_Names,MATCH($A1775,Emp_Codes,0)),"NOT FOUND"))</f>
        <v/>
      </c>
      <c r="C1775" s="14" t="n"/>
      <c r="D1775" s="15" t="n"/>
      <c r="E1775" s="15" t="n"/>
      <c r="F1775" s="15" t="n"/>
      <c r="G1775" s="15" t="n"/>
      <c r="H1775" s="16">
        <f>IF($A1775="","",$D1775+IF($E1775="",0,$E1775)+IF($F1775="",0,$F1775)-IF($G1775="",0,$G1775))</f>
        <v/>
      </c>
      <c r="I1775" s="12" t="n"/>
      <c r="J1775" s="12" t="n"/>
      <c r="K1775" s="12" t="n"/>
      <c r="L1775" s="14" t="n"/>
      <c r="M1775" s="12" t="n"/>
      <c r="N1775" s="12" t="n"/>
      <c r="O1775" s="12" t="n"/>
    </row>
    <row r="1776">
      <c r="A1776" s="12" t="n"/>
      <c r="B1776" s="13">
        <f>IF($A1776="","",IFERROR(INDEX(Emp_Names,MATCH($A1776,Emp_Codes,0)),"NOT FOUND"))</f>
        <v/>
      </c>
      <c r="C1776" s="14" t="n"/>
      <c r="D1776" s="15" t="n"/>
      <c r="E1776" s="15" t="n"/>
      <c r="F1776" s="15" t="n"/>
      <c r="G1776" s="15" t="n"/>
      <c r="H1776" s="16">
        <f>IF($A1776="","",$D1776+IF($E1776="",0,$E1776)+IF($F1776="",0,$F1776)-IF($G1776="",0,$G1776))</f>
        <v/>
      </c>
      <c r="I1776" s="12" t="n"/>
      <c r="J1776" s="12" t="n"/>
      <c r="K1776" s="12" t="n"/>
      <c r="L1776" s="14" t="n"/>
      <c r="M1776" s="12" t="n"/>
      <c r="N1776" s="12" t="n"/>
      <c r="O1776" s="12" t="n"/>
    </row>
    <row r="1777">
      <c r="A1777" s="12" t="n"/>
      <c r="B1777" s="13">
        <f>IF($A1777="","",IFERROR(INDEX(Emp_Names,MATCH($A1777,Emp_Codes,0)),"NOT FOUND"))</f>
        <v/>
      </c>
      <c r="C1777" s="14" t="n"/>
      <c r="D1777" s="15" t="n"/>
      <c r="E1777" s="15" t="n"/>
      <c r="F1777" s="15" t="n"/>
      <c r="G1777" s="15" t="n"/>
      <c r="H1777" s="16">
        <f>IF($A1777="","",$D1777+IF($E1777="",0,$E1777)+IF($F1777="",0,$F1777)-IF($G1777="",0,$G1777))</f>
        <v/>
      </c>
      <c r="I1777" s="12" t="n"/>
      <c r="J1777" s="12" t="n"/>
      <c r="K1777" s="12" t="n"/>
      <c r="L1777" s="14" t="n"/>
      <c r="M1777" s="12" t="n"/>
      <c r="N1777" s="12" t="n"/>
      <c r="O1777" s="12" t="n"/>
    </row>
    <row r="1778">
      <c r="A1778" s="12" t="n"/>
      <c r="B1778" s="13">
        <f>IF($A1778="","",IFERROR(INDEX(Emp_Names,MATCH($A1778,Emp_Codes,0)),"NOT FOUND"))</f>
        <v/>
      </c>
      <c r="C1778" s="14" t="n"/>
      <c r="D1778" s="15" t="n"/>
      <c r="E1778" s="15" t="n"/>
      <c r="F1778" s="15" t="n"/>
      <c r="G1778" s="15" t="n"/>
      <c r="H1778" s="16">
        <f>IF($A1778="","",$D1778+IF($E1778="",0,$E1778)+IF($F1778="",0,$F1778)-IF($G1778="",0,$G1778))</f>
        <v/>
      </c>
      <c r="I1778" s="12" t="n"/>
      <c r="J1778" s="12" t="n"/>
      <c r="K1778" s="12" t="n"/>
      <c r="L1778" s="14" t="n"/>
      <c r="M1778" s="12" t="n"/>
      <c r="N1778" s="12" t="n"/>
      <c r="O1778" s="12" t="n"/>
    </row>
    <row r="1779">
      <c r="A1779" s="12" t="n"/>
      <c r="B1779" s="13">
        <f>IF($A1779="","",IFERROR(INDEX(Emp_Names,MATCH($A1779,Emp_Codes,0)),"NOT FOUND"))</f>
        <v/>
      </c>
      <c r="C1779" s="14" t="n"/>
      <c r="D1779" s="15" t="n"/>
      <c r="E1779" s="15" t="n"/>
      <c r="F1779" s="15" t="n"/>
      <c r="G1779" s="15" t="n"/>
      <c r="H1779" s="16">
        <f>IF($A1779="","",$D1779+IF($E1779="",0,$E1779)+IF($F1779="",0,$F1779)-IF($G1779="",0,$G1779))</f>
        <v/>
      </c>
      <c r="I1779" s="12" t="n"/>
      <c r="J1779" s="12" t="n"/>
      <c r="K1779" s="12" t="n"/>
      <c r="L1779" s="14" t="n"/>
      <c r="M1779" s="12" t="n"/>
      <c r="N1779" s="12" t="n"/>
      <c r="O1779" s="12" t="n"/>
    </row>
    <row r="1780">
      <c r="A1780" s="12" t="n"/>
      <c r="B1780" s="13">
        <f>IF($A1780="","",IFERROR(INDEX(Emp_Names,MATCH($A1780,Emp_Codes,0)),"NOT FOUND"))</f>
        <v/>
      </c>
      <c r="C1780" s="14" t="n"/>
      <c r="D1780" s="15" t="n"/>
      <c r="E1780" s="15" t="n"/>
      <c r="F1780" s="15" t="n"/>
      <c r="G1780" s="15" t="n"/>
      <c r="H1780" s="16">
        <f>IF($A1780="","",$D1780+IF($E1780="",0,$E1780)+IF($F1780="",0,$F1780)-IF($G1780="",0,$G1780))</f>
        <v/>
      </c>
      <c r="I1780" s="12" t="n"/>
      <c r="J1780" s="12" t="n"/>
      <c r="K1780" s="12" t="n"/>
      <c r="L1780" s="14" t="n"/>
      <c r="M1780" s="12" t="n"/>
      <c r="N1780" s="12" t="n"/>
      <c r="O1780" s="12" t="n"/>
    </row>
    <row r="1781">
      <c r="A1781" s="12" t="n"/>
      <c r="B1781" s="13">
        <f>IF($A1781="","",IFERROR(INDEX(Emp_Names,MATCH($A1781,Emp_Codes,0)),"NOT FOUND"))</f>
        <v/>
      </c>
      <c r="C1781" s="14" t="n"/>
      <c r="D1781" s="15" t="n"/>
      <c r="E1781" s="15" t="n"/>
      <c r="F1781" s="15" t="n"/>
      <c r="G1781" s="15" t="n"/>
      <c r="H1781" s="16">
        <f>IF($A1781="","",$D1781+IF($E1781="",0,$E1781)+IF($F1781="",0,$F1781)-IF($G1781="",0,$G1781))</f>
        <v/>
      </c>
      <c r="I1781" s="12" t="n"/>
      <c r="J1781" s="12" t="n"/>
      <c r="K1781" s="12" t="n"/>
      <c r="L1781" s="14" t="n"/>
      <c r="M1781" s="12" t="n"/>
      <c r="N1781" s="12" t="n"/>
      <c r="O1781" s="12" t="n"/>
    </row>
    <row r="1782">
      <c r="A1782" s="12" t="n"/>
      <c r="B1782" s="13">
        <f>IF($A1782="","",IFERROR(INDEX(Emp_Names,MATCH($A1782,Emp_Codes,0)),"NOT FOUND"))</f>
        <v/>
      </c>
      <c r="C1782" s="14" t="n"/>
      <c r="D1782" s="15" t="n"/>
      <c r="E1782" s="15" t="n"/>
      <c r="F1782" s="15" t="n"/>
      <c r="G1782" s="15" t="n"/>
      <c r="H1782" s="16">
        <f>IF($A1782="","",$D1782+IF($E1782="",0,$E1782)+IF($F1782="",0,$F1782)-IF($G1782="",0,$G1782))</f>
        <v/>
      </c>
      <c r="I1782" s="12" t="n"/>
      <c r="J1782" s="12" t="n"/>
      <c r="K1782" s="12" t="n"/>
      <c r="L1782" s="14" t="n"/>
      <c r="M1782" s="12" t="n"/>
      <c r="N1782" s="12" t="n"/>
      <c r="O1782" s="12" t="n"/>
    </row>
    <row r="1783">
      <c r="A1783" s="12" t="n"/>
      <c r="B1783" s="13">
        <f>IF($A1783="","",IFERROR(INDEX(Emp_Names,MATCH($A1783,Emp_Codes,0)),"NOT FOUND"))</f>
        <v/>
      </c>
      <c r="C1783" s="14" t="n"/>
      <c r="D1783" s="15" t="n"/>
      <c r="E1783" s="15" t="n"/>
      <c r="F1783" s="15" t="n"/>
      <c r="G1783" s="15" t="n"/>
      <c r="H1783" s="16">
        <f>IF($A1783="","",$D1783+IF($E1783="",0,$E1783)+IF($F1783="",0,$F1783)-IF($G1783="",0,$G1783))</f>
        <v/>
      </c>
      <c r="I1783" s="12" t="n"/>
      <c r="J1783" s="12" t="n"/>
      <c r="K1783" s="12" t="n"/>
      <c r="L1783" s="14" t="n"/>
      <c r="M1783" s="12" t="n"/>
      <c r="N1783" s="12" t="n"/>
      <c r="O1783" s="12" t="n"/>
    </row>
    <row r="1784">
      <c r="A1784" s="12" t="n"/>
      <c r="B1784" s="13">
        <f>IF($A1784="","",IFERROR(INDEX(Emp_Names,MATCH($A1784,Emp_Codes,0)),"NOT FOUND"))</f>
        <v/>
      </c>
      <c r="C1784" s="14" t="n"/>
      <c r="D1784" s="15" t="n"/>
      <c r="E1784" s="15" t="n"/>
      <c r="F1784" s="15" t="n"/>
      <c r="G1784" s="15" t="n"/>
      <c r="H1784" s="16">
        <f>IF($A1784="","",$D1784+IF($E1784="",0,$E1784)+IF($F1784="",0,$F1784)-IF($G1784="",0,$G1784))</f>
        <v/>
      </c>
      <c r="I1784" s="12" t="n"/>
      <c r="J1784" s="12" t="n"/>
      <c r="K1784" s="12" t="n"/>
      <c r="L1784" s="14" t="n"/>
      <c r="M1784" s="12" t="n"/>
      <c r="N1784" s="12" t="n"/>
      <c r="O1784" s="12" t="n"/>
    </row>
    <row r="1785">
      <c r="A1785" s="12" t="n"/>
      <c r="B1785" s="13">
        <f>IF($A1785="","",IFERROR(INDEX(Emp_Names,MATCH($A1785,Emp_Codes,0)),"NOT FOUND"))</f>
        <v/>
      </c>
      <c r="C1785" s="14" t="n"/>
      <c r="D1785" s="15" t="n"/>
      <c r="E1785" s="15" t="n"/>
      <c r="F1785" s="15" t="n"/>
      <c r="G1785" s="15" t="n"/>
      <c r="H1785" s="16">
        <f>IF($A1785="","",$D1785+IF($E1785="",0,$E1785)+IF($F1785="",0,$F1785)-IF($G1785="",0,$G1785))</f>
        <v/>
      </c>
      <c r="I1785" s="12" t="n"/>
      <c r="J1785" s="12" t="n"/>
      <c r="K1785" s="12" t="n"/>
      <c r="L1785" s="14" t="n"/>
      <c r="M1785" s="12" t="n"/>
      <c r="N1785" s="12" t="n"/>
      <c r="O1785" s="12" t="n"/>
    </row>
    <row r="1786">
      <c r="A1786" s="12" t="n"/>
      <c r="B1786" s="13">
        <f>IF($A1786="","",IFERROR(INDEX(Emp_Names,MATCH($A1786,Emp_Codes,0)),"NOT FOUND"))</f>
        <v/>
      </c>
      <c r="C1786" s="14" t="n"/>
      <c r="D1786" s="15" t="n"/>
      <c r="E1786" s="15" t="n"/>
      <c r="F1786" s="15" t="n"/>
      <c r="G1786" s="15" t="n"/>
      <c r="H1786" s="16">
        <f>IF($A1786="","",$D1786+IF($E1786="",0,$E1786)+IF($F1786="",0,$F1786)-IF($G1786="",0,$G1786))</f>
        <v/>
      </c>
      <c r="I1786" s="12" t="n"/>
      <c r="J1786" s="12" t="n"/>
      <c r="K1786" s="12" t="n"/>
      <c r="L1786" s="14" t="n"/>
      <c r="M1786" s="12" t="n"/>
      <c r="N1786" s="12" t="n"/>
      <c r="O1786" s="12" t="n"/>
    </row>
    <row r="1787">
      <c r="A1787" s="12" t="n"/>
      <c r="B1787" s="13">
        <f>IF($A1787="","",IFERROR(INDEX(Emp_Names,MATCH($A1787,Emp_Codes,0)),"NOT FOUND"))</f>
        <v/>
      </c>
      <c r="C1787" s="14" t="n"/>
      <c r="D1787" s="15" t="n"/>
      <c r="E1787" s="15" t="n"/>
      <c r="F1787" s="15" t="n"/>
      <c r="G1787" s="15" t="n"/>
      <c r="H1787" s="16">
        <f>IF($A1787="","",$D1787+IF($E1787="",0,$E1787)+IF($F1787="",0,$F1787)-IF($G1787="",0,$G1787))</f>
        <v/>
      </c>
      <c r="I1787" s="12" t="n"/>
      <c r="J1787" s="12" t="n"/>
      <c r="K1787" s="12" t="n"/>
      <c r="L1787" s="14" t="n"/>
      <c r="M1787" s="12" t="n"/>
      <c r="N1787" s="12" t="n"/>
      <c r="O1787" s="12" t="n"/>
    </row>
    <row r="1788">
      <c r="A1788" s="12" t="n"/>
      <c r="B1788" s="13">
        <f>IF($A1788="","",IFERROR(INDEX(Emp_Names,MATCH($A1788,Emp_Codes,0)),"NOT FOUND"))</f>
        <v/>
      </c>
      <c r="C1788" s="14" t="n"/>
      <c r="D1788" s="15" t="n"/>
      <c r="E1788" s="15" t="n"/>
      <c r="F1788" s="15" t="n"/>
      <c r="G1788" s="15" t="n"/>
      <c r="H1788" s="16">
        <f>IF($A1788="","",$D1788+IF($E1788="",0,$E1788)+IF($F1788="",0,$F1788)-IF($G1788="",0,$G1788))</f>
        <v/>
      </c>
      <c r="I1788" s="12" t="n"/>
      <c r="J1788" s="12" t="n"/>
      <c r="K1788" s="12" t="n"/>
      <c r="L1788" s="14" t="n"/>
      <c r="M1788" s="12" t="n"/>
      <c r="N1788" s="12" t="n"/>
      <c r="O1788" s="12" t="n"/>
    </row>
    <row r="1789">
      <c r="A1789" s="12" t="n"/>
      <c r="B1789" s="13">
        <f>IF($A1789="","",IFERROR(INDEX(Emp_Names,MATCH($A1789,Emp_Codes,0)),"NOT FOUND"))</f>
        <v/>
      </c>
      <c r="C1789" s="14" t="n"/>
      <c r="D1789" s="15" t="n"/>
      <c r="E1789" s="15" t="n"/>
      <c r="F1789" s="15" t="n"/>
      <c r="G1789" s="15" t="n"/>
      <c r="H1789" s="16">
        <f>IF($A1789="","",$D1789+IF($E1789="",0,$E1789)+IF($F1789="",0,$F1789)-IF($G1789="",0,$G1789))</f>
        <v/>
      </c>
      <c r="I1789" s="12" t="n"/>
      <c r="J1789" s="12" t="n"/>
      <c r="K1789" s="12" t="n"/>
      <c r="L1789" s="14" t="n"/>
      <c r="M1789" s="12" t="n"/>
      <c r="N1789" s="12" t="n"/>
      <c r="O1789" s="12" t="n"/>
    </row>
    <row r="1790">
      <c r="A1790" s="12" t="n"/>
      <c r="B1790" s="13">
        <f>IF($A1790="","",IFERROR(INDEX(Emp_Names,MATCH($A1790,Emp_Codes,0)),"NOT FOUND"))</f>
        <v/>
      </c>
      <c r="C1790" s="14" t="n"/>
      <c r="D1790" s="15" t="n"/>
      <c r="E1790" s="15" t="n"/>
      <c r="F1790" s="15" t="n"/>
      <c r="G1790" s="15" t="n"/>
      <c r="H1790" s="16">
        <f>IF($A1790="","",$D1790+IF($E1790="",0,$E1790)+IF($F1790="",0,$F1790)-IF($G1790="",0,$G1790))</f>
        <v/>
      </c>
      <c r="I1790" s="12" t="n"/>
      <c r="J1790" s="12" t="n"/>
      <c r="K1790" s="12" t="n"/>
      <c r="L1790" s="14" t="n"/>
      <c r="M1790" s="12" t="n"/>
      <c r="N1790" s="12" t="n"/>
      <c r="O1790" s="12" t="n"/>
    </row>
    <row r="1791">
      <c r="A1791" s="12" t="n"/>
      <c r="B1791" s="13">
        <f>IF($A1791="","",IFERROR(INDEX(Emp_Names,MATCH($A1791,Emp_Codes,0)),"NOT FOUND"))</f>
        <v/>
      </c>
      <c r="C1791" s="14" t="n"/>
      <c r="D1791" s="15" t="n"/>
      <c r="E1791" s="15" t="n"/>
      <c r="F1791" s="15" t="n"/>
      <c r="G1791" s="15" t="n"/>
      <c r="H1791" s="16">
        <f>IF($A1791="","",$D1791+IF($E1791="",0,$E1791)+IF($F1791="",0,$F1791)-IF($G1791="",0,$G1791))</f>
        <v/>
      </c>
      <c r="I1791" s="12" t="n"/>
      <c r="J1791" s="12" t="n"/>
      <c r="K1791" s="12" t="n"/>
      <c r="L1791" s="14" t="n"/>
      <c r="M1791" s="12" t="n"/>
      <c r="N1791" s="12" t="n"/>
      <c r="O1791" s="12" t="n"/>
    </row>
    <row r="1792">
      <c r="A1792" s="12" t="n"/>
      <c r="B1792" s="13">
        <f>IF($A1792="","",IFERROR(INDEX(Emp_Names,MATCH($A1792,Emp_Codes,0)),"NOT FOUND"))</f>
        <v/>
      </c>
      <c r="C1792" s="14" t="n"/>
      <c r="D1792" s="15" t="n"/>
      <c r="E1792" s="15" t="n"/>
      <c r="F1792" s="15" t="n"/>
      <c r="G1792" s="15" t="n"/>
      <c r="H1792" s="16">
        <f>IF($A1792="","",$D1792+IF($E1792="",0,$E1792)+IF($F1792="",0,$F1792)-IF($G1792="",0,$G1792))</f>
        <v/>
      </c>
      <c r="I1792" s="12" t="n"/>
      <c r="J1792" s="12" t="n"/>
      <c r="K1792" s="12" t="n"/>
      <c r="L1792" s="14" t="n"/>
      <c r="M1792" s="12" t="n"/>
      <c r="N1792" s="12" t="n"/>
      <c r="O1792" s="12" t="n"/>
    </row>
    <row r="1793">
      <c r="A1793" s="12" t="n"/>
      <c r="B1793" s="13">
        <f>IF($A1793="","",IFERROR(INDEX(Emp_Names,MATCH($A1793,Emp_Codes,0)),"NOT FOUND"))</f>
        <v/>
      </c>
      <c r="C1793" s="14" t="n"/>
      <c r="D1793" s="15" t="n"/>
      <c r="E1793" s="15" t="n"/>
      <c r="F1793" s="15" t="n"/>
      <c r="G1793" s="15" t="n"/>
      <c r="H1793" s="16">
        <f>IF($A1793="","",$D1793+IF($E1793="",0,$E1793)+IF($F1793="",0,$F1793)-IF($G1793="",0,$G1793))</f>
        <v/>
      </c>
      <c r="I1793" s="12" t="n"/>
      <c r="J1793" s="12" t="n"/>
      <c r="K1793" s="12" t="n"/>
      <c r="L1793" s="14" t="n"/>
      <c r="M1793" s="12" t="n"/>
      <c r="N1793" s="12" t="n"/>
      <c r="O1793" s="12" t="n"/>
    </row>
    <row r="1794">
      <c r="A1794" s="12" t="n"/>
      <c r="B1794" s="13">
        <f>IF($A1794="","",IFERROR(INDEX(Emp_Names,MATCH($A1794,Emp_Codes,0)),"NOT FOUND"))</f>
        <v/>
      </c>
      <c r="C1794" s="14" t="n"/>
      <c r="D1794" s="15" t="n"/>
      <c r="E1794" s="15" t="n"/>
      <c r="F1794" s="15" t="n"/>
      <c r="G1794" s="15" t="n"/>
      <c r="H1794" s="16">
        <f>IF($A1794="","",$D1794+IF($E1794="",0,$E1794)+IF($F1794="",0,$F1794)-IF($G1794="",0,$G1794))</f>
        <v/>
      </c>
      <c r="I1794" s="12" t="n"/>
      <c r="J1794" s="12" t="n"/>
      <c r="K1794" s="12" t="n"/>
      <c r="L1794" s="14" t="n"/>
      <c r="M1794" s="12" t="n"/>
      <c r="N1794" s="12" t="n"/>
      <c r="O1794" s="12" t="n"/>
    </row>
    <row r="1795">
      <c r="A1795" s="12" t="n"/>
      <c r="B1795" s="13">
        <f>IF($A1795="","",IFERROR(INDEX(Emp_Names,MATCH($A1795,Emp_Codes,0)),"NOT FOUND"))</f>
        <v/>
      </c>
      <c r="C1795" s="14" t="n"/>
      <c r="D1795" s="15" t="n"/>
      <c r="E1795" s="15" t="n"/>
      <c r="F1795" s="15" t="n"/>
      <c r="G1795" s="15" t="n"/>
      <c r="H1795" s="16">
        <f>IF($A1795="","",$D1795+IF($E1795="",0,$E1795)+IF($F1795="",0,$F1795)-IF($G1795="",0,$G1795))</f>
        <v/>
      </c>
      <c r="I1795" s="12" t="n"/>
      <c r="J1795" s="12" t="n"/>
      <c r="K1795" s="12" t="n"/>
      <c r="L1795" s="14" t="n"/>
      <c r="M1795" s="12" t="n"/>
      <c r="N1795" s="12" t="n"/>
      <c r="O1795" s="12" t="n"/>
    </row>
    <row r="1796">
      <c r="A1796" s="12" t="n"/>
      <c r="B1796" s="13">
        <f>IF($A1796="","",IFERROR(INDEX(Emp_Names,MATCH($A1796,Emp_Codes,0)),"NOT FOUND"))</f>
        <v/>
      </c>
      <c r="C1796" s="14" t="n"/>
      <c r="D1796" s="15" t="n"/>
      <c r="E1796" s="15" t="n"/>
      <c r="F1796" s="15" t="n"/>
      <c r="G1796" s="15" t="n"/>
      <c r="H1796" s="16">
        <f>IF($A1796="","",$D1796+IF($E1796="",0,$E1796)+IF($F1796="",0,$F1796)-IF($G1796="",0,$G1796))</f>
        <v/>
      </c>
      <c r="I1796" s="12" t="n"/>
      <c r="J1796" s="12" t="n"/>
      <c r="K1796" s="12" t="n"/>
      <c r="L1796" s="14" t="n"/>
      <c r="M1796" s="12" t="n"/>
      <c r="N1796" s="12" t="n"/>
      <c r="O1796" s="12" t="n"/>
    </row>
    <row r="1797">
      <c r="A1797" s="12" t="n"/>
      <c r="B1797" s="13">
        <f>IF($A1797="","",IFERROR(INDEX(Emp_Names,MATCH($A1797,Emp_Codes,0)),"NOT FOUND"))</f>
        <v/>
      </c>
      <c r="C1797" s="14" t="n"/>
      <c r="D1797" s="15" t="n"/>
      <c r="E1797" s="15" t="n"/>
      <c r="F1797" s="15" t="n"/>
      <c r="G1797" s="15" t="n"/>
      <c r="H1797" s="16">
        <f>IF($A1797="","",$D1797+IF($E1797="",0,$E1797)+IF($F1797="",0,$F1797)-IF($G1797="",0,$G1797))</f>
        <v/>
      </c>
      <c r="I1797" s="12" t="n"/>
      <c r="J1797" s="12" t="n"/>
      <c r="K1797" s="12" t="n"/>
      <c r="L1797" s="14" t="n"/>
      <c r="M1797" s="12" t="n"/>
      <c r="N1797" s="12" t="n"/>
      <c r="O1797" s="12" t="n"/>
    </row>
    <row r="1798">
      <c r="A1798" s="12" t="n"/>
      <c r="B1798" s="13">
        <f>IF($A1798="","",IFERROR(INDEX(Emp_Names,MATCH($A1798,Emp_Codes,0)),"NOT FOUND"))</f>
        <v/>
      </c>
      <c r="C1798" s="14" t="n"/>
      <c r="D1798" s="15" t="n"/>
      <c r="E1798" s="15" t="n"/>
      <c r="F1798" s="15" t="n"/>
      <c r="G1798" s="15" t="n"/>
      <c r="H1798" s="16">
        <f>IF($A1798="","",$D1798+IF($E1798="",0,$E1798)+IF($F1798="",0,$F1798)-IF($G1798="",0,$G1798))</f>
        <v/>
      </c>
      <c r="I1798" s="12" t="n"/>
      <c r="J1798" s="12" t="n"/>
      <c r="K1798" s="12" t="n"/>
      <c r="L1798" s="14" t="n"/>
      <c r="M1798" s="12" t="n"/>
      <c r="N1798" s="12" t="n"/>
      <c r="O1798" s="12" t="n"/>
    </row>
    <row r="1799">
      <c r="A1799" s="12" t="n"/>
      <c r="B1799" s="13">
        <f>IF($A1799="","",IFERROR(INDEX(Emp_Names,MATCH($A1799,Emp_Codes,0)),"NOT FOUND"))</f>
        <v/>
      </c>
      <c r="C1799" s="14" t="n"/>
      <c r="D1799" s="15" t="n"/>
      <c r="E1799" s="15" t="n"/>
      <c r="F1799" s="15" t="n"/>
      <c r="G1799" s="15" t="n"/>
      <c r="H1799" s="16">
        <f>IF($A1799="","",$D1799+IF($E1799="",0,$E1799)+IF($F1799="",0,$F1799)-IF($G1799="",0,$G1799))</f>
        <v/>
      </c>
      <c r="I1799" s="12" t="n"/>
      <c r="J1799" s="12" t="n"/>
      <c r="K1799" s="12" t="n"/>
      <c r="L1799" s="14" t="n"/>
      <c r="M1799" s="12" t="n"/>
      <c r="N1799" s="12" t="n"/>
      <c r="O1799" s="12" t="n"/>
    </row>
    <row r="1800">
      <c r="A1800" s="12" t="n"/>
      <c r="B1800" s="13">
        <f>IF($A1800="","",IFERROR(INDEX(Emp_Names,MATCH($A1800,Emp_Codes,0)),"NOT FOUND"))</f>
        <v/>
      </c>
      <c r="C1800" s="14" t="n"/>
      <c r="D1800" s="15" t="n"/>
      <c r="E1800" s="15" t="n"/>
      <c r="F1800" s="15" t="n"/>
      <c r="G1800" s="15" t="n"/>
      <c r="H1800" s="16">
        <f>IF($A1800="","",$D1800+IF($E1800="",0,$E1800)+IF($F1800="",0,$F1800)-IF($G1800="",0,$G1800))</f>
        <v/>
      </c>
      <c r="I1800" s="12" t="n"/>
      <c r="J1800" s="12" t="n"/>
      <c r="K1800" s="12" t="n"/>
      <c r="L1800" s="14" t="n"/>
      <c r="M1800" s="12" t="n"/>
      <c r="N1800" s="12" t="n"/>
      <c r="O1800" s="12" t="n"/>
    </row>
    <row r="1801">
      <c r="A1801" s="12" t="n"/>
      <c r="B1801" s="13">
        <f>IF($A1801="","",IFERROR(INDEX(Emp_Names,MATCH($A1801,Emp_Codes,0)),"NOT FOUND"))</f>
        <v/>
      </c>
      <c r="C1801" s="14" t="n"/>
      <c r="D1801" s="15" t="n"/>
      <c r="E1801" s="15" t="n"/>
      <c r="F1801" s="15" t="n"/>
      <c r="G1801" s="15" t="n"/>
      <c r="H1801" s="16">
        <f>IF($A1801="","",$D1801+IF($E1801="",0,$E1801)+IF($F1801="",0,$F1801)-IF($G1801="",0,$G1801))</f>
        <v/>
      </c>
      <c r="I1801" s="12" t="n"/>
      <c r="J1801" s="12" t="n"/>
      <c r="K1801" s="12" t="n"/>
      <c r="L1801" s="14" t="n"/>
      <c r="M1801" s="12" t="n"/>
      <c r="N1801" s="12" t="n"/>
      <c r="O1801" s="12" t="n"/>
    </row>
    <row r="1802">
      <c r="A1802" s="12" t="n"/>
      <c r="B1802" s="13">
        <f>IF($A1802="","",IFERROR(INDEX(Emp_Names,MATCH($A1802,Emp_Codes,0)),"NOT FOUND"))</f>
        <v/>
      </c>
      <c r="C1802" s="14" t="n"/>
      <c r="D1802" s="15" t="n"/>
      <c r="E1802" s="15" t="n"/>
      <c r="F1802" s="15" t="n"/>
      <c r="G1802" s="15" t="n"/>
      <c r="H1802" s="16">
        <f>IF($A1802="","",$D1802+IF($E1802="",0,$E1802)+IF($F1802="",0,$F1802)-IF($G1802="",0,$G1802))</f>
        <v/>
      </c>
      <c r="I1802" s="12" t="n"/>
      <c r="J1802" s="12" t="n"/>
      <c r="K1802" s="12" t="n"/>
      <c r="L1802" s="14" t="n"/>
      <c r="M1802" s="12" t="n"/>
      <c r="N1802" s="12" t="n"/>
      <c r="O1802" s="12" t="n"/>
    </row>
    <row r="1803">
      <c r="A1803" s="12" t="n"/>
      <c r="B1803" s="13">
        <f>IF($A1803="","",IFERROR(INDEX(Emp_Names,MATCH($A1803,Emp_Codes,0)),"NOT FOUND"))</f>
        <v/>
      </c>
      <c r="C1803" s="14" t="n"/>
      <c r="D1803" s="15" t="n"/>
      <c r="E1803" s="15" t="n"/>
      <c r="F1803" s="15" t="n"/>
      <c r="G1803" s="15" t="n"/>
      <c r="H1803" s="16">
        <f>IF($A1803="","",$D1803+IF($E1803="",0,$E1803)+IF($F1803="",0,$F1803)-IF($G1803="",0,$G1803))</f>
        <v/>
      </c>
      <c r="I1803" s="12" t="n"/>
      <c r="J1803" s="12" t="n"/>
      <c r="K1803" s="12" t="n"/>
      <c r="L1803" s="14" t="n"/>
      <c r="M1803" s="12" t="n"/>
      <c r="N1803" s="12" t="n"/>
      <c r="O1803" s="12" t="n"/>
    </row>
    <row r="1804">
      <c r="A1804" s="12" t="n"/>
      <c r="B1804" s="13">
        <f>IF($A1804="","",IFERROR(INDEX(Emp_Names,MATCH($A1804,Emp_Codes,0)),"NOT FOUND"))</f>
        <v/>
      </c>
      <c r="C1804" s="14" t="n"/>
      <c r="D1804" s="15" t="n"/>
      <c r="E1804" s="15" t="n"/>
      <c r="F1804" s="15" t="n"/>
      <c r="G1804" s="15" t="n"/>
      <c r="H1804" s="16">
        <f>IF($A1804="","",$D1804+IF($E1804="",0,$E1804)+IF($F1804="",0,$F1804)-IF($G1804="",0,$G1804))</f>
        <v/>
      </c>
      <c r="I1804" s="12" t="n"/>
      <c r="J1804" s="12" t="n"/>
      <c r="K1804" s="12" t="n"/>
      <c r="L1804" s="14" t="n"/>
      <c r="M1804" s="12" t="n"/>
      <c r="N1804" s="12" t="n"/>
      <c r="O1804" s="12" t="n"/>
    </row>
    <row r="1805">
      <c r="A1805" s="12" t="n"/>
      <c r="B1805" s="13">
        <f>IF($A1805="","",IFERROR(INDEX(Emp_Names,MATCH($A1805,Emp_Codes,0)),"NOT FOUND"))</f>
        <v/>
      </c>
      <c r="C1805" s="14" t="n"/>
      <c r="D1805" s="15" t="n"/>
      <c r="E1805" s="15" t="n"/>
      <c r="F1805" s="15" t="n"/>
      <c r="G1805" s="15" t="n"/>
      <c r="H1805" s="16">
        <f>IF($A1805="","",$D1805+IF($E1805="",0,$E1805)+IF($F1805="",0,$F1805)-IF($G1805="",0,$G1805))</f>
        <v/>
      </c>
      <c r="I1805" s="12" t="n"/>
      <c r="J1805" s="12" t="n"/>
      <c r="K1805" s="12" t="n"/>
      <c r="L1805" s="14" t="n"/>
      <c r="M1805" s="12" t="n"/>
      <c r="N1805" s="12" t="n"/>
      <c r="O1805" s="12" t="n"/>
    </row>
    <row r="1806">
      <c r="A1806" s="12" t="n"/>
      <c r="B1806" s="13">
        <f>IF($A1806="","",IFERROR(INDEX(Emp_Names,MATCH($A1806,Emp_Codes,0)),"NOT FOUND"))</f>
        <v/>
      </c>
      <c r="C1806" s="14" t="n"/>
      <c r="D1806" s="15" t="n"/>
      <c r="E1806" s="15" t="n"/>
      <c r="F1806" s="15" t="n"/>
      <c r="G1806" s="15" t="n"/>
      <c r="H1806" s="16">
        <f>IF($A1806="","",$D1806+IF($E1806="",0,$E1806)+IF($F1806="",0,$F1806)-IF($G1806="",0,$G1806))</f>
        <v/>
      </c>
      <c r="I1806" s="12" t="n"/>
      <c r="J1806" s="12" t="n"/>
      <c r="K1806" s="12" t="n"/>
      <c r="L1806" s="14" t="n"/>
      <c r="M1806" s="12" t="n"/>
      <c r="N1806" s="12" t="n"/>
      <c r="O1806" s="12" t="n"/>
    </row>
    <row r="1807">
      <c r="A1807" s="12" t="n"/>
      <c r="B1807" s="13">
        <f>IF($A1807="","",IFERROR(INDEX(Emp_Names,MATCH($A1807,Emp_Codes,0)),"NOT FOUND"))</f>
        <v/>
      </c>
      <c r="C1807" s="14" t="n"/>
      <c r="D1807" s="15" t="n"/>
      <c r="E1807" s="15" t="n"/>
      <c r="F1807" s="15" t="n"/>
      <c r="G1807" s="15" t="n"/>
      <c r="H1807" s="16">
        <f>IF($A1807="","",$D1807+IF($E1807="",0,$E1807)+IF($F1807="",0,$F1807)-IF($G1807="",0,$G1807))</f>
        <v/>
      </c>
      <c r="I1807" s="12" t="n"/>
      <c r="J1807" s="12" t="n"/>
      <c r="K1807" s="12" t="n"/>
      <c r="L1807" s="14" t="n"/>
      <c r="M1807" s="12" t="n"/>
      <c r="N1807" s="12" t="n"/>
      <c r="O1807" s="12" t="n"/>
    </row>
    <row r="1808">
      <c r="A1808" s="12" t="n"/>
      <c r="B1808" s="13">
        <f>IF($A1808="","",IFERROR(INDEX(Emp_Names,MATCH($A1808,Emp_Codes,0)),"NOT FOUND"))</f>
        <v/>
      </c>
      <c r="C1808" s="14" t="n"/>
      <c r="D1808" s="15" t="n"/>
      <c r="E1808" s="15" t="n"/>
      <c r="F1808" s="15" t="n"/>
      <c r="G1808" s="15" t="n"/>
      <c r="H1808" s="16">
        <f>IF($A1808="","",$D1808+IF($E1808="",0,$E1808)+IF($F1808="",0,$F1808)-IF($G1808="",0,$G1808))</f>
        <v/>
      </c>
      <c r="I1808" s="12" t="n"/>
      <c r="J1808" s="12" t="n"/>
      <c r="K1808" s="12" t="n"/>
      <c r="L1808" s="14" t="n"/>
      <c r="M1808" s="12" t="n"/>
      <c r="N1808" s="12" t="n"/>
      <c r="O1808" s="12" t="n"/>
    </row>
    <row r="1809">
      <c r="A1809" s="12" t="n"/>
      <c r="B1809" s="13">
        <f>IF($A1809="","",IFERROR(INDEX(Emp_Names,MATCH($A1809,Emp_Codes,0)),"NOT FOUND"))</f>
        <v/>
      </c>
      <c r="C1809" s="14" t="n"/>
      <c r="D1809" s="15" t="n"/>
      <c r="E1809" s="15" t="n"/>
      <c r="F1809" s="15" t="n"/>
      <c r="G1809" s="15" t="n"/>
      <c r="H1809" s="16">
        <f>IF($A1809="","",$D1809+IF($E1809="",0,$E1809)+IF($F1809="",0,$F1809)-IF($G1809="",0,$G1809))</f>
        <v/>
      </c>
      <c r="I1809" s="12" t="n"/>
      <c r="J1809" s="12" t="n"/>
      <c r="K1809" s="12" t="n"/>
      <c r="L1809" s="14" t="n"/>
      <c r="M1809" s="12" t="n"/>
      <c r="N1809" s="12" t="n"/>
      <c r="O1809" s="12" t="n"/>
    </row>
    <row r="1810">
      <c r="A1810" s="12" t="n"/>
      <c r="B1810" s="13">
        <f>IF($A1810="","",IFERROR(INDEX(Emp_Names,MATCH($A1810,Emp_Codes,0)),"NOT FOUND"))</f>
        <v/>
      </c>
      <c r="C1810" s="14" t="n"/>
      <c r="D1810" s="15" t="n"/>
      <c r="E1810" s="15" t="n"/>
      <c r="F1810" s="15" t="n"/>
      <c r="G1810" s="15" t="n"/>
      <c r="H1810" s="16">
        <f>IF($A1810="","",$D1810+IF($E1810="",0,$E1810)+IF($F1810="",0,$F1810)-IF($G1810="",0,$G1810))</f>
        <v/>
      </c>
      <c r="I1810" s="12" t="n"/>
      <c r="J1810" s="12" t="n"/>
      <c r="K1810" s="12" t="n"/>
      <c r="L1810" s="14" t="n"/>
      <c r="M1810" s="12" t="n"/>
      <c r="N1810" s="12" t="n"/>
      <c r="O1810" s="12" t="n"/>
    </row>
    <row r="1811">
      <c r="A1811" s="12" t="n"/>
      <c r="B1811" s="13">
        <f>IF($A1811="","",IFERROR(INDEX(Emp_Names,MATCH($A1811,Emp_Codes,0)),"NOT FOUND"))</f>
        <v/>
      </c>
      <c r="C1811" s="14" t="n"/>
      <c r="D1811" s="15" t="n"/>
      <c r="E1811" s="15" t="n"/>
      <c r="F1811" s="15" t="n"/>
      <c r="G1811" s="15" t="n"/>
      <c r="H1811" s="16">
        <f>IF($A1811="","",$D1811+IF($E1811="",0,$E1811)+IF($F1811="",0,$F1811)-IF($G1811="",0,$G1811))</f>
        <v/>
      </c>
      <c r="I1811" s="12" t="n"/>
      <c r="J1811" s="12" t="n"/>
      <c r="K1811" s="12" t="n"/>
      <c r="L1811" s="14" t="n"/>
      <c r="M1811" s="12" t="n"/>
      <c r="N1811" s="12" t="n"/>
      <c r="O1811" s="12" t="n"/>
    </row>
    <row r="1812">
      <c r="A1812" s="12" t="n"/>
      <c r="B1812" s="13">
        <f>IF($A1812="","",IFERROR(INDEX(Emp_Names,MATCH($A1812,Emp_Codes,0)),"NOT FOUND"))</f>
        <v/>
      </c>
      <c r="C1812" s="14" t="n"/>
      <c r="D1812" s="15" t="n"/>
      <c r="E1812" s="15" t="n"/>
      <c r="F1812" s="15" t="n"/>
      <c r="G1812" s="15" t="n"/>
      <c r="H1812" s="16">
        <f>IF($A1812="","",$D1812+IF($E1812="",0,$E1812)+IF($F1812="",0,$F1812)-IF($G1812="",0,$G1812))</f>
        <v/>
      </c>
      <c r="I1812" s="12" t="n"/>
      <c r="J1812" s="12" t="n"/>
      <c r="K1812" s="12" t="n"/>
      <c r="L1812" s="14" t="n"/>
      <c r="M1812" s="12" t="n"/>
      <c r="N1812" s="12" t="n"/>
      <c r="O1812" s="12" t="n"/>
    </row>
    <row r="1813">
      <c r="A1813" s="12" t="n"/>
      <c r="B1813" s="13">
        <f>IF($A1813="","",IFERROR(INDEX(Emp_Names,MATCH($A1813,Emp_Codes,0)),"NOT FOUND"))</f>
        <v/>
      </c>
      <c r="C1813" s="14" t="n"/>
      <c r="D1813" s="15" t="n"/>
      <c r="E1813" s="15" t="n"/>
      <c r="F1813" s="15" t="n"/>
      <c r="G1813" s="15" t="n"/>
      <c r="H1813" s="16">
        <f>IF($A1813="","",$D1813+IF($E1813="",0,$E1813)+IF($F1813="",0,$F1813)-IF($G1813="",0,$G1813))</f>
        <v/>
      </c>
      <c r="I1813" s="12" t="n"/>
      <c r="J1813" s="12" t="n"/>
      <c r="K1813" s="12" t="n"/>
      <c r="L1813" s="14" t="n"/>
      <c r="M1813" s="12" t="n"/>
      <c r="N1813" s="12" t="n"/>
      <c r="O1813" s="12" t="n"/>
    </row>
    <row r="1814">
      <c r="A1814" s="12" t="n"/>
      <c r="B1814" s="13">
        <f>IF($A1814="","",IFERROR(INDEX(Emp_Names,MATCH($A1814,Emp_Codes,0)),"NOT FOUND"))</f>
        <v/>
      </c>
      <c r="C1814" s="14" t="n"/>
      <c r="D1814" s="15" t="n"/>
      <c r="E1814" s="15" t="n"/>
      <c r="F1814" s="15" t="n"/>
      <c r="G1814" s="15" t="n"/>
      <c r="H1814" s="16">
        <f>IF($A1814="","",$D1814+IF($E1814="",0,$E1814)+IF($F1814="",0,$F1814)-IF($G1814="",0,$G1814))</f>
        <v/>
      </c>
      <c r="I1814" s="12" t="n"/>
      <c r="J1814" s="12" t="n"/>
      <c r="K1814" s="12" t="n"/>
      <c r="L1814" s="14" t="n"/>
      <c r="M1814" s="12" t="n"/>
      <c r="N1814" s="12" t="n"/>
      <c r="O1814" s="12" t="n"/>
    </row>
    <row r="1815">
      <c r="A1815" s="12" t="n"/>
      <c r="B1815" s="13">
        <f>IF($A1815="","",IFERROR(INDEX(Emp_Names,MATCH($A1815,Emp_Codes,0)),"NOT FOUND"))</f>
        <v/>
      </c>
      <c r="C1815" s="14" t="n"/>
      <c r="D1815" s="15" t="n"/>
      <c r="E1815" s="15" t="n"/>
      <c r="F1815" s="15" t="n"/>
      <c r="G1815" s="15" t="n"/>
      <c r="H1815" s="16">
        <f>IF($A1815="","",$D1815+IF($E1815="",0,$E1815)+IF($F1815="",0,$F1815)-IF($G1815="",0,$G1815))</f>
        <v/>
      </c>
      <c r="I1815" s="12" t="n"/>
      <c r="J1815" s="12" t="n"/>
      <c r="K1815" s="12" t="n"/>
      <c r="L1815" s="14" t="n"/>
      <c r="M1815" s="12" t="n"/>
      <c r="N1815" s="12" t="n"/>
      <c r="O1815" s="12" t="n"/>
    </row>
    <row r="1816">
      <c r="A1816" s="12" t="n"/>
      <c r="B1816" s="13">
        <f>IF($A1816="","",IFERROR(INDEX(Emp_Names,MATCH($A1816,Emp_Codes,0)),"NOT FOUND"))</f>
        <v/>
      </c>
      <c r="C1816" s="14" t="n"/>
      <c r="D1816" s="15" t="n"/>
      <c r="E1816" s="15" t="n"/>
      <c r="F1816" s="15" t="n"/>
      <c r="G1816" s="15" t="n"/>
      <c r="H1816" s="16">
        <f>IF($A1816="","",$D1816+IF($E1816="",0,$E1816)+IF($F1816="",0,$F1816)-IF($G1816="",0,$G1816))</f>
        <v/>
      </c>
      <c r="I1816" s="12" t="n"/>
      <c r="J1816" s="12" t="n"/>
      <c r="K1816" s="12" t="n"/>
      <c r="L1816" s="14" t="n"/>
      <c r="M1816" s="12" t="n"/>
      <c r="N1816" s="12" t="n"/>
      <c r="O1816" s="12" t="n"/>
    </row>
    <row r="1817">
      <c r="A1817" s="12" t="n"/>
      <c r="B1817" s="13">
        <f>IF($A1817="","",IFERROR(INDEX(Emp_Names,MATCH($A1817,Emp_Codes,0)),"NOT FOUND"))</f>
        <v/>
      </c>
      <c r="C1817" s="14" t="n"/>
      <c r="D1817" s="15" t="n"/>
      <c r="E1817" s="15" t="n"/>
      <c r="F1817" s="15" t="n"/>
      <c r="G1817" s="15" t="n"/>
      <c r="H1817" s="16">
        <f>IF($A1817="","",$D1817+IF($E1817="",0,$E1817)+IF($F1817="",0,$F1817)-IF($G1817="",0,$G1817))</f>
        <v/>
      </c>
      <c r="I1817" s="12" t="n"/>
      <c r="J1817" s="12" t="n"/>
      <c r="K1817" s="12" t="n"/>
      <c r="L1817" s="14" t="n"/>
      <c r="M1817" s="12" t="n"/>
      <c r="N1817" s="12" t="n"/>
      <c r="O1817" s="12" t="n"/>
    </row>
    <row r="1818">
      <c r="A1818" s="12" t="n"/>
      <c r="B1818" s="13">
        <f>IF($A1818="","",IFERROR(INDEX(Emp_Names,MATCH($A1818,Emp_Codes,0)),"NOT FOUND"))</f>
        <v/>
      </c>
      <c r="C1818" s="14" t="n"/>
      <c r="D1818" s="15" t="n"/>
      <c r="E1818" s="15" t="n"/>
      <c r="F1818" s="15" t="n"/>
      <c r="G1818" s="15" t="n"/>
      <c r="H1818" s="16">
        <f>IF($A1818="","",$D1818+IF($E1818="",0,$E1818)+IF($F1818="",0,$F1818)-IF($G1818="",0,$G1818))</f>
        <v/>
      </c>
      <c r="I1818" s="12" t="n"/>
      <c r="J1818" s="12" t="n"/>
      <c r="K1818" s="12" t="n"/>
      <c r="L1818" s="14" t="n"/>
      <c r="M1818" s="12" t="n"/>
      <c r="N1818" s="12" t="n"/>
      <c r="O1818" s="12" t="n"/>
    </row>
    <row r="1819">
      <c r="A1819" s="12" t="n"/>
      <c r="B1819" s="13">
        <f>IF($A1819="","",IFERROR(INDEX(Emp_Names,MATCH($A1819,Emp_Codes,0)),"NOT FOUND"))</f>
        <v/>
      </c>
      <c r="C1819" s="14" t="n"/>
      <c r="D1819" s="15" t="n"/>
      <c r="E1819" s="15" t="n"/>
      <c r="F1819" s="15" t="n"/>
      <c r="G1819" s="15" t="n"/>
      <c r="H1819" s="16">
        <f>IF($A1819="","",$D1819+IF($E1819="",0,$E1819)+IF($F1819="",0,$F1819)-IF($G1819="",0,$G1819))</f>
        <v/>
      </c>
      <c r="I1819" s="12" t="n"/>
      <c r="J1819" s="12" t="n"/>
      <c r="K1819" s="12" t="n"/>
      <c r="L1819" s="14" t="n"/>
      <c r="M1819" s="12" t="n"/>
      <c r="N1819" s="12" t="n"/>
      <c r="O1819" s="12" t="n"/>
    </row>
    <row r="1820">
      <c r="A1820" s="12" t="n"/>
      <c r="B1820" s="13">
        <f>IF($A1820="","",IFERROR(INDEX(Emp_Names,MATCH($A1820,Emp_Codes,0)),"NOT FOUND"))</f>
        <v/>
      </c>
      <c r="C1820" s="14" t="n"/>
      <c r="D1820" s="15" t="n"/>
      <c r="E1820" s="15" t="n"/>
      <c r="F1820" s="15" t="n"/>
      <c r="G1820" s="15" t="n"/>
      <c r="H1820" s="16">
        <f>IF($A1820="","",$D1820+IF($E1820="",0,$E1820)+IF($F1820="",0,$F1820)-IF($G1820="",0,$G1820))</f>
        <v/>
      </c>
      <c r="I1820" s="12" t="n"/>
      <c r="J1820" s="12" t="n"/>
      <c r="K1820" s="12" t="n"/>
      <c r="L1820" s="14" t="n"/>
      <c r="M1820" s="12" t="n"/>
      <c r="N1820" s="12" t="n"/>
      <c r="O1820" s="12" t="n"/>
    </row>
    <row r="1821">
      <c r="A1821" s="12" t="n"/>
      <c r="B1821" s="13">
        <f>IF($A1821="","",IFERROR(INDEX(Emp_Names,MATCH($A1821,Emp_Codes,0)),"NOT FOUND"))</f>
        <v/>
      </c>
      <c r="C1821" s="14" t="n"/>
      <c r="D1821" s="15" t="n"/>
      <c r="E1821" s="15" t="n"/>
      <c r="F1821" s="15" t="n"/>
      <c r="G1821" s="15" t="n"/>
      <c r="H1821" s="16">
        <f>IF($A1821="","",$D1821+IF($E1821="",0,$E1821)+IF($F1821="",0,$F1821)-IF($G1821="",0,$G1821))</f>
        <v/>
      </c>
      <c r="I1821" s="12" t="n"/>
      <c r="J1821" s="12" t="n"/>
      <c r="K1821" s="12" t="n"/>
      <c r="L1821" s="14" t="n"/>
      <c r="M1821" s="12" t="n"/>
      <c r="N1821" s="12" t="n"/>
      <c r="O1821" s="12" t="n"/>
    </row>
    <row r="1822">
      <c r="A1822" s="12" t="n"/>
      <c r="B1822" s="13">
        <f>IF($A1822="","",IFERROR(INDEX(Emp_Names,MATCH($A1822,Emp_Codes,0)),"NOT FOUND"))</f>
        <v/>
      </c>
      <c r="C1822" s="14" t="n"/>
      <c r="D1822" s="15" t="n"/>
      <c r="E1822" s="15" t="n"/>
      <c r="F1822" s="15" t="n"/>
      <c r="G1822" s="15" t="n"/>
      <c r="H1822" s="16">
        <f>IF($A1822="","",$D1822+IF($E1822="",0,$E1822)+IF($F1822="",0,$F1822)-IF($G1822="",0,$G1822))</f>
        <v/>
      </c>
      <c r="I1822" s="12" t="n"/>
      <c r="J1822" s="12" t="n"/>
      <c r="K1822" s="12" t="n"/>
      <c r="L1822" s="14" t="n"/>
      <c r="M1822" s="12" t="n"/>
      <c r="N1822" s="12" t="n"/>
      <c r="O1822" s="12" t="n"/>
    </row>
    <row r="1823">
      <c r="A1823" s="12" t="n"/>
      <c r="B1823" s="13">
        <f>IF($A1823="","",IFERROR(INDEX(Emp_Names,MATCH($A1823,Emp_Codes,0)),"NOT FOUND"))</f>
        <v/>
      </c>
      <c r="C1823" s="14" t="n"/>
      <c r="D1823" s="15" t="n"/>
      <c r="E1823" s="15" t="n"/>
      <c r="F1823" s="15" t="n"/>
      <c r="G1823" s="15" t="n"/>
      <c r="H1823" s="16">
        <f>IF($A1823="","",$D1823+IF($E1823="",0,$E1823)+IF($F1823="",0,$F1823)-IF($G1823="",0,$G1823))</f>
        <v/>
      </c>
      <c r="I1823" s="12" t="n"/>
      <c r="J1823" s="12" t="n"/>
      <c r="K1823" s="12" t="n"/>
      <c r="L1823" s="14" t="n"/>
      <c r="M1823" s="12" t="n"/>
      <c r="N1823" s="12" t="n"/>
      <c r="O1823" s="12" t="n"/>
    </row>
    <row r="1824">
      <c r="A1824" s="12" t="n"/>
      <c r="B1824" s="13">
        <f>IF($A1824="","",IFERROR(INDEX(Emp_Names,MATCH($A1824,Emp_Codes,0)),"NOT FOUND"))</f>
        <v/>
      </c>
      <c r="C1824" s="14" t="n"/>
      <c r="D1824" s="15" t="n"/>
      <c r="E1824" s="15" t="n"/>
      <c r="F1824" s="15" t="n"/>
      <c r="G1824" s="15" t="n"/>
      <c r="H1824" s="16">
        <f>IF($A1824="","",$D1824+IF($E1824="",0,$E1824)+IF($F1824="",0,$F1824)-IF($G1824="",0,$G1824))</f>
        <v/>
      </c>
      <c r="I1824" s="12" t="n"/>
      <c r="J1824" s="12" t="n"/>
      <c r="K1824" s="12" t="n"/>
      <c r="L1824" s="14" t="n"/>
      <c r="M1824" s="12" t="n"/>
      <c r="N1824" s="12" t="n"/>
      <c r="O1824" s="12" t="n"/>
    </row>
    <row r="1825">
      <c r="A1825" s="12" t="n"/>
      <c r="B1825" s="13">
        <f>IF($A1825="","",IFERROR(INDEX(Emp_Names,MATCH($A1825,Emp_Codes,0)),"NOT FOUND"))</f>
        <v/>
      </c>
      <c r="C1825" s="14" t="n"/>
      <c r="D1825" s="15" t="n"/>
      <c r="E1825" s="15" t="n"/>
      <c r="F1825" s="15" t="n"/>
      <c r="G1825" s="15" t="n"/>
      <c r="H1825" s="16">
        <f>IF($A1825="","",$D1825+IF($E1825="",0,$E1825)+IF($F1825="",0,$F1825)-IF($G1825="",0,$G1825))</f>
        <v/>
      </c>
      <c r="I1825" s="12" t="n"/>
      <c r="J1825" s="12" t="n"/>
      <c r="K1825" s="12" t="n"/>
      <c r="L1825" s="14" t="n"/>
      <c r="M1825" s="12" t="n"/>
      <c r="N1825" s="12" t="n"/>
      <c r="O1825" s="12" t="n"/>
    </row>
    <row r="1826">
      <c r="A1826" s="12" t="n"/>
      <c r="B1826" s="13">
        <f>IF($A1826="","",IFERROR(INDEX(Emp_Names,MATCH($A1826,Emp_Codes,0)),"NOT FOUND"))</f>
        <v/>
      </c>
      <c r="C1826" s="14" t="n"/>
      <c r="D1826" s="15" t="n"/>
      <c r="E1826" s="15" t="n"/>
      <c r="F1826" s="15" t="n"/>
      <c r="G1826" s="15" t="n"/>
      <c r="H1826" s="16">
        <f>IF($A1826="","",$D1826+IF($E1826="",0,$E1826)+IF($F1826="",0,$F1826)-IF($G1826="",0,$G1826))</f>
        <v/>
      </c>
      <c r="I1826" s="12" t="n"/>
      <c r="J1826" s="12" t="n"/>
      <c r="K1826" s="12" t="n"/>
      <c r="L1826" s="14" t="n"/>
      <c r="M1826" s="12" t="n"/>
      <c r="N1826" s="12" t="n"/>
      <c r="O1826" s="12" t="n"/>
    </row>
    <row r="1827">
      <c r="A1827" s="12" t="n"/>
      <c r="B1827" s="13">
        <f>IF($A1827="","",IFERROR(INDEX(Emp_Names,MATCH($A1827,Emp_Codes,0)),"NOT FOUND"))</f>
        <v/>
      </c>
      <c r="C1827" s="14" t="n"/>
      <c r="D1827" s="15" t="n"/>
      <c r="E1827" s="15" t="n"/>
      <c r="F1827" s="15" t="n"/>
      <c r="G1827" s="15" t="n"/>
      <c r="H1827" s="16">
        <f>IF($A1827="","",$D1827+IF($E1827="",0,$E1827)+IF($F1827="",0,$F1827)-IF($G1827="",0,$G1827))</f>
        <v/>
      </c>
      <c r="I1827" s="12" t="n"/>
      <c r="J1827" s="12" t="n"/>
      <c r="K1827" s="12" t="n"/>
      <c r="L1827" s="14" t="n"/>
      <c r="M1827" s="12" t="n"/>
      <c r="N1827" s="12" t="n"/>
      <c r="O1827" s="12" t="n"/>
    </row>
    <row r="1828">
      <c r="A1828" s="12" t="n"/>
      <c r="B1828" s="13">
        <f>IF($A1828="","",IFERROR(INDEX(Emp_Names,MATCH($A1828,Emp_Codes,0)),"NOT FOUND"))</f>
        <v/>
      </c>
      <c r="C1828" s="14" t="n"/>
      <c r="D1828" s="15" t="n"/>
      <c r="E1828" s="15" t="n"/>
      <c r="F1828" s="15" t="n"/>
      <c r="G1828" s="15" t="n"/>
      <c r="H1828" s="16">
        <f>IF($A1828="","",$D1828+IF($E1828="",0,$E1828)+IF($F1828="",0,$F1828)-IF($G1828="",0,$G1828))</f>
        <v/>
      </c>
      <c r="I1828" s="12" t="n"/>
      <c r="J1828" s="12" t="n"/>
      <c r="K1828" s="12" t="n"/>
      <c r="L1828" s="14" t="n"/>
      <c r="M1828" s="12" t="n"/>
      <c r="N1828" s="12" t="n"/>
      <c r="O1828" s="12" t="n"/>
    </row>
    <row r="1829">
      <c r="A1829" s="12" t="n"/>
      <c r="B1829" s="13">
        <f>IF($A1829="","",IFERROR(INDEX(Emp_Names,MATCH($A1829,Emp_Codes,0)),"NOT FOUND"))</f>
        <v/>
      </c>
      <c r="C1829" s="14" t="n"/>
      <c r="D1829" s="15" t="n"/>
      <c r="E1829" s="15" t="n"/>
      <c r="F1829" s="15" t="n"/>
      <c r="G1829" s="15" t="n"/>
      <c r="H1829" s="16">
        <f>IF($A1829="","",$D1829+IF($E1829="",0,$E1829)+IF($F1829="",0,$F1829)-IF($G1829="",0,$G1829))</f>
        <v/>
      </c>
      <c r="I1829" s="12" t="n"/>
      <c r="J1829" s="12" t="n"/>
      <c r="K1829" s="12" t="n"/>
      <c r="L1829" s="14" t="n"/>
      <c r="M1829" s="12" t="n"/>
      <c r="N1829" s="12" t="n"/>
      <c r="O1829" s="12" t="n"/>
    </row>
    <row r="1830">
      <c r="A1830" s="12" t="n"/>
      <c r="B1830" s="13">
        <f>IF($A1830="","",IFERROR(INDEX(Emp_Names,MATCH($A1830,Emp_Codes,0)),"NOT FOUND"))</f>
        <v/>
      </c>
      <c r="C1830" s="14" t="n"/>
      <c r="D1830" s="15" t="n"/>
      <c r="E1830" s="15" t="n"/>
      <c r="F1830" s="15" t="n"/>
      <c r="G1830" s="15" t="n"/>
      <c r="H1830" s="16">
        <f>IF($A1830="","",$D1830+IF($E1830="",0,$E1830)+IF($F1830="",0,$F1830)-IF($G1830="",0,$G1830))</f>
        <v/>
      </c>
      <c r="I1830" s="12" t="n"/>
      <c r="J1830" s="12" t="n"/>
      <c r="K1830" s="12" t="n"/>
      <c r="L1830" s="14" t="n"/>
      <c r="M1830" s="12" t="n"/>
      <c r="N1830" s="12" t="n"/>
      <c r="O1830" s="12" t="n"/>
    </row>
    <row r="1831">
      <c r="A1831" s="12" t="n"/>
      <c r="B1831" s="13">
        <f>IF($A1831="","",IFERROR(INDEX(Emp_Names,MATCH($A1831,Emp_Codes,0)),"NOT FOUND"))</f>
        <v/>
      </c>
      <c r="C1831" s="14" t="n"/>
      <c r="D1831" s="15" t="n"/>
      <c r="E1831" s="15" t="n"/>
      <c r="F1831" s="15" t="n"/>
      <c r="G1831" s="15" t="n"/>
      <c r="H1831" s="16">
        <f>IF($A1831="","",$D1831+IF($E1831="",0,$E1831)+IF($F1831="",0,$F1831)-IF($G1831="",0,$G1831))</f>
        <v/>
      </c>
      <c r="I1831" s="12" t="n"/>
      <c r="J1831" s="12" t="n"/>
      <c r="K1831" s="12" t="n"/>
      <c r="L1831" s="14" t="n"/>
      <c r="M1831" s="12" t="n"/>
      <c r="N1831" s="12" t="n"/>
      <c r="O1831" s="12" t="n"/>
    </row>
    <row r="1832">
      <c r="A1832" s="12" t="n"/>
      <c r="B1832" s="13">
        <f>IF($A1832="","",IFERROR(INDEX(Emp_Names,MATCH($A1832,Emp_Codes,0)),"NOT FOUND"))</f>
        <v/>
      </c>
      <c r="C1832" s="14" t="n"/>
      <c r="D1832" s="15" t="n"/>
      <c r="E1832" s="15" t="n"/>
      <c r="F1832" s="15" t="n"/>
      <c r="G1832" s="15" t="n"/>
      <c r="H1832" s="16">
        <f>IF($A1832="","",$D1832+IF($E1832="",0,$E1832)+IF($F1832="",0,$F1832)-IF($G1832="",0,$G1832))</f>
        <v/>
      </c>
      <c r="I1832" s="12" t="n"/>
      <c r="J1832" s="12" t="n"/>
      <c r="K1832" s="12" t="n"/>
      <c r="L1832" s="14" t="n"/>
      <c r="M1832" s="12" t="n"/>
      <c r="N1832" s="12" t="n"/>
      <c r="O1832" s="12" t="n"/>
    </row>
    <row r="1833">
      <c r="A1833" s="12" t="n"/>
      <c r="B1833" s="13">
        <f>IF($A1833="","",IFERROR(INDEX(Emp_Names,MATCH($A1833,Emp_Codes,0)),"NOT FOUND"))</f>
        <v/>
      </c>
      <c r="C1833" s="14" t="n"/>
      <c r="D1833" s="15" t="n"/>
      <c r="E1833" s="15" t="n"/>
      <c r="F1833" s="15" t="n"/>
      <c r="G1833" s="15" t="n"/>
      <c r="H1833" s="16">
        <f>IF($A1833="","",$D1833+IF($E1833="",0,$E1833)+IF($F1833="",0,$F1833)-IF($G1833="",0,$G1833))</f>
        <v/>
      </c>
      <c r="I1833" s="12" t="n"/>
      <c r="J1833" s="12" t="n"/>
      <c r="K1833" s="12" t="n"/>
      <c r="L1833" s="14" t="n"/>
      <c r="M1833" s="12" t="n"/>
      <c r="N1833" s="12" t="n"/>
      <c r="O1833" s="12" t="n"/>
    </row>
    <row r="1834">
      <c r="A1834" s="12" t="n"/>
      <c r="B1834" s="13">
        <f>IF($A1834="","",IFERROR(INDEX(Emp_Names,MATCH($A1834,Emp_Codes,0)),"NOT FOUND"))</f>
        <v/>
      </c>
      <c r="C1834" s="14" t="n"/>
      <c r="D1834" s="15" t="n"/>
      <c r="E1834" s="15" t="n"/>
      <c r="F1834" s="15" t="n"/>
      <c r="G1834" s="15" t="n"/>
      <c r="H1834" s="16">
        <f>IF($A1834="","",$D1834+IF($E1834="",0,$E1834)+IF($F1834="",0,$F1834)-IF($G1834="",0,$G1834))</f>
        <v/>
      </c>
      <c r="I1834" s="12" t="n"/>
      <c r="J1834" s="12" t="n"/>
      <c r="K1834" s="12" t="n"/>
      <c r="L1834" s="14" t="n"/>
      <c r="M1834" s="12" t="n"/>
      <c r="N1834" s="12" t="n"/>
      <c r="O1834" s="12" t="n"/>
    </row>
    <row r="1835">
      <c r="A1835" s="12" t="n"/>
      <c r="B1835" s="13">
        <f>IF($A1835="","",IFERROR(INDEX(Emp_Names,MATCH($A1835,Emp_Codes,0)),"NOT FOUND"))</f>
        <v/>
      </c>
      <c r="C1835" s="14" t="n"/>
      <c r="D1835" s="15" t="n"/>
      <c r="E1835" s="15" t="n"/>
      <c r="F1835" s="15" t="n"/>
      <c r="G1835" s="15" t="n"/>
      <c r="H1835" s="16">
        <f>IF($A1835="","",$D1835+IF($E1835="",0,$E1835)+IF($F1835="",0,$F1835)-IF($G1835="",0,$G1835))</f>
        <v/>
      </c>
      <c r="I1835" s="12" t="n"/>
      <c r="J1835" s="12" t="n"/>
      <c r="K1835" s="12" t="n"/>
      <c r="L1835" s="14" t="n"/>
      <c r="M1835" s="12" t="n"/>
      <c r="N1835" s="12" t="n"/>
      <c r="O1835" s="12" t="n"/>
    </row>
    <row r="1836">
      <c r="A1836" s="12" t="n"/>
      <c r="B1836" s="13">
        <f>IF($A1836="","",IFERROR(INDEX(Emp_Names,MATCH($A1836,Emp_Codes,0)),"NOT FOUND"))</f>
        <v/>
      </c>
      <c r="C1836" s="14" t="n"/>
      <c r="D1836" s="15" t="n"/>
      <c r="E1836" s="15" t="n"/>
      <c r="F1836" s="15" t="n"/>
      <c r="G1836" s="15" t="n"/>
      <c r="H1836" s="16">
        <f>IF($A1836="","",$D1836+IF($E1836="",0,$E1836)+IF($F1836="",0,$F1836)-IF($G1836="",0,$G1836))</f>
        <v/>
      </c>
      <c r="I1836" s="12" t="n"/>
      <c r="J1836" s="12" t="n"/>
      <c r="K1836" s="12" t="n"/>
      <c r="L1836" s="14" t="n"/>
      <c r="M1836" s="12" t="n"/>
      <c r="N1836" s="12" t="n"/>
      <c r="O1836" s="12" t="n"/>
    </row>
    <row r="1837">
      <c r="A1837" s="12" t="n"/>
      <c r="B1837" s="13">
        <f>IF($A1837="","",IFERROR(INDEX(Emp_Names,MATCH($A1837,Emp_Codes,0)),"NOT FOUND"))</f>
        <v/>
      </c>
      <c r="C1837" s="14" t="n"/>
      <c r="D1837" s="15" t="n"/>
      <c r="E1837" s="15" t="n"/>
      <c r="F1837" s="15" t="n"/>
      <c r="G1837" s="15" t="n"/>
      <c r="H1837" s="16">
        <f>IF($A1837="","",$D1837+IF($E1837="",0,$E1837)+IF($F1837="",0,$F1837)-IF($G1837="",0,$G1837))</f>
        <v/>
      </c>
      <c r="I1837" s="12" t="n"/>
      <c r="J1837" s="12" t="n"/>
      <c r="K1837" s="12" t="n"/>
      <c r="L1837" s="14" t="n"/>
      <c r="M1837" s="12" t="n"/>
      <c r="N1837" s="12" t="n"/>
      <c r="O1837" s="12" t="n"/>
    </row>
    <row r="1838">
      <c r="A1838" s="12" t="n"/>
      <c r="B1838" s="13">
        <f>IF($A1838="","",IFERROR(INDEX(Emp_Names,MATCH($A1838,Emp_Codes,0)),"NOT FOUND"))</f>
        <v/>
      </c>
      <c r="C1838" s="14" t="n"/>
      <c r="D1838" s="15" t="n"/>
      <c r="E1838" s="15" t="n"/>
      <c r="F1838" s="15" t="n"/>
      <c r="G1838" s="15" t="n"/>
      <c r="H1838" s="16">
        <f>IF($A1838="","",$D1838+IF($E1838="",0,$E1838)+IF($F1838="",0,$F1838)-IF($G1838="",0,$G1838))</f>
        <v/>
      </c>
      <c r="I1838" s="12" t="n"/>
      <c r="J1838" s="12" t="n"/>
      <c r="K1838" s="12" t="n"/>
      <c r="L1838" s="14" t="n"/>
      <c r="M1838" s="12" t="n"/>
      <c r="N1838" s="12" t="n"/>
      <c r="O1838" s="12" t="n"/>
    </row>
    <row r="1839">
      <c r="A1839" s="12" t="n"/>
      <c r="B1839" s="13">
        <f>IF($A1839="","",IFERROR(INDEX(Emp_Names,MATCH($A1839,Emp_Codes,0)),"NOT FOUND"))</f>
        <v/>
      </c>
      <c r="C1839" s="14" t="n"/>
      <c r="D1839" s="15" t="n"/>
      <c r="E1839" s="15" t="n"/>
      <c r="F1839" s="15" t="n"/>
      <c r="G1839" s="15" t="n"/>
      <c r="H1839" s="16">
        <f>IF($A1839="","",$D1839+IF($E1839="",0,$E1839)+IF($F1839="",0,$F1839)-IF($G1839="",0,$G1839))</f>
        <v/>
      </c>
      <c r="I1839" s="12" t="n"/>
      <c r="J1839" s="12" t="n"/>
      <c r="K1839" s="12" t="n"/>
      <c r="L1839" s="14" t="n"/>
      <c r="M1839" s="12" t="n"/>
      <c r="N1839" s="12" t="n"/>
      <c r="O1839" s="12" t="n"/>
    </row>
    <row r="1840">
      <c r="A1840" s="12" t="n"/>
      <c r="B1840" s="13">
        <f>IF($A1840="","",IFERROR(INDEX(Emp_Names,MATCH($A1840,Emp_Codes,0)),"NOT FOUND"))</f>
        <v/>
      </c>
      <c r="C1840" s="14" t="n"/>
      <c r="D1840" s="15" t="n"/>
      <c r="E1840" s="15" t="n"/>
      <c r="F1840" s="15" t="n"/>
      <c r="G1840" s="15" t="n"/>
      <c r="H1840" s="16">
        <f>IF($A1840="","",$D1840+IF($E1840="",0,$E1840)+IF($F1840="",0,$F1840)-IF($G1840="",0,$G1840))</f>
        <v/>
      </c>
      <c r="I1840" s="12" t="n"/>
      <c r="J1840" s="12" t="n"/>
      <c r="K1840" s="12" t="n"/>
      <c r="L1840" s="14" t="n"/>
      <c r="M1840" s="12" t="n"/>
      <c r="N1840" s="12" t="n"/>
      <c r="O1840" s="12" t="n"/>
    </row>
    <row r="1841">
      <c r="A1841" s="12" t="n"/>
      <c r="B1841" s="13">
        <f>IF($A1841="","",IFERROR(INDEX(Emp_Names,MATCH($A1841,Emp_Codes,0)),"NOT FOUND"))</f>
        <v/>
      </c>
      <c r="C1841" s="14" t="n"/>
      <c r="D1841" s="15" t="n"/>
      <c r="E1841" s="15" t="n"/>
      <c r="F1841" s="15" t="n"/>
      <c r="G1841" s="15" t="n"/>
      <c r="H1841" s="16">
        <f>IF($A1841="","",$D1841+IF($E1841="",0,$E1841)+IF($F1841="",0,$F1841)-IF($G1841="",0,$G1841))</f>
        <v/>
      </c>
      <c r="I1841" s="12" t="n"/>
      <c r="J1841" s="12" t="n"/>
      <c r="K1841" s="12" t="n"/>
      <c r="L1841" s="14" t="n"/>
      <c r="M1841" s="12" t="n"/>
      <c r="N1841" s="12" t="n"/>
      <c r="O1841" s="12" t="n"/>
    </row>
    <row r="1842">
      <c r="A1842" s="12" t="n"/>
      <c r="B1842" s="13">
        <f>IF($A1842="","",IFERROR(INDEX(Emp_Names,MATCH($A1842,Emp_Codes,0)),"NOT FOUND"))</f>
        <v/>
      </c>
      <c r="C1842" s="14" t="n"/>
      <c r="D1842" s="15" t="n"/>
      <c r="E1842" s="15" t="n"/>
      <c r="F1842" s="15" t="n"/>
      <c r="G1842" s="15" t="n"/>
      <c r="H1842" s="16">
        <f>IF($A1842="","",$D1842+IF($E1842="",0,$E1842)+IF($F1842="",0,$F1842)-IF($G1842="",0,$G1842))</f>
        <v/>
      </c>
      <c r="I1842" s="12" t="n"/>
      <c r="J1842" s="12" t="n"/>
      <c r="K1842" s="12" t="n"/>
      <c r="L1842" s="14" t="n"/>
      <c r="M1842" s="12" t="n"/>
      <c r="N1842" s="12" t="n"/>
      <c r="O1842" s="12" t="n"/>
    </row>
    <row r="1843">
      <c r="A1843" s="12" t="n"/>
      <c r="B1843" s="13">
        <f>IF($A1843="","",IFERROR(INDEX(Emp_Names,MATCH($A1843,Emp_Codes,0)),"NOT FOUND"))</f>
        <v/>
      </c>
      <c r="C1843" s="14" t="n"/>
      <c r="D1843" s="15" t="n"/>
      <c r="E1843" s="15" t="n"/>
      <c r="F1843" s="15" t="n"/>
      <c r="G1843" s="15" t="n"/>
      <c r="H1843" s="16">
        <f>IF($A1843="","",$D1843+IF($E1843="",0,$E1843)+IF($F1843="",0,$F1843)-IF($G1843="",0,$G1843))</f>
        <v/>
      </c>
      <c r="I1843" s="12" t="n"/>
      <c r="J1843" s="12" t="n"/>
      <c r="K1843" s="12" t="n"/>
      <c r="L1843" s="14" t="n"/>
      <c r="M1843" s="12" t="n"/>
      <c r="N1843" s="12" t="n"/>
      <c r="O1843" s="12" t="n"/>
    </row>
    <row r="1844">
      <c r="A1844" s="12" t="n"/>
      <c r="B1844" s="13">
        <f>IF($A1844="","",IFERROR(INDEX(Emp_Names,MATCH($A1844,Emp_Codes,0)),"NOT FOUND"))</f>
        <v/>
      </c>
      <c r="C1844" s="14" t="n"/>
      <c r="D1844" s="15" t="n"/>
      <c r="E1844" s="15" t="n"/>
      <c r="F1844" s="15" t="n"/>
      <c r="G1844" s="15" t="n"/>
      <c r="H1844" s="16">
        <f>IF($A1844="","",$D1844+IF($E1844="",0,$E1844)+IF($F1844="",0,$F1844)-IF($G1844="",0,$G1844))</f>
        <v/>
      </c>
      <c r="I1844" s="12" t="n"/>
      <c r="J1844" s="12" t="n"/>
      <c r="K1844" s="12" t="n"/>
      <c r="L1844" s="14" t="n"/>
      <c r="M1844" s="12" t="n"/>
      <c r="N1844" s="12" t="n"/>
      <c r="O1844" s="12" t="n"/>
    </row>
    <row r="1845">
      <c r="A1845" s="12" t="n"/>
      <c r="B1845" s="13">
        <f>IF($A1845="","",IFERROR(INDEX(Emp_Names,MATCH($A1845,Emp_Codes,0)),"NOT FOUND"))</f>
        <v/>
      </c>
      <c r="C1845" s="14" t="n"/>
      <c r="D1845" s="15" t="n"/>
      <c r="E1845" s="15" t="n"/>
      <c r="F1845" s="15" t="n"/>
      <c r="G1845" s="15" t="n"/>
      <c r="H1845" s="16">
        <f>IF($A1845="","",$D1845+IF($E1845="",0,$E1845)+IF($F1845="",0,$F1845)-IF($G1845="",0,$G1845))</f>
        <v/>
      </c>
      <c r="I1845" s="12" t="n"/>
      <c r="J1845" s="12" t="n"/>
      <c r="K1845" s="12" t="n"/>
      <c r="L1845" s="14" t="n"/>
      <c r="M1845" s="12" t="n"/>
      <c r="N1845" s="12" t="n"/>
      <c r="O1845" s="12" t="n"/>
    </row>
    <row r="1846">
      <c r="A1846" s="12" t="n"/>
      <c r="B1846" s="13">
        <f>IF($A1846="","",IFERROR(INDEX(Emp_Names,MATCH($A1846,Emp_Codes,0)),"NOT FOUND"))</f>
        <v/>
      </c>
      <c r="C1846" s="14" t="n"/>
      <c r="D1846" s="15" t="n"/>
      <c r="E1846" s="15" t="n"/>
      <c r="F1846" s="15" t="n"/>
      <c r="G1846" s="15" t="n"/>
      <c r="H1846" s="16">
        <f>IF($A1846="","",$D1846+IF($E1846="",0,$E1846)+IF($F1846="",0,$F1846)-IF($G1846="",0,$G1846))</f>
        <v/>
      </c>
      <c r="I1846" s="12" t="n"/>
      <c r="J1846" s="12" t="n"/>
      <c r="K1846" s="12" t="n"/>
      <c r="L1846" s="14" t="n"/>
      <c r="M1846" s="12" t="n"/>
      <c r="N1846" s="12" t="n"/>
      <c r="O1846" s="12" t="n"/>
    </row>
    <row r="1847">
      <c r="A1847" s="12" t="n"/>
      <c r="B1847" s="13">
        <f>IF($A1847="","",IFERROR(INDEX(Emp_Names,MATCH($A1847,Emp_Codes,0)),"NOT FOUND"))</f>
        <v/>
      </c>
      <c r="C1847" s="14" t="n"/>
      <c r="D1847" s="15" t="n"/>
      <c r="E1847" s="15" t="n"/>
      <c r="F1847" s="15" t="n"/>
      <c r="G1847" s="15" t="n"/>
      <c r="H1847" s="16">
        <f>IF($A1847="","",$D1847+IF($E1847="",0,$E1847)+IF($F1847="",0,$F1847)-IF($G1847="",0,$G1847))</f>
        <v/>
      </c>
      <c r="I1847" s="12" t="n"/>
      <c r="J1847" s="12" t="n"/>
      <c r="K1847" s="12" t="n"/>
      <c r="L1847" s="14" t="n"/>
      <c r="M1847" s="12" t="n"/>
      <c r="N1847" s="12" t="n"/>
      <c r="O1847" s="12" t="n"/>
    </row>
    <row r="1848">
      <c r="A1848" s="12" t="n"/>
      <c r="B1848" s="13">
        <f>IF($A1848="","",IFERROR(INDEX(Emp_Names,MATCH($A1848,Emp_Codes,0)),"NOT FOUND"))</f>
        <v/>
      </c>
      <c r="C1848" s="14" t="n"/>
      <c r="D1848" s="15" t="n"/>
      <c r="E1848" s="15" t="n"/>
      <c r="F1848" s="15" t="n"/>
      <c r="G1848" s="15" t="n"/>
      <c r="H1848" s="16">
        <f>IF($A1848="","",$D1848+IF($E1848="",0,$E1848)+IF($F1848="",0,$F1848)-IF($G1848="",0,$G1848))</f>
        <v/>
      </c>
      <c r="I1848" s="12" t="n"/>
      <c r="J1848" s="12" t="n"/>
      <c r="K1848" s="12" t="n"/>
      <c r="L1848" s="14" t="n"/>
      <c r="M1848" s="12" t="n"/>
      <c r="N1848" s="12" t="n"/>
      <c r="O1848" s="12" t="n"/>
    </row>
    <row r="1849">
      <c r="A1849" s="12" t="n"/>
      <c r="B1849" s="13">
        <f>IF($A1849="","",IFERROR(INDEX(Emp_Names,MATCH($A1849,Emp_Codes,0)),"NOT FOUND"))</f>
        <v/>
      </c>
      <c r="C1849" s="14" t="n"/>
      <c r="D1849" s="15" t="n"/>
      <c r="E1849" s="15" t="n"/>
      <c r="F1849" s="15" t="n"/>
      <c r="G1849" s="15" t="n"/>
      <c r="H1849" s="16">
        <f>IF($A1849="","",$D1849+IF($E1849="",0,$E1849)+IF($F1849="",0,$F1849)-IF($G1849="",0,$G1849))</f>
        <v/>
      </c>
      <c r="I1849" s="12" t="n"/>
      <c r="J1849" s="12" t="n"/>
      <c r="K1849" s="12" t="n"/>
      <c r="L1849" s="14" t="n"/>
      <c r="M1849" s="12" t="n"/>
      <c r="N1849" s="12" t="n"/>
      <c r="O1849" s="12" t="n"/>
    </row>
    <row r="1850">
      <c r="A1850" s="12" t="n"/>
      <c r="B1850" s="13">
        <f>IF($A1850="","",IFERROR(INDEX(Emp_Names,MATCH($A1850,Emp_Codes,0)),"NOT FOUND"))</f>
        <v/>
      </c>
      <c r="C1850" s="14" t="n"/>
      <c r="D1850" s="15" t="n"/>
      <c r="E1850" s="15" t="n"/>
      <c r="F1850" s="15" t="n"/>
      <c r="G1850" s="15" t="n"/>
      <c r="H1850" s="16">
        <f>IF($A1850="","",$D1850+IF($E1850="",0,$E1850)+IF($F1850="",0,$F1850)-IF($G1850="",0,$G1850))</f>
        <v/>
      </c>
      <c r="I1850" s="12" t="n"/>
      <c r="J1850" s="12" t="n"/>
      <c r="K1850" s="12" t="n"/>
      <c r="L1850" s="14" t="n"/>
      <c r="M1850" s="12" t="n"/>
      <c r="N1850" s="12" t="n"/>
      <c r="O1850" s="12" t="n"/>
    </row>
    <row r="1851">
      <c r="A1851" s="12" t="n"/>
      <c r="B1851" s="13">
        <f>IF($A1851="","",IFERROR(INDEX(Emp_Names,MATCH($A1851,Emp_Codes,0)),"NOT FOUND"))</f>
        <v/>
      </c>
      <c r="C1851" s="14" t="n"/>
      <c r="D1851" s="15" t="n"/>
      <c r="E1851" s="15" t="n"/>
      <c r="F1851" s="15" t="n"/>
      <c r="G1851" s="15" t="n"/>
      <c r="H1851" s="16">
        <f>IF($A1851="","",$D1851+IF($E1851="",0,$E1851)+IF($F1851="",0,$F1851)-IF($G1851="",0,$G1851))</f>
        <v/>
      </c>
      <c r="I1851" s="12" t="n"/>
      <c r="J1851" s="12" t="n"/>
      <c r="K1851" s="12" t="n"/>
      <c r="L1851" s="14" t="n"/>
      <c r="M1851" s="12" t="n"/>
      <c r="N1851" s="12" t="n"/>
      <c r="O1851" s="12" t="n"/>
    </row>
    <row r="1852">
      <c r="A1852" s="12" t="n"/>
      <c r="B1852" s="13">
        <f>IF($A1852="","",IFERROR(INDEX(Emp_Names,MATCH($A1852,Emp_Codes,0)),"NOT FOUND"))</f>
        <v/>
      </c>
      <c r="C1852" s="14" t="n"/>
      <c r="D1852" s="15" t="n"/>
      <c r="E1852" s="15" t="n"/>
      <c r="F1852" s="15" t="n"/>
      <c r="G1852" s="15" t="n"/>
      <c r="H1852" s="16">
        <f>IF($A1852="","",$D1852+IF($E1852="",0,$E1852)+IF($F1852="",0,$F1852)-IF($G1852="",0,$G1852))</f>
        <v/>
      </c>
      <c r="I1852" s="12" t="n"/>
      <c r="J1852" s="12" t="n"/>
      <c r="K1852" s="12" t="n"/>
      <c r="L1852" s="14" t="n"/>
      <c r="M1852" s="12" t="n"/>
      <c r="N1852" s="12" t="n"/>
      <c r="O1852" s="12" t="n"/>
    </row>
    <row r="1853">
      <c r="A1853" s="12" t="n"/>
      <c r="B1853" s="13">
        <f>IF($A1853="","",IFERROR(INDEX(Emp_Names,MATCH($A1853,Emp_Codes,0)),"NOT FOUND"))</f>
        <v/>
      </c>
      <c r="C1853" s="14" t="n"/>
      <c r="D1853" s="15" t="n"/>
      <c r="E1853" s="15" t="n"/>
      <c r="F1853" s="15" t="n"/>
      <c r="G1853" s="15" t="n"/>
      <c r="H1853" s="16">
        <f>IF($A1853="","",$D1853+IF($E1853="",0,$E1853)+IF($F1853="",0,$F1853)-IF($G1853="",0,$G1853))</f>
        <v/>
      </c>
      <c r="I1853" s="12" t="n"/>
      <c r="J1853" s="12" t="n"/>
      <c r="K1853" s="12" t="n"/>
      <c r="L1853" s="14" t="n"/>
      <c r="M1853" s="12" t="n"/>
      <c r="N1853" s="12" t="n"/>
      <c r="O1853" s="12" t="n"/>
    </row>
    <row r="1854">
      <c r="A1854" s="12" t="n"/>
      <c r="B1854" s="13">
        <f>IF($A1854="","",IFERROR(INDEX(Emp_Names,MATCH($A1854,Emp_Codes,0)),"NOT FOUND"))</f>
        <v/>
      </c>
      <c r="C1854" s="14" t="n"/>
      <c r="D1854" s="15" t="n"/>
      <c r="E1854" s="15" t="n"/>
      <c r="F1854" s="15" t="n"/>
      <c r="G1854" s="15" t="n"/>
      <c r="H1854" s="16">
        <f>IF($A1854="","",$D1854+IF($E1854="",0,$E1854)+IF($F1854="",0,$F1854)-IF($G1854="",0,$G1854))</f>
        <v/>
      </c>
      <c r="I1854" s="12" t="n"/>
      <c r="J1854" s="12" t="n"/>
      <c r="K1854" s="12" t="n"/>
      <c r="L1854" s="14" t="n"/>
      <c r="M1854" s="12" t="n"/>
      <c r="N1854" s="12" t="n"/>
      <c r="O1854" s="12" t="n"/>
    </row>
    <row r="1855">
      <c r="A1855" s="12" t="n"/>
      <c r="B1855" s="13">
        <f>IF($A1855="","",IFERROR(INDEX(Emp_Names,MATCH($A1855,Emp_Codes,0)),"NOT FOUND"))</f>
        <v/>
      </c>
      <c r="C1855" s="14" t="n"/>
      <c r="D1855" s="15" t="n"/>
      <c r="E1855" s="15" t="n"/>
      <c r="F1855" s="15" t="n"/>
      <c r="G1855" s="15" t="n"/>
      <c r="H1855" s="16">
        <f>IF($A1855="","",$D1855+IF($E1855="",0,$E1855)+IF($F1855="",0,$F1855)-IF($G1855="",0,$G1855))</f>
        <v/>
      </c>
      <c r="I1855" s="12" t="n"/>
      <c r="J1855" s="12" t="n"/>
      <c r="K1855" s="12" t="n"/>
      <c r="L1855" s="14" t="n"/>
      <c r="M1855" s="12" t="n"/>
      <c r="N1855" s="12" t="n"/>
      <c r="O1855" s="12" t="n"/>
    </row>
    <row r="1856">
      <c r="A1856" s="12" t="n"/>
      <c r="B1856" s="13">
        <f>IF($A1856="","",IFERROR(INDEX(Emp_Names,MATCH($A1856,Emp_Codes,0)),"NOT FOUND"))</f>
        <v/>
      </c>
      <c r="C1856" s="14" t="n"/>
      <c r="D1856" s="15" t="n"/>
      <c r="E1856" s="15" t="n"/>
      <c r="F1856" s="15" t="n"/>
      <c r="G1856" s="15" t="n"/>
      <c r="H1856" s="16">
        <f>IF($A1856="","",$D1856+IF($E1856="",0,$E1856)+IF($F1856="",0,$F1856)-IF($G1856="",0,$G1856))</f>
        <v/>
      </c>
      <c r="I1856" s="12" t="n"/>
      <c r="J1856" s="12" t="n"/>
      <c r="K1856" s="12" t="n"/>
      <c r="L1856" s="14" t="n"/>
      <c r="M1856" s="12" t="n"/>
      <c r="N1856" s="12" t="n"/>
      <c r="O1856" s="12" t="n"/>
    </row>
    <row r="1857">
      <c r="A1857" s="12" t="n"/>
      <c r="B1857" s="13">
        <f>IF($A1857="","",IFERROR(INDEX(Emp_Names,MATCH($A1857,Emp_Codes,0)),"NOT FOUND"))</f>
        <v/>
      </c>
      <c r="C1857" s="14" t="n"/>
      <c r="D1857" s="15" t="n"/>
      <c r="E1857" s="15" t="n"/>
      <c r="F1857" s="15" t="n"/>
      <c r="G1857" s="15" t="n"/>
      <c r="H1857" s="16">
        <f>IF($A1857="","",$D1857+IF($E1857="",0,$E1857)+IF($F1857="",0,$F1857)-IF($G1857="",0,$G1857))</f>
        <v/>
      </c>
      <c r="I1857" s="12" t="n"/>
      <c r="J1857" s="12" t="n"/>
      <c r="K1857" s="12" t="n"/>
      <c r="L1857" s="14" t="n"/>
      <c r="M1857" s="12" t="n"/>
      <c r="N1857" s="12" t="n"/>
      <c r="O1857" s="12" t="n"/>
    </row>
    <row r="1858">
      <c r="A1858" s="12" t="n"/>
      <c r="B1858" s="13">
        <f>IF($A1858="","",IFERROR(INDEX(Emp_Names,MATCH($A1858,Emp_Codes,0)),"NOT FOUND"))</f>
        <v/>
      </c>
      <c r="C1858" s="14" t="n"/>
      <c r="D1858" s="15" t="n"/>
      <c r="E1858" s="15" t="n"/>
      <c r="F1858" s="15" t="n"/>
      <c r="G1858" s="15" t="n"/>
      <c r="H1858" s="16">
        <f>IF($A1858="","",$D1858+IF($E1858="",0,$E1858)+IF($F1858="",0,$F1858)-IF($G1858="",0,$G1858))</f>
        <v/>
      </c>
      <c r="I1858" s="12" t="n"/>
      <c r="J1858" s="12" t="n"/>
      <c r="K1858" s="12" t="n"/>
      <c r="L1858" s="14" t="n"/>
      <c r="M1858" s="12" t="n"/>
      <c r="N1858" s="12" t="n"/>
      <c r="O1858" s="12" t="n"/>
    </row>
    <row r="1859">
      <c r="A1859" s="12" t="n"/>
      <c r="B1859" s="13">
        <f>IF($A1859="","",IFERROR(INDEX(Emp_Names,MATCH($A1859,Emp_Codes,0)),"NOT FOUND"))</f>
        <v/>
      </c>
      <c r="C1859" s="14" t="n"/>
      <c r="D1859" s="15" t="n"/>
      <c r="E1859" s="15" t="n"/>
      <c r="F1859" s="15" t="n"/>
      <c r="G1859" s="15" t="n"/>
      <c r="H1859" s="16">
        <f>IF($A1859="","",$D1859+IF($E1859="",0,$E1859)+IF($F1859="",0,$F1859)-IF($G1859="",0,$G1859))</f>
        <v/>
      </c>
      <c r="I1859" s="12" t="n"/>
      <c r="J1859" s="12" t="n"/>
      <c r="K1859" s="12" t="n"/>
      <c r="L1859" s="14" t="n"/>
      <c r="M1859" s="12" t="n"/>
      <c r="N1859" s="12" t="n"/>
      <c r="O1859" s="12" t="n"/>
    </row>
    <row r="1860">
      <c r="A1860" s="12" t="n"/>
      <c r="B1860" s="13">
        <f>IF($A1860="","",IFERROR(INDEX(Emp_Names,MATCH($A1860,Emp_Codes,0)),"NOT FOUND"))</f>
        <v/>
      </c>
      <c r="C1860" s="14" t="n"/>
      <c r="D1860" s="15" t="n"/>
      <c r="E1860" s="15" t="n"/>
      <c r="F1860" s="15" t="n"/>
      <c r="G1860" s="15" t="n"/>
      <c r="H1860" s="16">
        <f>IF($A1860="","",$D1860+IF($E1860="",0,$E1860)+IF($F1860="",0,$F1860)-IF($G1860="",0,$G1860))</f>
        <v/>
      </c>
      <c r="I1860" s="12" t="n"/>
      <c r="J1860" s="12" t="n"/>
      <c r="K1860" s="12" t="n"/>
      <c r="L1860" s="14" t="n"/>
      <c r="M1860" s="12" t="n"/>
      <c r="N1860" s="12" t="n"/>
      <c r="O1860" s="12" t="n"/>
    </row>
    <row r="1861">
      <c r="A1861" s="12" t="n"/>
      <c r="B1861" s="13">
        <f>IF($A1861="","",IFERROR(INDEX(Emp_Names,MATCH($A1861,Emp_Codes,0)),"NOT FOUND"))</f>
        <v/>
      </c>
      <c r="C1861" s="14" t="n"/>
      <c r="D1861" s="15" t="n"/>
      <c r="E1861" s="15" t="n"/>
      <c r="F1861" s="15" t="n"/>
      <c r="G1861" s="15" t="n"/>
      <c r="H1861" s="16">
        <f>IF($A1861="","",$D1861+IF($E1861="",0,$E1861)+IF($F1861="",0,$F1861)-IF($G1861="",0,$G1861))</f>
        <v/>
      </c>
      <c r="I1861" s="12" t="n"/>
      <c r="J1861" s="12" t="n"/>
      <c r="K1861" s="12" t="n"/>
      <c r="L1861" s="14" t="n"/>
      <c r="M1861" s="12" t="n"/>
      <c r="N1861" s="12" t="n"/>
      <c r="O1861" s="12" t="n"/>
    </row>
    <row r="1862">
      <c r="A1862" s="12" t="n"/>
      <c r="B1862" s="13">
        <f>IF($A1862="","",IFERROR(INDEX(Emp_Names,MATCH($A1862,Emp_Codes,0)),"NOT FOUND"))</f>
        <v/>
      </c>
      <c r="C1862" s="14" t="n"/>
      <c r="D1862" s="15" t="n"/>
      <c r="E1862" s="15" t="n"/>
      <c r="F1862" s="15" t="n"/>
      <c r="G1862" s="15" t="n"/>
      <c r="H1862" s="16">
        <f>IF($A1862="","",$D1862+IF($E1862="",0,$E1862)+IF($F1862="",0,$F1862)-IF($G1862="",0,$G1862))</f>
        <v/>
      </c>
      <c r="I1862" s="12" t="n"/>
      <c r="J1862" s="12" t="n"/>
      <c r="K1862" s="12" t="n"/>
      <c r="L1862" s="14" t="n"/>
      <c r="M1862" s="12" t="n"/>
      <c r="N1862" s="12" t="n"/>
      <c r="O1862" s="12" t="n"/>
    </row>
    <row r="1863">
      <c r="A1863" s="12" t="n"/>
      <c r="B1863" s="13">
        <f>IF($A1863="","",IFERROR(INDEX(Emp_Names,MATCH($A1863,Emp_Codes,0)),"NOT FOUND"))</f>
        <v/>
      </c>
      <c r="C1863" s="14" t="n"/>
      <c r="D1863" s="15" t="n"/>
      <c r="E1863" s="15" t="n"/>
      <c r="F1863" s="15" t="n"/>
      <c r="G1863" s="15" t="n"/>
      <c r="H1863" s="16">
        <f>IF($A1863="","",$D1863+IF($E1863="",0,$E1863)+IF($F1863="",0,$F1863)-IF($G1863="",0,$G1863))</f>
        <v/>
      </c>
      <c r="I1863" s="12" t="n"/>
      <c r="J1863" s="12" t="n"/>
      <c r="K1863" s="12" t="n"/>
      <c r="L1863" s="14" t="n"/>
      <c r="M1863" s="12" t="n"/>
      <c r="N1863" s="12" t="n"/>
      <c r="O1863" s="12" t="n"/>
    </row>
    <row r="1864">
      <c r="A1864" s="12" t="n"/>
      <c r="B1864" s="13">
        <f>IF($A1864="","",IFERROR(INDEX(Emp_Names,MATCH($A1864,Emp_Codes,0)),"NOT FOUND"))</f>
        <v/>
      </c>
      <c r="C1864" s="14" t="n"/>
      <c r="D1864" s="15" t="n"/>
      <c r="E1864" s="15" t="n"/>
      <c r="F1864" s="15" t="n"/>
      <c r="G1864" s="15" t="n"/>
      <c r="H1864" s="16">
        <f>IF($A1864="","",$D1864+IF($E1864="",0,$E1864)+IF($F1864="",0,$F1864)-IF($G1864="",0,$G1864))</f>
        <v/>
      </c>
      <c r="I1864" s="12" t="n"/>
      <c r="J1864" s="12" t="n"/>
      <c r="K1864" s="12" t="n"/>
      <c r="L1864" s="14" t="n"/>
      <c r="M1864" s="12" t="n"/>
      <c r="N1864" s="12" t="n"/>
      <c r="O1864" s="12" t="n"/>
    </row>
    <row r="1865">
      <c r="A1865" s="12" t="n"/>
      <c r="B1865" s="13">
        <f>IF($A1865="","",IFERROR(INDEX(Emp_Names,MATCH($A1865,Emp_Codes,0)),"NOT FOUND"))</f>
        <v/>
      </c>
      <c r="C1865" s="14" t="n"/>
      <c r="D1865" s="15" t="n"/>
      <c r="E1865" s="15" t="n"/>
      <c r="F1865" s="15" t="n"/>
      <c r="G1865" s="15" t="n"/>
      <c r="H1865" s="16">
        <f>IF($A1865="","",$D1865+IF($E1865="",0,$E1865)+IF($F1865="",0,$F1865)-IF($G1865="",0,$G1865))</f>
        <v/>
      </c>
      <c r="I1865" s="12" t="n"/>
      <c r="J1865" s="12" t="n"/>
      <c r="K1865" s="12" t="n"/>
      <c r="L1865" s="14" t="n"/>
      <c r="M1865" s="12" t="n"/>
      <c r="N1865" s="12" t="n"/>
      <c r="O1865" s="12" t="n"/>
    </row>
    <row r="1866">
      <c r="A1866" s="12" t="n"/>
      <c r="B1866" s="13">
        <f>IF($A1866="","",IFERROR(INDEX(Emp_Names,MATCH($A1866,Emp_Codes,0)),"NOT FOUND"))</f>
        <v/>
      </c>
      <c r="C1866" s="14" t="n"/>
      <c r="D1866" s="15" t="n"/>
      <c r="E1866" s="15" t="n"/>
      <c r="F1866" s="15" t="n"/>
      <c r="G1866" s="15" t="n"/>
      <c r="H1866" s="16">
        <f>IF($A1866="","",$D1866+IF($E1866="",0,$E1866)+IF($F1866="",0,$F1866)-IF($G1866="",0,$G1866))</f>
        <v/>
      </c>
      <c r="I1866" s="12" t="n"/>
      <c r="J1866" s="12" t="n"/>
      <c r="K1866" s="12" t="n"/>
      <c r="L1866" s="14" t="n"/>
      <c r="M1866" s="12" t="n"/>
      <c r="N1866" s="12" t="n"/>
      <c r="O1866" s="12" t="n"/>
    </row>
    <row r="1867">
      <c r="A1867" s="12" t="n"/>
      <c r="B1867" s="13">
        <f>IF($A1867="","",IFERROR(INDEX(Emp_Names,MATCH($A1867,Emp_Codes,0)),"NOT FOUND"))</f>
        <v/>
      </c>
      <c r="C1867" s="14" t="n"/>
      <c r="D1867" s="15" t="n"/>
      <c r="E1867" s="15" t="n"/>
      <c r="F1867" s="15" t="n"/>
      <c r="G1867" s="15" t="n"/>
      <c r="H1867" s="16">
        <f>IF($A1867="","",$D1867+IF($E1867="",0,$E1867)+IF($F1867="",0,$F1867)-IF($G1867="",0,$G1867))</f>
        <v/>
      </c>
      <c r="I1867" s="12" t="n"/>
      <c r="J1867" s="12" t="n"/>
      <c r="K1867" s="12" t="n"/>
      <c r="L1867" s="14" t="n"/>
      <c r="M1867" s="12" t="n"/>
      <c r="N1867" s="12" t="n"/>
      <c r="O1867" s="12" t="n"/>
    </row>
    <row r="1868">
      <c r="A1868" s="12" t="n"/>
      <c r="B1868" s="13">
        <f>IF($A1868="","",IFERROR(INDEX(Emp_Names,MATCH($A1868,Emp_Codes,0)),"NOT FOUND"))</f>
        <v/>
      </c>
      <c r="C1868" s="14" t="n"/>
      <c r="D1868" s="15" t="n"/>
      <c r="E1868" s="15" t="n"/>
      <c r="F1868" s="15" t="n"/>
      <c r="G1868" s="15" t="n"/>
      <c r="H1868" s="16">
        <f>IF($A1868="","",$D1868+IF($E1868="",0,$E1868)+IF($F1868="",0,$F1868)-IF($G1868="",0,$G1868))</f>
        <v/>
      </c>
      <c r="I1868" s="12" t="n"/>
      <c r="J1868" s="12" t="n"/>
      <c r="K1868" s="12" t="n"/>
      <c r="L1868" s="14" t="n"/>
      <c r="M1868" s="12" t="n"/>
      <c r="N1868" s="12" t="n"/>
      <c r="O1868" s="12" t="n"/>
    </row>
    <row r="1869">
      <c r="A1869" s="12" t="n"/>
      <c r="B1869" s="13">
        <f>IF($A1869="","",IFERROR(INDEX(Emp_Names,MATCH($A1869,Emp_Codes,0)),"NOT FOUND"))</f>
        <v/>
      </c>
      <c r="C1869" s="14" t="n"/>
      <c r="D1869" s="15" t="n"/>
      <c r="E1869" s="15" t="n"/>
      <c r="F1869" s="15" t="n"/>
      <c r="G1869" s="15" t="n"/>
      <c r="H1869" s="16">
        <f>IF($A1869="","",$D1869+IF($E1869="",0,$E1869)+IF($F1869="",0,$F1869)-IF($G1869="",0,$G1869))</f>
        <v/>
      </c>
      <c r="I1869" s="12" t="n"/>
      <c r="J1869" s="12" t="n"/>
      <c r="K1869" s="12" t="n"/>
      <c r="L1869" s="14" t="n"/>
      <c r="M1869" s="12" t="n"/>
      <c r="N1869" s="12" t="n"/>
      <c r="O1869" s="12" t="n"/>
    </row>
    <row r="1870">
      <c r="A1870" s="12" t="n"/>
      <c r="B1870" s="13">
        <f>IF($A1870="","",IFERROR(INDEX(Emp_Names,MATCH($A1870,Emp_Codes,0)),"NOT FOUND"))</f>
        <v/>
      </c>
      <c r="C1870" s="14" t="n"/>
      <c r="D1870" s="15" t="n"/>
      <c r="E1870" s="15" t="n"/>
      <c r="F1870" s="15" t="n"/>
      <c r="G1870" s="15" t="n"/>
      <c r="H1870" s="16">
        <f>IF($A1870="","",$D1870+IF($E1870="",0,$E1870)+IF($F1870="",0,$F1870)-IF($G1870="",0,$G1870))</f>
        <v/>
      </c>
      <c r="I1870" s="12" t="n"/>
      <c r="J1870" s="12" t="n"/>
      <c r="K1870" s="12" t="n"/>
      <c r="L1870" s="14" t="n"/>
      <c r="M1870" s="12" t="n"/>
      <c r="N1870" s="12" t="n"/>
      <c r="O1870" s="12" t="n"/>
    </row>
    <row r="1871">
      <c r="A1871" s="12" t="n"/>
      <c r="B1871" s="13">
        <f>IF($A1871="","",IFERROR(INDEX(Emp_Names,MATCH($A1871,Emp_Codes,0)),"NOT FOUND"))</f>
        <v/>
      </c>
      <c r="C1871" s="14" t="n"/>
      <c r="D1871" s="15" t="n"/>
      <c r="E1871" s="15" t="n"/>
      <c r="F1871" s="15" t="n"/>
      <c r="G1871" s="15" t="n"/>
      <c r="H1871" s="16">
        <f>IF($A1871="","",$D1871+IF($E1871="",0,$E1871)+IF($F1871="",0,$F1871)-IF($G1871="",0,$G1871))</f>
        <v/>
      </c>
      <c r="I1871" s="12" t="n"/>
      <c r="J1871" s="12" t="n"/>
      <c r="K1871" s="12" t="n"/>
      <c r="L1871" s="14" t="n"/>
      <c r="M1871" s="12" t="n"/>
      <c r="N1871" s="12" t="n"/>
      <c r="O1871" s="12" t="n"/>
    </row>
    <row r="1872">
      <c r="A1872" s="12" t="n"/>
      <c r="B1872" s="13">
        <f>IF($A1872="","",IFERROR(INDEX(Emp_Names,MATCH($A1872,Emp_Codes,0)),"NOT FOUND"))</f>
        <v/>
      </c>
      <c r="C1872" s="14" t="n"/>
      <c r="D1872" s="15" t="n"/>
      <c r="E1872" s="15" t="n"/>
      <c r="F1872" s="15" t="n"/>
      <c r="G1872" s="15" t="n"/>
      <c r="H1872" s="16">
        <f>IF($A1872="","",$D1872+IF($E1872="",0,$E1872)+IF($F1872="",0,$F1872)-IF($G1872="",0,$G1872))</f>
        <v/>
      </c>
      <c r="I1872" s="12" t="n"/>
      <c r="J1872" s="12" t="n"/>
      <c r="K1872" s="12" t="n"/>
      <c r="L1872" s="14" t="n"/>
      <c r="M1872" s="12" t="n"/>
      <c r="N1872" s="12" t="n"/>
      <c r="O1872" s="12" t="n"/>
    </row>
    <row r="1873">
      <c r="A1873" s="12" t="n"/>
      <c r="B1873" s="13">
        <f>IF($A1873="","",IFERROR(INDEX(Emp_Names,MATCH($A1873,Emp_Codes,0)),"NOT FOUND"))</f>
        <v/>
      </c>
      <c r="C1873" s="14" t="n"/>
      <c r="D1873" s="15" t="n"/>
      <c r="E1873" s="15" t="n"/>
      <c r="F1873" s="15" t="n"/>
      <c r="G1873" s="15" t="n"/>
      <c r="H1873" s="16">
        <f>IF($A1873="","",$D1873+IF($E1873="",0,$E1873)+IF($F1873="",0,$F1873)-IF($G1873="",0,$G1873))</f>
        <v/>
      </c>
      <c r="I1873" s="12" t="n"/>
      <c r="J1873" s="12" t="n"/>
      <c r="K1873" s="12" t="n"/>
      <c r="L1873" s="14" t="n"/>
      <c r="M1873" s="12" t="n"/>
      <c r="N1873" s="12" t="n"/>
      <c r="O1873" s="12" t="n"/>
    </row>
    <row r="1874">
      <c r="A1874" s="12" t="n"/>
      <c r="B1874" s="13">
        <f>IF($A1874="","",IFERROR(INDEX(Emp_Names,MATCH($A1874,Emp_Codes,0)),"NOT FOUND"))</f>
        <v/>
      </c>
      <c r="C1874" s="14" t="n"/>
      <c r="D1874" s="15" t="n"/>
      <c r="E1874" s="15" t="n"/>
      <c r="F1874" s="15" t="n"/>
      <c r="G1874" s="15" t="n"/>
      <c r="H1874" s="16">
        <f>IF($A1874="","",$D1874+IF($E1874="",0,$E1874)+IF($F1874="",0,$F1874)-IF($G1874="",0,$G1874))</f>
        <v/>
      </c>
      <c r="I1874" s="12" t="n"/>
      <c r="J1874" s="12" t="n"/>
      <c r="K1874" s="12" t="n"/>
      <c r="L1874" s="14" t="n"/>
      <c r="M1874" s="12" t="n"/>
      <c r="N1874" s="12" t="n"/>
      <c r="O1874" s="12" t="n"/>
    </row>
    <row r="1875">
      <c r="A1875" s="12" t="n"/>
      <c r="B1875" s="13">
        <f>IF($A1875="","",IFERROR(INDEX(Emp_Names,MATCH($A1875,Emp_Codes,0)),"NOT FOUND"))</f>
        <v/>
      </c>
      <c r="C1875" s="14" t="n"/>
      <c r="D1875" s="15" t="n"/>
      <c r="E1875" s="15" t="n"/>
      <c r="F1875" s="15" t="n"/>
      <c r="G1875" s="15" t="n"/>
      <c r="H1875" s="16">
        <f>IF($A1875="","",$D1875+IF($E1875="",0,$E1875)+IF($F1875="",0,$F1875)-IF($G1875="",0,$G1875))</f>
        <v/>
      </c>
      <c r="I1875" s="12" t="n"/>
      <c r="J1875" s="12" t="n"/>
      <c r="K1875" s="12" t="n"/>
      <c r="L1875" s="14" t="n"/>
      <c r="M1875" s="12" t="n"/>
      <c r="N1875" s="12" t="n"/>
      <c r="O1875" s="12" t="n"/>
    </row>
    <row r="1876">
      <c r="A1876" s="12" t="n"/>
      <c r="B1876" s="13">
        <f>IF($A1876="","",IFERROR(INDEX(Emp_Names,MATCH($A1876,Emp_Codes,0)),"NOT FOUND"))</f>
        <v/>
      </c>
      <c r="C1876" s="14" t="n"/>
      <c r="D1876" s="15" t="n"/>
      <c r="E1876" s="15" t="n"/>
      <c r="F1876" s="15" t="n"/>
      <c r="G1876" s="15" t="n"/>
      <c r="H1876" s="16">
        <f>IF($A1876="","",$D1876+IF($E1876="",0,$E1876)+IF($F1876="",0,$F1876)-IF($G1876="",0,$G1876))</f>
        <v/>
      </c>
      <c r="I1876" s="12" t="n"/>
      <c r="J1876" s="12" t="n"/>
      <c r="K1876" s="12" t="n"/>
      <c r="L1876" s="14" t="n"/>
      <c r="M1876" s="12" t="n"/>
      <c r="N1876" s="12" t="n"/>
      <c r="O1876" s="12" t="n"/>
    </row>
    <row r="1877">
      <c r="A1877" s="12" t="n"/>
      <c r="B1877" s="13">
        <f>IF($A1877="","",IFERROR(INDEX(Emp_Names,MATCH($A1877,Emp_Codes,0)),"NOT FOUND"))</f>
        <v/>
      </c>
      <c r="C1877" s="14" t="n"/>
      <c r="D1877" s="15" t="n"/>
      <c r="E1877" s="15" t="n"/>
      <c r="F1877" s="15" t="n"/>
      <c r="G1877" s="15" t="n"/>
      <c r="H1877" s="16">
        <f>IF($A1877="","",$D1877+IF($E1877="",0,$E1877)+IF($F1877="",0,$F1877)-IF($G1877="",0,$G1877))</f>
        <v/>
      </c>
      <c r="I1877" s="12" t="n"/>
      <c r="J1877" s="12" t="n"/>
      <c r="K1877" s="12" t="n"/>
      <c r="L1877" s="14" t="n"/>
      <c r="M1877" s="12" t="n"/>
      <c r="N1877" s="12" t="n"/>
      <c r="O1877" s="12" t="n"/>
    </row>
    <row r="1878">
      <c r="A1878" s="12" t="n"/>
      <c r="B1878" s="13">
        <f>IF($A1878="","",IFERROR(INDEX(Emp_Names,MATCH($A1878,Emp_Codes,0)),"NOT FOUND"))</f>
        <v/>
      </c>
      <c r="C1878" s="14" t="n"/>
      <c r="D1878" s="15" t="n"/>
      <c r="E1878" s="15" t="n"/>
      <c r="F1878" s="15" t="n"/>
      <c r="G1878" s="15" t="n"/>
      <c r="H1878" s="16">
        <f>IF($A1878="","",$D1878+IF($E1878="",0,$E1878)+IF($F1878="",0,$F1878)-IF($G1878="",0,$G1878))</f>
        <v/>
      </c>
      <c r="I1878" s="12" t="n"/>
      <c r="J1878" s="12" t="n"/>
      <c r="K1878" s="12" t="n"/>
      <c r="L1878" s="14" t="n"/>
      <c r="M1878" s="12" t="n"/>
      <c r="N1878" s="12" t="n"/>
      <c r="O1878" s="12" t="n"/>
    </row>
    <row r="1879">
      <c r="A1879" s="12" t="n"/>
      <c r="B1879" s="13">
        <f>IF($A1879="","",IFERROR(INDEX(Emp_Names,MATCH($A1879,Emp_Codes,0)),"NOT FOUND"))</f>
        <v/>
      </c>
      <c r="C1879" s="14" t="n"/>
      <c r="D1879" s="15" t="n"/>
      <c r="E1879" s="15" t="n"/>
      <c r="F1879" s="15" t="n"/>
      <c r="G1879" s="15" t="n"/>
      <c r="H1879" s="16">
        <f>IF($A1879="","",$D1879+IF($E1879="",0,$E1879)+IF($F1879="",0,$F1879)-IF($G1879="",0,$G1879))</f>
        <v/>
      </c>
      <c r="I1879" s="12" t="n"/>
      <c r="J1879" s="12" t="n"/>
      <c r="K1879" s="12" t="n"/>
      <c r="L1879" s="14" t="n"/>
      <c r="M1879" s="12" t="n"/>
      <c r="N1879" s="12" t="n"/>
      <c r="O1879" s="12" t="n"/>
    </row>
    <row r="1880">
      <c r="A1880" s="12" t="n"/>
      <c r="B1880" s="13">
        <f>IF($A1880="","",IFERROR(INDEX(Emp_Names,MATCH($A1880,Emp_Codes,0)),"NOT FOUND"))</f>
        <v/>
      </c>
      <c r="C1880" s="14" t="n"/>
      <c r="D1880" s="15" t="n"/>
      <c r="E1880" s="15" t="n"/>
      <c r="F1880" s="15" t="n"/>
      <c r="G1880" s="15" t="n"/>
      <c r="H1880" s="16">
        <f>IF($A1880="","",$D1880+IF($E1880="",0,$E1880)+IF($F1880="",0,$F1880)-IF($G1880="",0,$G1880))</f>
        <v/>
      </c>
      <c r="I1880" s="12" t="n"/>
      <c r="J1880" s="12" t="n"/>
      <c r="K1880" s="12" t="n"/>
      <c r="L1880" s="14" t="n"/>
      <c r="M1880" s="12" t="n"/>
      <c r="N1880" s="12" t="n"/>
      <c r="O1880" s="12" t="n"/>
    </row>
    <row r="1881">
      <c r="A1881" s="12" t="n"/>
      <c r="B1881" s="13">
        <f>IF($A1881="","",IFERROR(INDEX(Emp_Names,MATCH($A1881,Emp_Codes,0)),"NOT FOUND"))</f>
        <v/>
      </c>
      <c r="C1881" s="14" t="n"/>
      <c r="D1881" s="15" t="n"/>
      <c r="E1881" s="15" t="n"/>
      <c r="F1881" s="15" t="n"/>
      <c r="G1881" s="15" t="n"/>
      <c r="H1881" s="16">
        <f>IF($A1881="","",$D1881+IF($E1881="",0,$E1881)+IF($F1881="",0,$F1881)-IF($G1881="",0,$G1881))</f>
        <v/>
      </c>
      <c r="I1881" s="12" t="n"/>
      <c r="J1881" s="12" t="n"/>
      <c r="K1881" s="12" t="n"/>
      <c r="L1881" s="14" t="n"/>
      <c r="M1881" s="12" t="n"/>
      <c r="N1881" s="12" t="n"/>
      <c r="O1881" s="12" t="n"/>
    </row>
    <row r="1882">
      <c r="A1882" s="12" t="n"/>
      <c r="B1882" s="13">
        <f>IF($A1882="","",IFERROR(INDEX(Emp_Names,MATCH($A1882,Emp_Codes,0)),"NOT FOUND"))</f>
        <v/>
      </c>
      <c r="C1882" s="14" t="n"/>
      <c r="D1882" s="15" t="n"/>
      <c r="E1882" s="15" t="n"/>
      <c r="F1882" s="15" t="n"/>
      <c r="G1882" s="15" t="n"/>
      <c r="H1882" s="16">
        <f>IF($A1882="","",$D1882+IF($E1882="",0,$E1882)+IF($F1882="",0,$F1882)-IF($G1882="",0,$G1882))</f>
        <v/>
      </c>
      <c r="I1882" s="12" t="n"/>
      <c r="J1882" s="12" t="n"/>
      <c r="K1882" s="12" t="n"/>
      <c r="L1882" s="14" t="n"/>
      <c r="M1882" s="12" t="n"/>
      <c r="N1882" s="12" t="n"/>
      <c r="O1882" s="12" t="n"/>
    </row>
    <row r="1883">
      <c r="A1883" s="12" t="n"/>
      <c r="B1883" s="13">
        <f>IF($A1883="","",IFERROR(INDEX(Emp_Names,MATCH($A1883,Emp_Codes,0)),"NOT FOUND"))</f>
        <v/>
      </c>
      <c r="C1883" s="14" t="n"/>
      <c r="D1883" s="15" t="n"/>
      <c r="E1883" s="15" t="n"/>
      <c r="F1883" s="15" t="n"/>
      <c r="G1883" s="15" t="n"/>
      <c r="H1883" s="16">
        <f>IF($A1883="","",$D1883+IF($E1883="",0,$E1883)+IF($F1883="",0,$F1883)-IF($G1883="",0,$G1883))</f>
        <v/>
      </c>
      <c r="I1883" s="12" t="n"/>
      <c r="J1883" s="12" t="n"/>
      <c r="K1883" s="12" t="n"/>
      <c r="L1883" s="14" t="n"/>
      <c r="M1883" s="12" t="n"/>
      <c r="N1883" s="12" t="n"/>
      <c r="O1883" s="12" t="n"/>
    </row>
    <row r="1884">
      <c r="A1884" s="12" t="n"/>
      <c r="B1884" s="13">
        <f>IF($A1884="","",IFERROR(INDEX(Emp_Names,MATCH($A1884,Emp_Codes,0)),"NOT FOUND"))</f>
        <v/>
      </c>
      <c r="C1884" s="14" t="n"/>
      <c r="D1884" s="15" t="n"/>
      <c r="E1884" s="15" t="n"/>
      <c r="F1884" s="15" t="n"/>
      <c r="G1884" s="15" t="n"/>
      <c r="H1884" s="16">
        <f>IF($A1884="","",$D1884+IF($E1884="",0,$E1884)+IF($F1884="",0,$F1884)-IF($G1884="",0,$G1884))</f>
        <v/>
      </c>
      <c r="I1884" s="12" t="n"/>
      <c r="J1884" s="12" t="n"/>
      <c r="K1884" s="12" t="n"/>
      <c r="L1884" s="14" t="n"/>
      <c r="M1884" s="12" t="n"/>
      <c r="N1884" s="12" t="n"/>
      <c r="O1884" s="12" t="n"/>
    </row>
    <row r="1885">
      <c r="A1885" s="12" t="n"/>
      <c r="B1885" s="13">
        <f>IF($A1885="","",IFERROR(INDEX(Emp_Names,MATCH($A1885,Emp_Codes,0)),"NOT FOUND"))</f>
        <v/>
      </c>
      <c r="C1885" s="14" t="n"/>
      <c r="D1885" s="15" t="n"/>
      <c r="E1885" s="15" t="n"/>
      <c r="F1885" s="15" t="n"/>
      <c r="G1885" s="15" t="n"/>
      <c r="H1885" s="16">
        <f>IF($A1885="","",$D1885+IF($E1885="",0,$E1885)+IF($F1885="",0,$F1885)-IF($G1885="",0,$G1885))</f>
        <v/>
      </c>
      <c r="I1885" s="12" t="n"/>
      <c r="J1885" s="12" t="n"/>
      <c r="K1885" s="12" t="n"/>
      <c r="L1885" s="14" t="n"/>
      <c r="M1885" s="12" t="n"/>
      <c r="N1885" s="12" t="n"/>
      <c r="O1885" s="12" t="n"/>
    </row>
    <row r="1886">
      <c r="A1886" s="12" t="n"/>
      <c r="B1886" s="13">
        <f>IF($A1886="","",IFERROR(INDEX(Emp_Names,MATCH($A1886,Emp_Codes,0)),"NOT FOUND"))</f>
        <v/>
      </c>
      <c r="C1886" s="14" t="n"/>
      <c r="D1886" s="15" t="n"/>
      <c r="E1886" s="15" t="n"/>
      <c r="F1886" s="15" t="n"/>
      <c r="G1886" s="15" t="n"/>
      <c r="H1886" s="16">
        <f>IF($A1886="","",$D1886+IF($E1886="",0,$E1886)+IF($F1886="",0,$F1886)-IF($G1886="",0,$G1886))</f>
        <v/>
      </c>
      <c r="I1886" s="12" t="n"/>
      <c r="J1886" s="12" t="n"/>
      <c r="K1886" s="12" t="n"/>
      <c r="L1886" s="14" t="n"/>
      <c r="M1886" s="12" t="n"/>
      <c r="N1886" s="12" t="n"/>
      <c r="O1886" s="12" t="n"/>
    </row>
    <row r="1887">
      <c r="A1887" s="12" t="n"/>
      <c r="B1887" s="13">
        <f>IF($A1887="","",IFERROR(INDEX(Emp_Names,MATCH($A1887,Emp_Codes,0)),"NOT FOUND"))</f>
        <v/>
      </c>
      <c r="C1887" s="14" t="n"/>
      <c r="D1887" s="15" t="n"/>
      <c r="E1887" s="15" t="n"/>
      <c r="F1887" s="15" t="n"/>
      <c r="G1887" s="15" t="n"/>
      <c r="H1887" s="16">
        <f>IF($A1887="","",$D1887+IF($E1887="",0,$E1887)+IF($F1887="",0,$F1887)-IF($G1887="",0,$G1887))</f>
        <v/>
      </c>
      <c r="I1887" s="12" t="n"/>
      <c r="J1887" s="12" t="n"/>
      <c r="K1887" s="12" t="n"/>
      <c r="L1887" s="14" t="n"/>
      <c r="M1887" s="12" t="n"/>
      <c r="N1887" s="12" t="n"/>
      <c r="O1887" s="12" t="n"/>
    </row>
    <row r="1888">
      <c r="A1888" s="12" t="n"/>
      <c r="B1888" s="13">
        <f>IF($A1888="","",IFERROR(INDEX(Emp_Names,MATCH($A1888,Emp_Codes,0)),"NOT FOUND"))</f>
        <v/>
      </c>
      <c r="C1888" s="14" t="n"/>
      <c r="D1888" s="15" t="n"/>
      <c r="E1888" s="15" t="n"/>
      <c r="F1888" s="15" t="n"/>
      <c r="G1888" s="15" t="n"/>
      <c r="H1888" s="16">
        <f>IF($A1888="","",$D1888+IF($E1888="",0,$E1888)+IF($F1888="",0,$F1888)-IF($G1888="",0,$G1888))</f>
        <v/>
      </c>
      <c r="I1888" s="12" t="n"/>
      <c r="J1888" s="12" t="n"/>
      <c r="K1888" s="12" t="n"/>
      <c r="L1888" s="14" t="n"/>
      <c r="M1888" s="12" t="n"/>
      <c r="N1888" s="12" t="n"/>
      <c r="O1888" s="12" t="n"/>
    </row>
    <row r="1889">
      <c r="A1889" s="12" t="n"/>
      <c r="B1889" s="13">
        <f>IF($A1889="","",IFERROR(INDEX(Emp_Names,MATCH($A1889,Emp_Codes,0)),"NOT FOUND"))</f>
        <v/>
      </c>
      <c r="C1889" s="14" t="n"/>
      <c r="D1889" s="15" t="n"/>
      <c r="E1889" s="15" t="n"/>
      <c r="F1889" s="15" t="n"/>
      <c r="G1889" s="15" t="n"/>
      <c r="H1889" s="16">
        <f>IF($A1889="","",$D1889+IF($E1889="",0,$E1889)+IF($F1889="",0,$F1889)-IF($G1889="",0,$G1889))</f>
        <v/>
      </c>
      <c r="I1889" s="12" t="n"/>
      <c r="J1889" s="12" t="n"/>
      <c r="K1889" s="12" t="n"/>
      <c r="L1889" s="14" t="n"/>
      <c r="M1889" s="12" t="n"/>
      <c r="N1889" s="12" t="n"/>
      <c r="O1889" s="12" t="n"/>
    </row>
    <row r="1890">
      <c r="A1890" s="12" t="n"/>
      <c r="B1890" s="13">
        <f>IF($A1890="","",IFERROR(INDEX(Emp_Names,MATCH($A1890,Emp_Codes,0)),"NOT FOUND"))</f>
        <v/>
      </c>
      <c r="C1890" s="14" t="n"/>
      <c r="D1890" s="15" t="n"/>
      <c r="E1890" s="15" t="n"/>
      <c r="F1890" s="15" t="n"/>
      <c r="G1890" s="15" t="n"/>
      <c r="H1890" s="16">
        <f>IF($A1890="","",$D1890+IF($E1890="",0,$E1890)+IF($F1890="",0,$F1890)-IF($G1890="",0,$G1890))</f>
        <v/>
      </c>
      <c r="I1890" s="12" t="n"/>
      <c r="J1890" s="12" t="n"/>
      <c r="K1890" s="12" t="n"/>
      <c r="L1890" s="14" t="n"/>
      <c r="M1890" s="12" t="n"/>
      <c r="N1890" s="12" t="n"/>
      <c r="O1890" s="12" t="n"/>
    </row>
    <row r="1891">
      <c r="A1891" s="12" t="n"/>
      <c r="B1891" s="13">
        <f>IF($A1891="","",IFERROR(INDEX(Emp_Names,MATCH($A1891,Emp_Codes,0)),"NOT FOUND"))</f>
        <v/>
      </c>
      <c r="C1891" s="14" t="n"/>
      <c r="D1891" s="15" t="n"/>
      <c r="E1891" s="15" t="n"/>
      <c r="F1891" s="15" t="n"/>
      <c r="G1891" s="15" t="n"/>
      <c r="H1891" s="16">
        <f>IF($A1891="","",$D1891+IF($E1891="",0,$E1891)+IF($F1891="",0,$F1891)-IF($G1891="",0,$G1891))</f>
        <v/>
      </c>
      <c r="I1891" s="12" t="n"/>
      <c r="J1891" s="12" t="n"/>
      <c r="K1891" s="12" t="n"/>
      <c r="L1891" s="14" t="n"/>
      <c r="M1891" s="12" t="n"/>
      <c r="N1891" s="12" t="n"/>
      <c r="O1891" s="12" t="n"/>
    </row>
    <row r="1892">
      <c r="A1892" s="12" t="n"/>
      <c r="B1892" s="13">
        <f>IF($A1892="","",IFERROR(INDEX(Emp_Names,MATCH($A1892,Emp_Codes,0)),"NOT FOUND"))</f>
        <v/>
      </c>
      <c r="C1892" s="14" t="n"/>
      <c r="D1892" s="15" t="n"/>
      <c r="E1892" s="15" t="n"/>
      <c r="F1892" s="15" t="n"/>
      <c r="G1892" s="15" t="n"/>
      <c r="H1892" s="16">
        <f>IF($A1892="","",$D1892+IF($E1892="",0,$E1892)+IF($F1892="",0,$F1892)-IF($G1892="",0,$G1892))</f>
        <v/>
      </c>
      <c r="I1892" s="12" t="n"/>
      <c r="J1892" s="12" t="n"/>
      <c r="K1892" s="12" t="n"/>
      <c r="L1892" s="14" t="n"/>
      <c r="M1892" s="12" t="n"/>
      <c r="N1892" s="12" t="n"/>
      <c r="O1892" s="12" t="n"/>
    </row>
    <row r="1893">
      <c r="A1893" s="12" t="n"/>
      <c r="B1893" s="13">
        <f>IF($A1893="","",IFERROR(INDEX(Emp_Names,MATCH($A1893,Emp_Codes,0)),"NOT FOUND"))</f>
        <v/>
      </c>
      <c r="C1893" s="14" t="n"/>
      <c r="D1893" s="15" t="n"/>
      <c r="E1893" s="15" t="n"/>
      <c r="F1893" s="15" t="n"/>
      <c r="G1893" s="15" t="n"/>
      <c r="H1893" s="16">
        <f>IF($A1893="","",$D1893+IF($E1893="",0,$E1893)+IF($F1893="",0,$F1893)-IF($G1893="",0,$G1893))</f>
        <v/>
      </c>
      <c r="I1893" s="12" t="n"/>
      <c r="J1893" s="12" t="n"/>
      <c r="K1893" s="12" t="n"/>
      <c r="L1893" s="14" t="n"/>
      <c r="M1893" s="12" t="n"/>
      <c r="N1893" s="12" t="n"/>
      <c r="O1893" s="12" t="n"/>
    </row>
    <row r="1894">
      <c r="A1894" s="12" t="n"/>
      <c r="B1894" s="13">
        <f>IF($A1894="","",IFERROR(INDEX(Emp_Names,MATCH($A1894,Emp_Codes,0)),"NOT FOUND"))</f>
        <v/>
      </c>
      <c r="C1894" s="14" t="n"/>
      <c r="D1894" s="15" t="n"/>
      <c r="E1894" s="15" t="n"/>
      <c r="F1894" s="15" t="n"/>
      <c r="G1894" s="15" t="n"/>
      <c r="H1894" s="16">
        <f>IF($A1894="","",$D1894+IF($E1894="",0,$E1894)+IF($F1894="",0,$F1894)-IF($G1894="",0,$G1894))</f>
        <v/>
      </c>
      <c r="I1894" s="12" t="n"/>
      <c r="J1894" s="12" t="n"/>
      <c r="K1894" s="12" t="n"/>
      <c r="L1894" s="14" t="n"/>
      <c r="M1894" s="12" t="n"/>
      <c r="N1894" s="12" t="n"/>
      <c r="O1894" s="12" t="n"/>
    </row>
    <row r="1895">
      <c r="A1895" s="12" t="n"/>
      <c r="B1895" s="13">
        <f>IF($A1895="","",IFERROR(INDEX(Emp_Names,MATCH($A1895,Emp_Codes,0)),"NOT FOUND"))</f>
        <v/>
      </c>
      <c r="C1895" s="14" t="n"/>
      <c r="D1895" s="15" t="n"/>
      <c r="E1895" s="15" t="n"/>
      <c r="F1895" s="15" t="n"/>
      <c r="G1895" s="15" t="n"/>
      <c r="H1895" s="16">
        <f>IF($A1895="","",$D1895+IF($E1895="",0,$E1895)+IF($F1895="",0,$F1895)-IF($G1895="",0,$G1895))</f>
        <v/>
      </c>
      <c r="I1895" s="12" t="n"/>
      <c r="J1895" s="12" t="n"/>
      <c r="K1895" s="12" t="n"/>
      <c r="L1895" s="14" t="n"/>
      <c r="M1895" s="12" t="n"/>
      <c r="N1895" s="12" t="n"/>
      <c r="O1895" s="12" t="n"/>
    </row>
    <row r="1896">
      <c r="A1896" s="12" t="n"/>
      <c r="B1896" s="13">
        <f>IF($A1896="","",IFERROR(INDEX(Emp_Names,MATCH($A1896,Emp_Codes,0)),"NOT FOUND"))</f>
        <v/>
      </c>
      <c r="C1896" s="14" t="n"/>
      <c r="D1896" s="15" t="n"/>
      <c r="E1896" s="15" t="n"/>
      <c r="F1896" s="15" t="n"/>
      <c r="G1896" s="15" t="n"/>
      <c r="H1896" s="16">
        <f>IF($A1896="","",$D1896+IF($E1896="",0,$E1896)+IF($F1896="",0,$F1896)-IF($G1896="",0,$G1896))</f>
        <v/>
      </c>
      <c r="I1896" s="12" t="n"/>
      <c r="J1896" s="12" t="n"/>
      <c r="K1896" s="12" t="n"/>
      <c r="L1896" s="14" t="n"/>
      <c r="M1896" s="12" t="n"/>
      <c r="N1896" s="12" t="n"/>
      <c r="O1896" s="12" t="n"/>
    </row>
    <row r="1897">
      <c r="A1897" s="12" t="n"/>
      <c r="B1897" s="13">
        <f>IF($A1897="","",IFERROR(INDEX(Emp_Names,MATCH($A1897,Emp_Codes,0)),"NOT FOUND"))</f>
        <v/>
      </c>
      <c r="C1897" s="14" t="n"/>
      <c r="D1897" s="15" t="n"/>
      <c r="E1897" s="15" t="n"/>
      <c r="F1897" s="15" t="n"/>
      <c r="G1897" s="15" t="n"/>
      <c r="H1897" s="16">
        <f>IF($A1897="","",$D1897+IF($E1897="",0,$E1897)+IF($F1897="",0,$F1897)-IF($G1897="",0,$G1897))</f>
        <v/>
      </c>
      <c r="I1897" s="12" t="n"/>
      <c r="J1897" s="12" t="n"/>
      <c r="K1897" s="12" t="n"/>
      <c r="L1897" s="14" t="n"/>
      <c r="M1897" s="12" t="n"/>
      <c r="N1897" s="12" t="n"/>
      <c r="O1897" s="12" t="n"/>
    </row>
    <row r="1898">
      <c r="A1898" s="12" t="n"/>
      <c r="B1898" s="13">
        <f>IF($A1898="","",IFERROR(INDEX(Emp_Names,MATCH($A1898,Emp_Codes,0)),"NOT FOUND"))</f>
        <v/>
      </c>
      <c r="C1898" s="14" t="n"/>
      <c r="D1898" s="15" t="n"/>
      <c r="E1898" s="15" t="n"/>
      <c r="F1898" s="15" t="n"/>
      <c r="G1898" s="15" t="n"/>
      <c r="H1898" s="16">
        <f>IF($A1898="","",$D1898+IF($E1898="",0,$E1898)+IF($F1898="",0,$F1898)-IF($G1898="",0,$G1898))</f>
        <v/>
      </c>
      <c r="I1898" s="12" t="n"/>
      <c r="J1898" s="12" t="n"/>
      <c r="K1898" s="12" t="n"/>
      <c r="L1898" s="14" t="n"/>
      <c r="M1898" s="12" t="n"/>
      <c r="N1898" s="12" t="n"/>
      <c r="O1898" s="12" t="n"/>
    </row>
    <row r="1899">
      <c r="A1899" s="12" t="n"/>
      <c r="B1899" s="13">
        <f>IF($A1899="","",IFERROR(INDEX(Emp_Names,MATCH($A1899,Emp_Codes,0)),"NOT FOUND"))</f>
        <v/>
      </c>
      <c r="C1899" s="14" t="n"/>
      <c r="D1899" s="15" t="n"/>
      <c r="E1899" s="15" t="n"/>
      <c r="F1899" s="15" t="n"/>
      <c r="G1899" s="15" t="n"/>
      <c r="H1899" s="16">
        <f>IF($A1899="","",$D1899+IF($E1899="",0,$E1899)+IF($F1899="",0,$F1899)-IF($G1899="",0,$G1899))</f>
        <v/>
      </c>
      <c r="I1899" s="12" t="n"/>
      <c r="J1899" s="12" t="n"/>
      <c r="K1899" s="12" t="n"/>
      <c r="L1899" s="14" t="n"/>
      <c r="M1899" s="12" t="n"/>
      <c r="N1899" s="12" t="n"/>
      <c r="O1899" s="12" t="n"/>
    </row>
    <row r="1900">
      <c r="A1900" s="12" t="n"/>
      <c r="B1900" s="13">
        <f>IF($A1900="","",IFERROR(INDEX(Emp_Names,MATCH($A1900,Emp_Codes,0)),"NOT FOUND"))</f>
        <v/>
      </c>
      <c r="C1900" s="14" t="n"/>
      <c r="D1900" s="15" t="n"/>
      <c r="E1900" s="15" t="n"/>
      <c r="F1900" s="15" t="n"/>
      <c r="G1900" s="15" t="n"/>
      <c r="H1900" s="16">
        <f>IF($A1900="","",$D1900+IF($E1900="",0,$E1900)+IF($F1900="",0,$F1900)-IF($G1900="",0,$G1900))</f>
        <v/>
      </c>
      <c r="I1900" s="12" t="n"/>
      <c r="J1900" s="12" t="n"/>
      <c r="K1900" s="12" t="n"/>
      <c r="L1900" s="14" t="n"/>
      <c r="M1900" s="12" t="n"/>
      <c r="N1900" s="12" t="n"/>
      <c r="O1900" s="12" t="n"/>
    </row>
    <row r="1901">
      <c r="A1901" s="12" t="n"/>
      <c r="B1901" s="13">
        <f>IF($A1901="","",IFERROR(INDEX(Emp_Names,MATCH($A1901,Emp_Codes,0)),"NOT FOUND"))</f>
        <v/>
      </c>
      <c r="C1901" s="14" t="n"/>
      <c r="D1901" s="15" t="n"/>
      <c r="E1901" s="15" t="n"/>
      <c r="F1901" s="15" t="n"/>
      <c r="G1901" s="15" t="n"/>
      <c r="H1901" s="16">
        <f>IF($A1901="","",$D1901+IF($E1901="",0,$E1901)+IF($F1901="",0,$F1901)-IF($G1901="",0,$G1901))</f>
        <v/>
      </c>
      <c r="I1901" s="12" t="n"/>
      <c r="J1901" s="12" t="n"/>
      <c r="K1901" s="12" t="n"/>
      <c r="L1901" s="14" t="n"/>
      <c r="M1901" s="12" t="n"/>
      <c r="N1901" s="12" t="n"/>
      <c r="O1901" s="12" t="n"/>
    </row>
    <row r="1902">
      <c r="A1902" s="12" t="n"/>
      <c r="B1902" s="13">
        <f>IF($A1902="","",IFERROR(INDEX(Emp_Names,MATCH($A1902,Emp_Codes,0)),"NOT FOUND"))</f>
        <v/>
      </c>
      <c r="C1902" s="14" t="n"/>
      <c r="D1902" s="15" t="n"/>
      <c r="E1902" s="15" t="n"/>
      <c r="F1902" s="15" t="n"/>
      <c r="G1902" s="15" t="n"/>
      <c r="H1902" s="16">
        <f>IF($A1902="","",$D1902+IF($E1902="",0,$E1902)+IF($F1902="",0,$F1902)-IF($G1902="",0,$G1902))</f>
        <v/>
      </c>
      <c r="I1902" s="12" t="n"/>
      <c r="J1902" s="12" t="n"/>
      <c r="K1902" s="12" t="n"/>
      <c r="L1902" s="14" t="n"/>
      <c r="M1902" s="12" t="n"/>
      <c r="N1902" s="12" t="n"/>
      <c r="O1902" s="12" t="n"/>
    </row>
    <row r="1903">
      <c r="A1903" s="12" t="n"/>
      <c r="B1903" s="13">
        <f>IF($A1903="","",IFERROR(INDEX(Emp_Names,MATCH($A1903,Emp_Codes,0)),"NOT FOUND"))</f>
        <v/>
      </c>
      <c r="C1903" s="14" t="n"/>
      <c r="D1903" s="15" t="n"/>
      <c r="E1903" s="15" t="n"/>
      <c r="F1903" s="15" t="n"/>
      <c r="G1903" s="15" t="n"/>
      <c r="H1903" s="16">
        <f>IF($A1903="","",$D1903+IF($E1903="",0,$E1903)+IF($F1903="",0,$F1903)-IF($G1903="",0,$G1903))</f>
        <v/>
      </c>
      <c r="I1903" s="12" t="n"/>
      <c r="J1903" s="12" t="n"/>
      <c r="K1903" s="12" t="n"/>
      <c r="L1903" s="14" t="n"/>
      <c r="M1903" s="12" t="n"/>
      <c r="N1903" s="12" t="n"/>
      <c r="O1903" s="12" t="n"/>
    </row>
    <row r="1904">
      <c r="A1904" s="12" t="n"/>
      <c r="B1904" s="13">
        <f>IF($A1904="","",IFERROR(INDEX(Emp_Names,MATCH($A1904,Emp_Codes,0)),"NOT FOUND"))</f>
        <v/>
      </c>
      <c r="C1904" s="14" t="n"/>
      <c r="D1904" s="15" t="n"/>
      <c r="E1904" s="15" t="n"/>
      <c r="F1904" s="15" t="n"/>
      <c r="G1904" s="15" t="n"/>
      <c r="H1904" s="16">
        <f>IF($A1904="","",$D1904+IF($E1904="",0,$E1904)+IF($F1904="",0,$F1904)-IF($G1904="",0,$G1904))</f>
        <v/>
      </c>
      <c r="I1904" s="12" t="n"/>
      <c r="J1904" s="12" t="n"/>
      <c r="K1904" s="12" t="n"/>
      <c r="L1904" s="14" t="n"/>
      <c r="M1904" s="12" t="n"/>
      <c r="N1904" s="12" t="n"/>
      <c r="O1904" s="12" t="n"/>
    </row>
    <row r="1905">
      <c r="A1905" s="12" t="n"/>
      <c r="B1905" s="13">
        <f>IF($A1905="","",IFERROR(INDEX(Emp_Names,MATCH($A1905,Emp_Codes,0)),"NOT FOUND"))</f>
        <v/>
      </c>
      <c r="C1905" s="14" t="n"/>
      <c r="D1905" s="15" t="n"/>
      <c r="E1905" s="15" t="n"/>
      <c r="F1905" s="15" t="n"/>
      <c r="G1905" s="15" t="n"/>
      <c r="H1905" s="16">
        <f>IF($A1905="","",$D1905+IF($E1905="",0,$E1905)+IF($F1905="",0,$F1905)-IF($G1905="",0,$G1905))</f>
        <v/>
      </c>
      <c r="I1905" s="12" t="n"/>
      <c r="J1905" s="12" t="n"/>
      <c r="K1905" s="12" t="n"/>
      <c r="L1905" s="14" t="n"/>
      <c r="M1905" s="12" t="n"/>
      <c r="N1905" s="12" t="n"/>
      <c r="O1905" s="12" t="n"/>
    </row>
    <row r="1906">
      <c r="A1906" s="12" t="n"/>
      <c r="B1906" s="13">
        <f>IF($A1906="","",IFERROR(INDEX(Emp_Names,MATCH($A1906,Emp_Codes,0)),"NOT FOUND"))</f>
        <v/>
      </c>
      <c r="C1906" s="14" t="n"/>
      <c r="D1906" s="15" t="n"/>
      <c r="E1906" s="15" t="n"/>
      <c r="F1906" s="15" t="n"/>
      <c r="G1906" s="15" t="n"/>
      <c r="H1906" s="16">
        <f>IF($A1906="","",$D1906+IF($E1906="",0,$E1906)+IF($F1906="",0,$F1906)-IF($G1906="",0,$G1906))</f>
        <v/>
      </c>
      <c r="I1906" s="12" t="n"/>
      <c r="J1906" s="12" t="n"/>
      <c r="K1906" s="12" t="n"/>
      <c r="L1906" s="14" t="n"/>
      <c r="M1906" s="12" t="n"/>
      <c r="N1906" s="12" t="n"/>
      <c r="O1906" s="12" t="n"/>
    </row>
    <row r="1907">
      <c r="A1907" s="12" t="n"/>
      <c r="B1907" s="13">
        <f>IF($A1907="","",IFERROR(INDEX(Emp_Names,MATCH($A1907,Emp_Codes,0)),"NOT FOUND"))</f>
        <v/>
      </c>
      <c r="C1907" s="14" t="n"/>
      <c r="D1907" s="15" t="n"/>
      <c r="E1907" s="15" t="n"/>
      <c r="F1907" s="15" t="n"/>
      <c r="G1907" s="15" t="n"/>
      <c r="H1907" s="16">
        <f>IF($A1907="","",$D1907+IF($E1907="",0,$E1907)+IF($F1907="",0,$F1907)-IF($G1907="",0,$G1907))</f>
        <v/>
      </c>
      <c r="I1907" s="12" t="n"/>
      <c r="J1907" s="12" t="n"/>
      <c r="K1907" s="12" t="n"/>
      <c r="L1907" s="14" t="n"/>
      <c r="M1907" s="12" t="n"/>
      <c r="N1907" s="12" t="n"/>
      <c r="O1907" s="12" t="n"/>
    </row>
    <row r="1908">
      <c r="A1908" s="12" t="n"/>
      <c r="B1908" s="13">
        <f>IF($A1908="","",IFERROR(INDEX(Emp_Names,MATCH($A1908,Emp_Codes,0)),"NOT FOUND"))</f>
        <v/>
      </c>
      <c r="C1908" s="14" t="n"/>
      <c r="D1908" s="15" t="n"/>
      <c r="E1908" s="15" t="n"/>
      <c r="F1908" s="15" t="n"/>
      <c r="G1908" s="15" t="n"/>
      <c r="H1908" s="16">
        <f>IF($A1908="","",$D1908+IF($E1908="",0,$E1908)+IF($F1908="",0,$F1908)-IF($G1908="",0,$G1908))</f>
        <v/>
      </c>
      <c r="I1908" s="12" t="n"/>
      <c r="J1908" s="12" t="n"/>
      <c r="K1908" s="12" t="n"/>
      <c r="L1908" s="14" t="n"/>
      <c r="M1908" s="12" t="n"/>
      <c r="N1908" s="12" t="n"/>
      <c r="O1908" s="12" t="n"/>
    </row>
    <row r="1909">
      <c r="A1909" s="12" t="n"/>
      <c r="B1909" s="13">
        <f>IF($A1909="","",IFERROR(INDEX(Emp_Names,MATCH($A1909,Emp_Codes,0)),"NOT FOUND"))</f>
        <v/>
      </c>
      <c r="C1909" s="14" t="n"/>
      <c r="D1909" s="15" t="n"/>
      <c r="E1909" s="15" t="n"/>
      <c r="F1909" s="15" t="n"/>
      <c r="G1909" s="15" t="n"/>
      <c r="H1909" s="16">
        <f>IF($A1909="","",$D1909+IF($E1909="",0,$E1909)+IF($F1909="",0,$F1909)-IF($G1909="",0,$G1909))</f>
        <v/>
      </c>
      <c r="I1909" s="12" t="n"/>
      <c r="J1909" s="12" t="n"/>
      <c r="K1909" s="12" t="n"/>
      <c r="L1909" s="14" t="n"/>
      <c r="M1909" s="12" t="n"/>
      <c r="N1909" s="12" t="n"/>
      <c r="O1909" s="12" t="n"/>
    </row>
    <row r="1910">
      <c r="A1910" s="12" t="n"/>
      <c r="B1910" s="13">
        <f>IF($A1910="","",IFERROR(INDEX(Emp_Names,MATCH($A1910,Emp_Codes,0)),"NOT FOUND"))</f>
        <v/>
      </c>
      <c r="C1910" s="14" t="n"/>
      <c r="D1910" s="15" t="n"/>
      <c r="E1910" s="15" t="n"/>
      <c r="F1910" s="15" t="n"/>
      <c r="G1910" s="15" t="n"/>
      <c r="H1910" s="16">
        <f>IF($A1910="","",$D1910+IF($E1910="",0,$E1910)+IF($F1910="",0,$F1910)-IF($G1910="",0,$G1910))</f>
        <v/>
      </c>
      <c r="I1910" s="12" t="n"/>
      <c r="J1910" s="12" t="n"/>
      <c r="K1910" s="12" t="n"/>
      <c r="L1910" s="14" t="n"/>
      <c r="M1910" s="12" t="n"/>
      <c r="N1910" s="12" t="n"/>
      <c r="O1910" s="12" t="n"/>
    </row>
    <row r="1911">
      <c r="A1911" s="12" t="n"/>
      <c r="B1911" s="13">
        <f>IF($A1911="","",IFERROR(INDEX(Emp_Names,MATCH($A1911,Emp_Codes,0)),"NOT FOUND"))</f>
        <v/>
      </c>
      <c r="C1911" s="14" t="n"/>
      <c r="D1911" s="15" t="n"/>
      <c r="E1911" s="15" t="n"/>
      <c r="F1911" s="15" t="n"/>
      <c r="G1911" s="15" t="n"/>
      <c r="H1911" s="16">
        <f>IF($A1911="","",$D1911+IF($E1911="",0,$E1911)+IF($F1911="",0,$F1911)-IF($G1911="",0,$G1911))</f>
        <v/>
      </c>
      <c r="I1911" s="12" t="n"/>
      <c r="J1911" s="12" t="n"/>
      <c r="K1911" s="12" t="n"/>
      <c r="L1911" s="14" t="n"/>
      <c r="M1911" s="12" t="n"/>
      <c r="N1911" s="12" t="n"/>
      <c r="O1911" s="12" t="n"/>
    </row>
    <row r="1912">
      <c r="A1912" s="12" t="n"/>
      <c r="B1912" s="13">
        <f>IF($A1912="","",IFERROR(INDEX(Emp_Names,MATCH($A1912,Emp_Codes,0)),"NOT FOUND"))</f>
        <v/>
      </c>
      <c r="C1912" s="14" t="n"/>
      <c r="D1912" s="15" t="n"/>
      <c r="E1912" s="15" t="n"/>
      <c r="F1912" s="15" t="n"/>
      <c r="G1912" s="15" t="n"/>
      <c r="H1912" s="16">
        <f>IF($A1912="","",$D1912+IF($E1912="",0,$E1912)+IF($F1912="",0,$F1912)-IF($G1912="",0,$G1912))</f>
        <v/>
      </c>
      <c r="I1912" s="12" t="n"/>
      <c r="J1912" s="12" t="n"/>
      <c r="K1912" s="12" t="n"/>
      <c r="L1912" s="14" t="n"/>
      <c r="M1912" s="12" t="n"/>
      <c r="N1912" s="12" t="n"/>
      <c r="O1912" s="12" t="n"/>
    </row>
    <row r="1913">
      <c r="A1913" s="12" t="n"/>
      <c r="B1913" s="13">
        <f>IF($A1913="","",IFERROR(INDEX(Emp_Names,MATCH($A1913,Emp_Codes,0)),"NOT FOUND"))</f>
        <v/>
      </c>
      <c r="C1913" s="14" t="n"/>
      <c r="D1913" s="15" t="n"/>
      <c r="E1913" s="15" t="n"/>
      <c r="F1913" s="15" t="n"/>
      <c r="G1913" s="15" t="n"/>
      <c r="H1913" s="16">
        <f>IF($A1913="","",$D1913+IF($E1913="",0,$E1913)+IF($F1913="",0,$F1913)-IF($G1913="",0,$G1913))</f>
        <v/>
      </c>
      <c r="I1913" s="12" t="n"/>
      <c r="J1913" s="12" t="n"/>
      <c r="K1913" s="12" t="n"/>
      <c r="L1913" s="14" t="n"/>
      <c r="M1913" s="12" t="n"/>
      <c r="N1913" s="12" t="n"/>
      <c r="O1913" s="12" t="n"/>
    </row>
    <row r="1914">
      <c r="A1914" s="12" t="n"/>
      <c r="B1914" s="13">
        <f>IF($A1914="","",IFERROR(INDEX(Emp_Names,MATCH($A1914,Emp_Codes,0)),"NOT FOUND"))</f>
        <v/>
      </c>
      <c r="C1914" s="14" t="n"/>
      <c r="D1914" s="15" t="n"/>
      <c r="E1914" s="15" t="n"/>
      <c r="F1914" s="15" t="n"/>
      <c r="G1914" s="15" t="n"/>
      <c r="H1914" s="16">
        <f>IF($A1914="","",$D1914+IF($E1914="",0,$E1914)+IF($F1914="",0,$F1914)-IF($G1914="",0,$G1914))</f>
        <v/>
      </c>
      <c r="I1914" s="12" t="n"/>
      <c r="J1914" s="12" t="n"/>
      <c r="K1914" s="12" t="n"/>
      <c r="L1914" s="14" t="n"/>
      <c r="M1914" s="12" t="n"/>
      <c r="N1914" s="12" t="n"/>
      <c r="O1914" s="12" t="n"/>
    </row>
    <row r="1915">
      <c r="A1915" s="12" t="n"/>
      <c r="B1915" s="13">
        <f>IF($A1915="","",IFERROR(INDEX(Emp_Names,MATCH($A1915,Emp_Codes,0)),"NOT FOUND"))</f>
        <v/>
      </c>
      <c r="C1915" s="14" t="n"/>
      <c r="D1915" s="15" t="n"/>
      <c r="E1915" s="15" t="n"/>
      <c r="F1915" s="15" t="n"/>
      <c r="G1915" s="15" t="n"/>
      <c r="H1915" s="16">
        <f>IF($A1915="","",$D1915+IF($E1915="",0,$E1915)+IF($F1915="",0,$F1915)-IF($G1915="",0,$G1915))</f>
        <v/>
      </c>
      <c r="I1915" s="12" t="n"/>
      <c r="J1915" s="12" t="n"/>
      <c r="K1915" s="12" t="n"/>
      <c r="L1915" s="14" t="n"/>
      <c r="M1915" s="12" t="n"/>
      <c r="N1915" s="12" t="n"/>
      <c r="O1915" s="12" t="n"/>
    </row>
    <row r="1916">
      <c r="A1916" s="12" t="n"/>
      <c r="B1916" s="13">
        <f>IF($A1916="","",IFERROR(INDEX(Emp_Names,MATCH($A1916,Emp_Codes,0)),"NOT FOUND"))</f>
        <v/>
      </c>
      <c r="C1916" s="14" t="n"/>
      <c r="D1916" s="15" t="n"/>
      <c r="E1916" s="15" t="n"/>
      <c r="F1916" s="15" t="n"/>
      <c r="G1916" s="15" t="n"/>
      <c r="H1916" s="16">
        <f>IF($A1916="","",$D1916+IF($E1916="",0,$E1916)+IF($F1916="",0,$F1916)-IF($G1916="",0,$G1916))</f>
        <v/>
      </c>
      <c r="I1916" s="12" t="n"/>
      <c r="J1916" s="12" t="n"/>
      <c r="K1916" s="12" t="n"/>
      <c r="L1916" s="14" t="n"/>
      <c r="M1916" s="12" t="n"/>
      <c r="N1916" s="12" t="n"/>
      <c r="O1916" s="12" t="n"/>
    </row>
    <row r="1917">
      <c r="A1917" s="12" t="n"/>
      <c r="B1917" s="13">
        <f>IF($A1917="","",IFERROR(INDEX(Emp_Names,MATCH($A1917,Emp_Codes,0)),"NOT FOUND"))</f>
        <v/>
      </c>
      <c r="C1917" s="14" t="n"/>
      <c r="D1917" s="15" t="n"/>
      <c r="E1917" s="15" t="n"/>
      <c r="F1917" s="15" t="n"/>
      <c r="G1917" s="15" t="n"/>
      <c r="H1917" s="16">
        <f>IF($A1917="","",$D1917+IF($E1917="",0,$E1917)+IF($F1917="",0,$F1917)-IF($G1917="",0,$G1917))</f>
        <v/>
      </c>
      <c r="I1917" s="12" t="n"/>
      <c r="J1917" s="12" t="n"/>
      <c r="K1917" s="12" t="n"/>
      <c r="L1917" s="14" t="n"/>
      <c r="M1917" s="12" t="n"/>
      <c r="N1917" s="12" t="n"/>
      <c r="O1917" s="12" t="n"/>
    </row>
    <row r="1918">
      <c r="A1918" s="12" t="n"/>
      <c r="B1918" s="13">
        <f>IF($A1918="","",IFERROR(INDEX(Emp_Names,MATCH($A1918,Emp_Codes,0)),"NOT FOUND"))</f>
        <v/>
      </c>
      <c r="C1918" s="14" t="n"/>
      <c r="D1918" s="15" t="n"/>
      <c r="E1918" s="15" t="n"/>
      <c r="F1918" s="15" t="n"/>
      <c r="G1918" s="15" t="n"/>
      <c r="H1918" s="16">
        <f>IF($A1918="","",$D1918+IF($E1918="",0,$E1918)+IF($F1918="",0,$F1918)-IF($G1918="",0,$G1918))</f>
        <v/>
      </c>
      <c r="I1918" s="12" t="n"/>
      <c r="J1918" s="12" t="n"/>
      <c r="K1918" s="12" t="n"/>
      <c r="L1918" s="14" t="n"/>
      <c r="M1918" s="12" t="n"/>
      <c r="N1918" s="12" t="n"/>
      <c r="O1918" s="12" t="n"/>
    </row>
    <row r="1919">
      <c r="A1919" s="12" t="n"/>
      <c r="B1919" s="13">
        <f>IF($A1919="","",IFERROR(INDEX(Emp_Names,MATCH($A1919,Emp_Codes,0)),"NOT FOUND"))</f>
        <v/>
      </c>
      <c r="C1919" s="14" t="n"/>
      <c r="D1919" s="15" t="n"/>
      <c r="E1919" s="15" t="n"/>
      <c r="F1919" s="15" t="n"/>
      <c r="G1919" s="15" t="n"/>
      <c r="H1919" s="16">
        <f>IF($A1919="","",$D1919+IF($E1919="",0,$E1919)+IF($F1919="",0,$F1919)-IF($G1919="",0,$G1919))</f>
        <v/>
      </c>
      <c r="I1919" s="12" t="n"/>
      <c r="J1919" s="12" t="n"/>
      <c r="K1919" s="12" t="n"/>
      <c r="L1919" s="14" t="n"/>
      <c r="M1919" s="12" t="n"/>
      <c r="N1919" s="12" t="n"/>
      <c r="O1919" s="12" t="n"/>
    </row>
    <row r="1920">
      <c r="A1920" s="12" t="n"/>
      <c r="B1920" s="13">
        <f>IF($A1920="","",IFERROR(INDEX(Emp_Names,MATCH($A1920,Emp_Codes,0)),"NOT FOUND"))</f>
        <v/>
      </c>
      <c r="C1920" s="14" t="n"/>
      <c r="D1920" s="15" t="n"/>
      <c r="E1920" s="15" t="n"/>
      <c r="F1920" s="15" t="n"/>
      <c r="G1920" s="15" t="n"/>
      <c r="H1920" s="16">
        <f>IF($A1920="","",$D1920+IF($E1920="",0,$E1920)+IF($F1920="",0,$F1920)-IF($G1920="",0,$G1920))</f>
        <v/>
      </c>
      <c r="I1920" s="12" t="n"/>
      <c r="J1920" s="12" t="n"/>
      <c r="K1920" s="12" t="n"/>
      <c r="L1920" s="14" t="n"/>
      <c r="M1920" s="12" t="n"/>
      <c r="N1920" s="12" t="n"/>
      <c r="O1920" s="12" t="n"/>
    </row>
    <row r="1921">
      <c r="A1921" s="12" t="n"/>
      <c r="B1921" s="13">
        <f>IF($A1921="","",IFERROR(INDEX(Emp_Names,MATCH($A1921,Emp_Codes,0)),"NOT FOUND"))</f>
        <v/>
      </c>
      <c r="C1921" s="14" t="n"/>
      <c r="D1921" s="15" t="n"/>
      <c r="E1921" s="15" t="n"/>
      <c r="F1921" s="15" t="n"/>
      <c r="G1921" s="15" t="n"/>
      <c r="H1921" s="16">
        <f>IF($A1921="","",$D1921+IF($E1921="",0,$E1921)+IF($F1921="",0,$F1921)-IF($G1921="",0,$G1921))</f>
        <v/>
      </c>
      <c r="I1921" s="12" t="n"/>
      <c r="J1921" s="12" t="n"/>
      <c r="K1921" s="12" t="n"/>
      <c r="L1921" s="14" t="n"/>
      <c r="M1921" s="12" t="n"/>
      <c r="N1921" s="12" t="n"/>
      <c r="O1921" s="12" t="n"/>
    </row>
    <row r="1922">
      <c r="A1922" s="12" t="n"/>
      <c r="B1922" s="13">
        <f>IF($A1922="","",IFERROR(INDEX(Emp_Names,MATCH($A1922,Emp_Codes,0)),"NOT FOUND"))</f>
        <v/>
      </c>
      <c r="C1922" s="14" t="n"/>
      <c r="D1922" s="15" t="n"/>
      <c r="E1922" s="15" t="n"/>
      <c r="F1922" s="15" t="n"/>
      <c r="G1922" s="15" t="n"/>
      <c r="H1922" s="16">
        <f>IF($A1922="","",$D1922+IF($E1922="",0,$E1922)+IF($F1922="",0,$F1922)-IF($G1922="",0,$G1922))</f>
        <v/>
      </c>
      <c r="I1922" s="12" t="n"/>
      <c r="J1922" s="12" t="n"/>
      <c r="K1922" s="12" t="n"/>
      <c r="L1922" s="14" t="n"/>
      <c r="M1922" s="12" t="n"/>
      <c r="N1922" s="12" t="n"/>
      <c r="O1922" s="12" t="n"/>
    </row>
    <row r="1923">
      <c r="A1923" s="12" t="n"/>
      <c r="B1923" s="13">
        <f>IF($A1923="","",IFERROR(INDEX(Emp_Names,MATCH($A1923,Emp_Codes,0)),"NOT FOUND"))</f>
        <v/>
      </c>
      <c r="C1923" s="14" t="n"/>
      <c r="D1923" s="15" t="n"/>
      <c r="E1923" s="15" t="n"/>
      <c r="F1923" s="15" t="n"/>
      <c r="G1923" s="15" t="n"/>
      <c r="H1923" s="16">
        <f>IF($A1923="","",$D1923+IF($E1923="",0,$E1923)+IF($F1923="",0,$F1923)-IF($G1923="",0,$G1923))</f>
        <v/>
      </c>
      <c r="I1923" s="12" t="n"/>
      <c r="J1923" s="12" t="n"/>
      <c r="K1923" s="12" t="n"/>
      <c r="L1923" s="14" t="n"/>
      <c r="M1923" s="12" t="n"/>
      <c r="N1923" s="12" t="n"/>
      <c r="O1923" s="12" t="n"/>
    </row>
    <row r="1924">
      <c r="A1924" s="12" t="n"/>
      <c r="B1924" s="13">
        <f>IF($A1924="","",IFERROR(INDEX(Emp_Names,MATCH($A1924,Emp_Codes,0)),"NOT FOUND"))</f>
        <v/>
      </c>
      <c r="C1924" s="14" t="n"/>
      <c r="D1924" s="15" t="n"/>
      <c r="E1924" s="15" t="n"/>
      <c r="F1924" s="15" t="n"/>
      <c r="G1924" s="15" t="n"/>
      <c r="H1924" s="16">
        <f>IF($A1924="","",$D1924+IF($E1924="",0,$E1924)+IF($F1924="",0,$F1924)-IF($G1924="",0,$G1924))</f>
        <v/>
      </c>
      <c r="I1924" s="12" t="n"/>
      <c r="J1924" s="12" t="n"/>
      <c r="K1924" s="12" t="n"/>
      <c r="L1924" s="14" t="n"/>
      <c r="M1924" s="12" t="n"/>
      <c r="N1924" s="12" t="n"/>
      <c r="O1924" s="12" t="n"/>
    </row>
    <row r="1925">
      <c r="A1925" s="12" t="n"/>
      <c r="B1925" s="13">
        <f>IF($A1925="","",IFERROR(INDEX(Emp_Names,MATCH($A1925,Emp_Codes,0)),"NOT FOUND"))</f>
        <v/>
      </c>
      <c r="C1925" s="14" t="n"/>
      <c r="D1925" s="15" t="n"/>
      <c r="E1925" s="15" t="n"/>
      <c r="F1925" s="15" t="n"/>
      <c r="G1925" s="15" t="n"/>
      <c r="H1925" s="16">
        <f>IF($A1925="","",$D1925+IF($E1925="",0,$E1925)+IF($F1925="",0,$F1925)-IF($G1925="",0,$G1925))</f>
        <v/>
      </c>
      <c r="I1925" s="12" t="n"/>
      <c r="J1925" s="12" t="n"/>
      <c r="K1925" s="12" t="n"/>
      <c r="L1925" s="14" t="n"/>
      <c r="M1925" s="12" t="n"/>
      <c r="N1925" s="12" t="n"/>
      <c r="O1925" s="12" t="n"/>
    </row>
    <row r="1926">
      <c r="A1926" s="12" t="n"/>
      <c r="B1926" s="13">
        <f>IF($A1926="","",IFERROR(INDEX(Emp_Names,MATCH($A1926,Emp_Codes,0)),"NOT FOUND"))</f>
        <v/>
      </c>
      <c r="C1926" s="14" t="n"/>
      <c r="D1926" s="15" t="n"/>
      <c r="E1926" s="15" t="n"/>
      <c r="F1926" s="15" t="n"/>
      <c r="G1926" s="15" t="n"/>
      <c r="H1926" s="16">
        <f>IF($A1926="","",$D1926+IF($E1926="",0,$E1926)+IF($F1926="",0,$F1926)-IF($G1926="",0,$G1926))</f>
        <v/>
      </c>
      <c r="I1926" s="12" t="n"/>
      <c r="J1926" s="12" t="n"/>
      <c r="K1926" s="12" t="n"/>
      <c r="L1926" s="14" t="n"/>
      <c r="M1926" s="12" t="n"/>
      <c r="N1926" s="12" t="n"/>
      <c r="O1926" s="12" t="n"/>
    </row>
    <row r="1927">
      <c r="A1927" s="12" t="n"/>
      <c r="B1927" s="13">
        <f>IF($A1927="","",IFERROR(INDEX(Emp_Names,MATCH($A1927,Emp_Codes,0)),"NOT FOUND"))</f>
        <v/>
      </c>
      <c r="C1927" s="14" t="n"/>
      <c r="D1927" s="15" t="n"/>
      <c r="E1927" s="15" t="n"/>
      <c r="F1927" s="15" t="n"/>
      <c r="G1927" s="15" t="n"/>
      <c r="H1927" s="16">
        <f>IF($A1927="","",$D1927+IF($E1927="",0,$E1927)+IF($F1927="",0,$F1927)-IF($G1927="",0,$G1927))</f>
        <v/>
      </c>
      <c r="I1927" s="12" t="n"/>
      <c r="J1927" s="12" t="n"/>
      <c r="K1927" s="12" t="n"/>
      <c r="L1927" s="14" t="n"/>
      <c r="M1927" s="12" t="n"/>
      <c r="N1927" s="12" t="n"/>
      <c r="O1927" s="12" t="n"/>
    </row>
    <row r="1928">
      <c r="A1928" s="12" t="n"/>
      <c r="B1928" s="13">
        <f>IF($A1928="","",IFERROR(INDEX(Emp_Names,MATCH($A1928,Emp_Codes,0)),"NOT FOUND"))</f>
        <v/>
      </c>
      <c r="C1928" s="14" t="n"/>
      <c r="D1928" s="15" t="n"/>
      <c r="E1928" s="15" t="n"/>
      <c r="F1928" s="15" t="n"/>
      <c r="G1928" s="15" t="n"/>
      <c r="H1928" s="16">
        <f>IF($A1928="","",$D1928+IF($E1928="",0,$E1928)+IF($F1928="",0,$F1928)-IF($G1928="",0,$G1928))</f>
        <v/>
      </c>
      <c r="I1928" s="12" t="n"/>
      <c r="J1928" s="12" t="n"/>
      <c r="K1928" s="12" t="n"/>
      <c r="L1928" s="14" t="n"/>
      <c r="M1928" s="12" t="n"/>
      <c r="N1928" s="12" t="n"/>
      <c r="O1928" s="12" t="n"/>
    </row>
    <row r="1929">
      <c r="A1929" s="12" t="n"/>
      <c r="B1929" s="13">
        <f>IF($A1929="","",IFERROR(INDEX(Emp_Names,MATCH($A1929,Emp_Codes,0)),"NOT FOUND"))</f>
        <v/>
      </c>
      <c r="C1929" s="14" t="n"/>
      <c r="D1929" s="15" t="n"/>
      <c r="E1929" s="15" t="n"/>
      <c r="F1929" s="15" t="n"/>
      <c r="G1929" s="15" t="n"/>
      <c r="H1929" s="16">
        <f>IF($A1929="","",$D1929+IF($E1929="",0,$E1929)+IF($F1929="",0,$F1929)-IF($G1929="",0,$G1929))</f>
        <v/>
      </c>
      <c r="I1929" s="12" t="n"/>
      <c r="J1929" s="12" t="n"/>
      <c r="K1929" s="12" t="n"/>
      <c r="L1929" s="14" t="n"/>
      <c r="M1929" s="12" t="n"/>
      <c r="N1929" s="12" t="n"/>
      <c r="O1929" s="12" t="n"/>
    </row>
    <row r="1930">
      <c r="A1930" s="12" t="n"/>
      <c r="B1930" s="13">
        <f>IF($A1930="","",IFERROR(INDEX(Emp_Names,MATCH($A1930,Emp_Codes,0)),"NOT FOUND"))</f>
        <v/>
      </c>
      <c r="C1930" s="14" t="n"/>
      <c r="D1930" s="15" t="n"/>
      <c r="E1930" s="15" t="n"/>
      <c r="F1930" s="15" t="n"/>
      <c r="G1930" s="15" t="n"/>
      <c r="H1930" s="16">
        <f>IF($A1930="","",$D1930+IF($E1930="",0,$E1930)+IF($F1930="",0,$F1930)-IF($G1930="",0,$G1930))</f>
        <v/>
      </c>
      <c r="I1930" s="12" t="n"/>
      <c r="J1930" s="12" t="n"/>
      <c r="K1930" s="12" t="n"/>
      <c r="L1930" s="14" t="n"/>
      <c r="M1930" s="12" t="n"/>
      <c r="N1930" s="12" t="n"/>
      <c r="O1930" s="12" t="n"/>
    </row>
    <row r="1931">
      <c r="A1931" s="12" t="n"/>
      <c r="B1931" s="13">
        <f>IF($A1931="","",IFERROR(INDEX(Emp_Names,MATCH($A1931,Emp_Codes,0)),"NOT FOUND"))</f>
        <v/>
      </c>
      <c r="C1931" s="14" t="n"/>
      <c r="D1931" s="15" t="n"/>
      <c r="E1931" s="15" t="n"/>
      <c r="F1931" s="15" t="n"/>
      <c r="G1931" s="15" t="n"/>
      <c r="H1931" s="16">
        <f>IF($A1931="","",$D1931+IF($E1931="",0,$E1931)+IF($F1931="",0,$F1931)-IF($G1931="",0,$G1931))</f>
        <v/>
      </c>
      <c r="I1931" s="12" t="n"/>
      <c r="J1931" s="12" t="n"/>
      <c r="K1931" s="12" t="n"/>
      <c r="L1931" s="14" t="n"/>
      <c r="M1931" s="12" t="n"/>
      <c r="N1931" s="12" t="n"/>
      <c r="O1931" s="12" t="n"/>
    </row>
    <row r="1932">
      <c r="A1932" s="12" t="n"/>
      <c r="B1932" s="13">
        <f>IF($A1932="","",IFERROR(INDEX(Emp_Names,MATCH($A1932,Emp_Codes,0)),"NOT FOUND"))</f>
        <v/>
      </c>
      <c r="C1932" s="14" t="n"/>
      <c r="D1932" s="15" t="n"/>
      <c r="E1932" s="15" t="n"/>
      <c r="F1932" s="15" t="n"/>
      <c r="G1932" s="15" t="n"/>
      <c r="H1932" s="16">
        <f>IF($A1932="","",$D1932+IF($E1932="",0,$E1932)+IF($F1932="",0,$F1932)-IF($G1932="",0,$G1932))</f>
        <v/>
      </c>
      <c r="I1932" s="12" t="n"/>
      <c r="J1932" s="12" t="n"/>
      <c r="K1932" s="12" t="n"/>
      <c r="L1932" s="14" t="n"/>
      <c r="M1932" s="12" t="n"/>
      <c r="N1932" s="12" t="n"/>
      <c r="O1932" s="12" t="n"/>
    </row>
    <row r="1933">
      <c r="A1933" s="12" t="n"/>
      <c r="B1933" s="13">
        <f>IF($A1933="","",IFERROR(INDEX(Emp_Names,MATCH($A1933,Emp_Codes,0)),"NOT FOUND"))</f>
        <v/>
      </c>
      <c r="C1933" s="14" t="n"/>
      <c r="D1933" s="15" t="n"/>
      <c r="E1933" s="15" t="n"/>
      <c r="F1933" s="15" t="n"/>
      <c r="G1933" s="15" t="n"/>
      <c r="H1933" s="16">
        <f>IF($A1933="","",$D1933+IF($E1933="",0,$E1933)+IF($F1933="",0,$F1933)-IF($G1933="",0,$G1933))</f>
        <v/>
      </c>
      <c r="I1933" s="12" t="n"/>
      <c r="J1933" s="12" t="n"/>
      <c r="K1933" s="12" t="n"/>
      <c r="L1933" s="14" t="n"/>
      <c r="M1933" s="12" t="n"/>
      <c r="N1933" s="12" t="n"/>
      <c r="O1933" s="12" t="n"/>
    </row>
    <row r="1934">
      <c r="A1934" s="12" t="n"/>
      <c r="B1934" s="13">
        <f>IF($A1934="","",IFERROR(INDEX(Emp_Names,MATCH($A1934,Emp_Codes,0)),"NOT FOUND"))</f>
        <v/>
      </c>
      <c r="C1934" s="14" t="n"/>
      <c r="D1934" s="15" t="n"/>
      <c r="E1934" s="15" t="n"/>
      <c r="F1934" s="15" t="n"/>
      <c r="G1934" s="15" t="n"/>
      <c r="H1934" s="16">
        <f>IF($A1934="","",$D1934+IF($E1934="",0,$E1934)+IF($F1934="",0,$F1934)-IF($G1934="",0,$G1934))</f>
        <v/>
      </c>
      <c r="I1934" s="12" t="n"/>
      <c r="J1934" s="12" t="n"/>
      <c r="K1934" s="12" t="n"/>
      <c r="L1934" s="14" t="n"/>
      <c r="M1934" s="12" t="n"/>
      <c r="N1934" s="12" t="n"/>
      <c r="O1934" s="12" t="n"/>
    </row>
    <row r="1935">
      <c r="A1935" s="12" t="n"/>
      <c r="B1935" s="13">
        <f>IF($A1935="","",IFERROR(INDEX(Emp_Names,MATCH($A1935,Emp_Codes,0)),"NOT FOUND"))</f>
        <v/>
      </c>
      <c r="C1935" s="14" t="n"/>
      <c r="D1935" s="15" t="n"/>
      <c r="E1935" s="15" t="n"/>
      <c r="F1935" s="15" t="n"/>
      <c r="G1935" s="15" t="n"/>
      <c r="H1935" s="16">
        <f>IF($A1935="","",$D1935+IF($E1935="",0,$E1935)+IF($F1935="",0,$F1935)-IF($G1935="",0,$G1935))</f>
        <v/>
      </c>
      <c r="I1935" s="12" t="n"/>
      <c r="J1935" s="12" t="n"/>
      <c r="K1935" s="12" t="n"/>
      <c r="L1935" s="14" t="n"/>
      <c r="M1935" s="12" t="n"/>
      <c r="N1935" s="12" t="n"/>
      <c r="O1935" s="12" t="n"/>
    </row>
    <row r="1936">
      <c r="A1936" s="12" t="n"/>
      <c r="B1936" s="13">
        <f>IF($A1936="","",IFERROR(INDEX(Emp_Names,MATCH($A1936,Emp_Codes,0)),"NOT FOUND"))</f>
        <v/>
      </c>
      <c r="C1936" s="14" t="n"/>
      <c r="D1936" s="15" t="n"/>
      <c r="E1936" s="15" t="n"/>
      <c r="F1936" s="15" t="n"/>
      <c r="G1936" s="15" t="n"/>
      <c r="H1936" s="16">
        <f>IF($A1936="","",$D1936+IF($E1936="",0,$E1936)+IF($F1936="",0,$F1936)-IF($G1936="",0,$G1936))</f>
        <v/>
      </c>
      <c r="I1936" s="12" t="n"/>
      <c r="J1936" s="12" t="n"/>
      <c r="K1936" s="12" t="n"/>
      <c r="L1936" s="14" t="n"/>
      <c r="M1936" s="12" t="n"/>
      <c r="N1936" s="12" t="n"/>
      <c r="O1936" s="12" t="n"/>
    </row>
    <row r="1937">
      <c r="A1937" s="12" t="n"/>
      <c r="B1937" s="13">
        <f>IF($A1937="","",IFERROR(INDEX(Emp_Names,MATCH($A1937,Emp_Codes,0)),"NOT FOUND"))</f>
        <v/>
      </c>
      <c r="C1937" s="14" t="n"/>
      <c r="D1937" s="15" t="n"/>
      <c r="E1937" s="15" t="n"/>
      <c r="F1937" s="15" t="n"/>
      <c r="G1937" s="15" t="n"/>
      <c r="H1937" s="16">
        <f>IF($A1937="","",$D1937+IF($E1937="",0,$E1937)+IF($F1937="",0,$F1937)-IF($G1937="",0,$G1937))</f>
        <v/>
      </c>
      <c r="I1937" s="12" t="n"/>
      <c r="J1937" s="12" t="n"/>
      <c r="K1937" s="12" t="n"/>
      <c r="L1937" s="14" t="n"/>
      <c r="M1937" s="12" t="n"/>
      <c r="N1937" s="12" t="n"/>
      <c r="O1937" s="12" t="n"/>
    </row>
    <row r="1938">
      <c r="A1938" s="12" t="n"/>
      <c r="B1938" s="13">
        <f>IF($A1938="","",IFERROR(INDEX(Emp_Names,MATCH($A1938,Emp_Codes,0)),"NOT FOUND"))</f>
        <v/>
      </c>
      <c r="C1938" s="14" t="n"/>
      <c r="D1938" s="15" t="n"/>
      <c r="E1938" s="15" t="n"/>
      <c r="F1938" s="15" t="n"/>
      <c r="G1938" s="15" t="n"/>
      <c r="H1938" s="16">
        <f>IF($A1938="","",$D1938+IF($E1938="",0,$E1938)+IF($F1938="",0,$F1938)-IF($G1938="",0,$G1938))</f>
        <v/>
      </c>
      <c r="I1938" s="12" t="n"/>
      <c r="J1938" s="12" t="n"/>
      <c r="K1938" s="12" t="n"/>
      <c r="L1938" s="14" t="n"/>
      <c r="M1938" s="12" t="n"/>
      <c r="N1938" s="12" t="n"/>
      <c r="O1938" s="12" t="n"/>
    </row>
    <row r="1939">
      <c r="A1939" s="12" t="n"/>
      <c r="B1939" s="13">
        <f>IF($A1939="","",IFERROR(INDEX(Emp_Names,MATCH($A1939,Emp_Codes,0)),"NOT FOUND"))</f>
        <v/>
      </c>
      <c r="C1939" s="14" t="n"/>
      <c r="D1939" s="15" t="n"/>
      <c r="E1939" s="15" t="n"/>
      <c r="F1939" s="15" t="n"/>
      <c r="G1939" s="15" t="n"/>
      <c r="H1939" s="16">
        <f>IF($A1939="","",$D1939+IF($E1939="",0,$E1939)+IF($F1939="",0,$F1939)-IF($G1939="",0,$G1939))</f>
        <v/>
      </c>
      <c r="I1939" s="12" t="n"/>
      <c r="J1939" s="12" t="n"/>
      <c r="K1939" s="12" t="n"/>
      <c r="L1939" s="14" t="n"/>
      <c r="M1939" s="12" t="n"/>
      <c r="N1939" s="12" t="n"/>
      <c r="O1939" s="12" t="n"/>
    </row>
    <row r="1940">
      <c r="A1940" s="12" t="n"/>
      <c r="B1940" s="13">
        <f>IF($A1940="","",IFERROR(INDEX(Emp_Names,MATCH($A1940,Emp_Codes,0)),"NOT FOUND"))</f>
        <v/>
      </c>
      <c r="C1940" s="14" t="n"/>
      <c r="D1940" s="15" t="n"/>
      <c r="E1940" s="15" t="n"/>
      <c r="F1940" s="15" t="n"/>
      <c r="G1940" s="15" t="n"/>
      <c r="H1940" s="16">
        <f>IF($A1940="","",$D1940+IF($E1940="",0,$E1940)+IF($F1940="",0,$F1940)-IF($G1940="",0,$G1940))</f>
        <v/>
      </c>
      <c r="I1940" s="12" t="n"/>
      <c r="J1940" s="12" t="n"/>
      <c r="K1940" s="12" t="n"/>
      <c r="L1940" s="14" t="n"/>
      <c r="M1940" s="12" t="n"/>
      <c r="N1940" s="12" t="n"/>
      <c r="O1940" s="12" t="n"/>
    </row>
    <row r="1941">
      <c r="A1941" s="12" t="n"/>
      <c r="B1941" s="13">
        <f>IF($A1941="","",IFERROR(INDEX(Emp_Names,MATCH($A1941,Emp_Codes,0)),"NOT FOUND"))</f>
        <v/>
      </c>
      <c r="C1941" s="14" t="n"/>
      <c r="D1941" s="15" t="n"/>
      <c r="E1941" s="15" t="n"/>
      <c r="F1941" s="15" t="n"/>
      <c r="G1941" s="15" t="n"/>
      <c r="H1941" s="16">
        <f>IF($A1941="","",$D1941+IF($E1941="",0,$E1941)+IF($F1941="",0,$F1941)-IF($G1941="",0,$G1941))</f>
        <v/>
      </c>
      <c r="I1941" s="12" t="n"/>
      <c r="J1941" s="12" t="n"/>
      <c r="K1941" s="12" t="n"/>
      <c r="L1941" s="14" t="n"/>
      <c r="M1941" s="12" t="n"/>
      <c r="N1941" s="12" t="n"/>
      <c r="O1941" s="12" t="n"/>
    </row>
    <row r="1942">
      <c r="A1942" s="12" t="n"/>
      <c r="B1942" s="13">
        <f>IF($A1942="","",IFERROR(INDEX(Emp_Names,MATCH($A1942,Emp_Codes,0)),"NOT FOUND"))</f>
        <v/>
      </c>
      <c r="C1942" s="14" t="n"/>
      <c r="D1942" s="15" t="n"/>
      <c r="E1942" s="15" t="n"/>
      <c r="F1942" s="15" t="n"/>
      <c r="G1942" s="15" t="n"/>
      <c r="H1942" s="16">
        <f>IF($A1942="","",$D1942+IF($E1942="",0,$E1942)+IF($F1942="",0,$F1942)-IF($G1942="",0,$G1942))</f>
        <v/>
      </c>
      <c r="I1942" s="12" t="n"/>
      <c r="J1942" s="12" t="n"/>
      <c r="K1942" s="12" t="n"/>
      <c r="L1942" s="14" t="n"/>
      <c r="M1942" s="12" t="n"/>
      <c r="N1942" s="12" t="n"/>
      <c r="O1942" s="12" t="n"/>
    </row>
    <row r="1943">
      <c r="A1943" s="12" t="n"/>
      <c r="B1943" s="13">
        <f>IF($A1943="","",IFERROR(INDEX(Emp_Names,MATCH($A1943,Emp_Codes,0)),"NOT FOUND"))</f>
        <v/>
      </c>
      <c r="C1943" s="14" t="n"/>
      <c r="D1943" s="15" t="n"/>
      <c r="E1943" s="15" t="n"/>
      <c r="F1943" s="15" t="n"/>
      <c r="G1943" s="15" t="n"/>
      <c r="H1943" s="16">
        <f>IF($A1943="","",$D1943+IF($E1943="",0,$E1943)+IF($F1943="",0,$F1943)-IF($G1943="",0,$G1943))</f>
        <v/>
      </c>
      <c r="I1943" s="12" t="n"/>
      <c r="J1943" s="12" t="n"/>
      <c r="K1943" s="12" t="n"/>
      <c r="L1943" s="14" t="n"/>
      <c r="M1943" s="12" t="n"/>
      <c r="N1943" s="12" t="n"/>
      <c r="O1943" s="12" t="n"/>
    </row>
    <row r="1944">
      <c r="A1944" s="12" t="n"/>
      <c r="B1944" s="13">
        <f>IF($A1944="","",IFERROR(INDEX(Emp_Names,MATCH($A1944,Emp_Codes,0)),"NOT FOUND"))</f>
        <v/>
      </c>
      <c r="C1944" s="14" t="n"/>
      <c r="D1944" s="15" t="n"/>
      <c r="E1944" s="15" t="n"/>
      <c r="F1944" s="15" t="n"/>
      <c r="G1944" s="15" t="n"/>
      <c r="H1944" s="16">
        <f>IF($A1944="","",$D1944+IF($E1944="",0,$E1944)+IF($F1944="",0,$F1944)-IF($G1944="",0,$G1944))</f>
        <v/>
      </c>
      <c r="I1944" s="12" t="n"/>
      <c r="J1944" s="12" t="n"/>
      <c r="K1944" s="12" t="n"/>
      <c r="L1944" s="14" t="n"/>
      <c r="M1944" s="12" t="n"/>
      <c r="N1944" s="12" t="n"/>
      <c r="O1944" s="12" t="n"/>
    </row>
    <row r="1945">
      <c r="A1945" s="12" t="n"/>
      <c r="B1945" s="13">
        <f>IF($A1945="","",IFERROR(INDEX(Emp_Names,MATCH($A1945,Emp_Codes,0)),"NOT FOUND"))</f>
        <v/>
      </c>
      <c r="C1945" s="14" t="n"/>
      <c r="D1945" s="15" t="n"/>
      <c r="E1945" s="15" t="n"/>
      <c r="F1945" s="15" t="n"/>
      <c r="G1945" s="15" t="n"/>
      <c r="H1945" s="16">
        <f>IF($A1945="","",$D1945+IF($E1945="",0,$E1945)+IF($F1945="",0,$F1945)-IF($G1945="",0,$G1945))</f>
        <v/>
      </c>
      <c r="I1945" s="12" t="n"/>
      <c r="J1945" s="12" t="n"/>
      <c r="K1945" s="12" t="n"/>
      <c r="L1945" s="14" t="n"/>
      <c r="M1945" s="12" t="n"/>
      <c r="N1945" s="12" t="n"/>
      <c r="O1945" s="12" t="n"/>
    </row>
    <row r="1946">
      <c r="A1946" s="12" t="n"/>
      <c r="B1946" s="13">
        <f>IF($A1946="","",IFERROR(INDEX(Emp_Names,MATCH($A1946,Emp_Codes,0)),"NOT FOUND"))</f>
        <v/>
      </c>
      <c r="C1946" s="14" t="n"/>
      <c r="D1946" s="15" t="n"/>
      <c r="E1946" s="15" t="n"/>
      <c r="F1946" s="15" t="n"/>
      <c r="G1946" s="15" t="n"/>
      <c r="H1946" s="16">
        <f>IF($A1946="","",$D1946+IF($E1946="",0,$E1946)+IF($F1946="",0,$F1946)-IF($G1946="",0,$G1946))</f>
        <v/>
      </c>
      <c r="I1946" s="12" t="n"/>
      <c r="J1946" s="12" t="n"/>
      <c r="K1946" s="12" t="n"/>
      <c r="L1946" s="14" t="n"/>
      <c r="M1946" s="12" t="n"/>
      <c r="N1946" s="12" t="n"/>
      <c r="O1946" s="12" t="n"/>
    </row>
    <row r="1947">
      <c r="A1947" s="12" t="n"/>
      <c r="B1947" s="13">
        <f>IF($A1947="","",IFERROR(INDEX(Emp_Names,MATCH($A1947,Emp_Codes,0)),"NOT FOUND"))</f>
        <v/>
      </c>
      <c r="C1947" s="14" t="n"/>
      <c r="D1947" s="15" t="n"/>
      <c r="E1947" s="15" t="n"/>
      <c r="F1947" s="15" t="n"/>
      <c r="G1947" s="15" t="n"/>
      <c r="H1947" s="16">
        <f>IF($A1947="","",$D1947+IF($E1947="",0,$E1947)+IF($F1947="",0,$F1947)-IF($G1947="",0,$G1947))</f>
        <v/>
      </c>
      <c r="I1947" s="12" t="n"/>
      <c r="J1947" s="12" t="n"/>
      <c r="K1947" s="12" t="n"/>
      <c r="L1947" s="14" t="n"/>
      <c r="M1947" s="12" t="n"/>
      <c r="N1947" s="12" t="n"/>
      <c r="O1947" s="12" t="n"/>
    </row>
    <row r="1948">
      <c r="A1948" s="12" t="n"/>
      <c r="B1948" s="13">
        <f>IF($A1948="","",IFERROR(INDEX(Emp_Names,MATCH($A1948,Emp_Codes,0)),"NOT FOUND"))</f>
        <v/>
      </c>
      <c r="C1948" s="14" t="n"/>
      <c r="D1948" s="15" t="n"/>
      <c r="E1948" s="15" t="n"/>
      <c r="F1948" s="15" t="n"/>
      <c r="G1948" s="15" t="n"/>
      <c r="H1948" s="16">
        <f>IF($A1948="","",$D1948+IF($E1948="",0,$E1948)+IF($F1948="",0,$F1948)-IF($G1948="",0,$G1948))</f>
        <v/>
      </c>
      <c r="I1948" s="12" t="n"/>
      <c r="J1948" s="12" t="n"/>
      <c r="K1948" s="12" t="n"/>
      <c r="L1948" s="14" t="n"/>
      <c r="M1948" s="12" t="n"/>
      <c r="N1948" s="12" t="n"/>
      <c r="O1948" s="12" t="n"/>
    </row>
    <row r="1949">
      <c r="A1949" s="12" t="n"/>
      <c r="B1949" s="13">
        <f>IF($A1949="","",IFERROR(INDEX(Emp_Names,MATCH($A1949,Emp_Codes,0)),"NOT FOUND"))</f>
        <v/>
      </c>
      <c r="C1949" s="14" t="n"/>
      <c r="D1949" s="15" t="n"/>
      <c r="E1949" s="15" t="n"/>
      <c r="F1949" s="15" t="n"/>
      <c r="G1949" s="15" t="n"/>
      <c r="H1949" s="16">
        <f>IF($A1949="","",$D1949+IF($E1949="",0,$E1949)+IF($F1949="",0,$F1949)-IF($G1949="",0,$G1949))</f>
        <v/>
      </c>
      <c r="I1949" s="12" t="n"/>
      <c r="J1949" s="12" t="n"/>
      <c r="K1949" s="12" t="n"/>
      <c r="L1949" s="14" t="n"/>
      <c r="M1949" s="12" t="n"/>
      <c r="N1949" s="12" t="n"/>
      <c r="O1949" s="12" t="n"/>
    </row>
    <row r="1950">
      <c r="A1950" s="12" t="n"/>
      <c r="B1950" s="13">
        <f>IF($A1950="","",IFERROR(INDEX(Emp_Names,MATCH($A1950,Emp_Codes,0)),"NOT FOUND"))</f>
        <v/>
      </c>
      <c r="C1950" s="14" t="n"/>
      <c r="D1950" s="15" t="n"/>
      <c r="E1950" s="15" t="n"/>
      <c r="F1950" s="15" t="n"/>
      <c r="G1950" s="15" t="n"/>
      <c r="H1950" s="16">
        <f>IF($A1950="","",$D1950+IF($E1950="",0,$E1950)+IF($F1950="",0,$F1950)-IF($G1950="",0,$G1950))</f>
        <v/>
      </c>
      <c r="I1950" s="12" t="n"/>
      <c r="J1950" s="12" t="n"/>
      <c r="K1950" s="12" t="n"/>
      <c r="L1950" s="14" t="n"/>
      <c r="M1950" s="12" t="n"/>
      <c r="N1950" s="12" t="n"/>
      <c r="O1950" s="12" t="n"/>
    </row>
    <row r="1951">
      <c r="A1951" s="12" t="n"/>
      <c r="B1951" s="13">
        <f>IF($A1951="","",IFERROR(INDEX(Emp_Names,MATCH($A1951,Emp_Codes,0)),"NOT FOUND"))</f>
        <v/>
      </c>
      <c r="C1951" s="14" t="n"/>
      <c r="D1951" s="15" t="n"/>
      <c r="E1951" s="15" t="n"/>
      <c r="F1951" s="15" t="n"/>
      <c r="G1951" s="15" t="n"/>
      <c r="H1951" s="16">
        <f>IF($A1951="","",$D1951+IF($E1951="",0,$E1951)+IF($F1951="",0,$F1951)-IF($G1951="",0,$G1951))</f>
        <v/>
      </c>
      <c r="I1951" s="12" t="n"/>
      <c r="J1951" s="12" t="n"/>
      <c r="K1951" s="12" t="n"/>
      <c r="L1951" s="14" t="n"/>
      <c r="M1951" s="12" t="n"/>
      <c r="N1951" s="12" t="n"/>
      <c r="O1951" s="12" t="n"/>
    </row>
    <row r="1952">
      <c r="A1952" s="12" t="n"/>
      <c r="B1952" s="13">
        <f>IF($A1952="","",IFERROR(INDEX(Emp_Names,MATCH($A1952,Emp_Codes,0)),"NOT FOUND"))</f>
        <v/>
      </c>
      <c r="C1952" s="14" t="n"/>
      <c r="D1952" s="15" t="n"/>
      <c r="E1952" s="15" t="n"/>
      <c r="F1952" s="15" t="n"/>
      <c r="G1952" s="15" t="n"/>
      <c r="H1952" s="16">
        <f>IF($A1952="","",$D1952+IF($E1952="",0,$E1952)+IF($F1952="",0,$F1952)-IF($G1952="",0,$G1952))</f>
        <v/>
      </c>
      <c r="I1952" s="12" t="n"/>
      <c r="J1952" s="12" t="n"/>
      <c r="K1952" s="12" t="n"/>
      <c r="L1952" s="14" t="n"/>
      <c r="M1952" s="12" t="n"/>
      <c r="N1952" s="12" t="n"/>
      <c r="O1952" s="12" t="n"/>
    </row>
    <row r="1953">
      <c r="A1953" s="12" t="n"/>
      <c r="B1953" s="13">
        <f>IF($A1953="","",IFERROR(INDEX(Emp_Names,MATCH($A1953,Emp_Codes,0)),"NOT FOUND"))</f>
        <v/>
      </c>
      <c r="C1953" s="14" t="n"/>
      <c r="D1953" s="15" t="n"/>
      <c r="E1953" s="15" t="n"/>
      <c r="F1953" s="15" t="n"/>
      <c r="G1953" s="15" t="n"/>
      <c r="H1953" s="16">
        <f>IF($A1953="","",$D1953+IF($E1953="",0,$E1953)+IF($F1953="",0,$F1953)-IF($G1953="",0,$G1953))</f>
        <v/>
      </c>
      <c r="I1953" s="12" t="n"/>
      <c r="J1953" s="12" t="n"/>
      <c r="K1953" s="12" t="n"/>
      <c r="L1953" s="14" t="n"/>
      <c r="M1953" s="12" t="n"/>
      <c r="N1953" s="12" t="n"/>
      <c r="O1953" s="12" t="n"/>
    </row>
    <row r="1954">
      <c r="A1954" s="12" t="n"/>
      <c r="B1954" s="13">
        <f>IF($A1954="","",IFERROR(INDEX(Emp_Names,MATCH($A1954,Emp_Codes,0)),"NOT FOUND"))</f>
        <v/>
      </c>
      <c r="C1954" s="14" t="n"/>
      <c r="D1954" s="15" t="n"/>
      <c r="E1954" s="15" t="n"/>
      <c r="F1954" s="15" t="n"/>
      <c r="G1954" s="15" t="n"/>
      <c r="H1954" s="16">
        <f>IF($A1954="","",$D1954+IF($E1954="",0,$E1954)+IF($F1954="",0,$F1954)-IF($G1954="",0,$G1954))</f>
        <v/>
      </c>
      <c r="I1954" s="12" t="n"/>
      <c r="J1954" s="12" t="n"/>
      <c r="K1954" s="12" t="n"/>
      <c r="L1954" s="14" t="n"/>
      <c r="M1954" s="12" t="n"/>
      <c r="N1954" s="12" t="n"/>
      <c r="O1954" s="12" t="n"/>
    </row>
    <row r="1955">
      <c r="A1955" s="12" t="n"/>
      <c r="B1955" s="13">
        <f>IF($A1955="","",IFERROR(INDEX(Emp_Names,MATCH($A1955,Emp_Codes,0)),"NOT FOUND"))</f>
        <v/>
      </c>
      <c r="C1955" s="14" t="n"/>
      <c r="D1955" s="15" t="n"/>
      <c r="E1955" s="15" t="n"/>
      <c r="F1955" s="15" t="n"/>
      <c r="G1955" s="15" t="n"/>
      <c r="H1955" s="16">
        <f>IF($A1955="","",$D1955+IF($E1955="",0,$E1955)+IF($F1955="",0,$F1955)-IF($G1955="",0,$G1955))</f>
        <v/>
      </c>
      <c r="I1955" s="12" t="n"/>
      <c r="J1955" s="12" t="n"/>
      <c r="K1955" s="12" t="n"/>
      <c r="L1955" s="14" t="n"/>
      <c r="M1955" s="12" t="n"/>
      <c r="N1955" s="12" t="n"/>
      <c r="O1955" s="12" t="n"/>
    </row>
    <row r="1956">
      <c r="A1956" s="12" t="n"/>
      <c r="B1956" s="13">
        <f>IF($A1956="","",IFERROR(INDEX(Emp_Names,MATCH($A1956,Emp_Codes,0)),"NOT FOUND"))</f>
        <v/>
      </c>
      <c r="C1956" s="14" t="n"/>
      <c r="D1956" s="15" t="n"/>
      <c r="E1956" s="15" t="n"/>
      <c r="F1956" s="15" t="n"/>
      <c r="G1956" s="15" t="n"/>
      <c r="H1956" s="16">
        <f>IF($A1956="","",$D1956+IF($E1956="",0,$E1956)+IF($F1956="",0,$F1956)-IF($G1956="",0,$G1956))</f>
        <v/>
      </c>
      <c r="I1956" s="12" t="n"/>
      <c r="J1956" s="12" t="n"/>
      <c r="K1956" s="12" t="n"/>
      <c r="L1956" s="14" t="n"/>
      <c r="M1956" s="12" t="n"/>
      <c r="N1956" s="12" t="n"/>
      <c r="O1956" s="12" t="n"/>
    </row>
    <row r="1957">
      <c r="A1957" s="12" t="n"/>
      <c r="B1957" s="13">
        <f>IF($A1957="","",IFERROR(INDEX(Emp_Names,MATCH($A1957,Emp_Codes,0)),"NOT FOUND"))</f>
        <v/>
      </c>
      <c r="C1957" s="14" t="n"/>
      <c r="D1957" s="15" t="n"/>
      <c r="E1957" s="15" t="n"/>
      <c r="F1957" s="15" t="n"/>
      <c r="G1957" s="15" t="n"/>
      <c r="H1957" s="16">
        <f>IF($A1957="","",$D1957+IF($E1957="",0,$E1957)+IF($F1957="",0,$F1957)-IF($G1957="",0,$G1957))</f>
        <v/>
      </c>
      <c r="I1957" s="12" t="n"/>
      <c r="J1957" s="12" t="n"/>
      <c r="K1957" s="12" t="n"/>
      <c r="L1957" s="14" t="n"/>
      <c r="M1957" s="12" t="n"/>
      <c r="N1957" s="12" t="n"/>
      <c r="O1957" s="12" t="n"/>
    </row>
    <row r="1958">
      <c r="A1958" s="12" t="n"/>
      <c r="B1958" s="13">
        <f>IF($A1958="","",IFERROR(INDEX(Emp_Names,MATCH($A1958,Emp_Codes,0)),"NOT FOUND"))</f>
        <v/>
      </c>
      <c r="C1958" s="14" t="n"/>
      <c r="D1958" s="15" t="n"/>
      <c r="E1958" s="15" t="n"/>
      <c r="F1958" s="15" t="n"/>
      <c r="G1958" s="15" t="n"/>
      <c r="H1958" s="16">
        <f>IF($A1958="","",$D1958+IF($E1958="",0,$E1958)+IF($F1958="",0,$F1958)-IF($G1958="",0,$G1958))</f>
        <v/>
      </c>
      <c r="I1958" s="12" t="n"/>
      <c r="J1958" s="12" t="n"/>
      <c r="K1958" s="12" t="n"/>
      <c r="L1958" s="14" t="n"/>
      <c r="M1958" s="12" t="n"/>
      <c r="N1958" s="12" t="n"/>
      <c r="O1958" s="12" t="n"/>
    </row>
    <row r="1959">
      <c r="A1959" s="12" t="n"/>
      <c r="B1959" s="13">
        <f>IF($A1959="","",IFERROR(INDEX(Emp_Names,MATCH($A1959,Emp_Codes,0)),"NOT FOUND"))</f>
        <v/>
      </c>
      <c r="C1959" s="14" t="n"/>
      <c r="D1959" s="15" t="n"/>
      <c r="E1959" s="15" t="n"/>
      <c r="F1959" s="15" t="n"/>
      <c r="G1959" s="15" t="n"/>
      <c r="H1959" s="16">
        <f>IF($A1959="","",$D1959+IF($E1959="",0,$E1959)+IF($F1959="",0,$F1959)-IF($G1959="",0,$G1959))</f>
        <v/>
      </c>
      <c r="I1959" s="12" t="n"/>
      <c r="J1959" s="12" t="n"/>
      <c r="K1959" s="12" t="n"/>
      <c r="L1959" s="14" t="n"/>
      <c r="M1959" s="12" t="n"/>
      <c r="N1959" s="12" t="n"/>
      <c r="O1959" s="12" t="n"/>
    </row>
    <row r="1960">
      <c r="A1960" s="12" t="n"/>
      <c r="B1960" s="13">
        <f>IF($A1960="","",IFERROR(INDEX(Emp_Names,MATCH($A1960,Emp_Codes,0)),"NOT FOUND"))</f>
        <v/>
      </c>
      <c r="C1960" s="14" t="n"/>
      <c r="D1960" s="15" t="n"/>
      <c r="E1960" s="15" t="n"/>
      <c r="F1960" s="15" t="n"/>
      <c r="G1960" s="15" t="n"/>
      <c r="H1960" s="16">
        <f>IF($A1960="","",$D1960+IF($E1960="",0,$E1960)+IF($F1960="",0,$F1960)-IF($G1960="",0,$G1960))</f>
        <v/>
      </c>
      <c r="I1960" s="12" t="n"/>
      <c r="J1960" s="12" t="n"/>
      <c r="K1960" s="12" t="n"/>
      <c r="L1960" s="14" t="n"/>
      <c r="M1960" s="12" t="n"/>
      <c r="N1960" s="12" t="n"/>
      <c r="O1960" s="12" t="n"/>
    </row>
    <row r="1961">
      <c r="A1961" s="12" t="n"/>
      <c r="B1961" s="13">
        <f>IF($A1961="","",IFERROR(INDEX(Emp_Names,MATCH($A1961,Emp_Codes,0)),"NOT FOUND"))</f>
        <v/>
      </c>
      <c r="C1961" s="14" t="n"/>
      <c r="D1961" s="15" t="n"/>
      <c r="E1961" s="15" t="n"/>
      <c r="F1961" s="15" t="n"/>
      <c r="G1961" s="15" t="n"/>
      <c r="H1961" s="16">
        <f>IF($A1961="","",$D1961+IF($E1961="",0,$E1961)+IF($F1961="",0,$F1961)-IF($G1961="",0,$G1961))</f>
        <v/>
      </c>
      <c r="I1961" s="12" t="n"/>
      <c r="J1961" s="12" t="n"/>
      <c r="K1961" s="12" t="n"/>
      <c r="L1961" s="14" t="n"/>
      <c r="M1961" s="12" t="n"/>
      <c r="N1961" s="12" t="n"/>
      <c r="O1961" s="12" t="n"/>
    </row>
    <row r="1962">
      <c r="A1962" s="12" t="n"/>
      <c r="B1962" s="13">
        <f>IF($A1962="","",IFERROR(INDEX(Emp_Names,MATCH($A1962,Emp_Codes,0)),"NOT FOUND"))</f>
        <v/>
      </c>
      <c r="C1962" s="14" t="n"/>
      <c r="D1962" s="15" t="n"/>
      <c r="E1962" s="15" t="n"/>
      <c r="F1962" s="15" t="n"/>
      <c r="G1962" s="15" t="n"/>
      <c r="H1962" s="16">
        <f>IF($A1962="","",$D1962+IF($E1962="",0,$E1962)+IF($F1962="",0,$F1962)-IF($G1962="",0,$G1962))</f>
        <v/>
      </c>
      <c r="I1962" s="12" t="n"/>
      <c r="J1962" s="12" t="n"/>
      <c r="K1962" s="12" t="n"/>
      <c r="L1962" s="14" t="n"/>
      <c r="M1962" s="12" t="n"/>
      <c r="N1962" s="12" t="n"/>
      <c r="O1962" s="12" t="n"/>
    </row>
    <row r="1963">
      <c r="A1963" s="12" t="n"/>
      <c r="B1963" s="13">
        <f>IF($A1963="","",IFERROR(INDEX(Emp_Names,MATCH($A1963,Emp_Codes,0)),"NOT FOUND"))</f>
        <v/>
      </c>
      <c r="C1963" s="14" t="n"/>
      <c r="D1963" s="15" t="n"/>
      <c r="E1963" s="15" t="n"/>
      <c r="F1963" s="15" t="n"/>
      <c r="G1963" s="15" t="n"/>
      <c r="H1963" s="16">
        <f>IF($A1963="","",$D1963+IF($E1963="",0,$E1963)+IF($F1963="",0,$F1963)-IF($G1963="",0,$G1963))</f>
        <v/>
      </c>
      <c r="I1963" s="12" t="n"/>
      <c r="J1963" s="12" t="n"/>
      <c r="K1963" s="12" t="n"/>
      <c r="L1963" s="14" t="n"/>
      <c r="M1963" s="12" t="n"/>
      <c r="N1963" s="12" t="n"/>
      <c r="O1963" s="12" t="n"/>
    </row>
    <row r="1964">
      <c r="A1964" s="12" t="n"/>
      <c r="B1964" s="13">
        <f>IF($A1964="","",IFERROR(INDEX(Emp_Names,MATCH($A1964,Emp_Codes,0)),"NOT FOUND"))</f>
        <v/>
      </c>
      <c r="C1964" s="14" t="n"/>
      <c r="D1964" s="15" t="n"/>
      <c r="E1964" s="15" t="n"/>
      <c r="F1964" s="15" t="n"/>
      <c r="G1964" s="15" t="n"/>
      <c r="H1964" s="16">
        <f>IF($A1964="","",$D1964+IF($E1964="",0,$E1964)+IF($F1964="",0,$F1964)-IF($G1964="",0,$G1964))</f>
        <v/>
      </c>
      <c r="I1964" s="12" t="n"/>
      <c r="J1964" s="12" t="n"/>
      <c r="K1964" s="12" t="n"/>
      <c r="L1964" s="14" t="n"/>
      <c r="M1964" s="12" t="n"/>
      <c r="N1964" s="12" t="n"/>
      <c r="O1964" s="12" t="n"/>
    </row>
    <row r="1965">
      <c r="A1965" s="12" t="n"/>
      <c r="B1965" s="13">
        <f>IF($A1965="","",IFERROR(INDEX(Emp_Names,MATCH($A1965,Emp_Codes,0)),"NOT FOUND"))</f>
        <v/>
      </c>
      <c r="C1965" s="14" t="n"/>
      <c r="D1965" s="15" t="n"/>
      <c r="E1965" s="15" t="n"/>
      <c r="F1965" s="15" t="n"/>
      <c r="G1965" s="15" t="n"/>
      <c r="H1965" s="16">
        <f>IF($A1965="","",$D1965+IF($E1965="",0,$E1965)+IF($F1965="",0,$F1965)-IF($G1965="",0,$G1965))</f>
        <v/>
      </c>
      <c r="I1965" s="12" t="n"/>
      <c r="J1965" s="12" t="n"/>
      <c r="K1965" s="12" t="n"/>
      <c r="L1965" s="14" t="n"/>
      <c r="M1965" s="12" t="n"/>
      <c r="N1965" s="12" t="n"/>
      <c r="O1965" s="12" t="n"/>
    </row>
    <row r="1966">
      <c r="A1966" s="12" t="n"/>
      <c r="B1966" s="13">
        <f>IF($A1966="","",IFERROR(INDEX(Emp_Names,MATCH($A1966,Emp_Codes,0)),"NOT FOUND"))</f>
        <v/>
      </c>
      <c r="C1966" s="14" t="n"/>
      <c r="D1966" s="15" t="n"/>
      <c r="E1966" s="15" t="n"/>
      <c r="F1966" s="15" t="n"/>
      <c r="G1966" s="15" t="n"/>
      <c r="H1966" s="16">
        <f>IF($A1966="","",$D1966+IF($E1966="",0,$E1966)+IF($F1966="",0,$F1966)-IF($G1966="",0,$G1966))</f>
        <v/>
      </c>
      <c r="I1966" s="12" t="n"/>
      <c r="J1966" s="12" t="n"/>
      <c r="K1966" s="12" t="n"/>
      <c r="L1966" s="14" t="n"/>
      <c r="M1966" s="12" t="n"/>
      <c r="N1966" s="12" t="n"/>
      <c r="O1966" s="12" t="n"/>
    </row>
    <row r="1967">
      <c r="A1967" s="12" t="n"/>
      <c r="B1967" s="13">
        <f>IF($A1967="","",IFERROR(INDEX(Emp_Names,MATCH($A1967,Emp_Codes,0)),"NOT FOUND"))</f>
        <v/>
      </c>
      <c r="C1967" s="14" t="n"/>
      <c r="D1967" s="15" t="n"/>
      <c r="E1967" s="15" t="n"/>
      <c r="F1967" s="15" t="n"/>
      <c r="G1967" s="15" t="n"/>
      <c r="H1967" s="16">
        <f>IF($A1967="","",$D1967+IF($E1967="",0,$E1967)+IF($F1967="",0,$F1967)-IF($G1967="",0,$G1967))</f>
        <v/>
      </c>
      <c r="I1967" s="12" t="n"/>
      <c r="J1967" s="12" t="n"/>
      <c r="K1967" s="12" t="n"/>
      <c r="L1967" s="14" t="n"/>
      <c r="M1967" s="12" t="n"/>
      <c r="N1967" s="12" t="n"/>
      <c r="O1967" s="12" t="n"/>
    </row>
    <row r="1968">
      <c r="A1968" s="12" t="n"/>
      <c r="B1968" s="13">
        <f>IF($A1968="","",IFERROR(INDEX(Emp_Names,MATCH($A1968,Emp_Codes,0)),"NOT FOUND"))</f>
        <v/>
      </c>
      <c r="C1968" s="14" t="n"/>
      <c r="D1968" s="15" t="n"/>
      <c r="E1968" s="15" t="n"/>
      <c r="F1968" s="15" t="n"/>
      <c r="G1968" s="15" t="n"/>
      <c r="H1968" s="16">
        <f>IF($A1968="","",$D1968+IF($E1968="",0,$E1968)+IF($F1968="",0,$F1968)-IF($G1968="",0,$G1968))</f>
        <v/>
      </c>
      <c r="I1968" s="12" t="n"/>
      <c r="J1968" s="12" t="n"/>
      <c r="K1968" s="12" t="n"/>
      <c r="L1968" s="14" t="n"/>
      <c r="M1968" s="12" t="n"/>
      <c r="N1968" s="12" t="n"/>
      <c r="O1968" s="12" t="n"/>
    </row>
    <row r="1969">
      <c r="A1969" s="12" t="n"/>
      <c r="B1969" s="13">
        <f>IF($A1969="","",IFERROR(INDEX(Emp_Names,MATCH($A1969,Emp_Codes,0)),"NOT FOUND"))</f>
        <v/>
      </c>
      <c r="C1969" s="14" t="n"/>
      <c r="D1969" s="15" t="n"/>
      <c r="E1969" s="15" t="n"/>
      <c r="F1969" s="15" t="n"/>
      <c r="G1969" s="15" t="n"/>
      <c r="H1969" s="16">
        <f>IF($A1969="","",$D1969+IF($E1969="",0,$E1969)+IF($F1969="",0,$F1969)-IF($G1969="",0,$G1969))</f>
        <v/>
      </c>
      <c r="I1969" s="12" t="n"/>
      <c r="J1969" s="12" t="n"/>
      <c r="K1969" s="12" t="n"/>
      <c r="L1969" s="14" t="n"/>
      <c r="M1969" s="12" t="n"/>
      <c r="N1969" s="12" t="n"/>
      <c r="O1969" s="12" t="n"/>
    </row>
    <row r="1970">
      <c r="A1970" s="12" t="n"/>
      <c r="B1970" s="13">
        <f>IF($A1970="","",IFERROR(INDEX(Emp_Names,MATCH($A1970,Emp_Codes,0)),"NOT FOUND"))</f>
        <v/>
      </c>
      <c r="C1970" s="14" t="n"/>
      <c r="D1970" s="15" t="n"/>
      <c r="E1970" s="15" t="n"/>
      <c r="F1970" s="15" t="n"/>
      <c r="G1970" s="15" t="n"/>
      <c r="H1970" s="16">
        <f>IF($A1970="","",$D1970+IF($E1970="",0,$E1970)+IF($F1970="",0,$F1970)-IF($G1970="",0,$G1970))</f>
        <v/>
      </c>
      <c r="I1970" s="12" t="n"/>
      <c r="J1970" s="12" t="n"/>
      <c r="K1970" s="12" t="n"/>
      <c r="L1970" s="14" t="n"/>
      <c r="M1970" s="12" t="n"/>
      <c r="N1970" s="12" t="n"/>
      <c r="O1970" s="12" t="n"/>
    </row>
    <row r="1971">
      <c r="A1971" s="12" t="n"/>
      <c r="B1971" s="13">
        <f>IF($A1971="","",IFERROR(INDEX(Emp_Names,MATCH($A1971,Emp_Codes,0)),"NOT FOUND"))</f>
        <v/>
      </c>
      <c r="C1971" s="14" t="n"/>
      <c r="D1971" s="15" t="n"/>
      <c r="E1971" s="15" t="n"/>
      <c r="F1971" s="15" t="n"/>
      <c r="G1971" s="15" t="n"/>
      <c r="H1971" s="16">
        <f>IF($A1971="","",$D1971+IF($E1971="",0,$E1971)+IF($F1971="",0,$F1971)-IF($G1971="",0,$G1971))</f>
        <v/>
      </c>
      <c r="I1971" s="12" t="n"/>
      <c r="J1971" s="12" t="n"/>
      <c r="K1971" s="12" t="n"/>
      <c r="L1971" s="14" t="n"/>
      <c r="M1971" s="12" t="n"/>
      <c r="N1971" s="12" t="n"/>
      <c r="O1971" s="12" t="n"/>
    </row>
    <row r="1972">
      <c r="A1972" s="12" t="n"/>
      <c r="B1972" s="13">
        <f>IF($A1972="","",IFERROR(INDEX(Emp_Names,MATCH($A1972,Emp_Codes,0)),"NOT FOUND"))</f>
        <v/>
      </c>
      <c r="C1972" s="14" t="n"/>
      <c r="D1972" s="15" t="n"/>
      <c r="E1972" s="15" t="n"/>
      <c r="F1972" s="15" t="n"/>
      <c r="G1972" s="15" t="n"/>
      <c r="H1972" s="16">
        <f>IF($A1972="","",$D1972+IF($E1972="",0,$E1972)+IF($F1972="",0,$F1972)-IF($G1972="",0,$G1972))</f>
        <v/>
      </c>
      <c r="I1972" s="12" t="n"/>
      <c r="J1972" s="12" t="n"/>
      <c r="K1972" s="12" t="n"/>
      <c r="L1972" s="14" t="n"/>
      <c r="M1972" s="12" t="n"/>
      <c r="N1972" s="12" t="n"/>
      <c r="O1972" s="12" t="n"/>
    </row>
    <row r="1973">
      <c r="A1973" s="12" t="n"/>
      <c r="B1973" s="13">
        <f>IF($A1973="","",IFERROR(INDEX(Emp_Names,MATCH($A1973,Emp_Codes,0)),"NOT FOUND"))</f>
        <v/>
      </c>
      <c r="C1973" s="14" t="n"/>
      <c r="D1973" s="15" t="n"/>
      <c r="E1973" s="15" t="n"/>
      <c r="F1973" s="15" t="n"/>
      <c r="G1973" s="15" t="n"/>
      <c r="H1973" s="16">
        <f>IF($A1973="","",$D1973+IF($E1973="",0,$E1973)+IF($F1973="",0,$F1973)-IF($G1973="",0,$G1973))</f>
        <v/>
      </c>
      <c r="I1973" s="12" t="n"/>
      <c r="J1973" s="12" t="n"/>
      <c r="K1973" s="12" t="n"/>
      <c r="L1973" s="14" t="n"/>
      <c r="M1973" s="12" t="n"/>
      <c r="N1973" s="12" t="n"/>
      <c r="O1973" s="12" t="n"/>
    </row>
    <row r="1974">
      <c r="A1974" s="12" t="n"/>
      <c r="B1974" s="13">
        <f>IF($A1974="","",IFERROR(INDEX(Emp_Names,MATCH($A1974,Emp_Codes,0)),"NOT FOUND"))</f>
        <v/>
      </c>
      <c r="C1974" s="14" t="n"/>
      <c r="D1974" s="15" t="n"/>
      <c r="E1974" s="15" t="n"/>
      <c r="F1974" s="15" t="n"/>
      <c r="G1974" s="15" t="n"/>
      <c r="H1974" s="16">
        <f>IF($A1974="","",$D1974+IF($E1974="",0,$E1974)+IF($F1974="",0,$F1974)-IF($G1974="",0,$G1974))</f>
        <v/>
      </c>
      <c r="I1974" s="12" t="n"/>
      <c r="J1974" s="12" t="n"/>
      <c r="K1974" s="12" t="n"/>
      <c r="L1974" s="14" t="n"/>
      <c r="M1974" s="12" t="n"/>
      <c r="N1974" s="12" t="n"/>
      <c r="O1974" s="12" t="n"/>
    </row>
    <row r="1975">
      <c r="A1975" s="12" t="n"/>
      <c r="B1975" s="13">
        <f>IF($A1975="","",IFERROR(INDEX(Emp_Names,MATCH($A1975,Emp_Codes,0)),"NOT FOUND"))</f>
        <v/>
      </c>
      <c r="C1975" s="14" t="n"/>
      <c r="D1975" s="15" t="n"/>
      <c r="E1975" s="15" t="n"/>
      <c r="F1975" s="15" t="n"/>
      <c r="G1975" s="15" t="n"/>
      <c r="H1975" s="16">
        <f>IF($A1975="","",$D1975+IF($E1975="",0,$E1975)+IF($F1975="",0,$F1975)-IF($G1975="",0,$G1975))</f>
        <v/>
      </c>
      <c r="I1975" s="12" t="n"/>
      <c r="J1975" s="12" t="n"/>
      <c r="K1975" s="12" t="n"/>
      <c r="L1975" s="14" t="n"/>
      <c r="M1975" s="12" t="n"/>
      <c r="N1975" s="12" t="n"/>
      <c r="O1975" s="12" t="n"/>
    </row>
    <row r="1976">
      <c r="A1976" s="12" t="n"/>
      <c r="B1976" s="13">
        <f>IF($A1976="","",IFERROR(INDEX(Emp_Names,MATCH($A1976,Emp_Codes,0)),"NOT FOUND"))</f>
        <v/>
      </c>
      <c r="C1976" s="14" t="n"/>
      <c r="D1976" s="15" t="n"/>
      <c r="E1976" s="15" t="n"/>
      <c r="F1976" s="15" t="n"/>
      <c r="G1976" s="15" t="n"/>
      <c r="H1976" s="16">
        <f>IF($A1976="","",$D1976+IF($E1976="",0,$E1976)+IF($F1976="",0,$F1976)-IF($G1976="",0,$G1976))</f>
        <v/>
      </c>
      <c r="I1976" s="12" t="n"/>
      <c r="J1976" s="12" t="n"/>
      <c r="K1976" s="12" t="n"/>
      <c r="L1976" s="14" t="n"/>
      <c r="M1976" s="12" t="n"/>
      <c r="N1976" s="12" t="n"/>
      <c r="O1976" s="12" t="n"/>
    </row>
    <row r="1977">
      <c r="A1977" s="12" t="n"/>
      <c r="B1977" s="13">
        <f>IF($A1977="","",IFERROR(INDEX(Emp_Names,MATCH($A1977,Emp_Codes,0)),"NOT FOUND"))</f>
        <v/>
      </c>
      <c r="C1977" s="14" t="n"/>
      <c r="D1977" s="15" t="n"/>
      <c r="E1977" s="15" t="n"/>
      <c r="F1977" s="15" t="n"/>
      <c r="G1977" s="15" t="n"/>
      <c r="H1977" s="16">
        <f>IF($A1977="","",$D1977+IF($E1977="",0,$E1977)+IF($F1977="",0,$F1977)-IF($G1977="",0,$G1977))</f>
        <v/>
      </c>
      <c r="I1977" s="12" t="n"/>
      <c r="J1977" s="12" t="n"/>
      <c r="K1977" s="12" t="n"/>
      <c r="L1977" s="14" t="n"/>
      <c r="M1977" s="12" t="n"/>
      <c r="N1977" s="12" t="n"/>
      <c r="O1977" s="12" t="n"/>
    </row>
    <row r="1978">
      <c r="A1978" s="12" t="n"/>
      <c r="B1978" s="13">
        <f>IF($A1978="","",IFERROR(INDEX(Emp_Names,MATCH($A1978,Emp_Codes,0)),"NOT FOUND"))</f>
        <v/>
      </c>
      <c r="C1978" s="14" t="n"/>
      <c r="D1978" s="15" t="n"/>
      <c r="E1978" s="15" t="n"/>
      <c r="F1978" s="15" t="n"/>
      <c r="G1978" s="15" t="n"/>
      <c r="H1978" s="16">
        <f>IF($A1978="","",$D1978+IF($E1978="",0,$E1978)+IF($F1978="",0,$F1978)-IF($G1978="",0,$G1978))</f>
        <v/>
      </c>
      <c r="I1978" s="12" t="n"/>
      <c r="J1978" s="12" t="n"/>
      <c r="K1978" s="12" t="n"/>
      <c r="L1978" s="14" t="n"/>
      <c r="M1978" s="12" t="n"/>
      <c r="N1978" s="12" t="n"/>
      <c r="O1978" s="12" t="n"/>
    </row>
    <row r="1979">
      <c r="A1979" s="12" t="n"/>
      <c r="B1979" s="13">
        <f>IF($A1979="","",IFERROR(INDEX(Emp_Names,MATCH($A1979,Emp_Codes,0)),"NOT FOUND"))</f>
        <v/>
      </c>
      <c r="C1979" s="14" t="n"/>
      <c r="D1979" s="15" t="n"/>
      <c r="E1979" s="15" t="n"/>
      <c r="F1979" s="15" t="n"/>
      <c r="G1979" s="15" t="n"/>
      <c r="H1979" s="16">
        <f>IF($A1979="","",$D1979+IF($E1979="",0,$E1979)+IF($F1979="",0,$F1979)-IF($G1979="",0,$G1979))</f>
        <v/>
      </c>
      <c r="I1979" s="12" t="n"/>
      <c r="J1979" s="12" t="n"/>
      <c r="K1979" s="12" t="n"/>
      <c r="L1979" s="14" t="n"/>
      <c r="M1979" s="12" t="n"/>
      <c r="N1979" s="12" t="n"/>
      <c r="O1979" s="12" t="n"/>
    </row>
    <row r="1980">
      <c r="A1980" s="12" t="n"/>
      <c r="B1980" s="13">
        <f>IF($A1980="","",IFERROR(INDEX(Emp_Names,MATCH($A1980,Emp_Codes,0)),"NOT FOUND"))</f>
        <v/>
      </c>
      <c r="C1980" s="14" t="n"/>
      <c r="D1980" s="15" t="n"/>
      <c r="E1980" s="15" t="n"/>
      <c r="F1980" s="15" t="n"/>
      <c r="G1980" s="15" t="n"/>
      <c r="H1980" s="16">
        <f>IF($A1980="","",$D1980+IF($E1980="",0,$E1980)+IF($F1980="",0,$F1980)-IF($G1980="",0,$G1980))</f>
        <v/>
      </c>
      <c r="I1980" s="12" t="n"/>
      <c r="J1980" s="12" t="n"/>
      <c r="K1980" s="12" t="n"/>
      <c r="L1980" s="14" t="n"/>
      <c r="M1980" s="12" t="n"/>
      <c r="N1980" s="12" t="n"/>
      <c r="O1980" s="12" t="n"/>
    </row>
    <row r="1981">
      <c r="A1981" s="12" t="n"/>
      <c r="B1981" s="13">
        <f>IF($A1981="","",IFERROR(INDEX(Emp_Names,MATCH($A1981,Emp_Codes,0)),"NOT FOUND"))</f>
        <v/>
      </c>
      <c r="C1981" s="14" t="n"/>
      <c r="D1981" s="15" t="n"/>
      <c r="E1981" s="15" t="n"/>
      <c r="F1981" s="15" t="n"/>
      <c r="G1981" s="15" t="n"/>
      <c r="H1981" s="16">
        <f>IF($A1981="","",$D1981+IF($E1981="",0,$E1981)+IF($F1981="",0,$F1981)-IF($G1981="",0,$G1981))</f>
        <v/>
      </c>
      <c r="I1981" s="12" t="n"/>
      <c r="J1981" s="12" t="n"/>
      <c r="K1981" s="12" t="n"/>
      <c r="L1981" s="14" t="n"/>
      <c r="M1981" s="12" t="n"/>
      <c r="N1981" s="12" t="n"/>
      <c r="O1981" s="12" t="n"/>
    </row>
    <row r="1982">
      <c r="A1982" s="12" t="n"/>
      <c r="B1982" s="13">
        <f>IF($A1982="","",IFERROR(INDEX(Emp_Names,MATCH($A1982,Emp_Codes,0)),"NOT FOUND"))</f>
        <v/>
      </c>
      <c r="C1982" s="14" t="n"/>
      <c r="D1982" s="15" t="n"/>
      <c r="E1982" s="15" t="n"/>
      <c r="F1982" s="15" t="n"/>
      <c r="G1982" s="15" t="n"/>
      <c r="H1982" s="16">
        <f>IF($A1982="","",$D1982+IF($E1982="",0,$E1982)+IF($F1982="",0,$F1982)-IF($G1982="",0,$G1982))</f>
        <v/>
      </c>
      <c r="I1982" s="12" t="n"/>
      <c r="J1982" s="12" t="n"/>
      <c r="K1982" s="12" t="n"/>
      <c r="L1982" s="14" t="n"/>
      <c r="M1982" s="12" t="n"/>
      <c r="N1982" s="12" t="n"/>
      <c r="O1982" s="12" t="n"/>
    </row>
    <row r="1983">
      <c r="A1983" s="12" t="n"/>
      <c r="B1983" s="13">
        <f>IF($A1983="","",IFERROR(INDEX(Emp_Names,MATCH($A1983,Emp_Codes,0)),"NOT FOUND"))</f>
        <v/>
      </c>
      <c r="C1983" s="14" t="n"/>
      <c r="D1983" s="15" t="n"/>
      <c r="E1983" s="15" t="n"/>
      <c r="F1983" s="15" t="n"/>
      <c r="G1983" s="15" t="n"/>
      <c r="H1983" s="16">
        <f>IF($A1983="","",$D1983+IF($E1983="",0,$E1983)+IF($F1983="",0,$F1983)-IF($G1983="",0,$G1983))</f>
        <v/>
      </c>
      <c r="I1983" s="12" t="n"/>
      <c r="J1983" s="12" t="n"/>
      <c r="K1983" s="12" t="n"/>
      <c r="L1983" s="14" t="n"/>
      <c r="M1983" s="12" t="n"/>
      <c r="N1983" s="12" t="n"/>
      <c r="O1983" s="12" t="n"/>
    </row>
    <row r="1984">
      <c r="A1984" s="12" t="n"/>
      <c r="B1984" s="13">
        <f>IF($A1984="","",IFERROR(INDEX(Emp_Names,MATCH($A1984,Emp_Codes,0)),"NOT FOUND"))</f>
        <v/>
      </c>
      <c r="C1984" s="14" t="n"/>
      <c r="D1984" s="15" t="n"/>
      <c r="E1984" s="15" t="n"/>
      <c r="F1984" s="15" t="n"/>
      <c r="G1984" s="15" t="n"/>
      <c r="H1984" s="16">
        <f>IF($A1984="","",$D1984+IF($E1984="",0,$E1984)+IF($F1984="",0,$F1984)-IF($G1984="",0,$G1984))</f>
        <v/>
      </c>
      <c r="I1984" s="12" t="n"/>
      <c r="J1984" s="12" t="n"/>
      <c r="K1984" s="12" t="n"/>
      <c r="L1984" s="14" t="n"/>
      <c r="M1984" s="12" t="n"/>
      <c r="N1984" s="12" t="n"/>
      <c r="O1984" s="12" t="n"/>
    </row>
    <row r="1985">
      <c r="A1985" s="12" t="n"/>
      <c r="B1985" s="13">
        <f>IF($A1985="","",IFERROR(INDEX(Emp_Names,MATCH($A1985,Emp_Codes,0)),"NOT FOUND"))</f>
        <v/>
      </c>
      <c r="C1985" s="14" t="n"/>
      <c r="D1985" s="15" t="n"/>
      <c r="E1985" s="15" t="n"/>
      <c r="F1985" s="15" t="n"/>
      <c r="G1985" s="15" t="n"/>
      <c r="H1985" s="16">
        <f>IF($A1985="","",$D1985+IF($E1985="",0,$E1985)+IF($F1985="",0,$F1985)-IF($G1985="",0,$G1985))</f>
        <v/>
      </c>
      <c r="I1985" s="12" t="n"/>
      <c r="J1985" s="12" t="n"/>
      <c r="K1985" s="12" t="n"/>
      <c r="L1985" s="14" t="n"/>
      <c r="M1985" s="12" t="n"/>
      <c r="N1985" s="12" t="n"/>
      <c r="O1985" s="12" t="n"/>
    </row>
    <row r="1986">
      <c r="A1986" s="12" t="n"/>
      <c r="B1986" s="13">
        <f>IF($A1986="","",IFERROR(INDEX(Emp_Names,MATCH($A1986,Emp_Codes,0)),"NOT FOUND"))</f>
        <v/>
      </c>
      <c r="C1986" s="14" t="n"/>
      <c r="D1986" s="15" t="n"/>
      <c r="E1986" s="15" t="n"/>
      <c r="F1986" s="15" t="n"/>
      <c r="G1986" s="15" t="n"/>
      <c r="H1986" s="16">
        <f>IF($A1986="","",$D1986+IF($E1986="",0,$E1986)+IF($F1986="",0,$F1986)-IF($G1986="",0,$G1986))</f>
        <v/>
      </c>
      <c r="I1986" s="12" t="n"/>
      <c r="J1986" s="12" t="n"/>
      <c r="K1986" s="12" t="n"/>
      <c r="L1986" s="14" t="n"/>
      <c r="M1986" s="12" t="n"/>
      <c r="N1986" s="12" t="n"/>
      <c r="O1986" s="12" t="n"/>
    </row>
    <row r="1987">
      <c r="A1987" s="12" t="n"/>
      <c r="B1987" s="13">
        <f>IF($A1987="","",IFERROR(INDEX(Emp_Names,MATCH($A1987,Emp_Codes,0)),"NOT FOUND"))</f>
        <v/>
      </c>
      <c r="C1987" s="14" t="n"/>
      <c r="D1987" s="15" t="n"/>
      <c r="E1987" s="15" t="n"/>
      <c r="F1987" s="15" t="n"/>
      <c r="G1987" s="15" t="n"/>
      <c r="H1987" s="16">
        <f>IF($A1987="","",$D1987+IF($E1987="",0,$E1987)+IF($F1987="",0,$F1987)-IF($G1987="",0,$G1987))</f>
        <v/>
      </c>
      <c r="I1987" s="12" t="n"/>
      <c r="J1987" s="12" t="n"/>
      <c r="K1987" s="12" t="n"/>
      <c r="L1987" s="14" t="n"/>
      <c r="M1987" s="12" t="n"/>
      <c r="N1987" s="12" t="n"/>
      <c r="O1987" s="12" t="n"/>
    </row>
    <row r="1988">
      <c r="A1988" s="12" t="n"/>
      <c r="B1988" s="13">
        <f>IF($A1988="","",IFERROR(INDEX(Emp_Names,MATCH($A1988,Emp_Codes,0)),"NOT FOUND"))</f>
        <v/>
      </c>
      <c r="C1988" s="14" t="n"/>
      <c r="D1988" s="15" t="n"/>
      <c r="E1988" s="15" t="n"/>
      <c r="F1988" s="15" t="n"/>
      <c r="G1988" s="15" t="n"/>
      <c r="H1988" s="16">
        <f>IF($A1988="","",$D1988+IF($E1988="",0,$E1988)+IF($F1988="",0,$F1988)-IF($G1988="",0,$G1988))</f>
        <v/>
      </c>
      <c r="I1988" s="12" t="n"/>
      <c r="J1988" s="12" t="n"/>
      <c r="K1988" s="12" t="n"/>
      <c r="L1988" s="14" t="n"/>
      <c r="M1988" s="12" t="n"/>
      <c r="N1988" s="12" t="n"/>
      <c r="O1988" s="12" t="n"/>
    </row>
    <row r="1989">
      <c r="A1989" s="12" t="n"/>
      <c r="B1989" s="13">
        <f>IF($A1989="","",IFERROR(INDEX(Emp_Names,MATCH($A1989,Emp_Codes,0)),"NOT FOUND"))</f>
        <v/>
      </c>
      <c r="C1989" s="14" t="n"/>
      <c r="D1989" s="15" t="n"/>
      <c r="E1989" s="15" t="n"/>
      <c r="F1989" s="15" t="n"/>
      <c r="G1989" s="15" t="n"/>
      <c r="H1989" s="16">
        <f>IF($A1989="","",$D1989+IF($E1989="",0,$E1989)+IF($F1989="",0,$F1989)-IF($G1989="",0,$G1989))</f>
        <v/>
      </c>
      <c r="I1989" s="12" t="n"/>
      <c r="J1989" s="12" t="n"/>
      <c r="K1989" s="12" t="n"/>
      <c r="L1989" s="14" t="n"/>
      <c r="M1989" s="12" t="n"/>
      <c r="N1989" s="12" t="n"/>
      <c r="O1989" s="12" t="n"/>
    </row>
    <row r="1990">
      <c r="A1990" s="12" t="n"/>
      <c r="B1990" s="13">
        <f>IF($A1990="","",IFERROR(INDEX(Emp_Names,MATCH($A1990,Emp_Codes,0)),"NOT FOUND"))</f>
        <v/>
      </c>
      <c r="C1990" s="14" t="n"/>
      <c r="D1990" s="15" t="n"/>
      <c r="E1990" s="15" t="n"/>
      <c r="F1990" s="15" t="n"/>
      <c r="G1990" s="15" t="n"/>
      <c r="H1990" s="16">
        <f>IF($A1990="","",$D1990+IF($E1990="",0,$E1990)+IF($F1990="",0,$F1990)-IF($G1990="",0,$G1990))</f>
        <v/>
      </c>
      <c r="I1990" s="12" t="n"/>
      <c r="J1990" s="12" t="n"/>
      <c r="K1990" s="12" t="n"/>
      <c r="L1990" s="14" t="n"/>
      <c r="M1990" s="12" t="n"/>
      <c r="N1990" s="12" t="n"/>
      <c r="O1990" s="12" t="n"/>
    </row>
    <row r="1991">
      <c r="A1991" s="12" t="n"/>
      <c r="B1991" s="13">
        <f>IF($A1991="","",IFERROR(INDEX(Emp_Names,MATCH($A1991,Emp_Codes,0)),"NOT FOUND"))</f>
        <v/>
      </c>
      <c r="C1991" s="14" t="n"/>
      <c r="D1991" s="15" t="n"/>
      <c r="E1991" s="15" t="n"/>
      <c r="F1991" s="15" t="n"/>
      <c r="G1991" s="15" t="n"/>
      <c r="H1991" s="16">
        <f>IF($A1991="","",$D1991+IF($E1991="",0,$E1991)+IF($F1991="",0,$F1991)-IF($G1991="",0,$G1991))</f>
        <v/>
      </c>
      <c r="I1991" s="12" t="n"/>
      <c r="J1991" s="12" t="n"/>
      <c r="K1991" s="12" t="n"/>
      <c r="L1991" s="14" t="n"/>
      <c r="M1991" s="12" t="n"/>
      <c r="N1991" s="12" t="n"/>
      <c r="O1991" s="12" t="n"/>
    </row>
    <row r="1992">
      <c r="A1992" s="12" t="n"/>
      <c r="B1992" s="13">
        <f>IF($A1992="","",IFERROR(INDEX(Emp_Names,MATCH($A1992,Emp_Codes,0)),"NOT FOUND"))</f>
        <v/>
      </c>
      <c r="C1992" s="14" t="n"/>
      <c r="D1992" s="15" t="n"/>
      <c r="E1992" s="15" t="n"/>
      <c r="F1992" s="15" t="n"/>
      <c r="G1992" s="15" t="n"/>
      <c r="H1992" s="16">
        <f>IF($A1992="","",$D1992+IF($E1992="",0,$E1992)+IF($F1992="",0,$F1992)-IF($G1992="",0,$G1992))</f>
        <v/>
      </c>
      <c r="I1992" s="12" t="n"/>
      <c r="J1992" s="12" t="n"/>
      <c r="K1992" s="12" t="n"/>
      <c r="L1992" s="14" t="n"/>
      <c r="M1992" s="12" t="n"/>
      <c r="N1992" s="12" t="n"/>
      <c r="O1992" s="12" t="n"/>
    </row>
    <row r="1993">
      <c r="A1993" s="12" t="n"/>
      <c r="B1993" s="13">
        <f>IF($A1993="","",IFERROR(INDEX(Emp_Names,MATCH($A1993,Emp_Codes,0)),"NOT FOUND"))</f>
        <v/>
      </c>
      <c r="C1993" s="14" t="n"/>
      <c r="D1993" s="15" t="n"/>
      <c r="E1993" s="15" t="n"/>
      <c r="F1993" s="15" t="n"/>
      <c r="G1993" s="15" t="n"/>
      <c r="H1993" s="16">
        <f>IF($A1993="","",$D1993+IF($E1993="",0,$E1993)+IF($F1993="",0,$F1993)-IF($G1993="",0,$G1993))</f>
        <v/>
      </c>
      <c r="I1993" s="12" t="n"/>
      <c r="J1993" s="12" t="n"/>
      <c r="K1993" s="12" t="n"/>
      <c r="L1993" s="14" t="n"/>
      <c r="M1993" s="12" t="n"/>
      <c r="N1993" s="12" t="n"/>
      <c r="O1993" s="12" t="n"/>
    </row>
    <row r="1994">
      <c r="A1994" s="12" t="n"/>
      <c r="B1994" s="13">
        <f>IF($A1994="","",IFERROR(INDEX(Emp_Names,MATCH($A1994,Emp_Codes,0)),"NOT FOUND"))</f>
        <v/>
      </c>
      <c r="C1994" s="14" t="n"/>
      <c r="D1994" s="15" t="n"/>
      <c r="E1994" s="15" t="n"/>
      <c r="F1994" s="15" t="n"/>
      <c r="G1994" s="15" t="n"/>
      <c r="H1994" s="16">
        <f>IF($A1994="","",$D1994+IF($E1994="",0,$E1994)+IF($F1994="",0,$F1994)-IF($G1994="",0,$G1994))</f>
        <v/>
      </c>
      <c r="I1994" s="12" t="n"/>
      <c r="J1994" s="12" t="n"/>
      <c r="K1994" s="12" t="n"/>
      <c r="L1994" s="14" t="n"/>
      <c r="M1994" s="12" t="n"/>
      <c r="N1994" s="12" t="n"/>
      <c r="O1994" s="12" t="n"/>
    </row>
    <row r="1995">
      <c r="A1995" s="12" t="n"/>
      <c r="B1995" s="13">
        <f>IF($A1995="","",IFERROR(INDEX(Emp_Names,MATCH($A1995,Emp_Codes,0)),"NOT FOUND"))</f>
        <v/>
      </c>
      <c r="C1995" s="14" t="n"/>
      <c r="D1995" s="15" t="n"/>
      <c r="E1995" s="15" t="n"/>
      <c r="F1995" s="15" t="n"/>
      <c r="G1995" s="15" t="n"/>
      <c r="H1995" s="16">
        <f>IF($A1995="","",$D1995+IF($E1995="",0,$E1995)+IF($F1995="",0,$F1995)-IF($G1995="",0,$G1995))</f>
        <v/>
      </c>
      <c r="I1995" s="12" t="n"/>
      <c r="J1995" s="12" t="n"/>
      <c r="K1995" s="12" t="n"/>
      <c r="L1995" s="14" t="n"/>
      <c r="M1995" s="12" t="n"/>
      <c r="N1995" s="12" t="n"/>
      <c r="O1995" s="12" t="n"/>
    </row>
    <row r="1996">
      <c r="A1996" s="12" t="n"/>
      <c r="B1996" s="13">
        <f>IF($A1996="","",IFERROR(INDEX(Emp_Names,MATCH($A1996,Emp_Codes,0)),"NOT FOUND"))</f>
        <v/>
      </c>
      <c r="C1996" s="14" t="n"/>
      <c r="D1996" s="15" t="n"/>
      <c r="E1996" s="15" t="n"/>
      <c r="F1996" s="15" t="n"/>
      <c r="G1996" s="15" t="n"/>
      <c r="H1996" s="16">
        <f>IF($A1996="","",$D1996+IF($E1996="",0,$E1996)+IF($F1996="",0,$F1996)-IF($G1996="",0,$G1996))</f>
        <v/>
      </c>
      <c r="I1996" s="12" t="n"/>
      <c r="J1996" s="12" t="n"/>
      <c r="K1996" s="12" t="n"/>
      <c r="L1996" s="14" t="n"/>
      <c r="M1996" s="12" t="n"/>
      <c r="N1996" s="12" t="n"/>
      <c r="O1996" s="12" t="n"/>
    </row>
    <row r="1997">
      <c r="A1997" s="12" t="n"/>
      <c r="B1997" s="13">
        <f>IF($A1997="","",IFERROR(INDEX(Emp_Names,MATCH($A1997,Emp_Codes,0)),"NOT FOUND"))</f>
        <v/>
      </c>
      <c r="C1997" s="14" t="n"/>
      <c r="D1997" s="15" t="n"/>
      <c r="E1997" s="15" t="n"/>
      <c r="F1997" s="15" t="n"/>
      <c r="G1997" s="15" t="n"/>
      <c r="H1997" s="16">
        <f>IF($A1997="","",$D1997+IF($E1997="",0,$E1997)+IF($F1997="",0,$F1997)-IF($G1997="",0,$G1997))</f>
        <v/>
      </c>
      <c r="I1997" s="12" t="n"/>
      <c r="J1997" s="12" t="n"/>
      <c r="K1997" s="12" t="n"/>
      <c r="L1997" s="14" t="n"/>
      <c r="M1997" s="12" t="n"/>
      <c r="N1997" s="12" t="n"/>
      <c r="O1997" s="12" t="n"/>
    </row>
    <row r="1998">
      <c r="A1998" s="12" t="n"/>
      <c r="B1998" s="13">
        <f>IF($A1998="","",IFERROR(INDEX(Emp_Names,MATCH($A1998,Emp_Codes,0)),"NOT FOUND"))</f>
        <v/>
      </c>
      <c r="C1998" s="14" t="n"/>
      <c r="D1998" s="15" t="n"/>
      <c r="E1998" s="15" t="n"/>
      <c r="F1998" s="15" t="n"/>
      <c r="G1998" s="15" t="n"/>
      <c r="H1998" s="16">
        <f>IF($A1998="","",$D1998+IF($E1998="",0,$E1998)+IF($F1998="",0,$F1998)-IF($G1998="",0,$G1998))</f>
        <v/>
      </c>
      <c r="I1998" s="12" t="n"/>
      <c r="J1998" s="12" t="n"/>
      <c r="K1998" s="12" t="n"/>
      <c r="L1998" s="14" t="n"/>
      <c r="M1998" s="12" t="n"/>
      <c r="N1998" s="12" t="n"/>
      <c r="O1998" s="12" t="n"/>
    </row>
    <row r="1999">
      <c r="A1999" s="12" t="n"/>
      <c r="B1999" s="13">
        <f>IF($A1999="","",IFERROR(INDEX(Emp_Names,MATCH($A1999,Emp_Codes,0)),"NOT FOUND"))</f>
        <v/>
      </c>
      <c r="C1999" s="14" t="n"/>
      <c r="D1999" s="15" t="n"/>
      <c r="E1999" s="15" t="n"/>
      <c r="F1999" s="15" t="n"/>
      <c r="G1999" s="15" t="n"/>
      <c r="H1999" s="16">
        <f>IF($A1999="","",$D1999+IF($E1999="",0,$E1999)+IF($F1999="",0,$F1999)-IF($G1999="",0,$G1999))</f>
        <v/>
      </c>
      <c r="I1999" s="12" t="n"/>
      <c r="J1999" s="12" t="n"/>
      <c r="K1999" s="12" t="n"/>
      <c r="L1999" s="14" t="n"/>
      <c r="M1999" s="12" t="n"/>
      <c r="N1999" s="12" t="n"/>
      <c r="O1999" s="12" t="n"/>
    </row>
    <row r="2000">
      <c r="A2000" s="12" t="n"/>
      <c r="B2000" s="13">
        <f>IF($A2000="","",IFERROR(INDEX(Emp_Names,MATCH($A2000,Emp_Codes,0)),"NOT FOUND"))</f>
        <v/>
      </c>
      <c r="C2000" s="14" t="n"/>
      <c r="D2000" s="15" t="n"/>
      <c r="E2000" s="15" t="n"/>
      <c r="F2000" s="15" t="n"/>
      <c r="G2000" s="15" t="n"/>
      <c r="H2000" s="16">
        <f>IF($A2000="","",$D2000+IF($E2000="",0,$E2000)+IF($F2000="",0,$F2000)-IF($G2000="",0,$G2000))</f>
        <v/>
      </c>
      <c r="I2000" s="12" t="n"/>
      <c r="J2000" s="12" t="n"/>
      <c r="K2000" s="12" t="n"/>
      <c r="L2000" s="14" t="n"/>
      <c r="M2000" s="12" t="n"/>
      <c r="N2000" s="12" t="n"/>
      <c r="O2000" s="12" t="n"/>
    </row>
    <row r="2001">
      <c r="A2001" s="12" t="n"/>
      <c r="B2001" s="13">
        <f>IF($A2001="","",IFERROR(INDEX(Emp_Names,MATCH($A2001,Emp_Codes,0)),"NOT FOUND"))</f>
        <v/>
      </c>
      <c r="C2001" s="14" t="n"/>
      <c r="D2001" s="15" t="n"/>
      <c r="E2001" s="15" t="n"/>
      <c r="F2001" s="15" t="n"/>
      <c r="G2001" s="15" t="n"/>
      <c r="H2001" s="16">
        <f>IF($A2001="","",$D2001+IF($E2001="",0,$E2001)+IF($F2001="",0,$F2001)-IF($G2001="",0,$G2001))</f>
        <v/>
      </c>
      <c r="I2001" s="12" t="n"/>
      <c r="J2001" s="12" t="n"/>
      <c r="K2001" s="12" t="n"/>
      <c r="L2001" s="14" t="n"/>
      <c r="M2001" s="12" t="n"/>
      <c r="N2001" s="12" t="n"/>
      <c r="O2001" s="12" t="n"/>
    </row>
    <row r="2002">
      <c r="A2002" s="12" t="n"/>
      <c r="B2002" s="13">
        <f>IF($A2002="","",IFERROR(INDEX(Emp_Names,MATCH($A2002,Emp_Codes,0)),"NOT FOUND"))</f>
        <v/>
      </c>
      <c r="C2002" s="14" t="n"/>
      <c r="D2002" s="15" t="n"/>
      <c r="E2002" s="15" t="n"/>
      <c r="F2002" s="15" t="n"/>
      <c r="G2002" s="15" t="n"/>
      <c r="H2002" s="16">
        <f>IF($A2002="","",$D2002+IF($E2002="",0,$E2002)+IF($F2002="",0,$F2002)-IF($G2002="",0,$G2002))</f>
        <v/>
      </c>
      <c r="I2002" s="12" t="n"/>
      <c r="J2002" s="12" t="n"/>
      <c r="K2002" s="12" t="n"/>
      <c r="L2002" s="14" t="n"/>
      <c r="M2002" s="12" t="n"/>
      <c r="N2002" s="12" t="n"/>
      <c r="O2002" s="12" t="n"/>
    </row>
    <row r="2003">
      <c r="A2003" s="12" t="n"/>
      <c r="B2003" s="13">
        <f>IF($A2003="","",IFERROR(INDEX(Emp_Names,MATCH($A2003,Emp_Codes,0)),"NOT FOUND"))</f>
        <v/>
      </c>
      <c r="C2003" s="14" t="n"/>
      <c r="D2003" s="15" t="n"/>
      <c r="E2003" s="15" t="n"/>
      <c r="F2003" s="15" t="n"/>
      <c r="G2003" s="15" t="n"/>
      <c r="H2003" s="16">
        <f>IF($A2003="","",$D2003+IF($E2003="",0,$E2003)+IF($F2003="",0,$F2003)-IF($G2003="",0,$G2003))</f>
        <v/>
      </c>
      <c r="I2003" s="12" t="n"/>
      <c r="J2003" s="12" t="n"/>
      <c r="K2003" s="12" t="n"/>
      <c r="L2003" s="14" t="n"/>
      <c r="M2003" s="12" t="n"/>
      <c r="N2003" s="12" t="n"/>
      <c r="O2003" s="12" t="n"/>
    </row>
    <row r="2004">
      <c r="A2004" s="12" t="n"/>
      <c r="B2004" s="13">
        <f>IF($A2004="","",IFERROR(INDEX(Emp_Names,MATCH($A2004,Emp_Codes,0)),"NOT FOUND"))</f>
        <v/>
      </c>
      <c r="C2004" s="14" t="n"/>
      <c r="D2004" s="15" t="n"/>
      <c r="E2004" s="15" t="n"/>
      <c r="F2004" s="15" t="n"/>
      <c r="G2004" s="15" t="n"/>
      <c r="H2004" s="16">
        <f>IF($A2004="","",$D2004+IF($E2004="",0,$E2004)+IF($F2004="",0,$F2004)-IF($G2004="",0,$G2004))</f>
        <v/>
      </c>
      <c r="I2004" s="12" t="n"/>
      <c r="J2004" s="12" t="n"/>
      <c r="K2004" s="12" t="n"/>
      <c r="L2004" s="14" t="n"/>
      <c r="M2004" s="12" t="n"/>
      <c r="N2004" s="12" t="n"/>
      <c r="O2004" s="12" t="n"/>
    </row>
    <row r="2005">
      <c r="A2005" s="12" t="n"/>
      <c r="B2005" s="13">
        <f>IF($A2005="","",IFERROR(INDEX(Emp_Names,MATCH($A2005,Emp_Codes,0)),"NOT FOUND"))</f>
        <v/>
      </c>
      <c r="C2005" s="14" t="n"/>
      <c r="D2005" s="15" t="n"/>
      <c r="E2005" s="15" t="n"/>
      <c r="F2005" s="15" t="n"/>
      <c r="G2005" s="15" t="n"/>
      <c r="H2005" s="16">
        <f>IF($A2005="","",$D2005+IF($E2005="",0,$E2005)+IF($F2005="",0,$F2005)-IF($G2005="",0,$G2005))</f>
        <v/>
      </c>
      <c r="I2005" s="12" t="n"/>
      <c r="J2005" s="12" t="n"/>
      <c r="K2005" s="12" t="n"/>
      <c r="L2005" s="14" t="n"/>
      <c r="M2005" s="12" t="n"/>
      <c r="N2005" s="12" t="n"/>
      <c r="O2005" s="12" t="n"/>
    </row>
    <row r="2006">
      <c r="A2006" s="12" t="n"/>
      <c r="B2006" s="13">
        <f>IF($A2006="","",IFERROR(INDEX(Emp_Names,MATCH($A2006,Emp_Codes,0)),"NOT FOUND"))</f>
        <v/>
      </c>
      <c r="C2006" s="14" t="n"/>
      <c r="D2006" s="15" t="n"/>
      <c r="E2006" s="15" t="n"/>
      <c r="F2006" s="15" t="n"/>
      <c r="G2006" s="15" t="n"/>
      <c r="H2006" s="16">
        <f>IF($A2006="","",$D2006+IF($E2006="",0,$E2006)+IF($F2006="",0,$F2006)-IF($G2006="",0,$G2006))</f>
        <v/>
      </c>
      <c r="I2006" s="12" t="n"/>
      <c r="J2006" s="12" t="n"/>
      <c r="K2006" s="12" t="n"/>
      <c r="L2006" s="14" t="n"/>
      <c r="M2006" s="12" t="n"/>
      <c r="N2006" s="12" t="n"/>
      <c r="O2006" s="12" t="n"/>
    </row>
    <row r="2007">
      <c r="A2007" s="12" t="n"/>
      <c r="B2007" s="13">
        <f>IF($A2007="","",IFERROR(INDEX(Emp_Names,MATCH($A2007,Emp_Codes,0)),"NOT FOUND"))</f>
        <v/>
      </c>
      <c r="C2007" s="14" t="n"/>
      <c r="D2007" s="15" t="n"/>
      <c r="E2007" s="15" t="n"/>
      <c r="F2007" s="15" t="n"/>
      <c r="G2007" s="15" t="n"/>
      <c r="H2007" s="16">
        <f>IF($A2007="","",$D2007+IF($E2007="",0,$E2007)+IF($F2007="",0,$F2007)-IF($G2007="",0,$G2007))</f>
        <v/>
      </c>
      <c r="I2007" s="12" t="n"/>
      <c r="J2007" s="12" t="n"/>
      <c r="K2007" s="12" t="n"/>
      <c r="L2007" s="14" t="n"/>
      <c r="M2007" s="12" t="n"/>
      <c r="N2007" s="12" t="n"/>
      <c r="O2007" s="12" t="n"/>
    </row>
    <row r="2008">
      <c r="A2008" s="12" t="n"/>
      <c r="B2008" s="13">
        <f>IF($A2008="","",IFERROR(INDEX(Emp_Names,MATCH($A2008,Emp_Codes,0)),"NOT FOUND"))</f>
        <v/>
      </c>
      <c r="C2008" s="14" t="n"/>
      <c r="D2008" s="15" t="n"/>
      <c r="E2008" s="15" t="n"/>
      <c r="F2008" s="15" t="n"/>
      <c r="G2008" s="15" t="n"/>
      <c r="H2008" s="16">
        <f>IF($A2008="","",$D2008+IF($E2008="",0,$E2008)+IF($F2008="",0,$F2008)-IF($G2008="",0,$G2008))</f>
        <v/>
      </c>
      <c r="I2008" s="12" t="n"/>
      <c r="J2008" s="12" t="n"/>
      <c r="K2008" s="12" t="n"/>
      <c r="L2008" s="14" t="n"/>
      <c r="M2008" s="12" t="n"/>
      <c r="N2008" s="12" t="n"/>
      <c r="O2008" s="12" t="n"/>
    </row>
    <row r="2009">
      <c r="A2009" s="12" t="n"/>
      <c r="B2009" s="13">
        <f>IF($A2009="","",IFERROR(INDEX(Emp_Names,MATCH($A2009,Emp_Codes,0)),"NOT FOUND"))</f>
        <v/>
      </c>
      <c r="C2009" s="14" t="n"/>
      <c r="D2009" s="15" t="n"/>
      <c r="E2009" s="15" t="n"/>
      <c r="F2009" s="15" t="n"/>
      <c r="G2009" s="15" t="n"/>
      <c r="H2009" s="16">
        <f>IF($A2009="","",$D2009+IF($E2009="",0,$E2009)+IF($F2009="",0,$F2009)-IF($G2009="",0,$G2009))</f>
        <v/>
      </c>
      <c r="I2009" s="12" t="n"/>
      <c r="J2009" s="12" t="n"/>
      <c r="K2009" s="12" t="n"/>
      <c r="L2009" s="14" t="n"/>
      <c r="M2009" s="12" t="n"/>
      <c r="N2009" s="12" t="n"/>
      <c r="O2009" s="12" t="n"/>
    </row>
    <row r="2010">
      <c r="A2010" s="12" t="n"/>
      <c r="B2010" s="13">
        <f>IF($A2010="","",IFERROR(INDEX(Emp_Names,MATCH($A2010,Emp_Codes,0)),"NOT FOUND"))</f>
        <v/>
      </c>
      <c r="C2010" s="14" t="n"/>
      <c r="D2010" s="15" t="n"/>
      <c r="E2010" s="15" t="n"/>
      <c r="F2010" s="15" t="n"/>
      <c r="G2010" s="15" t="n"/>
      <c r="H2010" s="16">
        <f>IF($A2010="","",$D2010+IF($E2010="",0,$E2010)+IF($F2010="",0,$F2010)-IF($G2010="",0,$G2010))</f>
        <v/>
      </c>
      <c r="I2010" s="12" t="n"/>
      <c r="J2010" s="12" t="n"/>
      <c r="K2010" s="12" t="n"/>
      <c r="L2010" s="14" t="n"/>
      <c r="M2010" s="12" t="n"/>
      <c r="N2010" s="12" t="n"/>
      <c r="O2010" s="12" t="n"/>
    </row>
    <row r="2011">
      <c r="A2011" s="12" t="n"/>
      <c r="B2011" s="13">
        <f>IF($A2011="","",IFERROR(INDEX(Emp_Names,MATCH($A2011,Emp_Codes,0)),"NOT FOUND"))</f>
        <v/>
      </c>
      <c r="C2011" s="14" t="n"/>
      <c r="D2011" s="15" t="n"/>
      <c r="E2011" s="15" t="n"/>
      <c r="F2011" s="15" t="n"/>
      <c r="G2011" s="15" t="n"/>
      <c r="H2011" s="16">
        <f>IF($A2011="","",$D2011+IF($E2011="",0,$E2011)+IF($F2011="",0,$F2011)-IF($G2011="",0,$G2011))</f>
        <v/>
      </c>
      <c r="I2011" s="12" t="n"/>
      <c r="J2011" s="12" t="n"/>
      <c r="K2011" s="12" t="n"/>
      <c r="L2011" s="14" t="n"/>
      <c r="M2011" s="12" t="n"/>
      <c r="N2011" s="12" t="n"/>
      <c r="O2011" s="12" t="n"/>
    </row>
    <row r="2012">
      <c r="A2012" s="12" t="n"/>
      <c r="B2012" s="13">
        <f>IF($A2012="","",IFERROR(INDEX(Emp_Names,MATCH($A2012,Emp_Codes,0)),"NOT FOUND"))</f>
        <v/>
      </c>
      <c r="C2012" s="14" t="n"/>
      <c r="D2012" s="15" t="n"/>
      <c r="E2012" s="15" t="n"/>
      <c r="F2012" s="15" t="n"/>
      <c r="G2012" s="15" t="n"/>
      <c r="H2012" s="16">
        <f>IF($A2012="","",$D2012+IF($E2012="",0,$E2012)+IF($F2012="",0,$F2012)-IF($G2012="",0,$G2012))</f>
        <v/>
      </c>
      <c r="I2012" s="12" t="n"/>
      <c r="J2012" s="12" t="n"/>
      <c r="K2012" s="12" t="n"/>
      <c r="L2012" s="14" t="n"/>
      <c r="M2012" s="12" t="n"/>
      <c r="N2012" s="12" t="n"/>
      <c r="O2012" s="12" t="n"/>
    </row>
    <row r="2013">
      <c r="A2013" s="12" t="n"/>
      <c r="B2013" s="13">
        <f>IF($A2013="","",IFERROR(INDEX(Emp_Names,MATCH($A2013,Emp_Codes,0)),"NOT FOUND"))</f>
        <v/>
      </c>
      <c r="C2013" s="14" t="n"/>
      <c r="D2013" s="15" t="n"/>
      <c r="E2013" s="15" t="n"/>
      <c r="F2013" s="15" t="n"/>
      <c r="G2013" s="15" t="n"/>
      <c r="H2013" s="16">
        <f>IF($A2013="","",$D2013+IF($E2013="",0,$E2013)+IF($F2013="",0,$F2013)-IF($G2013="",0,$G2013))</f>
        <v/>
      </c>
      <c r="I2013" s="12" t="n"/>
      <c r="J2013" s="12" t="n"/>
      <c r="K2013" s="12" t="n"/>
      <c r="L2013" s="14" t="n"/>
      <c r="M2013" s="12" t="n"/>
      <c r="N2013" s="12" t="n"/>
      <c r="O2013" s="12" t="n"/>
    </row>
    <row r="2014">
      <c r="A2014" s="12" t="n"/>
      <c r="B2014" s="13">
        <f>IF($A2014="","",IFERROR(INDEX(Emp_Names,MATCH($A2014,Emp_Codes,0)),"NOT FOUND"))</f>
        <v/>
      </c>
      <c r="C2014" s="14" t="n"/>
      <c r="D2014" s="15" t="n"/>
      <c r="E2014" s="15" t="n"/>
      <c r="F2014" s="15" t="n"/>
      <c r="G2014" s="15" t="n"/>
      <c r="H2014" s="16">
        <f>IF($A2014="","",$D2014+IF($E2014="",0,$E2014)+IF($F2014="",0,$F2014)-IF($G2014="",0,$G2014))</f>
        <v/>
      </c>
      <c r="I2014" s="12" t="n"/>
      <c r="J2014" s="12" t="n"/>
      <c r="K2014" s="12" t="n"/>
      <c r="L2014" s="14" t="n"/>
      <c r="M2014" s="12" t="n"/>
      <c r="N2014" s="12" t="n"/>
      <c r="O2014" s="12" t="n"/>
    </row>
    <row r="2015">
      <c r="A2015" s="12" t="n"/>
      <c r="B2015" s="13">
        <f>IF($A2015="","",IFERROR(INDEX(Emp_Names,MATCH($A2015,Emp_Codes,0)),"NOT FOUND"))</f>
        <v/>
      </c>
      <c r="C2015" s="14" t="n"/>
      <c r="D2015" s="15" t="n"/>
      <c r="E2015" s="15" t="n"/>
      <c r="F2015" s="15" t="n"/>
      <c r="G2015" s="15" t="n"/>
      <c r="H2015" s="16">
        <f>IF($A2015="","",$D2015+IF($E2015="",0,$E2015)+IF($F2015="",0,$F2015)-IF($G2015="",0,$G2015))</f>
        <v/>
      </c>
      <c r="I2015" s="12" t="n"/>
      <c r="J2015" s="12" t="n"/>
      <c r="K2015" s="12" t="n"/>
      <c r="L2015" s="14" t="n"/>
      <c r="M2015" s="12" t="n"/>
      <c r="N2015" s="12" t="n"/>
      <c r="O2015" s="12" t="n"/>
    </row>
    <row r="2016">
      <c r="A2016" s="12" t="n"/>
      <c r="B2016" s="13">
        <f>IF($A2016="","",IFERROR(INDEX(Emp_Names,MATCH($A2016,Emp_Codes,0)),"NOT FOUND"))</f>
        <v/>
      </c>
      <c r="C2016" s="14" t="n"/>
      <c r="D2016" s="15" t="n"/>
      <c r="E2016" s="15" t="n"/>
      <c r="F2016" s="15" t="n"/>
      <c r="G2016" s="15" t="n"/>
      <c r="H2016" s="16">
        <f>IF($A2016="","",$D2016+IF($E2016="",0,$E2016)+IF($F2016="",0,$F2016)-IF($G2016="",0,$G2016))</f>
        <v/>
      </c>
      <c r="I2016" s="12" t="n"/>
      <c r="J2016" s="12" t="n"/>
      <c r="K2016" s="12" t="n"/>
      <c r="L2016" s="14" t="n"/>
      <c r="M2016" s="12" t="n"/>
      <c r="N2016" s="12" t="n"/>
      <c r="O2016" s="12" t="n"/>
    </row>
    <row r="2017">
      <c r="A2017" s="12" t="n"/>
      <c r="B2017" s="13">
        <f>IF($A2017="","",IFERROR(INDEX(Emp_Names,MATCH($A2017,Emp_Codes,0)),"NOT FOUND"))</f>
        <v/>
      </c>
      <c r="C2017" s="14" t="n"/>
      <c r="D2017" s="15" t="n"/>
      <c r="E2017" s="15" t="n"/>
      <c r="F2017" s="15" t="n"/>
      <c r="G2017" s="15" t="n"/>
      <c r="H2017" s="16">
        <f>IF($A2017="","",$D2017+IF($E2017="",0,$E2017)+IF($F2017="",0,$F2017)-IF($G2017="",0,$G2017))</f>
        <v/>
      </c>
      <c r="I2017" s="12" t="n"/>
      <c r="J2017" s="12" t="n"/>
      <c r="K2017" s="12" t="n"/>
      <c r="L2017" s="14" t="n"/>
      <c r="M2017" s="12" t="n"/>
      <c r="N2017" s="12" t="n"/>
      <c r="O2017" s="12" t="n"/>
    </row>
    <row r="2018">
      <c r="A2018" s="12" t="n"/>
      <c r="B2018" s="13">
        <f>IF($A2018="","",IFERROR(INDEX(Emp_Names,MATCH($A2018,Emp_Codes,0)),"NOT FOUND"))</f>
        <v/>
      </c>
      <c r="C2018" s="14" t="n"/>
      <c r="D2018" s="15" t="n"/>
      <c r="E2018" s="15" t="n"/>
      <c r="F2018" s="15" t="n"/>
      <c r="G2018" s="15" t="n"/>
      <c r="H2018" s="16">
        <f>IF($A2018="","",$D2018+IF($E2018="",0,$E2018)+IF($F2018="",0,$F2018)-IF($G2018="",0,$G2018))</f>
        <v/>
      </c>
      <c r="I2018" s="12" t="n"/>
      <c r="J2018" s="12" t="n"/>
      <c r="K2018" s="12" t="n"/>
      <c r="L2018" s="14" t="n"/>
      <c r="M2018" s="12" t="n"/>
      <c r="N2018" s="12" t="n"/>
      <c r="O2018" s="12" t="n"/>
    </row>
    <row r="2019">
      <c r="A2019" s="12" t="n"/>
      <c r="B2019" s="13">
        <f>IF($A2019="","",IFERROR(INDEX(Emp_Names,MATCH($A2019,Emp_Codes,0)),"NOT FOUND"))</f>
        <v/>
      </c>
      <c r="C2019" s="14" t="n"/>
      <c r="D2019" s="15" t="n"/>
      <c r="E2019" s="15" t="n"/>
      <c r="F2019" s="15" t="n"/>
      <c r="G2019" s="15" t="n"/>
      <c r="H2019" s="16">
        <f>IF($A2019="","",$D2019+IF($E2019="",0,$E2019)+IF($F2019="",0,$F2019)-IF($G2019="",0,$G2019))</f>
        <v/>
      </c>
      <c r="I2019" s="12" t="n"/>
      <c r="J2019" s="12" t="n"/>
      <c r="K2019" s="12" t="n"/>
      <c r="L2019" s="14" t="n"/>
      <c r="M2019" s="12" t="n"/>
      <c r="N2019" s="12" t="n"/>
      <c r="O2019" s="12" t="n"/>
    </row>
    <row r="2020">
      <c r="A2020" s="12" t="n"/>
      <c r="B2020" s="13">
        <f>IF($A2020="","",IFERROR(INDEX(Emp_Names,MATCH($A2020,Emp_Codes,0)),"NOT FOUND"))</f>
        <v/>
      </c>
      <c r="C2020" s="14" t="n"/>
      <c r="D2020" s="15" t="n"/>
      <c r="E2020" s="15" t="n"/>
      <c r="F2020" s="15" t="n"/>
      <c r="G2020" s="15" t="n"/>
      <c r="H2020" s="16">
        <f>IF($A2020="","",$D2020+IF($E2020="",0,$E2020)+IF($F2020="",0,$F2020)-IF($G2020="",0,$G2020))</f>
        <v/>
      </c>
      <c r="I2020" s="12" t="n"/>
      <c r="J2020" s="12" t="n"/>
      <c r="K2020" s="12" t="n"/>
      <c r="L2020" s="14" t="n"/>
      <c r="M2020" s="12" t="n"/>
      <c r="N2020" s="12" t="n"/>
      <c r="O2020" s="12" t="n"/>
    </row>
    <row r="2021">
      <c r="A2021" s="12" t="n"/>
      <c r="B2021" s="13">
        <f>IF($A2021="","",IFERROR(INDEX(Emp_Names,MATCH($A2021,Emp_Codes,0)),"NOT FOUND"))</f>
        <v/>
      </c>
      <c r="C2021" s="14" t="n"/>
      <c r="D2021" s="15" t="n"/>
      <c r="E2021" s="15" t="n"/>
      <c r="F2021" s="15" t="n"/>
      <c r="G2021" s="15" t="n"/>
      <c r="H2021" s="16">
        <f>IF($A2021="","",$D2021+IF($E2021="",0,$E2021)+IF($F2021="",0,$F2021)-IF($G2021="",0,$G2021))</f>
        <v/>
      </c>
      <c r="I2021" s="12" t="n"/>
      <c r="J2021" s="12" t="n"/>
      <c r="K2021" s="12" t="n"/>
      <c r="L2021" s="14" t="n"/>
      <c r="M2021" s="12" t="n"/>
      <c r="N2021" s="12" t="n"/>
      <c r="O2021" s="12" t="n"/>
    </row>
    <row r="2022">
      <c r="A2022" s="12" t="n"/>
      <c r="B2022" s="13">
        <f>IF($A2022="","",IFERROR(INDEX(Emp_Names,MATCH($A2022,Emp_Codes,0)),"NOT FOUND"))</f>
        <v/>
      </c>
      <c r="C2022" s="14" t="n"/>
      <c r="D2022" s="15" t="n"/>
      <c r="E2022" s="15" t="n"/>
      <c r="F2022" s="15" t="n"/>
      <c r="G2022" s="15" t="n"/>
      <c r="H2022" s="16">
        <f>IF($A2022="","",$D2022+IF($E2022="",0,$E2022)+IF($F2022="",0,$F2022)-IF($G2022="",0,$G2022))</f>
        <v/>
      </c>
      <c r="I2022" s="12" t="n"/>
      <c r="J2022" s="12" t="n"/>
      <c r="K2022" s="12" t="n"/>
      <c r="L2022" s="14" t="n"/>
      <c r="M2022" s="12" t="n"/>
      <c r="N2022" s="12" t="n"/>
      <c r="O2022" s="12" t="n"/>
    </row>
    <row r="2023">
      <c r="A2023" s="12" t="n"/>
      <c r="B2023" s="13">
        <f>IF($A2023="","",IFERROR(INDEX(Emp_Names,MATCH($A2023,Emp_Codes,0)),"NOT FOUND"))</f>
        <v/>
      </c>
      <c r="C2023" s="14" t="n"/>
      <c r="D2023" s="15" t="n"/>
      <c r="E2023" s="15" t="n"/>
      <c r="F2023" s="15" t="n"/>
      <c r="G2023" s="15" t="n"/>
      <c r="H2023" s="16">
        <f>IF($A2023="","",$D2023+IF($E2023="",0,$E2023)+IF($F2023="",0,$F2023)-IF($G2023="",0,$G2023))</f>
        <v/>
      </c>
      <c r="I2023" s="12" t="n"/>
      <c r="J2023" s="12" t="n"/>
      <c r="K2023" s="12" t="n"/>
      <c r="L2023" s="14" t="n"/>
      <c r="M2023" s="12" t="n"/>
      <c r="N2023" s="12" t="n"/>
      <c r="O2023" s="12" t="n"/>
    </row>
    <row r="2024">
      <c r="A2024" s="12" t="n"/>
      <c r="B2024" s="13">
        <f>IF($A2024="","",IFERROR(INDEX(Emp_Names,MATCH($A2024,Emp_Codes,0)),"NOT FOUND"))</f>
        <v/>
      </c>
      <c r="C2024" s="14" t="n"/>
      <c r="D2024" s="15" t="n"/>
      <c r="E2024" s="15" t="n"/>
      <c r="F2024" s="15" t="n"/>
      <c r="G2024" s="15" t="n"/>
      <c r="H2024" s="16">
        <f>IF($A2024="","",$D2024+IF($E2024="",0,$E2024)+IF($F2024="",0,$F2024)-IF($G2024="",0,$G2024))</f>
        <v/>
      </c>
      <c r="I2024" s="12" t="n"/>
      <c r="J2024" s="12" t="n"/>
      <c r="K2024" s="12" t="n"/>
      <c r="L2024" s="14" t="n"/>
      <c r="M2024" s="12" t="n"/>
      <c r="N2024" s="12" t="n"/>
      <c r="O2024" s="12" t="n"/>
    </row>
    <row r="2025">
      <c r="A2025" s="12" t="n"/>
      <c r="B2025" s="13">
        <f>IF($A2025="","",IFERROR(INDEX(Emp_Names,MATCH($A2025,Emp_Codes,0)),"NOT FOUND"))</f>
        <v/>
      </c>
      <c r="C2025" s="14" t="n"/>
      <c r="D2025" s="15" t="n"/>
      <c r="E2025" s="15" t="n"/>
      <c r="F2025" s="15" t="n"/>
      <c r="G2025" s="15" t="n"/>
      <c r="H2025" s="16">
        <f>IF($A2025="","",$D2025+IF($E2025="",0,$E2025)+IF($F2025="",0,$F2025)-IF($G2025="",0,$G2025))</f>
        <v/>
      </c>
      <c r="I2025" s="12" t="n"/>
      <c r="J2025" s="12" t="n"/>
      <c r="K2025" s="12" t="n"/>
      <c r="L2025" s="14" t="n"/>
      <c r="M2025" s="12" t="n"/>
      <c r="N2025" s="12" t="n"/>
      <c r="O2025" s="12" t="n"/>
    </row>
    <row r="2026">
      <c r="A2026" s="12" t="n"/>
      <c r="B2026" s="13">
        <f>IF($A2026="","",IFERROR(INDEX(Emp_Names,MATCH($A2026,Emp_Codes,0)),"NOT FOUND"))</f>
        <v/>
      </c>
      <c r="C2026" s="14" t="n"/>
      <c r="D2026" s="15" t="n"/>
      <c r="E2026" s="15" t="n"/>
      <c r="F2026" s="15" t="n"/>
      <c r="G2026" s="15" t="n"/>
      <c r="H2026" s="16">
        <f>IF($A2026="","",$D2026+IF($E2026="",0,$E2026)+IF($F2026="",0,$F2026)-IF($G2026="",0,$G2026))</f>
        <v/>
      </c>
      <c r="I2026" s="12" t="n"/>
      <c r="J2026" s="12" t="n"/>
      <c r="K2026" s="12" t="n"/>
      <c r="L2026" s="14" t="n"/>
      <c r="M2026" s="12" t="n"/>
      <c r="N2026" s="12" t="n"/>
      <c r="O2026" s="12" t="n"/>
    </row>
    <row r="2027">
      <c r="A2027" s="12" t="n"/>
      <c r="B2027" s="13">
        <f>IF($A2027="","",IFERROR(INDEX(Emp_Names,MATCH($A2027,Emp_Codes,0)),"NOT FOUND"))</f>
        <v/>
      </c>
      <c r="C2027" s="14" t="n"/>
      <c r="D2027" s="15" t="n"/>
      <c r="E2027" s="15" t="n"/>
      <c r="F2027" s="15" t="n"/>
      <c r="G2027" s="15" t="n"/>
      <c r="H2027" s="16">
        <f>IF($A2027="","",$D2027+IF($E2027="",0,$E2027)+IF($F2027="",0,$F2027)-IF($G2027="",0,$G2027))</f>
        <v/>
      </c>
      <c r="I2027" s="12" t="n"/>
      <c r="J2027" s="12" t="n"/>
      <c r="K2027" s="12" t="n"/>
      <c r="L2027" s="14" t="n"/>
      <c r="M2027" s="12" t="n"/>
      <c r="N2027" s="12" t="n"/>
      <c r="O2027" s="12" t="n"/>
    </row>
    <row r="2028">
      <c r="A2028" s="12" t="n"/>
      <c r="B2028" s="13">
        <f>IF($A2028="","",IFERROR(INDEX(Emp_Names,MATCH($A2028,Emp_Codes,0)),"NOT FOUND"))</f>
        <v/>
      </c>
      <c r="C2028" s="14" t="n"/>
      <c r="D2028" s="15" t="n"/>
      <c r="E2028" s="15" t="n"/>
      <c r="F2028" s="15" t="n"/>
      <c r="G2028" s="15" t="n"/>
      <c r="H2028" s="16">
        <f>IF($A2028="","",$D2028+IF($E2028="",0,$E2028)+IF($F2028="",0,$F2028)-IF($G2028="",0,$G2028))</f>
        <v/>
      </c>
      <c r="I2028" s="12" t="n"/>
      <c r="J2028" s="12" t="n"/>
      <c r="K2028" s="12" t="n"/>
      <c r="L2028" s="14" t="n"/>
      <c r="M2028" s="12" t="n"/>
      <c r="N2028" s="12" t="n"/>
      <c r="O2028" s="12" t="n"/>
    </row>
    <row r="2029">
      <c r="A2029" s="12" t="n"/>
      <c r="B2029" s="13">
        <f>IF($A2029="","",IFERROR(INDEX(Emp_Names,MATCH($A2029,Emp_Codes,0)),"NOT FOUND"))</f>
        <v/>
      </c>
      <c r="C2029" s="14" t="n"/>
      <c r="D2029" s="15" t="n"/>
      <c r="E2029" s="15" t="n"/>
      <c r="F2029" s="15" t="n"/>
      <c r="G2029" s="15" t="n"/>
      <c r="H2029" s="16">
        <f>IF($A2029="","",$D2029+IF($E2029="",0,$E2029)+IF($F2029="",0,$F2029)-IF($G2029="",0,$G2029))</f>
        <v/>
      </c>
      <c r="I2029" s="12" t="n"/>
      <c r="J2029" s="12" t="n"/>
      <c r="K2029" s="12" t="n"/>
      <c r="L2029" s="14" t="n"/>
      <c r="M2029" s="12" t="n"/>
      <c r="N2029" s="12" t="n"/>
      <c r="O2029" s="12" t="n"/>
    </row>
    <row r="2030">
      <c r="A2030" s="12" t="n"/>
      <c r="B2030" s="13">
        <f>IF($A2030="","",IFERROR(INDEX(Emp_Names,MATCH($A2030,Emp_Codes,0)),"NOT FOUND"))</f>
        <v/>
      </c>
      <c r="C2030" s="14" t="n"/>
      <c r="D2030" s="15" t="n"/>
      <c r="E2030" s="15" t="n"/>
      <c r="F2030" s="15" t="n"/>
      <c r="G2030" s="15" t="n"/>
      <c r="H2030" s="16">
        <f>IF($A2030="","",$D2030+IF($E2030="",0,$E2030)+IF($F2030="",0,$F2030)-IF($G2030="",0,$G2030))</f>
        <v/>
      </c>
      <c r="I2030" s="12" t="n"/>
      <c r="J2030" s="12" t="n"/>
      <c r="K2030" s="12" t="n"/>
      <c r="L2030" s="14" t="n"/>
      <c r="M2030" s="12" t="n"/>
      <c r="N2030" s="12" t="n"/>
      <c r="O2030" s="12" t="n"/>
    </row>
    <row r="2031">
      <c r="A2031" s="12" t="n"/>
      <c r="B2031" s="13">
        <f>IF($A2031="","",IFERROR(INDEX(Emp_Names,MATCH($A2031,Emp_Codes,0)),"NOT FOUND"))</f>
        <v/>
      </c>
      <c r="C2031" s="14" t="n"/>
      <c r="D2031" s="15" t="n"/>
      <c r="E2031" s="15" t="n"/>
      <c r="F2031" s="15" t="n"/>
      <c r="G2031" s="15" t="n"/>
      <c r="H2031" s="16">
        <f>IF($A2031="","",$D2031+IF($E2031="",0,$E2031)+IF($F2031="",0,$F2031)-IF($G2031="",0,$G2031))</f>
        <v/>
      </c>
      <c r="I2031" s="12" t="n"/>
      <c r="J2031" s="12" t="n"/>
      <c r="K2031" s="12" t="n"/>
      <c r="L2031" s="14" t="n"/>
      <c r="M2031" s="12" t="n"/>
      <c r="N2031" s="12" t="n"/>
      <c r="O2031" s="12" t="n"/>
    </row>
    <row r="2032">
      <c r="A2032" s="12" t="n"/>
      <c r="B2032" s="13">
        <f>IF($A2032="","",IFERROR(INDEX(Emp_Names,MATCH($A2032,Emp_Codes,0)),"NOT FOUND"))</f>
        <v/>
      </c>
      <c r="C2032" s="14" t="n"/>
      <c r="D2032" s="15" t="n"/>
      <c r="E2032" s="15" t="n"/>
      <c r="F2032" s="15" t="n"/>
      <c r="G2032" s="15" t="n"/>
      <c r="H2032" s="16">
        <f>IF($A2032="","",$D2032+IF($E2032="",0,$E2032)+IF($F2032="",0,$F2032)-IF($G2032="",0,$G2032))</f>
        <v/>
      </c>
      <c r="I2032" s="12" t="n"/>
      <c r="J2032" s="12" t="n"/>
      <c r="K2032" s="12" t="n"/>
      <c r="L2032" s="14" t="n"/>
      <c r="M2032" s="12" t="n"/>
      <c r="N2032" s="12" t="n"/>
      <c r="O2032" s="12" t="n"/>
    </row>
    <row r="2033">
      <c r="A2033" s="12" t="n"/>
      <c r="B2033" s="13">
        <f>IF($A2033="","",IFERROR(INDEX(Emp_Names,MATCH($A2033,Emp_Codes,0)),"NOT FOUND"))</f>
        <v/>
      </c>
      <c r="C2033" s="14" t="n"/>
      <c r="D2033" s="15" t="n"/>
      <c r="E2033" s="15" t="n"/>
      <c r="F2033" s="15" t="n"/>
      <c r="G2033" s="15" t="n"/>
      <c r="H2033" s="16">
        <f>IF($A2033="","",$D2033+IF($E2033="",0,$E2033)+IF($F2033="",0,$F2033)-IF($G2033="",0,$G2033))</f>
        <v/>
      </c>
      <c r="I2033" s="12" t="n"/>
      <c r="J2033" s="12" t="n"/>
      <c r="K2033" s="12" t="n"/>
      <c r="L2033" s="14" t="n"/>
      <c r="M2033" s="12" t="n"/>
      <c r="N2033" s="12" t="n"/>
      <c r="O2033" s="12" t="n"/>
    </row>
    <row r="2034">
      <c r="A2034" s="12" t="n"/>
      <c r="B2034" s="13">
        <f>IF($A2034="","",IFERROR(INDEX(Emp_Names,MATCH($A2034,Emp_Codes,0)),"NOT FOUND"))</f>
        <v/>
      </c>
      <c r="C2034" s="14" t="n"/>
      <c r="D2034" s="15" t="n"/>
      <c r="E2034" s="15" t="n"/>
      <c r="F2034" s="15" t="n"/>
      <c r="G2034" s="15" t="n"/>
      <c r="H2034" s="16">
        <f>IF($A2034="","",$D2034+IF($E2034="",0,$E2034)+IF($F2034="",0,$F2034)-IF($G2034="",0,$G2034))</f>
        <v/>
      </c>
      <c r="I2034" s="12" t="n"/>
      <c r="J2034" s="12" t="n"/>
      <c r="K2034" s="12" t="n"/>
      <c r="L2034" s="14" t="n"/>
      <c r="M2034" s="12" t="n"/>
      <c r="N2034" s="12" t="n"/>
      <c r="O2034" s="12" t="n"/>
    </row>
    <row r="2035">
      <c r="A2035" s="12" t="n"/>
      <c r="B2035" s="13">
        <f>IF($A2035="","",IFERROR(INDEX(Emp_Names,MATCH($A2035,Emp_Codes,0)),"NOT FOUND"))</f>
        <v/>
      </c>
      <c r="C2035" s="14" t="n"/>
      <c r="D2035" s="15" t="n"/>
      <c r="E2035" s="15" t="n"/>
      <c r="F2035" s="15" t="n"/>
      <c r="G2035" s="15" t="n"/>
      <c r="H2035" s="16">
        <f>IF($A2035="","",$D2035+IF($E2035="",0,$E2035)+IF($F2035="",0,$F2035)-IF($G2035="",0,$G2035))</f>
        <v/>
      </c>
      <c r="I2035" s="12" t="n"/>
      <c r="J2035" s="12" t="n"/>
      <c r="K2035" s="12" t="n"/>
      <c r="L2035" s="14" t="n"/>
      <c r="M2035" s="12" t="n"/>
      <c r="N2035" s="12" t="n"/>
      <c r="O2035" s="12" t="n"/>
    </row>
    <row r="2036">
      <c r="A2036" s="12" t="n"/>
      <c r="B2036" s="13">
        <f>IF($A2036="","",IFERROR(INDEX(Emp_Names,MATCH($A2036,Emp_Codes,0)),"NOT FOUND"))</f>
        <v/>
      </c>
      <c r="C2036" s="14" t="n"/>
      <c r="D2036" s="15" t="n"/>
      <c r="E2036" s="15" t="n"/>
      <c r="F2036" s="15" t="n"/>
      <c r="G2036" s="15" t="n"/>
      <c r="H2036" s="16">
        <f>IF($A2036="","",$D2036+IF($E2036="",0,$E2036)+IF($F2036="",0,$F2036)-IF($G2036="",0,$G2036))</f>
        <v/>
      </c>
      <c r="I2036" s="12" t="n"/>
      <c r="J2036" s="12" t="n"/>
      <c r="K2036" s="12" t="n"/>
      <c r="L2036" s="14" t="n"/>
      <c r="M2036" s="12" t="n"/>
      <c r="N2036" s="12" t="n"/>
      <c r="O2036" s="12" t="n"/>
    </row>
    <row r="2037">
      <c r="A2037" s="12" t="n"/>
      <c r="B2037" s="13">
        <f>IF($A2037="","",IFERROR(INDEX(Emp_Names,MATCH($A2037,Emp_Codes,0)),"NOT FOUND"))</f>
        <v/>
      </c>
      <c r="C2037" s="14" t="n"/>
      <c r="D2037" s="15" t="n"/>
      <c r="E2037" s="15" t="n"/>
      <c r="F2037" s="15" t="n"/>
      <c r="G2037" s="15" t="n"/>
      <c r="H2037" s="16">
        <f>IF($A2037="","",$D2037+IF($E2037="",0,$E2037)+IF($F2037="",0,$F2037)-IF($G2037="",0,$G2037))</f>
        <v/>
      </c>
      <c r="I2037" s="12" t="n"/>
      <c r="J2037" s="12" t="n"/>
      <c r="K2037" s="12" t="n"/>
      <c r="L2037" s="14" t="n"/>
      <c r="M2037" s="12" t="n"/>
      <c r="N2037" s="12" t="n"/>
      <c r="O2037" s="12" t="n"/>
    </row>
    <row r="2038">
      <c r="A2038" s="12" t="n"/>
      <c r="B2038" s="13">
        <f>IF($A2038="","",IFERROR(INDEX(Emp_Names,MATCH($A2038,Emp_Codes,0)),"NOT FOUND"))</f>
        <v/>
      </c>
      <c r="C2038" s="14" t="n"/>
      <c r="D2038" s="15" t="n"/>
      <c r="E2038" s="15" t="n"/>
      <c r="F2038" s="15" t="n"/>
      <c r="G2038" s="15" t="n"/>
      <c r="H2038" s="16">
        <f>IF($A2038="","",$D2038+IF($E2038="",0,$E2038)+IF($F2038="",0,$F2038)-IF($G2038="",0,$G2038))</f>
        <v/>
      </c>
      <c r="I2038" s="12" t="n"/>
      <c r="J2038" s="12" t="n"/>
      <c r="K2038" s="12" t="n"/>
      <c r="L2038" s="14" t="n"/>
      <c r="M2038" s="12" t="n"/>
      <c r="N2038" s="12" t="n"/>
      <c r="O2038" s="12" t="n"/>
    </row>
    <row r="2039">
      <c r="A2039" s="12" t="n"/>
      <c r="B2039" s="13">
        <f>IF($A2039="","",IFERROR(INDEX(Emp_Names,MATCH($A2039,Emp_Codes,0)),"NOT FOUND"))</f>
        <v/>
      </c>
      <c r="C2039" s="14" t="n"/>
      <c r="D2039" s="15" t="n"/>
      <c r="E2039" s="15" t="n"/>
      <c r="F2039" s="15" t="n"/>
      <c r="G2039" s="15" t="n"/>
      <c r="H2039" s="16">
        <f>IF($A2039="","",$D2039+IF($E2039="",0,$E2039)+IF($F2039="",0,$F2039)-IF($G2039="",0,$G2039))</f>
        <v/>
      </c>
      <c r="I2039" s="12" t="n"/>
      <c r="J2039" s="12" t="n"/>
      <c r="K2039" s="12" t="n"/>
      <c r="L2039" s="14" t="n"/>
      <c r="M2039" s="12" t="n"/>
      <c r="N2039" s="12" t="n"/>
      <c r="O2039" s="12" t="n"/>
    </row>
    <row r="2040">
      <c r="A2040" s="12" t="n"/>
      <c r="B2040" s="13">
        <f>IF($A2040="","",IFERROR(INDEX(Emp_Names,MATCH($A2040,Emp_Codes,0)),"NOT FOUND"))</f>
        <v/>
      </c>
      <c r="C2040" s="14" t="n"/>
      <c r="D2040" s="15" t="n"/>
      <c r="E2040" s="15" t="n"/>
      <c r="F2040" s="15" t="n"/>
      <c r="G2040" s="15" t="n"/>
      <c r="H2040" s="16">
        <f>IF($A2040="","",$D2040+IF($E2040="",0,$E2040)+IF($F2040="",0,$F2040)-IF($G2040="",0,$G2040))</f>
        <v/>
      </c>
      <c r="I2040" s="12" t="n"/>
      <c r="J2040" s="12" t="n"/>
      <c r="K2040" s="12" t="n"/>
      <c r="L2040" s="14" t="n"/>
      <c r="M2040" s="12" t="n"/>
      <c r="N2040" s="12" t="n"/>
      <c r="O2040" s="12" t="n"/>
    </row>
    <row r="2041">
      <c r="A2041" s="12" t="n"/>
      <c r="B2041" s="13">
        <f>IF($A2041="","",IFERROR(INDEX(Emp_Names,MATCH($A2041,Emp_Codes,0)),"NOT FOUND"))</f>
        <v/>
      </c>
      <c r="C2041" s="14" t="n"/>
      <c r="D2041" s="15" t="n"/>
      <c r="E2041" s="15" t="n"/>
      <c r="F2041" s="15" t="n"/>
      <c r="G2041" s="15" t="n"/>
      <c r="H2041" s="16">
        <f>IF($A2041="","",$D2041+IF($E2041="",0,$E2041)+IF($F2041="",0,$F2041)-IF($G2041="",0,$G2041))</f>
        <v/>
      </c>
      <c r="I2041" s="12" t="n"/>
      <c r="J2041" s="12" t="n"/>
      <c r="K2041" s="12" t="n"/>
      <c r="L2041" s="14" t="n"/>
      <c r="M2041" s="12" t="n"/>
      <c r="N2041" s="12" t="n"/>
      <c r="O2041" s="12" t="n"/>
    </row>
    <row r="2042">
      <c r="A2042" s="12" t="n"/>
      <c r="B2042" s="13">
        <f>IF($A2042="","",IFERROR(INDEX(Emp_Names,MATCH($A2042,Emp_Codes,0)),"NOT FOUND"))</f>
        <v/>
      </c>
      <c r="C2042" s="14" t="n"/>
      <c r="D2042" s="15" t="n"/>
      <c r="E2042" s="15" t="n"/>
      <c r="F2042" s="15" t="n"/>
      <c r="G2042" s="15" t="n"/>
      <c r="H2042" s="16">
        <f>IF($A2042="","",$D2042+IF($E2042="",0,$E2042)+IF($F2042="",0,$F2042)-IF($G2042="",0,$G2042))</f>
        <v/>
      </c>
      <c r="I2042" s="12" t="n"/>
      <c r="J2042" s="12" t="n"/>
      <c r="K2042" s="12" t="n"/>
      <c r="L2042" s="14" t="n"/>
      <c r="M2042" s="12" t="n"/>
      <c r="N2042" s="12" t="n"/>
      <c r="O2042" s="12" t="n"/>
    </row>
    <row r="2043">
      <c r="A2043" s="12" t="n"/>
      <c r="B2043" s="13">
        <f>IF($A2043="","",IFERROR(INDEX(Emp_Names,MATCH($A2043,Emp_Codes,0)),"NOT FOUND"))</f>
        <v/>
      </c>
      <c r="C2043" s="14" t="n"/>
      <c r="D2043" s="15" t="n"/>
      <c r="E2043" s="15" t="n"/>
      <c r="F2043" s="15" t="n"/>
      <c r="G2043" s="15" t="n"/>
      <c r="H2043" s="16">
        <f>IF($A2043="","",$D2043+IF($E2043="",0,$E2043)+IF($F2043="",0,$F2043)-IF($G2043="",0,$G2043))</f>
        <v/>
      </c>
      <c r="I2043" s="12" t="n"/>
      <c r="J2043" s="12" t="n"/>
      <c r="K2043" s="12" t="n"/>
      <c r="L2043" s="14" t="n"/>
      <c r="M2043" s="12" t="n"/>
      <c r="N2043" s="12" t="n"/>
      <c r="O2043" s="12" t="n"/>
    </row>
    <row r="2044">
      <c r="A2044" s="12" t="n"/>
      <c r="B2044" s="13">
        <f>IF($A2044="","",IFERROR(INDEX(Emp_Names,MATCH($A2044,Emp_Codes,0)),"NOT FOUND"))</f>
        <v/>
      </c>
      <c r="C2044" s="14" t="n"/>
      <c r="D2044" s="15" t="n"/>
      <c r="E2044" s="15" t="n"/>
      <c r="F2044" s="15" t="n"/>
      <c r="G2044" s="15" t="n"/>
      <c r="H2044" s="16">
        <f>IF($A2044="","",$D2044+IF($E2044="",0,$E2044)+IF($F2044="",0,$F2044)-IF($G2044="",0,$G2044))</f>
        <v/>
      </c>
      <c r="I2044" s="12" t="n"/>
      <c r="J2044" s="12" t="n"/>
      <c r="K2044" s="12" t="n"/>
      <c r="L2044" s="14" t="n"/>
      <c r="M2044" s="12" t="n"/>
      <c r="N2044" s="12" t="n"/>
      <c r="O2044" s="12" t="n"/>
    </row>
    <row r="2045">
      <c r="A2045" s="12" t="n"/>
      <c r="B2045" s="13">
        <f>IF($A2045="","",IFERROR(INDEX(Emp_Names,MATCH($A2045,Emp_Codes,0)),"NOT FOUND"))</f>
        <v/>
      </c>
      <c r="C2045" s="14" t="n"/>
      <c r="D2045" s="15" t="n"/>
      <c r="E2045" s="15" t="n"/>
      <c r="F2045" s="15" t="n"/>
      <c r="G2045" s="15" t="n"/>
      <c r="H2045" s="16">
        <f>IF($A2045="","",$D2045+IF($E2045="",0,$E2045)+IF($F2045="",0,$F2045)-IF($G2045="",0,$G2045))</f>
        <v/>
      </c>
      <c r="I2045" s="12" t="n"/>
      <c r="J2045" s="12" t="n"/>
      <c r="K2045" s="12" t="n"/>
      <c r="L2045" s="14" t="n"/>
      <c r="M2045" s="12" t="n"/>
      <c r="N2045" s="12" t="n"/>
      <c r="O2045" s="12" t="n"/>
    </row>
    <row r="2046">
      <c r="A2046" s="12" t="n"/>
      <c r="B2046" s="13">
        <f>IF($A2046="","",IFERROR(INDEX(Emp_Names,MATCH($A2046,Emp_Codes,0)),"NOT FOUND"))</f>
        <v/>
      </c>
      <c r="C2046" s="14" t="n"/>
      <c r="D2046" s="15" t="n"/>
      <c r="E2046" s="15" t="n"/>
      <c r="F2046" s="15" t="n"/>
      <c r="G2046" s="15" t="n"/>
      <c r="H2046" s="16">
        <f>IF($A2046="","",$D2046+IF($E2046="",0,$E2046)+IF($F2046="",0,$F2046)-IF($G2046="",0,$G2046))</f>
        <v/>
      </c>
      <c r="I2046" s="12" t="n"/>
      <c r="J2046" s="12" t="n"/>
      <c r="K2046" s="12" t="n"/>
      <c r="L2046" s="14" t="n"/>
      <c r="M2046" s="12" t="n"/>
      <c r="N2046" s="12" t="n"/>
      <c r="O2046" s="12" t="n"/>
    </row>
    <row r="2047">
      <c r="A2047" s="12" t="n"/>
      <c r="B2047" s="13">
        <f>IF($A2047="","",IFERROR(INDEX(Emp_Names,MATCH($A2047,Emp_Codes,0)),"NOT FOUND"))</f>
        <v/>
      </c>
      <c r="C2047" s="14" t="n"/>
      <c r="D2047" s="15" t="n"/>
      <c r="E2047" s="15" t="n"/>
      <c r="F2047" s="15" t="n"/>
      <c r="G2047" s="15" t="n"/>
      <c r="H2047" s="16">
        <f>IF($A2047="","",$D2047+IF($E2047="",0,$E2047)+IF($F2047="",0,$F2047)-IF($G2047="",0,$G2047))</f>
        <v/>
      </c>
      <c r="I2047" s="12" t="n"/>
      <c r="J2047" s="12" t="n"/>
      <c r="K2047" s="12" t="n"/>
      <c r="L2047" s="14" t="n"/>
      <c r="M2047" s="12" t="n"/>
      <c r="N2047" s="12" t="n"/>
      <c r="O2047" s="12" t="n"/>
    </row>
    <row r="2048">
      <c r="A2048" s="12" t="n"/>
      <c r="B2048" s="13">
        <f>IF($A2048="","",IFERROR(INDEX(Emp_Names,MATCH($A2048,Emp_Codes,0)),"NOT FOUND"))</f>
        <v/>
      </c>
      <c r="C2048" s="14" t="n"/>
      <c r="D2048" s="15" t="n"/>
      <c r="E2048" s="15" t="n"/>
      <c r="F2048" s="15" t="n"/>
      <c r="G2048" s="15" t="n"/>
      <c r="H2048" s="16">
        <f>IF($A2048="","",$D2048+IF($E2048="",0,$E2048)+IF($F2048="",0,$F2048)-IF($G2048="",0,$G2048))</f>
        <v/>
      </c>
      <c r="I2048" s="12" t="n"/>
      <c r="J2048" s="12" t="n"/>
      <c r="K2048" s="12" t="n"/>
      <c r="L2048" s="14" t="n"/>
      <c r="M2048" s="12" t="n"/>
      <c r="N2048" s="12" t="n"/>
      <c r="O2048" s="12" t="n"/>
    </row>
    <row r="2049">
      <c r="A2049" s="12" t="n"/>
      <c r="B2049" s="13">
        <f>IF($A2049="","",IFERROR(INDEX(Emp_Names,MATCH($A2049,Emp_Codes,0)),"NOT FOUND"))</f>
        <v/>
      </c>
      <c r="C2049" s="14" t="n"/>
      <c r="D2049" s="15" t="n"/>
      <c r="E2049" s="15" t="n"/>
      <c r="F2049" s="15" t="n"/>
      <c r="G2049" s="15" t="n"/>
      <c r="H2049" s="16">
        <f>IF($A2049="","",$D2049+IF($E2049="",0,$E2049)+IF($F2049="",0,$F2049)-IF($G2049="",0,$G2049))</f>
        <v/>
      </c>
      <c r="I2049" s="12" t="n"/>
      <c r="J2049" s="12" t="n"/>
      <c r="K2049" s="12" t="n"/>
      <c r="L2049" s="14" t="n"/>
      <c r="M2049" s="12" t="n"/>
      <c r="N2049" s="12" t="n"/>
      <c r="O2049" s="12" t="n"/>
    </row>
    <row r="2050">
      <c r="A2050" s="12" t="n"/>
      <c r="B2050" s="13">
        <f>IF($A2050="","",IFERROR(INDEX(Emp_Names,MATCH($A2050,Emp_Codes,0)),"NOT FOUND"))</f>
        <v/>
      </c>
      <c r="C2050" s="14" t="n"/>
      <c r="D2050" s="15" t="n"/>
      <c r="E2050" s="15" t="n"/>
      <c r="F2050" s="15" t="n"/>
      <c r="G2050" s="15" t="n"/>
      <c r="H2050" s="16">
        <f>IF($A2050="","",$D2050+IF($E2050="",0,$E2050)+IF($F2050="",0,$F2050)-IF($G2050="",0,$G2050))</f>
        <v/>
      </c>
      <c r="I2050" s="12" t="n"/>
      <c r="J2050" s="12" t="n"/>
      <c r="K2050" s="12" t="n"/>
      <c r="L2050" s="14" t="n"/>
      <c r="M2050" s="12" t="n"/>
      <c r="N2050" s="12" t="n"/>
      <c r="O2050" s="12" t="n"/>
    </row>
    <row r="2051">
      <c r="A2051" s="12" t="n"/>
      <c r="B2051" s="13">
        <f>IF($A2051="","",IFERROR(INDEX(Emp_Names,MATCH($A2051,Emp_Codes,0)),"NOT FOUND"))</f>
        <v/>
      </c>
      <c r="C2051" s="14" t="n"/>
      <c r="D2051" s="15" t="n"/>
      <c r="E2051" s="15" t="n"/>
      <c r="F2051" s="15" t="n"/>
      <c r="G2051" s="15" t="n"/>
      <c r="H2051" s="16">
        <f>IF($A2051="","",$D2051+IF($E2051="",0,$E2051)+IF($F2051="",0,$F2051)-IF($G2051="",0,$G2051))</f>
        <v/>
      </c>
      <c r="I2051" s="12" t="n"/>
      <c r="J2051" s="12" t="n"/>
      <c r="K2051" s="12" t="n"/>
      <c r="L2051" s="14" t="n"/>
      <c r="M2051" s="12" t="n"/>
      <c r="N2051" s="12" t="n"/>
      <c r="O2051" s="12" t="n"/>
    </row>
    <row r="2052">
      <c r="A2052" s="12" t="n"/>
      <c r="B2052" s="13">
        <f>IF($A2052="","",IFERROR(INDEX(Emp_Names,MATCH($A2052,Emp_Codes,0)),"NOT FOUND"))</f>
        <v/>
      </c>
      <c r="C2052" s="14" t="n"/>
      <c r="D2052" s="15" t="n"/>
      <c r="E2052" s="15" t="n"/>
      <c r="F2052" s="15" t="n"/>
      <c r="G2052" s="15" t="n"/>
      <c r="H2052" s="16">
        <f>IF($A2052="","",$D2052+IF($E2052="",0,$E2052)+IF($F2052="",0,$F2052)-IF($G2052="",0,$G2052))</f>
        <v/>
      </c>
      <c r="I2052" s="12" t="n"/>
      <c r="J2052" s="12" t="n"/>
      <c r="K2052" s="12" t="n"/>
      <c r="L2052" s="14" t="n"/>
      <c r="M2052" s="12" t="n"/>
      <c r="N2052" s="12" t="n"/>
      <c r="O2052" s="12" t="n"/>
    </row>
    <row r="2053">
      <c r="A2053" s="12" t="n"/>
      <c r="B2053" s="13">
        <f>IF($A2053="","",IFERROR(INDEX(Emp_Names,MATCH($A2053,Emp_Codes,0)),"NOT FOUND"))</f>
        <v/>
      </c>
      <c r="C2053" s="14" t="n"/>
      <c r="D2053" s="15" t="n"/>
      <c r="E2053" s="15" t="n"/>
      <c r="F2053" s="15" t="n"/>
      <c r="G2053" s="15" t="n"/>
      <c r="H2053" s="16">
        <f>IF($A2053="","",$D2053+IF($E2053="",0,$E2053)+IF($F2053="",0,$F2053)-IF($G2053="",0,$G2053))</f>
        <v/>
      </c>
      <c r="I2053" s="12" t="n"/>
      <c r="J2053" s="12" t="n"/>
      <c r="K2053" s="12" t="n"/>
      <c r="L2053" s="14" t="n"/>
      <c r="M2053" s="12" t="n"/>
      <c r="N2053" s="12" t="n"/>
      <c r="O2053" s="12" t="n"/>
    </row>
    <row r="2054">
      <c r="A2054" s="12" t="n"/>
      <c r="B2054" s="13">
        <f>IF($A2054="","",IFERROR(INDEX(Emp_Names,MATCH($A2054,Emp_Codes,0)),"NOT FOUND"))</f>
        <v/>
      </c>
      <c r="C2054" s="14" t="n"/>
      <c r="D2054" s="15" t="n"/>
      <c r="E2054" s="15" t="n"/>
      <c r="F2054" s="15" t="n"/>
      <c r="G2054" s="15" t="n"/>
      <c r="H2054" s="16">
        <f>IF($A2054="","",$D2054+IF($E2054="",0,$E2054)+IF($F2054="",0,$F2054)-IF($G2054="",0,$G2054))</f>
        <v/>
      </c>
      <c r="I2054" s="12" t="n"/>
      <c r="J2054" s="12" t="n"/>
      <c r="K2054" s="12" t="n"/>
      <c r="L2054" s="14" t="n"/>
      <c r="M2054" s="12" t="n"/>
      <c r="N2054" s="12" t="n"/>
      <c r="O2054" s="12" t="n"/>
    </row>
    <row r="2055">
      <c r="A2055" s="12" t="n"/>
      <c r="B2055" s="13">
        <f>IF($A2055="","",IFERROR(INDEX(Emp_Names,MATCH($A2055,Emp_Codes,0)),"NOT FOUND"))</f>
        <v/>
      </c>
      <c r="C2055" s="14" t="n"/>
      <c r="D2055" s="15" t="n"/>
      <c r="E2055" s="15" t="n"/>
      <c r="F2055" s="15" t="n"/>
      <c r="G2055" s="15" t="n"/>
      <c r="H2055" s="16">
        <f>IF($A2055="","",$D2055+IF($E2055="",0,$E2055)+IF($F2055="",0,$F2055)-IF($G2055="",0,$G2055))</f>
        <v/>
      </c>
      <c r="I2055" s="12" t="n"/>
      <c r="J2055" s="12" t="n"/>
      <c r="K2055" s="12" t="n"/>
      <c r="L2055" s="14" t="n"/>
      <c r="M2055" s="12" t="n"/>
      <c r="N2055" s="12" t="n"/>
      <c r="O2055" s="12" t="n"/>
    </row>
    <row r="2056">
      <c r="A2056" s="12" t="n"/>
      <c r="B2056" s="13">
        <f>IF($A2056="","",IFERROR(INDEX(Emp_Names,MATCH($A2056,Emp_Codes,0)),"NOT FOUND"))</f>
        <v/>
      </c>
      <c r="C2056" s="14" t="n"/>
      <c r="D2056" s="15" t="n"/>
      <c r="E2056" s="15" t="n"/>
      <c r="F2056" s="15" t="n"/>
      <c r="G2056" s="15" t="n"/>
      <c r="H2056" s="16">
        <f>IF($A2056="","",$D2056+IF($E2056="",0,$E2056)+IF($F2056="",0,$F2056)-IF($G2056="",0,$G2056))</f>
        <v/>
      </c>
      <c r="I2056" s="12" t="n"/>
      <c r="J2056" s="12" t="n"/>
      <c r="K2056" s="12" t="n"/>
      <c r="L2056" s="14" t="n"/>
      <c r="M2056" s="12" t="n"/>
      <c r="N2056" s="12" t="n"/>
      <c r="O2056" s="12" t="n"/>
    </row>
    <row r="2057">
      <c r="A2057" s="12" t="n"/>
      <c r="B2057" s="13">
        <f>IF($A2057="","",IFERROR(INDEX(Emp_Names,MATCH($A2057,Emp_Codes,0)),"NOT FOUND"))</f>
        <v/>
      </c>
      <c r="C2057" s="14" t="n"/>
      <c r="D2057" s="15" t="n"/>
      <c r="E2057" s="15" t="n"/>
      <c r="F2057" s="15" t="n"/>
      <c r="G2057" s="15" t="n"/>
      <c r="H2057" s="16">
        <f>IF($A2057="","",$D2057+IF($E2057="",0,$E2057)+IF($F2057="",0,$F2057)-IF($G2057="",0,$G2057))</f>
        <v/>
      </c>
      <c r="I2057" s="12" t="n"/>
      <c r="J2057" s="12" t="n"/>
      <c r="K2057" s="12" t="n"/>
      <c r="L2057" s="14" t="n"/>
      <c r="M2057" s="12" t="n"/>
      <c r="N2057" s="12" t="n"/>
      <c r="O2057" s="12" t="n"/>
    </row>
    <row r="2058">
      <c r="A2058" s="12" t="n"/>
      <c r="B2058" s="13">
        <f>IF($A2058="","",IFERROR(INDEX(Emp_Names,MATCH($A2058,Emp_Codes,0)),"NOT FOUND"))</f>
        <v/>
      </c>
      <c r="C2058" s="14" t="n"/>
      <c r="D2058" s="15" t="n"/>
      <c r="E2058" s="15" t="n"/>
      <c r="F2058" s="15" t="n"/>
      <c r="G2058" s="15" t="n"/>
      <c r="H2058" s="16">
        <f>IF($A2058="","",$D2058+IF($E2058="",0,$E2058)+IF($F2058="",0,$F2058)-IF($G2058="",0,$G2058))</f>
        <v/>
      </c>
      <c r="I2058" s="12" t="n"/>
      <c r="J2058" s="12" t="n"/>
      <c r="K2058" s="12" t="n"/>
      <c r="L2058" s="14" t="n"/>
      <c r="M2058" s="12" t="n"/>
      <c r="N2058" s="12" t="n"/>
      <c r="O2058" s="12" t="n"/>
    </row>
    <row r="2059">
      <c r="A2059" s="12" t="n"/>
      <c r="B2059" s="13">
        <f>IF($A2059="","",IFERROR(INDEX(Emp_Names,MATCH($A2059,Emp_Codes,0)),"NOT FOUND"))</f>
        <v/>
      </c>
      <c r="C2059" s="14" t="n"/>
      <c r="D2059" s="15" t="n"/>
      <c r="E2059" s="15" t="n"/>
      <c r="F2059" s="15" t="n"/>
      <c r="G2059" s="15" t="n"/>
      <c r="H2059" s="16">
        <f>IF($A2059="","",$D2059+IF($E2059="",0,$E2059)+IF($F2059="",0,$F2059)-IF($G2059="",0,$G2059))</f>
        <v/>
      </c>
      <c r="I2059" s="12" t="n"/>
      <c r="J2059" s="12" t="n"/>
      <c r="K2059" s="12" t="n"/>
      <c r="L2059" s="14" t="n"/>
      <c r="M2059" s="12" t="n"/>
      <c r="N2059" s="12" t="n"/>
      <c r="O2059" s="12" t="n"/>
    </row>
    <row r="2060">
      <c r="A2060" s="12" t="n"/>
      <c r="B2060" s="13">
        <f>IF($A2060="","",IFERROR(INDEX(Emp_Names,MATCH($A2060,Emp_Codes,0)),"NOT FOUND"))</f>
        <v/>
      </c>
      <c r="C2060" s="14" t="n"/>
      <c r="D2060" s="15" t="n"/>
      <c r="E2060" s="15" t="n"/>
      <c r="F2060" s="15" t="n"/>
      <c r="G2060" s="15" t="n"/>
      <c r="H2060" s="16">
        <f>IF($A2060="","",$D2060+IF($E2060="",0,$E2060)+IF($F2060="",0,$F2060)-IF($G2060="",0,$G2060))</f>
        <v/>
      </c>
      <c r="I2060" s="12" t="n"/>
      <c r="J2060" s="12" t="n"/>
      <c r="K2060" s="12" t="n"/>
      <c r="L2060" s="14" t="n"/>
      <c r="M2060" s="12" t="n"/>
      <c r="N2060" s="12" t="n"/>
      <c r="O2060" s="12" t="n"/>
    </row>
    <row r="2061">
      <c r="A2061" s="12" t="n"/>
      <c r="B2061" s="13">
        <f>IF($A2061="","",IFERROR(INDEX(Emp_Names,MATCH($A2061,Emp_Codes,0)),"NOT FOUND"))</f>
        <v/>
      </c>
      <c r="C2061" s="14" t="n"/>
      <c r="D2061" s="15" t="n"/>
      <c r="E2061" s="15" t="n"/>
      <c r="F2061" s="15" t="n"/>
      <c r="G2061" s="15" t="n"/>
      <c r="H2061" s="16">
        <f>IF($A2061="","",$D2061+IF($E2061="",0,$E2061)+IF($F2061="",0,$F2061)-IF($G2061="",0,$G2061))</f>
        <v/>
      </c>
      <c r="I2061" s="12" t="n"/>
      <c r="J2061" s="12" t="n"/>
      <c r="K2061" s="12" t="n"/>
      <c r="L2061" s="14" t="n"/>
      <c r="M2061" s="12" t="n"/>
      <c r="N2061" s="12" t="n"/>
      <c r="O2061" s="12" t="n"/>
    </row>
    <row r="2062">
      <c r="A2062" s="12" t="n"/>
      <c r="B2062" s="13">
        <f>IF($A2062="","",IFERROR(INDEX(Emp_Names,MATCH($A2062,Emp_Codes,0)),"NOT FOUND"))</f>
        <v/>
      </c>
      <c r="C2062" s="14" t="n"/>
      <c r="D2062" s="15" t="n"/>
      <c r="E2062" s="15" t="n"/>
      <c r="F2062" s="15" t="n"/>
      <c r="G2062" s="15" t="n"/>
      <c r="H2062" s="16">
        <f>IF($A2062="","",$D2062+IF($E2062="",0,$E2062)+IF($F2062="",0,$F2062)-IF($G2062="",0,$G2062))</f>
        <v/>
      </c>
      <c r="I2062" s="12" t="n"/>
      <c r="J2062" s="12" t="n"/>
      <c r="K2062" s="12" t="n"/>
      <c r="L2062" s="14" t="n"/>
      <c r="M2062" s="12" t="n"/>
      <c r="N2062" s="12" t="n"/>
      <c r="O2062" s="12" t="n"/>
    </row>
    <row r="2063">
      <c r="A2063" s="12" t="n"/>
      <c r="B2063" s="13">
        <f>IF($A2063="","",IFERROR(INDEX(Emp_Names,MATCH($A2063,Emp_Codes,0)),"NOT FOUND"))</f>
        <v/>
      </c>
      <c r="C2063" s="14" t="n"/>
      <c r="D2063" s="15" t="n"/>
      <c r="E2063" s="15" t="n"/>
      <c r="F2063" s="15" t="n"/>
      <c r="G2063" s="15" t="n"/>
      <c r="H2063" s="16">
        <f>IF($A2063="","",$D2063+IF($E2063="",0,$E2063)+IF($F2063="",0,$F2063)-IF($G2063="",0,$G2063))</f>
        <v/>
      </c>
      <c r="I2063" s="12" t="n"/>
      <c r="J2063" s="12" t="n"/>
      <c r="K2063" s="12" t="n"/>
      <c r="L2063" s="14" t="n"/>
      <c r="M2063" s="12" t="n"/>
      <c r="N2063" s="12" t="n"/>
      <c r="O2063" s="12" t="n"/>
    </row>
    <row r="2064">
      <c r="A2064" s="12" t="n"/>
      <c r="B2064" s="13">
        <f>IF($A2064="","",IFERROR(INDEX(Emp_Names,MATCH($A2064,Emp_Codes,0)),"NOT FOUND"))</f>
        <v/>
      </c>
      <c r="C2064" s="14" t="n"/>
      <c r="D2064" s="15" t="n"/>
      <c r="E2064" s="15" t="n"/>
      <c r="F2064" s="15" t="n"/>
      <c r="G2064" s="15" t="n"/>
      <c r="H2064" s="16">
        <f>IF($A2064="","",$D2064+IF($E2064="",0,$E2064)+IF($F2064="",0,$F2064)-IF($G2064="",0,$G2064))</f>
        <v/>
      </c>
      <c r="I2064" s="12" t="n"/>
      <c r="J2064" s="12" t="n"/>
      <c r="K2064" s="12" t="n"/>
      <c r="L2064" s="14" t="n"/>
      <c r="M2064" s="12" t="n"/>
      <c r="N2064" s="12" t="n"/>
      <c r="O2064" s="12" t="n"/>
    </row>
    <row r="2065">
      <c r="A2065" s="12" t="n"/>
      <c r="B2065" s="13">
        <f>IF($A2065="","",IFERROR(INDEX(Emp_Names,MATCH($A2065,Emp_Codes,0)),"NOT FOUND"))</f>
        <v/>
      </c>
      <c r="C2065" s="14" t="n"/>
      <c r="D2065" s="15" t="n"/>
      <c r="E2065" s="15" t="n"/>
      <c r="F2065" s="15" t="n"/>
      <c r="G2065" s="15" t="n"/>
      <c r="H2065" s="16">
        <f>IF($A2065="","",$D2065+IF($E2065="",0,$E2065)+IF($F2065="",0,$F2065)-IF($G2065="",0,$G2065))</f>
        <v/>
      </c>
      <c r="I2065" s="12" t="n"/>
      <c r="J2065" s="12" t="n"/>
      <c r="K2065" s="12" t="n"/>
      <c r="L2065" s="14" t="n"/>
      <c r="M2065" s="12" t="n"/>
      <c r="N2065" s="12" t="n"/>
      <c r="O2065" s="12" t="n"/>
    </row>
    <row r="2066">
      <c r="A2066" s="12" t="n"/>
      <c r="B2066" s="13">
        <f>IF($A2066="","",IFERROR(INDEX(Emp_Names,MATCH($A2066,Emp_Codes,0)),"NOT FOUND"))</f>
        <v/>
      </c>
      <c r="C2066" s="14" t="n"/>
      <c r="D2066" s="15" t="n"/>
      <c r="E2066" s="15" t="n"/>
      <c r="F2066" s="15" t="n"/>
      <c r="G2066" s="15" t="n"/>
      <c r="H2066" s="16">
        <f>IF($A2066="","",$D2066+IF($E2066="",0,$E2066)+IF($F2066="",0,$F2066)-IF($G2066="",0,$G2066))</f>
        <v/>
      </c>
      <c r="I2066" s="12" t="n"/>
      <c r="J2066" s="12" t="n"/>
      <c r="K2066" s="12" t="n"/>
      <c r="L2066" s="14" t="n"/>
      <c r="M2066" s="12" t="n"/>
      <c r="N2066" s="12" t="n"/>
      <c r="O2066" s="12" t="n"/>
    </row>
    <row r="2067">
      <c r="A2067" s="12" t="n"/>
      <c r="B2067" s="13">
        <f>IF($A2067="","",IFERROR(INDEX(Emp_Names,MATCH($A2067,Emp_Codes,0)),"NOT FOUND"))</f>
        <v/>
      </c>
      <c r="C2067" s="14" t="n"/>
      <c r="D2067" s="15" t="n"/>
      <c r="E2067" s="15" t="n"/>
      <c r="F2067" s="15" t="n"/>
      <c r="G2067" s="15" t="n"/>
      <c r="H2067" s="16">
        <f>IF($A2067="","",$D2067+IF($E2067="",0,$E2067)+IF($F2067="",0,$F2067)-IF($G2067="",0,$G2067))</f>
        <v/>
      </c>
      <c r="I2067" s="12" t="n"/>
      <c r="J2067" s="12" t="n"/>
      <c r="K2067" s="12" t="n"/>
      <c r="L2067" s="14" t="n"/>
      <c r="M2067" s="12" t="n"/>
      <c r="N2067" s="12" t="n"/>
      <c r="O2067" s="12" t="n"/>
    </row>
    <row r="2068">
      <c r="A2068" s="12" t="n"/>
      <c r="B2068" s="13">
        <f>IF($A2068="","",IFERROR(INDEX(Emp_Names,MATCH($A2068,Emp_Codes,0)),"NOT FOUND"))</f>
        <v/>
      </c>
      <c r="C2068" s="14" t="n"/>
      <c r="D2068" s="15" t="n"/>
      <c r="E2068" s="15" t="n"/>
      <c r="F2068" s="15" t="n"/>
      <c r="G2068" s="15" t="n"/>
      <c r="H2068" s="16">
        <f>IF($A2068="","",$D2068+IF($E2068="",0,$E2068)+IF($F2068="",0,$F2068)-IF($G2068="",0,$G2068))</f>
        <v/>
      </c>
      <c r="I2068" s="12" t="n"/>
      <c r="J2068" s="12" t="n"/>
      <c r="K2068" s="12" t="n"/>
      <c r="L2068" s="14" t="n"/>
      <c r="M2068" s="12" t="n"/>
      <c r="N2068" s="12" t="n"/>
      <c r="O2068" s="12" t="n"/>
    </row>
    <row r="2069">
      <c r="A2069" s="12" t="n"/>
      <c r="B2069" s="13">
        <f>IF($A2069="","",IFERROR(INDEX(Emp_Names,MATCH($A2069,Emp_Codes,0)),"NOT FOUND"))</f>
        <v/>
      </c>
      <c r="C2069" s="14" t="n"/>
      <c r="D2069" s="15" t="n"/>
      <c r="E2069" s="15" t="n"/>
      <c r="F2069" s="15" t="n"/>
      <c r="G2069" s="15" t="n"/>
      <c r="H2069" s="16">
        <f>IF($A2069="","",$D2069+IF($E2069="",0,$E2069)+IF($F2069="",0,$F2069)-IF($G2069="",0,$G2069))</f>
        <v/>
      </c>
      <c r="I2069" s="12" t="n"/>
      <c r="J2069" s="12" t="n"/>
      <c r="K2069" s="12" t="n"/>
      <c r="L2069" s="14" t="n"/>
      <c r="M2069" s="12" t="n"/>
      <c r="N2069" s="12" t="n"/>
      <c r="O2069" s="12" t="n"/>
    </row>
    <row r="2070">
      <c r="A2070" s="12" t="n"/>
      <c r="B2070" s="13">
        <f>IF($A2070="","",IFERROR(INDEX(Emp_Names,MATCH($A2070,Emp_Codes,0)),"NOT FOUND"))</f>
        <v/>
      </c>
      <c r="C2070" s="14" t="n"/>
      <c r="D2070" s="15" t="n"/>
      <c r="E2070" s="15" t="n"/>
      <c r="F2070" s="15" t="n"/>
      <c r="G2070" s="15" t="n"/>
      <c r="H2070" s="16">
        <f>IF($A2070="","",$D2070+IF($E2070="",0,$E2070)+IF($F2070="",0,$F2070)-IF($G2070="",0,$G2070))</f>
        <v/>
      </c>
      <c r="I2070" s="12" t="n"/>
      <c r="J2070" s="12" t="n"/>
      <c r="K2070" s="12" t="n"/>
      <c r="L2070" s="14" t="n"/>
      <c r="M2070" s="12" t="n"/>
      <c r="N2070" s="12" t="n"/>
      <c r="O2070" s="12" t="n"/>
    </row>
    <row r="2071">
      <c r="A2071" s="12" t="n"/>
      <c r="B2071" s="13">
        <f>IF($A2071="","",IFERROR(INDEX(Emp_Names,MATCH($A2071,Emp_Codes,0)),"NOT FOUND"))</f>
        <v/>
      </c>
      <c r="C2071" s="14" t="n"/>
      <c r="D2071" s="15" t="n"/>
      <c r="E2071" s="15" t="n"/>
      <c r="F2071" s="15" t="n"/>
      <c r="G2071" s="15" t="n"/>
      <c r="H2071" s="16">
        <f>IF($A2071="","",$D2071+IF($E2071="",0,$E2071)+IF($F2071="",0,$F2071)-IF($G2071="",0,$G2071))</f>
        <v/>
      </c>
      <c r="I2071" s="12" t="n"/>
      <c r="J2071" s="12" t="n"/>
      <c r="K2071" s="12" t="n"/>
      <c r="L2071" s="14" t="n"/>
      <c r="M2071" s="12" t="n"/>
      <c r="N2071" s="12" t="n"/>
      <c r="O2071" s="12" t="n"/>
    </row>
    <row r="2072">
      <c r="A2072" s="12" t="n"/>
      <c r="B2072" s="13">
        <f>IF($A2072="","",IFERROR(INDEX(Emp_Names,MATCH($A2072,Emp_Codes,0)),"NOT FOUND"))</f>
        <v/>
      </c>
      <c r="C2072" s="14" t="n"/>
      <c r="D2072" s="15" t="n"/>
      <c r="E2072" s="15" t="n"/>
      <c r="F2072" s="15" t="n"/>
      <c r="G2072" s="15" t="n"/>
      <c r="H2072" s="16">
        <f>IF($A2072="","",$D2072+IF($E2072="",0,$E2072)+IF($F2072="",0,$F2072)-IF($G2072="",0,$G2072))</f>
        <v/>
      </c>
      <c r="I2072" s="12" t="n"/>
      <c r="J2072" s="12" t="n"/>
      <c r="K2072" s="12" t="n"/>
      <c r="L2072" s="14" t="n"/>
      <c r="M2072" s="12" t="n"/>
      <c r="N2072" s="12" t="n"/>
      <c r="O2072" s="12" t="n"/>
    </row>
    <row r="2073">
      <c r="A2073" s="12" t="n"/>
      <c r="B2073" s="13">
        <f>IF($A2073="","",IFERROR(INDEX(Emp_Names,MATCH($A2073,Emp_Codes,0)),"NOT FOUND"))</f>
        <v/>
      </c>
      <c r="C2073" s="14" t="n"/>
      <c r="D2073" s="15" t="n"/>
      <c r="E2073" s="15" t="n"/>
      <c r="F2073" s="15" t="n"/>
      <c r="G2073" s="15" t="n"/>
      <c r="H2073" s="16">
        <f>IF($A2073="","",$D2073+IF($E2073="",0,$E2073)+IF($F2073="",0,$F2073)-IF($G2073="",0,$G2073))</f>
        <v/>
      </c>
      <c r="I2073" s="12" t="n"/>
      <c r="J2073" s="12" t="n"/>
      <c r="K2073" s="12" t="n"/>
      <c r="L2073" s="14" t="n"/>
      <c r="M2073" s="12" t="n"/>
      <c r="N2073" s="12" t="n"/>
      <c r="O2073" s="12" t="n"/>
    </row>
    <row r="2074">
      <c r="A2074" s="12" t="n"/>
      <c r="B2074" s="13">
        <f>IF($A2074="","",IFERROR(INDEX(Emp_Names,MATCH($A2074,Emp_Codes,0)),"NOT FOUND"))</f>
        <v/>
      </c>
      <c r="C2074" s="14" t="n"/>
      <c r="D2074" s="15" t="n"/>
      <c r="E2074" s="15" t="n"/>
      <c r="F2074" s="15" t="n"/>
      <c r="G2074" s="15" t="n"/>
      <c r="H2074" s="16">
        <f>IF($A2074="","",$D2074+IF($E2074="",0,$E2074)+IF($F2074="",0,$F2074)-IF($G2074="",0,$G2074))</f>
        <v/>
      </c>
      <c r="I2074" s="12" t="n"/>
      <c r="J2074" s="12" t="n"/>
      <c r="K2074" s="12" t="n"/>
      <c r="L2074" s="14" t="n"/>
      <c r="M2074" s="12" t="n"/>
      <c r="N2074" s="12" t="n"/>
      <c r="O2074" s="12" t="n"/>
    </row>
    <row r="2075">
      <c r="A2075" s="12" t="n"/>
      <c r="B2075" s="13">
        <f>IF($A2075="","",IFERROR(INDEX(Emp_Names,MATCH($A2075,Emp_Codes,0)),"NOT FOUND"))</f>
        <v/>
      </c>
      <c r="C2075" s="14" t="n"/>
      <c r="D2075" s="15" t="n"/>
      <c r="E2075" s="15" t="n"/>
      <c r="F2075" s="15" t="n"/>
      <c r="G2075" s="15" t="n"/>
      <c r="H2075" s="16">
        <f>IF($A2075="","",$D2075+IF($E2075="",0,$E2075)+IF($F2075="",0,$F2075)-IF($G2075="",0,$G2075))</f>
        <v/>
      </c>
      <c r="I2075" s="12" t="n"/>
      <c r="J2075" s="12" t="n"/>
      <c r="K2075" s="12" t="n"/>
      <c r="L2075" s="14" t="n"/>
      <c r="M2075" s="12" t="n"/>
      <c r="N2075" s="12" t="n"/>
      <c r="O2075" s="12" t="n"/>
    </row>
    <row r="2076">
      <c r="A2076" s="12" t="n"/>
      <c r="B2076" s="13">
        <f>IF($A2076="","",IFERROR(INDEX(Emp_Names,MATCH($A2076,Emp_Codes,0)),"NOT FOUND"))</f>
        <v/>
      </c>
      <c r="C2076" s="14" t="n"/>
      <c r="D2076" s="15" t="n"/>
      <c r="E2076" s="15" t="n"/>
      <c r="F2076" s="15" t="n"/>
      <c r="G2076" s="15" t="n"/>
      <c r="H2076" s="16">
        <f>IF($A2076="","",$D2076+IF($E2076="",0,$E2076)+IF($F2076="",0,$F2076)-IF($G2076="",0,$G2076))</f>
        <v/>
      </c>
      <c r="I2076" s="12" t="n"/>
      <c r="J2076" s="12" t="n"/>
      <c r="K2076" s="12" t="n"/>
      <c r="L2076" s="14" t="n"/>
      <c r="M2076" s="12" t="n"/>
      <c r="N2076" s="12" t="n"/>
      <c r="O2076" s="12" t="n"/>
    </row>
    <row r="2077">
      <c r="A2077" s="12" t="n"/>
      <c r="B2077" s="13">
        <f>IF($A2077="","",IFERROR(INDEX(Emp_Names,MATCH($A2077,Emp_Codes,0)),"NOT FOUND"))</f>
        <v/>
      </c>
      <c r="C2077" s="14" t="n"/>
      <c r="D2077" s="15" t="n"/>
      <c r="E2077" s="15" t="n"/>
      <c r="F2077" s="15" t="n"/>
      <c r="G2077" s="15" t="n"/>
      <c r="H2077" s="16">
        <f>IF($A2077="","",$D2077+IF($E2077="",0,$E2077)+IF($F2077="",0,$F2077)-IF($G2077="",0,$G2077))</f>
        <v/>
      </c>
      <c r="I2077" s="12" t="n"/>
      <c r="J2077" s="12" t="n"/>
      <c r="K2077" s="12" t="n"/>
      <c r="L2077" s="14" t="n"/>
      <c r="M2077" s="12" t="n"/>
      <c r="N2077" s="12" t="n"/>
      <c r="O2077" s="12" t="n"/>
    </row>
    <row r="2078">
      <c r="A2078" s="12" t="n"/>
      <c r="B2078" s="13">
        <f>IF($A2078="","",IFERROR(INDEX(Emp_Names,MATCH($A2078,Emp_Codes,0)),"NOT FOUND"))</f>
        <v/>
      </c>
      <c r="C2078" s="14" t="n"/>
      <c r="D2078" s="15" t="n"/>
      <c r="E2078" s="15" t="n"/>
      <c r="F2078" s="15" t="n"/>
      <c r="G2078" s="15" t="n"/>
      <c r="H2078" s="16">
        <f>IF($A2078="","",$D2078+IF($E2078="",0,$E2078)+IF($F2078="",0,$F2078)-IF($G2078="",0,$G2078))</f>
        <v/>
      </c>
      <c r="I2078" s="12" t="n"/>
      <c r="J2078" s="12" t="n"/>
      <c r="K2078" s="12" t="n"/>
      <c r="L2078" s="14" t="n"/>
      <c r="M2078" s="12" t="n"/>
      <c r="N2078" s="12" t="n"/>
      <c r="O2078" s="12" t="n"/>
    </row>
    <row r="2079">
      <c r="A2079" s="12" t="n"/>
      <c r="B2079" s="13">
        <f>IF($A2079="","",IFERROR(INDEX(Emp_Names,MATCH($A2079,Emp_Codes,0)),"NOT FOUND"))</f>
        <v/>
      </c>
      <c r="C2079" s="14" t="n"/>
      <c r="D2079" s="15" t="n"/>
      <c r="E2079" s="15" t="n"/>
      <c r="F2079" s="15" t="n"/>
      <c r="G2079" s="15" t="n"/>
      <c r="H2079" s="16">
        <f>IF($A2079="","",$D2079+IF($E2079="",0,$E2079)+IF($F2079="",0,$F2079)-IF($G2079="",0,$G2079))</f>
        <v/>
      </c>
      <c r="I2079" s="12" t="n"/>
      <c r="J2079" s="12" t="n"/>
      <c r="K2079" s="12" t="n"/>
      <c r="L2079" s="14" t="n"/>
      <c r="M2079" s="12" t="n"/>
      <c r="N2079" s="12" t="n"/>
      <c r="O2079" s="12" t="n"/>
    </row>
    <row r="2080">
      <c r="A2080" s="12" t="n"/>
      <c r="B2080" s="13">
        <f>IF($A2080="","",IFERROR(INDEX(Emp_Names,MATCH($A2080,Emp_Codes,0)),"NOT FOUND"))</f>
        <v/>
      </c>
      <c r="C2080" s="14" t="n"/>
      <c r="D2080" s="15" t="n"/>
      <c r="E2080" s="15" t="n"/>
      <c r="F2080" s="15" t="n"/>
      <c r="G2080" s="15" t="n"/>
      <c r="H2080" s="16">
        <f>IF($A2080="","",$D2080+IF($E2080="",0,$E2080)+IF($F2080="",0,$F2080)-IF($G2080="",0,$G2080))</f>
        <v/>
      </c>
      <c r="I2080" s="12" t="n"/>
      <c r="J2080" s="12" t="n"/>
      <c r="K2080" s="12" t="n"/>
      <c r="L2080" s="14" t="n"/>
      <c r="M2080" s="12" t="n"/>
      <c r="N2080" s="12" t="n"/>
      <c r="O2080" s="12" t="n"/>
    </row>
    <row r="2081">
      <c r="A2081" s="12" t="n"/>
      <c r="B2081" s="13">
        <f>IF($A2081="","",IFERROR(INDEX(Emp_Names,MATCH($A2081,Emp_Codes,0)),"NOT FOUND"))</f>
        <v/>
      </c>
      <c r="C2081" s="14" t="n"/>
      <c r="D2081" s="15" t="n"/>
      <c r="E2081" s="15" t="n"/>
      <c r="F2081" s="15" t="n"/>
      <c r="G2081" s="15" t="n"/>
      <c r="H2081" s="16">
        <f>IF($A2081="","",$D2081+IF($E2081="",0,$E2081)+IF($F2081="",0,$F2081)-IF($G2081="",0,$G2081))</f>
        <v/>
      </c>
      <c r="I2081" s="12" t="n"/>
      <c r="J2081" s="12" t="n"/>
      <c r="K2081" s="12" t="n"/>
      <c r="L2081" s="14" t="n"/>
      <c r="M2081" s="12" t="n"/>
      <c r="N2081" s="12" t="n"/>
      <c r="O2081" s="12" t="n"/>
    </row>
    <row r="2082">
      <c r="A2082" s="12" t="n"/>
      <c r="B2082" s="13">
        <f>IF($A2082="","",IFERROR(INDEX(Emp_Names,MATCH($A2082,Emp_Codes,0)),"NOT FOUND"))</f>
        <v/>
      </c>
      <c r="C2082" s="14" t="n"/>
      <c r="D2082" s="15" t="n"/>
      <c r="E2082" s="15" t="n"/>
      <c r="F2082" s="15" t="n"/>
      <c r="G2082" s="15" t="n"/>
      <c r="H2082" s="16">
        <f>IF($A2082="","",$D2082+IF($E2082="",0,$E2082)+IF($F2082="",0,$F2082)-IF($G2082="",0,$G2082))</f>
        <v/>
      </c>
      <c r="I2082" s="12" t="n"/>
      <c r="J2082" s="12" t="n"/>
      <c r="K2082" s="12" t="n"/>
      <c r="L2082" s="14" t="n"/>
      <c r="M2082" s="12" t="n"/>
      <c r="N2082" s="12" t="n"/>
      <c r="O2082" s="12" t="n"/>
    </row>
    <row r="2083">
      <c r="A2083" s="12" t="n"/>
      <c r="B2083" s="13">
        <f>IF($A2083="","",IFERROR(INDEX(Emp_Names,MATCH($A2083,Emp_Codes,0)),"NOT FOUND"))</f>
        <v/>
      </c>
      <c r="C2083" s="14" t="n"/>
      <c r="D2083" s="15" t="n"/>
      <c r="E2083" s="15" t="n"/>
      <c r="F2083" s="15" t="n"/>
      <c r="G2083" s="15" t="n"/>
      <c r="H2083" s="16">
        <f>IF($A2083="","",$D2083+IF($E2083="",0,$E2083)+IF($F2083="",0,$F2083)-IF($G2083="",0,$G2083))</f>
        <v/>
      </c>
      <c r="I2083" s="12" t="n"/>
      <c r="J2083" s="12" t="n"/>
      <c r="K2083" s="12" t="n"/>
      <c r="L2083" s="14" t="n"/>
      <c r="M2083" s="12" t="n"/>
      <c r="N2083" s="12" t="n"/>
      <c r="O2083" s="12" t="n"/>
    </row>
    <row r="2084">
      <c r="A2084" s="12" t="n"/>
      <c r="B2084" s="13">
        <f>IF($A2084="","",IFERROR(INDEX(Emp_Names,MATCH($A2084,Emp_Codes,0)),"NOT FOUND"))</f>
        <v/>
      </c>
      <c r="C2084" s="14" t="n"/>
      <c r="D2084" s="15" t="n"/>
      <c r="E2084" s="15" t="n"/>
      <c r="F2084" s="15" t="n"/>
      <c r="G2084" s="15" t="n"/>
      <c r="H2084" s="16">
        <f>IF($A2084="","",$D2084+IF($E2084="",0,$E2084)+IF($F2084="",0,$F2084)-IF($G2084="",0,$G2084))</f>
        <v/>
      </c>
      <c r="I2084" s="12" t="n"/>
      <c r="J2084" s="12" t="n"/>
      <c r="K2084" s="12" t="n"/>
      <c r="L2084" s="14" t="n"/>
      <c r="M2084" s="12" t="n"/>
      <c r="N2084" s="12" t="n"/>
      <c r="O2084" s="12" t="n"/>
    </row>
    <row r="2085">
      <c r="A2085" s="12" t="n"/>
      <c r="B2085" s="13">
        <f>IF($A2085="","",IFERROR(INDEX(Emp_Names,MATCH($A2085,Emp_Codes,0)),"NOT FOUND"))</f>
        <v/>
      </c>
      <c r="C2085" s="14" t="n"/>
      <c r="D2085" s="15" t="n"/>
      <c r="E2085" s="15" t="n"/>
      <c r="F2085" s="15" t="n"/>
      <c r="G2085" s="15" t="n"/>
      <c r="H2085" s="16">
        <f>IF($A2085="","",$D2085+IF($E2085="",0,$E2085)+IF($F2085="",0,$F2085)-IF($G2085="",0,$G2085))</f>
        <v/>
      </c>
      <c r="I2085" s="12" t="n"/>
      <c r="J2085" s="12" t="n"/>
      <c r="K2085" s="12" t="n"/>
      <c r="L2085" s="14" t="n"/>
      <c r="M2085" s="12" t="n"/>
      <c r="N2085" s="12" t="n"/>
      <c r="O2085" s="12" t="n"/>
    </row>
    <row r="2086">
      <c r="A2086" s="12" t="n"/>
      <c r="B2086" s="13">
        <f>IF($A2086="","",IFERROR(INDEX(Emp_Names,MATCH($A2086,Emp_Codes,0)),"NOT FOUND"))</f>
        <v/>
      </c>
      <c r="C2086" s="14" t="n"/>
      <c r="D2086" s="15" t="n"/>
      <c r="E2086" s="15" t="n"/>
      <c r="F2086" s="15" t="n"/>
      <c r="G2086" s="15" t="n"/>
      <c r="H2086" s="16">
        <f>IF($A2086="","",$D2086+IF($E2086="",0,$E2086)+IF($F2086="",0,$F2086)-IF($G2086="",0,$G2086))</f>
        <v/>
      </c>
      <c r="I2086" s="12" t="n"/>
      <c r="J2086" s="12" t="n"/>
      <c r="K2086" s="12" t="n"/>
      <c r="L2086" s="14" t="n"/>
      <c r="M2086" s="12" t="n"/>
      <c r="N2086" s="12" t="n"/>
      <c r="O2086" s="12" t="n"/>
    </row>
    <row r="2087">
      <c r="A2087" s="12" t="n"/>
      <c r="B2087" s="13">
        <f>IF($A2087="","",IFERROR(INDEX(Emp_Names,MATCH($A2087,Emp_Codes,0)),"NOT FOUND"))</f>
        <v/>
      </c>
      <c r="C2087" s="14" t="n"/>
      <c r="D2087" s="15" t="n"/>
      <c r="E2087" s="15" t="n"/>
      <c r="F2087" s="15" t="n"/>
      <c r="G2087" s="15" t="n"/>
      <c r="H2087" s="16">
        <f>IF($A2087="","",$D2087+IF($E2087="",0,$E2087)+IF($F2087="",0,$F2087)-IF($G2087="",0,$G2087))</f>
        <v/>
      </c>
      <c r="I2087" s="12" t="n"/>
      <c r="J2087" s="12" t="n"/>
      <c r="K2087" s="12" t="n"/>
      <c r="L2087" s="14" t="n"/>
      <c r="M2087" s="12" t="n"/>
      <c r="N2087" s="12" t="n"/>
      <c r="O2087" s="12" t="n"/>
    </row>
    <row r="2088">
      <c r="A2088" s="12" t="n"/>
      <c r="B2088" s="13">
        <f>IF($A2088="","",IFERROR(INDEX(Emp_Names,MATCH($A2088,Emp_Codes,0)),"NOT FOUND"))</f>
        <v/>
      </c>
      <c r="C2088" s="14" t="n"/>
      <c r="D2088" s="15" t="n"/>
      <c r="E2088" s="15" t="n"/>
      <c r="F2088" s="15" t="n"/>
      <c r="G2088" s="15" t="n"/>
      <c r="H2088" s="16">
        <f>IF($A2088="","",$D2088+IF($E2088="",0,$E2088)+IF($F2088="",0,$F2088)-IF($G2088="",0,$G2088))</f>
        <v/>
      </c>
      <c r="I2088" s="12" t="n"/>
      <c r="J2088" s="12" t="n"/>
      <c r="K2088" s="12" t="n"/>
      <c r="L2088" s="14" t="n"/>
      <c r="M2088" s="12" t="n"/>
      <c r="N2088" s="12" t="n"/>
      <c r="O2088" s="12" t="n"/>
    </row>
    <row r="2089">
      <c r="A2089" s="12" t="n"/>
      <c r="B2089" s="13">
        <f>IF($A2089="","",IFERROR(INDEX(Emp_Names,MATCH($A2089,Emp_Codes,0)),"NOT FOUND"))</f>
        <v/>
      </c>
      <c r="C2089" s="14" t="n"/>
      <c r="D2089" s="15" t="n"/>
      <c r="E2089" s="15" t="n"/>
      <c r="F2089" s="15" t="n"/>
      <c r="G2089" s="15" t="n"/>
      <c r="H2089" s="16">
        <f>IF($A2089="","",$D2089+IF($E2089="",0,$E2089)+IF($F2089="",0,$F2089)-IF($G2089="",0,$G2089))</f>
        <v/>
      </c>
      <c r="I2089" s="12" t="n"/>
      <c r="J2089" s="12" t="n"/>
      <c r="K2089" s="12" t="n"/>
      <c r="L2089" s="14" t="n"/>
      <c r="M2089" s="12" t="n"/>
      <c r="N2089" s="12" t="n"/>
      <c r="O2089" s="12" t="n"/>
    </row>
    <row r="2090">
      <c r="A2090" s="12" t="n"/>
      <c r="B2090" s="13">
        <f>IF($A2090="","",IFERROR(INDEX(Emp_Names,MATCH($A2090,Emp_Codes,0)),"NOT FOUND"))</f>
        <v/>
      </c>
      <c r="C2090" s="14" t="n"/>
      <c r="D2090" s="15" t="n"/>
      <c r="E2090" s="15" t="n"/>
      <c r="F2090" s="15" t="n"/>
      <c r="G2090" s="15" t="n"/>
      <c r="H2090" s="16">
        <f>IF($A2090="","",$D2090+IF($E2090="",0,$E2090)+IF($F2090="",0,$F2090)-IF($G2090="",0,$G2090))</f>
        <v/>
      </c>
      <c r="I2090" s="12" t="n"/>
      <c r="J2090" s="12" t="n"/>
      <c r="K2090" s="12" t="n"/>
      <c r="L2090" s="14" t="n"/>
      <c r="M2090" s="12" t="n"/>
      <c r="N2090" s="12" t="n"/>
      <c r="O2090" s="12" t="n"/>
    </row>
    <row r="2091">
      <c r="A2091" s="12" t="n"/>
      <c r="B2091" s="13">
        <f>IF($A2091="","",IFERROR(INDEX(Emp_Names,MATCH($A2091,Emp_Codes,0)),"NOT FOUND"))</f>
        <v/>
      </c>
      <c r="C2091" s="14" t="n"/>
      <c r="D2091" s="15" t="n"/>
      <c r="E2091" s="15" t="n"/>
      <c r="F2091" s="15" t="n"/>
      <c r="G2091" s="15" t="n"/>
      <c r="H2091" s="16">
        <f>IF($A2091="","",$D2091+IF($E2091="",0,$E2091)+IF($F2091="",0,$F2091)-IF($G2091="",0,$G2091))</f>
        <v/>
      </c>
      <c r="I2091" s="12" t="n"/>
      <c r="J2091" s="12" t="n"/>
      <c r="K2091" s="12" t="n"/>
      <c r="L2091" s="14" t="n"/>
      <c r="M2091" s="12" t="n"/>
      <c r="N2091" s="12" t="n"/>
      <c r="O2091" s="12" t="n"/>
    </row>
    <row r="2092">
      <c r="A2092" s="12" t="n"/>
      <c r="B2092" s="13">
        <f>IF($A2092="","",IFERROR(INDEX(Emp_Names,MATCH($A2092,Emp_Codes,0)),"NOT FOUND"))</f>
        <v/>
      </c>
      <c r="C2092" s="14" t="n"/>
      <c r="D2092" s="15" t="n"/>
      <c r="E2092" s="15" t="n"/>
      <c r="F2092" s="15" t="n"/>
      <c r="G2092" s="15" t="n"/>
      <c r="H2092" s="16">
        <f>IF($A2092="","",$D2092+IF($E2092="",0,$E2092)+IF($F2092="",0,$F2092)-IF($G2092="",0,$G2092))</f>
        <v/>
      </c>
      <c r="I2092" s="12" t="n"/>
      <c r="J2092" s="12" t="n"/>
      <c r="K2092" s="12" t="n"/>
      <c r="L2092" s="14" t="n"/>
      <c r="M2092" s="12" t="n"/>
      <c r="N2092" s="12" t="n"/>
      <c r="O2092" s="12" t="n"/>
    </row>
    <row r="2093">
      <c r="A2093" s="12" t="n"/>
      <c r="B2093" s="13">
        <f>IF($A2093="","",IFERROR(INDEX(Emp_Names,MATCH($A2093,Emp_Codes,0)),"NOT FOUND"))</f>
        <v/>
      </c>
      <c r="C2093" s="14" t="n"/>
      <c r="D2093" s="15" t="n"/>
      <c r="E2093" s="15" t="n"/>
      <c r="F2093" s="15" t="n"/>
      <c r="G2093" s="15" t="n"/>
      <c r="H2093" s="16">
        <f>IF($A2093="","",$D2093+IF($E2093="",0,$E2093)+IF($F2093="",0,$F2093)-IF($G2093="",0,$G2093))</f>
        <v/>
      </c>
      <c r="I2093" s="12" t="n"/>
      <c r="J2093" s="12" t="n"/>
      <c r="K2093" s="12" t="n"/>
      <c r="L2093" s="14" t="n"/>
      <c r="M2093" s="12" t="n"/>
      <c r="N2093" s="12" t="n"/>
      <c r="O2093" s="12" t="n"/>
    </row>
    <row r="2094">
      <c r="A2094" s="12" t="n"/>
      <c r="B2094" s="13">
        <f>IF($A2094="","",IFERROR(INDEX(Emp_Names,MATCH($A2094,Emp_Codes,0)),"NOT FOUND"))</f>
        <v/>
      </c>
      <c r="C2094" s="14" t="n"/>
      <c r="D2094" s="15" t="n"/>
      <c r="E2094" s="15" t="n"/>
      <c r="F2094" s="15" t="n"/>
      <c r="G2094" s="15" t="n"/>
      <c r="H2094" s="16">
        <f>IF($A2094="","",$D2094+IF($E2094="",0,$E2094)+IF($F2094="",0,$F2094)-IF($G2094="",0,$G2094))</f>
        <v/>
      </c>
      <c r="I2094" s="12" t="n"/>
      <c r="J2094" s="12" t="n"/>
      <c r="K2094" s="12" t="n"/>
      <c r="L2094" s="14" t="n"/>
      <c r="M2094" s="12" t="n"/>
      <c r="N2094" s="12" t="n"/>
      <c r="O2094" s="12" t="n"/>
    </row>
    <row r="2095">
      <c r="A2095" s="12" t="n"/>
      <c r="B2095" s="13">
        <f>IF($A2095="","",IFERROR(INDEX(Emp_Names,MATCH($A2095,Emp_Codes,0)),"NOT FOUND"))</f>
        <v/>
      </c>
      <c r="C2095" s="14" t="n"/>
      <c r="D2095" s="15" t="n"/>
      <c r="E2095" s="15" t="n"/>
      <c r="F2095" s="15" t="n"/>
      <c r="G2095" s="15" t="n"/>
      <c r="H2095" s="16">
        <f>IF($A2095="","",$D2095+IF($E2095="",0,$E2095)+IF($F2095="",0,$F2095)-IF($G2095="",0,$G2095))</f>
        <v/>
      </c>
      <c r="I2095" s="12" t="n"/>
      <c r="J2095" s="12" t="n"/>
      <c r="K2095" s="12" t="n"/>
      <c r="L2095" s="14" t="n"/>
      <c r="M2095" s="12" t="n"/>
      <c r="N2095" s="12" t="n"/>
      <c r="O2095" s="12" t="n"/>
    </row>
    <row r="2096">
      <c r="A2096" s="12" t="n"/>
      <c r="B2096" s="13">
        <f>IF($A2096="","",IFERROR(INDEX(Emp_Names,MATCH($A2096,Emp_Codes,0)),"NOT FOUND"))</f>
        <v/>
      </c>
      <c r="C2096" s="14" t="n"/>
      <c r="D2096" s="15" t="n"/>
      <c r="E2096" s="15" t="n"/>
      <c r="F2096" s="15" t="n"/>
      <c r="G2096" s="15" t="n"/>
      <c r="H2096" s="16">
        <f>IF($A2096="","",$D2096+IF($E2096="",0,$E2096)+IF($F2096="",0,$F2096)-IF($G2096="",0,$G2096))</f>
        <v/>
      </c>
      <c r="I2096" s="12" t="n"/>
      <c r="J2096" s="12" t="n"/>
      <c r="K2096" s="12" t="n"/>
      <c r="L2096" s="14" t="n"/>
      <c r="M2096" s="12" t="n"/>
      <c r="N2096" s="12" t="n"/>
      <c r="O2096" s="12" t="n"/>
    </row>
    <row r="2097">
      <c r="A2097" s="12" t="n"/>
      <c r="B2097" s="13">
        <f>IF($A2097="","",IFERROR(INDEX(Emp_Names,MATCH($A2097,Emp_Codes,0)),"NOT FOUND"))</f>
        <v/>
      </c>
      <c r="C2097" s="14" t="n"/>
      <c r="D2097" s="15" t="n"/>
      <c r="E2097" s="15" t="n"/>
      <c r="F2097" s="15" t="n"/>
      <c r="G2097" s="15" t="n"/>
      <c r="H2097" s="16">
        <f>IF($A2097="","",$D2097+IF($E2097="",0,$E2097)+IF($F2097="",0,$F2097)-IF($G2097="",0,$G2097))</f>
        <v/>
      </c>
      <c r="I2097" s="12" t="n"/>
      <c r="J2097" s="12" t="n"/>
      <c r="K2097" s="12" t="n"/>
      <c r="L2097" s="14" t="n"/>
      <c r="M2097" s="12" t="n"/>
      <c r="N2097" s="12" t="n"/>
      <c r="O2097" s="12" t="n"/>
    </row>
    <row r="2098">
      <c r="A2098" s="12" t="n"/>
      <c r="B2098" s="13">
        <f>IF($A2098="","",IFERROR(INDEX(Emp_Names,MATCH($A2098,Emp_Codes,0)),"NOT FOUND"))</f>
        <v/>
      </c>
      <c r="C2098" s="14" t="n"/>
      <c r="D2098" s="15" t="n"/>
      <c r="E2098" s="15" t="n"/>
      <c r="F2098" s="15" t="n"/>
      <c r="G2098" s="15" t="n"/>
      <c r="H2098" s="16">
        <f>IF($A2098="","",$D2098+IF($E2098="",0,$E2098)+IF($F2098="",0,$F2098)-IF($G2098="",0,$G2098))</f>
        <v/>
      </c>
      <c r="I2098" s="12" t="n"/>
      <c r="J2098" s="12" t="n"/>
      <c r="K2098" s="12" t="n"/>
      <c r="L2098" s="14" t="n"/>
      <c r="M2098" s="12" t="n"/>
      <c r="N2098" s="12" t="n"/>
      <c r="O2098" s="12" t="n"/>
    </row>
    <row r="2099">
      <c r="A2099" s="12" t="n"/>
      <c r="B2099" s="13">
        <f>IF($A2099="","",IFERROR(INDEX(Emp_Names,MATCH($A2099,Emp_Codes,0)),"NOT FOUND"))</f>
        <v/>
      </c>
      <c r="C2099" s="14" t="n"/>
      <c r="D2099" s="15" t="n"/>
      <c r="E2099" s="15" t="n"/>
      <c r="F2099" s="15" t="n"/>
      <c r="G2099" s="15" t="n"/>
      <c r="H2099" s="16">
        <f>IF($A2099="","",$D2099+IF($E2099="",0,$E2099)+IF($F2099="",0,$F2099)-IF($G2099="",0,$G2099))</f>
        <v/>
      </c>
      <c r="I2099" s="12" t="n"/>
      <c r="J2099" s="12" t="n"/>
      <c r="K2099" s="12" t="n"/>
      <c r="L2099" s="14" t="n"/>
      <c r="M2099" s="12" t="n"/>
      <c r="N2099" s="12" t="n"/>
      <c r="O2099" s="12" t="n"/>
    </row>
    <row r="2100">
      <c r="A2100" s="12" t="n"/>
      <c r="B2100" s="13">
        <f>IF($A2100="","",IFERROR(INDEX(Emp_Names,MATCH($A2100,Emp_Codes,0)),"NOT FOUND"))</f>
        <v/>
      </c>
      <c r="C2100" s="14" t="n"/>
      <c r="D2100" s="15" t="n"/>
      <c r="E2100" s="15" t="n"/>
      <c r="F2100" s="15" t="n"/>
      <c r="G2100" s="15" t="n"/>
      <c r="H2100" s="16">
        <f>IF($A2100="","",$D2100+IF($E2100="",0,$E2100)+IF($F2100="",0,$F2100)-IF($G2100="",0,$G2100))</f>
        <v/>
      </c>
      <c r="I2100" s="12" t="n"/>
      <c r="J2100" s="12" t="n"/>
      <c r="K2100" s="12" t="n"/>
      <c r="L2100" s="14" t="n"/>
      <c r="M2100" s="12" t="n"/>
      <c r="N2100" s="12" t="n"/>
      <c r="O2100" s="12" t="n"/>
    </row>
    <row r="2101">
      <c r="A2101" s="12" t="n"/>
      <c r="B2101" s="13">
        <f>IF($A2101="","",IFERROR(INDEX(Emp_Names,MATCH($A2101,Emp_Codes,0)),"NOT FOUND"))</f>
        <v/>
      </c>
      <c r="C2101" s="14" t="n"/>
      <c r="D2101" s="15" t="n"/>
      <c r="E2101" s="15" t="n"/>
      <c r="F2101" s="15" t="n"/>
      <c r="G2101" s="15" t="n"/>
      <c r="H2101" s="16">
        <f>IF($A2101="","",$D2101+IF($E2101="",0,$E2101)+IF($F2101="",0,$F2101)-IF($G2101="",0,$G2101))</f>
        <v/>
      </c>
      <c r="I2101" s="12" t="n"/>
      <c r="J2101" s="12" t="n"/>
      <c r="K2101" s="12" t="n"/>
      <c r="L2101" s="14" t="n"/>
      <c r="M2101" s="12" t="n"/>
      <c r="N2101" s="12" t="n"/>
      <c r="O2101" s="12" t="n"/>
    </row>
    <row r="2102">
      <c r="A2102" s="12" t="n"/>
      <c r="B2102" s="13">
        <f>IF($A2102="","",IFERROR(INDEX(Emp_Names,MATCH($A2102,Emp_Codes,0)),"NOT FOUND"))</f>
        <v/>
      </c>
      <c r="C2102" s="14" t="n"/>
      <c r="D2102" s="15" t="n"/>
      <c r="E2102" s="15" t="n"/>
      <c r="F2102" s="15" t="n"/>
      <c r="G2102" s="15" t="n"/>
      <c r="H2102" s="16">
        <f>IF($A2102="","",$D2102+IF($E2102="",0,$E2102)+IF($F2102="",0,$F2102)-IF($G2102="",0,$G2102))</f>
        <v/>
      </c>
      <c r="I2102" s="12" t="n"/>
      <c r="J2102" s="12" t="n"/>
      <c r="K2102" s="12" t="n"/>
      <c r="L2102" s="14" t="n"/>
      <c r="M2102" s="12" t="n"/>
      <c r="N2102" s="12" t="n"/>
      <c r="O2102" s="12" t="n"/>
    </row>
    <row r="2103">
      <c r="A2103" s="12" t="n"/>
      <c r="B2103" s="13">
        <f>IF($A2103="","",IFERROR(INDEX(Emp_Names,MATCH($A2103,Emp_Codes,0)),"NOT FOUND"))</f>
        <v/>
      </c>
      <c r="C2103" s="14" t="n"/>
      <c r="D2103" s="15" t="n"/>
      <c r="E2103" s="15" t="n"/>
      <c r="F2103" s="15" t="n"/>
      <c r="G2103" s="15" t="n"/>
      <c r="H2103" s="16">
        <f>IF($A2103="","",$D2103+IF($E2103="",0,$E2103)+IF($F2103="",0,$F2103)-IF($G2103="",0,$G2103))</f>
        <v/>
      </c>
      <c r="I2103" s="12" t="n"/>
      <c r="J2103" s="12" t="n"/>
      <c r="K2103" s="12" t="n"/>
      <c r="L2103" s="14" t="n"/>
      <c r="M2103" s="12" t="n"/>
      <c r="N2103" s="12" t="n"/>
      <c r="O2103" s="12" t="n"/>
    </row>
    <row r="2104">
      <c r="A2104" s="12" t="n"/>
      <c r="B2104" s="13">
        <f>IF($A2104="","",IFERROR(INDEX(Emp_Names,MATCH($A2104,Emp_Codes,0)),"NOT FOUND"))</f>
        <v/>
      </c>
      <c r="C2104" s="14" t="n"/>
      <c r="D2104" s="15" t="n"/>
      <c r="E2104" s="15" t="n"/>
      <c r="F2104" s="15" t="n"/>
      <c r="G2104" s="15" t="n"/>
      <c r="H2104" s="16">
        <f>IF($A2104="","",$D2104+IF($E2104="",0,$E2104)+IF($F2104="",0,$F2104)-IF($G2104="",0,$G2104))</f>
        <v/>
      </c>
      <c r="I2104" s="12" t="n"/>
      <c r="J2104" s="12" t="n"/>
      <c r="K2104" s="12" t="n"/>
      <c r="L2104" s="14" t="n"/>
      <c r="M2104" s="12" t="n"/>
      <c r="N2104" s="12" t="n"/>
      <c r="O2104" s="12" t="n"/>
    </row>
    <row r="2105">
      <c r="A2105" s="12" t="n"/>
      <c r="B2105" s="13">
        <f>IF($A2105="","",IFERROR(INDEX(Emp_Names,MATCH($A2105,Emp_Codes,0)),"NOT FOUND"))</f>
        <v/>
      </c>
      <c r="C2105" s="14" t="n"/>
      <c r="D2105" s="15" t="n"/>
      <c r="E2105" s="15" t="n"/>
      <c r="F2105" s="15" t="n"/>
      <c r="G2105" s="15" t="n"/>
      <c r="H2105" s="16">
        <f>IF($A2105="","",$D2105+IF($E2105="",0,$E2105)+IF($F2105="",0,$F2105)-IF($G2105="",0,$G2105))</f>
        <v/>
      </c>
      <c r="I2105" s="12" t="n"/>
      <c r="J2105" s="12" t="n"/>
      <c r="K2105" s="12" t="n"/>
      <c r="L2105" s="14" t="n"/>
      <c r="M2105" s="12" t="n"/>
      <c r="N2105" s="12" t="n"/>
      <c r="O2105" s="12" t="n"/>
    </row>
    <row r="2106">
      <c r="A2106" s="12" t="n"/>
      <c r="B2106" s="13">
        <f>IF($A2106="","",IFERROR(INDEX(Emp_Names,MATCH($A2106,Emp_Codes,0)),"NOT FOUND"))</f>
        <v/>
      </c>
      <c r="C2106" s="14" t="n"/>
      <c r="D2106" s="15" t="n"/>
      <c r="E2106" s="15" t="n"/>
      <c r="F2106" s="15" t="n"/>
      <c r="G2106" s="15" t="n"/>
      <c r="H2106" s="16">
        <f>IF($A2106="","",$D2106+IF($E2106="",0,$E2106)+IF($F2106="",0,$F2106)-IF($G2106="",0,$G2106))</f>
        <v/>
      </c>
      <c r="I2106" s="12" t="n"/>
      <c r="J2106" s="12" t="n"/>
      <c r="K2106" s="12" t="n"/>
      <c r="L2106" s="14" t="n"/>
      <c r="M2106" s="12" t="n"/>
      <c r="N2106" s="12" t="n"/>
      <c r="O2106" s="12" t="n"/>
    </row>
    <row r="2107">
      <c r="A2107" s="12" t="n"/>
      <c r="B2107" s="13">
        <f>IF($A2107="","",IFERROR(INDEX(Emp_Names,MATCH($A2107,Emp_Codes,0)),"NOT FOUND"))</f>
        <v/>
      </c>
      <c r="C2107" s="14" t="n"/>
      <c r="D2107" s="15" t="n"/>
      <c r="E2107" s="15" t="n"/>
      <c r="F2107" s="15" t="n"/>
      <c r="G2107" s="15" t="n"/>
      <c r="H2107" s="16">
        <f>IF($A2107="","",$D2107+IF($E2107="",0,$E2107)+IF($F2107="",0,$F2107)-IF($G2107="",0,$G2107))</f>
        <v/>
      </c>
      <c r="I2107" s="12" t="n"/>
      <c r="J2107" s="12" t="n"/>
      <c r="K2107" s="12" t="n"/>
      <c r="L2107" s="14" t="n"/>
      <c r="M2107" s="12" t="n"/>
      <c r="N2107" s="12" t="n"/>
      <c r="O2107" s="12" t="n"/>
    </row>
    <row r="2108">
      <c r="A2108" s="12" t="n"/>
      <c r="B2108" s="13">
        <f>IF($A2108="","",IFERROR(INDEX(Emp_Names,MATCH($A2108,Emp_Codes,0)),"NOT FOUND"))</f>
        <v/>
      </c>
      <c r="C2108" s="14" t="n"/>
      <c r="D2108" s="15" t="n"/>
      <c r="E2108" s="15" t="n"/>
      <c r="F2108" s="15" t="n"/>
      <c r="G2108" s="15" t="n"/>
      <c r="H2108" s="16">
        <f>IF($A2108="","",$D2108+IF($E2108="",0,$E2108)+IF($F2108="",0,$F2108)-IF($G2108="",0,$G2108))</f>
        <v/>
      </c>
      <c r="I2108" s="12" t="n"/>
      <c r="J2108" s="12" t="n"/>
      <c r="K2108" s="12" t="n"/>
      <c r="L2108" s="14" t="n"/>
      <c r="M2108" s="12" t="n"/>
      <c r="N2108" s="12" t="n"/>
      <c r="O2108" s="12" t="n"/>
    </row>
    <row r="2109">
      <c r="A2109" s="12" t="n"/>
      <c r="B2109" s="13">
        <f>IF($A2109="","",IFERROR(INDEX(Emp_Names,MATCH($A2109,Emp_Codes,0)),"NOT FOUND"))</f>
        <v/>
      </c>
      <c r="C2109" s="14" t="n"/>
      <c r="D2109" s="15" t="n"/>
      <c r="E2109" s="15" t="n"/>
      <c r="F2109" s="15" t="n"/>
      <c r="G2109" s="15" t="n"/>
      <c r="H2109" s="16">
        <f>IF($A2109="","",$D2109+IF($E2109="",0,$E2109)+IF($F2109="",0,$F2109)-IF($G2109="",0,$G2109))</f>
        <v/>
      </c>
      <c r="I2109" s="12" t="n"/>
      <c r="J2109" s="12" t="n"/>
      <c r="K2109" s="12" t="n"/>
      <c r="L2109" s="14" t="n"/>
      <c r="M2109" s="12" t="n"/>
      <c r="N2109" s="12" t="n"/>
      <c r="O2109" s="12" t="n"/>
    </row>
    <row r="2110">
      <c r="A2110" s="12" t="n"/>
      <c r="B2110" s="13">
        <f>IF($A2110="","",IFERROR(INDEX(Emp_Names,MATCH($A2110,Emp_Codes,0)),"NOT FOUND"))</f>
        <v/>
      </c>
      <c r="C2110" s="14" t="n"/>
      <c r="D2110" s="15" t="n"/>
      <c r="E2110" s="15" t="n"/>
      <c r="F2110" s="15" t="n"/>
      <c r="G2110" s="15" t="n"/>
      <c r="H2110" s="16">
        <f>IF($A2110="","",$D2110+IF($E2110="",0,$E2110)+IF($F2110="",0,$F2110)-IF($G2110="",0,$G2110))</f>
        <v/>
      </c>
      <c r="I2110" s="12" t="n"/>
      <c r="J2110" s="12" t="n"/>
      <c r="K2110" s="12" t="n"/>
      <c r="L2110" s="14" t="n"/>
      <c r="M2110" s="12" t="n"/>
      <c r="N2110" s="12" t="n"/>
      <c r="O2110" s="12" t="n"/>
    </row>
    <row r="2111">
      <c r="A2111" s="12" t="n"/>
      <c r="B2111" s="13">
        <f>IF($A2111="","",IFERROR(INDEX(Emp_Names,MATCH($A2111,Emp_Codes,0)),"NOT FOUND"))</f>
        <v/>
      </c>
      <c r="C2111" s="14" t="n"/>
      <c r="D2111" s="15" t="n"/>
      <c r="E2111" s="15" t="n"/>
      <c r="F2111" s="15" t="n"/>
      <c r="G2111" s="15" t="n"/>
      <c r="H2111" s="16">
        <f>IF($A2111="","",$D2111+IF($E2111="",0,$E2111)+IF($F2111="",0,$F2111)-IF($G2111="",0,$G2111))</f>
        <v/>
      </c>
      <c r="I2111" s="12" t="n"/>
      <c r="J2111" s="12" t="n"/>
      <c r="K2111" s="12" t="n"/>
      <c r="L2111" s="14" t="n"/>
      <c r="M2111" s="12" t="n"/>
      <c r="N2111" s="12" t="n"/>
      <c r="O2111" s="12" t="n"/>
    </row>
    <row r="2112">
      <c r="A2112" s="12" t="n"/>
      <c r="B2112" s="13">
        <f>IF($A2112="","",IFERROR(INDEX(Emp_Names,MATCH($A2112,Emp_Codes,0)),"NOT FOUND"))</f>
        <v/>
      </c>
      <c r="C2112" s="14" t="n"/>
      <c r="D2112" s="15" t="n"/>
      <c r="E2112" s="15" t="n"/>
      <c r="F2112" s="15" t="n"/>
      <c r="G2112" s="15" t="n"/>
      <c r="H2112" s="16">
        <f>IF($A2112="","",$D2112+IF($E2112="",0,$E2112)+IF($F2112="",0,$F2112)-IF($G2112="",0,$G2112))</f>
        <v/>
      </c>
      <c r="I2112" s="12" t="n"/>
      <c r="J2112" s="12" t="n"/>
      <c r="K2112" s="12" t="n"/>
      <c r="L2112" s="14" t="n"/>
      <c r="M2112" s="12" t="n"/>
      <c r="N2112" s="12" t="n"/>
      <c r="O2112" s="12" t="n"/>
    </row>
    <row r="2113">
      <c r="A2113" s="12" t="n"/>
      <c r="B2113" s="13">
        <f>IF($A2113="","",IFERROR(INDEX(Emp_Names,MATCH($A2113,Emp_Codes,0)),"NOT FOUND"))</f>
        <v/>
      </c>
      <c r="C2113" s="14" t="n"/>
      <c r="D2113" s="15" t="n"/>
      <c r="E2113" s="15" t="n"/>
      <c r="F2113" s="15" t="n"/>
      <c r="G2113" s="15" t="n"/>
      <c r="H2113" s="16">
        <f>IF($A2113="","",$D2113+IF($E2113="",0,$E2113)+IF($F2113="",0,$F2113)-IF($G2113="",0,$G2113))</f>
        <v/>
      </c>
      <c r="I2113" s="12" t="n"/>
      <c r="J2113" s="12" t="n"/>
      <c r="K2113" s="12" t="n"/>
      <c r="L2113" s="14" t="n"/>
      <c r="M2113" s="12" t="n"/>
      <c r="N2113" s="12" t="n"/>
      <c r="O2113" s="12" t="n"/>
    </row>
    <row r="2114">
      <c r="A2114" s="12" t="n"/>
      <c r="B2114" s="13">
        <f>IF($A2114="","",IFERROR(INDEX(Emp_Names,MATCH($A2114,Emp_Codes,0)),"NOT FOUND"))</f>
        <v/>
      </c>
      <c r="C2114" s="14" t="n"/>
      <c r="D2114" s="15" t="n"/>
      <c r="E2114" s="15" t="n"/>
      <c r="F2114" s="15" t="n"/>
      <c r="G2114" s="15" t="n"/>
      <c r="H2114" s="16">
        <f>IF($A2114="","",$D2114+IF($E2114="",0,$E2114)+IF($F2114="",0,$F2114)-IF($G2114="",0,$G2114))</f>
        <v/>
      </c>
      <c r="I2114" s="12" t="n"/>
      <c r="J2114" s="12" t="n"/>
      <c r="K2114" s="12" t="n"/>
      <c r="L2114" s="14" t="n"/>
      <c r="M2114" s="12" t="n"/>
      <c r="N2114" s="12" t="n"/>
      <c r="O2114" s="12" t="n"/>
    </row>
    <row r="2115">
      <c r="A2115" s="12" t="n"/>
      <c r="B2115" s="13">
        <f>IF($A2115="","",IFERROR(INDEX(Emp_Names,MATCH($A2115,Emp_Codes,0)),"NOT FOUND"))</f>
        <v/>
      </c>
      <c r="C2115" s="14" t="n"/>
      <c r="D2115" s="15" t="n"/>
      <c r="E2115" s="15" t="n"/>
      <c r="F2115" s="15" t="n"/>
      <c r="G2115" s="15" t="n"/>
      <c r="H2115" s="16">
        <f>IF($A2115="","",$D2115+IF($E2115="",0,$E2115)+IF($F2115="",0,$F2115)-IF($G2115="",0,$G2115))</f>
        <v/>
      </c>
      <c r="I2115" s="12" t="n"/>
      <c r="J2115" s="12" t="n"/>
      <c r="K2115" s="12" t="n"/>
      <c r="L2115" s="14" t="n"/>
      <c r="M2115" s="12" t="n"/>
      <c r="N2115" s="12" t="n"/>
      <c r="O2115" s="12" t="n"/>
    </row>
    <row r="2116">
      <c r="A2116" s="12" t="n"/>
      <c r="B2116" s="13">
        <f>IF($A2116="","",IFERROR(INDEX(Emp_Names,MATCH($A2116,Emp_Codes,0)),"NOT FOUND"))</f>
        <v/>
      </c>
      <c r="C2116" s="14" t="n"/>
      <c r="D2116" s="15" t="n"/>
      <c r="E2116" s="15" t="n"/>
      <c r="F2116" s="15" t="n"/>
      <c r="G2116" s="15" t="n"/>
      <c r="H2116" s="16">
        <f>IF($A2116="","",$D2116+IF($E2116="",0,$E2116)+IF($F2116="",0,$F2116)-IF($G2116="",0,$G2116))</f>
        <v/>
      </c>
      <c r="I2116" s="12" t="n"/>
      <c r="J2116" s="12" t="n"/>
      <c r="K2116" s="12" t="n"/>
      <c r="L2116" s="14" t="n"/>
      <c r="M2116" s="12" t="n"/>
      <c r="N2116" s="12" t="n"/>
      <c r="O2116" s="12" t="n"/>
    </row>
    <row r="2117">
      <c r="A2117" s="12" t="n"/>
      <c r="B2117" s="13">
        <f>IF($A2117="","",IFERROR(INDEX(Emp_Names,MATCH($A2117,Emp_Codes,0)),"NOT FOUND"))</f>
        <v/>
      </c>
      <c r="C2117" s="14" t="n"/>
      <c r="D2117" s="15" t="n"/>
      <c r="E2117" s="15" t="n"/>
      <c r="F2117" s="15" t="n"/>
      <c r="G2117" s="15" t="n"/>
      <c r="H2117" s="16">
        <f>IF($A2117="","",$D2117+IF($E2117="",0,$E2117)+IF($F2117="",0,$F2117)-IF($G2117="",0,$G2117))</f>
        <v/>
      </c>
      <c r="I2117" s="12" t="n"/>
      <c r="J2117" s="12" t="n"/>
      <c r="K2117" s="12" t="n"/>
      <c r="L2117" s="14" t="n"/>
      <c r="M2117" s="12" t="n"/>
      <c r="N2117" s="12" t="n"/>
      <c r="O2117" s="12" t="n"/>
    </row>
    <row r="2118">
      <c r="A2118" s="12" t="n"/>
      <c r="B2118" s="13">
        <f>IF($A2118="","",IFERROR(INDEX(Emp_Names,MATCH($A2118,Emp_Codes,0)),"NOT FOUND"))</f>
        <v/>
      </c>
      <c r="C2118" s="14" t="n"/>
      <c r="D2118" s="15" t="n"/>
      <c r="E2118" s="15" t="n"/>
      <c r="F2118" s="15" t="n"/>
      <c r="G2118" s="15" t="n"/>
      <c r="H2118" s="16">
        <f>IF($A2118="","",$D2118+IF($E2118="",0,$E2118)+IF($F2118="",0,$F2118)-IF($G2118="",0,$G2118))</f>
        <v/>
      </c>
      <c r="I2118" s="12" t="n"/>
      <c r="J2118" s="12" t="n"/>
      <c r="K2118" s="12" t="n"/>
      <c r="L2118" s="14" t="n"/>
      <c r="M2118" s="12" t="n"/>
      <c r="N2118" s="12" t="n"/>
      <c r="O2118" s="12" t="n"/>
    </row>
    <row r="2119">
      <c r="A2119" s="12" t="n"/>
      <c r="B2119" s="13">
        <f>IF($A2119="","",IFERROR(INDEX(Emp_Names,MATCH($A2119,Emp_Codes,0)),"NOT FOUND"))</f>
        <v/>
      </c>
      <c r="C2119" s="14" t="n"/>
      <c r="D2119" s="15" t="n"/>
      <c r="E2119" s="15" t="n"/>
      <c r="F2119" s="15" t="n"/>
      <c r="G2119" s="15" t="n"/>
      <c r="H2119" s="16">
        <f>IF($A2119="","",$D2119+IF($E2119="",0,$E2119)+IF($F2119="",0,$F2119)-IF($G2119="",0,$G2119))</f>
        <v/>
      </c>
      <c r="I2119" s="12" t="n"/>
      <c r="J2119" s="12" t="n"/>
      <c r="K2119" s="12" t="n"/>
      <c r="L2119" s="14" t="n"/>
      <c r="M2119" s="12" t="n"/>
      <c r="N2119" s="12" t="n"/>
      <c r="O2119" s="12" t="n"/>
    </row>
    <row r="2120">
      <c r="A2120" s="12" t="n"/>
      <c r="B2120" s="13">
        <f>IF($A2120="","",IFERROR(INDEX(Emp_Names,MATCH($A2120,Emp_Codes,0)),"NOT FOUND"))</f>
        <v/>
      </c>
      <c r="C2120" s="14" t="n"/>
      <c r="D2120" s="15" t="n"/>
      <c r="E2120" s="15" t="n"/>
      <c r="F2120" s="15" t="n"/>
      <c r="G2120" s="15" t="n"/>
      <c r="H2120" s="16">
        <f>IF($A2120="","",$D2120+IF($E2120="",0,$E2120)+IF($F2120="",0,$F2120)-IF($G2120="",0,$G2120))</f>
        <v/>
      </c>
      <c r="I2120" s="12" t="n"/>
      <c r="J2120" s="12" t="n"/>
      <c r="K2120" s="12" t="n"/>
      <c r="L2120" s="14" t="n"/>
      <c r="M2120" s="12" t="n"/>
      <c r="N2120" s="12" t="n"/>
      <c r="O2120" s="12" t="n"/>
    </row>
    <row r="2121">
      <c r="A2121" s="12" t="n"/>
      <c r="B2121" s="13">
        <f>IF($A2121="","",IFERROR(INDEX(Emp_Names,MATCH($A2121,Emp_Codes,0)),"NOT FOUND"))</f>
        <v/>
      </c>
      <c r="C2121" s="14" t="n"/>
      <c r="D2121" s="15" t="n"/>
      <c r="E2121" s="15" t="n"/>
      <c r="F2121" s="15" t="n"/>
      <c r="G2121" s="15" t="n"/>
      <c r="H2121" s="16">
        <f>IF($A2121="","",$D2121+IF($E2121="",0,$E2121)+IF($F2121="",0,$F2121)-IF($G2121="",0,$G2121))</f>
        <v/>
      </c>
      <c r="I2121" s="12" t="n"/>
      <c r="J2121" s="12" t="n"/>
      <c r="K2121" s="12" t="n"/>
      <c r="L2121" s="14" t="n"/>
      <c r="M2121" s="12" t="n"/>
      <c r="N2121" s="12" t="n"/>
      <c r="O2121" s="12" t="n"/>
    </row>
    <row r="2122">
      <c r="A2122" s="12" t="n"/>
      <c r="B2122" s="13">
        <f>IF($A2122="","",IFERROR(INDEX(Emp_Names,MATCH($A2122,Emp_Codes,0)),"NOT FOUND"))</f>
        <v/>
      </c>
      <c r="C2122" s="14" t="n"/>
      <c r="D2122" s="15" t="n"/>
      <c r="E2122" s="15" t="n"/>
      <c r="F2122" s="15" t="n"/>
      <c r="G2122" s="15" t="n"/>
      <c r="H2122" s="16">
        <f>IF($A2122="","",$D2122+IF($E2122="",0,$E2122)+IF($F2122="",0,$F2122)-IF($G2122="",0,$G2122))</f>
        <v/>
      </c>
      <c r="I2122" s="12" t="n"/>
      <c r="J2122" s="12" t="n"/>
      <c r="K2122" s="12" t="n"/>
      <c r="L2122" s="14" t="n"/>
      <c r="M2122" s="12" t="n"/>
      <c r="N2122" s="12" t="n"/>
      <c r="O2122" s="12" t="n"/>
    </row>
    <row r="2123">
      <c r="A2123" s="12" t="n"/>
      <c r="B2123" s="13">
        <f>IF($A2123="","",IFERROR(INDEX(Emp_Names,MATCH($A2123,Emp_Codes,0)),"NOT FOUND"))</f>
        <v/>
      </c>
      <c r="C2123" s="14" t="n"/>
      <c r="D2123" s="15" t="n"/>
      <c r="E2123" s="15" t="n"/>
      <c r="F2123" s="15" t="n"/>
      <c r="G2123" s="15" t="n"/>
      <c r="H2123" s="16">
        <f>IF($A2123="","",$D2123+IF($E2123="",0,$E2123)+IF($F2123="",0,$F2123)-IF($G2123="",0,$G2123))</f>
        <v/>
      </c>
      <c r="I2123" s="12" t="n"/>
      <c r="J2123" s="12" t="n"/>
      <c r="K2123" s="12" t="n"/>
      <c r="L2123" s="14" t="n"/>
      <c r="M2123" s="12" t="n"/>
      <c r="N2123" s="12" t="n"/>
      <c r="O2123" s="12" t="n"/>
    </row>
    <row r="2124">
      <c r="A2124" s="12" t="n"/>
      <c r="B2124" s="13">
        <f>IF($A2124="","",IFERROR(INDEX(Emp_Names,MATCH($A2124,Emp_Codes,0)),"NOT FOUND"))</f>
        <v/>
      </c>
      <c r="C2124" s="14" t="n"/>
      <c r="D2124" s="15" t="n"/>
      <c r="E2124" s="15" t="n"/>
      <c r="F2124" s="15" t="n"/>
      <c r="G2124" s="15" t="n"/>
      <c r="H2124" s="16">
        <f>IF($A2124="","",$D2124+IF($E2124="",0,$E2124)+IF($F2124="",0,$F2124)-IF($G2124="",0,$G2124))</f>
        <v/>
      </c>
      <c r="I2124" s="12" t="n"/>
      <c r="J2124" s="12" t="n"/>
      <c r="K2124" s="12" t="n"/>
      <c r="L2124" s="14" t="n"/>
      <c r="M2124" s="12" t="n"/>
      <c r="N2124" s="12" t="n"/>
      <c r="O2124" s="12" t="n"/>
    </row>
    <row r="2125">
      <c r="A2125" s="12" t="n"/>
      <c r="B2125" s="13">
        <f>IF($A2125="","",IFERROR(INDEX(Emp_Names,MATCH($A2125,Emp_Codes,0)),"NOT FOUND"))</f>
        <v/>
      </c>
      <c r="C2125" s="14" t="n"/>
      <c r="D2125" s="15" t="n"/>
      <c r="E2125" s="15" t="n"/>
      <c r="F2125" s="15" t="n"/>
      <c r="G2125" s="15" t="n"/>
      <c r="H2125" s="16">
        <f>IF($A2125="","",$D2125+IF($E2125="",0,$E2125)+IF($F2125="",0,$F2125)-IF($G2125="",0,$G2125))</f>
        <v/>
      </c>
      <c r="I2125" s="12" t="n"/>
      <c r="J2125" s="12" t="n"/>
      <c r="K2125" s="12" t="n"/>
      <c r="L2125" s="14" t="n"/>
      <c r="M2125" s="12" t="n"/>
      <c r="N2125" s="12" t="n"/>
      <c r="O2125" s="12" t="n"/>
    </row>
    <row r="2126">
      <c r="A2126" s="12" t="n"/>
      <c r="B2126" s="13">
        <f>IF($A2126="","",IFERROR(INDEX(Emp_Names,MATCH($A2126,Emp_Codes,0)),"NOT FOUND"))</f>
        <v/>
      </c>
      <c r="C2126" s="14" t="n"/>
      <c r="D2126" s="15" t="n"/>
      <c r="E2126" s="15" t="n"/>
      <c r="F2126" s="15" t="n"/>
      <c r="G2126" s="15" t="n"/>
      <c r="H2126" s="16">
        <f>IF($A2126="","",$D2126+IF($E2126="",0,$E2126)+IF($F2126="",0,$F2126)-IF($G2126="",0,$G2126))</f>
        <v/>
      </c>
      <c r="I2126" s="12" t="n"/>
      <c r="J2126" s="12" t="n"/>
      <c r="K2126" s="12" t="n"/>
      <c r="L2126" s="14" t="n"/>
      <c r="M2126" s="12" t="n"/>
      <c r="N2126" s="12" t="n"/>
      <c r="O2126" s="12" t="n"/>
    </row>
    <row r="2127">
      <c r="A2127" s="12" t="n"/>
      <c r="B2127" s="13">
        <f>IF($A2127="","",IFERROR(INDEX(Emp_Names,MATCH($A2127,Emp_Codes,0)),"NOT FOUND"))</f>
        <v/>
      </c>
      <c r="C2127" s="14" t="n"/>
      <c r="D2127" s="15" t="n"/>
      <c r="E2127" s="15" t="n"/>
      <c r="F2127" s="15" t="n"/>
      <c r="G2127" s="15" t="n"/>
      <c r="H2127" s="16">
        <f>IF($A2127="","",$D2127+IF($E2127="",0,$E2127)+IF($F2127="",0,$F2127)-IF($G2127="",0,$G2127))</f>
        <v/>
      </c>
      <c r="I2127" s="12" t="n"/>
      <c r="J2127" s="12" t="n"/>
      <c r="K2127" s="12" t="n"/>
      <c r="L2127" s="14" t="n"/>
      <c r="M2127" s="12" t="n"/>
      <c r="N2127" s="12" t="n"/>
      <c r="O2127" s="12" t="n"/>
    </row>
    <row r="2128">
      <c r="A2128" s="12" t="n"/>
      <c r="B2128" s="13">
        <f>IF($A2128="","",IFERROR(INDEX(Emp_Names,MATCH($A2128,Emp_Codes,0)),"NOT FOUND"))</f>
        <v/>
      </c>
      <c r="C2128" s="14" t="n"/>
      <c r="D2128" s="15" t="n"/>
      <c r="E2128" s="15" t="n"/>
      <c r="F2128" s="15" t="n"/>
      <c r="G2128" s="15" t="n"/>
      <c r="H2128" s="16">
        <f>IF($A2128="","",$D2128+IF($E2128="",0,$E2128)+IF($F2128="",0,$F2128)-IF($G2128="",0,$G2128))</f>
        <v/>
      </c>
      <c r="I2128" s="12" t="n"/>
      <c r="J2128" s="12" t="n"/>
      <c r="K2128" s="12" t="n"/>
      <c r="L2128" s="14" t="n"/>
      <c r="M2128" s="12" t="n"/>
      <c r="N2128" s="12" t="n"/>
      <c r="O2128" s="12" t="n"/>
    </row>
    <row r="2129">
      <c r="A2129" s="12" t="n"/>
      <c r="B2129" s="13">
        <f>IF($A2129="","",IFERROR(INDEX(Emp_Names,MATCH($A2129,Emp_Codes,0)),"NOT FOUND"))</f>
        <v/>
      </c>
      <c r="C2129" s="14" t="n"/>
      <c r="D2129" s="15" t="n"/>
      <c r="E2129" s="15" t="n"/>
      <c r="F2129" s="15" t="n"/>
      <c r="G2129" s="15" t="n"/>
      <c r="H2129" s="16">
        <f>IF($A2129="","",$D2129+IF($E2129="",0,$E2129)+IF($F2129="",0,$F2129)-IF($G2129="",0,$G2129))</f>
        <v/>
      </c>
      <c r="I2129" s="12" t="n"/>
      <c r="J2129" s="12" t="n"/>
      <c r="K2129" s="12" t="n"/>
      <c r="L2129" s="14" t="n"/>
      <c r="M2129" s="12" t="n"/>
      <c r="N2129" s="12" t="n"/>
      <c r="O2129" s="12" t="n"/>
    </row>
    <row r="2130">
      <c r="A2130" s="12" t="n"/>
      <c r="B2130" s="13">
        <f>IF($A2130="","",IFERROR(INDEX(Emp_Names,MATCH($A2130,Emp_Codes,0)),"NOT FOUND"))</f>
        <v/>
      </c>
      <c r="C2130" s="14" t="n"/>
      <c r="D2130" s="15" t="n"/>
      <c r="E2130" s="15" t="n"/>
      <c r="F2130" s="15" t="n"/>
      <c r="G2130" s="15" t="n"/>
      <c r="H2130" s="16">
        <f>IF($A2130="","",$D2130+IF($E2130="",0,$E2130)+IF($F2130="",0,$F2130)-IF($G2130="",0,$G2130))</f>
        <v/>
      </c>
      <c r="I2130" s="12" t="n"/>
      <c r="J2130" s="12" t="n"/>
      <c r="K2130" s="12" t="n"/>
      <c r="L2130" s="14" t="n"/>
      <c r="M2130" s="12" t="n"/>
      <c r="N2130" s="12" t="n"/>
      <c r="O2130" s="12" t="n"/>
    </row>
    <row r="2131">
      <c r="A2131" s="12" t="n"/>
      <c r="B2131" s="13">
        <f>IF($A2131="","",IFERROR(INDEX(Emp_Names,MATCH($A2131,Emp_Codes,0)),"NOT FOUND"))</f>
        <v/>
      </c>
      <c r="C2131" s="14" t="n"/>
      <c r="D2131" s="15" t="n"/>
      <c r="E2131" s="15" t="n"/>
      <c r="F2131" s="15" t="n"/>
      <c r="G2131" s="15" t="n"/>
      <c r="H2131" s="16">
        <f>IF($A2131="","",$D2131+IF($E2131="",0,$E2131)+IF($F2131="",0,$F2131)-IF($G2131="",0,$G2131))</f>
        <v/>
      </c>
      <c r="I2131" s="12" t="n"/>
      <c r="J2131" s="12" t="n"/>
      <c r="K2131" s="12" t="n"/>
      <c r="L2131" s="14" t="n"/>
      <c r="M2131" s="12" t="n"/>
      <c r="N2131" s="12" t="n"/>
      <c r="O2131" s="12" t="n"/>
    </row>
    <row r="2132">
      <c r="A2132" s="12" t="n"/>
      <c r="B2132" s="13">
        <f>IF($A2132="","",IFERROR(INDEX(Emp_Names,MATCH($A2132,Emp_Codes,0)),"NOT FOUND"))</f>
        <v/>
      </c>
      <c r="C2132" s="14" t="n"/>
      <c r="D2132" s="15" t="n"/>
      <c r="E2132" s="15" t="n"/>
      <c r="F2132" s="15" t="n"/>
      <c r="G2132" s="15" t="n"/>
      <c r="H2132" s="16">
        <f>IF($A2132="","",$D2132+IF($E2132="",0,$E2132)+IF($F2132="",0,$F2132)-IF($G2132="",0,$G2132))</f>
        <v/>
      </c>
      <c r="I2132" s="12" t="n"/>
      <c r="J2132" s="12" t="n"/>
      <c r="K2132" s="12" t="n"/>
      <c r="L2132" s="14" t="n"/>
      <c r="M2132" s="12" t="n"/>
      <c r="N2132" s="12" t="n"/>
      <c r="O2132" s="12" t="n"/>
    </row>
    <row r="2133">
      <c r="A2133" s="12" t="n"/>
      <c r="B2133" s="13">
        <f>IF($A2133="","",IFERROR(INDEX(Emp_Names,MATCH($A2133,Emp_Codes,0)),"NOT FOUND"))</f>
        <v/>
      </c>
      <c r="C2133" s="14" t="n"/>
      <c r="D2133" s="15" t="n"/>
      <c r="E2133" s="15" t="n"/>
      <c r="F2133" s="15" t="n"/>
      <c r="G2133" s="15" t="n"/>
      <c r="H2133" s="16">
        <f>IF($A2133="","",$D2133+IF($E2133="",0,$E2133)+IF($F2133="",0,$F2133)-IF($G2133="",0,$G2133))</f>
        <v/>
      </c>
      <c r="I2133" s="12" t="n"/>
      <c r="J2133" s="12" t="n"/>
      <c r="K2133" s="12" t="n"/>
      <c r="L2133" s="14" t="n"/>
      <c r="M2133" s="12" t="n"/>
      <c r="N2133" s="12" t="n"/>
      <c r="O2133" s="12" t="n"/>
    </row>
    <row r="2134">
      <c r="A2134" s="12" t="n"/>
      <c r="B2134" s="13">
        <f>IF($A2134="","",IFERROR(INDEX(Emp_Names,MATCH($A2134,Emp_Codes,0)),"NOT FOUND"))</f>
        <v/>
      </c>
      <c r="C2134" s="14" t="n"/>
      <c r="D2134" s="15" t="n"/>
      <c r="E2134" s="15" t="n"/>
      <c r="F2134" s="15" t="n"/>
      <c r="G2134" s="15" t="n"/>
      <c r="H2134" s="16">
        <f>IF($A2134="","",$D2134+IF($E2134="",0,$E2134)+IF($F2134="",0,$F2134)-IF($G2134="",0,$G2134))</f>
        <v/>
      </c>
      <c r="I2134" s="12" t="n"/>
      <c r="J2134" s="12" t="n"/>
      <c r="K2134" s="12" t="n"/>
      <c r="L2134" s="14" t="n"/>
      <c r="M2134" s="12" t="n"/>
      <c r="N2134" s="12" t="n"/>
      <c r="O2134" s="12" t="n"/>
    </row>
    <row r="2135">
      <c r="A2135" s="12" t="n"/>
      <c r="B2135" s="13">
        <f>IF($A2135="","",IFERROR(INDEX(Emp_Names,MATCH($A2135,Emp_Codes,0)),"NOT FOUND"))</f>
        <v/>
      </c>
      <c r="C2135" s="14" t="n"/>
      <c r="D2135" s="15" t="n"/>
      <c r="E2135" s="15" t="n"/>
      <c r="F2135" s="15" t="n"/>
      <c r="G2135" s="15" t="n"/>
      <c r="H2135" s="16">
        <f>IF($A2135="","",$D2135+IF($E2135="",0,$E2135)+IF($F2135="",0,$F2135)-IF($G2135="",0,$G2135))</f>
        <v/>
      </c>
      <c r="I2135" s="12" t="n"/>
      <c r="J2135" s="12" t="n"/>
      <c r="K2135" s="12" t="n"/>
      <c r="L2135" s="14" t="n"/>
      <c r="M2135" s="12" t="n"/>
      <c r="N2135" s="12" t="n"/>
      <c r="O2135" s="12" t="n"/>
    </row>
    <row r="2136">
      <c r="A2136" s="12" t="n"/>
      <c r="B2136" s="13">
        <f>IF($A2136="","",IFERROR(INDEX(Emp_Names,MATCH($A2136,Emp_Codes,0)),"NOT FOUND"))</f>
        <v/>
      </c>
      <c r="C2136" s="14" t="n"/>
      <c r="D2136" s="15" t="n"/>
      <c r="E2136" s="15" t="n"/>
      <c r="F2136" s="15" t="n"/>
      <c r="G2136" s="15" t="n"/>
      <c r="H2136" s="16">
        <f>IF($A2136="","",$D2136+IF($E2136="",0,$E2136)+IF($F2136="",0,$F2136)-IF($G2136="",0,$G2136))</f>
        <v/>
      </c>
      <c r="I2136" s="12" t="n"/>
      <c r="J2136" s="12" t="n"/>
      <c r="K2136" s="12" t="n"/>
      <c r="L2136" s="14" t="n"/>
      <c r="M2136" s="12" t="n"/>
      <c r="N2136" s="12" t="n"/>
      <c r="O2136" s="12" t="n"/>
    </row>
    <row r="2137">
      <c r="A2137" s="12" t="n"/>
      <c r="B2137" s="13">
        <f>IF($A2137="","",IFERROR(INDEX(Emp_Names,MATCH($A2137,Emp_Codes,0)),"NOT FOUND"))</f>
        <v/>
      </c>
      <c r="C2137" s="14" t="n"/>
      <c r="D2137" s="15" t="n"/>
      <c r="E2137" s="15" t="n"/>
      <c r="F2137" s="15" t="n"/>
      <c r="G2137" s="15" t="n"/>
      <c r="H2137" s="16">
        <f>IF($A2137="","",$D2137+IF($E2137="",0,$E2137)+IF($F2137="",0,$F2137)-IF($G2137="",0,$G2137))</f>
        <v/>
      </c>
      <c r="I2137" s="12" t="n"/>
      <c r="J2137" s="12" t="n"/>
      <c r="K2137" s="12" t="n"/>
      <c r="L2137" s="14" t="n"/>
      <c r="M2137" s="12" t="n"/>
      <c r="N2137" s="12" t="n"/>
      <c r="O2137" s="12" t="n"/>
    </row>
    <row r="2138">
      <c r="A2138" s="12" t="n"/>
      <c r="B2138" s="13">
        <f>IF($A2138="","",IFERROR(INDEX(Emp_Names,MATCH($A2138,Emp_Codes,0)),"NOT FOUND"))</f>
        <v/>
      </c>
      <c r="C2138" s="14" t="n"/>
      <c r="D2138" s="15" t="n"/>
      <c r="E2138" s="15" t="n"/>
      <c r="F2138" s="15" t="n"/>
      <c r="G2138" s="15" t="n"/>
      <c r="H2138" s="16">
        <f>IF($A2138="","",$D2138+IF($E2138="",0,$E2138)+IF($F2138="",0,$F2138)-IF($G2138="",0,$G2138))</f>
        <v/>
      </c>
      <c r="I2138" s="12" t="n"/>
      <c r="J2138" s="12" t="n"/>
      <c r="K2138" s="12" t="n"/>
      <c r="L2138" s="14" t="n"/>
      <c r="M2138" s="12" t="n"/>
      <c r="N2138" s="12" t="n"/>
      <c r="O2138" s="12" t="n"/>
    </row>
    <row r="2139">
      <c r="A2139" s="12" t="n"/>
      <c r="B2139" s="13">
        <f>IF($A2139="","",IFERROR(INDEX(Emp_Names,MATCH($A2139,Emp_Codes,0)),"NOT FOUND"))</f>
        <v/>
      </c>
      <c r="C2139" s="14" t="n"/>
      <c r="D2139" s="15" t="n"/>
      <c r="E2139" s="15" t="n"/>
      <c r="F2139" s="15" t="n"/>
      <c r="G2139" s="15" t="n"/>
      <c r="H2139" s="16">
        <f>IF($A2139="","",$D2139+IF($E2139="",0,$E2139)+IF($F2139="",0,$F2139)-IF($G2139="",0,$G2139))</f>
        <v/>
      </c>
      <c r="I2139" s="12" t="n"/>
      <c r="J2139" s="12" t="n"/>
      <c r="K2139" s="12" t="n"/>
      <c r="L2139" s="14" t="n"/>
      <c r="M2139" s="12" t="n"/>
      <c r="N2139" s="12" t="n"/>
      <c r="O2139" s="12" t="n"/>
    </row>
    <row r="2140">
      <c r="A2140" s="12" t="n"/>
      <c r="B2140" s="13">
        <f>IF($A2140="","",IFERROR(INDEX(Emp_Names,MATCH($A2140,Emp_Codes,0)),"NOT FOUND"))</f>
        <v/>
      </c>
      <c r="C2140" s="14" t="n"/>
      <c r="D2140" s="15" t="n"/>
      <c r="E2140" s="15" t="n"/>
      <c r="F2140" s="15" t="n"/>
      <c r="G2140" s="15" t="n"/>
      <c r="H2140" s="16">
        <f>IF($A2140="","",$D2140+IF($E2140="",0,$E2140)+IF($F2140="",0,$F2140)-IF($G2140="",0,$G2140))</f>
        <v/>
      </c>
      <c r="I2140" s="12" t="n"/>
      <c r="J2140" s="12" t="n"/>
      <c r="K2140" s="12" t="n"/>
      <c r="L2140" s="14" t="n"/>
      <c r="M2140" s="12" t="n"/>
      <c r="N2140" s="12" t="n"/>
      <c r="O2140" s="12" t="n"/>
    </row>
    <row r="2141">
      <c r="A2141" s="12" t="n"/>
      <c r="B2141" s="13">
        <f>IF($A2141="","",IFERROR(INDEX(Emp_Names,MATCH($A2141,Emp_Codes,0)),"NOT FOUND"))</f>
        <v/>
      </c>
      <c r="C2141" s="14" t="n"/>
      <c r="D2141" s="15" t="n"/>
      <c r="E2141" s="15" t="n"/>
      <c r="F2141" s="15" t="n"/>
      <c r="G2141" s="15" t="n"/>
      <c r="H2141" s="16">
        <f>IF($A2141="","",$D2141+IF($E2141="",0,$E2141)+IF($F2141="",0,$F2141)-IF($G2141="",0,$G2141))</f>
        <v/>
      </c>
      <c r="I2141" s="12" t="n"/>
      <c r="J2141" s="12" t="n"/>
      <c r="K2141" s="12" t="n"/>
      <c r="L2141" s="14" t="n"/>
      <c r="M2141" s="12" t="n"/>
      <c r="N2141" s="12" t="n"/>
      <c r="O2141" s="12" t="n"/>
    </row>
    <row r="2142">
      <c r="A2142" s="12" t="n"/>
      <c r="B2142" s="13">
        <f>IF($A2142="","",IFERROR(INDEX(Emp_Names,MATCH($A2142,Emp_Codes,0)),"NOT FOUND"))</f>
        <v/>
      </c>
      <c r="C2142" s="14" t="n"/>
      <c r="D2142" s="15" t="n"/>
      <c r="E2142" s="15" t="n"/>
      <c r="F2142" s="15" t="n"/>
      <c r="G2142" s="15" t="n"/>
      <c r="H2142" s="16">
        <f>IF($A2142="","",$D2142+IF($E2142="",0,$E2142)+IF($F2142="",0,$F2142)-IF($G2142="",0,$G2142))</f>
        <v/>
      </c>
      <c r="I2142" s="12" t="n"/>
      <c r="J2142" s="12" t="n"/>
      <c r="K2142" s="12" t="n"/>
      <c r="L2142" s="14" t="n"/>
      <c r="M2142" s="12" t="n"/>
      <c r="N2142" s="12" t="n"/>
      <c r="O2142" s="12" t="n"/>
    </row>
    <row r="2143">
      <c r="A2143" s="12" t="n"/>
      <c r="B2143" s="13">
        <f>IF($A2143="","",IFERROR(INDEX(Emp_Names,MATCH($A2143,Emp_Codes,0)),"NOT FOUND"))</f>
        <v/>
      </c>
      <c r="C2143" s="14" t="n"/>
      <c r="D2143" s="15" t="n"/>
      <c r="E2143" s="15" t="n"/>
      <c r="F2143" s="15" t="n"/>
      <c r="G2143" s="15" t="n"/>
      <c r="H2143" s="16">
        <f>IF($A2143="","",$D2143+IF($E2143="",0,$E2143)+IF($F2143="",0,$F2143)-IF($G2143="",0,$G2143))</f>
        <v/>
      </c>
      <c r="I2143" s="12" t="n"/>
      <c r="J2143" s="12" t="n"/>
      <c r="K2143" s="12" t="n"/>
      <c r="L2143" s="14" t="n"/>
      <c r="M2143" s="12" t="n"/>
      <c r="N2143" s="12" t="n"/>
      <c r="O2143" s="12" t="n"/>
    </row>
    <row r="2144">
      <c r="A2144" s="12" t="n"/>
      <c r="B2144" s="13">
        <f>IF($A2144="","",IFERROR(INDEX(Emp_Names,MATCH($A2144,Emp_Codes,0)),"NOT FOUND"))</f>
        <v/>
      </c>
      <c r="C2144" s="14" t="n"/>
      <c r="D2144" s="15" t="n"/>
      <c r="E2144" s="15" t="n"/>
      <c r="F2144" s="15" t="n"/>
      <c r="G2144" s="15" t="n"/>
      <c r="H2144" s="16">
        <f>IF($A2144="","",$D2144+IF($E2144="",0,$E2144)+IF($F2144="",0,$F2144)-IF($G2144="",0,$G2144))</f>
        <v/>
      </c>
      <c r="I2144" s="12" t="n"/>
      <c r="J2144" s="12" t="n"/>
      <c r="K2144" s="12" t="n"/>
      <c r="L2144" s="14" t="n"/>
      <c r="M2144" s="12" t="n"/>
      <c r="N2144" s="12" t="n"/>
      <c r="O2144" s="12" t="n"/>
    </row>
    <row r="2145">
      <c r="A2145" s="12" t="n"/>
      <c r="B2145" s="13">
        <f>IF($A2145="","",IFERROR(INDEX(Emp_Names,MATCH($A2145,Emp_Codes,0)),"NOT FOUND"))</f>
        <v/>
      </c>
      <c r="C2145" s="14" t="n"/>
      <c r="D2145" s="15" t="n"/>
      <c r="E2145" s="15" t="n"/>
      <c r="F2145" s="15" t="n"/>
      <c r="G2145" s="15" t="n"/>
      <c r="H2145" s="16">
        <f>IF($A2145="","",$D2145+IF($E2145="",0,$E2145)+IF($F2145="",0,$F2145)-IF($G2145="",0,$G2145))</f>
        <v/>
      </c>
      <c r="I2145" s="12" t="n"/>
      <c r="J2145" s="12" t="n"/>
      <c r="K2145" s="12" t="n"/>
      <c r="L2145" s="14" t="n"/>
      <c r="M2145" s="12" t="n"/>
      <c r="N2145" s="12" t="n"/>
      <c r="O2145" s="12" t="n"/>
    </row>
    <row r="2146">
      <c r="A2146" s="12" t="n"/>
      <c r="B2146" s="13">
        <f>IF($A2146="","",IFERROR(INDEX(Emp_Names,MATCH($A2146,Emp_Codes,0)),"NOT FOUND"))</f>
        <v/>
      </c>
      <c r="C2146" s="14" t="n"/>
      <c r="D2146" s="15" t="n"/>
      <c r="E2146" s="15" t="n"/>
      <c r="F2146" s="15" t="n"/>
      <c r="G2146" s="15" t="n"/>
      <c r="H2146" s="16">
        <f>IF($A2146="","",$D2146+IF($E2146="",0,$E2146)+IF($F2146="",0,$F2146)-IF($G2146="",0,$G2146))</f>
        <v/>
      </c>
      <c r="I2146" s="12" t="n"/>
      <c r="J2146" s="12" t="n"/>
      <c r="K2146" s="12" t="n"/>
      <c r="L2146" s="14" t="n"/>
      <c r="M2146" s="12" t="n"/>
      <c r="N2146" s="12" t="n"/>
      <c r="O2146" s="12" t="n"/>
    </row>
    <row r="2147">
      <c r="A2147" s="12" t="n"/>
      <c r="B2147" s="13">
        <f>IF($A2147="","",IFERROR(INDEX(Emp_Names,MATCH($A2147,Emp_Codes,0)),"NOT FOUND"))</f>
        <v/>
      </c>
      <c r="C2147" s="14" t="n"/>
      <c r="D2147" s="15" t="n"/>
      <c r="E2147" s="15" t="n"/>
      <c r="F2147" s="15" t="n"/>
      <c r="G2147" s="15" t="n"/>
      <c r="H2147" s="16">
        <f>IF($A2147="","",$D2147+IF($E2147="",0,$E2147)+IF($F2147="",0,$F2147)-IF($G2147="",0,$G2147))</f>
        <v/>
      </c>
      <c r="I2147" s="12" t="n"/>
      <c r="J2147" s="12" t="n"/>
      <c r="K2147" s="12" t="n"/>
      <c r="L2147" s="14" t="n"/>
      <c r="M2147" s="12" t="n"/>
      <c r="N2147" s="12" t="n"/>
      <c r="O2147" s="12" t="n"/>
    </row>
    <row r="2148">
      <c r="A2148" s="12" t="n"/>
      <c r="B2148" s="13">
        <f>IF($A2148="","",IFERROR(INDEX(Emp_Names,MATCH($A2148,Emp_Codes,0)),"NOT FOUND"))</f>
        <v/>
      </c>
      <c r="C2148" s="14" t="n"/>
      <c r="D2148" s="15" t="n"/>
      <c r="E2148" s="15" t="n"/>
      <c r="F2148" s="15" t="n"/>
      <c r="G2148" s="15" t="n"/>
      <c r="H2148" s="16">
        <f>IF($A2148="","",$D2148+IF($E2148="",0,$E2148)+IF($F2148="",0,$F2148)-IF($G2148="",0,$G2148))</f>
        <v/>
      </c>
      <c r="I2148" s="12" t="n"/>
      <c r="J2148" s="12" t="n"/>
      <c r="K2148" s="12" t="n"/>
      <c r="L2148" s="14" t="n"/>
      <c r="M2148" s="12" t="n"/>
      <c r="N2148" s="12" t="n"/>
      <c r="O2148" s="12" t="n"/>
    </row>
    <row r="2149">
      <c r="A2149" s="12" t="n"/>
      <c r="B2149" s="13">
        <f>IF($A2149="","",IFERROR(INDEX(Emp_Names,MATCH($A2149,Emp_Codes,0)),"NOT FOUND"))</f>
        <v/>
      </c>
      <c r="C2149" s="14" t="n"/>
      <c r="D2149" s="15" t="n"/>
      <c r="E2149" s="15" t="n"/>
      <c r="F2149" s="15" t="n"/>
      <c r="G2149" s="15" t="n"/>
      <c r="H2149" s="16">
        <f>IF($A2149="","",$D2149+IF($E2149="",0,$E2149)+IF($F2149="",0,$F2149)-IF($G2149="",0,$G2149))</f>
        <v/>
      </c>
      <c r="I2149" s="12" t="n"/>
      <c r="J2149" s="12" t="n"/>
      <c r="K2149" s="12" t="n"/>
      <c r="L2149" s="14" t="n"/>
      <c r="M2149" s="12" t="n"/>
      <c r="N2149" s="12" t="n"/>
      <c r="O2149" s="12" t="n"/>
    </row>
    <row r="2150">
      <c r="A2150" s="12" t="n"/>
      <c r="B2150" s="13">
        <f>IF($A2150="","",IFERROR(INDEX(Emp_Names,MATCH($A2150,Emp_Codes,0)),"NOT FOUND"))</f>
        <v/>
      </c>
      <c r="C2150" s="14" t="n"/>
      <c r="D2150" s="15" t="n"/>
      <c r="E2150" s="15" t="n"/>
      <c r="F2150" s="15" t="n"/>
      <c r="G2150" s="15" t="n"/>
      <c r="H2150" s="16">
        <f>IF($A2150="","",$D2150+IF($E2150="",0,$E2150)+IF($F2150="",0,$F2150)-IF($G2150="",0,$G2150))</f>
        <v/>
      </c>
      <c r="I2150" s="12" t="n"/>
      <c r="J2150" s="12" t="n"/>
      <c r="K2150" s="12" t="n"/>
      <c r="L2150" s="14" t="n"/>
      <c r="M2150" s="12" t="n"/>
      <c r="N2150" s="12" t="n"/>
      <c r="O2150" s="12" t="n"/>
    </row>
    <row r="2151">
      <c r="A2151" s="12" t="n"/>
      <c r="B2151" s="13">
        <f>IF($A2151="","",IFERROR(INDEX(Emp_Names,MATCH($A2151,Emp_Codes,0)),"NOT FOUND"))</f>
        <v/>
      </c>
      <c r="C2151" s="14" t="n"/>
      <c r="D2151" s="15" t="n"/>
      <c r="E2151" s="15" t="n"/>
      <c r="F2151" s="15" t="n"/>
      <c r="G2151" s="15" t="n"/>
      <c r="H2151" s="16">
        <f>IF($A2151="","",$D2151+IF($E2151="",0,$E2151)+IF($F2151="",0,$F2151)-IF($G2151="",0,$G2151))</f>
        <v/>
      </c>
      <c r="I2151" s="12" t="n"/>
      <c r="J2151" s="12" t="n"/>
      <c r="K2151" s="12" t="n"/>
      <c r="L2151" s="14" t="n"/>
      <c r="M2151" s="12" t="n"/>
      <c r="N2151" s="12" t="n"/>
      <c r="O2151" s="12" t="n"/>
    </row>
    <row r="2152">
      <c r="A2152" s="12" t="n"/>
      <c r="B2152" s="13">
        <f>IF($A2152="","",IFERROR(INDEX(Emp_Names,MATCH($A2152,Emp_Codes,0)),"NOT FOUND"))</f>
        <v/>
      </c>
      <c r="C2152" s="14" t="n"/>
      <c r="D2152" s="15" t="n"/>
      <c r="E2152" s="15" t="n"/>
      <c r="F2152" s="15" t="n"/>
      <c r="G2152" s="15" t="n"/>
      <c r="H2152" s="16">
        <f>IF($A2152="","",$D2152+IF($E2152="",0,$E2152)+IF($F2152="",0,$F2152)-IF($G2152="",0,$G2152))</f>
        <v/>
      </c>
      <c r="I2152" s="12" t="n"/>
      <c r="J2152" s="12" t="n"/>
      <c r="K2152" s="12" t="n"/>
      <c r="L2152" s="14" t="n"/>
      <c r="M2152" s="12" t="n"/>
      <c r="N2152" s="12" t="n"/>
      <c r="O2152" s="12" t="n"/>
    </row>
    <row r="2153">
      <c r="A2153" s="12" t="n"/>
      <c r="B2153" s="13">
        <f>IF($A2153="","",IFERROR(INDEX(Emp_Names,MATCH($A2153,Emp_Codes,0)),"NOT FOUND"))</f>
        <v/>
      </c>
      <c r="C2153" s="14" t="n"/>
      <c r="D2153" s="15" t="n"/>
      <c r="E2153" s="15" t="n"/>
      <c r="F2153" s="15" t="n"/>
      <c r="G2153" s="15" t="n"/>
      <c r="H2153" s="16">
        <f>IF($A2153="","",$D2153+IF($E2153="",0,$E2153)+IF($F2153="",0,$F2153)-IF($G2153="",0,$G2153))</f>
        <v/>
      </c>
      <c r="I2153" s="12" t="n"/>
      <c r="J2153" s="12" t="n"/>
      <c r="K2153" s="12" t="n"/>
      <c r="L2153" s="14" t="n"/>
      <c r="M2153" s="12" t="n"/>
      <c r="N2153" s="12" t="n"/>
      <c r="O2153" s="12" t="n"/>
    </row>
    <row r="2154">
      <c r="A2154" s="12" t="n"/>
      <c r="B2154" s="13">
        <f>IF($A2154="","",IFERROR(INDEX(Emp_Names,MATCH($A2154,Emp_Codes,0)),"NOT FOUND"))</f>
        <v/>
      </c>
      <c r="C2154" s="14" t="n"/>
      <c r="D2154" s="15" t="n"/>
      <c r="E2154" s="15" t="n"/>
      <c r="F2154" s="15" t="n"/>
      <c r="G2154" s="15" t="n"/>
      <c r="H2154" s="16">
        <f>IF($A2154="","",$D2154+IF($E2154="",0,$E2154)+IF($F2154="",0,$F2154)-IF($G2154="",0,$G2154))</f>
        <v/>
      </c>
      <c r="I2154" s="12" t="n"/>
      <c r="J2154" s="12" t="n"/>
      <c r="K2154" s="12" t="n"/>
      <c r="L2154" s="14" t="n"/>
      <c r="M2154" s="12" t="n"/>
      <c r="N2154" s="12" t="n"/>
      <c r="O2154" s="12" t="n"/>
    </row>
    <row r="2155">
      <c r="A2155" s="12" t="n"/>
      <c r="B2155" s="13">
        <f>IF($A2155="","",IFERROR(INDEX(Emp_Names,MATCH($A2155,Emp_Codes,0)),"NOT FOUND"))</f>
        <v/>
      </c>
      <c r="C2155" s="14" t="n"/>
      <c r="D2155" s="15" t="n"/>
      <c r="E2155" s="15" t="n"/>
      <c r="F2155" s="15" t="n"/>
      <c r="G2155" s="15" t="n"/>
      <c r="H2155" s="16">
        <f>IF($A2155="","",$D2155+IF($E2155="",0,$E2155)+IF($F2155="",0,$F2155)-IF($G2155="",0,$G2155))</f>
        <v/>
      </c>
      <c r="I2155" s="12" t="n"/>
      <c r="J2155" s="12" t="n"/>
      <c r="K2155" s="12" t="n"/>
      <c r="L2155" s="14" t="n"/>
      <c r="M2155" s="12" t="n"/>
      <c r="N2155" s="12" t="n"/>
      <c r="O2155" s="12" t="n"/>
    </row>
    <row r="2156">
      <c r="A2156" s="12" t="n"/>
      <c r="B2156" s="13">
        <f>IF($A2156="","",IFERROR(INDEX(Emp_Names,MATCH($A2156,Emp_Codes,0)),"NOT FOUND"))</f>
        <v/>
      </c>
      <c r="C2156" s="14" t="n"/>
      <c r="D2156" s="15" t="n"/>
      <c r="E2156" s="15" t="n"/>
      <c r="F2156" s="15" t="n"/>
      <c r="G2156" s="15" t="n"/>
      <c r="H2156" s="16">
        <f>IF($A2156="","",$D2156+IF($E2156="",0,$E2156)+IF($F2156="",0,$F2156)-IF($G2156="",0,$G2156))</f>
        <v/>
      </c>
      <c r="I2156" s="12" t="n"/>
      <c r="J2156" s="12" t="n"/>
      <c r="K2156" s="12" t="n"/>
      <c r="L2156" s="14" t="n"/>
      <c r="M2156" s="12" t="n"/>
      <c r="N2156" s="12" t="n"/>
      <c r="O2156" s="12" t="n"/>
    </row>
    <row r="2157">
      <c r="A2157" s="12" t="n"/>
      <c r="B2157" s="13">
        <f>IF($A2157="","",IFERROR(INDEX(Emp_Names,MATCH($A2157,Emp_Codes,0)),"NOT FOUND"))</f>
        <v/>
      </c>
      <c r="C2157" s="14" t="n"/>
      <c r="D2157" s="15" t="n"/>
      <c r="E2157" s="15" t="n"/>
      <c r="F2157" s="15" t="n"/>
      <c r="G2157" s="15" t="n"/>
      <c r="H2157" s="16">
        <f>IF($A2157="","",$D2157+IF($E2157="",0,$E2157)+IF($F2157="",0,$F2157)-IF($G2157="",0,$G2157))</f>
        <v/>
      </c>
      <c r="I2157" s="12" t="n"/>
      <c r="J2157" s="12" t="n"/>
      <c r="K2157" s="12" t="n"/>
      <c r="L2157" s="14" t="n"/>
      <c r="M2157" s="12" t="n"/>
      <c r="N2157" s="12" t="n"/>
      <c r="O2157" s="12" t="n"/>
    </row>
    <row r="2158">
      <c r="A2158" s="12" t="n"/>
      <c r="B2158" s="13">
        <f>IF($A2158="","",IFERROR(INDEX(Emp_Names,MATCH($A2158,Emp_Codes,0)),"NOT FOUND"))</f>
        <v/>
      </c>
      <c r="C2158" s="14" t="n"/>
      <c r="D2158" s="15" t="n"/>
      <c r="E2158" s="15" t="n"/>
      <c r="F2158" s="15" t="n"/>
      <c r="G2158" s="15" t="n"/>
      <c r="H2158" s="16">
        <f>IF($A2158="","",$D2158+IF($E2158="",0,$E2158)+IF($F2158="",0,$F2158)-IF($G2158="",0,$G2158))</f>
        <v/>
      </c>
      <c r="I2158" s="12" t="n"/>
      <c r="J2158" s="12" t="n"/>
      <c r="K2158" s="12" t="n"/>
      <c r="L2158" s="14" t="n"/>
      <c r="M2158" s="12" t="n"/>
      <c r="N2158" s="12" t="n"/>
      <c r="O2158" s="12" t="n"/>
    </row>
    <row r="2159">
      <c r="A2159" s="12" t="n"/>
      <c r="B2159" s="13">
        <f>IF($A2159="","",IFERROR(INDEX(Emp_Names,MATCH($A2159,Emp_Codes,0)),"NOT FOUND"))</f>
        <v/>
      </c>
      <c r="C2159" s="14" t="n"/>
      <c r="D2159" s="15" t="n"/>
      <c r="E2159" s="15" t="n"/>
      <c r="F2159" s="15" t="n"/>
      <c r="G2159" s="15" t="n"/>
      <c r="H2159" s="16">
        <f>IF($A2159="","",$D2159+IF($E2159="",0,$E2159)+IF($F2159="",0,$F2159)-IF($G2159="",0,$G2159))</f>
        <v/>
      </c>
      <c r="I2159" s="12" t="n"/>
      <c r="J2159" s="12" t="n"/>
      <c r="K2159" s="12" t="n"/>
      <c r="L2159" s="14" t="n"/>
      <c r="M2159" s="12" t="n"/>
      <c r="N2159" s="12" t="n"/>
      <c r="O2159" s="12" t="n"/>
    </row>
    <row r="2160">
      <c r="A2160" s="12" t="n"/>
      <c r="B2160" s="13">
        <f>IF($A2160="","",IFERROR(INDEX(Emp_Names,MATCH($A2160,Emp_Codes,0)),"NOT FOUND"))</f>
        <v/>
      </c>
      <c r="C2160" s="14" t="n"/>
      <c r="D2160" s="15" t="n"/>
      <c r="E2160" s="15" t="n"/>
      <c r="F2160" s="15" t="n"/>
      <c r="G2160" s="15" t="n"/>
      <c r="H2160" s="16">
        <f>IF($A2160="","",$D2160+IF($E2160="",0,$E2160)+IF($F2160="",0,$F2160)-IF($G2160="",0,$G2160))</f>
        <v/>
      </c>
      <c r="I2160" s="12" t="n"/>
      <c r="J2160" s="12" t="n"/>
      <c r="K2160" s="12" t="n"/>
      <c r="L2160" s="14" t="n"/>
      <c r="M2160" s="12" t="n"/>
      <c r="N2160" s="12" t="n"/>
      <c r="O2160" s="12" t="n"/>
    </row>
    <row r="2161">
      <c r="A2161" s="12" t="n"/>
      <c r="B2161" s="13">
        <f>IF($A2161="","",IFERROR(INDEX(Emp_Names,MATCH($A2161,Emp_Codes,0)),"NOT FOUND"))</f>
        <v/>
      </c>
      <c r="C2161" s="14" t="n"/>
      <c r="D2161" s="15" t="n"/>
      <c r="E2161" s="15" t="n"/>
      <c r="F2161" s="15" t="n"/>
      <c r="G2161" s="15" t="n"/>
      <c r="H2161" s="16">
        <f>IF($A2161="","",$D2161+IF($E2161="",0,$E2161)+IF($F2161="",0,$F2161)-IF($G2161="",0,$G2161))</f>
        <v/>
      </c>
      <c r="I2161" s="12" t="n"/>
      <c r="J2161" s="12" t="n"/>
      <c r="K2161" s="12" t="n"/>
      <c r="L2161" s="14" t="n"/>
      <c r="M2161" s="12" t="n"/>
      <c r="N2161" s="12" t="n"/>
      <c r="O2161" s="12" t="n"/>
    </row>
    <row r="2162">
      <c r="A2162" s="12" t="n"/>
      <c r="B2162" s="13">
        <f>IF($A2162="","",IFERROR(INDEX(Emp_Names,MATCH($A2162,Emp_Codes,0)),"NOT FOUND"))</f>
        <v/>
      </c>
      <c r="C2162" s="14" t="n"/>
      <c r="D2162" s="15" t="n"/>
      <c r="E2162" s="15" t="n"/>
      <c r="F2162" s="15" t="n"/>
      <c r="G2162" s="15" t="n"/>
      <c r="H2162" s="16">
        <f>IF($A2162="","",$D2162+IF($E2162="",0,$E2162)+IF($F2162="",0,$F2162)-IF($G2162="",0,$G2162))</f>
        <v/>
      </c>
      <c r="I2162" s="12" t="n"/>
      <c r="J2162" s="12" t="n"/>
      <c r="K2162" s="12" t="n"/>
      <c r="L2162" s="14" t="n"/>
      <c r="M2162" s="12" t="n"/>
      <c r="N2162" s="12" t="n"/>
      <c r="O2162" s="12" t="n"/>
    </row>
    <row r="2163">
      <c r="A2163" s="12" t="n"/>
      <c r="B2163" s="13">
        <f>IF($A2163="","",IFERROR(INDEX(Emp_Names,MATCH($A2163,Emp_Codes,0)),"NOT FOUND"))</f>
        <v/>
      </c>
      <c r="C2163" s="14" t="n"/>
      <c r="D2163" s="15" t="n"/>
      <c r="E2163" s="15" t="n"/>
      <c r="F2163" s="15" t="n"/>
      <c r="G2163" s="15" t="n"/>
      <c r="H2163" s="16">
        <f>IF($A2163="","",$D2163+IF($E2163="",0,$E2163)+IF($F2163="",0,$F2163)-IF($G2163="",0,$G2163))</f>
        <v/>
      </c>
      <c r="I2163" s="12" t="n"/>
      <c r="J2163" s="12" t="n"/>
      <c r="K2163" s="12" t="n"/>
      <c r="L2163" s="14" t="n"/>
      <c r="M2163" s="12" t="n"/>
      <c r="N2163" s="12" t="n"/>
      <c r="O2163" s="12" t="n"/>
    </row>
    <row r="2164">
      <c r="A2164" s="12" t="n"/>
      <c r="B2164" s="13">
        <f>IF($A2164="","",IFERROR(INDEX(Emp_Names,MATCH($A2164,Emp_Codes,0)),"NOT FOUND"))</f>
        <v/>
      </c>
      <c r="C2164" s="14" t="n"/>
      <c r="D2164" s="15" t="n"/>
      <c r="E2164" s="15" t="n"/>
      <c r="F2164" s="15" t="n"/>
      <c r="G2164" s="15" t="n"/>
      <c r="H2164" s="16">
        <f>IF($A2164="","",$D2164+IF($E2164="",0,$E2164)+IF($F2164="",0,$F2164)-IF($G2164="",0,$G2164))</f>
        <v/>
      </c>
      <c r="I2164" s="12" t="n"/>
      <c r="J2164" s="12" t="n"/>
      <c r="K2164" s="12" t="n"/>
      <c r="L2164" s="14" t="n"/>
      <c r="M2164" s="12" t="n"/>
      <c r="N2164" s="12" t="n"/>
      <c r="O2164" s="12" t="n"/>
    </row>
    <row r="2165">
      <c r="A2165" s="12" t="n"/>
      <c r="B2165" s="13">
        <f>IF($A2165="","",IFERROR(INDEX(Emp_Names,MATCH($A2165,Emp_Codes,0)),"NOT FOUND"))</f>
        <v/>
      </c>
      <c r="C2165" s="14" t="n"/>
      <c r="D2165" s="15" t="n"/>
      <c r="E2165" s="15" t="n"/>
      <c r="F2165" s="15" t="n"/>
      <c r="G2165" s="15" t="n"/>
      <c r="H2165" s="16">
        <f>IF($A2165="","",$D2165+IF($E2165="",0,$E2165)+IF($F2165="",0,$F2165)-IF($G2165="",0,$G2165))</f>
        <v/>
      </c>
      <c r="I2165" s="12" t="n"/>
      <c r="J2165" s="12" t="n"/>
      <c r="K2165" s="12" t="n"/>
      <c r="L2165" s="14" t="n"/>
      <c r="M2165" s="12" t="n"/>
      <c r="N2165" s="12" t="n"/>
      <c r="O2165" s="12" t="n"/>
    </row>
    <row r="2166">
      <c r="A2166" s="12" t="n"/>
      <c r="B2166" s="13">
        <f>IF($A2166="","",IFERROR(INDEX(Emp_Names,MATCH($A2166,Emp_Codes,0)),"NOT FOUND"))</f>
        <v/>
      </c>
      <c r="C2166" s="14" t="n"/>
      <c r="D2166" s="15" t="n"/>
      <c r="E2166" s="15" t="n"/>
      <c r="F2166" s="15" t="n"/>
      <c r="G2166" s="15" t="n"/>
      <c r="H2166" s="16">
        <f>IF($A2166="","",$D2166+IF($E2166="",0,$E2166)+IF($F2166="",0,$F2166)-IF($G2166="",0,$G2166))</f>
        <v/>
      </c>
      <c r="I2166" s="12" t="n"/>
      <c r="J2166" s="12" t="n"/>
      <c r="K2166" s="12" t="n"/>
      <c r="L2166" s="14" t="n"/>
      <c r="M2166" s="12" t="n"/>
      <c r="N2166" s="12" t="n"/>
      <c r="O2166" s="12" t="n"/>
    </row>
    <row r="2167">
      <c r="A2167" s="12" t="n"/>
      <c r="B2167" s="13">
        <f>IF($A2167="","",IFERROR(INDEX(Emp_Names,MATCH($A2167,Emp_Codes,0)),"NOT FOUND"))</f>
        <v/>
      </c>
      <c r="C2167" s="14" t="n"/>
      <c r="D2167" s="15" t="n"/>
      <c r="E2167" s="15" t="n"/>
      <c r="F2167" s="15" t="n"/>
      <c r="G2167" s="15" t="n"/>
      <c r="H2167" s="16">
        <f>IF($A2167="","",$D2167+IF($E2167="",0,$E2167)+IF($F2167="",0,$F2167)-IF($G2167="",0,$G2167))</f>
        <v/>
      </c>
      <c r="I2167" s="12" t="n"/>
      <c r="J2167" s="12" t="n"/>
      <c r="K2167" s="12" t="n"/>
      <c r="L2167" s="14" t="n"/>
      <c r="M2167" s="12" t="n"/>
      <c r="N2167" s="12" t="n"/>
      <c r="O2167" s="12" t="n"/>
    </row>
    <row r="2168">
      <c r="A2168" s="12" t="n"/>
      <c r="B2168" s="13">
        <f>IF($A2168="","",IFERROR(INDEX(Emp_Names,MATCH($A2168,Emp_Codes,0)),"NOT FOUND"))</f>
        <v/>
      </c>
      <c r="C2168" s="14" t="n"/>
      <c r="D2168" s="15" t="n"/>
      <c r="E2168" s="15" t="n"/>
      <c r="F2168" s="15" t="n"/>
      <c r="G2168" s="15" t="n"/>
      <c r="H2168" s="16">
        <f>IF($A2168="","",$D2168+IF($E2168="",0,$E2168)+IF($F2168="",0,$F2168)-IF($G2168="",0,$G2168))</f>
        <v/>
      </c>
      <c r="I2168" s="12" t="n"/>
      <c r="J2168" s="12" t="n"/>
      <c r="K2168" s="12" t="n"/>
      <c r="L2168" s="14" t="n"/>
      <c r="M2168" s="12" t="n"/>
      <c r="N2168" s="12" t="n"/>
      <c r="O2168" s="12" t="n"/>
    </row>
    <row r="2169">
      <c r="A2169" s="12" t="n"/>
      <c r="B2169" s="13">
        <f>IF($A2169="","",IFERROR(INDEX(Emp_Names,MATCH($A2169,Emp_Codes,0)),"NOT FOUND"))</f>
        <v/>
      </c>
      <c r="C2169" s="14" t="n"/>
      <c r="D2169" s="15" t="n"/>
      <c r="E2169" s="15" t="n"/>
      <c r="F2169" s="15" t="n"/>
      <c r="G2169" s="15" t="n"/>
      <c r="H2169" s="16">
        <f>IF($A2169="","",$D2169+IF($E2169="",0,$E2169)+IF($F2169="",0,$F2169)-IF($G2169="",0,$G2169))</f>
        <v/>
      </c>
      <c r="I2169" s="12" t="n"/>
      <c r="J2169" s="12" t="n"/>
      <c r="K2169" s="12" t="n"/>
      <c r="L2169" s="14" t="n"/>
      <c r="M2169" s="12" t="n"/>
      <c r="N2169" s="12" t="n"/>
      <c r="O2169" s="12" t="n"/>
    </row>
    <row r="2170">
      <c r="A2170" s="12" t="n"/>
      <c r="B2170" s="13">
        <f>IF($A2170="","",IFERROR(INDEX(Emp_Names,MATCH($A2170,Emp_Codes,0)),"NOT FOUND"))</f>
        <v/>
      </c>
      <c r="C2170" s="14" t="n"/>
      <c r="D2170" s="15" t="n"/>
      <c r="E2170" s="15" t="n"/>
      <c r="F2170" s="15" t="n"/>
      <c r="G2170" s="15" t="n"/>
      <c r="H2170" s="16">
        <f>IF($A2170="","",$D2170+IF($E2170="",0,$E2170)+IF($F2170="",0,$F2170)-IF($G2170="",0,$G2170))</f>
        <v/>
      </c>
      <c r="I2170" s="12" t="n"/>
      <c r="J2170" s="12" t="n"/>
      <c r="K2170" s="12" t="n"/>
      <c r="L2170" s="14" t="n"/>
      <c r="M2170" s="12" t="n"/>
      <c r="N2170" s="12" t="n"/>
      <c r="O2170" s="12" t="n"/>
    </row>
    <row r="2171">
      <c r="A2171" s="12" t="n"/>
      <c r="B2171" s="13">
        <f>IF($A2171="","",IFERROR(INDEX(Emp_Names,MATCH($A2171,Emp_Codes,0)),"NOT FOUND"))</f>
        <v/>
      </c>
      <c r="C2171" s="14" t="n"/>
      <c r="D2171" s="15" t="n"/>
      <c r="E2171" s="15" t="n"/>
      <c r="F2171" s="15" t="n"/>
      <c r="G2171" s="15" t="n"/>
      <c r="H2171" s="16">
        <f>IF($A2171="","",$D2171+IF($E2171="",0,$E2171)+IF($F2171="",0,$F2171)-IF($G2171="",0,$G2171))</f>
        <v/>
      </c>
      <c r="I2171" s="12" t="n"/>
      <c r="J2171" s="12" t="n"/>
      <c r="K2171" s="12" t="n"/>
      <c r="L2171" s="14" t="n"/>
      <c r="M2171" s="12" t="n"/>
      <c r="N2171" s="12" t="n"/>
      <c r="O2171" s="12" t="n"/>
    </row>
    <row r="2172">
      <c r="A2172" s="12" t="n"/>
      <c r="B2172" s="13">
        <f>IF($A2172="","",IFERROR(INDEX(Emp_Names,MATCH($A2172,Emp_Codes,0)),"NOT FOUND"))</f>
        <v/>
      </c>
      <c r="C2172" s="14" t="n"/>
      <c r="D2172" s="15" t="n"/>
      <c r="E2172" s="15" t="n"/>
      <c r="F2172" s="15" t="n"/>
      <c r="G2172" s="15" t="n"/>
      <c r="H2172" s="16">
        <f>IF($A2172="","",$D2172+IF($E2172="",0,$E2172)+IF($F2172="",0,$F2172)-IF($G2172="",0,$G2172))</f>
        <v/>
      </c>
      <c r="I2172" s="12" t="n"/>
      <c r="J2172" s="12" t="n"/>
      <c r="K2172" s="12" t="n"/>
      <c r="L2172" s="14" t="n"/>
      <c r="M2172" s="12" t="n"/>
      <c r="N2172" s="12" t="n"/>
      <c r="O2172" s="12" t="n"/>
    </row>
    <row r="2173">
      <c r="A2173" s="12" t="n"/>
      <c r="B2173" s="13">
        <f>IF($A2173="","",IFERROR(INDEX(Emp_Names,MATCH($A2173,Emp_Codes,0)),"NOT FOUND"))</f>
        <v/>
      </c>
      <c r="C2173" s="14" t="n"/>
      <c r="D2173" s="15" t="n"/>
      <c r="E2173" s="15" t="n"/>
      <c r="F2173" s="15" t="n"/>
      <c r="G2173" s="15" t="n"/>
      <c r="H2173" s="16">
        <f>IF($A2173="","",$D2173+IF($E2173="",0,$E2173)+IF($F2173="",0,$F2173)-IF($G2173="",0,$G2173))</f>
        <v/>
      </c>
      <c r="I2173" s="12" t="n"/>
      <c r="J2173" s="12" t="n"/>
      <c r="K2173" s="12" t="n"/>
      <c r="L2173" s="14" t="n"/>
      <c r="M2173" s="12" t="n"/>
      <c r="N2173" s="12" t="n"/>
      <c r="O2173" s="12" t="n"/>
    </row>
    <row r="2174">
      <c r="A2174" s="12" t="n"/>
      <c r="B2174" s="13">
        <f>IF($A2174="","",IFERROR(INDEX(Emp_Names,MATCH($A2174,Emp_Codes,0)),"NOT FOUND"))</f>
        <v/>
      </c>
      <c r="C2174" s="14" t="n"/>
      <c r="D2174" s="15" t="n"/>
      <c r="E2174" s="15" t="n"/>
      <c r="F2174" s="15" t="n"/>
      <c r="G2174" s="15" t="n"/>
      <c r="H2174" s="16">
        <f>IF($A2174="","",$D2174+IF($E2174="",0,$E2174)+IF($F2174="",0,$F2174)-IF($G2174="",0,$G2174))</f>
        <v/>
      </c>
      <c r="I2174" s="12" t="n"/>
      <c r="J2174" s="12" t="n"/>
      <c r="K2174" s="12" t="n"/>
      <c r="L2174" s="14" t="n"/>
      <c r="M2174" s="12" t="n"/>
      <c r="N2174" s="12" t="n"/>
      <c r="O2174" s="12" t="n"/>
    </row>
    <row r="2175">
      <c r="A2175" s="12" t="n"/>
      <c r="B2175" s="13">
        <f>IF($A2175="","",IFERROR(INDEX(Emp_Names,MATCH($A2175,Emp_Codes,0)),"NOT FOUND"))</f>
        <v/>
      </c>
      <c r="C2175" s="14" t="n"/>
      <c r="D2175" s="15" t="n"/>
      <c r="E2175" s="15" t="n"/>
      <c r="F2175" s="15" t="n"/>
      <c r="G2175" s="15" t="n"/>
      <c r="H2175" s="16">
        <f>IF($A2175="","",$D2175+IF($E2175="",0,$E2175)+IF($F2175="",0,$F2175)-IF($G2175="",0,$G2175))</f>
        <v/>
      </c>
      <c r="I2175" s="12" t="n"/>
      <c r="J2175" s="12" t="n"/>
      <c r="K2175" s="12" t="n"/>
      <c r="L2175" s="14" t="n"/>
      <c r="M2175" s="12" t="n"/>
      <c r="N2175" s="12" t="n"/>
      <c r="O2175" s="12" t="n"/>
    </row>
    <row r="2176">
      <c r="A2176" s="12" t="n"/>
      <c r="B2176" s="13">
        <f>IF($A2176="","",IFERROR(INDEX(Emp_Names,MATCH($A2176,Emp_Codes,0)),"NOT FOUND"))</f>
        <v/>
      </c>
      <c r="C2176" s="14" t="n"/>
      <c r="D2176" s="15" t="n"/>
      <c r="E2176" s="15" t="n"/>
      <c r="F2176" s="15" t="n"/>
      <c r="G2176" s="15" t="n"/>
      <c r="H2176" s="16">
        <f>IF($A2176="","",$D2176+IF($E2176="",0,$E2176)+IF($F2176="",0,$F2176)-IF($G2176="",0,$G2176))</f>
        <v/>
      </c>
      <c r="I2176" s="12" t="n"/>
      <c r="J2176" s="12" t="n"/>
      <c r="K2176" s="12" t="n"/>
      <c r="L2176" s="14" t="n"/>
      <c r="M2176" s="12" t="n"/>
      <c r="N2176" s="12" t="n"/>
      <c r="O2176" s="12" t="n"/>
    </row>
    <row r="2177">
      <c r="A2177" s="12" t="n"/>
      <c r="B2177" s="13">
        <f>IF($A2177="","",IFERROR(INDEX(Emp_Names,MATCH($A2177,Emp_Codes,0)),"NOT FOUND"))</f>
        <v/>
      </c>
      <c r="C2177" s="14" t="n"/>
      <c r="D2177" s="15" t="n"/>
      <c r="E2177" s="15" t="n"/>
      <c r="F2177" s="15" t="n"/>
      <c r="G2177" s="15" t="n"/>
      <c r="H2177" s="16">
        <f>IF($A2177="","",$D2177+IF($E2177="",0,$E2177)+IF($F2177="",0,$F2177)-IF($G2177="",0,$G2177))</f>
        <v/>
      </c>
      <c r="I2177" s="12" t="n"/>
      <c r="J2177" s="12" t="n"/>
      <c r="K2177" s="12" t="n"/>
      <c r="L2177" s="14" t="n"/>
      <c r="M2177" s="12" t="n"/>
      <c r="N2177" s="12" t="n"/>
      <c r="O2177" s="12" t="n"/>
    </row>
    <row r="2178">
      <c r="A2178" s="12" t="n"/>
      <c r="B2178" s="13">
        <f>IF($A2178="","",IFERROR(INDEX(Emp_Names,MATCH($A2178,Emp_Codes,0)),"NOT FOUND"))</f>
        <v/>
      </c>
      <c r="C2178" s="14" t="n"/>
      <c r="D2178" s="15" t="n"/>
      <c r="E2178" s="15" t="n"/>
      <c r="F2178" s="15" t="n"/>
      <c r="G2178" s="15" t="n"/>
      <c r="H2178" s="16">
        <f>IF($A2178="","",$D2178+IF($E2178="",0,$E2178)+IF($F2178="",0,$F2178)-IF($G2178="",0,$G2178))</f>
        <v/>
      </c>
      <c r="I2178" s="12" t="n"/>
      <c r="J2178" s="12" t="n"/>
      <c r="K2178" s="12" t="n"/>
      <c r="L2178" s="14" t="n"/>
      <c r="M2178" s="12" t="n"/>
      <c r="N2178" s="12" t="n"/>
      <c r="O2178" s="12" t="n"/>
    </row>
    <row r="2179">
      <c r="A2179" s="12" t="n"/>
      <c r="B2179" s="13">
        <f>IF($A2179="","",IFERROR(INDEX(Emp_Names,MATCH($A2179,Emp_Codes,0)),"NOT FOUND"))</f>
        <v/>
      </c>
      <c r="C2179" s="14" t="n"/>
      <c r="D2179" s="15" t="n"/>
      <c r="E2179" s="15" t="n"/>
      <c r="F2179" s="15" t="n"/>
      <c r="G2179" s="15" t="n"/>
      <c r="H2179" s="16">
        <f>IF($A2179="","",$D2179+IF($E2179="",0,$E2179)+IF($F2179="",0,$F2179)-IF($G2179="",0,$G2179))</f>
        <v/>
      </c>
      <c r="I2179" s="12" t="n"/>
      <c r="J2179" s="12" t="n"/>
      <c r="K2179" s="12" t="n"/>
      <c r="L2179" s="14" t="n"/>
      <c r="M2179" s="12" t="n"/>
      <c r="N2179" s="12" t="n"/>
      <c r="O2179" s="12" t="n"/>
    </row>
    <row r="2180">
      <c r="A2180" s="12" t="n"/>
      <c r="B2180" s="13">
        <f>IF($A2180="","",IFERROR(INDEX(Emp_Names,MATCH($A2180,Emp_Codes,0)),"NOT FOUND"))</f>
        <v/>
      </c>
      <c r="C2180" s="14" t="n"/>
      <c r="D2180" s="15" t="n"/>
      <c r="E2180" s="15" t="n"/>
      <c r="F2180" s="15" t="n"/>
      <c r="G2180" s="15" t="n"/>
      <c r="H2180" s="16">
        <f>IF($A2180="","",$D2180+IF($E2180="",0,$E2180)+IF($F2180="",0,$F2180)-IF($G2180="",0,$G2180))</f>
        <v/>
      </c>
      <c r="I2180" s="12" t="n"/>
      <c r="J2180" s="12" t="n"/>
      <c r="K2180" s="12" t="n"/>
      <c r="L2180" s="14" t="n"/>
      <c r="M2180" s="12" t="n"/>
      <c r="N2180" s="12" t="n"/>
      <c r="O2180" s="12" t="n"/>
    </row>
    <row r="2181">
      <c r="A2181" s="12" t="n"/>
      <c r="B2181" s="13">
        <f>IF($A2181="","",IFERROR(INDEX(Emp_Names,MATCH($A2181,Emp_Codes,0)),"NOT FOUND"))</f>
        <v/>
      </c>
      <c r="C2181" s="14" t="n"/>
      <c r="D2181" s="15" t="n"/>
      <c r="E2181" s="15" t="n"/>
      <c r="F2181" s="15" t="n"/>
      <c r="G2181" s="15" t="n"/>
      <c r="H2181" s="16">
        <f>IF($A2181="","",$D2181+IF($E2181="",0,$E2181)+IF($F2181="",0,$F2181)-IF($G2181="",0,$G2181))</f>
        <v/>
      </c>
      <c r="I2181" s="12" t="n"/>
      <c r="J2181" s="12" t="n"/>
      <c r="K2181" s="12" t="n"/>
      <c r="L2181" s="14" t="n"/>
      <c r="M2181" s="12" t="n"/>
      <c r="N2181" s="12" t="n"/>
      <c r="O2181" s="12" t="n"/>
    </row>
    <row r="2182">
      <c r="A2182" s="12" t="n"/>
      <c r="B2182" s="13">
        <f>IF($A2182="","",IFERROR(INDEX(Emp_Names,MATCH($A2182,Emp_Codes,0)),"NOT FOUND"))</f>
        <v/>
      </c>
      <c r="C2182" s="14" t="n"/>
      <c r="D2182" s="15" t="n"/>
      <c r="E2182" s="15" t="n"/>
      <c r="F2182" s="15" t="n"/>
      <c r="G2182" s="15" t="n"/>
      <c r="H2182" s="16">
        <f>IF($A2182="","",$D2182+IF($E2182="",0,$E2182)+IF($F2182="",0,$F2182)-IF($G2182="",0,$G2182))</f>
        <v/>
      </c>
      <c r="I2182" s="12" t="n"/>
      <c r="J2182" s="12" t="n"/>
      <c r="K2182" s="12" t="n"/>
      <c r="L2182" s="14" t="n"/>
      <c r="M2182" s="12" t="n"/>
      <c r="N2182" s="12" t="n"/>
      <c r="O2182" s="12" t="n"/>
    </row>
    <row r="2183">
      <c r="A2183" s="12" t="n"/>
      <c r="B2183" s="13">
        <f>IF($A2183="","",IFERROR(INDEX(Emp_Names,MATCH($A2183,Emp_Codes,0)),"NOT FOUND"))</f>
        <v/>
      </c>
      <c r="C2183" s="14" t="n"/>
      <c r="D2183" s="15" t="n"/>
      <c r="E2183" s="15" t="n"/>
      <c r="F2183" s="15" t="n"/>
      <c r="G2183" s="15" t="n"/>
      <c r="H2183" s="16">
        <f>IF($A2183="","",$D2183+IF($E2183="",0,$E2183)+IF($F2183="",0,$F2183)-IF($G2183="",0,$G2183))</f>
        <v/>
      </c>
      <c r="I2183" s="12" t="n"/>
      <c r="J2183" s="12" t="n"/>
      <c r="K2183" s="12" t="n"/>
      <c r="L2183" s="14" t="n"/>
      <c r="M2183" s="12" t="n"/>
      <c r="N2183" s="12" t="n"/>
      <c r="O2183" s="12" t="n"/>
    </row>
    <row r="2184">
      <c r="A2184" s="12" t="n"/>
      <c r="B2184" s="13">
        <f>IF($A2184="","",IFERROR(INDEX(Emp_Names,MATCH($A2184,Emp_Codes,0)),"NOT FOUND"))</f>
        <v/>
      </c>
      <c r="C2184" s="14" t="n"/>
      <c r="D2184" s="15" t="n"/>
      <c r="E2184" s="15" t="n"/>
      <c r="F2184" s="15" t="n"/>
      <c r="G2184" s="15" t="n"/>
      <c r="H2184" s="16">
        <f>IF($A2184="","",$D2184+IF($E2184="",0,$E2184)+IF($F2184="",0,$F2184)-IF($G2184="",0,$G2184))</f>
        <v/>
      </c>
      <c r="I2184" s="12" t="n"/>
      <c r="J2184" s="12" t="n"/>
      <c r="K2184" s="12" t="n"/>
      <c r="L2184" s="14" t="n"/>
      <c r="M2184" s="12" t="n"/>
      <c r="N2184" s="12" t="n"/>
      <c r="O2184" s="12" t="n"/>
    </row>
    <row r="2185">
      <c r="A2185" s="12" t="n"/>
      <c r="B2185" s="13">
        <f>IF($A2185="","",IFERROR(INDEX(Emp_Names,MATCH($A2185,Emp_Codes,0)),"NOT FOUND"))</f>
        <v/>
      </c>
      <c r="C2185" s="14" t="n"/>
      <c r="D2185" s="15" t="n"/>
      <c r="E2185" s="15" t="n"/>
      <c r="F2185" s="15" t="n"/>
      <c r="G2185" s="15" t="n"/>
      <c r="H2185" s="16">
        <f>IF($A2185="","",$D2185+IF($E2185="",0,$E2185)+IF($F2185="",0,$F2185)-IF($G2185="",0,$G2185))</f>
        <v/>
      </c>
      <c r="I2185" s="12" t="n"/>
      <c r="J2185" s="12" t="n"/>
      <c r="K2185" s="12" t="n"/>
      <c r="L2185" s="14" t="n"/>
      <c r="M2185" s="12" t="n"/>
      <c r="N2185" s="12" t="n"/>
      <c r="O2185" s="12" t="n"/>
    </row>
    <row r="2186">
      <c r="A2186" s="12" t="n"/>
      <c r="B2186" s="13">
        <f>IF($A2186="","",IFERROR(INDEX(Emp_Names,MATCH($A2186,Emp_Codes,0)),"NOT FOUND"))</f>
        <v/>
      </c>
      <c r="C2186" s="14" t="n"/>
      <c r="D2186" s="15" t="n"/>
      <c r="E2186" s="15" t="n"/>
      <c r="F2186" s="15" t="n"/>
      <c r="G2186" s="15" t="n"/>
      <c r="H2186" s="16">
        <f>IF($A2186="","",$D2186+IF($E2186="",0,$E2186)+IF($F2186="",0,$F2186)-IF($G2186="",0,$G2186))</f>
        <v/>
      </c>
      <c r="I2186" s="12" t="n"/>
      <c r="J2186" s="12" t="n"/>
      <c r="K2186" s="12" t="n"/>
      <c r="L2186" s="14" t="n"/>
      <c r="M2186" s="12" t="n"/>
      <c r="N2186" s="12" t="n"/>
      <c r="O2186" s="12" t="n"/>
    </row>
    <row r="2187">
      <c r="A2187" s="12" t="n"/>
      <c r="B2187" s="13">
        <f>IF($A2187="","",IFERROR(INDEX(Emp_Names,MATCH($A2187,Emp_Codes,0)),"NOT FOUND"))</f>
        <v/>
      </c>
      <c r="C2187" s="14" t="n"/>
      <c r="D2187" s="15" t="n"/>
      <c r="E2187" s="15" t="n"/>
      <c r="F2187" s="15" t="n"/>
      <c r="G2187" s="15" t="n"/>
      <c r="H2187" s="16">
        <f>IF($A2187="","",$D2187+IF($E2187="",0,$E2187)+IF($F2187="",0,$F2187)-IF($G2187="",0,$G2187))</f>
        <v/>
      </c>
      <c r="I2187" s="12" t="n"/>
      <c r="J2187" s="12" t="n"/>
      <c r="K2187" s="12" t="n"/>
      <c r="L2187" s="14" t="n"/>
      <c r="M2187" s="12" t="n"/>
      <c r="N2187" s="12" t="n"/>
      <c r="O2187" s="12" t="n"/>
    </row>
    <row r="2188">
      <c r="A2188" s="12" t="n"/>
      <c r="B2188" s="13">
        <f>IF($A2188="","",IFERROR(INDEX(Emp_Names,MATCH($A2188,Emp_Codes,0)),"NOT FOUND"))</f>
        <v/>
      </c>
      <c r="C2188" s="14" t="n"/>
      <c r="D2188" s="15" t="n"/>
      <c r="E2188" s="15" t="n"/>
      <c r="F2188" s="15" t="n"/>
      <c r="G2188" s="15" t="n"/>
      <c r="H2188" s="16">
        <f>IF($A2188="","",$D2188+IF($E2188="",0,$E2188)+IF($F2188="",0,$F2188)-IF($G2188="",0,$G2188))</f>
        <v/>
      </c>
      <c r="I2188" s="12" t="n"/>
      <c r="J2188" s="12" t="n"/>
      <c r="K2188" s="12" t="n"/>
      <c r="L2188" s="14" t="n"/>
      <c r="M2188" s="12" t="n"/>
      <c r="N2188" s="12" t="n"/>
      <c r="O2188" s="12" t="n"/>
    </row>
    <row r="2189">
      <c r="A2189" s="12" t="n"/>
      <c r="B2189" s="13">
        <f>IF($A2189="","",IFERROR(INDEX(Emp_Names,MATCH($A2189,Emp_Codes,0)),"NOT FOUND"))</f>
        <v/>
      </c>
      <c r="C2189" s="14" t="n"/>
      <c r="D2189" s="15" t="n"/>
      <c r="E2189" s="15" t="n"/>
      <c r="F2189" s="15" t="n"/>
      <c r="G2189" s="15" t="n"/>
      <c r="H2189" s="16">
        <f>IF($A2189="","",$D2189+IF($E2189="",0,$E2189)+IF($F2189="",0,$F2189)-IF($G2189="",0,$G2189))</f>
        <v/>
      </c>
      <c r="I2189" s="12" t="n"/>
      <c r="J2189" s="12" t="n"/>
      <c r="K2189" s="12" t="n"/>
      <c r="L2189" s="14" t="n"/>
      <c r="M2189" s="12" t="n"/>
      <c r="N2189" s="12" t="n"/>
      <c r="O2189" s="12" t="n"/>
    </row>
    <row r="2190">
      <c r="A2190" s="12" t="n"/>
      <c r="B2190" s="13">
        <f>IF($A2190="","",IFERROR(INDEX(Emp_Names,MATCH($A2190,Emp_Codes,0)),"NOT FOUND"))</f>
        <v/>
      </c>
      <c r="C2190" s="14" t="n"/>
      <c r="D2190" s="15" t="n"/>
      <c r="E2190" s="15" t="n"/>
      <c r="F2190" s="15" t="n"/>
      <c r="G2190" s="15" t="n"/>
      <c r="H2190" s="16">
        <f>IF($A2190="","",$D2190+IF($E2190="",0,$E2190)+IF($F2190="",0,$F2190)-IF($G2190="",0,$G2190))</f>
        <v/>
      </c>
      <c r="I2190" s="12" t="n"/>
      <c r="J2190" s="12" t="n"/>
      <c r="K2190" s="12" t="n"/>
      <c r="L2190" s="14" t="n"/>
      <c r="M2190" s="12" t="n"/>
      <c r="N2190" s="12" t="n"/>
      <c r="O2190" s="12" t="n"/>
    </row>
    <row r="2191">
      <c r="A2191" s="12" t="n"/>
      <c r="B2191" s="13">
        <f>IF($A2191="","",IFERROR(INDEX(Emp_Names,MATCH($A2191,Emp_Codes,0)),"NOT FOUND"))</f>
        <v/>
      </c>
      <c r="C2191" s="14" t="n"/>
      <c r="D2191" s="15" t="n"/>
      <c r="E2191" s="15" t="n"/>
      <c r="F2191" s="15" t="n"/>
      <c r="G2191" s="15" t="n"/>
      <c r="H2191" s="16">
        <f>IF($A2191="","",$D2191+IF($E2191="",0,$E2191)+IF($F2191="",0,$F2191)-IF($G2191="",0,$G2191))</f>
        <v/>
      </c>
      <c r="I2191" s="12" t="n"/>
      <c r="J2191" s="12" t="n"/>
      <c r="K2191" s="12" t="n"/>
      <c r="L2191" s="14" t="n"/>
      <c r="M2191" s="12" t="n"/>
      <c r="N2191" s="12" t="n"/>
      <c r="O2191" s="12" t="n"/>
    </row>
    <row r="2192">
      <c r="A2192" s="12" t="n"/>
      <c r="B2192" s="13">
        <f>IF($A2192="","",IFERROR(INDEX(Emp_Names,MATCH($A2192,Emp_Codes,0)),"NOT FOUND"))</f>
        <v/>
      </c>
      <c r="C2192" s="14" t="n"/>
      <c r="D2192" s="15" t="n"/>
      <c r="E2192" s="15" t="n"/>
      <c r="F2192" s="15" t="n"/>
      <c r="G2192" s="15" t="n"/>
      <c r="H2192" s="16">
        <f>IF($A2192="","",$D2192+IF($E2192="",0,$E2192)+IF($F2192="",0,$F2192)-IF($G2192="",0,$G2192))</f>
        <v/>
      </c>
      <c r="I2192" s="12" t="n"/>
      <c r="J2192" s="12" t="n"/>
      <c r="K2192" s="12" t="n"/>
      <c r="L2192" s="14" t="n"/>
      <c r="M2192" s="12" t="n"/>
      <c r="N2192" s="12" t="n"/>
      <c r="O2192" s="12" t="n"/>
    </row>
    <row r="2193">
      <c r="A2193" s="12" t="n"/>
      <c r="B2193" s="13">
        <f>IF($A2193="","",IFERROR(INDEX(Emp_Names,MATCH($A2193,Emp_Codes,0)),"NOT FOUND"))</f>
        <v/>
      </c>
      <c r="C2193" s="14" t="n"/>
      <c r="D2193" s="15" t="n"/>
      <c r="E2193" s="15" t="n"/>
      <c r="F2193" s="15" t="n"/>
      <c r="G2193" s="15" t="n"/>
      <c r="H2193" s="16">
        <f>IF($A2193="","",$D2193+IF($E2193="",0,$E2193)+IF($F2193="",0,$F2193)-IF($G2193="",0,$G2193))</f>
        <v/>
      </c>
      <c r="I2193" s="12" t="n"/>
      <c r="J2193" s="12" t="n"/>
      <c r="K2193" s="12" t="n"/>
      <c r="L2193" s="14" t="n"/>
      <c r="M2193" s="12" t="n"/>
      <c r="N2193" s="12" t="n"/>
      <c r="O2193" s="12" t="n"/>
    </row>
    <row r="2194">
      <c r="A2194" s="12" t="n"/>
      <c r="B2194" s="13">
        <f>IF($A2194="","",IFERROR(INDEX(Emp_Names,MATCH($A2194,Emp_Codes,0)),"NOT FOUND"))</f>
        <v/>
      </c>
      <c r="C2194" s="14" t="n"/>
      <c r="D2194" s="15" t="n"/>
      <c r="E2194" s="15" t="n"/>
      <c r="F2194" s="15" t="n"/>
      <c r="G2194" s="15" t="n"/>
      <c r="H2194" s="16">
        <f>IF($A2194="","",$D2194+IF($E2194="",0,$E2194)+IF($F2194="",0,$F2194)-IF($G2194="",0,$G2194))</f>
        <v/>
      </c>
      <c r="I2194" s="12" t="n"/>
      <c r="J2194" s="12" t="n"/>
      <c r="K2194" s="12" t="n"/>
      <c r="L2194" s="14" t="n"/>
      <c r="M2194" s="12" t="n"/>
      <c r="N2194" s="12" t="n"/>
      <c r="O2194" s="12" t="n"/>
    </row>
    <row r="2195">
      <c r="A2195" s="12" t="n"/>
      <c r="B2195" s="13">
        <f>IF($A2195="","",IFERROR(INDEX(Emp_Names,MATCH($A2195,Emp_Codes,0)),"NOT FOUND"))</f>
        <v/>
      </c>
      <c r="C2195" s="14" t="n"/>
      <c r="D2195" s="15" t="n"/>
      <c r="E2195" s="15" t="n"/>
      <c r="F2195" s="15" t="n"/>
      <c r="G2195" s="15" t="n"/>
      <c r="H2195" s="16">
        <f>IF($A2195="","",$D2195+IF($E2195="",0,$E2195)+IF($F2195="",0,$F2195)-IF($G2195="",0,$G2195))</f>
        <v/>
      </c>
      <c r="I2195" s="12" t="n"/>
      <c r="J2195" s="12" t="n"/>
      <c r="K2195" s="12" t="n"/>
      <c r="L2195" s="14" t="n"/>
      <c r="M2195" s="12" t="n"/>
      <c r="N2195" s="12" t="n"/>
      <c r="O2195" s="12" t="n"/>
    </row>
    <row r="2196">
      <c r="A2196" s="12" t="n"/>
      <c r="B2196" s="13">
        <f>IF($A2196="","",IFERROR(INDEX(Emp_Names,MATCH($A2196,Emp_Codes,0)),"NOT FOUND"))</f>
        <v/>
      </c>
      <c r="C2196" s="14" t="n"/>
      <c r="D2196" s="15" t="n"/>
      <c r="E2196" s="15" t="n"/>
      <c r="F2196" s="15" t="n"/>
      <c r="G2196" s="15" t="n"/>
      <c r="H2196" s="16">
        <f>IF($A2196="","",$D2196+IF($E2196="",0,$E2196)+IF($F2196="",0,$F2196)-IF($G2196="",0,$G2196))</f>
        <v/>
      </c>
      <c r="I2196" s="12" t="n"/>
      <c r="J2196" s="12" t="n"/>
      <c r="K2196" s="12" t="n"/>
      <c r="L2196" s="14" t="n"/>
      <c r="M2196" s="12" t="n"/>
      <c r="N2196" s="12" t="n"/>
      <c r="O2196" s="12" t="n"/>
    </row>
    <row r="2197">
      <c r="A2197" s="12" t="n"/>
      <c r="B2197" s="13">
        <f>IF($A2197="","",IFERROR(INDEX(Emp_Names,MATCH($A2197,Emp_Codes,0)),"NOT FOUND"))</f>
        <v/>
      </c>
      <c r="C2197" s="14" t="n"/>
      <c r="D2197" s="15" t="n"/>
      <c r="E2197" s="15" t="n"/>
      <c r="F2197" s="15" t="n"/>
      <c r="G2197" s="15" t="n"/>
      <c r="H2197" s="16">
        <f>IF($A2197="","",$D2197+IF($E2197="",0,$E2197)+IF($F2197="",0,$F2197)-IF($G2197="",0,$G2197))</f>
        <v/>
      </c>
      <c r="I2197" s="12" t="n"/>
      <c r="J2197" s="12" t="n"/>
      <c r="K2197" s="12" t="n"/>
      <c r="L2197" s="14" t="n"/>
      <c r="M2197" s="12" t="n"/>
      <c r="N2197" s="12" t="n"/>
      <c r="O2197" s="12" t="n"/>
    </row>
    <row r="2198">
      <c r="A2198" s="12" t="n"/>
      <c r="B2198" s="13">
        <f>IF($A2198="","",IFERROR(INDEX(Emp_Names,MATCH($A2198,Emp_Codes,0)),"NOT FOUND"))</f>
        <v/>
      </c>
      <c r="C2198" s="14" t="n"/>
      <c r="D2198" s="15" t="n"/>
      <c r="E2198" s="15" t="n"/>
      <c r="F2198" s="15" t="n"/>
      <c r="G2198" s="15" t="n"/>
      <c r="H2198" s="16">
        <f>IF($A2198="","",$D2198+IF($E2198="",0,$E2198)+IF($F2198="",0,$F2198)-IF($G2198="",0,$G2198))</f>
        <v/>
      </c>
      <c r="I2198" s="12" t="n"/>
      <c r="J2198" s="12" t="n"/>
      <c r="K2198" s="12" t="n"/>
      <c r="L2198" s="14" t="n"/>
      <c r="M2198" s="12" t="n"/>
      <c r="N2198" s="12" t="n"/>
      <c r="O2198" s="12" t="n"/>
    </row>
    <row r="2199">
      <c r="A2199" s="12" t="n"/>
      <c r="B2199" s="13">
        <f>IF($A2199="","",IFERROR(INDEX(Emp_Names,MATCH($A2199,Emp_Codes,0)),"NOT FOUND"))</f>
        <v/>
      </c>
      <c r="C2199" s="14" t="n"/>
      <c r="D2199" s="15" t="n"/>
      <c r="E2199" s="15" t="n"/>
      <c r="F2199" s="15" t="n"/>
      <c r="G2199" s="15" t="n"/>
      <c r="H2199" s="16">
        <f>IF($A2199="","",$D2199+IF($E2199="",0,$E2199)+IF($F2199="",0,$F2199)-IF($G2199="",0,$G2199))</f>
        <v/>
      </c>
      <c r="I2199" s="12" t="n"/>
      <c r="J2199" s="12" t="n"/>
      <c r="K2199" s="12" t="n"/>
      <c r="L2199" s="14" t="n"/>
      <c r="M2199" s="12" t="n"/>
      <c r="N2199" s="12" t="n"/>
      <c r="O2199" s="12" t="n"/>
    </row>
    <row r="2200">
      <c r="A2200" s="12" t="n"/>
      <c r="B2200" s="13">
        <f>IF($A2200="","",IFERROR(INDEX(Emp_Names,MATCH($A2200,Emp_Codes,0)),"NOT FOUND"))</f>
        <v/>
      </c>
      <c r="C2200" s="14" t="n"/>
      <c r="D2200" s="15" t="n"/>
      <c r="E2200" s="15" t="n"/>
      <c r="F2200" s="15" t="n"/>
      <c r="G2200" s="15" t="n"/>
      <c r="H2200" s="16">
        <f>IF($A2200="","",$D2200+IF($E2200="",0,$E2200)+IF($F2200="",0,$F2200)-IF($G2200="",0,$G2200))</f>
        <v/>
      </c>
      <c r="I2200" s="12" t="n"/>
      <c r="J2200" s="12" t="n"/>
      <c r="K2200" s="12" t="n"/>
      <c r="L2200" s="14" t="n"/>
      <c r="M2200" s="12" t="n"/>
      <c r="N2200" s="12" t="n"/>
      <c r="O2200" s="12" t="n"/>
    </row>
    <row r="2201">
      <c r="A2201" s="12" t="n"/>
      <c r="B2201" s="13">
        <f>IF($A2201="","",IFERROR(INDEX(Emp_Names,MATCH($A2201,Emp_Codes,0)),"NOT FOUND"))</f>
        <v/>
      </c>
      <c r="C2201" s="14" t="n"/>
      <c r="D2201" s="15" t="n"/>
      <c r="E2201" s="15" t="n"/>
      <c r="F2201" s="15" t="n"/>
      <c r="G2201" s="15" t="n"/>
      <c r="H2201" s="16">
        <f>IF($A2201="","",$D2201+IF($E2201="",0,$E2201)+IF($F2201="",0,$F2201)-IF($G2201="",0,$G2201))</f>
        <v/>
      </c>
      <c r="I2201" s="12" t="n"/>
      <c r="J2201" s="12" t="n"/>
      <c r="K2201" s="12" t="n"/>
      <c r="L2201" s="14" t="n"/>
      <c r="M2201" s="12" t="n"/>
      <c r="N2201" s="12" t="n"/>
      <c r="O2201" s="12" t="n"/>
    </row>
    <row r="2202">
      <c r="A2202" s="12" t="n"/>
      <c r="B2202" s="13">
        <f>IF($A2202="","",IFERROR(INDEX(Emp_Names,MATCH($A2202,Emp_Codes,0)),"NOT FOUND"))</f>
        <v/>
      </c>
      <c r="C2202" s="14" t="n"/>
      <c r="D2202" s="15" t="n"/>
      <c r="E2202" s="15" t="n"/>
      <c r="F2202" s="15" t="n"/>
      <c r="G2202" s="15" t="n"/>
      <c r="H2202" s="16">
        <f>IF($A2202="","",$D2202+IF($E2202="",0,$E2202)+IF($F2202="",0,$F2202)-IF($G2202="",0,$G2202))</f>
        <v/>
      </c>
      <c r="I2202" s="12" t="n"/>
      <c r="J2202" s="12" t="n"/>
      <c r="K2202" s="12" t="n"/>
      <c r="L2202" s="14" t="n"/>
      <c r="M2202" s="12" t="n"/>
      <c r="N2202" s="12" t="n"/>
      <c r="O2202" s="12" t="n"/>
    </row>
    <row r="2203">
      <c r="A2203" s="12" t="n"/>
      <c r="B2203" s="13">
        <f>IF($A2203="","",IFERROR(INDEX(Emp_Names,MATCH($A2203,Emp_Codes,0)),"NOT FOUND"))</f>
        <v/>
      </c>
      <c r="C2203" s="14" t="n"/>
      <c r="D2203" s="15" t="n"/>
      <c r="E2203" s="15" t="n"/>
      <c r="F2203" s="15" t="n"/>
      <c r="G2203" s="15" t="n"/>
      <c r="H2203" s="16">
        <f>IF($A2203="","",$D2203+IF($E2203="",0,$E2203)+IF($F2203="",0,$F2203)-IF($G2203="",0,$G2203))</f>
        <v/>
      </c>
      <c r="I2203" s="12" t="n"/>
      <c r="J2203" s="12" t="n"/>
      <c r="K2203" s="12" t="n"/>
      <c r="L2203" s="14" t="n"/>
      <c r="M2203" s="12" t="n"/>
      <c r="N2203" s="12" t="n"/>
      <c r="O2203" s="12" t="n"/>
    </row>
    <row r="2204">
      <c r="A2204" s="12" t="n"/>
      <c r="B2204" s="13">
        <f>IF($A2204="","",IFERROR(INDEX(Emp_Names,MATCH($A2204,Emp_Codes,0)),"NOT FOUND"))</f>
        <v/>
      </c>
      <c r="C2204" s="14" t="n"/>
      <c r="D2204" s="15" t="n"/>
      <c r="E2204" s="15" t="n"/>
      <c r="F2204" s="15" t="n"/>
      <c r="G2204" s="15" t="n"/>
      <c r="H2204" s="16">
        <f>IF($A2204="","",$D2204+IF($E2204="",0,$E2204)+IF($F2204="",0,$F2204)-IF($G2204="",0,$G2204))</f>
        <v/>
      </c>
      <c r="I2204" s="12" t="n"/>
      <c r="J2204" s="12" t="n"/>
      <c r="K2204" s="12" t="n"/>
      <c r="L2204" s="14" t="n"/>
      <c r="M2204" s="12" t="n"/>
      <c r="N2204" s="12" t="n"/>
      <c r="O2204" s="12" t="n"/>
    </row>
    <row r="2205">
      <c r="A2205" s="12" t="n"/>
      <c r="B2205" s="13">
        <f>IF($A2205="","",IFERROR(INDEX(Emp_Names,MATCH($A2205,Emp_Codes,0)),"NOT FOUND"))</f>
        <v/>
      </c>
      <c r="C2205" s="14" t="n"/>
      <c r="D2205" s="15" t="n"/>
      <c r="E2205" s="15" t="n"/>
      <c r="F2205" s="15" t="n"/>
      <c r="G2205" s="15" t="n"/>
      <c r="H2205" s="16">
        <f>IF($A2205="","",$D2205+IF($E2205="",0,$E2205)+IF($F2205="",0,$F2205)-IF($G2205="",0,$G2205))</f>
        <v/>
      </c>
      <c r="I2205" s="12" t="n"/>
      <c r="J2205" s="12" t="n"/>
      <c r="K2205" s="12" t="n"/>
      <c r="L2205" s="14" t="n"/>
      <c r="M2205" s="12" t="n"/>
      <c r="N2205" s="12" t="n"/>
      <c r="O2205" s="12" t="n"/>
    </row>
    <row r="2206">
      <c r="A2206" s="12" t="n"/>
      <c r="B2206" s="13">
        <f>IF($A2206="","",IFERROR(INDEX(Emp_Names,MATCH($A2206,Emp_Codes,0)),"NOT FOUND"))</f>
        <v/>
      </c>
      <c r="C2206" s="14" t="n"/>
      <c r="D2206" s="15" t="n"/>
      <c r="E2206" s="15" t="n"/>
      <c r="F2206" s="15" t="n"/>
      <c r="G2206" s="15" t="n"/>
      <c r="H2206" s="16">
        <f>IF($A2206="","",$D2206+IF($E2206="",0,$E2206)+IF($F2206="",0,$F2206)-IF($G2206="",0,$G2206))</f>
        <v/>
      </c>
      <c r="I2206" s="12" t="n"/>
      <c r="J2206" s="12" t="n"/>
      <c r="K2206" s="12" t="n"/>
      <c r="L2206" s="14" t="n"/>
      <c r="M2206" s="12" t="n"/>
      <c r="N2206" s="12" t="n"/>
      <c r="O2206" s="12" t="n"/>
    </row>
    <row r="2207">
      <c r="A2207" s="12" t="n"/>
      <c r="B2207" s="13">
        <f>IF($A2207="","",IFERROR(INDEX(Emp_Names,MATCH($A2207,Emp_Codes,0)),"NOT FOUND"))</f>
        <v/>
      </c>
      <c r="C2207" s="14" t="n"/>
      <c r="D2207" s="15" t="n"/>
      <c r="E2207" s="15" t="n"/>
      <c r="F2207" s="15" t="n"/>
      <c r="G2207" s="15" t="n"/>
      <c r="H2207" s="16">
        <f>IF($A2207="","",$D2207+IF($E2207="",0,$E2207)+IF($F2207="",0,$F2207)-IF($G2207="",0,$G2207))</f>
        <v/>
      </c>
      <c r="I2207" s="12" t="n"/>
      <c r="J2207" s="12" t="n"/>
      <c r="K2207" s="12" t="n"/>
      <c r="L2207" s="14" t="n"/>
      <c r="M2207" s="12" t="n"/>
      <c r="N2207" s="12" t="n"/>
      <c r="O2207" s="12" t="n"/>
    </row>
    <row r="2208">
      <c r="A2208" s="12" t="n"/>
      <c r="B2208" s="13">
        <f>IF($A2208="","",IFERROR(INDEX(Emp_Names,MATCH($A2208,Emp_Codes,0)),"NOT FOUND"))</f>
        <v/>
      </c>
      <c r="C2208" s="14" t="n"/>
      <c r="D2208" s="15" t="n"/>
      <c r="E2208" s="15" t="n"/>
      <c r="F2208" s="15" t="n"/>
      <c r="G2208" s="15" t="n"/>
      <c r="H2208" s="16">
        <f>IF($A2208="","",$D2208+IF($E2208="",0,$E2208)+IF($F2208="",0,$F2208)-IF($G2208="",0,$G2208))</f>
        <v/>
      </c>
      <c r="I2208" s="12" t="n"/>
      <c r="J2208" s="12" t="n"/>
      <c r="K2208" s="12" t="n"/>
      <c r="L2208" s="14" t="n"/>
      <c r="M2208" s="12" t="n"/>
      <c r="N2208" s="12" t="n"/>
      <c r="O2208" s="12" t="n"/>
    </row>
    <row r="2209">
      <c r="A2209" s="12" t="n"/>
      <c r="B2209" s="13">
        <f>IF($A2209="","",IFERROR(INDEX(Emp_Names,MATCH($A2209,Emp_Codes,0)),"NOT FOUND"))</f>
        <v/>
      </c>
      <c r="C2209" s="14" t="n"/>
      <c r="D2209" s="15" t="n"/>
      <c r="E2209" s="15" t="n"/>
      <c r="F2209" s="15" t="n"/>
      <c r="G2209" s="15" t="n"/>
      <c r="H2209" s="16">
        <f>IF($A2209="","",$D2209+IF($E2209="",0,$E2209)+IF($F2209="",0,$F2209)-IF($G2209="",0,$G2209))</f>
        <v/>
      </c>
      <c r="I2209" s="12" t="n"/>
      <c r="J2209" s="12" t="n"/>
      <c r="K2209" s="12" t="n"/>
      <c r="L2209" s="14" t="n"/>
      <c r="M2209" s="12" t="n"/>
      <c r="N2209" s="12" t="n"/>
      <c r="O2209" s="12" t="n"/>
    </row>
    <row r="2210">
      <c r="A2210" s="12" t="n"/>
      <c r="B2210" s="13">
        <f>IF($A2210="","",IFERROR(INDEX(Emp_Names,MATCH($A2210,Emp_Codes,0)),"NOT FOUND"))</f>
        <v/>
      </c>
      <c r="C2210" s="14" t="n"/>
      <c r="D2210" s="15" t="n"/>
      <c r="E2210" s="15" t="n"/>
      <c r="F2210" s="15" t="n"/>
      <c r="G2210" s="15" t="n"/>
      <c r="H2210" s="16">
        <f>IF($A2210="","",$D2210+IF($E2210="",0,$E2210)+IF($F2210="",0,$F2210)-IF($G2210="",0,$G2210))</f>
        <v/>
      </c>
      <c r="I2210" s="12" t="n"/>
      <c r="J2210" s="12" t="n"/>
      <c r="K2210" s="12" t="n"/>
      <c r="L2210" s="14" t="n"/>
      <c r="M2210" s="12" t="n"/>
      <c r="N2210" s="12" t="n"/>
      <c r="O2210" s="12" t="n"/>
    </row>
    <row r="2211">
      <c r="A2211" s="12" t="n"/>
      <c r="B2211" s="13">
        <f>IF($A2211="","",IFERROR(INDEX(Emp_Names,MATCH($A2211,Emp_Codes,0)),"NOT FOUND"))</f>
        <v/>
      </c>
      <c r="C2211" s="14" t="n"/>
      <c r="D2211" s="15" t="n"/>
      <c r="E2211" s="15" t="n"/>
      <c r="F2211" s="15" t="n"/>
      <c r="G2211" s="15" t="n"/>
      <c r="H2211" s="16">
        <f>IF($A2211="","",$D2211+IF($E2211="",0,$E2211)+IF($F2211="",0,$F2211)-IF($G2211="",0,$G2211))</f>
        <v/>
      </c>
      <c r="I2211" s="12" t="n"/>
      <c r="J2211" s="12" t="n"/>
      <c r="K2211" s="12" t="n"/>
      <c r="L2211" s="14" t="n"/>
      <c r="M2211" s="12" t="n"/>
      <c r="N2211" s="12" t="n"/>
      <c r="O2211" s="12" t="n"/>
    </row>
    <row r="2212">
      <c r="A2212" s="12" t="n"/>
      <c r="B2212" s="13">
        <f>IF($A2212="","",IFERROR(INDEX(Emp_Names,MATCH($A2212,Emp_Codes,0)),"NOT FOUND"))</f>
        <v/>
      </c>
      <c r="C2212" s="14" t="n"/>
      <c r="D2212" s="15" t="n"/>
      <c r="E2212" s="15" t="n"/>
      <c r="F2212" s="15" t="n"/>
      <c r="G2212" s="15" t="n"/>
      <c r="H2212" s="16">
        <f>IF($A2212="","",$D2212+IF($E2212="",0,$E2212)+IF($F2212="",0,$F2212)-IF($G2212="",0,$G2212))</f>
        <v/>
      </c>
      <c r="I2212" s="12" t="n"/>
      <c r="J2212" s="12" t="n"/>
      <c r="K2212" s="12" t="n"/>
      <c r="L2212" s="14" t="n"/>
      <c r="M2212" s="12" t="n"/>
      <c r="N2212" s="12" t="n"/>
      <c r="O2212" s="12" t="n"/>
    </row>
    <row r="2213">
      <c r="A2213" s="12" t="n"/>
      <c r="B2213" s="13">
        <f>IF($A2213="","",IFERROR(INDEX(Emp_Names,MATCH($A2213,Emp_Codes,0)),"NOT FOUND"))</f>
        <v/>
      </c>
      <c r="C2213" s="14" t="n"/>
      <c r="D2213" s="15" t="n"/>
      <c r="E2213" s="15" t="n"/>
      <c r="F2213" s="15" t="n"/>
      <c r="G2213" s="15" t="n"/>
      <c r="H2213" s="16">
        <f>IF($A2213="","",$D2213+IF($E2213="",0,$E2213)+IF($F2213="",0,$F2213)-IF($G2213="",0,$G2213))</f>
        <v/>
      </c>
      <c r="I2213" s="12" t="n"/>
      <c r="J2213" s="12" t="n"/>
      <c r="K2213" s="12" t="n"/>
      <c r="L2213" s="14" t="n"/>
      <c r="M2213" s="12" t="n"/>
      <c r="N2213" s="12" t="n"/>
      <c r="O2213" s="12" t="n"/>
    </row>
    <row r="2214">
      <c r="A2214" s="12" t="n"/>
      <c r="B2214" s="13">
        <f>IF($A2214="","",IFERROR(INDEX(Emp_Names,MATCH($A2214,Emp_Codes,0)),"NOT FOUND"))</f>
        <v/>
      </c>
      <c r="C2214" s="14" t="n"/>
      <c r="D2214" s="15" t="n"/>
      <c r="E2214" s="15" t="n"/>
      <c r="F2214" s="15" t="n"/>
      <c r="G2214" s="15" t="n"/>
      <c r="H2214" s="16">
        <f>IF($A2214="","",$D2214+IF($E2214="",0,$E2214)+IF($F2214="",0,$F2214)-IF($G2214="",0,$G2214))</f>
        <v/>
      </c>
      <c r="I2214" s="12" t="n"/>
      <c r="J2214" s="12" t="n"/>
      <c r="K2214" s="12" t="n"/>
      <c r="L2214" s="14" t="n"/>
      <c r="M2214" s="12" t="n"/>
      <c r="N2214" s="12" t="n"/>
      <c r="O2214" s="12" t="n"/>
    </row>
    <row r="2215">
      <c r="A2215" s="12" t="n"/>
      <c r="B2215" s="13">
        <f>IF($A2215="","",IFERROR(INDEX(Emp_Names,MATCH($A2215,Emp_Codes,0)),"NOT FOUND"))</f>
        <v/>
      </c>
      <c r="C2215" s="14" t="n"/>
      <c r="D2215" s="15" t="n"/>
      <c r="E2215" s="15" t="n"/>
      <c r="F2215" s="15" t="n"/>
      <c r="G2215" s="15" t="n"/>
      <c r="H2215" s="16">
        <f>IF($A2215="","",$D2215+IF($E2215="",0,$E2215)+IF($F2215="",0,$F2215)-IF($G2215="",0,$G2215))</f>
        <v/>
      </c>
      <c r="I2215" s="12" t="n"/>
      <c r="J2215" s="12" t="n"/>
      <c r="K2215" s="12" t="n"/>
      <c r="L2215" s="14" t="n"/>
      <c r="M2215" s="12" t="n"/>
      <c r="N2215" s="12" t="n"/>
      <c r="O2215" s="12" t="n"/>
    </row>
    <row r="2216">
      <c r="A2216" s="12" t="n"/>
      <c r="B2216" s="13">
        <f>IF($A2216="","",IFERROR(INDEX(Emp_Names,MATCH($A2216,Emp_Codes,0)),"NOT FOUND"))</f>
        <v/>
      </c>
      <c r="C2216" s="14" t="n"/>
      <c r="D2216" s="15" t="n"/>
      <c r="E2216" s="15" t="n"/>
      <c r="F2216" s="15" t="n"/>
      <c r="G2216" s="15" t="n"/>
      <c r="H2216" s="16">
        <f>IF($A2216="","",$D2216+IF($E2216="",0,$E2216)+IF($F2216="",0,$F2216)-IF($G2216="",0,$G2216))</f>
        <v/>
      </c>
      <c r="I2216" s="12" t="n"/>
      <c r="J2216" s="12" t="n"/>
      <c r="K2216" s="12" t="n"/>
      <c r="L2216" s="14" t="n"/>
      <c r="M2216" s="12" t="n"/>
      <c r="N2216" s="12" t="n"/>
      <c r="O2216" s="12" t="n"/>
    </row>
    <row r="2217">
      <c r="A2217" s="12" t="n"/>
      <c r="B2217" s="13">
        <f>IF($A2217="","",IFERROR(INDEX(Emp_Names,MATCH($A2217,Emp_Codes,0)),"NOT FOUND"))</f>
        <v/>
      </c>
      <c r="C2217" s="14" t="n"/>
      <c r="D2217" s="15" t="n"/>
      <c r="E2217" s="15" t="n"/>
      <c r="F2217" s="15" t="n"/>
      <c r="G2217" s="15" t="n"/>
      <c r="H2217" s="16">
        <f>IF($A2217="","",$D2217+IF($E2217="",0,$E2217)+IF($F2217="",0,$F2217)-IF($G2217="",0,$G2217))</f>
        <v/>
      </c>
      <c r="I2217" s="12" t="n"/>
      <c r="J2217" s="12" t="n"/>
      <c r="K2217" s="12" t="n"/>
      <c r="L2217" s="14" t="n"/>
      <c r="M2217" s="12" t="n"/>
      <c r="N2217" s="12" t="n"/>
      <c r="O2217" s="12" t="n"/>
    </row>
    <row r="2218">
      <c r="A2218" s="12" t="n"/>
      <c r="B2218" s="13">
        <f>IF($A2218="","",IFERROR(INDEX(Emp_Names,MATCH($A2218,Emp_Codes,0)),"NOT FOUND"))</f>
        <v/>
      </c>
      <c r="C2218" s="14" t="n"/>
      <c r="D2218" s="15" t="n"/>
      <c r="E2218" s="15" t="n"/>
      <c r="F2218" s="15" t="n"/>
      <c r="G2218" s="15" t="n"/>
      <c r="H2218" s="16">
        <f>IF($A2218="","",$D2218+IF($E2218="",0,$E2218)+IF($F2218="",0,$F2218)-IF($G2218="",0,$G2218))</f>
        <v/>
      </c>
      <c r="I2218" s="12" t="n"/>
      <c r="J2218" s="12" t="n"/>
      <c r="K2218" s="12" t="n"/>
      <c r="L2218" s="14" t="n"/>
      <c r="M2218" s="12" t="n"/>
      <c r="N2218" s="12" t="n"/>
      <c r="O2218" s="12" t="n"/>
    </row>
    <row r="2219">
      <c r="A2219" s="12" t="n"/>
      <c r="B2219" s="13">
        <f>IF($A2219="","",IFERROR(INDEX(Emp_Names,MATCH($A2219,Emp_Codes,0)),"NOT FOUND"))</f>
        <v/>
      </c>
      <c r="C2219" s="14" t="n"/>
      <c r="D2219" s="15" t="n"/>
      <c r="E2219" s="15" t="n"/>
      <c r="F2219" s="15" t="n"/>
      <c r="G2219" s="15" t="n"/>
      <c r="H2219" s="16">
        <f>IF($A2219="","",$D2219+IF($E2219="",0,$E2219)+IF($F2219="",0,$F2219)-IF($G2219="",0,$G2219))</f>
        <v/>
      </c>
      <c r="I2219" s="12" t="n"/>
      <c r="J2219" s="12" t="n"/>
      <c r="K2219" s="12" t="n"/>
      <c r="L2219" s="14" t="n"/>
      <c r="M2219" s="12" t="n"/>
      <c r="N2219" s="12" t="n"/>
      <c r="O2219" s="12" t="n"/>
    </row>
    <row r="2220">
      <c r="A2220" s="12" t="n"/>
      <c r="B2220" s="13">
        <f>IF($A2220="","",IFERROR(INDEX(Emp_Names,MATCH($A2220,Emp_Codes,0)),"NOT FOUND"))</f>
        <v/>
      </c>
      <c r="C2220" s="14" t="n"/>
      <c r="D2220" s="15" t="n"/>
      <c r="E2220" s="15" t="n"/>
      <c r="F2220" s="15" t="n"/>
      <c r="G2220" s="15" t="n"/>
      <c r="H2220" s="16">
        <f>IF($A2220="","",$D2220+IF($E2220="",0,$E2220)+IF($F2220="",0,$F2220)-IF($G2220="",0,$G2220))</f>
        <v/>
      </c>
      <c r="I2220" s="12" t="n"/>
      <c r="J2220" s="12" t="n"/>
      <c r="K2220" s="12" t="n"/>
      <c r="L2220" s="14" t="n"/>
      <c r="M2220" s="12" t="n"/>
      <c r="N2220" s="12" t="n"/>
      <c r="O2220" s="12" t="n"/>
    </row>
    <row r="2221">
      <c r="A2221" s="12" t="n"/>
      <c r="B2221" s="13">
        <f>IF($A2221="","",IFERROR(INDEX(Emp_Names,MATCH($A2221,Emp_Codes,0)),"NOT FOUND"))</f>
        <v/>
      </c>
      <c r="C2221" s="14" t="n"/>
      <c r="D2221" s="15" t="n"/>
      <c r="E2221" s="15" t="n"/>
      <c r="F2221" s="15" t="n"/>
      <c r="G2221" s="15" t="n"/>
      <c r="H2221" s="16">
        <f>IF($A2221="","",$D2221+IF($E2221="",0,$E2221)+IF($F2221="",0,$F2221)-IF($G2221="",0,$G2221))</f>
        <v/>
      </c>
      <c r="I2221" s="12" t="n"/>
      <c r="J2221" s="12" t="n"/>
      <c r="K2221" s="12" t="n"/>
      <c r="L2221" s="14" t="n"/>
      <c r="M2221" s="12" t="n"/>
      <c r="N2221" s="12" t="n"/>
      <c r="O2221" s="12" t="n"/>
    </row>
    <row r="2222">
      <c r="A2222" s="12" t="n"/>
      <c r="B2222" s="13">
        <f>IF($A2222="","",IFERROR(INDEX(Emp_Names,MATCH($A2222,Emp_Codes,0)),"NOT FOUND"))</f>
        <v/>
      </c>
      <c r="C2222" s="14" t="n"/>
      <c r="D2222" s="15" t="n"/>
      <c r="E2222" s="15" t="n"/>
      <c r="F2222" s="15" t="n"/>
      <c r="G2222" s="15" t="n"/>
      <c r="H2222" s="16">
        <f>IF($A2222="","",$D2222+IF($E2222="",0,$E2222)+IF($F2222="",0,$F2222)-IF($G2222="",0,$G2222))</f>
        <v/>
      </c>
      <c r="I2222" s="12" t="n"/>
      <c r="J2222" s="12" t="n"/>
      <c r="K2222" s="12" t="n"/>
      <c r="L2222" s="14" t="n"/>
      <c r="M2222" s="12" t="n"/>
      <c r="N2222" s="12" t="n"/>
      <c r="O2222" s="12" t="n"/>
    </row>
    <row r="2223">
      <c r="A2223" s="12" t="n"/>
      <c r="B2223" s="13">
        <f>IF($A2223="","",IFERROR(INDEX(Emp_Names,MATCH($A2223,Emp_Codes,0)),"NOT FOUND"))</f>
        <v/>
      </c>
      <c r="C2223" s="14" t="n"/>
      <c r="D2223" s="15" t="n"/>
      <c r="E2223" s="15" t="n"/>
      <c r="F2223" s="15" t="n"/>
      <c r="G2223" s="15" t="n"/>
      <c r="H2223" s="16">
        <f>IF($A2223="","",$D2223+IF($E2223="",0,$E2223)+IF($F2223="",0,$F2223)-IF($G2223="",0,$G2223))</f>
        <v/>
      </c>
      <c r="I2223" s="12" t="n"/>
      <c r="J2223" s="12" t="n"/>
      <c r="K2223" s="12" t="n"/>
      <c r="L2223" s="14" t="n"/>
      <c r="M2223" s="12" t="n"/>
      <c r="N2223" s="12" t="n"/>
      <c r="O2223" s="12" t="n"/>
    </row>
    <row r="2224">
      <c r="A2224" s="12" t="n"/>
      <c r="B2224" s="13">
        <f>IF($A2224="","",IFERROR(INDEX(Emp_Names,MATCH($A2224,Emp_Codes,0)),"NOT FOUND"))</f>
        <v/>
      </c>
      <c r="C2224" s="14" t="n"/>
      <c r="D2224" s="15" t="n"/>
      <c r="E2224" s="15" t="n"/>
      <c r="F2224" s="15" t="n"/>
      <c r="G2224" s="15" t="n"/>
      <c r="H2224" s="16">
        <f>IF($A2224="","",$D2224+IF($E2224="",0,$E2224)+IF($F2224="",0,$F2224)-IF($G2224="",0,$G2224))</f>
        <v/>
      </c>
      <c r="I2224" s="12" t="n"/>
      <c r="J2224" s="12" t="n"/>
      <c r="K2224" s="12" t="n"/>
      <c r="L2224" s="14" t="n"/>
      <c r="M2224" s="12" t="n"/>
      <c r="N2224" s="12" t="n"/>
      <c r="O2224" s="12" t="n"/>
    </row>
    <row r="2225">
      <c r="A2225" s="12" t="n"/>
      <c r="B2225" s="13">
        <f>IF($A2225="","",IFERROR(INDEX(Emp_Names,MATCH($A2225,Emp_Codes,0)),"NOT FOUND"))</f>
        <v/>
      </c>
      <c r="C2225" s="14" t="n"/>
      <c r="D2225" s="15" t="n"/>
      <c r="E2225" s="15" t="n"/>
      <c r="F2225" s="15" t="n"/>
      <c r="G2225" s="15" t="n"/>
      <c r="H2225" s="16">
        <f>IF($A2225="","",$D2225+IF($E2225="",0,$E2225)+IF($F2225="",0,$F2225)-IF($G2225="",0,$G2225))</f>
        <v/>
      </c>
      <c r="I2225" s="12" t="n"/>
      <c r="J2225" s="12" t="n"/>
      <c r="K2225" s="12" t="n"/>
      <c r="L2225" s="14" t="n"/>
      <c r="M2225" s="12" t="n"/>
      <c r="N2225" s="12" t="n"/>
      <c r="O2225" s="12" t="n"/>
    </row>
    <row r="2226">
      <c r="A2226" s="12" t="n"/>
      <c r="B2226" s="13">
        <f>IF($A2226="","",IFERROR(INDEX(Emp_Names,MATCH($A2226,Emp_Codes,0)),"NOT FOUND"))</f>
        <v/>
      </c>
      <c r="C2226" s="14" t="n"/>
      <c r="D2226" s="15" t="n"/>
      <c r="E2226" s="15" t="n"/>
      <c r="F2226" s="15" t="n"/>
      <c r="G2226" s="15" t="n"/>
      <c r="H2226" s="16">
        <f>IF($A2226="","",$D2226+IF($E2226="",0,$E2226)+IF($F2226="",0,$F2226)-IF($G2226="",0,$G2226))</f>
        <v/>
      </c>
      <c r="I2226" s="12" t="n"/>
      <c r="J2226" s="12" t="n"/>
      <c r="K2226" s="12" t="n"/>
      <c r="L2226" s="14" t="n"/>
      <c r="M2226" s="12" t="n"/>
      <c r="N2226" s="12" t="n"/>
      <c r="O2226" s="12" t="n"/>
    </row>
    <row r="2227">
      <c r="A2227" s="12" t="n"/>
      <c r="B2227" s="13">
        <f>IF($A2227="","",IFERROR(INDEX(Emp_Names,MATCH($A2227,Emp_Codes,0)),"NOT FOUND"))</f>
        <v/>
      </c>
      <c r="C2227" s="14" t="n"/>
      <c r="D2227" s="15" t="n"/>
      <c r="E2227" s="15" t="n"/>
      <c r="F2227" s="15" t="n"/>
      <c r="G2227" s="15" t="n"/>
      <c r="H2227" s="16">
        <f>IF($A2227="","",$D2227+IF($E2227="",0,$E2227)+IF($F2227="",0,$F2227)-IF($G2227="",0,$G2227))</f>
        <v/>
      </c>
      <c r="I2227" s="12" t="n"/>
      <c r="J2227" s="12" t="n"/>
      <c r="K2227" s="12" t="n"/>
      <c r="L2227" s="14" t="n"/>
      <c r="M2227" s="12" t="n"/>
      <c r="N2227" s="12" t="n"/>
      <c r="O2227" s="12" t="n"/>
    </row>
    <row r="2228">
      <c r="A2228" s="12" t="n"/>
      <c r="B2228" s="13">
        <f>IF($A2228="","",IFERROR(INDEX(Emp_Names,MATCH($A2228,Emp_Codes,0)),"NOT FOUND"))</f>
        <v/>
      </c>
      <c r="C2228" s="14" t="n"/>
      <c r="D2228" s="15" t="n"/>
      <c r="E2228" s="15" t="n"/>
      <c r="F2228" s="15" t="n"/>
      <c r="G2228" s="15" t="n"/>
      <c r="H2228" s="16">
        <f>IF($A2228="","",$D2228+IF($E2228="",0,$E2228)+IF($F2228="",0,$F2228)-IF($G2228="",0,$G2228))</f>
        <v/>
      </c>
      <c r="I2228" s="12" t="n"/>
      <c r="J2228" s="12" t="n"/>
      <c r="K2228" s="12" t="n"/>
      <c r="L2228" s="14" t="n"/>
      <c r="M2228" s="12" t="n"/>
      <c r="N2228" s="12" t="n"/>
      <c r="O2228" s="12" t="n"/>
    </row>
    <row r="2229">
      <c r="A2229" s="12" t="n"/>
      <c r="B2229" s="13">
        <f>IF($A2229="","",IFERROR(INDEX(Emp_Names,MATCH($A2229,Emp_Codes,0)),"NOT FOUND"))</f>
        <v/>
      </c>
      <c r="C2229" s="14" t="n"/>
      <c r="D2229" s="15" t="n"/>
      <c r="E2229" s="15" t="n"/>
      <c r="F2229" s="15" t="n"/>
      <c r="G2229" s="15" t="n"/>
      <c r="H2229" s="16">
        <f>IF($A2229="","",$D2229+IF($E2229="",0,$E2229)+IF($F2229="",0,$F2229)-IF($G2229="",0,$G2229))</f>
        <v/>
      </c>
      <c r="I2229" s="12" t="n"/>
      <c r="J2229" s="12" t="n"/>
      <c r="K2229" s="12" t="n"/>
      <c r="L2229" s="14" t="n"/>
      <c r="M2229" s="12" t="n"/>
      <c r="N2229" s="12" t="n"/>
      <c r="O2229" s="12" t="n"/>
    </row>
    <row r="2230">
      <c r="A2230" s="12" t="n"/>
      <c r="B2230" s="13">
        <f>IF($A2230="","",IFERROR(INDEX(Emp_Names,MATCH($A2230,Emp_Codes,0)),"NOT FOUND"))</f>
        <v/>
      </c>
      <c r="C2230" s="14" t="n"/>
      <c r="D2230" s="15" t="n"/>
      <c r="E2230" s="15" t="n"/>
      <c r="F2230" s="15" t="n"/>
      <c r="G2230" s="15" t="n"/>
      <c r="H2230" s="16">
        <f>IF($A2230="","",$D2230+IF($E2230="",0,$E2230)+IF($F2230="",0,$F2230)-IF($G2230="",0,$G2230))</f>
        <v/>
      </c>
      <c r="I2230" s="12" t="n"/>
      <c r="J2230" s="12" t="n"/>
      <c r="K2230" s="12" t="n"/>
      <c r="L2230" s="14" t="n"/>
      <c r="M2230" s="12" t="n"/>
      <c r="N2230" s="12" t="n"/>
      <c r="O2230" s="12" t="n"/>
    </row>
    <row r="2231">
      <c r="A2231" s="12" t="n"/>
      <c r="B2231" s="13">
        <f>IF($A2231="","",IFERROR(INDEX(Emp_Names,MATCH($A2231,Emp_Codes,0)),"NOT FOUND"))</f>
        <v/>
      </c>
      <c r="C2231" s="14" t="n"/>
      <c r="D2231" s="15" t="n"/>
      <c r="E2231" s="15" t="n"/>
      <c r="F2231" s="15" t="n"/>
      <c r="G2231" s="15" t="n"/>
      <c r="H2231" s="16">
        <f>IF($A2231="","",$D2231+IF($E2231="",0,$E2231)+IF($F2231="",0,$F2231)-IF($G2231="",0,$G2231))</f>
        <v/>
      </c>
      <c r="I2231" s="12" t="n"/>
      <c r="J2231" s="12" t="n"/>
      <c r="K2231" s="12" t="n"/>
      <c r="L2231" s="14" t="n"/>
      <c r="M2231" s="12" t="n"/>
      <c r="N2231" s="12" t="n"/>
      <c r="O2231" s="12" t="n"/>
    </row>
    <row r="2232">
      <c r="A2232" s="12" t="n"/>
      <c r="B2232" s="13">
        <f>IF($A2232="","",IFERROR(INDEX(Emp_Names,MATCH($A2232,Emp_Codes,0)),"NOT FOUND"))</f>
        <v/>
      </c>
      <c r="C2232" s="14" t="n"/>
      <c r="D2232" s="15" t="n"/>
      <c r="E2232" s="15" t="n"/>
      <c r="F2232" s="15" t="n"/>
      <c r="G2232" s="15" t="n"/>
      <c r="H2232" s="16">
        <f>IF($A2232="","",$D2232+IF($E2232="",0,$E2232)+IF($F2232="",0,$F2232)-IF($G2232="",0,$G2232))</f>
        <v/>
      </c>
      <c r="I2232" s="12" t="n"/>
      <c r="J2232" s="12" t="n"/>
      <c r="K2232" s="12" t="n"/>
      <c r="L2232" s="14" t="n"/>
      <c r="M2232" s="12" t="n"/>
      <c r="N2232" s="12" t="n"/>
      <c r="O2232" s="12" t="n"/>
    </row>
    <row r="2233">
      <c r="A2233" s="12" t="n"/>
      <c r="B2233" s="13">
        <f>IF($A2233="","",IFERROR(INDEX(Emp_Names,MATCH($A2233,Emp_Codes,0)),"NOT FOUND"))</f>
        <v/>
      </c>
      <c r="C2233" s="14" t="n"/>
      <c r="D2233" s="15" t="n"/>
      <c r="E2233" s="15" t="n"/>
      <c r="F2233" s="15" t="n"/>
      <c r="G2233" s="15" t="n"/>
      <c r="H2233" s="16">
        <f>IF($A2233="","",$D2233+IF($E2233="",0,$E2233)+IF($F2233="",0,$F2233)-IF($G2233="",0,$G2233))</f>
        <v/>
      </c>
      <c r="I2233" s="12" t="n"/>
      <c r="J2233" s="12" t="n"/>
      <c r="K2233" s="12" t="n"/>
      <c r="L2233" s="14" t="n"/>
      <c r="M2233" s="12" t="n"/>
      <c r="N2233" s="12" t="n"/>
      <c r="O2233" s="12" t="n"/>
    </row>
    <row r="2234">
      <c r="A2234" s="12" t="n"/>
      <c r="B2234" s="13">
        <f>IF($A2234="","",IFERROR(INDEX(Emp_Names,MATCH($A2234,Emp_Codes,0)),"NOT FOUND"))</f>
        <v/>
      </c>
      <c r="C2234" s="14" t="n"/>
      <c r="D2234" s="15" t="n"/>
      <c r="E2234" s="15" t="n"/>
      <c r="F2234" s="15" t="n"/>
      <c r="G2234" s="15" t="n"/>
      <c r="H2234" s="16">
        <f>IF($A2234="","",$D2234+IF($E2234="",0,$E2234)+IF($F2234="",0,$F2234)-IF($G2234="",0,$G2234))</f>
        <v/>
      </c>
      <c r="I2234" s="12" t="n"/>
      <c r="J2234" s="12" t="n"/>
      <c r="K2234" s="12" t="n"/>
      <c r="L2234" s="14" t="n"/>
      <c r="M2234" s="12" t="n"/>
      <c r="N2234" s="12" t="n"/>
      <c r="O2234" s="12" t="n"/>
    </row>
    <row r="2235">
      <c r="A2235" s="12" t="n"/>
      <c r="B2235" s="13">
        <f>IF($A2235="","",IFERROR(INDEX(Emp_Names,MATCH($A2235,Emp_Codes,0)),"NOT FOUND"))</f>
        <v/>
      </c>
      <c r="C2235" s="14" t="n"/>
      <c r="D2235" s="15" t="n"/>
      <c r="E2235" s="15" t="n"/>
      <c r="F2235" s="15" t="n"/>
      <c r="G2235" s="15" t="n"/>
      <c r="H2235" s="16">
        <f>IF($A2235="","",$D2235+IF($E2235="",0,$E2235)+IF($F2235="",0,$F2235)-IF($G2235="",0,$G2235))</f>
        <v/>
      </c>
      <c r="I2235" s="12" t="n"/>
      <c r="J2235" s="12" t="n"/>
      <c r="K2235" s="12" t="n"/>
      <c r="L2235" s="14" t="n"/>
      <c r="M2235" s="12" t="n"/>
      <c r="N2235" s="12" t="n"/>
      <c r="O2235" s="12" t="n"/>
    </row>
    <row r="2236">
      <c r="A2236" s="12" t="n"/>
      <c r="B2236" s="13">
        <f>IF($A2236="","",IFERROR(INDEX(Emp_Names,MATCH($A2236,Emp_Codes,0)),"NOT FOUND"))</f>
        <v/>
      </c>
      <c r="C2236" s="14" t="n"/>
      <c r="D2236" s="15" t="n"/>
      <c r="E2236" s="15" t="n"/>
      <c r="F2236" s="15" t="n"/>
      <c r="G2236" s="15" t="n"/>
      <c r="H2236" s="16">
        <f>IF($A2236="","",$D2236+IF($E2236="",0,$E2236)+IF($F2236="",0,$F2236)-IF($G2236="",0,$G2236))</f>
        <v/>
      </c>
      <c r="I2236" s="12" t="n"/>
      <c r="J2236" s="12" t="n"/>
      <c r="K2236" s="12" t="n"/>
      <c r="L2236" s="14" t="n"/>
      <c r="M2236" s="12" t="n"/>
      <c r="N2236" s="12" t="n"/>
      <c r="O2236" s="12" t="n"/>
    </row>
    <row r="2237">
      <c r="A2237" s="12" t="n"/>
      <c r="B2237" s="13">
        <f>IF($A2237="","",IFERROR(INDEX(Emp_Names,MATCH($A2237,Emp_Codes,0)),"NOT FOUND"))</f>
        <v/>
      </c>
      <c r="C2237" s="14" t="n"/>
      <c r="D2237" s="15" t="n"/>
      <c r="E2237" s="15" t="n"/>
      <c r="F2237" s="15" t="n"/>
      <c r="G2237" s="15" t="n"/>
      <c r="H2237" s="16">
        <f>IF($A2237="","",$D2237+IF($E2237="",0,$E2237)+IF($F2237="",0,$F2237)-IF($G2237="",0,$G2237))</f>
        <v/>
      </c>
      <c r="I2237" s="12" t="n"/>
      <c r="J2237" s="12" t="n"/>
      <c r="K2237" s="12" t="n"/>
      <c r="L2237" s="14" t="n"/>
      <c r="M2237" s="12" t="n"/>
      <c r="N2237" s="12" t="n"/>
      <c r="O2237" s="12" t="n"/>
    </row>
    <row r="2238">
      <c r="A2238" s="12" t="n"/>
      <c r="B2238" s="13">
        <f>IF($A2238="","",IFERROR(INDEX(Emp_Names,MATCH($A2238,Emp_Codes,0)),"NOT FOUND"))</f>
        <v/>
      </c>
      <c r="C2238" s="14" t="n"/>
      <c r="D2238" s="15" t="n"/>
      <c r="E2238" s="15" t="n"/>
      <c r="F2238" s="15" t="n"/>
      <c r="G2238" s="15" t="n"/>
      <c r="H2238" s="16">
        <f>IF($A2238="","",$D2238+IF($E2238="",0,$E2238)+IF($F2238="",0,$F2238)-IF($G2238="",0,$G2238))</f>
        <v/>
      </c>
      <c r="I2238" s="12" t="n"/>
      <c r="J2238" s="12" t="n"/>
      <c r="K2238" s="12" t="n"/>
      <c r="L2238" s="14" t="n"/>
      <c r="M2238" s="12" t="n"/>
      <c r="N2238" s="12" t="n"/>
      <c r="O2238" s="12" t="n"/>
    </row>
    <row r="2239">
      <c r="A2239" s="12" t="n"/>
      <c r="B2239" s="13">
        <f>IF($A2239="","",IFERROR(INDEX(Emp_Names,MATCH($A2239,Emp_Codes,0)),"NOT FOUND"))</f>
        <v/>
      </c>
      <c r="C2239" s="14" t="n"/>
      <c r="D2239" s="15" t="n"/>
      <c r="E2239" s="15" t="n"/>
      <c r="F2239" s="15" t="n"/>
      <c r="G2239" s="15" t="n"/>
      <c r="H2239" s="16">
        <f>IF($A2239="","",$D2239+IF($E2239="",0,$E2239)+IF($F2239="",0,$F2239)-IF($G2239="",0,$G2239))</f>
        <v/>
      </c>
      <c r="I2239" s="12" t="n"/>
      <c r="J2239" s="12" t="n"/>
      <c r="K2239" s="12" t="n"/>
      <c r="L2239" s="14" t="n"/>
      <c r="M2239" s="12" t="n"/>
      <c r="N2239" s="12" t="n"/>
      <c r="O2239" s="12" t="n"/>
    </row>
    <row r="2240">
      <c r="A2240" s="12" t="n"/>
      <c r="B2240" s="13">
        <f>IF($A2240="","",IFERROR(INDEX(Emp_Names,MATCH($A2240,Emp_Codes,0)),"NOT FOUND"))</f>
        <v/>
      </c>
      <c r="C2240" s="14" t="n"/>
      <c r="D2240" s="15" t="n"/>
      <c r="E2240" s="15" t="n"/>
      <c r="F2240" s="15" t="n"/>
      <c r="G2240" s="15" t="n"/>
      <c r="H2240" s="16">
        <f>IF($A2240="","",$D2240+IF($E2240="",0,$E2240)+IF($F2240="",0,$F2240)-IF($G2240="",0,$G2240))</f>
        <v/>
      </c>
      <c r="I2240" s="12" t="n"/>
      <c r="J2240" s="12" t="n"/>
      <c r="K2240" s="12" t="n"/>
      <c r="L2240" s="14" t="n"/>
      <c r="M2240" s="12" t="n"/>
      <c r="N2240" s="12" t="n"/>
      <c r="O2240" s="12" t="n"/>
    </row>
    <row r="2241">
      <c r="A2241" s="12" t="n"/>
      <c r="B2241" s="13">
        <f>IF($A2241="","",IFERROR(INDEX(Emp_Names,MATCH($A2241,Emp_Codes,0)),"NOT FOUND"))</f>
        <v/>
      </c>
      <c r="C2241" s="14" t="n"/>
      <c r="D2241" s="15" t="n"/>
      <c r="E2241" s="15" t="n"/>
      <c r="F2241" s="15" t="n"/>
      <c r="G2241" s="15" t="n"/>
      <c r="H2241" s="16">
        <f>IF($A2241="","",$D2241+IF($E2241="",0,$E2241)+IF($F2241="",0,$F2241)-IF($G2241="",0,$G2241))</f>
        <v/>
      </c>
      <c r="I2241" s="12" t="n"/>
      <c r="J2241" s="12" t="n"/>
      <c r="K2241" s="12" t="n"/>
      <c r="L2241" s="14" t="n"/>
      <c r="M2241" s="12" t="n"/>
      <c r="N2241" s="12" t="n"/>
      <c r="O2241" s="12" t="n"/>
    </row>
    <row r="2242">
      <c r="A2242" s="12" t="n"/>
      <c r="B2242" s="13">
        <f>IF($A2242="","",IFERROR(INDEX(Emp_Names,MATCH($A2242,Emp_Codes,0)),"NOT FOUND"))</f>
        <v/>
      </c>
      <c r="C2242" s="14" t="n"/>
      <c r="D2242" s="15" t="n"/>
      <c r="E2242" s="15" t="n"/>
      <c r="F2242" s="15" t="n"/>
      <c r="G2242" s="15" t="n"/>
      <c r="H2242" s="16">
        <f>IF($A2242="","",$D2242+IF($E2242="",0,$E2242)+IF($F2242="",0,$F2242)-IF($G2242="",0,$G2242))</f>
        <v/>
      </c>
      <c r="I2242" s="12" t="n"/>
      <c r="J2242" s="12" t="n"/>
      <c r="K2242" s="12" t="n"/>
      <c r="L2242" s="14" t="n"/>
      <c r="M2242" s="12" t="n"/>
      <c r="N2242" s="12" t="n"/>
      <c r="O2242" s="12" t="n"/>
    </row>
    <row r="2243">
      <c r="A2243" s="12" t="n"/>
      <c r="B2243" s="13">
        <f>IF($A2243="","",IFERROR(INDEX(Emp_Names,MATCH($A2243,Emp_Codes,0)),"NOT FOUND"))</f>
        <v/>
      </c>
      <c r="C2243" s="14" t="n"/>
      <c r="D2243" s="15" t="n"/>
      <c r="E2243" s="15" t="n"/>
      <c r="F2243" s="15" t="n"/>
      <c r="G2243" s="15" t="n"/>
      <c r="H2243" s="16">
        <f>IF($A2243="","",$D2243+IF($E2243="",0,$E2243)+IF($F2243="",0,$F2243)-IF($G2243="",0,$G2243))</f>
        <v/>
      </c>
      <c r="I2243" s="12" t="n"/>
      <c r="J2243" s="12" t="n"/>
      <c r="K2243" s="12" t="n"/>
      <c r="L2243" s="14" t="n"/>
      <c r="M2243" s="12" t="n"/>
      <c r="N2243" s="12" t="n"/>
      <c r="O2243" s="12" t="n"/>
    </row>
    <row r="2244">
      <c r="A2244" s="12" t="n"/>
      <c r="B2244" s="13">
        <f>IF($A2244="","",IFERROR(INDEX(Emp_Names,MATCH($A2244,Emp_Codes,0)),"NOT FOUND"))</f>
        <v/>
      </c>
      <c r="C2244" s="14" t="n"/>
      <c r="D2244" s="15" t="n"/>
      <c r="E2244" s="15" t="n"/>
      <c r="F2244" s="15" t="n"/>
      <c r="G2244" s="15" t="n"/>
      <c r="H2244" s="16">
        <f>IF($A2244="","",$D2244+IF($E2244="",0,$E2244)+IF($F2244="",0,$F2244)-IF($G2244="",0,$G2244))</f>
        <v/>
      </c>
      <c r="I2244" s="12" t="n"/>
      <c r="J2244" s="12" t="n"/>
      <c r="K2244" s="12" t="n"/>
      <c r="L2244" s="14" t="n"/>
      <c r="M2244" s="12" t="n"/>
      <c r="N2244" s="12" t="n"/>
      <c r="O2244" s="12" t="n"/>
    </row>
    <row r="2245">
      <c r="A2245" s="12" t="n"/>
      <c r="B2245" s="13">
        <f>IF($A2245="","",IFERROR(INDEX(Emp_Names,MATCH($A2245,Emp_Codes,0)),"NOT FOUND"))</f>
        <v/>
      </c>
      <c r="C2245" s="14" t="n"/>
      <c r="D2245" s="15" t="n"/>
      <c r="E2245" s="15" t="n"/>
      <c r="F2245" s="15" t="n"/>
      <c r="G2245" s="15" t="n"/>
      <c r="H2245" s="16">
        <f>IF($A2245="","",$D2245+IF($E2245="",0,$E2245)+IF($F2245="",0,$F2245)-IF($G2245="",0,$G2245))</f>
        <v/>
      </c>
      <c r="I2245" s="12" t="n"/>
      <c r="J2245" s="12" t="n"/>
      <c r="K2245" s="12" t="n"/>
      <c r="L2245" s="14" t="n"/>
      <c r="M2245" s="12" t="n"/>
      <c r="N2245" s="12" t="n"/>
      <c r="O2245" s="12" t="n"/>
    </row>
    <row r="2246">
      <c r="A2246" s="12" t="n"/>
      <c r="B2246" s="13">
        <f>IF($A2246="","",IFERROR(INDEX(Emp_Names,MATCH($A2246,Emp_Codes,0)),"NOT FOUND"))</f>
        <v/>
      </c>
      <c r="C2246" s="14" t="n"/>
      <c r="D2246" s="15" t="n"/>
      <c r="E2246" s="15" t="n"/>
      <c r="F2246" s="15" t="n"/>
      <c r="G2246" s="15" t="n"/>
      <c r="H2246" s="16">
        <f>IF($A2246="","",$D2246+IF($E2246="",0,$E2246)+IF($F2246="",0,$F2246)-IF($G2246="",0,$G2246))</f>
        <v/>
      </c>
      <c r="I2246" s="12" t="n"/>
      <c r="J2246" s="12" t="n"/>
      <c r="K2246" s="12" t="n"/>
      <c r="L2246" s="14" t="n"/>
      <c r="M2246" s="12" t="n"/>
      <c r="N2246" s="12" t="n"/>
      <c r="O2246" s="12" t="n"/>
    </row>
    <row r="2247">
      <c r="A2247" s="12" t="n"/>
      <c r="B2247" s="13">
        <f>IF($A2247="","",IFERROR(INDEX(Emp_Names,MATCH($A2247,Emp_Codes,0)),"NOT FOUND"))</f>
        <v/>
      </c>
      <c r="C2247" s="14" t="n"/>
      <c r="D2247" s="15" t="n"/>
      <c r="E2247" s="15" t="n"/>
      <c r="F2247" s="15" t="n"/>
      <c r="G2247" s="15" t="n"/>
      <c r="H2247" s="16">
        <f>IF($A2247="","",$D2247+IF($E2247="",0,$E2247)+IF($F2247="",0,$F2247)-IF($G2247="",0,$G2247))</f>
        <v/>
      </c>
      <c r="I2247" s="12" t="n"/>
      <c r="J2247" s="12" t="n"/>
      <c r="K2247" s="12" t="n"/>
      <c r="L2247" s="14" t="n"/>
      <c r="M2247" s="12" t="n"/>
      <c r="N2247" s="12" t="n"/>
      <c r="O2247" s="12" t="n"/>
    </row>
    <row r="2248">
      <c r="A2248" s="12" t="n"/>
      <c r="B2248" s="13">
        <f>IF($A2248="","",IFERROR(INDEX(Emp_Names,MATCH($A2248,Emp_Codes,0)),"NOT FOUND"))</f>
        <v/>
      </c>
      <c r="C2248" s="14" t="n"/>
      <c r="D2248" s="15" t="n"/>
      <c r="E2248" s="15" t="n"/>
      <c r="F2248" s="15" t="n"/>
      <c r="G2248" s="15" t="n"/>
      <c r="H2248" s="16">
        <f>IF($A2248="","",$D2248+IF($E2248="",0,$E2248)+IF($F2248="",0,$F2248)-IF($G2248="",0,$G2248))</f>
        <v/>
      </c>
      <c r="I2248" s="12" t="n"/>
      <c r="J2248" s="12" t="n"/>
      <c r="K2248" s="12" t="n"/>
      <c r="L2248" s="14" t="n"/>
      <c r="M2248" s="12" t="n"/>
      <c r="N2248" s="12" t="n"/>
      <c r="O2248" s="12" t="n"/>
    </row>
    <row r="2249">
      <c r="A2249" s="12" t="n"/>
      <c r="B2249" s="13">
        <f>IF($A2249="","",IFERROR(INDEX(Emp_Names,MATCH($A2249,Emp_Codes,0)),"NOT FOUND"))</f>
        <v/>
      </c>
      <c r="C2249" s="14" t="n"/>
      <c r="D2249" s="15" t="n"/>
      <c r="E2249" s="15" t="n"/>
      <c r="F2249" s="15" t="n"/>
      <c r="G2249" s="15" t="n"/>
      <c r="H2249" s="16">
        <f>IF($A2249="","",$D2249+IF($E2249="",0,$E2249)+IF($F2249="",0,$F2249)-IF($G2249="",0,$G2249))</f>
        <v/>
      </c>
      <c r="I2249" s="12" t="n"/>
      <c r="J2249" s="12" t="n"/>
      <c r="K2249" s="12" t="n"/>
      <c r="L2249" s="14" t="n"/>
      <c r="M2249" s="12" t="n"/>
      <c r="N2249" s="12" t="n"/>
      <c r="O2249" s="12" t="n"/>
    </row>
    <row r="2250">
      <c r="A2250" s="12" t="n"/>
      <c r="B2250" s="13">
        <f>IF($A2250="","",IFERROR(INDEX(Emp_Names,MATCH($A2250,Emp_Codes,0)),"NOT FOUND"))</f>
        <v/>
      </c>
      <c r="C2250" s="14" t="n"/>
      <c r="D2250" s="15" t="n"/>
      <c r="E2250" s="15" t="n"/>
      <c r="F2250" s="15" t="n"/>
      <c r="G2250" s="15" t="n"/>
      <c r="H2250" s="16">
        <f>IF($A2250="","",$D2250+IF($E2250="",0,$E2250)+IF($F2250="",0,$F2250)-IF($G2250="",0,$G2250))</f>
        <v/>
      </c>
      <c r="I2250" s="12" t="n"/>
      <c r="J2250" s="12" t="n"/>
      <c r="K2250" s="12" t="n"/>
      <c r="L2250" s="14" t="n"/>
      <c r="M2250" s="12" t="n"/>
      <c r="N2250" s="12" t="n"/>
      <c r="O2250" s="12" t="n"/>
    </row>
    <row r="2251">
      <c r="A2251" s="12" t="n"/>
      <c r="B2251" s="13">
        <f>IF($A2251="","",IFERROR(INDEX(Emp_Names,MATCH($A2251,Emp_Codes,0)),"NOT FOUND"))</f>
        <v/>
      </c>
      <c r="C2251" s="14" t="n"/>
      <c r="D2251" s="15" t="n"/>
      <c r="E2251" s="15" t="n"/>
      <c r="F2251" s="15" t="n"/>
      <c r="G2251" s="15" t="n"/>
      <c r="H2251" s="16">
        <f>IF($A2251="","",$D2251+IF($E2251="",0,$E2251)+IF($F2251="",0,$F2251)-IF($G2251="",0,$G2251))</f>
        <v/>
      </c>
      <c r="I2251" s="12" t="n"/>
      <c r="J2251" s="12" t="n"/>
      <c r="K2251" s="12" t="n"/>
      <c r="L2251" s="14" t="n"/>
      <c r="M2251" s="12" t="n"/>
      <c r="N2251" s="12" t="n"/>
      <c r="O2251" s="12" t="n"/>
    </row>
    <row r="2252">
      <c r="A2252" s="12" t="n"/>
      <c r="B2252" s="13">
        <f>IF($A2252="","",IFERROR(INDEX(Emp_Names,MATCH($A2252,Emp_Codes,0)),"NOT FOUND"))</f>
        <v/>
      </c>
      <c r="C2252" s="14" t="n"/>
      <c r="D2252" s="15" t="n"/>
      <c r="E2252" s="15" t="n"/>
      <c r="F2252" s="15" t="n"/>
      <c r="G2252" s="15" t="n"/>
      <c r="H2252" s="16">
        <f>IF($A2252="","",$D2252+IF($E2252="",0,$E2252)+IF($F2252="",0,$F2252)-IF($G2252="",0,$G2252))</f>
        <v/>
      </c>
      <c r="I2252" s="12" t="n"/>
      <c r="J2252" s="12" t="n"/>
      <c r="K2252" s="12" t="n"/>
      <c r="L2252" s="14" t="n"/>
      <c r="M2252" s="12" t="n"/>
      <c r="N2252" s="12" t="n"/>
      <c r="O2252" s="12" t="n"/>
    </row>
    <row r="2253">
      <c r="A2253" s="12" t="n"/>
      <c r="B2253" s="13">
        <f>IF($A2253="","",IFERROR(INDEX(Emp_Names,MATCH($A2253,Emp_Codes,0)),"NOT FOUND"))</f>
        <v/>
      </c>
      <c r="C2253" s="14" t="n"/>
      <c r="D2253" s="15" t="n"/>
      <c r="E2253" s="15" t="n"/>
      <c r="F2253" s="15" t="n"/>
      <c r="G2253" s="15" t="n"/>
      <c r="H2253" s="16">
        <f>IF($A2253="","",$D2253+IF($E2253="",0,$E2253)+IF($F2253="",0,$F2253)-IF($G2253="",0,$G2253))</f>
        <v/>
      </c>
      <c r="I2253" s="12" t="n"/>
      <c r="J2253" s="12" t="n"/>
      <c r="K2253" s="12" t="n"/>
      <c r="L2253" s="14" t="n"/>
      <c r="M2253" s="12" t="n"/>
      <c r="N2253" s="12" t="n"/>
      <c r="O2253" s="12" t="n"/>
    </row>
    <row r="2254">
      <c r="A2254" s="12" t="n"/>
      <c r="B2254" s="13">
        <f>IF($A2254="","",IFERROR(INDEX(Emp_Names,MATCH($A2254,Emp_Codes,0)),"NOT FOUND"))</f>
        <v/>
      </c>
      <c r="C2254" s="14" t="n"/>
      <c r="D2254" s="15" t="n"/>
      <c r="E2254" s="15" t="n"/>
      <c r="F2254" s="15" t="n"/>
      <c r="G2254" s="15" t="n"/>
      <c r="H2254" s="16">
        <f>IF($A2254="","",$D2254+IF($E2254="",0,$E2254)+IF($F2254="",0,$F2254)-IF($G2254="",0,$G2254))</f>
        <v/>
      </c>
      <c r="I2254" s="12" t="n"/>
      <c r="J2254" s="12" t="n"/>
      <c r="K2254" s="12" t="n"/>
      <c r="L2254" s="14" t="n"/>
      <c r="M2254" s="12" t="n"/>
      <c r="N2254" s="12" t="n"/>
      <c r="O2254" s="12" t="n"/>
    </row>
    <row r="2255">
      <c r="A2255" s="12" t="n"/>
      <c r="B2255" s="13">
        <f>IF($A2255="","",IFERROR(INDEX(Emp_Names,MATCH($A2255,Emp_Codes,0)),"NOT FOUND"))</f>
        <v/>
      </c>
      <c r="C2255" s="14" t="n"/>
      <c r="D2255" s="15" t="n"/>
      <c r="E2255" s="15" t="n"/>
      <c r="F2255" s="15" t="n"/>
      <c r="G2255" s="15" t="n"/>
      <c r="H2255" s="16">
        <f>IF($A2255="","",$D2255+IF($E2255="",0,$E2255)+IF($F2255="",0,$F2255)-IF($G2255="",0,$G2255))</f>
        <v/>
      </c>
      <c r="I2255" s="12" t="n"/>
      <c r="J2255" s="12" t="n"/>
      <c r="K2255" s="12" t="n"/>
      <c r="L2255" s="14" t="n"/>
      <c r="M2255" s="12" t="n"/>
      <c r="N2255" s="12" t="n"/>
      <c r="O2255" s="12" t="n"/>
    </row>
    <row r="2256">
      <c r="A2256" s="12" t="n"/>
      <c r="B2256" s="13">
        <f>IF($A2256="","",IFERROR(INDEX(Emp_Names,MATCH($A2256,Emp_Codes,0)),"NOT FOUND"))</f>
        <v/>
      </c>
      <c r="C2256" s="14" t="n"/>
      <c r="D2256" s="15" t="n"/>
      <c r="E2256" s="15" t="n"/>
      <c r="F2256" s="15" t="n"/>
      <c r="G2256" s="15" t="n"/>
      <c r="H2256" s="16">
        <f>IF($A2256="","",$D2256+IF($E2256="",0,$E2256)+IF($F2256="",0,$F2256)-IF($G2256="",0,$G2256))</f>
        <v/>
      </c>
      <c r="I2256" s="12" t="n"/>
      <c r="J2256" s="12" t="n"/>
      <c r="K2256" s="12" t="n"/>
      <c r="L2256" s="14" t="n"/>
      <c r="M2256" s="12" t="n"/>
      <c r="N2256" s="12" t="n"/>
      <c r="O2256" s="12" t="n"/>
    </row>
    <row r="2257">
      <c r="A2257" s="12" t="n"/>
      <c r="B2257" s="13">
        <f>IF($A2257="","",IFERROR(INDEX(Emp_Names,MATCH($A2257,Emp_Codes,0)),"NOT FOUND"))</f>
        <v/>
      </c>
      <c r="C2257" s="14" t="n"/>
      <c r="D2257" s="15" t="n"/>
      <c r="E2257" s="15" t="n"/>
      <c r="F2257" s="15" t="n"/>
      <c r="G2257" s="15" t="n"/>
      <c r="H2257" s="16">
        <f>IF($A2257="","",$D2257+IF($E2257="",0,$E2257)+IF($F2257="",0,$F2257)-IF($G2257="",0,$G2257))</f>
        <v/>
      </c>
      <c r="I2257" s="12" t="n"/>
      <c r="J2257" s="12" t="n"/>
      <c r="K2257" s="12" t="n"/>
      <c r="L2257" s="14" t="n"/>
      <c r="M2257" s="12" t="n"/>
      <c r="N2257" s="12" t="n"/>
      <c r="O2257" s="12" t="n"/>
    </row>
    <row r="2258">
      <c r="A2258" s="12" t="n"/>
      <c r="B2258" s="13">
        <f>IF($A2258="","",IFERROR(INDEX(Emp_Names,MATCH($A2258,Emp_Codes,0)),"NOT FOUND"))</f>
        <v/>
      </c>
      <c r="C2258" s="14" t="n"/>
      <c r="D2258" s="15" t="n"/>
      <c r="E2258" s="15" t="n"/>
      <c r="F2258" s="15" t="n"/>
      <c r="G2258" s="15" t="n"/>
      <c r="H2258" s="16">
        <f>IF($A2258="","",$D2258+IF($E2258="",0,$E2258)+IF($F2258="",0,$F2258)-IF($G2258="",0,$G2258))</f>
        <v/>
      </c>
      <c r="I2258" s="12" t="n"/>
      <c r="J2258" s="12" t="n"/>
      <c r="K2258" s="12" t="n"/>
      <c r="L2258" s="14" t="n"/>
      <c r="M2258" s="12" t="n"/>
      <c r="N2258" s="12" t="n"/>
      <c r="O2258" s="12" t="n"/>
    </row>
    <row r="2259">
      <c r="A2259" s="12" t="n"/>
      <c r="B2259" s="13">
        <f>IF($A2259="","",IFERROR(INDEX(Emp_Names,MATCH($A2259,Emp_Codes,0)),"NOT FOUND"))</f>
        <v/>
      </c>
      <c r="C2259" s="14" t="n"/>
      <c r="D2259" s="15" t="n"/>
      <c r="E2259" s="15" t="n"/>
      <c r="F2259" s="15" t="n"/>
      <c r="G2259" s="15" t="n"/>
      <c r="H2259" s="16">
        <f>IF($A2259="","",$D2259+IF($E2259="",0,$E2259)+IF($F2259="",0,$F2259)-IF($G2259="",0,$G2259))</f>
        <v/>
      </c>
      <c r="I2259" s="12" t="n"/>
      <c r="J2259" s="12" t="n"/>
      <c r="K2259" s="12" t="n"/>
      <c r="L2259" s="14" t="n"/>
      <c r="M2259" s="12" t="n"/>
      <c r="N2259" s="12" t="n"/>
      <c r="O2259" s="12" t="n"/>
    </row>
    <row r="2260">
      <c r="A2260" s="12" t="n"/>
      <c r="B2260" s="13">
        <f>IF($A2260="","",IFERROR(INDEX(Emp_Names,MATCH($A2260,Emp_Codes,0)),"NOT FOUND"))</f>
        <v/>
      </c>
      <c r="C2260" s="14" t="n"/>
      <c r="D2260" s="15" t="n"/>
      <c r="E2260" s="15" t="n"/>
      <c r="F2260" s="15" t="n"/>
      <c r="G2260" s="15" t="n"/>
      <c r="H2260" s="16">
        <f>IF($A2260="","",$D2260+IF($E2260="",0,$E2260)+IF($F2260="",0,$F2260)-IF($G2260="",0,$G2260))</f>
        <v/>
      </c>
      <c r="I2260" s="12" t="n"/>
      <c r="J2260" s="12" t="n"/>
      <c r="K2260" s="12" t="n"/>
      <c r="L2260" s="14" t="n"/>
      <c r="M2260" s="12" t="n"/>
      <c r="N2260" s="12" t="n"/>
      <c r="O2260" s="12" t="n"/>
    </row>
    <row r="2261">
      <c r="A2261" s="12" t="n"/>
      <c r="B2261" s="13">
        <f>IF($A2261="","",IFERROR(INDEX(Emp_Names,MATCH($A2261,Emp_Codes,0)),"NOT FOUND"))</f>
        <v/>
      </c>
      <c r="C2261" s="14" t="n"/>
      <c r="D2261" s="15" t="n"/>
      <c r="E2261" s="15" t="n"/>
      <c r="F2261" s="15" t="n"/>
      <c r="G2261" s="15" t="n"/>
      <c r="H2261" s="16">
        <f>IF($A2261="","",$D2261+IF($E2261="",0,$E2261)+IF($F2261="",0,$F2261)-IF($G2261="",0,$G2261))</f>
        <v/>
      </c>
      <c r="I2261" s="12" t="n"/>
      <c r="J2261" s="12" t="n"/>
      <c r="K2261" s="12" t="n"/>
      <c r="L2261" s="14" t="n"/>
      <c r="M2261" s="12" t="n"/>
      <c r="N2261" s="12" t="n"/>
      <c r="O2261" s="12" t="n"/>
    </row>
    <row r="2262">
      <c r="A2262" s="12" t="n"/>
      <c r="B2262" s="13">
        <f>IF($A2262="","",IFERROR(INDEX(Emp_Names,MATCH($A2262,Emp_Codes,0)),"NOT FOUND"))</f>
        <v/>
      </c>
      <c r="C2262" s="14" t="n"/>
      <c r="D2262" s="15" t="n"/>
      <c r="E2262" s="15" t="n"/>
      <c r="F2262" s="15" t="n"/>
      <c r="G2262" s="15" t="n"/>
      <c r="H2262" s="16">
        <f>IF($A2262="","",$D2262+IF($E2262="",0,$E2262)+IF($F2262="",0,$F2262)-IF($G2262="",0,$G2262))</f>
        <v/>
      </c>
      <c r="I2262" s="12" t="n"/>
      <c r="J2262" s="12" t="n"/>
      <c r="K2262" s="12" t="n"/>
      <c r="L2262" s="14" t="n"/>
      <c r="M2262" s="12" t="n"/>
      <c r="N2262" s="12" t="n"/>
      <c r="O2262" s="12" t="n"/>
    </row>
    <row r="2263">
      <c r="A2263" s="12" t="n"/>
      <c r="B2263" s="13">
        <f>IF($A2263="","",IFERROR(INDEX(Emp_Names,MATCH($A2263,Emp_Codes,0)),"NOT FOUND"))</f>
        <v/>
      </c>
      <c r="C2263" s="14" t="n"/>
      <c r="D2263" s="15" t="n"/>
      <c r="E2263" s="15" t="n"/>
      <c r="F2263" s="15" t="n"/>
      <c r="G2263" s="15" t="n"/>
      <c r="H2263" s="16">
        <f>IF($A2263="","",$D2263+IF($E2263="",0,$E2263)+IF($F2263="",0,$F2263)-IF($G2263="",0,$G2263))</f>
        <v/>
      </c>
      <c r="I2263" s="12" t="n"/>
      <c r="J2263" s="12" t="n"/>
      <c r="K2263" s="12" t="n"/>
      <c r="L2263" s="14" t="n"/>
      <c r="M2263" s="12" t="n"/>
      <c r="N2263" s="12" t="n"/>
      <c r="O2263" s="12" t="n"/>
    </row>
    <row r="2264">
      <c r="A2264" s="12" t="n"/>
      <c r="B2264" s="13">
        <f>IF($A2264="","",IFERROR(INDEX(Emp_Names,MATCH($A2264,Emp_Codes,0)),"NOT FOUND"))</f>
        <v/>
      </c>
      <c r="C2264" s="14" t="n"/>
      <c r="D2264" s="15" t="n"/>
      <c r="E2264" s="15" t="n"/>
      <c r="F2264" s="15" t="n"/>
      <c r="G2264" s="15" t="n"/>
      <c r="H2264" s="16">
        <f>IF($A2264="","",$D2264+IF($E2264="",0,$E2264)+IF($F2264="",0,$F2264)-IF($G2264="",0,$G2264))</f>
        <v/>
      </c>
      <c r="I2264" s="12" t="n"/>
      <c r="J2264" s="12" t="n"/>
      <c r="K2264" s="12" t="n"/>
      <c r="L2264" s="14" t="n"/>
      <c r="M2264" s="12" t="n"/>
      <c r="N2264" s="12" t="n"/>
      <c r="O2264" s="12" t="n"/>
    </row>
    <row r="2265">
      <c r="A2265" s="12" t="n"/>
      <c r="B2265" s="13">
        <f>IF($A2265="","",IFERROR(INDEX(Emp_Names,MATCH($A2265,Emp_Codes,0)),"NOT FOUND"))</f>
        <v/>
      </c>
      <c r="C2265" s="14" t="n"/>
      <c r="D2265" s="15" t="n"/>
      <c r="E2265" s="15" t="n"/>
      <c r="F2265" s="15" t="n"/>
      <c r="G2265" s="15" t="n"/>
      <c r="H2265" s="16">
        <f>IF($A2265="","",$D2265+IF($E2265="",0,$E2265)+IF($F2265="",0,$F2265)-IF($G2265="",0,$G2265))</f>
        <v/>
      </c>
      <c r="I2265" s="12" t="n"/>
      <c r="J2265" s="12" t="n"/>
      <c r="K2265" s="12" t="n"/>
      <c r="L2265" s="14" t="n"/>
      <c r="M2265" s="12" t="n"/>
      <c r="N2265" s="12" t="n"/>
      <c r="O2265" s="12" t="n"/>
    </row>
    <row r="2266">
      <c r="A2266" s="12" t="n"/>
      <c r="B2266" s="13">
        <f>IF($A2266="","",IFERROR(INDEX(Emp_Names,MATCH($A2266,Emp_Codes,0)),"NOT FOUND"))</f>
        <v/>
      </c>
      <c r="C2266" s="14" t="n"/>
      <c r="D2266" s="15" t="n"/>
      <c r="E2266" s="15" t="n"/>
      <c r="F2266" s="15" t="n"/>
      <c r="G2266" s="15" t="n"/>
      <c r="H2266" s="16">
        <f>IF($A2266="","",$D2266+IF($E2266="",0,$E2266)+IF($F2266="",0,$F2266)-IF($G2266="",0,$G2266))</f>
        <v/>
      </c>
      <c r="I2266" s="12" t="n"/>
      <c r="J2266" s="12" t="n"/>
      <c r="K2266" s="12" t="n"/>
      <c r="L2266" s="14" t="n"/>
      <c r="M2266" s="12" t="n"/>
      <c r="N2266" s="12" t="n"/>
      <c r="O2266" s="12" t="n"/>
    </row>
    <row r="2267">
      <c r="A2267" s="12" t="n"/>
      <c r="B2267" s="13">
        <f>IF($A2267="","",IFERROR(INDEX(Emp_Names,MATCH($A2267,Emp_Codes,0)),"NOT FOUND"))</f>
        <v/>
      </c>
      <c r="C2267" s="14" t="n"/>
      <c r="D2267" s="15" t="n"/>
      <c r="E2267" s="15" t="n"/>
      <c r="F2267" s="15" t="n"/>
      <c r="G2267" s="15" t="n"/>
      <c r="H2267" s="16">
        <f>IF($A2267="","",$D2267+IF($E2267="",0,$E2267)+IF($F2267="",0,$F2267)-IF($G2267="",0,$G2267))</f>
        <v/>
      </c>
      <c r="I2267" s="12" t="n"/>
      <c r="J2267" s="12" t="n"/>
      <c r="K2267" s="12" t="n"/>
      <c r="L2267" s="14" t="n"/>
      <c r="M2267" s="12" t="n"/>
      <c r="N2267" s="12" t="n"/>
      <c r="O2267" s="12" t="n"/>
    </row>
    <row r="2268">
      <c r="A2268" s="12" t="n"/>
      <c r="B2268" s="13">
        <f>IF($A2268="","",IFERROR(INDEX(Emp_Names,MATCH($A2268,Emp_Codes,0)),"NOT FOUND"))</f>
        <v/>
      </c>
      <c r="C2268" s="14" t="n"/>
      <c r="D2268" s="15" t="n"/>
      <c r="E2268" s="15" t="n"/>
      <c r="F2268" s="15" t="n"/>
      <c r="G2268" s="15" t="n"/>
      <c r="H2268" s="16">
        <f>IF($A2268="","",$D2268+IF($E2268="",0,$E2268)+IF($F2268="",0,$F2268)-IF($G2268="",0,$G2268))</f>
        <v/>
      </c>
      <c r="I2268" s="12" t="n"/>
      <c r="J2268" s="12" t="n"/>
      <c r="K2268" s="12" t="n"/>
      <c r="L2268" s="14" t="n"/>
      <c r="M2268" s="12" t="n"/>
      <c r="N2268" s="12" t="n"/>
      <c r="O2268" s="12" t="n"/>
    </row>
    <row r="2269">
      <c r="A2269" s="12" t="n"/>
      <c r="B2269" s="13">
        <f>IF($A2269="","",IFERROR(INDEX(Emp_Names,MATCH($A2269,Emp_Codes,0)),"NOT FOUND"))</f>
        <v/>
      </c>
      <c r="C2269" s="14" t="n"/>
      <c r="D2269" s="15" t="n"/>
      <c r="E2269" s="15" t="n"/>
      <c r="F2269" s="15" t="n"/>
      <c r="G2269" s="15" t="n"/>
      <c r="H2269" s="16">
        <f>IF($A2269="","",$D2269+IF($E2269="",0,$E2269)+IF($F2269="",0,$F2269)-IF($G2269="",0,$G2269))</f>
        <v/>
      </c>
      <c r="I2269" s="12" t="n"/>
      <c r="J2269" s="12" t="n"/>
      <c r="K2269" s="12" t="n"/>
      <c r="L2269" s="14" t="n"/>
      <c r="M2269" s="12" t="n"/>
      <c r="N2269" s="12" t="n"/>
      <c r="O2269" s="12" t="n"/>
    </row>
    <row r="2270">
      <c r="A2270" s="12" t="n"/>
      <c r="B2270" s="13">
        <f>IF($A2270="","",IFERROR(INDEX(Emp_Names,MATCH($A2270,Emp_Codes,0)),"NOT FOUND"))</f>
        <v/>
      </c>
      <c r="C2270" s="14" t="n"/>
      <c r="D2270" s="15" t="n"/>
      <c r="E2270" s="15" t="n"/>
      <c r="F2270" s="15" t="n"/>
      <c r="G2270" s="15" t="n"/>
      <c r="H2270" s="16">
        <f>IF($A2270="","",$D2270+IF($E2270="",0,$E2270)+IF($F2270="",0,$F2270)-IF($G2270="",0,$G2270))</f>
        <v/>
      </c>
      <c r="I2270" s="12" t="n"/>
      <c r="J2270" s="12" t="n"/>
      <c r="K2270" s="12" t="n"/>
      <c r="L2270" s="14" t="n"/>
      <c r="M2270" s="12" t="n"/>
      <c r="N2270" s="12" t="n"/>
      <c r="O2270" s="12" t="n"/>
    </row>
    <row r="2271">
      <c r="A2271" s="12" t="n"/>
      <c r="B2271" s="13">
        <f>IF($A2271="","",IFERROR(INDEX(Emp_Names,MATCH($A2271,Emp_Codes,0)),"NOT FOUND"))</f>
        <v/>
      </c>
      <c r="C2271" s="14" t="n"/>
      <c r="D2271" s="15" t="n"/>
      <c r="E2271" s="15" t="n"/>
      <c r="F2271" s="15" t="n"/>
      <c r="G2271" s="15" t="n"/>
      <c r="H2271" s="16">
        <f>IF($A2271="","",$D2271+IF($E2271="",0,$E2271)+IF($F2271="",0,$F2271)-IF($G2271="",0,$G2271))</f>
        <v/>
      </c>
      <c r="I2271" s="12" t="n"/>
      <c r="J2271" s="12" t="n"/>
      <c r="K2271" s="12" t="n"/>
      <c r="L2271" s="14" t="n"/>
      <c r="M2271" s="12" t="n"/>
      <c r="N2271" s="12" t="n"/>
      <c r="O2271" s="12" t="n"/>
    </row>
    <row r="2272">
      <c r="A2272" s="12" t="n"/>
      <c r="B2272" s="13">
        <f>IF($A2272="","",IFERROR(INDEX(Emp_Names,MATCH($A2272,Emp_Codes,0)),"NOT FOUND"))</f>
        <v/>
      </c>
      <c r="C2272" s="14" t="n"/>
      <c r="D2272" s="15" t="n"/>
      <c r="E2272" s="15" t="n"/>
      <c r="F2272" s="15" t="n"/>
      <c r="G2272" s="15" t="n"/>
      <c r="H2272" s="16">
        <f>IF($A2272="","",$D2272+IF($E2272="",0,$E2272)+IF($F2272="",0,$F2272)-IF($G2272="",0,$G2272))</f>
        <v/>
      </c>
      <c r="I2272" s="12" t="n"/>
      <c r="J2272" s="12" t="n"/>
      <c r="K2272" s="12" t="n"/>
      <c r="L2272" s="14" t="n"/>
      <c r="M2272" s="12" t="n"/>
      <c r="N2272" s="12" t="n"/>
      <c r="O2272" s="12" t="n"/>
    </row>
    <row r="2273">
      <c r="A2273" s="12" t="n"/>
      <c r="B2273" s="13">
        <f>IF($A2273="","",IFERROR(INDEX(Emp_Names,MATCH($A2273,Emp_Codes,0)),"NOT FOUND"))</f>
        <v/>
      </c>
      <c r="C2273" s="14" t="n"/>
      <c r="D2273" s="15" t="n"/>
      <c r="E2273" s="15" t="n"/>
      <c r="F2273" s="15" t="n"/>
      <c r="G2273" s="15" t="n"/>
      <c r="H2273" s="16">
        <f>IF($A2273="","",$D2273+IF($E2273="",0,$E2273)+IF($F2273="",0,$F2273)-IF($G2273="",0,$G2273))</f>
        <v/>
      </c>
      <c r="I2273" s="12" t="n"/>
      <c r="J2273" s="12" t="n"/>
      <c r="K2273" s="12" t="n"/>
      <c r="L2273" s="14" t="n"/>
      <c r="M2273" s="12" t="n"/>
      <c r="N2273" s="12" t="n"/>
      <c r="O2273" s="12" t="n"/>
    </row>
    <row r="2274">
      <c r="A2274" s="12" t="n"/>
      <c r="B2274" s="13">
        <f>IF($A2274="","",IFERROR(INDEX(Emp_Names,MATCH($A2274,Emp_Codes,0)),"NOT FOUND"))</f>
        <v/>
      </c>
      <c r="C2274" s="14" t="n"/>
      <c r="D2274" s="15" t="n"/>
      <c r="E2274" s="15" t="n"/>
      <c r="F2274" s="15" t="n"/>
      <c r="G2274" s="15" t="n"/>
      <c r="H2274" s="16">
        <f>IF($A2274="","",$D2274+IF($E2274="",0,$E2274)+IF($F2274="",0,$F2274)-IF($G2274="",0,$G2274))</f>
        <v/>
      </c>
      <c r="I2274" s="12" t="n"/>
      <c r="J2274" s="12" t="n"/>
      <c r="K2274" s="12" t="n"/>
      <c r="L2274" s="14" t="n"/>
      <c r="M2274" s="12" t="n"/>
      <c r="N2274" s="12" t="n"/>
      <c r="O2274" s="12" t="n"/>
    </row>
    <row r="2275">
      <c r="A2275" s="12" t="n"/>
      <c r="B2275" s="13">
        <f>IF($A2275="","",IFERROR(INDEX(Emp_Names,MATCH($A2275,Emp_Codes,0)),"NOT FOUND"))</f>
        <v/>
      </c>
      <c r="C2275" s="14" t="n"/>
      <c r="D2275" s="15" t="n"/>
      <c r="E2275" s="15" t="n"/>
      <c r="F2275" s="15" t="n"/>
      <c r="G2275" s="15" t="n"/>
      <c r="H2275" s="16">
        <f>IF($A2275="","",$D2275+IF($E2275="",0,$E2275)+IF($F2275="",0,$F2275)-IF($G2275="",0,$G2275))</f>
        <v/>
      </c>
      <c r="I2275" s="12" t="n"/>
      <c r="J2275" s="12" t="n"/>
      <c r="K2275" s="12" t="n"/>
      <c r="L2275" s="14" t="n"/>
      <c r="M2275" s="12" t="n"/>
      <c r="N2275" s="12" t="n"/>
      <c r="O2275" s="12" t="n"/>
    </row>
    <row r="2276">
      <c r="A2276" s="12" t="n"/>
      <c r="B2276" s="13">
        <f>IF($A2276="","",IFERROR(INDEX(Emp_Names,MATCH($A2276,Emp_Codes,0)),"NOT FOUND"))</f>
        <v/>
      </c>
      <c r="C2276" s="14" t="n"/>
      <c r="D2276" s="15" t="n"/>
      <c r="E2276" s="15" t="n"/>
      <c r="F2276" s="15" t="n"/>
      <c r="G2276" s="15" t="n"/>
      <c r="H2276" s="16">
        <f>IF($A2276="","",$D2276+IF($E2276="",0,$E2276)+IF($F2276="",0,$F2276)-IF($G2276="",0,$G2276))</f>
        <v/>
      </c>
      <c r="I2276" s="12" t="n"/>
      <c r="J2276" s="12" t="n"/>
      <c r="K2276" s="12" t="n"/>
      <c r="L2276" s="14" t="n"/>
      <c r="M2276" s="12" t="n"/>
      <c r="N2276" s="12" t="n"/>
      <c r="O2276" s="12" t="n"/>
    </row>
    <row r="2277">
      <c r="A2277" s="12" t="n"/>
      <c r="B2277" s="13">
        <f>IF($A2277="","",IFERROR(INDEX(Emp_Names,MATCH($A2277,Emp_Codes,0)),"NOT FOUND"))</f>
        <v/>
      </c>
      <c r="C2277" s="14" t="n"/>
      <c r="D2277" s="15" t="n"/>
      <c r="E2277" s="15" t="n"/>
      <c r="F2277" s="15" t="n"/>
      <c r="G2277" s="15" t="n"/>
      <c r="H2277" s="16">
        <f>IF($A2277="","",$D2277+IF($E2277="",0,$E2277)+IF($F2277="",0,$F2277)-IF($G2277="",0,$G2277))</f>
        <v/>
      </c>
      <c r="I2277" s="12" t="n"/>
      <c r="J2277" s="12" t="n"/>
      <c r="K2277" s="12" t="n"/>
      <c r="L2277" s="14" t="n"/>
      <c r="M2277" s="12" t="n"/>
      <c r="N2277" s="12" t="n"/>
      <c r="O2277" s="12" t="n"/>
    </row>
    <row r="2278">
      <c r="A2278" s="12" t="n"/>
      <c r="B2278" s="13">
        <f>IF($A2278="","",IFERROR(INDEX(Emp_Names,MATCH($A2278,Emp_Codes,0)),"NOT FOUND"))</f>
        <v/>
      </c>
      <c r="C2278" s="14" t="n"/>
      <c r="D2278" s="15" t="n"/>
      <c r="E2278" s="15" t="n"/>
      <c r="F2278" s="15" t="n"/>
      <c r="G2278" s="15" t="n"/>
      <c r="H2278" s="16">
        <f>IF($A2278="","",$D2278+IF($E2278="",0,$E2278)+IF($F2278="",0,$F2278)-IF($G2278="",0,$G2278))</f>
        <v/>
      </c>
      <c r="I2278" s="12" t="n"/>
      <c r="J2278" s="12" t="n"/>
      <c r="K2278" s="12" t="n"/>
      <c r="L2278" s="14" t="n"/>
      <c r="M2278" s="12" t="n"/>
      <c r="N2278" s="12" t="n"/>
      <c r="O2278" s="12" t="n"/>
    </row>
    <row r="2279">
      <c r="A2279" s="12" t="n"/>
      <c r="B2279" s="13">
        <f>IF($A2279="","",IFERROR(INDEX(Emp_Names,MATCH($A2279,Emp_Codes,0)),"NOT FOUND"))</f>
        <v/>
      </c>
      <c r="C2279" s="14" t="n"/>
      <c r="D2279" s="15" t="n"/>
      <c r="E2279" s="15" t="n"/>
      <c r="F2279" s="15" t="n"/>
      <c r="G2279" s="15" t="n"/>
      <c r="H2279" s="16">
        <f>IF($A2279="","",$D2279+IF($E2279="",0,$E2279)+IF($F2279="",0,$F2279)-IF($G2279="",0,$G2279))</f>
        <v/>
      </c>
      <c r="I2279" s="12" t="n"/>
      <c r="J2279" s="12" t="n"/>
      <c r="K2279" s="12" t="n"/>
      <c r="L2279" s="14" t="n"/>
      <c r="M2279" s="12" t="n"/>
      <c r="N2279" s="12" t="n"/>
      <c r="O2279" s="12" t="n"/>
    </row>
    <row r="2280">
      <c r="A2280" s="12" t="n"/>
      <c r="B2280" s="13">
        <f>IF($A2280="","",IFERROR(INDEX(Emp_Names,MATCH($A2280,Emp_Codes,0)),"NOT FOUND"))</f>
        <v/>
      </c>
      <c r="C2280" s="14" t="n"/>
      <c r="D2280" s="15" t="n"/>
      <c r="E2280" s="15" t="n"/>
      <c r="F2280" s="15" t="n"/>
      <c r="G2280" s="15" t="n"/>
      <c r="H2280" s="16">
        <f>IF($A2280="","",$D2280+IF($E2280="",0,$E2280)+IF($F2280="",0,$F2280)-IF($G2280="",0,$G2280))</f>
        <v/>
      </c>
      <c r="I2280" s="12" t="n"/>
      <c r="J2280" s="12" t="n"/>
      <c r="K2280" s="12" t="n"/>
      <c r="L2280" s="14" t="n"/>
      <c r="M2280" s="12" t="n"/>
      <c r="N2280" s="12" t="n"/>
      <c r="O2280" s="12" t="n"/>
    </row>
    <row r="2281">
      <c r="A2281" s="12" t="n"/>
      <c r="B2281" s="13">
        <f>IF($A2281="","",IFERROR(INDEX(Emp_Names,MATCH($A2281,Emp_Codes,0)),"NOT FOUND"))</f>
        <v/>
      </c>
      <c r="C2281" s="14" t="n"/>
      <c r="D2281" s="15" t="n"/>
      <c r="E2281" s="15" t="n"/>
      <c r="F2281" s="15" t="n"/>
      <c r="G2281" s="15" t="n"/>
      <c r="H2281" s="16">
        <f>IF($A2281="","",$D2281+IF($E2281="",0,$E2281)+IF($F2281="",0,$F2281)-IF($G2281="",0,$G2281))</f>
        <v/>
      </c>
      <c r="I2281" s="12" t="n"/>
      <c r="J2281" s="12" t="n"/>
      <c r="K2281" s="12" t="n"/>
      <c r="L2281" s="14" t="n"/>
      <c r="M2281" s="12" t="n"/>
      <c r="N2281" s="12" t="n"/>
      <c r="O2281" s="12" t="n"/>
    </row>
    <row r="2282">
      <c r="A2282" s="12" t="n"/>
      <c r="B2282" s="13">
        <f>IF($A2282="","",IFERROR(INDEX(Emp_Names,MATCH($A2282,Emp_Codes,0)),"NOT FOUND"))</f>
        <v/>
      </c>
      <c r="C2282" s="14" t="n"/>
      <c r="D2282" s="15" t="n"/>
      <c r="E2282" s="15" t="n"/>
      <c r="F2282" s="15" t="n"/>
      <c r="G2282" s="15" t="n"/>
      <c r="H2282" s="16">
        <f>IF($A2282="","",$D2282+IF($E2282="",0,$E2282)+IF($F2282="",0,$F2282)-IF($G2282="",0,$G2282))</f>
        <v/>
      </c>
      <c r="I2282" s="12" t="n"/>
      <c r="J2282" s="12" t="n"/>
      <c r="K2282" s="12" t="n"/>
      <c r="L2282" s="14" t="n"/>
      <c r="M2282" s="12" t="n"/>
      <c r="N2282" s="12" t="n"/>
      <c r="O2282" s="12" t="n"/>
    </row>
    <row r="2283">
      <c r="A2283" s="12" t="n"/>
      <c r="B2283" s="13">
        <f>IF($A2283="","",IFERROR(INDEX(Emp_Names,MATCH($A2283,Emp_Codes,0)),"NOT FOUND"))</f>
        <v/>
      </c>
      <c r="C2283" s="14" t="n"/>
      <c r="D2283" s="15" t="n"/>
      <c r="E2283" s="15" t="n"/>
      <c r="F2283" s="15" t="n"/>
      <c r="G2283" s="15" t="n"/>
      <c r="H2283" s="16">
        <f>IF($A2283="","",$D2283+IF($E2283="",0,$E2283)+IF($F2283="",0,$F2283)-IF($G2283="",0,$G2283))</f>
        <v/>
      </c>
      <c r="I2283" s="12" t="n"/>
      <c r="J2283" s="12" t="n"/>
      <c r="K2283" s="12" t="n"/>
      <c r="L2283" s="14" t="n"/>
      <c r="M2283" s="12" t="n"/>
      <c r="N2283" s="12" t="n"/>
      <c r="O2283" s="12" t="n"/>
    </row>
    <row r="2284">
      <c r="A2284" s="12" t="n"/>
      <c r="B2284" s="13">
        <f>IF($A2284="","",IFERROR(INDEX(Emp_Names,MATCH($A2284,Emp_Codes,0)),"NOT FOUND"))</f>
        <v/>
      </c>
      <c r="C2284" s="14" t="n"/>
      <c r="D2284" s="15" t="n"/>
      <c r="E2284" s="15" t="n"/>
      <c r="F2284" s="15" t="n"/>
      <c r="G2284" s="15" t="n"/>
      <c r="H2284" s="16">
        <f>IF($A2284="","",$D2284+IF($E2284="",0,$E2284)+IF($F2284="",0,$F2284)-IF($G2284="",0,$G2284))</f>
        <v/>
      </c>
      <c r="I2284" s="12" t="n"/>
      <c r="J2284" s="12" t="n"/>
      <c r="K2284" s="12" t="n"/>
      <c r="L2284" s="14" t="n"/>
      <c r="M2284" s="12" t="n"/>
      <c r="N2284" s="12" t="n"/>
      <c r="O2284" s="12" t="n"/>
    </row>
    <row r="2285">
      <c r="A2285" s="12" t="n"/>
      <c r="B2285" s="13">
        <f>IF($A2285="","",IFERROR(INDEX(Emp_Names,MATCH($A2285,Emp_Codes,0)),"NOT FOUND"))</f>
        <v/>
      </c>
      <c r="C2285" s="14" t="n"/>
      <c r="D2285" s="15" t="n"/>
      <c r="E2285" s="15" t="n"/>
      <c r="F2285" s="15" t="n"/>
      <c r="G2285" s="15" t="n"/>
      <c r="H2285" s="16">
        <f>IF($A2285="","",$D2285+IF($E2285="",0,$E2285)+IF($F2285="",0,$F2285)-IF($G2285="",0,$G2285))</f>
        <v/>
      </c>
      <c r="I2285" s="12" t="n"/>
      <c r="J2285" s="12" t="n"/>
      <c r="K2285" s="12" t="n"/>
      <c r="L2285" s="14" t="n"/>
      <c r="M2285" s="12" t="n"/>
      <c r="N2285" s="12" t="n"/>
      <c r="O2285" s="12" t="n"/>
    </row>
    <row r="2286">
      <c r="A2286" s="12" t="n"/>
      <c r="B2286" s="13">
        <f>IF($A2286="","",IFERROR(INDEX(Emp_Names,MATCH($A2286,Emp_Codes,0)),"NOT FOUND"))</f>
        <v/>
      </c>
      <c r="C2286" s="14" t="n"/>
      <c r="D2286" s="15" t="n"/>
      <c r="E2286" s="15" t="n"/>
      <c r="F2286" s="15" t="n"/>
      <c r="G2286" s="15" t="n"/>
      <c r="H2286" s="16">
        <f>IF($A2286="","",$D2286+IF($E2286="",0,$E2286)+IF($F2286="",0,$F2286)-IF($G2286="",0,$G2286))</f>
        <v/>
      </c>
      <c r="I2286" s="12" t="n"/>
      <c r="J2286" s="12" t="n"/>
      <c r="K2286" s="12" t="n"/>
      <c r="L2286" s="14" t="n"/>
      <c r="M2286" s="12" t="n"/>
      <c r="N2286" s="12" t="n"/>
      <c r="O2286" s="12" t="n"/>
    </row>
    <row r="2287">
      <c r="A2287" s="12" t="n"/>
      <c r="B2287" s="13">
        <f>IF($A2287="","",IFERROR(INDEX(Emp_Names,MATCH($A2287,Emp_Codes,0)),"NOT FOUND"))</f>
        <v/>
      </c>
      <c r="C2287" s="14" t="n"/>
      <c r="D2287" s="15" t="n"/>
      <c r="E2287" s="15" t="n"/>
      <c r="F2287" s="15" t="n"/>
      <c r="G2287" s="15" t="n"/>
      <c r="H2287" s="16">
        <f>IF($A2287="","",$D2287+IF($E2287="",0,$E2287)+IF($F2287="",0,$F2287)-IF($G2287="",0,$G2287))</f>
        <v/>
      </c>
      <c r="I2287" s="12" t="n"/>
      <c r="J2287" s="12" t="n"/>
      <c r="K2287" s="12" t="n"/>
      <c r="L2287" s="14" t="n"/>
      <c r="M2287" s="12" t="n"/>
      <c r="N2287" s="12" t="n"/>
      <c r="O2287" s="12" t="n"/>
    </row>
    <row r="2288">
      <c r="A2288" s="12" t="n"/>
      <c r="B2288" s="13">
        <f>IF($A2288="","",IFERROR(INDEX(Emp_Names,MATCH($A2288,Emp_Codes,0)),"NOT FOUND"))</f>
        <v/>
      </c>
      <c r="C2288" s="14" t="n"/>
      <c r="D2288" s="15" t="n"/>
      <c r="E2288" s="15" t="n"/>
      <c r="F2288" s="15" t="n"/>
      <c r="G2288" s="15" t="n"/>
      <c r="H2288" s="16">
        <f>IF($A2288="","",$D2288+IF($E2288="",0,$E2288)+IF($F2288="",0,$F2288)-IF($G2288="",0,$G2288))</f>
        <v/>
      </c>
      <c r="I2288" s="12" t="n"/>
      <c r="J2288" s="12" t="n"/>
      <c r="K2288" s="12" t="n"/>
      <c r="L2288" s="14" t="n"/>
      <c r="M2288" s="12" t="n"/>
      <c r="N2288" s="12" t="n"/>
      <c r="O2288" s="12" t="n"/>
    </row>
    <row r="2289">
      <c r="A2289" s="12" t="n"/>
      <c r="B2289" s="13">
        <f>IF($A2289="","",IFERROR(INDEX(Emp_Names,MATCH($A2289,Emp_Codes,0)),"NOT FOUND"))</f>
        <v/>
      </c>
      <c r="C2289" s="14" t="n"/>
      <c r="D2289" s="15" t="n"/>
      <c r="E2289" s="15" t="n"/>
      <c r="F2289" s="15" t="n"/>
      <c r="G2289" s="15" t="n"/>
      <c r="H2289" s="16">
        <f>IF($A2289="","",$D2289+IF($E2289="",0,$E2289)+IF($F2289="",0,$F2289)-IF($G2289="",0,$G2289))</f>
        <v/>
      </c>
      <c r="I2289" s="12" t="n"/>
      <c r="J2289" s="12" t="n"/>
      <c r="K2289" s="12" t="n"/>
      <c r="L2289" s="14" t="n"/>
      <c r="M2289" s="12" t="n"/>
      <c r="N2289" s="12" t="n"/>
      <c r="O2289" s="12" t="n"/>
    </row>
    <row r="2290">
      <c r="A2290" s="12" t="n"/>
      <c r="B2290" s="13">
        <f>IF($A2290="","",IFERROR(INDEX(Emp_Names,MATCH($A2290,Emp_Codes,0)),"NOT FOUND"))</f>
        <v/>
      </c>
      <c r="C2290" s="14" t="n"/>
      <c r="D2290" s="15" t="n"/>
      <c r="E2290" s="15" t="n"/>
      <c r="F2290" s="15" t="n"/>
      <c r="G2290" s="15" t="n"/>
      <c r="H2290" s="16">
        <f>IF($A2290="","",$D2290+IF($E2290="",0,$E2290)+IF($F2290="",0,$F2290)-IF($G2290="",0,$G2290))</f>
        <v/>
      </c>
      <c r="I2290" s="12" t="n"/>
      <c r="J2290" s="12" t="n"/>
      <c r="K2290" s="12" t="n"/>
      <c r="L2290" s="14" t="n"/>
      <c r="M2290" s="12" t="n"/>
      <c r="N2290" s="12" t="n"/>
      <c r="O2290" s="12" t="n"/>
    </row>
    <row r="2291">
      <c r="A2291" s="12" t="n"/>
      <c r="B2291" s="13">
        <f>IF($A2291="","",IFERROR(INDEX(Emp_Names,MATCH($A2291,Emp_Codes,0)),"NOT FOUND"))</f>
        <v/>
      </c>
      <c r="C2291" s="14" t="n"/>
      <c r="D2291" s="15" t="n"/>
      <c r="E2291" s="15" t="n"/>
      <c r="F2291" s="15" t="n"/>
      <c r="G2291" s="15" t="n"/>
      <c r="H2291" s="16">
        <f>IF($A2291="","",$D2291+IF($E2291="",0,$E2291)+IF($F2291="",0,$F2291)-IF($G2291="",0,$G2291))</f>
        <v/>
      </c>
      <c r="I2291" s="12" t="n"/>
      <c r="J2291" s="12" t="n"/>
      <c r="K2291" s="12" t="n"/>
      <c r="L2291" s="14" t="n"/>
      <c r="M2291" s="12" t="n"/>
      <c r="N2291" s="12" t="n"/>
      <c r="O2291" s="12" t="n"/>
    </row>
    <row r="2292">
      <c r="A2292" s="12" t="n"/>
      <c r="B2292" s="13">
        <f>IF($A2292="","",IFERROR(INDEX(Emp_Names,MATCH($A2292,Emp_Codes,0)),"NOT FOUND"))</f>
        <v/>
      </c>
      <c r="C2292" s="14" t="n"/>
      <c r="D2292" s="15" t="n"/>
      <c r="E2292" s="15" t="n"/>
      <c r="F2292" s="15" t="n"/>
      <c r="G2292" s="15" t="n"/>
      <c r="H2292" s="16">
        <f>IF($A2292="","",$D2292+IF($E2292="",0,$E2292)+IF($F2292="",0,$F2292)-IF($G2292="",0,$G2292))</f>
        <v/>
      </c>
      <c r="I2292" s="12" t="n"/>
      <c r="J2292" s="12" t="n"/>
      <c r="K2292" s="12" t="n"/>
      <c r="L2292" s="14" t="n"/>
      <c r="M2292" s="12" t="n"/>
      <c r="N2292" s="12" t="n"/>
      <c r="O2292" s="12" t="n"/>
    </row>
    <row r="2293">
      <c r="A2293" s="12" t="n"/>
      <c r="B2293" s="13">
        <f>IF($A2293="","",IFERROR(INDEX(Emp_Names,MATCH($A2293,Emp_Codes,0)),"NOT FOUND"))</f>
        <v/>
      </c>
      <c r="C2293" s="14" t="n"/>
      <c r="D2293" s="15" t="n"/>
      <c r="E2293" s="15" t="n"/>
      <c r="F2293" s="15" t="n"/>
      <c r="G2293" s="15" t="n"/>
      <c r="H2293" s="16">
        <f>IF($A2293="","",$D2293+IF($E2293="",0,$E2293)+IF($F2293="",0,$F2293)-IF($G2293="",0,$G2293))</f>
        <v/>
      </c>
      <c r="I2293" s="12" t="n"/>
      <c r="J2293" s="12" t="n"/>
      <c r="K2293" s="12" t="n"/>
      <c r="L2293" s="14" t="n"/>
      <c r="M2293" s="12" t="n"/>
      <c r="N2293" s="12" t="n"/>
      <c r="O2293" s="12" t="n"/>
    </row>
    <row r="2294">
      <c r="A2294" s="12" t="n"/>
      <c r="B2294" s="13">
        <f>IF($A2294="","",IFERROR(INDEX(Emp_Names,MATCH($A2294,Emp_Codes,0)),"NOT FOUND"))</f>
        <v/>
      </c>
      <c r="C2294" s="14" t="n"/>
      <c r="D2294" s="15" t="n"/>
      <c r="E2294" s="15" t="n"/>
      <c r="F2294" s="15" t="n"/>
      <c r="G2294" s="15" t="n"/>
      <c r="H2294" s="16">
        <f>IF($A2294="","",$D2294+IF($E2294="",0,$E2294)+IF($F2294="",0,$F2294)-IF($G2294="",0,$G2294))</f>
        <v/>
      </c>
      <c r="I2294" s="12" t="n"/>
      <c r="J2294" s="12" t="n"/>
      <c r="K2294" s="12" t="n"/>
      <c r="L2294" s="14" t="n"/>
      <c r="M2294" s="12" t="n"/>
      <c r="N2294" s="12" t="n"/>
      <c r="O2294" s="12" t="n"/>
    </row>
    <row r="2295">
      <c r="A2295" s="12" t="n"/>
      <c r="B2295" s="13">
        <f>IF($A2295="","",IFERROR(INDEX(Emp_Names,MATCH($A2295,Emp_Codes,0)),"NOT FOUND"))</f>
        <v/>
      </c>
      <c r="C2295" s="14" t="n"/>
      <c r="D2295" s="15" t="n"/>
      <c r="E2295" s="15" t="n"/>
      <c r="F2295" s="15" t="n"/>
      <c r="G2295" s="15" t="n"/>
      <c r="H2295" s="16">
        <f>IF($A2295="","",$D2295+IF($E2295="",0,$E2295)+IF($F2295="",0,$F2295)-IF($G2295="",0,$G2295))</f>
        <v/>
      </c>
      <c r="I2295" s="12" t="n"/>
      <c r="J2295" s="12" t="n"/>
      <c r="K2295" s="12" t="n"/>
      <c r="L2295" s="14" t="n"/>
      <c r="M2295" s="12" t="n"/>
      <c r="N2295" s="12" t="n"/>
      <c r="O2295" s="12" t="n"/>
    </row>
    <row r="2296">
      <c r="A2296" s="12" t="n"/>
      <c r="B2296" s="13">
        <f>IF($A2296="","",IFERROR(INDEX(Emp_Names,MATCH($A2296,Emp_Codes,0)),"NOT FOUND"))</f>
        <v/>
      </c>
      <c r="C2296" s="14" t="n"/>
      <c r="D2296" s="15" t="n"/>
      <c r="E2296" s="15" t="n"/>
      <c r="F2296" s="15" t="n"/>
      <c r="G2296" s="15" t="n"/>
      <c r="H2296" s="16">
        <f>IF($A2296="","",$D2296+IF($E2296="",0,$E2296)+IF($F2296="",0,$F2296)-IF($G2296="",0,$G2296))</f>
        <v/>
      </c>
      <c r="I2296" s="12" t="n"/>
      <c r="J2296" s="12" t="n"/>
      <c r="K2296" s="12" t="n"/>
      <c r="L2296" s="14" t="n"/>
      <c r="M2296" s="12" t="n"/>
      <c r="N2296" s="12" t="n"/>
      <c r="O2296" s="12" t="n"/>
    </row>
    <row r="2297">
      <c r="A2297" s="12" t="n"/>
      <c r="B2297" s="13">
        <f>IF($A2297="","",IFERROR(INDEX(Emp_Names,MATCH($A2297,Emp_Codes,0)),"NOT FOUND"))</f>
        <v/>
      </c>
      <c r="C2297" s="14" t="n"/>
      <c r="D2297" s="15" t="n"/>
      <c r="E2297" s="15" t="n"/>
      <c r="F2297" s="15" t="n"/>
      <c r="G2297" s="15" t="n"/>
      <c r="H2297" s="16">
        <f>IF($A2297="","",$D2297+IF($E2297="",0,$E2297)+IF($F2297="",0,$F2297)-IF($G2297="",0,$G2297))</f>
        <v/>
      </c>
      <c r="I2297" s="12" t="n"/>
      <c r="J2297" s="12" t="n"/>
      <c r="K2297" s="12" t="n"/>
      <c r="L2297" s="14" t="n"/>
      <c r="M2297" s="12" t="n"/>
      <c r="N2297" s="12" t="n"/>
      <c r="O2297" s="12" t="n"/>
    </row>
    <row r="2298">
      <c r="A2298" s="12" t="n"/>
      <c r="B2298" s="13">
        <f>IF($A2298="","",IFERROR(INDEX(Emp_Names,MATCH($A2298,Emp_Codes,0)),"NOT FOUND"))</f>
        <v/>
      </c>
      <c r="C2298" s="14" t="n"/>
      <c r="D2298" s="15" t="n"/>
      <c r="E2298" s="15" t="n"/>
      <c r="F2298" s="15" t="n"/>
      <c r="G2298" s="15" t="n"/>
      <c r="H2298" s="16">
        <f>IF($A2298="","",$D2298+IF($E2298="",0,$E2298)+IF($F2298="",0,$F2298)-IF($G2298="",0,$G2298))</f>
        <v/>
      </c>
      <c r="I2298" s="12" t="n"/>
      <c r="J2298" s="12" t="n"/>
      <c r="K2298" s="12" t="n"/>
      <c r="L2298" s="14" t="n"/>
      <c r="M2298" s="12" t="n"/>
      <c r="N2298" s="12" t="n"/>
      <c r="O2298" s="12" t="n"/>
    </row>
    <row r="2299">
      <c r="A2299" s="12" t="n"/>
      <c r="B2299" s="13">
        <f>IF($A2299="","",IFERROR(INDEX(Emp_Names,MATCH($A2299,Emp_Codes,0)),"NOT FOUND"))</f>
        <v/>
      </c>
      <c r="C2299" s="14" t="n"/>
      <c r="D2299" s="15" t="n"/>
      <c r="E2299" s="15" t="n"/>
      <c r="F2299" s="15" t="n"/>
      <c r="G2299" s="15" t="n"/>
      <c r="H2299" s="16">
        <f>IF($A2299="","",$D2299+IF($E2299="",0,$E2299)+IF($F2299="",0,$F2299)-IF($G2299="",0,$G2299))</f>
        <v/>
      </c>
      <c r="I2299" s="12" t="n"/>
      <c r="J2299" s="12" t="n"/>
      <c r="K2299" s="12" t="n"/>
      <c r="L2299" s="14" t="n"/>
      <c r="M2299" s="12" t="n"/>
      <c r="N2299" s="12" t="n"/>
      <c r="O2299" s="12" t="n"/>
    </row>
    <row r="2300">
      <c r="A2300" s="12" t="n"/>
      <c r="B2300" s="13">
        <f>IF($A2300="","",IFERROR(INDEX(Emp_Names,MATCH($A2300,Emp_Codes,0)),"NOT FOUND"))</f>
        <v/>
      </c>
      <c r="C2300" s="14" t="n"/>
      <c r="D2300" s="15" t="n"/>
      <c r="E2300" s="15" t="n"/>
      <c r="F2300" s="15" t="n"/>
      <c r="G2300" s="15" t="n"/>
      <c r="H2300" s="16">
        <f>IF($A2300="","",$D2300+IF($E2300="",0,$E2300)+IF($F2300="",0,$F2300)-IF($G2300="",0,$G2300))</f>
        <v/>
      </c>
      <c r="I2300" s="12" t="n"/>
      <c r="J2300" s="12" t="n"/>
      <c r="K2300" s="12" t="n"/>
      <c r="L2300" s="14" t="n"/>
      <c r="M2300" s="12" t="n"/>
      <c r="N2300" s="12" t="n"/>
      <c r="O2300" s="12" t="n"/>
    </row>
    <row r="2301">
      <c r="A2301" s="12" t="n"/>
      <c r="B2301" s="13">
        <f>IF($A2301="","",IFERROR(INDEX(Emp_Names,MATCH($A2301,Emp_Codes,0)),"NOT FOUND"))</f>
        <v/>
      </c>
      <c r="C2301" s="14" t="n"/>
      <c r="D2301" s="15" t="n"/>
      <c r="E2301" s="15" t="n"/>
      <c r="F2301" s="15" t="n"/>
      <c r="G2301" s="15" t="n"/>
      <c r="H2301" s="16">
        <f>IF($A2301="","",$D2301+IF($E2301="",0,$E2301)+IF($F2301="",0,$F2301)-IF($G2301="",0,$G2301))</f>
        <v/>
      </c>
      <c r="I2301" s="12" t="n"/>
      <c r="J2301" s="12" t="n"/>
      <c r="K2301" s="12" t="n"/>
      <c r="L2301" s="14" t="n"/>
      <c r="M2301" s="12" t="n"/>
      <c r="N2301" s="12" t="n"/>
      <c r="O2301" s="12" t="n"/>
    </row>
    <row r="2302">
      <c r="A2302" s="12" t="n"/>
      <c r="B2302" s="13">
        <f>IF($A2302="","",IFERROR(INDEX(Emp_Names,MATCH($A2302,Emp_Codes,0)),"NOT FOUND"))</f>
        <v/>
      </c>
      <c r="C2302" s="14" t="n"/>
      <c r="D2302" s="15" t="n"/>
      <c r="E2302" s="15" t="n"/>
      <c r="F2302" s="15" t="n"/>
      <c r="G2302" s="15" t="n"/>
      <c r="H2302" s="16">
        <f>IF($A2302="","",$D2302+IF($E2302="",0,$E2302)+IF($F2302="",0,$F2302)-IF($G2302="",0,$G2302))</f>
        <v/>
      </c>
      <c r="I2302" s="12" t="n"/>
      <c r="J2302" s="12" t="n"/>
      <c r="K2302" s="12" t="n"/>
      <c r="L2302" s="14" t="n"/>
      <c r="M2302" s="12" t="n"/>
      <c r="N2302" s="12" t="n"/>
      <c r="O2302" s="12" t="n"/>
    </row>
    <row r="2303">
      <c r="A2303" s="12" t="n"/>
      <c r="B2303" s="13">
        <f>IF($A2303="","",IFERROR(INDEX(Emp_Names,MATCH($A2303,Emp_Codes,0)),"NOT FOUND"))</f>
        <v/>
      </c>
      <c r="C2303" s="14" t="n"/>
      <c r="D2303" s="15" t="n"/>
      <c r="E2303" s="15" t="n"/>
      <c r="F2303" s="15" t="n"/>
      <c r="G2303" s="15" t="n"/>
      <c r="H2303" s="16">
        <f>IF($A2303="","",$D2303+IF($E2303="",0,$E2303)+IF($F2303="",0,$F2303)-IF($G2303="",0,$G2303))</f>
        <v/>
      </c>
      <c r="I2303" s="12" t="n"/>
      <c r="J2303" s="12" t="n"/>
      <c r="K2303" s="12" t="n"/>
      <c r="L2303" s="14" t="n"/>
      <c r="M2303" s="12" t="n"/>
      <c r="N2303" s="12" t="n"/>
      <c r="O2303" s="12" t="n"/>
    </row>
    <row r="2304">
      <c r="A2304" s="12" t="n"/>
      <c r="B2304" s="13">
        <f>IF($A2304="","",IFERROR(INDEX(Emp_Names,MATCH($A2304,Emp_Codes,0)),"NOT FOUND"))</f>
        <v/>
      </c>
      <c r="C2304" s="14" t="n"/>
      <c r="D2304" s="15" t="n"/>
      <c r="E2304" s="15" t="n"/>
      <c r="F2304" s="15" t="n"/>
      <c r="G2304" s="15" t="n"/>
      <c r="H2304" s="16">
        <f>IF($A2304="","",$D2304+IF($E2304="",0,$E2304)+IF($F2304="",0,$F2304)-IF($G2304="",0,$G2304))</f>
        <v/>
      </c>
      <c r="I2304" s="12" t="n"/>
      <c r="J2304" s="12" t="n"/>
      <c r="K2304" s="12" t="n"/>
      <c r="L2304" s="14" t="n"/>
      <c r="M2304" s="12" t="n"/>
      <c r="N2304" s="12" t="n"/>
      <c r="O2304" s="12" t="n"/>
    </row>
    <row r="2305">
      <c r="A2305" s="12" t="n"/>
      <c r="B2305" s="13">
        <f>IF($A2305="","",IFERROR(INDEX(Emp_Names,MATCH($A2305,Emp_Codes,0)),"NOT FOUND"))</f>
        <v/>
      </c>
      <c r="C2305" s="14" t="n"/>
      <c r="D2305" s="15" t="n"/>
      <c r="E2305" s="15" t="n"/>
      <c r="F2305" s="15" t="n"/>
      <c r="G2305" s="15" t="n"/>
      <c r="H2305" s="16">
        <f>IF($A2305="","",$D2305+IF($E2305="",0,$E2305)+IF($F2305="",0,$F2305)-IF($G2305="",0,$G2305))</f>
        <v/>
      </c>
      <c r="I2305" s="12" t="n"/>
      <c r="J2305" s="12" t="n"/>
      <c r="K2305" s="12" t="n"/>
      <c r="L2305" s="14" t="n"/>
      <c r="M2305" s="12" t="n"/>
      <c r="N2305" s="12" t="n"/>
      <c r="O2305" s="12" t="n"/>
    </row>
    <row r="2306">
      <c r="A2306" s="12" t="n"/>
      <c r="B2306" s="13">
        <f>IF($A2306="","",IFERROR(INDEX(Emp_Names,MATCH($A2306,Emp_Codes,0)),"NOT FOUND"))</f>
        <v/>
      </c>
      <c r="C2306" s="14" t="n"/>
      <c r="D2306" s="15" t="n"/>
      <c r="E2306" s="15" t="n"/>
      <c r="F2306" s="15" t="n"/>
      <c r="G2306" s="15" t="n"/>
      <c r="H2306" s="16">
        <f>IF($A2306="","",$D2306+IF($E2306="",0,$E2306)+IF($F2306="",0,$F2306)-IF($G2306="",0,$G2306))</f>
        <v/>
      </c>
      <c r="I2306" s="12" t="n"/>
      <c r="J2306" s="12" t="n"/>
      <c r="K2306" s="12" t="n"/>
      <c r="L2306" s="14" t="n"/>
      <c r="M2306" s="12" t="n"/>
      <c r="N2306" s="12" t="n"/>
      <c r="O2306" s="12" t="n"/>
    </row>
    <row r="2307">
      <c r="A2307" s="12" t="n"/>
      <c r="B2307" s="13">
        <f>IF($A2307="","",IFERROR(INDEX(Emp_Names,MATCH($A2307,Emp_Codes,0)),"NOT FOUND"))</f>
        <v/>
      </c>
      <c r="C2307" s="14" t="n"/>
      <c r="D2307" s="15" t="n"/>
      <c r="E2307" s="15" t="n"/>
      <c r="F2307" s="15" t="n"/>
      <c r="G2307" s="15" t="n"/>
      <c r="H2307" s="16">
        <f>IF($A2307="","",$D2307+IF($E2307="",0,$E2307)+IF($F2307="",0,$F2307)-IF($G2307="",0,$G2307))</f>
        <v/>
      </c>
      <c r="I2307" s="12" t="n"/>
      <c r="J2307" s="12" t="n"/>
      <c r="K2307" s="12" t="n"/>
      <c r="L2307" s="14" t="n"/>
      <c r="M2307" s="12" t="n"/>
      <c r="N2307" s="12" t="n"/>
      <c r="O2307" s="12" t="n"/>
    </row>
    <row r="2308">
      <c r="A2308" s="12" t="n"/>
      <c r="B2308" s="13">
        <f>IF($A2308="","",IFERROR(INDEX(Emp_Names,MATCH($A2308,Emp_Codes,0)),"NOT FOUND"))</f>
        <v/>
      </c>
      <c r="C2308" s="14" t="n"/>
      <c r="D2308" s="15" t="n"/>
      <c r="E2308" s="15" t="n"/>
      <c r="F2308" s="15" t="n"/>
      <c r="G2308" s="15" t="n"/>
      <c r="H2308" s="16">
        <f>IF($A2308="","",$D2308+IF($E2308="",0,$E2308)+IF($F2308="",0,$F2308)-IF($G2308="",0,$G2308))</f>
        <v/>
      </c>
      <c r="I2308" s="12" t="n"/>
      <c r="J2308" s="12" t="n"/>
      <c r="K2308" s="12" t="n"/>
      <c r="L2308" s="14" t="n"/>
      <c r="M2308" s="12" t="n"/>
      <c r="N2308" s="12" t="n"/>
      <c r="O2308" s="12" t="n"/>
    </row>
    <row r="2309">
      <c r="A2309" s="12" t="n"/>
      <c r="B2309" s="13">
        <f>IF($A2309="","",IFERROR(INDEX(Emp_Names,MATCH($A2309,Emp_Codes,0)),"NOT FOUND"))</f>
        <v/>
      </c>
      <c r="C2309" s="14" t="n"/>
      <c r="D2309" s="15" t="n"/>
      <c r="E2309" s="15" t="n"/>
      <c r="F2309" s="15" t="n"/>
      <c r="G2309" s="15" t="n"/>
      <c r="H2309" s="16">
        <f>IF($A2309="","",$D2309+IF($E2309="",0,$E2309)+IF($F2309="",0,$F2309)-IF($G2309="",0,$G2309))</f>
        <v/>
      </c>
      <c r="I2309" s="12" t="n"/>
      <c r="J2309" s="12" t="n"/>
      <c r="K2309" s="12" t="n"/>
      <c r="L2309" s="14" t="n"/>
      <c r="M2309" s="12" t="n"/>
      <c r="N2309" s="12" t="n"/>
      <c r="O2309" s="12" t="n"/>
    </row>
    <row r="2310">
      <c r="A2310" s="12" t="n"/>
      <c r="B2310" s="13">
        <f>IF($A2310="","",IFERROR(INDEX(Emp_Names,MATCH($A2310,Emp_Codes,0)),"NOT FOUND"))</f>
        <v/>
      </c>
      <c r="C2310" s="14" t="n"/>
      <c r="D2310" s="15" t="n"/>
      <c r="E2310" s="15" t="n"/>
      <c r="F2310" s="15" t="n"/>
      <c r="G2310" s="15" t="n"/>
      <c r="H2310" s="16">
        <f>IF($A2310="","",$D2310+IF($E2310="",0,$E2310)+IF($F2310="",0,$F2310)-IF($G2310="",0,$G2310))</f>
        <v/>
      </c>
      <c r="I2310" s="12" t="n"/>
      <c r="J2310" s="12" t="n"/>
      <c r="K2310" s="12" t="n"/>
      <c r="L2310" s="14" t="n"/>
      <c r="M2310" s="12" t="n"/>
      <c r="N2310" s="12" t="n"/>
      <c r="O2310" s="12" t="n"/>
    </row>
    <row r="2311">
      <c r="A2311" s="12" t="n"/>
      <c r="B2311" s="13">
        <f>IF($A2311="","",IFERROR(INDEX(Emp_Names,MATCH($A2311,Emp_Codes,0)),"NOT FOUND"))</f>
        <v/>
      </c>
      <c r="C2311" s="14" t="n"/>
      <c r="D2311" s="15" t="n"/>
      <c r="E2311" s="15" t="n"/>
      <c r="F2311" s="15" t="n"/>
      <c r="G2311" s="15" t="n"/>
      <c r="H2311" s="16">
        <f>IF($A2311="","",$D2311+IF($E2311="",0,$E2311)+IF($F2311="",0,$F2311)-IF($G2311="",0,$G2311))</f>
        <v/>
      </c>
      <c r="I2311" s="12" t="n"/>
      <c r="J2311" s="12" t="n"/>
      <c r="K2311" s="12" t="n"/>
      <c r="L2311" s="14" t="n"/>
      <c r="M2311" s="12" t="n"/>
      <c r="N2311" s="12" t="n"/>
      <c r="O2311" s="12" t="n"/>
    </row>
    <row r="2312">
      <c r="A2312" s="12" t="n"/>
      <c r="B2312" s="13">
        <f>IF($A2312="","",IFERROR(INDEX(Emp_Names,MATCH($A2312,Emp_Codes,0)),"NOT FOUND"))</f>
        <v/>
      </c>
      <c r="C2312" s="14" t="n"/>
      <c r="D2312" s="15" t="n"/>
      <c r="E2312" s="15" t="n"/>
      <c r="F2312" s="15" t="n"/>
      <c r="G2312" s="15" t="n"/>
      <c r="H2312" s="16">
        <f>IF($A2312="","",$D2312+IF($E2312="",0,$E2312)+IF($F2312="",0,$F2312)-IF($G2312="",0,$G2312))</f>
        <v/>
      </c>
      <c r="I2312" s="12" t="n"/>
      <c r="J2312" s="12" t="n"/>
      <c r="K2312" s="12" t="n"/>
      <c r="L2312" s="14" t="n"/>
      <c r="M2312" s="12" t="n"/>
      <c r="N2312" s="12" t="n"/>
      <c r="O2312" s="12" t="n"/>
    </row>
    <row r="2313">
      <c r="A2313" s="12" t="n"/>
      <c r="B2313" s="13">
        <f>IF($A2313="","",IFERROR(INDEX(Emp_Names,MATCH($A2313,Emp_Codes,0)),"NOT FOUND"))</f>
        <v/>
      </c>
      <c r="C2313" s="14" t="n"/>
      <c r="D2313" s="15" t="n"/>
      <c r="E2313" s="15" t="n"/>
      <c r="F2313" s="15" t="n"/>
      <c r="G2313" s="15" t="n"/>
      <c r="H2313" s="16">
        <f>IF($A2313="","",$D2313+IF($E2313="",0,$E2313)+IF($F2313="",0,$F2313)-IF($G2313="",0,$G2313))</f>
        <v/>
      </c>
      <c r="I2313" s="12" t="n"/>
      <c r="J2313" s="12" t="n"/>
      <c r="K2313" s="12" t="n"/>
      <c r="L2313" s="14" t="n"/>
      <c r="M2313" s="12" t="n"/>
      <c r="N2313" s="12" t="n"/>
      <c r="O2313" s="12" t="n"/>
    </row>
    <row r="2314">
      <c r="A2314" s="12" t="n"/>
      <c r="B2314" s="13">
        <f>IF($A2314="","",IFERROR(INDEX(Emp_Names,MATCH($A2314,Emp_Codes,0)),"NOT FOUND"))</f>
        <v/>
      </c>
      <c r="C2314" s="14" t="n"/>
      <c r="D2314" s="15" t="n"/>
      <c r="E2314" s="15" t="n"/>
      <c r="F2314" s="15" t="n"/>
      <c r="G2314" s="15" t="n"/>
      <c r="H2314" s="16">
        <f>IF($A2314="","",$D2314+IF($E2314="",0,$E2314)+IF($F2314="",0,$F2314)-IF($G2314="",0,$G2314))</f>
        <v/>
      </c>
      <c r="I2314" s="12" t="n"/>
      <c r="J2314" s="12" t="n"/>
      <c r="K2314" s="12" t="n"/>
      <c r="L2314" s="14" t="n"/>
      <c r="M2314" s="12" t="n"/>
      <c r="N2314" s="12" t="n"/>
      <c r="O2314" s="12" t="n"/>
    </row>
    <row r="2315">
      <c r="A2315" s="12" t="n"/>
      <c r="B2315" s="13">
        <f>IF($A2315="","",IFERROR(INDEX(Emp_Names,MATCH($A2315,Emp_Codes,0)),"NOT FOUND"))</f>
        <v/>
      </c>
      <c r="C2315" s="14" t="n"/>
      <c r="D2315" s="15" t="n"/>
      <c r="E2315" s="15" t="n"/>
      <c r="F2315" s="15" t="n"/>
      <c r="G2315" s="15" t="n"/>
      <c r="H2315" s="16">
        <f>IF($A2315="","",$D2315+IF($E2315="",0,$E2315)+IF($F2315="",0,$F2315)-IF($G2315="",0,$G2315))</f>
        <v/>
      </c>
      <c r="I2315" s="12" t="n"/>
      <c r="J2315" s="12" t="n"/>
      <c r="K2315" s="12" t="n"/>
      <c r="L2315" s="14" t="n"/>
      <c r="M2315" s="12" t="n"/>
      <c r="N2315" s="12" t="n"/>
      <c r="O2315" s="12" t="n"/>
    </row>
    <row r="2316">
      <c r="A2316" s="12" t="n"/>
      <c r="B2316" s="13">
        <f>IF($A2316="","",IFERROR(INDEX(Emp_Names,MATCH($A2316,Emp_Codes,0)),"NOT FOUND"))</f>
        <v/>
      </c>
      <c r="C2316" s="14" t="n"/>
      <c r="D2316" s="15" t="n"/>
      <c r="E2316" s="15" t="n"/>
      <c r="F2316" s="15" t="n"/>
      <c r="G2316" s="15" t="n"/>
      <c r="H2316" s="16">
        <f>IF($A2316="","",$D2316+IF($E2316="",0,$E2316)+IF($F2316="",0,$F2316)-IF($G2316="",0,$G2316))</f>
        <v/>
      </c>
      <c r="I2316" s="12" t="n"/>
      <c r="J2316" s="12" t="n"/>
      <c r="K2316" s="12" t="n"/>
      <c r="L2316" s="14" t="n"/>
      <c r="M2316" s="12" t="n"/>
      <c r="N2316" s="12" t="n"/>
      <c r="O2316" s="12" t="n"/>
    </row>
    <row r="2317">
      <c r="A2317" s="12" t="n"/>
      <c r="B2317" s="13">
        <f>IF($A2317="","",IFERROR(INDEX(Emp_Names,MATCH($A2317,Emp_Codes,0)),"NOT FOUND"))</f>
        <v/>
      </c>
      <c r="C2317" s="14" t="n"/>
      <c r="D2317" s="15" t="n"/>
      <c r="E2317" s="15" t="n"/>
      <c r="F2317" s="15" t="n"/>
      <c r="G2317" s="15" t="n"/>
      <c r="H2317" s="16">
        <f>IF($A2317="","",$D2317+IF($E2317="",0,$E2317)+IF($F2317="",0,$F2317)-IF($G2317="",0,$G2317))</f>
        <v/>
      </c>
      <c r="I2317" s="12" t="n"/>
      <c r="J2317" s="12" t="n"/>
      <c r="K2317" s="12" t="n"/>
      <c r="L2317" s="14" t="n"/>
      <c r="M2317" s="12" t="n"/>
      <c r="N2317" s="12" t="n"/>
      <c r="O2317" s="12" t="n"/>
    </row>
    <row r="2318">
      <c r="A2318" s="12" t="n"/>
      <c r="B2318" s="13">
        <f>IF($A2318="","",IFERROR(INDEX(Emp_Names,MATCH($A2318,Emp_Codes,0)),"NOT FOUND"))</f>
        <v/>
      </c>
      <c r="C2318" s="14" t="n"/>
      <c r="D2318" s="15" t="n"/>
      <c r="E2318" s="15" t="n"/>
      <c r="F2318" s="15" t="n"/>
      <c r="G2318" s="15" t="n"/>
      <c r="H2318" s="16">
        <f>IF($A2318="","",$D2318+IF($E2318="",0,$E2318)+IF($F2318="",0,$F2318)-IF($G2318="",0,$G2318))</f>
        <v/>
      </c>
      <c r="I2318" s="12" t="n"/>
      <c r="J2318" s="12" t="n"/>
      <c r="K2318" s="12" t="n"/>
      <c r="L2318" s="14" t="n"/>
      <c r="M2318" s="12" t="n"/>
      <c r="N2318" s="12" t="n"/>
      <c r="O2318" s="12" t="n"/>
    </row>
    <row r="2319">
      <c r="A2319" s="12" t="n"/>
      <c r="B2319" s="13">
        <f>IF($A2319="","",IFERROR(INDEX(Emp_Names,MATCH($A2319,Emp_Codes,0)),"NOT FOUND"))</f>
        <v/>
      </c>
      <c r="C2319" s="14" t="n"/>
      <c r="D2319" s="15" t="n"/>
      <c r="E2319" s="15" t="n"/>
      <c r="F2319" s="15" t="n"/>
      <c r="G2319" s="15" t="n"/>
      <c r="H2319" s="16">
        <f>IF($A2319="","",$D2319+IF($E2319="",0,$E2319)+IF($F2319="",0,$F2319)-IF($G2319="",0,$G2319))</f>
        <v/>
      </c>
      <c r="I2319" s="12" t="n"/>
      <c r="J2319" s="12" t="n"/>
      <c r="K2319" s="12" t="n"/>
      <c r="L2319" s="14" t="n"/>
      <c r="M2319" s="12" t="n"/>
      <c r="N2319" s="12" t="n"/>
      <c r="O2319" s="12" t="n"/>
    </row>
    <row r="2320">
      <c r="A2320" s="12" t="n"/>
      <c r="B2320" s="13">
        <f>IF($A2320="","",IFERROR(INDEX(Emp_Names,MATCH($A2320,Emp_Codes,0)),"NOT FOUND"))</f>
        <v/>
      </c>
      <c r="C2320" s="14" t="n"/>
      <c r="D2320" s="15" t="n"/>
      <c r="E2320" s="15" t="n"/>
      <c r="F2320" s="15" t="n"/>
      <c r="G2320" s="15" t="n"/>
      <c r="H2320" s="16">
        <f>IF($A2320="","",$D2320+IF($E2320="",0,$E2320)+IF($F2320="",0,$F2320)-IF($G2320="",0,$G2320))</f>
        <v/>
      </c>
      <c r="I2320" s="12" t="n"/>
      <c r="J2320" s="12" t="n"/>
      <c r="K2320" s="12" t="n"/>
      <c r="L2320" s="14" t="n"/>
      <c r="M2320" s="12" t="n"/>
      <c r="N2320" s="12" t="n"/>
      <c r="O2320" s="12" t="n"/>
    </row>
    <row r="2321">
      <c r="A2321" s="12" t="n"/>
      <c r="B2321" s="13">
        <f>IF($A2321="","",IFERROR(INDEX(Emp_Names,MATCH($A2321,Emp_Codes,0)),"NOT FOUND"))</f>
        <v/>
      </c>
      <c r="C2321" s="14" t="n"/>
      <c r="D2321" s="15" t="n"/>
      <c r="E2321" s="15" t="n"/>
      <c r="F2321" s="15" t="n"/>
      <c r="G2321" s="15" t="n"/>
      <c r="H2321" s="16">
        <f>IF($A2321="","",$D2321+IF($E2321="",0,$E2321)+IF($F2321="",0,$F2321)-IF($G2321="",0,$G2321))</f>
        <v/>
      </c>
      <c r="I2321" s="12" t="n"/>
      <c r="J2321" s="12" t="n"/>
      <c r="K2321" s="12" t="n"/>
      <c r="L2321" s="14" t="n"/>
      <c r="M2321" s="12" t="n"/>
      <c r="N2321" s="12" t="n"/>
      <c r="O2321" s="12" t="n"/>
    </row>
    <row r="2322">
      <c r="A2322" s="12" t="n"/>
      <c r="B2322" s="13">
        <f>IF($A2322="","",IFERROR(INDEX(Emp_Names,MATCH($A2322,Emp_Codes,0)),"NOT FOUND"))</f>
        <v/>
      </c>
      <c r="C2322" s="14" t="n"/>
      <c r="D2322" s="15" t="n"/>
      <c r="E2322" s="15" t="n"/>
      <c r="F2322" s="15" t="n"/>
      <c r="G2322" s="15" t="n"/>
      <c r="H2322" s="16">
        <f>IF($A2322="","",$D2322+IF($E2322="",0,$E2322)+IF($F2322="",0,$F2322)-IF($G2322="",0,$G2322))</f>
        <v/>
      </c>
      <c r="I2322" s="12" t="n"/>
      <c r="J2322" s="12" t="n"/>
      <c r="K2322" s="12" t="n"/>
      <c r="L2322" s="14" t="n"/>
      <c r="M2322" s="12" t="n"/>
      <c r="N2322" s="12" t="n"/>
      <c r="O2322" s="12" t="n"/>
    </row>
    <row r="2323">
      <c r="A2323" s="12" t="n"/>
      <c r="B2323" s="13">
        <f>IF($A2323="","",IFERROR(INDEX(Emp_Names,MATCH($A2323,Emp_Codes,0)),"NOT FOUND"))</f>
        <v/>
      </c>
      <c r="C2323" s="14" t="n"/>
      <c r="D2323" s="15" t="n"/>
      <c r="E2323" s="15" t="n"/>
      <c r="F2323" s="15" t="n"/>
      <c r="G2323" s="15" t="n"/>
      <c r="H2323" s="16">
        <f>IF($A2323="","",$D2323+IF($E2323="",0,$E2323)+IF($F2323="",0,$F2323)-IF($G2323="",0,$G2323))</f>
        <v/>
      </c>
      <c r="I2323" s="12" t="n"/>
      <c r="J2323" s="12" t="n"/>
      <c r="K2323" s="12" t="n"/>
      <c r="L2323" s="14" t="n"/>
      <c r="M2323" s="12" t="n"/>
      <c r="N2323" s="12" t="n"/>
      <c r="O2323" s="12" t="n"/>
    </row>
    <row r="2324">
      <c r="A2324" s="12" t="n"/>
      <c r="B2324" s="13">
        <f>IF($A2324="","",IFERROR(INDEX(Emp_Names,MATCH($A2324,Emp_Codes,0)),"NOT FOUND"))</f>
        <v/>
      </c>
      <c r="C2324" s="14" t="n"/>
      <c r="D2324" s="15" t="n"/>
      <c r="E2324" s="15" t="n"/>
      <c r="F2324" s="15" t="n"/>
      <c r="G2324" s="15" t="n"/>
      <c r="H2324" s="16">
        <f>IF($A2324="","",$D2324+IF($E2324="",0,$E2324)+IF($F2324="",0,$F2324)-IF($G2324="",0,$G2324))</f>
        <v/>
      </c>
      <c r="I2324" s="12" t="n"/>
      <c r="J2324" s="12" t="n"/>
      <c r="K2324" s="12" t="n"/>
      <c r="L2324" s="14" t="n"/>
      <c r="M2324" s="12" t="n"/>
      <c r="N2324" s="12" t="n"/>
      <c r="O2324" s="12" t="n"/>
    </row>
    <row r="2325">
      <c r="A2325" s="12" t="n"/>
      <c r="B2325" s="13">
        <f>IF($A2325="","",IFERROR(INDEX(Emp_Names,MATCH($A2325,Emp_Codes,0)),"NOT FOUND"))</f>
        <v/>
      </c>
      <c r="C2325" s="14" t="n"/>
      <c r="D2325" s="15" t="n"/>
      <c r="E2325" s="15" t="n"/>
      <c r="F2325" s="15" t="n"/>
      <c r="G2325" s="15" t="n"/>
      <c r="H2325" s="16">
        <f>IF($A2325="","",$D2325+IF($E2325="",0,$E2325)+IF($F2325="",0,$F2325)-IF($G2325="",0,$G2325))</f>
        <v/>
      </c>
      <c r="I2325" s="12" t="n"/>
      <c r="J2325" s="12" t="n"/>
      <c r="K2325" s="12" t="n"/>
      <c r="L2325" s="14" t="n"/>
      <c r="M2325" s="12" t="n"/>
      <c r="N2325" s="12" t="n"/>
      <c r="O2325" s="12" t="n"/>
    </row>
    <row r="2326">
      <c r="A2326" s="12" t="n"/>
      <c r="B2326" s="13">
        <f>IF($A2326="","",IFERROR(INDEX(Emp_Names,MATCH($A2326,Emp_Codes,0)),"NOT FOUND"))</f>
        <v/>
      </c>
      <c r="C2326" s="14" t="n"/>
      <c r="D2326" s="15" t="n"/>
      <c r="E2326" s="15" t="n"/>
      <c r="F2326" s="15" t="n"/>
      <c r="G2326" s="15" t="n"/>
      <c r="H2326" s="16">
        <f>IF($A2326="","",$D2326+IF($E2326="",0,$E2326)+IF($F2326="",0,$F2326)-IF($G2326="",0,$G2326))</f>
        <v/>
      </c>
      <c r="I2326" s="12" t="n"/>
      <c r="J2326" s="12" t="n"/>
      <c r="K2326" s="12" t="n"/>
      <c r="L2326" s="14" t="n"/>
      <c r="M2326" s="12" t="n"/>
      <c r="N2326" s="12" t="n"/>
      <c r="O2326" s="12" t="n"/>
    </row>
    <row r="2327">
      <c r="A2327" s="12" t="n"/>
      <c r="B2327" s="13">
        <f>IF($A2327="","",IFERROR(INDEX(Emp_Names,MATCH($A2327,Emp_Codes,0)),"NOT FOUND"))</f>
        <v/>
      </c>
      <c r="C2327" s="14" t="n"/>
      <c r="D2327" s="15" t="n"/>
      <c r="E2327" s="15" t="n"/>
      <c r="F2327" s="15" t="n"/>
      <c r="G2327" s="15" t="n"/>
      <c r="H2327" s="16">
        <f>IF($A2327="","",$D2327+IF($E2327="",0,$E2327)+IF($F2327="",0,$F2327)-IF($G2327="",0,$G2327))</f>
        <v/>
      </c>
      <c r="I2327" s="12" t="n"/>
      <c r="J2327" s="12" t="n"/>
      <c r="K2327" s="12" t="n"/>
      <c r="L2327" s="14" t="n"/>
      <c r="M2327" s="12" t="n"/>
      <c r="N2327" s="12" t="n"/>
      <c r="O2327" s="12" t="n"/>
    </row>
    <row r="2328">
      <c r="A2328" s="12" t="n"/>
      <c r="B2328" s="13">
        <f>IF($A2328="","",IFERROR(INDEX(Emp_Names,MATCH($A2328,Emp_Codes,0)),"NOT FOUND"))</f>
        <v/>
      </c>
      <c r="C2328" s="14" t="n"/>
      <c r="D2328" s="15" t="n"/>
      <c r="E2328" s="15" t="n"/>
      <c r="F2328" s="15" t="n"/>
      <c r="G2328" s="15" t="n"/>
      <c r="H2328" s="16">
        <f>IF($A2328="","",$D2328+IF($E2328="",0,$E2328)+IF($F2328="",0,$F2328)-IF($G2328="",0,$G2328))</f>
        <v/>
      </c>
      <c r="I2328" s="12" t="n"/>
      <c r="J2328" s="12" t="n"/>
      <c r="K2328" s="12" t="n"/>
      <c r="L2328" s="14" t="n"/>
      <c r="M2328" s="12" t="n"/>
      <c r="N2328" s="12" t="n"/>
      <c r="O2328" s="12" t="n"/>
    </row>
    <row r="2329">
      <c r="A2329" s="12" t="n"/>
      <c r="B2329" s="13">
        <f>IF($A2329="","",IFERROR(INDEX(Emp_Names,MATCH($A2329,Emp_Codes,0)),"NOT FOUND"))</f>
        <v/>
      </c>
      <c r="C2329" s="14" t="n"/>
      <c r="D2329" s="15" t="n"/>
      <c r="E2329" s="15" t="n"/>
      <c r="F2329" s="15" t="n"/>
      <c r="G2329" s="15" t="n"/>
      <c r="H2329" s="16">
        <f>IF($A2329="","",$D2329+IF($E2329="",0,$E2329)+IF($F2329="",0,$F2329)-IF($G2329="",0,$G2329))</f>
        <v/>
      </c>
      <c r="I2329" s="12" t="n"/>
      <c r="J2329" s="12" t="n"/>
      <c r="K2329" s="12" t="n"/>
      <c r="L2329" s="14" t="n"/>
      <c r="M2329" s="12" t="n"/>
      <c r="N2329" s="12" t="n"/>
      <c r="O2329" s="12" t="n"/>
    </row>
    <row r="2330">
      <c r="A2330" s="12" t="n"/>
      <c r="B2330" s="13">
        <f>IF($A2330="","",IFERROR(INDEX(Emp_Names,MATCH($A2330,Emp_Codes,0)),"NOT FOUND"))</f>
        <v/>
      </c>
      <c r="C2330" s="14" t="n"/>
      <c r="D2330" s="15" t="n"/>
      <c r="E2330" s="15" t="n"/>
      <c r="F2330" s="15" t="n"/>
      <c r="G2330" s="15" t="n"/>
      <c r="H2330" s="16">
        <f>IF($A2330="","",$D2330+IF($E2330="",0,$E2330)+IF($F2330="",0,$F2330)-IF($G2330="",0,$G2330))</f>
        <v/>
      </c>
      <c r="I2330" s="12" t="n"/>
      <c r="J2330" s="12" t="n"/>
      <c r="K2330" s="12" t="n"/>
      <c r="L2330" s="14" t="n"/>
      <c r="M2330" s="12" t="n"/>
      <c r="N2330" s="12" t="n"/>
      <c r="O2330" s="12" t="n"/>
    </row>
    <row r="2331">
      <c r="A2331" s="12" t="n"/>
      <c r="B2331" s="13">
        <f>IF($A2331="","",IFERROR(INDEX(Emp_Names,MATCH($A2331,Emp_Codes,0)),"NOT FOUND"))</f>
        <v/>
      </c>
      <c r="C2331" s="14" t="n"/>
      <c r="D2331" s="15" t="n"/>
      <c r="E2331" s="15" t="n"/>
      <c r="F2331" s="15" t="n"/>
      <c r="G2331" s="15" t="n"/>
      <c r="H2331" s="16">
        <f>IF($A2331="","",$D2331+IF($E2331="",0,$E2331)+IF($F2331="",0,$F2331)-IF($G2331="",0,$G2331))</f>
        <v/>
      </c>
      <c r="I2331" s="12" t="n"/>
      <c r="J2331" s="12" t="n"/>
      <c r="K2331" s="12" t="n"/>
      <c r="L2331" s="14" t="n"/>
      <c r="M2331" s="12" t="n"/>
      <c r="N2331" s="12" t="n"/>
      <c r="O2331" s="12" t="n"/>
    </row>
    <row r="2332">
      <c r="A2332" s="12" t="n"/>
      <c r="B2332" s="13">
        <f>IF($A2332="","",IFERROR(INDEX(Emp_Names,MATCH($A2332,Emp_Codes,0)),"NOT FOUND"))</f>
        <v/>
      </c>
      <c r="C2332" s="14" t="n"/>
      <c r="D2332" s="15" t="n"/>
      <c r="E2332" s="15" t="n"/>
      <c r="F2332" s="15" t="n"/>
      <c r="G2332" s="15" t="n"/>
      <c r="H2332" s="16">
        <f>IF($A2332="","",$D2332+IF($E2332="",0,$E2332)+IF($F2332="",0,$F2332)-IF($G2332="",0,$G2332))</f>
        <v/>
      </c>
      <c r="I2332" s="12" t="n"/>
      <c r="J2332" s="12" t="n"/>
      <c r="K2332" s="12" t="n"/>
      <c r="L2332" s="14" t="n"/>
      <c r="M2332" s="12" t="n"/>
      <c r="N2332" s="12" t="n"/>
      <c r="O2332" s="12" t="n"/>
    </row>
    <row r="2333">
      <c r="A2333" s="12" t="n"/>
      <c r="B2333" s="13">
        <f>IF($A2333="","",IFERROR(INDEX(Emp_Names,MATCH($A2333,Emp_Codes,0)),"NOT FOUND"))</f>
        <v/>
      </c>
      <c r="C2333" s="14" t="n"/>
      <c r="D2333" s="15" t="n"/>
      <c r="E2333" s="15" t="n"/>
      <c r="F2333" s="15" t="n"/>
      <c r="G2333" s="15" t="n"/>
      <c r="H2333" s="16">
        <f>IF($A2333="","",$D2333+IF($E2333="",0,$E2333)+IF($F2333="",0,$F2333)-IF($G2333="",0,$G2333))</f>
        <v/>
      </c>
      <c r="I2333" s="12" t="n"/>
      <c r="J2333" s="12" t="n"/>
      <c r="K2333" s="12" t="n"/>
      <c r="L2333" s="14" t="n"/>
      <c r="M2333" s="12" t="n"/>
      <c r="N2333" s="12" t="n"/>
      <c r="O2333" s="12" t="n"/>
    </row>
    <row r="2334">
      <c r="A2334" s="12" t="n"/>
      <c r="B2334" s="13">
        <f>IF($A2334="","",IFERROR(INDEX(Emp_Names,MATCH($A2334,Emp_Codes,0)),"NOT FOUND"))</f>
        <v/>
      </c>
      <c r="C2334" s="14" t="n"/>
      <c r="D2334" s="15" t="n"/>
      <c r="E2334" s="15" t="n"/>
      <c r="F2334" s="15" t="n"/>
      <c r="G2334" s="15" t="n"/>
      <c r="H2334" s="16">
        <f>IF($A2334="","",$D2334+IF($E2334="",0,$E2334)+IF($F2334="",0,$F2334)-IF($G2334="",0,$G2334))</f>
        <v/>
      </c>
      <c r="I2334" s="12" t="n"/>
      <c r="J2334" s="12" t="n"/>
      <c r="K2334" s="12" t="n"/>
      <c r="L2334" s="14" t="n"/>
      <c r="M2334" s="12" t="n"/>
      <c r="N2334" s="12" t="n"/>
      <c r="O2334" s="12" t="n"/>
    </row>
    <row r="2335">
      <c r="A2335" s="12" t="n"/>
      <c r="B2335" s="13">
        <f>IF($A2335="","",IFERROR(INDEX(Emp_Names,MATCH($A2335,Emp_Codes,0)),"NOT FOUND"))</f>
        <v/>
      </c>
      <c r="C2335" s="14" t="n"/>
      <c r="D2335" s="15" t="n"/>
      <c r="E2335" s="15" t="n"/>
      <c r="F2335" s="15" t="n"/>
      <c r="G2335" s="15" t="n"/>
      <c r="H2335" s="16">
        <f>IF($A2335="","",$D2335+IF($E2335="",0,$E2335)+IF($F2335="",0,$F2335)-IF($G2335="",0,$G2335))</f>
        <v/>
      </c>
      <c r="I2335" s="12" t="n"/>
      <c r="J2335" s="12" t="n"/>
      <c r="K2335" s="12" t="n"/>
      <c r="L2335" s="14" t="n"/>
      <c r="M2335" s="12" t="n"/>
      <c r="N2335" s="12" t="n"/>
      <c r="O2335" s="12" t="n"/>
    </row>
    <row r="2336">
      <c r="A2336" s="12" t="n"/>
      <c r="B2336" s="13">
        <f>IF($A2336="","",IFERROR(INDEX(Emp_Names,MATCH($A2336,Emp_Codes,0)),"NOT FOUND"))</f>
        <v/>
      </c>
      <c r="C2336" s="14" t="n"/>
      <c r="D2336" s="15" t="n"/>
      <c r="E2336" s="15" t="n"/>
      <c r="F2336" s="15" t="n"/>
      <c r="G2336" s="15" t="n"/>
      <c r="H2336" s="16">
        <f>IF($A2336="","",$D2336+IF($E2336="",0,$E2336)+IF($F2336="",0,$F2336)-IF($G2336="",0,$G2336))</f>
        <v/>
      </c>
      <c r="I2336" s="12" t="n"/>
      <c r="J2336" s="12" t="n"/>
      <c r="K2336" s="12" t="n"/>
      <c r="L2336" s="14" t="n"/>
      <c r="M2336" s="12" t="n"/>
      <c r="N2336" s="12" t="n"/>
      <c r="O2336" s="12" t="n"/>
    </row>
    <row r="2337">
      <c r="A2337" s="12" t="n"/>
      <c r="B2337" s="13">
        <f>IF($A2337="","",IFERROR(INDEX(Emp_Names,MATCH($A2337,Emp_Codes,0)),"NOT FOUND"))</f>
        <v/>
      </c>
      <c r="C2337" s="14" t="n"/>
      <c r="D2337" s="15" t="n"/>
      <c r="E2337" s="15" t="n"/>
      <c r="F2337" s="15" t="n"/>
      <c r="G2337" s="15" t="n"/>
      <c r="H2337" s="16">
        <f>IF($A2337="","",$D2337+IF($E2337="",0,$E2337)+IF($F2337="",0,$F2337)-IF($G2337="",0,$G2337))</f>
        <v/>
      </c>
      <c r="I2337" s="12" t="n"/>
      <c r="J2337" s="12" t="n"/>
      <c r="K2337" s="12" t="n"/>
      <c r="L2337" s="14" t="n"/>
      <c r="M2337" s="12" t="n"/>
      <c r="N2337" s="12" t="n"/>
      <c r="O2337" s="12" t="n"/>
    </row>
    <row r="2338">
      <c r="A2338" s="12" t="n"/>
      <c r="B2338" s="13">
        <f>IF($A2338="","",IFERROR(INDEX(Emp_Names,MATCH($A2338,Emp_Codes,0)),"NOT FOUND"))</f>
        <v/>
      </c>
      <c r="C2338" s="14" t="n"/>
      <c r="D2338" s="15" t="n"/>
      <c r="E2338" s="15" t="n"/>
      <c r="F2338" s="15" t="n"/>
      <c r="G2338" s="15" t="n"/>
      <c r="H2338" s="16">
        <f>IF($A2338="","",$D2338+IF($E2338="",0,$E2338)+IF($F2338="",0,$F2338)-IF($G2338="",0,$G2338))</f>
        <v/>
      </c>
      <c r="I2338" s="12" t="n"/>
      <c r="J2338" s="12" t="n"/>
      <c r="K2338" s="12" t="n"/>
      <c r="L2338" s="14" t="n"/>
      <c r="M2338" s="12" t="n"/>
      <c r="N2338" s="12" t="n"/>
      <c r="O2338" s="12" t="n"/>
    </row>
    <row r="2339">
      <c r="A2339" s="12" t="n"/>
      <c r="B2339" s="13">
        <f>IF($A2339="","",IFERROR(INDEX(Emp_Names,MATCH($A2339,Emp_Codes,0)),"NOT FOUND"))</f>
        <v/>
      </c>
      <c r="C2339" s="14" t="n"/>
      <c r="D2339" s="15" t="n"/>
      <c r="E2339" s="15" t="n"/>
      <c r="F2339" s="15" t="n"/>
      <c r="G2339" s="15" t="n"/>
      <c r="H2339" s="16">
        <f>IF($A2339="","",$D2339+IF($E2339="",0,$E2339)+IF($F2339="",0,$F2339)-IF($G2339="",0,$G2339))</f>
        <v/>
      </c>
      <c r="I2339" s="12" t="n"/>
      <c r="J2339" s="12" t="n"/>
      <c r="K2339" s="12" t="n"/>
      <c r="L2339" s="14" t="n"/>
      <c r="M2339" s="12" t="n"/>
      <c r="N2339" s="12" t="n"/>
      <c r="O2339" s="12" t="n"/>
    </row>
    <row r="2340">
      <c r="A2340" s="12" t="n"/>
      <c r="B2340" s="13">
        <f>IF($A2340="","",IFERROR(INDEX(Emp_Names,MATCH($A2340,Emp_Codes,0)),"NOT FOUND"))</f>
        <v/>
      </c>
      <c r="C2340" s="14" t="n"/>
      <c r="D2340" s="15" t="n"/>
      <c r="E2340" s="15" t="n"/>
      <c r="F2340" s="15" t="n"/>
      <c r="G2340" s="15" t="n"/>
      <c r="H2340" s="16">
        <f>IF($A2340="","",$D2340+IF($E2340="",0,$E2340)+IF($F2340="",0,$F2340)-IF($G2340="",0,$G2340))</f>
        <v/>
      </c>
      <c r="I2340" s="12" t="n"/>
      <c r="J2340" s="12" t="n"/>
      <c r="K2340" s="12" t="n"/>
      <c r="L2340" s="14" t="n"/>
      <c r="M2340" s="12" t="n"/>
      <c r="N2340" s="12" t="n"/>
      <c r="O2340" s="12" t="n"/>
    </row>
    <row r="2341">
      <c r="A2341" s="12" t="n"/>
      <c r="B2341" s="13">
        <f>IF($A2341="","",IFERROR(INDEX(Emp_Names,MATCH($A2341,Emp_Codes,0)),"NOT FOUND"))</f>
        <v/>
      </c>
      <c r="C2341" s="14" t="n"/>
      <c r="D2341" s="15" t="n"/>
      <c r="E2341" s="15" t="n"/>
      <c r="F2341" s="15" t="n"/>
      <c r="G2341" s="15" t="n"/>
      <c r="H2341" s="16">
        <f>IF($A2341="","",$D2341+IF($E2341="",0,$E2341)+IF($F2341="",0,$F2341)-IF($G2341="",0,$G2341))</f>
        <v/>
      </c>
      <c r="I2341" s="12" t="n"/>
      <c r="J2341" s="12" t="n"/>
      <c r="K2341" s="12" t="n"/>
      <c r="L2341" s="14" t="n"/>
      <c r="M2341" s="12" t="n"/>
      <c r="N2341" s="12" t="n"/>
      <c r="O2341" s="12" t="n"/>
    </row>
    <row r="2342">
      <c r="A2342" s="12" t="n"/>
      <c r="B2342" s="13">
        <f>IF($A2342="","",IFERROR(INDEX(Emp_Names,MATCH($A2342,Emp_Codes,0)),"NOT FOUND"))</f>
        <v/>
      </c>
      <c r="C2342" s="14" t="n"/>
      <c r="D2342" s="15" t="n"/>
      <c r="E2342" s="15" t="n"/>
      <c r="F2342" s="15" t="n"/>
      <c r="G2342" s="15" t="n"/>
      <c r="H2342" s="16">
        <f>IF($A2342="","",$D2342+IF($E2342="",0,$E2342)+IF($F2342="",0,$F2342)-IF($G2342="",0,$G2342))</f>
        <v/>
      </c>
      <c r="I2342" s="12" t="n"/>
      <c r="J2342" s="12" t="n"/>
      <c r="K2342" s="12" t="n"/>
      <c r="L2342" s="14" t="n"/>
      <c r="M2342" s="12" t="n"/>
      <c r="N2342" s="12" t="n"/>
      <c r="O2342" s="12" t="n"/>
    </row>
    <row r="2343">
      <c r="A2343" s="12" t="n"/>
      <c r="B2343" s="13">
        <f>IF($A2343="","",IFERROR(INDEX(Emp_Names,MATCH($A2343,Emp_Codes,0)),"NOT FOUND"))</f>
        <v/>
      </c>
      <c r="C2343" s="14" t="n"/>
      <c r="D2343" s="15" t="n"/>
      <c r="E2343" s="15" t="n"/>
      <c r="F2343" s="15" t="n"/>
      <c r="G2343" s="15" t="n"/>
      <c r="H2343" s="16">
        <f>IF($A2343="","",$D2343+IF($E2343="",0,$E2343)+IF($F2343="",0,$F2343)-IF($G2343="",0,$G2343))</f>
        <v/>
      </c>
      <c r="I2343" s="12" t="n"/>
      <c r="J2343" s="12" t="n"/>
      <c r="K2343" s="12" t="n"/>
      <c r="L2343" s="14" t="n"/>
      <c r="M2343" s="12" t="n"/>
      <c r="N2343" s="12" t="n"/>
      <c r="O2343" s="12" t="n"/>
    </row>
    <row r="2344">
      <c r="A2344" s="12" t="n"/>
      <c r="B2344" s="13">
        <f>IF($A2344="","",IFERROR(INDEX(Emp_Names,MATCH($A2344,Emp_Codes,0)),"NOT FOUND"))</f>
        <v/>
      </c>
      <c r="C2344" s="14" t="n"/>
      <c r="D2344" s="15" t="n"/>
      <c r="E2344" s="15" t="n"/>
      <c r="F2344" s="15" t="n"/>
      <c r="G2344" s="15" t="n"/>
      <c r="H2344" s="16">
        <f>IF($A2344="","",$D2344+IF($E2344="",0,$E2344)+IF($F2344="",0,$F2344)-IF($G2344="",0,$G2344))</f>
        <v/>
      </c>
      <c r="I2344" s="12" t="n"/>
      <c r="J2344" s="12" t="n"/>
      <c r="K2344" s="12" t="n"/>
      <c r="L2344" s="14" t="n"/>
      <c r="M2344" s="12" t="n"/>
      <c r="N2344" s="12" t="n"/>
      <c r="O2344" s="12" t="n"/>
    </row>
    <row r="2345">
      <c r="A2345" s="12" t="n"/>
      <c r="B2345" s="13">
        <f>IF($A2345="","",IFERROR(INDEX(Emp_Names,MATCH($A2345,Emp_Codes,0)),"NOT FOUND"))</f>
        <v/>
      </c>
      <c r="C2345" s="14" t="n"/>
      <c r="D2345" s="15" t="n"/>
      <c r="E2345" s="15" t="n"/>
      <c r="F2345" s="15" t="n"/>
      <c r="G2345" s="15" t="n"/>
      <c r="H2345" s="16">
        <f>IF($A2345="","",$D2345+IF($E2345="",0,$E2345)+IF($F2345="",0,$F2345)-IF($G2345="",0,$G2345))</f>
        <v/>
      </c>
      <c r="I2345" s="12" t="n"/>
      <c r="J2345" s="12" t="n"/>
      <c r="K2345" s="12" t="n"/>
      <c r="L2345" s="14" t="n"/>
      <c r="M2345" s="12" t="n"/>
      <c r="N2345" s="12" t="n"/>
      <c r="O2345" s="12" t="n"/>
    </row>
    <row r="2346">
      <c r="A2346" s="12" t="n"/>
      <c r="B2346" s="13">
        <f>IF($A2346="","",IFERROR(INDEX(Emp_Names,MATCH($A2346,Emp_Codes,0)),"NOT FOUND"))</f>
        <v/>
      </c>
      <c r="C2346" s="14" t="n"/>
      <c r="D2346" s="15" t="n"/>
      <c r="E2346" s="15" t="n"/>
      <c r="F2346" s="15" t="n"/>
      <c r="G2346" s="15" t="n"/>
      <c r="H2346" s="16">
        <f>IF($A2346="","",$D2346+IF($E2346="",0,$E2346)+IF($F2346="",0,$F2346)-IF($G2346="",0,$G2346))</f>
        <v/>
      </c>
      <c r="I2346" s="12" t="n"/>
      <c r="J2346" s="12" t="n"/>
      <c r="K2346" s="12" t="n"/>
      <c r="L2346" s="14" t="n"/>
      <c r="M2346" s="12" t="n"/>
      <c r="N2346" s="12" t="n"/>
      <c r="O2346" s="12" t="n"/>
    </row>
    <row r="2347">
      <c r="A2347" s="12" t="n"/>
      <c r="B2347" s="13">
        <f>IF($A2347="","",IFERROR(INDEX(Emp_Names,MATCH($A2347,Emp_Codes,0)),"NOT FOUND"))</f>
        <v/>
      </c>
      <c r="C2347" s="14" t="n"/>
      <c r="D2347" s="15" t="n"/>
      <c r="E2347" s="15" t="n"/>
      <c r="F2347" s="15" t="n"/>
      <c r="G2347" s="15" t="n"/>
      <c r="H2347" s="16">
        <f>IF($A2347="","",$D2347+IF($E2347="",0,$E2347)+IF($F2347="",0,$F2347)-IF($G2347="",0,$G2347))</f>
        <v/>
      </c>
      <c r="I2347" s="12" t="n"/>
      <c r="J2347" s="12" t="n"/>
      <c r="K2347" s="12" t="n"/>
      <c r="L2347" s="14" t="n"/>
      <c r="M2347" s="12" t="n"/>
      <c r="N2347" s="12" t="n"/>
      <c r="O2347" s="12" t="n"/>
    </row>
    <row r="2348">
      <c r="A2348" s="12" t="n"/>
      <c r="B2348" s="13">
        <f>IF($A2348="","",IFERROR(INDEX(Emp_Names,MATCH($A2348,Emp_Codes,0)),"NOT FOUND"))</f>
        <v/>
      </c>
      <c r="C2348" s="14" t="n"/>
      <c r="D2348" s="15" t="n"/>
      <c r="E2348" s="15" t="n"/>
      <c r="F2348" s="15" t="n"/>
      <c r="G2348" s="15" t="n"/>
      <c r="H2348" s="16">
        <f>IF($A2348="","",$D2348+IF($E2348="",0,$E2348)+IF($F2348="",0,$F2348)-IF($G2348="",0,$G2348))</f>
        <v/>
      </c>
      <c r="I2348" s="12" t="n"/>
      <c r="J2348" s="12" t="n"/>
      <c r="K2348" s="12" t="n"/>
      <c r="L2348" s="14" t="n"/>
      <c r="M2348" s="12" t="n"/>
      <c r="N2348" s="12" t="n"/>
      <c r="O2348" s="12" t="n"/>
    </row>
    <row r="2349">
      <c r="A2349" s="12" t="n"/>
      <c r="B2349" s="13">
        <f>IF($A2349="","",IFERROR(INDEX(Emp_Names,MATCH($A2349,Emp_Codes,0)),"NOT FOUND"))</f>
        <v/>
      </c>
      <c r="C2349" s="14" t="n"/>
      <c r="D2349" s="15" t="n"/>
      <c r="E2349" s="15" t="n"/>
      <c r="F2349" s="15" t="n"/>
      <c r="G2349" s="15" t="n"/>
      <c r="H2349" s="16">
        <f>IF($A2349="","",$D2349+IF($E2349="",0,$E2349)+IF($F2349="",0,$F2349)-IF($G2349="",0,$G2349))</f>
        <v/>
      </c>
      <c r="I2349" s="12" t="n"/>
      <c r="J2349" s="12" t="n"/>
      <c r="K2349" s="12" t="n"/>
      <c r="L2349" s="14" t="n"/>
      <c r="M2349" s="12" t="n"/>
      <c r="N2349" s="12" t="n"/>
      <c r="O2349" s="12" t="n"/>
    </row>
    <row r="2350">
      <c r="A2350" s="12" t="n"/>
      <c r="B2350" s="13">
        <f>IF($A2350="","",IFERROR(INDEX(Emp_Names,MATCH($A2350,Emp_Codes,0)),"NOT FOUND"))</f>
        <v/>
      </c>
      <c r="C2350" s="14" t="n"/>
      <c r="D2350" s="15" t="n"/>
      <c r="E2350" s="15" t="n"/>
      <c r="F2350" s="15" t="n"/>
      <c r="G2350" s="15" t="n"/>
      <c r="H2350" s="16">
        <f>IF($A2350="","",$D2350+IF($E2350="",0,$E2350)+IF($F2350="",0,$F2350)-IF($G2350="",0,$G2350))</f>
        <v/>
      </c>
      <c r="I2350" s="12" t="n"/>
      <c r="J2350" s="12" t="n"/>
      <c r="K2350" s="12" t="n"/>
      <c r="L2350" s="14" t="n"/>
      <c r="M2350" s="12" t="n"/>
      <c r="N2350" s="12" t="n"/>
      <c r="O2350" s="12" t="n"/>
    </row>
    <row r="2351">
      <c r="A2351" s="12" t="n"/>
      <c r="B2351" s="13">
        <f>IF($A2351="","",IFERROR(INDEX(Emp_Names,MATCH($A2351,Emp_Codes,0)),"NOT FOUND"))</f>
        <v/>
      </c>
      <c r="C2351" s="14" t="n"/>
      <c r="D2351" s="15" t="n"/>
      <c r="E2351" s="15" t="n"/>
      <c r="F2351" s="15" t="n"/>
      <c r="G2351" s="15" t="n"/>
      <c r="H2351" s="16">
        <f>IF($A2351="","",$D2351+IF($E2351="",0,$E2351)+IF($F2351="",0,$F2351)-IF($G2351="",0,$G2351))</f>
        <v/>
      </c>
      <c r="I2351" s="12" t="n"/>
      <c r="J2351" s="12" t="n"/>
      <c r="K2351" s="12" t="n"/>
      <c r="L2351" s="14" t="n"/>
      <c r="M2351" s="12" t="n"/>
      <c r="N2351" s="12" t="n"/>
      <c r="O2351" s="12" t="n"/>
    </row>
    <row r="2352">
      <c r="A2352" s="12" t="n"/>
      <c r="B2352" s="13">
        <f>IF($A2352="","",IFERROR(INDEX(Emp_Names,MATCH($A2352,Emp_Codes,0)),"NOT FOUND"))</f>
        <v/>
      </c>
      <c r="C2352" s="14" t="n"/>
      <c r="D2352" s="15" t="n"/>
      <c r="E2352" s="15" t="n"/>
      <c r="F2352" s="15" t="n"/>
      <c r="G2352" s="15" t="n"/>
      <c r="H2352" s="16">
        <f>IF($A2352="","",$D2352+IF($E2352="",0,$E2352)+IF($F2352="",0,$F2352)-IF($G2352="",0,$G2352))</f>
        <v/>
      </c>
      <c r="I2352" s="12" t="n"/>
      <c r="J2352" s="12" t="n"/>
      <c r="K2352" s="12" t="n"/>
      <c r="L2352" s="14" t="n"/>
      <c r="M2352" s="12" t="n"/>
      <c r="N2352" s="12" t="n"/>
      <c r="O2352" s="12" t="n"/>
    </row>
    <row r="2353">
      <c r="A2353" s="12" t="n"/>
      <c r="B2353" s="13">
        <f>IF($A2353="","",IFERROR(INDEX(Emp_Names,MATCH($A2353,Emp_Codes,0)),"NOT FOUND"))</f>
        <v/>
      </c>
      <c r="C2353" s="14" t="n"/>
      <c r="D2353" s="15" t="n"/>
      <c r="E2353" s="15" t="n"/>
      <c r="F2353" s="15" t="n"/>
      <c r="G2353" s="15" t="n"/>
      <c r="H2353" s="16">
        <f>IF($A2353="","",$D2353+IF($E2353="",0,$E2353)+IF($F2353="",0,$F2353)-IF($G2353="",0,$G2353))</f>
        <v/>
      </c>
      <c r="I2353" s="12" t="n"/>
      <c r="J2353" s="12" t="n"/>
      <c r="K2353" s="12" t="n"/>
      <c r="L2353" s="14" t="n"/>
      <c r="M2353" s="12" t="n"/>
      <c r="N2353" s="12" t="n"/>
      <c r="O2353" s="12" t="n"/>
    </row>
    <row r="2354">
      <c r="A2354" s="12" t="n"/>
      <c r="B2354" s="13">
        <f>IF($A2354="","",IFERROR(INDEX(Emp_Names,MATCH($A2354,Emp_Codes,0)),"NOT FOUND"))</f>
        <v/>
      </c>
      <c r="C2354" s="14" t="n"/>
      <c r="D2354" s="15" t="n"/>
      <c r="E2354" s="15" t="n"/>
      <c r="F2354" s="15" t="n"/>
      <c r="G2354" s="15" t="n"/>
      <c r="H2354" s="16">
        <f>IF($A2354="","",$D2354+IF($E2354="",0,$E2354)+IF($F2354="",0,$F2354)-IF($G2354="",0,$G2354))</f>
        <v/>
      </c>
      <c r="I2354" s="12" t="n"/>
      <c r="J2354" s="12" t="n"/>
      <c r="K2354" s="12" t="n"/>
      <c r="L2354" s="14" t="n"/>
      <c r="M2354" s="12" t="n"/>
      <c r="N2354" s="12" t="n"/>
      <c r="O2354" s="12" t="n"/>
    </row>
    <row r="2355">
      <c r="A2355" s="12" t="n"/>
      <c r="B2355" s="13">
        <f>IF($A2355="","",IFERROR(INDEX(Emp_Names,MATCH($A2355,Emp_Codes,0)),"NOT FOUND"))</f>
        <v/>
      </c>
      <c r="C2355" s="14" t="n"/>
      <c r="D2355" s="15" t="n"/>
      <c r="E2355" s="15" t="n"/>
      <c r="F2355" s="15" t="n"/>
      <c r="G2355" s="15" t="n"/>
      <c r="H2355" s="16">
        <f>IF($A2355="","",$D2355+IF($E2355="",0,$E2355)+IF($F2355="",0,$F2355)-IF($G2355="",0,$G2355))</f>
        <v/>
      </c>
      <c r="I2355" s="12" t="n"/>
      <c r="J2355" s="12" t="n"/>
      <c r="K2355" s="12" t="n"/>
      <c r="L2355" s="14" t="n"/>
      <c r="M2355" s="12" t="n"/>
      <c r="N2355" s="12" t="n"/>
      <c r="O2355" s="12" t="n"/>
    </row>
    <row r="2356">
      <c r="A2356" s="12" t="n"/>
      <c r="B2356" s="13">
        <f>IF($A2356="","",IFERROR(INDEX(Emp_Names,MATCH($A2356,Emp_Codes,0)),"NOT FOUND"))</f>
        <v/>
      </c>
      <c r="C2356" s="14" t="n"/>
      <c r="D2356" s="15" t="n"/>
      <c r="E2356" s="15" t="n"/>
      <c r="F2356" s="15" t="n"/>
      <c r="G2356" s="15" t="n"/>
      <c r="H2356" s="16">
        <f>IF($A2356="","",$D2356+IF($E2356="",0,$E2356)+IF($F2356="",0,$F2356)-IF($G2356="",0,$G2356))</f>
        <v/>
      </c>
      <c r="I2356" s="12" t="n"/>
      <c r="J2356" s="12" t="n"/>
      <c r="K2356" s="12" t="n"/>
      <c r="L2356" s="14" t="n"/>
      <c r="M2356" s="12" t="n"/>
      <c r="N2356" s="12" t="n"/>
      <c r="O2356" s="12" t="n"/>
    </row>
    <row r="2357">
      <c r="A2357" s="12" t="n"/>
      <c r="B2357" s="13">
        <f>IF($A2357="","",IFERROR(INDEX(Emp_Names,MATCH($A2357,Emp_Codes,0)),"NOT FOUND"))</f>
        <v/>
      </c>
      <c r="C2357" s="14" t="n"/>
      <c r="D2357" s="15" t="n"/>
      <c r="E2357" s="15" t="n"/>
      <c r="F2357" s="15" t="n"/>
      <c r="G2357" s="15" t="n"/>
      <c r="H2357" s="16">
        <f>IF($A2357="","",$D2357+IF($E2357="",0,$E2357)+IF($F2357="",0,$F2357)-IF($G2357="",0,$G2357))</f>
        <v/>
      </c>
      <c r="I2357" s="12" t="n"/>
      <c r="J2357" s="12" t="n"/>
      <c r="K2357" s="12" t="n"/>
      <c r="L2357" s="14" t="n"/>
      <c r="M2357" s="12" t="n"/>
      <c r="N2357" s="12" t="n"/>
      <c r="O2357" s="12" t="n"/>
    </row>
    <row r="2358">
      <c r="A2358" s="12" t="n"/>
      <c r="B2358" s="13">
        <f>IF($A2358="","",IFERROR(INDEX(Emp_Names,MATCH($A2358,Emp_Codes,0)),"NOT FOUND"))</f>
        <v/>
      </c>
      <c r="C2358" s="14" t="n"/>
      <c r="D2358" s="15" t="n"/>
      <c r="E2358" s="15" t="n"/>
      <c r="F2358" s="15" t="n"/>
      <c r="G2358" s="15" t="n"/>
      <c r="H2358" s="16">
        <f>IF($A2358="","",$D2358+IF($E2358="",0,$E2358)+IF($F2358="",0,$F2358)-IF($G2358="",0,$G2358))</f>
        <v/>
      </c>
      <c r="I2358" s="12" t="n"/>
      <c r="J2358" s="12" t="n"/>
      <c r="K2358" s="12" t="n"/>
      <c r="L2358" s="14" t="n"/>
      <c r="M2358" s="12" t="n"/>
      <c r="N2358" s="12" t="n"/>
      <c r="O2358" s="12" t="n"/>
    </row>
    <row r="2359">
      <c r="A2359" s="12" t="n"/>
      <c r="B2359" s="13">
        <f>IF($A2359="","",IFERROR(INDEX(Emp_Names,MATCH($A2359,Emp_Codes,0)),"NOT FOUND"))</f>
        <v/>
      </c>
      <c r="C2359" s="14" t="n"/>
      <c r="D2359" s="15" t="n"/>
      <c r="E2359" s="15" t="n"/>
      <c r="F2359" s="15" t="n"/>
      <c r="G2359" s="15" t="n"/>
      <c r="H2359" s="16">
        <f>IF($A2359="","",$D2359+IF($E2359="",0,$E2359)+IF($F2359="",0,$F2359)-IF($G2359="",0,$G2359))</f>
        <v/>
      </c>
      <c r="I2359" s="12" t="n"/>
      <c r="J2359" s="12" t="n"/>
      <c r="K2359" s="12" t="n"/>
      <c r="L2359" s="14" t="n"/>
      <c r="M2359" s="12" t="n"/>
      <c r="N2359" s="12" t="n"/>
      <c r="O2359" s="12" t="n"/>
    </row>
    <row r="2360">
      <c r="A2360" s="12" t="n"/>
      <c r="B2360" s="13">
        <f>IF($A2360="","",IFERROR(INDEX(Emp_Names,MATCH($A2360,Emp_Codes,0)),"NOT FOUND"))</f>
        <v/>
      </c>
      <c r="C2360" s="14" t="n"/>
      <c r="D2360" s="15" t="n"/>
      <c r="E2360" s="15" t="n"/>
      <c r="F2360" s="15" t="n"/>
      <c r="G2360" s="15" t="n"/>
      <c r="H2360" s="16">
        <f>IF($A2360="","",$D2360+IF($E2360="",0,$E2360)+IF($F2360="",0,$F2360)-IF($G2360="",0,$G2360))</f>
        <v/>
      </c>
      <c r="I2360" s="12" t="n"/>
      <c r="J2360" s="12" t="n"/>
      <c r="K2360" s="12" t="n"/>
      <c r="L2360" s="14" t="n"/>
      <c r="M2360" s="12" t="n"/>
      <c r="N2360" s="12" t="n"/>
      <c r="O2360" s="12" t="n"/>
    </row>
    <row r="2361">
      <c r="A2361" s="12" t="n"/>
      <c r="B2361" s="13">
        <f>IF($A2361="","",IFERROR(INDEX(Emp_Names,MATCH($A2361,Emp_Codes,0)),"NOT FOUND"))</f>
        <v/>
      </c>
      <c r="C2361" s="14" t="n"/>
      <c r="D2361" s="15" t="n"/>
      <c r="E2361" s="15" t="n"/>
      <c r="F2361" s="15" t="n"/>
      <c r="G2361" s="15" t="n"/>
      <c r="H2361" s="16">
        <f>IF($A2361="","",$D2361+IF($E2361="",0,$E2361)+IF($F2361="",0,$F2361)-IF($G2361="",0,$G2361))</f>
        <v/>
      </c>
      <c r="I2361" s="12" t="n"/>
      <c r="J2361" s="12" t="n"/>
      <c r="K2361" s="12" t="n"/>
      <c r="L2361" s="14" t="n"/>
      <c r="M2361" s="12" t="n"/>
      <c r="N2361" s="12" t="n"/>
      <c r="O2361" s="12" t="n"/>
    </row>
    <row r="2362">
      <c r="A2362" s="12" t="n"/>
      <c r="B2362" s="13">
        <f>IF($A2362="","",IFERROR(INDEX(Emp_Names,MATCH($A2362,Emp_Codes,0)),"NOT FOUND"))</f>
        <v/>
      </c>
      <c r="C2362" s="14" t="n"/>
      <c r="D2362" s="15" t="n"/>
      <c r="E2362" s="15" t="n"/>
      <c r="F2362" s="15" t="n"/>
      <c r="G2362" s="15" t="n"/>
      <c r="H2362" s="16">
        <f>IF($A2362="","",$D2362+IF($E2362="",0,$E2362)+IF($F2362="",0,$F2362)-IF($G2362="",0,$G2362))</f>
        <v/>
      </c>
      <c r="I2362" s="12" t="n"/>
      <c r="J2362" s="12" t="n"/>
      <c r="K2362" s="12" t="n"/>
      <c r="L2362" s="14" t="n"/>
      <c r="M2362" s="12" t="n"/>
      <c r="N2362" s="12" t="n"/>
      <c r="O2362" s="12" t="n"/>
    </row>
    <row r="2363">
      <c r="A2363" s="12" t="n"/>
      <c r="B2363" s="13">
        <f>IF($A2363="","",IFERROR(INDEX(Emp_Names,MATCH($A2363,Emp_Codes,0)),"NOT FOUND"))</f>
        <v/>
      </c>
      <c r="C2363" s="14" t="n"/>
      <c r="D2363" s="15" t="n"/>
      <c r="E2363" s="15" t="n"/>
      <c r="F2363" s="15" t="n"/>
      <c r="G2363" s="15" t="n"/>
      <c r="H2363" s="16">
        <f>IF($A2363="","",$D2363+IF($E2363="",0,$E2363)+IF($F2363="",0,$F2363)-IF($G2363="",0,$G2363))</f>
        <v/>
      </c>
      <c r="I2363" s="12" t="n"/>
      <c r="J2363" s="12" t="n"/>
      <c r="K2363" s="12" t="n"/>
      <c r="L2363" s="14" t="n"/>
      <c r="M2363" s="12" t="n"/>
      <c r="N2363" s="12" t="n"/>
      <c r="O2363" s="12" t="n"/>
    </row>
    <row r="2364">
      <c r="A2364" s="12" t="n"/>
      <c r="B2364" s="13">
        <f>IF($A2364="","",IFERROR(INDEX(Emp_Names,MATCH($A2364,Emp_Codes,0)),"NOT FOUND"))</f>
        <v/>
      </c>
      <c r="C2364" s="14" t="n"/>
      <c r="D2364" s="15" t="n"/>
      <c r="E2364" s="15" t="n"/>
      <c r="F2364" s="15" t="n"/>
      <c r="G2364" s="15" t="n"/>
      <c r="H2364" s="16">
        <f>IF($A2364="","",$D2364+IF($E2364="",0,$E2364)+IF($F2364="",0,$F2364)-IF($G2364="",0,$G2364))</f>
        <v/>
      </c>
      <c r="I2364" s="12" t="n"/>
      <c r="J2364" s="12" t="n"/>
      <c r="K2364" s="12" t="n"/>
      <c r="L2364" s="14" t="n"/>
      <c r="M2364" s="12" t="n"/>
      <c r="N2364" s="12" t="n"/>
      <c r="O2364" s="12" t="n"/>
    </row>
    <row r="2365">
      <c r="A2365" s="12" t="n"/>
      <c r="B2365" s="13">
        <f>IF($A2365="","",IFERROR(INDEX(Emp_Names,MATCH($A2365,Emp_Codes,0)),"NOT FOUND"))</f>
        <v/>
      </c>
      <c r="C2365" s="14" t="n"/>
      <c r="D2365" s="15" t="n"/>
      <c r="E2365" s="15" t="n"/>
      <c r="F2365" s="15" t="n"/>
      <c r="G2365" s="15" t="n"/>
      <c r="H2365" s="16">
        <f>IF($A2365="","",$D2365+IF($E2365="",0,$E2365)+IF($F2365="",0,$F2365)-IF($G2365="",0,$G2365))</f>
        <v/>
      </c>
      <c r="I2365" s="12" t="n"/>
      <c r="J2365" s="12" t="n"/>
      <c r="K2365" s="12" t="n"/>
      <c r="L2365" s="14" t="n"/>
      <c r="M2365" s="12" t="n"/>
      <c r="N2365" s="12" t="n"/>
      <c r="O2365" s="12" t="n"/>
    </row>
    <row r="2366">
      <c r="A2366" s="12" t="n"/>
      <c r="B2366" s="13">
        <f>IF($A2366="","",IFERROR(INDEX(Emp_Names,MATCH($A2366,Emp_Codes,0)),"NOT FOUND"))</f>
        <v/>
      </c>
      <c r="C2366" s="14" t="n"/>
      <c r="D2366" s="15" t="n"/>
      <c r="E2366" s="15" t="n"/>
      <c r="F2366" s="15" t="n"/>
      <c r="G2366" s="15" t="n"/>
      <c r="H2366" s="16">
        <f>IF($A2366="","",$D2366+IF($E2366="",0,$E2366)+IF($F2366="",0,$F2366)-IF($G2366="",0,$G2366))</f>
        <v/>
      </c>
      <c r="I2366" s="12" t="n"/>
      <c r="J2366" s="12" t="n"/>
      <c r="K2366" s="12" t="n"/>
      <c r="L2366" s="14" t="n"/>
      <c r="M2366" s="12" t="n"/>
      <c r="N2366" s="12" t="n"/>
      <c r="O2366" s="12" t="n"/>
    </row>
    <row r="2367">
      <c r="A2367" s="12" t="n"/>
      <c r="B2367" s="13">
        <f>IF($A2367="","",IFERROR(INDEX(Emp_Names,MATCH($A2367,Emp_Codes,0)),"NOT FOUND"))</f>
        <v/>
      </c>
      <c r="C2367" s="14" t="n"/>
      <c r="D2367" s="15" t="n"/>
      <c r="E2367" s="15" t="n"/>
      <c r="F2367" s="15" t="n"/>
      <c r="G2367" s="15" t="n"/>
      <c r="H2367" s="16">
        <f>IF($A2367="","",$D2367+IF($E2367="",0,$E2367)+IF($F2367="",0,$F2367)-IF($G2367="",0,$G2367))</f>
        <v/>
      </c>
      <c r="I2367" s="12" t="n"/>
      <c r="J2367" s="12" t="n"/>
      <c r="K2367" s="12" t="n"/>
      <c r="L2367" s="14" t="n"/>
      <c r="M2367" s="12" t="n"/>
      <c r="N2367" s="12" t="n"/>
      <c r="O2367" s="12" t="n"/>
    </row>
    <row r="2368">
      <c r="A2368" s="12" t="n"/>
      <c r="B2368" s="13">
        <f>IF($A2368="","",IFERROR(INDEX(Emp_Names,MATCH($A2368,Emp_Codes,0)),"NOT FOUND"))</f>
        <v/>
      </c>
      <c r="C2368" s="14" t="n"/>
      <c r="D2368" s="15" t="n"/>
      <c r="E2368" s="15" t="n"/>
      <c r="F2368" s="15" t="n"/>
      <c r="G2368" s="15" t="n"/>
      <c r="H2368" s="16">
        <f>IF($A2368="","",$D2368+IF($E2368="",0,$E2368)+IF($F2368="",0,$F2368)-IF($G2368="",0,$G2368))</f>
        <v/>
      </c>
      <c r="I2368" s="12" t="n"/>
      <c r="J2368" s="12" t="n"/>
      <c r="K2368" s="12" t="n"/>
      <c r="L2368" s="14" t="n"/>
      <c r="M2368" s="12" t="n"/>
      <c r="N2368" s="12" t="n"/>
      <c r="O2368" s="12" t="n"/>
    </row>
    <row r="2369">
      <c r="A2369" s="12" t="n"/>
      <c r="B2369" s="13">
        <f>IF($A2369="","",IFERROR(INDEX(Emp_Names,MATCH($A2369,Emp_Codes,0)),"NOT FOUND"))</f>
        <v/>
      </c>
      <c r="C2369" s="14" t="n"/>
      <c r="D2369" s="15" t="n"/>
      <c r="E2369" s="15" t="n"/>
      <c r="F2369" s="15" t="n"/>
      <c r="G2369" s="15" t="n"/>
      <c r="H2369" s="16">
        <f>IF($A2369="","",$D2369+IF($E2369="",0,$E2369)+IF($F2369="",0,$F2369)-IF($G2369="",0,$G2369))</f>
        <v/>
      </c>
      <c r="I2369" s="12" t="n"/>
      <c r="J2369" s="12" t="n"/>
      <c r="K2369" s="12" t="n"/>
      <c r="L2369" s="14" t="n"/>
      <c r="M2369" s="12" t="n"/>
      <c r="N2369" s="12" t="n"/>
      <c r="O2369" s="12" t="n"/>
    </row>
    <row r="2370">
      <c r="A2370" s="12" t="n"/>
      <c r="B2370" s="13">
        <f>IF($A2370="","",IFERROR(INDEX(Emp_Names,MATCH($A2370,Emp_Codes,0)),"NOT FOUND"))</f>
        <v/>
      </c>
      <c r="C2370" s="14" t="n"/>
      <c r="D2370" s="15" t="n"/>
      <c r="E2370" s="15" t="n"/>
      <c r="F2370" s="15" t="n"/>
      <c r="G2370" s="15" t="n"/>
      <c r="H2370" s="16">
        <f>IF($A2370="","",$D2370+IF($E2370="",0,$E2370)+IF($F2370="",0,$F2370)-IF($G2370="",0,$G2370))</f>
        <v/>
      </c>
      <c r="I2370" s="12" t="n"/>
      <c r="J2370" s="12" t="n"/>
      <c r="K2370" s="12" t="n"/>
      <c r="L2370" s="14" t="n"/>
      <c r="M2370" s="12" t="n"/>
      <c r="N2370" s="12" t="n"/>
      <c r="O2370" s="12" t="n"/>
    </row>
    <row r="2371">
      <c r="A2371" s="12" t="n"/>
      <c r="B2371" s="13">
        <f>IF($A2371="","",IFERROR(INDEX(Emp_Names,MATCH($A2371,Emp_Codes,0)),"NOT FOUND"))</f>
        <v/>
      </c>
      <c r="C2371" s="14" t="n"/>
      <c r="D2371" s="15" t="n"/>
      <c r="E2371" s="15" t="n"/>
      <c r="F2371" s="15" t="n"/>
      <c r="G2371" s="15" t="n"/>
      <c r="H2371" s="16">
        <f>IF($A2371="","",$D2371+IF($E2371="",0,$E2371)+IF($F2371="",0,$F2371)-IF($G2371="",0,$G2371))</f>
        <v/>
      </c>
      <c r="I2371" s="12" t="n"/>
      <c r="J2371" s="12" t="n"/>
      <c r="K2371" s="12" t="n"/>
      <c r="L2371" s="14" t="n"/>
      <c r="M2371" s="12" t="n"/>
      <c r="N2371" s="12" t="n"/>
      <c r="O2371" s="12" t="n"/>
    </row>
    <row r="2372">
      <c r="A2372" s="12" t="n"/>
      <c r="B2372" s="13">
        <f>IF($A2372="","",IFERROR(INDEX(Emp_Names,MATCH($A2372,Emp_Codes,0)),"NOT FOUND"))</f>
        <v/>
      </c>
      <c r="C2372" s="14" t="n"/>
      <c r="D2372" s="15" t="n"/>
      <c r="E2372" s="15" t="n"/>
      <c r="F2372" s="15" t="n"/>
      <c r="G2372" s="15" t="n"/>
      <c r="H2372" s="16">
        <f>IF($A2372="","",$D2372+IF($E2372="",0,$E2372)+IF($F2372="",0,$F2372)-IF($G2372="",0,$G2372))</f>
        <v/>
      </c>
      <c r="I2372" s="12" t="n"/>
      <c r="J2372" s="12" t="n"/>
      <c r="K2372" s="12" t="n"/>
      <c r="L2372" s="14" t="n"/>
      <c r="M2372" s="12" t="n"/>
      <c r="N2372" s="12" t="n"/>
      <c r="O2372" s="12" t="n"/>
    </row>
    <row r="2373">
      <c r="A2373" s="12" t="n"/>
      <c r="B2373" s="13">
        <f>IF($A2373="","",IFERROR(INDEX(Emp_Names,MATCH($A2373,Emp_Codes,0)),"NOT FOUND"))</f>
        <v/>
      </c>
      <c r="C2373" s="14" t="n"/>
      <c r="D2373" s="15" t="n"/>
      <c r="E2373" s="15" t="n"/>
      <c r="F2373" s="15" t="n"/>
      <c r="G2373" s="15" t="n"/>
      <c r="H2373" s="16">
        <f>IF($A2373="","",$D2373+IF($E2373="",0,$E2373)+IF($F2373="",0,$F2373)-IF($G2373="",0,$G2373))</f>
        <v/>
      </c>
      <c r="I2373" s="12" t="n"/>
      <c r="J2373" s="12" t="n"/>
      <c r="K2373" s="12" t="n"/>
      <c r="L2373" s="14" t="n"/>
      <c r="M2373" s="12" t="n"/>
      <c r="N2373" s="12" t="n"/>
      <c r="O2373" s="12" t="n"/>
    </row>
    <row r="2374">
      <c r="A2374" s="12" t="n"/>
      <c r="B2374" s="13">
        <f>IF($A2374="","",IFERROR(INDEX(Emp_Names,MATCH($A2374,Emp_Codes,0)),"NOT FOUND"))</f>
        <v/>
      </c>
      <c r="C2374" s="14" t="n"/>
      <c r="D2374" s="15" t="n"/>
      <c r="E2374" s="15" t="n"/>
      <c r="F2374" s="15" t="n"/>
      <c r="G2374" s="15" t="n"/>
      <c r="H2374" s="16">
        <f>IF($A2374="","",$D2374+IF($E2374="",0,$E2374)+IF($F2374="",0,$F2374)-IF($G2374="",0,$G2374))</f>
        <v/>
      </c>
      <c r="I2374" s="12" t="n"/>
      <c r="J2374" s="12" t="n"/>
      <c r="K2374" s="12" t="n"/>
      <c r="L2374" s="14" t="n"/>
      <c r="M2374" s="12" t="n"/>
      <c r="N2374" s="12" t="n"/>
      <c r="O2374" s="12" t="n"/>
    </row>
    <row r="2375">
      <c r="A2375" s="12" t="n"/>
      <c r="B2375" s="13">
        <f>IF($A2375="","",IFERROR(INDEX(Emp_Names,MATCH($A2375,Emp_Codes,0)),"NOT FOUND"))</f>
        <v/>
      </c>
      <c r="C2375" s="14" t="n"/>
      <c r="D2375" s="15" t="n"/>
      <c r="E2375" s="15" t="n"/>
      <c r="F2375" s="15" t="n"/>
      <c r="G2375" s="15" t="n"/>
      <c r="H2375" s="16">
        <f>IF($A2375="","",$D2375+IF($E2375="",0,$E2375)+IF($F2375="",0,$F2375)-IF($G2375="",0,$G2375))</f>
        <v/>
      </c>
      <c r="I2375" s="12" t="n"/>
      <c r="J2375" s="12" t="n"/>
      <c r="K2375" s="12" t="n"/>
      <c r="L2375" s="14" t="n"/>
      <c r="M2375" s="12" t="n"/>
      <c r="N2375" s="12" t="n"/>
      <c r="O2375" s="12" t="n"/>
    </row>
    <row r="2376">
      <c r="A2376" s="12" t="n"/>
      <c r="B2376" s="13">
        <f>IF($A2376="","",IFERROR(INDEX(Emp_Names,MATCH($A2376,Emp_Codes,0)),"NOT FOUND"))</f>
        <v/>
      </c>
      <c r="C2376" s="14" t="n"/>
      <c r="D2376" s="15" t="n"/>
      <c r="E2376" s="15" t="n"/>
      <c r="F2376" s="15" t="n"/>
      <c r="G2376" s="15" t="n"/>
      <c r="H2376" s="16">
        <f>IF($A2376="","",$D2376+IF($E2376="",0,$E2376)+IF($F2376="",0,$F2376)-IF($G2376="",0,$G2376))</f>
        <v/>
      </c>
      <c r="I2376" s="12" t="n"/>
      <c r="J2376" s="12" t="n"/>
      <c r="K2376" s="12" t="n"/>
      <c r="L2376" s="14" t="n"/>
      <c r="M2376" s="12" t="n"/>
      <c r="N2376" s="12" t="n"/>
      <c r="O2376" s="12" t="n"/>
    </row>
    <row r="2377">
      <c r="A2377" s="12" t="n"/>
      <c r="B2377" s="13">
        <f>IF($A2377="","",IFERROR(INDEX(Emp_Names,MATCH($A2377,Emp_Codes,0)),"NOT FOUND"))</f>
        <v/>
      </c>
      <c r="C2377" s="14" t="n"/>
      <c r="D2377" s="15" t="n"/>
      <c r="E2377" s="15" t="n"/>
      <c r="F2377" s="15" t="n"/>
      <c r="G2377" s="15" t="n"/>
      <c r="H2377" s="16">
        <f>IF($A2377="","",$D2377+IF($E2377="",0,$E2377)+IF($F2377="",0,$F2377)-IF($G2377="",0,$G2377))</f>
        <v/>
      </c>
      <c r="I2377" s="12" t="n"/>
      <c r="J2377" s="12" t="n"/>
      <c r="K2377" s="12" t="n"/>
      <c r="L2377" s="14" t="n"/>
      <c r="M2377" s="12" t="n"/>
      <c r="N2377" s="12" t="n"/>
      <c r="O2377" s="12" t="n"/>
    </row>
    <row r="2378">
      <c r="A2378" s="12" t="n"/>
      <c r="B2378" s="13">
        <f>IF($A2378="","",IFERROR(INDEX(Emp_Names,MATCH($A2378,Emp_Codes,0)),"NOT FOUND"))</f>
        <v/>
      </c>
      <c r="C2378" s="14" t="n"/>
      <c r="D2378" s="15" t="n"/>
      <c r="E2378" s="15" t="n"/>
      <c r="F2378" s="15" t="n"/>
      <c r="G2378" s="15" t="n"/>
      <c r="H2378" s="16">
        <f>IF($A2378="","",$D2378+IF($E2378="",0,$E2378)+IF($F2378="",0,$F2378)-IF($G2378="",0,$G2378))</f>
        <v/>
      </c>
      <c r="I2378" s="12" t="n"/>
      <c r="J2378" s="12" t="n"/>
      <c r="K2378" s="12" t="n"/>
      <c r="L2378" s="14" t="n"/>
      <c r="M2378" s="12" t="n"/>
      <c r="N2378" s="12" t="n"/>
      <c r="O2378" s="12" t="n"/>
    </row>
    <row r="2379">
      <c r="A2379" s="12" t="n"/>
      <c r="B2379" s="13">
        <f>IF($A2379="","",IFERROR(INDEX(Emp_Names,MATCH($A2379,Emp_Codes,0)),"NOT FOUND"))</f>
        <v/>
      </c>
      <c r="C2379" s="14" t="n"/>
      <c r="D2379" s="15" t="n"/>
      <c r="E2379" s="15" t="n"/>
      <c r="F2379" s="15" t="n"/>
      <c r="G2379" s="15" t="n"/>
      <c r="H2379" s="16">
        <f>IF($A2379="","",$D2379+IF($E2379="",0,$E2379)+IF($F2379="",0,$F2379)-IF($G2379="",0,$G2379))</f>
        <v/>
      </c>
      <c r="I2379" s="12" t="n"/>
      <c r="J2379" s="12" t="n"/>
      <c r="K2379" s="12" t="n"/>
      <c r="L2379" s="14" t="n"/>
      <c r="M2379" s="12" t="n"/>
      <c r="N2379" s="12" t="n"/>
      <c r="O2379" s="12" t="n"/>
    </row>
    <row r="2380">
      <c r="A2380" s="12" t="n"/>
      <c r="B2380" s="13">
        <f>IF($A2380="","",IFERROR(INDEX(Emp_Names,MATCH($A2380,Emp_Codes,0)),"NOT FOUND"))</f>
        <v/>
      </c>
      <c r="C2380" s="14" t="n"/>
      <c r="D2380" s="15" t="n"/>
      <c r="E2380" s="15" t="n"/>
      <c r="F2380" s="15" t="n"/>
      <c r="G2380" s="15" t="n"/>
      <c r="H2380" s="16">
        <f>IF($A2380="","",$D2380+IF($E2380="",0,$E2380)+IF($F2380="",0,$F2380)-IF($G2380="",0,$G2380))</f>
        <v/>
      </c>
      <c r="I2380" s="12" t="n"/>
      <c r="J2380" s="12" t="n"/>
      <c r="K2380" s="12" t="n"/>
      <c r="L2380" s="14" t="n"/>
      <c r="M2380" s="12" t="n"/>
      <c r="N2380" s="12" t="n"/>
      <c r="O2380" s="12" t="n"/>
    </row>
    <row r="2381">
      <c r="A2381" s="12" t="n"/>
      <c r="B2381" s="13">
        <f>IF($A2381="","",IFERROR(INDEX(Emp_Names,MATCH($A2381,Emp_Codes,0)),"NOT FOUND"))</f>
        <v/>
      </c>
      <c r="C2381" s="14" t="n"/>
      <c r="D2381" s="15" t="n"/>
      <c r="E2381" s="15" t="n"/>
      <c r="F2381" s="15" t="n"/>
      <c r="G2381" s="15" t="n"/>
      <c r="H2381" s="16">
        <f>IF($A2381="","",$D2381+IF($E2381="",0,$E2381)+IF($F2381="",0,$F2381)-IF($G2381="",0,$G2381))</f>
        <v/>
      </c>
      <c r="I2381" s="12" t="n"/>
      <c r="J2381" s="12" t="n"/>
      <c r="K2381" s="12" t="n"/>
      <c r="L2381" s="14" t="n"/>
      <c r="M2381" s="12" t="n"/>
      <c r="N2381" s="12" t="n"/>
      <c r="O2381" s="12" t="n"/>
    </row>
    <row r="2382">
      <c r="A2382" s="12" t="n"/>
      <c r="B2382" s="13">
        <f>IF($A2382="","",IFERROR(INDEX(Emp_Names,MATCH($A2382,Emp_Codes,0)),"NOT FOUND"))</f>
        <v/>
      </c>
      <c r="C2382" s="14" t="n"/>
      <c r="D2382" s="15" t="n"/>
      <c r="E2382" s="15" t="n"/>
      <c r="F2382" s="15" t="n"/>
      <c r="G2382" s="15" t="n"/>
      <c r="H2382" s="16">
        <f>IF($A2382="","",$D2382+IF($E2382="",0,$E2382)+IF($F2382="",0,$F2382)-IF($G2382="",0,$G2382))</f>
        <v/>
      </c>
      <c r="I2382" s="12" t="n"/>
      <c r="J2382" s="12" t="n"/>
      <c r="K2382" s="12" t="n"/>
      <c r="L2382" s="14" t="n"/>
      <c r="M2382" s="12" t="n"/>
      <c r="N2382" s="12" t="n"/>
      <c r="O2382" s="12" t="n"/>
    </row>
    <row r="2383">
      <c r="A2383" s="12" t="n"/>
      <c r="B2383" s="13">
        <f>IF($A2383="","",IFERROR(INDEX(Emp_Names,MATCH($A2383,Emp_Codes,0)),"NOT FOUND"))</f>
        <v/>
      </c>
      <c r="C2383" s="14" t="n"/>
      <c r="D2383" s="15" t="n"/>
      <c r="E2383" s="15" t="n"/>
      <c r="F2383" s="15" t="n"/>
      <c r="G2383" s="15" t="n"/>
      <c r="H2383" s="16">
        <f>IF($A2383="","",$D2383+IF($E2383="",0,$E2383)+IF($F2383="",0,$F2383)-IF($G2383="",0,$G2383))</f>
        <v/>
      </c>
      <c r="I2383" s="12" t="n"/>
      <c r="J2383" s="12" t="n"/>
      <c r="K2383" s="12" t="n"/>
      <c r="L2383" s="14" t="n"/>
      <c r="M2383" s="12" t="n"/>
      <c r="N2383" s="12" t="n"/>
      <c r="O2383" s="12" t="n"/>
    </row>
    <row r="2384">
      <c r="A2384" s="12" t="n"/>
      <c r="B2384" s="13">
        <f>IF($A2384="","",IFERROR(INDEX(Emp_Names,MATCH($A2384,Emp_Codes,0)),"NOT FOUND"))</f>
        <v/>
      </c>
      <c r="C2384" s="14" t="n"/>
      <c r="D2384" s="15" t="n"/>
      <c r="E2384" s="15" t="n"/>
      <c r="F2384" s="15" t="n"/>
      <c r="G2384" s="15" t="n"/>
      <c r="H2384" s="16">
        <f>IF($A2384="","",$D2384+IF($E2384="",0,$E2384)+IF($F2384="",0,$F2384)-IF($G2384="",0,$G2384))</f>
        <v/>
      </c>
      <c r="I2384" s="12" t="n"/>
      <c r="J2384" s="12" t="n"/>
      <c r="K2384" s="12" t="n"/>
      <c r="L2384" s="14" t="n"/>
      <c r="M2384" s="12" t="n"/>
      <c r="N2384" s="12" t="n"/>
      <c r="O2384" s="12" t="n"/>
    </row>
    <row r="2385">
      <c r="A2385" s="12" t="n"/>
      <c r="B2385" s="13">
        <f>IF($A2385="","",IFERROR(INDEX(Emp_Names,MATCH($A2385,Emp_Codes,0)),"NOT FOUND"))</f>
        <v/>
      </c>
      <c r="C2385" s="14" t="n"/>
      <c r="D2385" s="15" t="n"/>
      <c r="E2385" s="15" t="n"/>
      <c r="F2385" s="15" t="n"/>
      <c r="G2385" s="15" t="n"/>
      <c r="H2385" s="16">
        <f>IF($A2385="","",$D2385+IF($E2385="",0,$E2385)+IF($F2385="",0,$F2385)-IF($G2385="",0,$G2385))</f>
        <v/>
      </c>
      <c r="I2385" s="12" t="n"/>
      <c r="J2385" s="12" t="n"/>
      <c r="K2385" s="12" t="n"/>
      <c r="L2385" s="14" t="n"/>
      <c r="M2385" s="12" t="n"/>
      <c r="N2385" s="12" t="n"/>
      <c r="O2385" s="12" t="n"/>
    </row>
    <row r="2386">
      <c r="A2386" s="12" t="n"/>
      <c r="B2386" s="13">
        <f>IF($A2386="","",IFERROR(INDEX(Emp_Names,MATCH($A2386,Emp_Codes,0)),"NOT FOUND"))</f>
        <v/>
      </c>
      <c r="C2386" s="14" t="n"/>
      <c r="D2386" s="15" t="n"/>
      <c r="E2386" s="15" t="n"/>
      <c r="F2386" s="15" t="n"/>
      <c r="G2386" s="15" t="n"/>
      <c r="H2386" s="16">
        <f>IF($A2386="","",$D2386+IF($E2386="",0,$E2386)+IF($F2386="",0,$F2386)-IF($G2386="",0,$G2386))</f>
        <v/>
      </c>
      <c r="I2386" s="12" t="n"/>
      <c r="J2386" s="12" t="n"/>
      <c r="K2386" s="12" t="n"/>
      <c r="L2386" s="14" t="n"/>
      <c r="M2386" s="12" t="n"/>
      <c r="N2386" s="12" t="n"/>
      <c r="O2386" s="12" t="n"/>
    </row>
    <row r="2387">
      <c r="A2387" s="12" t="n"/>
      <c r="B2387" s="13">
        <f>IF($A2387="","",IFERROR(INDEX(Emp_Names,MATCH($A2387,Emp_Codes,0)),"NOT FOUND"))</f>
        <v/>
      </c>
      <c r="C2387" s="14" t="n"/>
      <c r="D2387" s="15" t="n"/>
      <c r="E2387" s="15" t="n"/>
      <c r="F2387" s="15" t="n"/>
      <c r="G2387" s="15" t="n"/>
      <c r="H2387" s="16">
        <f>IF($A2387="","",$D2387+IF($E2387="",0,$E2387)+IF($F2387="",0,$F2387)-IF($G2387="",0,$G2387))</f>
        <v/>
      </c>
      <c r="I2387" s="12" t="n"/>
      <c r="J2387" s="12" t="n"/>
      <c r="K2387" s="12" t="n"/>
      <c r="L2387" s="14" t="n"/>
      <c r="M2387" s="12" t="n"/>
      <c r="N2387" s="12" t="n"/>
      <c r="O2387" s="12" t="n"/>
    </row>
    <row r="2388">
      <c r="A2388" s="12" t="n"/>
      <c r="B2388" s="13">
        <f>IF($A2388="","",IFERROR(INDEX(Emp_Names,MATCH($A2388,Emp_Codes,0)),"NOT FOUND"))</f>
        <v/>
      </c>
      <c r="C2388" s="14" t="n"/>
      <c r="D2388" s="15" t="n"/>
      <c r="E2388" s="15" t="n"/>
      <c r="F2388" s="15" t="n"/>
      <c r="G2388" s="15" t="n"/>
      <c r="H2388" s="16">
        <f>IF($A2388="","",$D2388+IF($E2388="",0,$E2388)+IF($F2388="",0,$F2388)-IF($G2388="",0,$G2388))</f>
        <v/>
      </c>
      <c r="I2388" s="12" t="n"/>
      <c r="J2388" s="12" t="n"/>
      <c r="K2388" s="12" t="n"/>
      <c r="L2388" s="14" t="n"/>
      <c r="M2388" s="12" t="n"/>
      <c r="N2388" s="12" t="n"/>
      <c r="O2388" s="12" t="n"/>
    </row>
    <row r="2389">
      <c r="A2389" s="12" t="n"/>
      <c r="B2389" s="13">
        <f>IF($A2389="","",IFERROR(INDEX(Emp_Names,MATCH($A2389,Emp_Codes,0)),"NOT FOUND"))</f>
        <v/>
      </c>
      <c r="C2389" s="14" t="n"/>
      <c r="D2389" s="15" t="n"/>
      <c r="E2389" s="15" t="n"/>
      <c r="F2389" s="15" t="n"/>
      <c r="G2389" s="15" t="n"/>
      <c r="H2389" s="16">
        <f>IF($A2389="","",$D2389+IF($E2389="",0,$E2389)+IF($F2389="",0,$F2389)-IF($G2389="",0,$G2389))</f>
        <v/>
      </c>
      <c r="I2389" s="12" t="n"/>
      <c r="J2389" s="12" t="n"/>
      <c r="K2389" s="12" t="n"/>
      <c r="L2389" s="14" t="n"/>
      <c r="M2389" s="12" t="n"/>
      <c r="N2389" s="12" t="n"/>
      <c r="O2389" s="12" t="n"/>
    </row>
    <row r="2390">
      <c r="A2390" s="12" t="n"/>
      <c r="B2390" s="13">
        <f>IF($A2390="","",IFERROR(INDEX(Emp_Names,MATCH($A2390,Emp_Codes,0)),"NOT FOUND"))</f>
        <v/>
      </c>
      <c r="C2390" s="14" t="n"/>
      <c r="D2390" s="15" t="n"/>
      <c r="E2390" s="15" t="n"/>
      <c r="F2390" s="15" t="n"/>
      <c r="G2390" s="15" t="n"/>
      <c r="H2390" s="16">
        <f>IF($A2390="","",$D2390+IF($E2390="",0,$E2390)+IF($F2390="",0,$F2390)-IF($G2390="",0,$G2390))</f>
        <v/>
      </c>
      <c r="I2390" s="12" t="n"/>
      <c r="J2390" s="12" t="n"/>
      <c r="K2390" s="12" t="n"/>
      <c r="L2390" s="14" t="n"/>
      <c r="M2390" s="12" t="n"/>
      <c r="N2390" s="12" t="n"/>
      <c r="O2390" s="12" t="n"/>
    </row>
    <row r="2391">
      <c r="A2391" s="12" t="n"/>
      <c r="B2391" s="13">
        <f>IF($A2391="","",IFERROR(INDEX(Emp_Names,MATCH($A2391,Emp_Codes,0)),"NOT FOUND"))</f>
        <v/>
      </c>
      <c r="C2391" s="14" t="n"/>
      <c r="D2391" s="15" t="n"/>
      <c r="E2391" s="15" t="n"/>
      <c r="F2391" s="15" t="n"/>
      <c r="G2391" s="15" t="n"/>
      <c r="H2391" s="16">
        <f>IF($A2391="","",$D2391+IF($E2391="",0,$E2391)+IF($F2391="",0,$F2391)-IF($G2391="",0,$G2391))</f>
        <v/>
      </c>
      <c r="I2391" s="12" t="n"/>
      <c r="J2391" s="12" t="n"/>
      <c r="K2391" s="12" t="n"/>
      <c r="L2391" s="14" t="n"/>
      <c r="M2391" s="12" t="n"/>
      <c r="N2391" s="12" t="n"/>
      <c r="O2391" s="12" t="n"/>
    </row>
    <row r="2392">
      <c r="A2392" s="12" t="n"/>
      <c r="B2392" s="13">
        <f>IF($A2392="","",IFERROR(INDEX(Emp_Names,MATCH($A2392,Emp_Codes,0)),"NOT FOUND"))</f>
        <v/>
      </c>
      <c r="C2392" s="14" t="n"/>
      <c r="D2392" s="15" t="n"/>
      <c r="E2392" s="15" t="n"/>
      <c r="F2392" s="15" t="n"/>
      <c r="G2392" s="15" t="n"/>
      <c r="H2392" s="16">
        <f>IF($A2392="","",$D2392+IF($E2392="",0,$E2392)+IF($F2392="",0,$F2392)-IF($G2392="",0,$G2392))</f>
        <v/>
      </c>
      <c r="I2392" s="12" t="n"/>
      <c r="J2392" s="12" t="n"/>
      <c r="K2392" s="12" t="n"/>
      <c r="L2392" s="14" t="n"/>
      <c r="M2392" s="12" t="n"/>
      <c r="N2392" s="12" t="n"/>
      <c r="O2392" s="12" t="n"/>
    </row>
    <row r="2393">
      <c r="A2393" s="12" t="n"/>
      <c r="B2393" s="13">
        <f>IF($A2393="","",IFERROR(INDEX(Emp_Names,MATCH($A2393,Emp_Codes,0)),"NOT FOUND"))</f>
        <v/>
      </c>
      <c r="C2393" s="14" t="n"/>
      <c r="D2393" s="15" t="n"/>
      <c r="E2393" s="15" t="n"/>
      <c r="F2393" s="15" t="n"/>
      <c r="G2393" s="15" t="n"/>
      <c r="H2393" s="16">
        <f>IF($A2393="","",$D2393+IF($E2393="",0,$E2393)+IF($F2393="",0,$F2393)-IF($G2393="",0,$G2393))</f>
        <v/>
      </c>
      <c r="I2393" s="12" t="n"/>
      <c r="J2393" s="12" t="n"/>
      <c r="K2393" s="12" t="n"/>
      <c r="L2393" s="14" t="n"/>
      <c r="M2393" s="12" t="n"/>
      <c r="N2393" s="12" t="n"/>
      <c r="O2393" s="12" t="n"/>
    </row>
    <row r="2394">
      <c r="A2394" s="12" t="n"/>
      <c r="B2394" s="13">
        <f>IF($A2394="","",IFERROR(INDEX(Emp_Names,MATCH($A2394,Emp_Codes,0)),"NOT FOUND"))</f>
        <v/>
      </c>
      <c r="C2394" s="14" t="n"/>
      <c r="D2394" s="15" t="n"/>
      <c r="E2394" s="15" t="n"/>
      <c r="F2394" s="15" t="n"/>
      <c r="G2394" s="15" t="n"/>
      <c r="H2394" s="16">
        <f>IF($A2394="","",$D2394+IF($E2394="",0,$E2394)+IF($F2394="",0,$F2394)-IF($G2394="",0,$G2394))</f>
        <v/>
      </c>
      <c r="I2394" s="12" t="n"/>
      <c r="J2394" s="12" t="n"/>
      <c r="K2394" s="12" t="n"/>
      <c r="L2394" s="14" t="n"/>
      <c r="M2394" s="12" t="n"/>
      <c r="N2394" s="12" t="n"/>
      <c r="O2394" s="12" t="n"/>
    </row>
    <row r="2395">
      <c r="A2395" s="12" t="n"/>
      <c r="B2395" s="13">
        <f>IF($A2395="","",IFERROR(INDEX(Emp_Names,MATCH($A2395,Emp_Codes,0)),"NOT FOUND"))</f>
        <v/>
      </c>
      <c r="C2395" s="14" t="n"/>
      <c r="D2395" s="15" t="n"/>
      <c r="E2395" s="15" t="n"/>
      <c r="F2395" s="15" t="n"/>
      <c r="G2395" s="15" t="n"/>
      <c r="H2395" s="16">
        <f>IF($A2395="","",$D2395+IF($E2395="",0,$E2395)+IF($F2395="",0,$F2395)-IF($G2395="",0,$G2395))</f>
        <v/>
      </c>
      <c r="I2395" s="12" t="n"/>
      <c r="J2395" s="12" t="n"/>
      <c r="K2395" s="12" t="n"/>
      <c r="L2395" s="14" t="n"/>
      <c r="M2395" s="12" t="n"/>
      <c r="N2395" s="12" t="n"/>
      <c r="O2395" s="12" t="n"/>
    </row>
    <row r="2396">
      <c r="A2396" s="12" t="n"/>
      <c r="B2396" s="13">
        <f>IF($A2396="","",IFERROR(INDEX(Emp_Names,MATCH($A2396,Emp_Codes,0)),"NOT FOUND"))</f>
        <v/>
      </c>
      <c r="C2396" s="14" t="n"/>
      <c r="D2396" s="15" t="n"/>
      <c r="E2396" s="15" t="n"/>
      <c r="F2396" s="15" t="n"/>
      <c r="G2396" s="15" t="n"/>
      <c r="H2396" s="16">
        <f>IF($A2396="","",$D2396+IF($E2396="",0,$E2396)+IF($F2396="",0,$F2396)-IF($G2396="",0,$G2396))</f>
        <v/>
      </c>
      <c r="I2396" s="12" t="n"/>
      <c r="J2396" s="12" t="n"/>
      <c r="K2396" s="12" t="n"/>
      <c r="L2396" s="14" t="n"/>
      <c r="M2396" s="12" t="n"/>
      <c r="N2396" s="12" t="n"/>
      <c r="O2396" s="12" t="n"/>
    </row>
    <row r="2397">
      <c r="A2397" s="12" t="n"/>
      <c r="B2397" s="13">
        <f>IF($A2397="","",IFERROR(INDEX(Emp_Names,MATCH($A2397,Emp_Codes,0)),"NOT FOUND"))</f>
        <v/>
      </c>
      <c r="C2397" s="14" t="n"/>
      <c r="D2397" s="15" t="n"/>
      <c r="E2397" s="15" t="n"/>
      <c r="F2397" s="15" t="n"/>
      <c r="G2397" s="15" t="n"/>
      <c r="H2397" s="16">
        <f>IF($A2397="","",$D2397+IF($E2397="",0,$E2397)+IF($F2397="",0,$F2397)-IF($G2397="",0,$G2397))</f>
        <v/>
      </c>
      <c r="I2397" s="12" t="n"/>
      <c r="J2397" s="12" t="n"/>
      <c r="K2397" s="12" t="n"/>
      <c r="L2397" s="14" t="n"/>
      <c r="M2397" s="12" t="n"/>
      <c r="N2397" s="12" t="n"/>
      <c r="O2397" s="12" t="n"/>
    </row>
    <row r="2398">
      <c r="A2398" s="12" t="n"/>
      <c r="B2398" s="13">
        <f>IF($A2398="","",IFERROR(INDEX(Emp_Names,MATCH($A2398,Emp_Codes,0)),"NOT FOUND"))</f>
        <v/>
      </c>
      <c r="C2398" s="14" t="n"/>
      <c r="D2398" s="15" t="n"/>
      <c r="E2398" s="15" t="n"/>
      <c r="F2398" s="15" t="n"/>
      <c r="G2398" s="15" t="n"/>
      <c r="H2398" s="16">
        <f>IF($A2398="","",$D2398+IF($E2398="",0,$E2398)+IF($F2398="",0,$F2398)-IF($G2398="",0,$G2398))</f>
        <v/>
      </c>
      <c r="I2398" s="12" t="n"/>
      <c r="J2398" s="12" t="n"/>
      <c r="K2398" s="12" t="n"/>
      <c r="L2398" s="14" t="n"/>
      <c r="M2398" s="12" t="n"/>
      <c r="N2398" s="12" t="n"/>
      <c r="O2398" s="12" t="n"/>
    </row>
    <row r="2399">
      <c r="A2399" s="12" t="n"/>
      <c r="B2399" s="13">
        <f>IF($A2399="","",IFERROR(INDEX(Emp_Names,MATCH($A2399,Emp_Codes,0)),"NOT FOUND"))</f>
        <v/>
      </c>
      <c r="C2399" s="14" t="n"/>
      <c r="D2399" s="15" t="n"/>
      <c r="E2399" s="15" t="n"/>
      <c r="F2399" s="15" t="n"/>
      <c r="G2399" s="15" t="n"/>
      <c r="H2399" s="16">
        <f>IF($A2399="","",$D2399+IF($E2399="",0,$E2399)+IF($F2399="",0,$F2399)-IF($G2399="",0,$G2399))</f>
        <v/>
      </c>
      <c r="I2399" s="12" t="n"/>
      <c r="J2399" s="12" t="n"/>
      <c r="K2399" s="12" t="n"/>
      <c r="L2399" s="14" t="n"/>
      <c r="M2399" s="12" t="n"/>
      <c r="N2399" s="12" t="n"/>
      <c r="O2399" s="12" t="n"/>
    </row>
    <row r="2400">
      <c r="A2400" s="12" t="n"/>
      <c r="B2400" s="13">
        <f>IF($A2400="","",IFERROR(INDEX(Emp_Names,MATCH($A2400,Emp_Codes,0)),"NOT FOUND"))</f>
        <v/>
      </c>
      <c r="C2400" s="14" t="n"/>
      <c r="D2400" s="15" t="n"/>
      <c r="E2400" s="15" t="n"/>
      <c r="F2400" s="15" t="n"/>
      <c r="G2400" s="15" t="n"/>
      <c r="H2400" s="16">
        <f>IF($A2400="","",$D2400+IF($E2400="",0,$E2400)+IF($F2400="",0,$F2400)-IF($G2400="",0,$G2400))</f>
        <v/>
      </c>
      <c r="I2400" s="12" t="n"/>
      <c r="J2400" s="12" t="n"/>
      <c r="K2400" s="12" t="n"/>
      <c r="L2400" s="14" t="n"/>
      <c r="M2400" s="12" t="n"/>
      <c r="N2400" s="12" t="n"/>
      <c r="O2400" s="12" t="n"/>
    </row>
    <row r="2401">
      <c r="A2401" s="12" t="n"/>
      <c r="B2401" s="13">
        <f>IF($A2401="","",IFERROR(INDEX(Emp_Names,MATCH($A2401,Emp_Codes,0)),"NOT FOUND"))</f>
        <v/>
      </c>
      <c r="C2401" s="14" t="n"/>
      <c r="D2401" s="15" t="n"/>
      <c r="E2401" s="15" t="n"/>
      <c r="F2401" s="15" t="n"/>
      <c r="G2401" s="15" t="n"/>
      <c r="H2401" s="16">
        <f>IF($A2401="","",$D2401+IF($E2401="",0,$E2401)+IF($F2401="",0,$F2401)-IF($G2401="",0,$G2401))</f>
        <v/>
      </c>
      <c r="I2401" s="12" t="n"/>
      <c r="J2401" s="12" t="n"/>
      <c r="K2401" s="12" t="n"/>
      <c r="L2401" s="14" t="n"/>
      <c r="M2401" s="12" t="n"/>
      <c r="N2401" s="12" t="n"/>
      <c r="O2401" s="12" t="n"/>
    </row>
    <row r="2402">
      <c r="A2402" s="12" t="n"/>
      <c r="B2402" s="13">
        <f>IF($A2402="","",IFERROR(INDEX(Emp_Names,MATCH($A2402,Emp_Codes,0)),"NOT FOUND"))</f>
        <v/>
      </c>
      <c r="C2402" s="14" t="n"/>
      <c r="D2402" s="15" t="n"/>
      <c r="E2402" s="15" t="n"/>
      <c r="F2402" s="15" t="n"/>
      <c r="G2402" s="15" t="n"/>
      <c r="H2402" s="16">
        <f>IF($A2402="","",$D2402+IF($E2402="",0,$E2402)+IF($F2402="",0,$F2402)-IF($G2402="",0,$G2402))</f>
        <v/>
      </c>
      <c r="I2402" s="12" t="n"/>
      <c r="J2402" s="12" t="n"/>
      <c r="K2402" s="12" t="n"/>
      <c r="L2402" s="14" t="n"/>
      <c r="M2402" s="12" t="n"/>
      <c r="N2402" s="12" t="n"/>
      <c r="O2402" s="12" t="n"/>
    </row>
    <row r="2403">
      <c r="A2403" s="12" t="n"/>
      <c r="B2403" s="13">
        <f>IF($A2403="","",IFERROR(INDEX(Emp_Names,MATCH($A2403,Emp_Codes,0)),"NOT FOUND"))</f>
        <v/>
      </c>
      <c r="C2403" s="14" t="n"/>
      <c r="D2403" s="15" t="n"/>
      <c r="E2403" s="15" t="n"/>
      <c r="F2403" s="15" t="n"/>
      <c r="G2403" s="15" t="n"/>
      <c r="H2403" s="16">
        <f>IF($A2403="","",$D2403+IF($E2403="",0,$E2403)+IF($F2403="",0,$F2403)-IF($G2403="",0,$G2403))</f>
        <v/>
      </c>
      <c r="I2403" s="12" t="n"/>
      <c r="J2403" s="12" t="n"/>
      <c r="K2403" s="12" t="n"/>
      <c r="L2403" s="14" t="n"/>
      <c r="M2403" s="12" t="n"/>
      <c r="N2403" s="12" t="n"/>
      <c r="O2403" s="12" t="n"/>
    </row>
    <row r="2404">
      <c r="A2404" s="12" t="n"/>
      <c r="B2404" s="13">
        <f>IF($A2404="","",IFERROR(INDEX(Emp_Names,MATCH($A2404,Emp_Codes,0)),"NOT FOUND"))</f>
        <v/>
      </c>
      <c r="C2404" s="14" t="n"/>
      <c r="D2404" s="15" t="n"/>
      <c r="E2404" s="15" t="n"/>
      <c r="F2404" s="15" t="n"/>
      <c r="G2404" s="15" t="n"/>
      <c r="H2404" s="16">
        <f>IF($A2404="","",$D2404+IF($E2404="",0,$E2404)+IF($F2404="",0,$F2404)-IF($G2404="",0,$G2404))</f>
        <v/>
      </c>
      <c r="I2404" s="12" t="n"/>
      <c r="J2404" s="12" t="n"/>
      <c r="K2404" s="12" t="n"/>
      <c r="L2404" s="14" t="n"/>
      <c r="M2404" s="12" t="n"/>
      <c r="N2404" s="12" t="n"/>
      <c r="O2404" s="12" t="n"/>
    </row>
    <row r="2405">
      <c r="A2405" s="12" t="n"/>
      <c r="B2405" s="13">
        <f>IF($A2405="","",IFERROR(INDEX(Emp_Names,MATCH($A2405,Emp_Codes,0)),"NOT FOUND"))</f>
        <v/>
      </c>
      <c r="C2405" s="14" t="n"/>
      <c r="D2405" s="15" t="n"/>
      <c r="E2405" s="15" t="n"/>
      <c r="F2405" s="15" t="n"/>
      <c r="G2405" s="15" t="n"/>
      <c r="H2405" s="16">
        <f>IF($A2405="","",$D2405+IF($E2405="",0,$E2405)+IF($F2405="",0,$F2405)-IF($G2405="",0,$G2405))</f>
        <v/>
      </c>
      <c r="I2405" s="12" t="n"/>
      <c r="J2405" s="12" t="n"/>
      <c r="K2405" s="12" t="n"/>
      <c r="L2405" s="14" t="n"/>
      <c r="M2405" s="12" t="n"/>
      <c r="N2405" s="12" t="n"/>
      <c r="O2405" s="12" t="n"/>
    </row>
    <row r="2406">
      <c r="A2406" s="12" t="n"/>
      <c r="B2406" s="13">
        <f>IF($A2406="","",IFERROR(INDEX(Emp_Names,MATCH($A2406,Emp_Codes,0)),"NOT FOUND"))</f>
        <v/>
      </c>
      <c r="C2406" s="14" t="n"/>
      <c r="D2406" s="15" t="n"/>
      <c r="E2406" s="15" t="n"/>
      <c r="F2406" s="15" t="n"/>
      <c r="G2406" s="15" t="n"/>
      <c r="H2406" s="16">
        <f>IF($A2406="","",$D2406+IF($E2406="",0,$E2406)+IF($F2406="",0,$F2406)-IF($G2406="",0,$G2406))</f>
        <v/>
      </c>
      <c r="I2406" s="12" t="n"/>
      <c r="J2406" s="12" t="n"/>
      <c r="K2406" s="12" t="n"/>
      <c r="L2406" s="14" t="n"/>
      <c r="M2406" s="12" t="n"/>
      <c r="N2406" s="12" t="n"/>
      <c r="O2406" s="12" t="n"/>
    </row>
    <row r="2407">
      <c r="A2407" s="12" t="n"/>
      <c r="B2407" s="13">
        <f>IF($A2407="","",IFERROR(INDEX(Emp_Names,MATCH($A2407,Emp_Codes,0)),"NOT FOUND"))</f>
        <v/>
      </c>
      <c r="C2407" s="14" t="n"/>
      <c r="D2407" s="15" t="n"/>
      <c r="E2407" s="15" t="n"/>
      <c r="F2407" s="15" t="n"/>
      <c r="G2407" s="15" t="n"/>
      <c r="H2407" s="16">
        <f>IF($A2407="","",$D2407+IF($E2407="",0,$E2407)+IF($F2407="",0,$F2407)-IF($G2407="",0,$G2407))</f>
        <v/>
      </c>
      <c r="I2407" s="12" t="n"/>
      <c r="J2407" s="12" t="n"/>
      <c r="K2407" s="12" t="n"/>
      <c r="L2407" s="14" t="n"/>
      <c r="M2407" s="12" t="n"/>
      <c r="N2407" s="12" t="n"/>
      <c r="O2407" s="12" t="n"/>
    </row>
    <row r="2408">
      <c r="A2408" s="12" t="n"/>
      <c r="B2408" s="13">
        <f>IF($A2408="","",IFERROR(INDEX(Emp_Names,MATCH($A2408,Emp_Codes,0)),"NOT FOUND"))</f>
        <v/>
      </c>
      <c r="C2408" s="14" t="n"/>
      <c r="D2408" s="15" t="n"/>
      <c r="E2408" s="15" t="n"/>
      <c r="F2408" s="15" t="n"/>
      <c r="G2408" s="15" t="n"/>
      <c r="H2408" s="16">
        <f>IF($A2408="","",$D2408+IF($E2408="",0,$E2408)+IF($F2408="",0,$F2408)-IF($G2408="",0,$G2408))</f>
        <v/>
      </c>
      <c r="I2408" s="12" t="n"/>
      <c r="J2408" s="12" t="n"/>
      <c r="K2408" s="12" t="n"/>
      <c r="L2408" s="14" t="n"/>
      <c r="M2408" s="12" t="n"/>
      <c r="N2408" s="12" t="n"/>
      <c r="O2408" s="12" t="n"/>
    </row>
    <row r="2409">
      <c r="A2409" s="12" t="n"/>
      <c r="B2409" s="13">
        <f>IF($A2409="","",IFERROR(INDEX(Emp_Names,MATCH($A2409,Emp_Codes,0)),"NOT FOUND"))</f>
        <v/>
      </c>
      <c r="C2409" s="14" t="n"/>
      <c r="D2409" s="15" t="n"/>
      <c r="E2409" s="15" t="n"/>
      <c r="F2409" s="15" t="n"/>
      <c r="G2409" s="15" t="n"/>
      <c r="H2409" s="16">
        <f>IF($A2409="","",$D2409+IF($E2409="",0,$E2409)+IF($F2409="",0,$F2409)-IF($G2409="",0,$G2409))</f>
        <v/>
      </c>
      <c r="I2409" s="12" t="n"/>
      <c r="J2409" s="12" t="n"/>
      <c r="K2409" s="12" t="n"/>
      <c r="L2409" s="14" t="n"/>
      <c r="M2409" s="12" t="n"/>
      <c r="N2409" s="12" t="n"/>
      <c r="O2409" s="12" t="n"/>
    </row>
    <row r="2410">
      <c r="A2410" s="12" t="n"/>
      <c r="B2410" s="13">
        <f>IF($A2410="","",IFERROR(INDEX(Emp_Names,MATCH($A2410,Emp_Codes,0)),"NOT FOUND"))</f>
        <v/>
      </c>
      <c r="C2410" s="14" t="n"/>
      <c r="D2410" s="15" t="n"/>
      <c r="E2410" s="15" t="n"/>
      <c r="F2410" s="15" t="n"/>
      <c r="G2410" s="15" t="n"/>
      <c r="H2410" s="16">
        <f>IF($A2410="","",$D2410+IF($E2410="",0,$E2410)+IF($F2410="",0,$F2410)-IF($G2410="",0,$G2410))</f>
        <v/>
      </c>
      <c r="I2410" s="12" t="n"/>
      <c r="J2410" s="12" t="n"/>
      <c r="K2410" s="12" t="n"/>
      <c r="L2410" s="14" t="n"/>
      <c r="M2410" s="12" t="n"/>
      <c r="N2410" s="12" t="n"/>
      <c r="O2410" s="12" t="n"/>
    </row>
    <row r="2411">
      <c r="A2411" s="12" t="n"/>
      <c r="B2411" s="13">
        <f>IF($A2411="","",IFERROR(INDEX(Emp_Names,MATCH($A2411,Emp_Codes,0)),"NOT FOUND"))</f>
        <v/>
      </c>
      <c r="C2411" s="14" t="n"/>
      <c r="D2411" s="15" t="n"/>
      <c r="E2411" s="15" t="n"/>
      <c r="F2411" s="15" t="n"/>
      <c r="G2411" s="15" t="n"/>
      <c r="H2411" s="16">
        <f>IF($A2411="","",$D2411+IF($E2411="",0,$E2411)+IF($F2411="",0,$F2411)-IF($G2411="",0,$G2411))</f>
        <v/>
      </c>
      <c r="I2411" s="12" t="n"/>
      <c r="J2411" s="12" t="n"/>
      <c r="K2411" s="12" t="n"/>
      <c r="L2411" s="14" t="n"/>
      <c r="M2411" s="12" t="n"/>
      <c r="N2411" s="12" t="n"/>
      <c r="O2411" s="12" t="n"/>
    </row>
    <row r="2412">
      <c r="A2412" s="12" t="n"/>
      <c r="B2412" s="13">
        <f>IF($A2412="","",IFERROR(INDEX(Emp_Names,MATCH($A2412,Emp_Codes,0)),"NOT FOUND"))</f>
        <v/>
      </c>
      <c r="C2412" s="14" t="n"/>
      <c r="D2412" s="15" t="n"/>
      <c r="E2412" s="15" t="n"/>
      <c r="F2412" s="15" t="n"/>
      <c r="G2412" s="15" t="n"/>
      <c r="H2412" s="16">
        <f>IF($A2412="","",$D2412+IF($E2412="",0,$E2412)+IF($F2412="",0,$F2412)-IF($G2412="",0,$G2412))</f>
        <v/>
      </c>
      <c r="I2412" s="12" t="n"/>
      <c r="J2412" s="12" t="n"/>
      <c r="K2412" s="12" t="n"/>
      <c r="L2412" s="14" t="n"/>
      <c r="M2412" s="12" t="n"/>
      <c r="N2412" s="12" t="n"/>
      <c r="O2412" s="12" t="n"/>
    </row>
    <row r="2413">
      <c r="A2413" s="12" t="n"/>
      <c r="B2413" s="13">
        <f>IF($A2413="","",IFERROR(INDEX(Emp_Names,MATCH($A2413,Emp_Codes,0)),"NOT FOUND"))</f>
        <v/>
      </c>
      <c r="C2413" s="14" t="n"/>
      <c r="D2413" s="15" t="n"/>
      <c r="E2413" s="15" t="n"/>
      <c r="F2413" s="15" t="n"/>
      <c r="G2413" s="15" t="n"/>
      <c r="H2413" s="16">
        <f>IF($A2413="","",$D2413+IF($E2413="",0,$E2413)+IF($F2413="",0,$F2413)-IF($G2413="",0,$G2413))</f>
        <v/>
      </c>
      <c r="I2413" s="12" t="n"/>
      <c r="J2413" s="12" t="n"/>
      <c r="K2413" s="12" t="n"/>
      <c r="L2413" s="14" t="n"/>
      <c r="M2413" s="12" t="n"/>
      <c r="N2413" s="12" t="n"/>
      <c r="O2413" s="12" t="n"/>
    </row>
    <row r="2414">
      <c r="A2414" s="12" t="n"/>
      <c r="B2414" s="13">
        <f>IF($A2414="","",IFERROR(INDEX(Emp_Names,MATCH($A2414,Emp_Codes,0)),"NOT FOUND"))</f>
        <v/>
      </c>
      <c r="C2414" s="14" t="n"/>
      <c r="D2414" s="15" t="n"/>
      <c r="E2414" s="15" t="n"/>
      <c r="F2414" s="15" t="n"/>
      <c r="G2414" s="15" t="n"/>
      <c r="H2414" s="16">
        <f>IF($A2414="","",$D2414+IF($E2414="",0,$E2414)+IF($F2414="",0,$F2414)-IF($G2414="",0,$G2414))</f>
        <v/>
      </c>
      <c r="I2414" s="12" t="n"/>
      <c r="J2414" s="12" t="n"/>
      <c r="K2414" s="12" t="n"/>
      <c r="L2414" s="14" t="n"/>
      <c r="M2414" s="12" t="n"/>
      <c r="N2414" s="12" t="n"/>
      <c r="O2414" s="12" t="n"/>
    </row>
    <row r="2415">
      <c r="A2415" s="12" t="n"/>
      <c r="B2415" s="13">
        <f>IF($A2415="","",IFERROR(INDEX(Emp_Names,MATCH($A2415,Emp_Codes,0)),"NOT FOUND"))</f>
        <v/>
      </c>
      <c r="C2415" s="14" t="n"/>
      <c r="D2415" s="15" t="n"/>
      <c r="E2415" s="15" t="n"/>
      <c r="F2415" s="15" t="n"/>
      <c r="G2415" s="15" t="n"/>
      <c r="H2415" s="16">
        <f>IF($A2415="","",$D2415+IF($E2415="",0,$E2415)+IF($F2415="",0,$F2415)-IF($G2415="",0,$G2415))</f>
        <v/>
      </c>
      <c r="I2415" s="12" t="n"/>
      <c r="J2415" s="12" t="n"/>
      <c r="K2415" s="12" t="n"/>
      <c r="L2415" s="14" t="n"/>
      <c r="M2415" s="12" t="n"/>
      <c r="N2415" s="12" t="n"/>
      <c r="O2415" s="12" t="n"/>
    </row>
    <row r="2416">
      <c r="A2416" s="12" t="n"/>
      <c r="B2416" s="13">
        <f>IF($A2416="","",IFERROR(INDEX(Emp_Names,MATCH($A2416,Emp_Codes,0)),"NOT FOUND"))</f>
        <v/>
      </c>
      <c r="C2416" s="14" t="n"/>
      <c r="D2416" s="15" t="n"/>
      <c r="E2416" s="15" t="n"/>
      <c r="F2416" s="15" t="n"/>
      <c r="G2416" s="15" t="n"/>
      <c r="H2416" s="16">
        <f>IF($A2416="","",$D2416+IF($E2416="",0,$E2416)+IF($F2416="",0,$F2416)-IF($G2416="",0,$G2416))</f>
        <v/>
      </c>
      <c r="I2416" s="12" t="n"/>
      <c r="J2416" s="12" t="n"/>
      <c r="K2416" s="12" t="n"/>
      <c r="L2416" s="14" t="n"/>
      <c r="M2416" s="12" t="n"/>
      <c r="N2416" s="12" t="n"/>
      <c r="O2416" s="12" t="n"/>
    </row>
    <row r="2417">
      <c r="A2417" s="12" t="n"/>
      <c r="B2417" s="13">
        <f>IF($A2417="","",IFERROR(INDEX(Emp_Names,MATCH($A2417,Emp_Codes,0)),"NOT FOUND"))</f>
        <v/>
      </c>
      <c r="C2417" s="14" t="n"/>
      <c r="D2417" s="15" t="n"/>
      <c r="E2417" s="15" t="n"/>
      <c r="F2417" s="15" t="n"/>
      <c r="G2417" s="15" t="n"/>
      <c r="H2417" s="16">
        <f>IF($A2417="","",$D2417+IF($E2417="",0,$E2417)+IF($F2417="",0,$F2417)-IF($G2417="",0,$G2417))</f>
        <v/>
      </c>
      <c r="I2417" s="12" t="n"/>
      <c r="J2417" s="12" t="n"/>
      <c r="K2417" s="12" t="n"/>
      <c r="L2417" s="14" t="n"/>
      <c r="M2417" s="12" t="n"/>
      <c r="N2417" s="12" t="n"/>
      <c r="O2417" s="12" t="n"/>
    </row>
    <row r="2418">
      <c r="A2418" s="12" t="n"/>
      <c r="B2418" s="13">
        <f>IF($A2418="","",IFERROR(INDEX(Emp_Names,MATCH($A2418,Emp_Codes,0)),"NOT FOUND"))</f>
        <v/>
      </c>
      <c r="C2418" s="14" t="n"/>
      <c r="D2418" s="15" t="n"/>
      <c r="E2418" s="15" t="n"/>
      <c r="F2418" s="15" t="n"/>
      <c r="G2418" s="15" t="n"/>
      <c r="H2418" s="16">
        <f>IF($A2418="","",$D2418+IF($E2418="",0,$E2418)+IF($F2418="",0,$F2418)-IF($G2418="",0,$G2418))</f>
        <v/>
      </c>
      <c r="I2418" s="12" t="n"/>
      <c r="J2418" s="12" t="n"/>
      <c r="K2418" s="12" t="n"/>
      <c r="L2418" s="14" t="n"/>
      <c r="M2418" s="12" t="n"/>
      <c r="N2418" s="12" t="n"/>
      <c r="O2418" s="12" t="n"/>
    </row>
    <row r="2419">
      <c r="A2419" s="12" t="n"/>
      <c r="B2419" s="13">
        <f>IF($A2419="","",IFERROR(INDEX(Emp_Names,MATCH($A2419,Emp_Codes,0)),"NOT FOUND"))</f>
        <v/>
      </c>
      <c r="C2419" s="14" t="n"/>
      <c r="D2419" s="15" t="n"/>
      <c r="E2419" s="15" t="n"/>
      <c r="F2419" s="15" t="n"/>
      <c r="G2419" s="15" t="n"/>
      <c r="H2419" s="16">
        <f>IF($A2419="","",$D2419+IF($E2419="",0,$E2419)+IF($F2419="",0,$F2419)-IF($G2419="",0,$G2419))</f>
        <v/>
      </c>
      <c r="I2419" s="12" t="n"/>
      <c r="J2419" s="12" t="n"/>
      <c r="K2419" s="12" t="n"/>
      <c r="L2419" s="14" t="n"/>
      <c r="M2419" s="12" t="n"/>
      <c r="N2419" s="12" t="n"/>
      <c r="O2419" s="12" t="n"/>
    </row>
    <row r="2420">
      <c r="A2420" s="12" t="n"/>
      <c r="B2420" s="13">
        <f>IF($A2420="","",IFERROR(INDEX(Emp_Names,MATCH($A2420,Emp_Codes,0)),"NOT FOUND"))</f>
        <v/>
      </c>
      <c r="C2420" s="14" t="n"/>
      <c r="D2420" s="15" t="n"/>
      <c r="E2420" s="15" t="n"/>
      <c r="F2420" s="15" t="n"/>
      <c r="G2420" s="15" t="n"/>
      <c r="H2420" s="16">
        <f>IF($A2420="","",$D2420+IF($E2420="",0,$E2420)+IF($F2420="",0,$F2420)-IF($G2420="",0,$G2420))</f>
        <v/>
      </c>
      <c r="I2420" s="12" t="n"/>
      <c r="J2420" s="12" t="n"/>
      <c r="K2420" s="12" t="n"/>
      <c r="L2420" s="14" t="n"/>
      <c r="M2420" s="12" t="n"/>
      <c r="N2420" s="12" t="n"/>
      <c r="O2420" s="12" t="n"/>
    </row>
    <row r="2421">
      <c r="A2421" s="12" t="n"/>
      <c r="B2421" s="13">
        <f>IF($A2421="","",IFERROR(INDEX(Emp_Names,MATCH($A2421,Emp_Codes,0)),"NOT FOUND"))</f>
        <v/>
      </c>
      <c r="C2421" s="14" t="n"/>
      <c r="D2421" s="15" t="n"/>
      <c r="E2421" s="15" t="n"/>
      <c r="F2421" s="15" t="n"/>
      <c r="G2421" s="15" t="n"/>
      <c r="H2421" s="16">
        <f>IF($A2421="","",$D2421+IF($E2421="",0,$E2421)+IF($F2421="",0,$F2421)-IF($G2421="",0,$G2421))</f>
        <v/>
      </c>
      <c r="I2421" s="12" t="n"/>
      <c r="J2421" s="12" t="n"/>
      <c r="K2421" s="12" t="n"/>
      <c r="L2421" s="14" t="n"/>
      <c r="M2421" s="12" t="n"/>
      <c r="N2421" s="12" t="n"/>
      <c r="O2421" s="12" t="n"/>
    </row>
    <row r="2422">
      <c r="A2422" s="12" t="n"/>
      <c r="B2422" s="13">
        <f>IF($A2422="","",IFERROR(INDEX(Emp_Names,MATCH($A2422,Emp_Codes,0)),"NOT FOUND"))</f>
        <v/>
      </c>
      <c r="C2422" s="14" t="n"/>
      <c r="D2422" s="15" t="n"/>
      <c r="E2422" s="15" t="n"/>
      <c r="F2422" s="15" t="n"/>
      <c r="G2422" s="15" t="n"/>
      <c r="H2422" s="16">
        <f>IF($A2422="","",$D2422+IF($E2422="",0,$E2422)+IF($F2422="",0,$F2422)-IF($G2422="",0,$G2422))</f>
        <v/>
      </c>
      <c r="I2422" s="12" t="n"/>
      <c r="J2422" s="12" t="n"/>
      <c r="K2422" s="12" t="n"/>
      <c r="L2422" s="14" t="n"/>
      <c r="M2422" s="12" t="n"/>
      <c r="N2422" s="12" t="n"/>
      <c r="O2422" s="12" t="n"/>
    </row>
    <row r="2423">
      <c r="A2423" s="12" t="n"/>
      <c r="B2423" s="13">
        <f>IF($A2423="","",IFERROR(INDEX(Emp_Names,MATCH($A2423,Emp_Codes,0)),"NOT FOUND"))</f>
        <v/>
      </c>
      <c r="C2423" s="14" t="n"/>
      <c r="D2423" s="15" t="n"/>
      <c r="E2423" s="15" t="n"/>
      <c r="F2423" s="15" t="n"/>
      <c r="G2423" s="15" t="n"/>
      <c r="H2423" s="16">
        <f>IF($A2423="","",$D2423+IF($E2423="",0,$E2423)+IF($F2423="",0,$F2423)-IF($G2423="",0,$G2423))</f>
        <v/>
      </c>
      <c r="I2423" s="12" t="n"/>
      <c r="J2423" s="12" t="n"/>
      <c r="K2423" s="12" t="n"/>
      <c r="L2423" s="14" t="n"/>
      <c r="M2423" s="12" t="n"/>
      <c r="N2423" s="12" t="n"/>
      <c r="O2423" s="12" t="n"/>
    </row>
    <row r="2424">
      <c r="A2424" s="12" t="n"/>
      <c r="B2424" s="13">
        <f>IF($A2424="","",IFERROR(INDEX(Emp_Names,MATCH($A2424,Emp_Codes,0)),"NOT FOUND"))</f>
        <v/>
      </c>
      <c r="C2424" s="14" t="n"/>
      <c r="D2424" s="15" t="n"/>
      <c r="E2424" s="15" t="n"/>
      <c r="F2424" s="15" t="n"/>
      <c r="G2424" s="15" t="n"/>
      <c r="H2424" s="16">
        <f>IF($A2424="","",$D2424+IF($E2424="",0,$E2424)+IF($F2424="",0,$F2424)-IF($G2424="",0,$G2424))</f>
        <v/>
      </c>
      <c r="I2424" s="12" t="n"/>
      <c r="J2424" s="12" t="n"/>
      <c r="K2424" s="12" t="n"/>
      <c r="L2424" s="14" t="n"/>
      <c r="M2424" s="12" t="n"/>
      <c r="N2424" s="12" t="n"/>
      <c r="O2424" s="12" t="n"/>
    </row>
    <row r="2425">
      <c r="A2425" s="12" t="n"/>
      <c r="B2425" s="13">
        <f>IF($A2425="","",IFERROR(INDEX(Emp_Names,MATCH($A2425,Emp_Codes,0)),"NOT FOUND"))</f>
        <v/>
      </c>
      <c r="C2425" s="14" t="n"/>
      <c r="D2425" s="15" t="n"/>
      <c r="E2425" s="15" t="n"/>
      <c r="F2425" s="15" t="n"/>
      <c r="G2425" s="15" t="n"/>
      <c r="H2425" s="16">
        <f>IF($A2425="","",$D2425+IF($E2425="",0,$E2425)+IF($F2425="",0,$F2425)-IF($G2425="",0,$G2425))</f>
        <v/>
      </c>
      <c r="I2425" s="12" t="n"/>
      <c r="J2425" s="12" t="n"/>
      <c r="K2425" s="12" t="n"/>
      <c r="L2425" s="14" t="n"/>
      <c r="M2425" s="12" t="n"/>
      <c r="N2425" s="12" t="n"/>
      <c r="O2425" s="12" t="n"/>
    </row>
    <row r="2426">
      <c r="A2426" s="12" t="n"/>
      <c r="B2426" s="13">
        <f>IF($A2426="","",IFERROR(INDEX(Emp_Names,MATCH($A2426,Emp_Codes,0)),"NOT FOUND"))</f>
        <v/>
      </c>
      <c r="C2426" s="14" t="n"/>
      <c r="D2426" s="15" t="n"/>
      <c r="E2426" s="15" t="n"/>
      <c r="F2426" s="15" t="n"/>
      <c r="G2426" s="15" t="n"/>
      <c r="H2426" s="16">
        <f>IF($A2426="","",$D2426+IF($E2426="",0,$E2426)+IF($F2426="",0,$F2426)-IF($G2426="",0,$G2426))</f>
        <v/>
      </c>
      <c r="I2426" s="12" t="n"/>
      <c r="J2426" s="12" t="n"/>
      <c r="K2426" s="12" t="n"/>
      <c r="L2426" s="14" t="n"/>
      <c r="M2426" s="12" t="n"/>
      <c r="N2426" s="12" t="n"/>
      <c r="O2426" s="12" t="n"/>
    </row>
    <row r="2427">
      <c r="A2427" s="12" t="n"/>
      <c r="B2427" s="13">
        <f>IF($A2427="","",IFERROR(INDEX(Emp_Names,MATCH($A2427,Emp_Codes,0)),"NOT FOUND"))</f>
        <v/>
      </c>
      <c r="C2427" s="14" t="n"/>
      <c r="D2427" s="15" t="n"/>
      <c r="E2427" s="15" t="n"/>
      <c r="F2427" s="15" t="n"/>
      <c r="G2427" s="15" t="n"/>
      <c r="H2427" s="16">
        <f>IF($A2427="","",$D2427+IF($E2427="",0,$E2427)+IF($F2427="",0,$F2427)-IF($G2427="",0,$G2427))</f>
        <v/>
      </c>
      <c r="I2427" s="12" t="n"/>
      <c r="J2427" s="12" t="n"/>
      <c r="K2427" s="12" t="n"/>
      <c r="L2427" s="14" t="n"/>
      <c r="M2427" s="12" t="n"/>
      <c r="N2427" s="12" t="n"/>
      <c r="O2427" s="12" t="n"/>
    </row>
    <row r="2428">
      <c r="A2428" s="12" t="n"/>
      <c r="B2428" s="13">
        <f>IF($A2428="","",IFERROR(INDEX(Emp_Names,MATCH($A2428,Emp_Codes,0)),"NOT FOUND"))</f>
        <v/>
      </c>
      <c r="C2428" s="14" t="n"/>
      <c r="D2428" s="15" t="n"/>
      <c r="E2428" s="15" t="n"/>
      <c r="F2428" s="15" t="n"/>
      <c r="G2428" s="15" t="n"/>
      <c r="H2428" s="16">
        <f>IF($A2428="","",$D2428+IF($E2428="",0,$E2428)+IF($F2428="",0,$F2428)-IF($G2428="",0,$G2428))</f>
        <v/>
      </c>
      <c r="I2428" s="12" t="n"/>
      <c r="J2428" s="12" t="n"/>
      <c r="K2428" s="12" t="n"/>
      <c r="L2428" s="14" t="n"/>
      <c r="M2428" s="12" t="n"/>
      <c r="N2428" s="12" t="n"/>
      <c r="O2428" s="12" t="n"/>
    </row>
    <row r="2429">
      <c r="A2429" s="12" t="n"/>
      <c r="B2429" s="13">
        <f>IF($A2429="","",IFERROR(INDEX(Emp_Names,MATCH($A2429,Emp_Codes,0)),"NOT FOUND"))</f>
        <v/>
      </c>
      <c r="C2429" s="14" t="n"/>
      <c r="D2429" s="15" t="n"/>
      <c r="E2429" s="15" t="n"/>
      <c r="F2429" s="15" t="n"/>
      <c r="G2429" s="15" t="n"/>
      <c r="H2429" s="16">
        <f>IF($A2429="","",$D2429+IF($E2429="",0,$E2429)+IF($F2429="",0,$F2429)-IF($G2429="",0,$G2429))</f>
        <v/>
      </c>
      <c r="I2429" s="12" t="n"/>
      <c r="J2429" s="12" t="n"/>
      <c r="K2429" s="12" t="n"/>
      <c r="L2429" s="14" t="n"/>
      <c r="M2429" s="12" t="n"/>
      <c r="N2429" s="12" t="n"/>
      <c r="O2429" s="12" t="n"/>
    </row>
    <row r="2430">
      <c r="A2430" s="12" t="n"/>
      <c r="B2430" s="13">
        <f>IF($A2430="","",IFERROR(INDEX(Emp_Names,MATCH($A2430,Emp_Codes,0)),"NOT FOUND"))</f>
        <v/>
      </c>
      <c r="C2430" s="14" t="n"/>
      <c r="D2430" s="15" t="n"/>
      <c r="E2430" s="15" t="n"/>
      <c r="F2430" s="15" t="n"/>
      <c r="G2430" s="15" t="n"/>
      <c r="H2430" s="16">
        <f>IF($A2430="","",$D2430+IF($E2430="",0,$E2430)+IF($F2430="",0,$F2430)-IF($G2430="",0,$G2430))</f>
        <v/>
      </c>
      <c r="I2430" s="12" t="n"/>
      <c r="J2430" s="12" t="n"/>
      <c r="K2430" s="12" t="n"/>
      <c r="L2430" s="14" t="n"/>
      <c r="M2430" s="12" t="n"/>
      <c r="N2430" s="12" t="n"/>
      <c r="O2430" s="12" t="n"/>
    </row>
    <row r="2431">
      <c r="A2431" s="12" t="n"/>
      <c r="B2431" s="13">
        <f>IF($A2431="","",IFERROR(INDEX(Emp_Names,MATCH($A2431,Emp_Codes,0)),"NOT FOUND"))</f>
        <v/>
      </c>
      <c r="C2431" s="14" t="n"/>
      <c r="D2431" s="15" t="n"/>
      <c r="E2431" s="15" t="n"/>
      <c r="F2431" s="15" t="n"/>
      <c r="G2431" s="15" t="n"/>
      <c r="H2431" s="16">
        <f>IF($A2431="","",$D2431+IF($E2431="",0,$E2431)+IF($F2431="",0,$F2431)-IF($G2431="",0,$G2431))</f>
        <v/>
      </c>
      <c r="I2431" s="12" t="n"/>
      <c r="J2431" s="12" t="n"/>
      <c r="K2431" s="12" t="n"/>
      <c r="L2431" s="14" t="n"/>
      <c r="M2431" s="12" t="n"/>
      <c r="N2431" s="12" t="n"/>
      <c r="O2431" s="12" t="n"/>
    </row>
    <row r="2432">
      <c r="A2432" s="12" t="n"/>
      <c r="B2432" s="13">
        <f>IF($A2432="","",IFERROR(INDEX(Emp_Names,MATCH($A2432,Emp_Codes,0)),"NOT FOUND"))</f>
        <v/>
      </c>
      <c r="C2432" s="14" t="n"/>
      <c r="D2432" s="15" t="n"/>
      <c r="E2432" s="15" t="n"/>
      <c r="F2432" s="15" t="n"/>
      <c r="G2432" s="15" t="n"/>
      <c r="H2432" s="16">
        <f>IF($A2432="","",$D2432+IF($E2432="",0,$E2432)+IF($F2432="",0,$F2432)-IF($G2432="",0,$G2432))</f>
        <v/>
      </c>
      <c r="I2432" s="12" t="n"/>
      <c r="J2432" s="12" t="n"/>
      <c r="K2432" s="12" t="n"/>
      <c r="L2432" s="14" t="n"/>
      <c r="M2432" s="12" t="n"/>
      <c r="N2432" s="12" t="n"/>
      <c r="O2432" s="12" t="n"/>
    </row>
    <row r="2433">
      <c r="A2433" s="12" t="n"/>
      <c r="B2433" s="13">
        <f>IF($A2433="","",IFERROR(INDEX(Emp_Names,MATCH($A2433,Emp_Codes,0)),"NOT FOUND"))</f>
        <v/>
      </c>
      <c r="C2433" s="14" t="n"/>
      <c r="D2433" s="15" t="n"/>
      <c r="E2433" s="15" t="n"/>
      <c r="F2433" s="15" t="n"/>
      <c r="G2433" s="15" t="n"/>
      <c r="H2433" s="16">
        <f>IF($A2433="","",$D2433+IF($E2433="",0,$E2433)+IF($F2433="",0,$F2433)-IF($G2433="",0,$G2433))</f>
        <v/>
      </c>
      <c r="I2433" s="12" t="n"/>
      <c r="J2433" s="12" t="n"/>
      <c r="K2433" s="12" t="n"/>
      <c r="L2433" s="14" t="n"/>
      <c r="M2433" s="12" t="n"/>
      <c r="N2433" s="12" t="n"/>
      <c r="O2433" s="12" t="n"/>
    </row>
    <row r="2434">
      <c r="A2434" s="12" t="n"/>
      <c r="B2434" s="13">
        <f>IF($A2434="","",IFERROR(INDEX(Emp_Names,MATCH($A2434,Emp_Codes,0)),"NOT FOUND"))</f>
        <v/>
      </c>
      <c r="C2434" s="14" t="n"/>
      <c r="D2434" s="15" t="n"/>
      <c r="E2434" s="15" t="n"/>
      <c r="F2434" s="15" t="n"/>
      <c r="G2434" s="15" t="n"/>
      <c r="H2434" s="16">
        <f>IF($A2434="","",$D2434+IF($E2434="",0,$E2434)+IF($F2434="",0,$F2434)-IF($G2434="",0,$G2434))</f>
        <v/>
      </c>
      <c r="I2434" s="12" t="n"/>
      <c r="J2434" s="12" t="n"/>
      <c r="K2434" s="12" t="n"/>
      <c r="L2434" s="14" t="n"/>
      <c r="M2434" s="12" t="n"/>
      <c r="N2434" s="12" t="n"/>
      <c r="O2434" s="12" t="n"/>
    </row>
    <row r="2435">
      <c r="A2435" s="12" t="n"/>
      <c r="B2435" s="13">
        <f>IF($A2435="","",IFERROR(INDEX(Emp_Names,MATCH($A2435,Emp_Codes,0)),"NOT FOUND"))</f>
        <v/>
      </c>
      <c r="C2435" s="14" t="n"/>
      <c r="D2435" s="15" t="n"/>
      <c r="E2435" s="15" t="n"/>
      <c r="F2435" s="15" t="n"/>
      <c r="G2435" s="15" t="n"/>
      <c r="H2435" s="16">
        <f>IF($A2435="","",$D2435+IF($E2435="",0,$E2435)+IF($F2435="",0,$F2435)-IF($G2435="",0,$G2435))</f>
        <v/>
      </c>
      <c r="I2435" s="12" t="n"/>
      <c r="J2435" s="12" t="n"/>
      <c r="K2435" s="12" t="n"/>
      <c r="L2435" s="14" t="n"/>
      <c r="M2435" s="12" t="n"/>
      <c r="N2435" s="12" t="n"/>
      <c r="O2435" s="12" t="n"/>
    </row>
    <row r="2436">
      <c r="A2436" s="12" t="n"/>
      <c r="B2436" s="13">
        <f>IF($A2436="","",IFERROR(INDEX(Emp_Names,MATCH($A2436,Emp_Codes,0)),"NOT FOUND"))</f>
        <v/>
      </c>
      <c r="C2436" s="14" t="n"/>
      <c r="D2436" s="15" t="n"/>
      <c r="E2436" s="15" t="n"/>
      <c r="F2436" s="15" t="n"/>
      <c r="G2436" s="15" t="n"/>
      <c r="H2436" s="16">
        <f>IF($A2436="","",$D2436+IF($E2436="",0,$E2436)+IF($F2436="",0,$F2436)-IF($G2436="",0,$G2436))</f>
        <v/>
      </c>
      <c r="I2436" s="12" t="n"/>
      <c r="J2436" s="12" t="n"/>
      <c r="K2436" s="12" t="n"/>
      <c r="L2436" s="14" t="n"/>
      <c r="M2436" s="12" t="n"/>
      <c r="N2436" s="12" t="n"/>
      <c r="O2436" s="12" t="n"/>
    </row>
    <row r="2437">
      <c r="A2437" s="12" t="n"/>
      <c r="B2437" s="13">
        <f>IF($A2437="","",IFERROR(INDEX(Emp_Names,MATCH($A2437,Emp_Codes,0)),"NOT FOUND"))</f>
        <v/>
      </c>
      <c r="C2437" s="14" t="n"/>
      <c r="D2437" s="15" t="n"/>
      <c r="E2437" s="15" t="n"/>
      <c r="F2437" s="15" t="n"/>
      <c r="G2437" s="15" t="n"/>
      <c r="H2437" s="16">
        <f>IF($A2437="","",$D2437+IF($E2437="",0,$E2437)+IF($F2437="",0,$F2437)-IF($G2437="",0,$G2437))</f>
        <v/>
      </c>
      <c r="I2437" s="12" t="n"/>
      <c r="J2437" s="12" t="n"/>
      <c r="K2437" s="12" t="n"/>
      <c r="L2437" s="14" t="n"/>
      <c r="M2437" s="12" t="n"/>
      <c r="N2437" s="12" t="n"/>
      <c r="O2437" s="12" t="n"/>
    </row>
    <row r="2438">
      <c r="A2438" s="12" t="n"/>
      <c r="B2438" s="13">
        <f>IF($A2438="","",IFERROR(INDEX(Emp_Names,MATCH($A2438,Emp_Codes,0)),"NOT FOUND"))</f>
        <v/>
      </c>
      <c r="C2438" s="14" t="n"/>
      <c r="D2438" s="15" t="n"/>
      <c r="E2438" s="15" t="n"/>
      <c r="F2438" s="15" t="n"/>
      <c r="G2438" s="15" t="n"/>
      <c r="H2438" s="16">
        <f>IF($A2438="","",$D2438+IF($E2438="",0,$E2438)+IF($F2438="",0,$F2438)-IF($G2438="",0,$G2438))</f>
        <v/>
      </c>
      <c r="I2438" s="12" t="n"/>
      <c r="J2438" s="12" t="n"/>
      <c r="K2438" s="12" t="n"/>
      <c r="L2438" s="14" t="n"/>
      <c r="M2438" s="12" t="n"/>
      <c r="N2438" s="12" t="n"/>
      <c r="O2438" s="12" t="n"/>
    </row>
    <row r="2439">
      <c r="A2439" s="12" t="n"/>
      <c r="B2439" s="13">
        <f>IF($A2439="","",IFERROR(INDEX(Emp_Names,MATCH($A2439,Emp_Codes,0)),"NOT FOUND"))</f>
        <v/>
      </c>
      <c r="C2439" s="14" t="n"/>
      <c r="D2439" s="15" t="n"/>
      <c r="E2439" s="15" t="n"/>
      <c r="F2439" s="15" t="n"/>
      <c r="G2439" s="15" t="n"/>
      <c r="H2439" s="16">
        <f>IF($A2439="","",$D2439+IF($E2439="",0,$E2439)+IF($F2439="",0,$F2439)-IF($G2439="",0,$G2439))</f>
        <v/>
      </c>
      <c r="I2439" s="12" t="n"/>
      <c r="J2439" s="12" t="n"/>
      <c r="K2439" s="12" t="n"/>
      <c r="L2439" s="14" t="n"/>
      <c r="M2439" s="12" t="n"/>
      <c r="N2439" s="12" t="n"/>
      <c r="O2439" s="12" t="n"/>
    </row>
    <row r="2440">
      <c r="A2440" s="12" t="n"/>
      <c r="B2440" s="13">
        <f>IF($A2440="","",IFERROR(INDEX(Emp_Names,MATCH($A2440,Emp_Codes,0)),"NOT FOUND"))</f>
        <v/>
      </c>
      <c r="C2440" s="14" t="n"/>
      <c r="D2440" s="15" t="n"/>
      <c r="E2440" s="15" t="n"/>
      <c r="F2440" s="15" t="n"/>
      <c r="G2440" s="15" t="n"/>
      <c r="H2440" s="16">
        <f>IF($A2440="","",$D2440+IF($E2440="",0,$E2440)+IF($F2440="",0,$F2440)-IF($G2440="",0,$G2440))</f>
        <v/>
      </c>
      <c r="I2440" s="12" t="n"/>
      <c r="J2440" s="12" t="n"/>
      <c r="K2440" s="12" t="n"/>
      <c r="L2440" s="14" t="n"/>
      <c r="M2440" s="12" t="n"/>
      <c r="N2440" s="12" t="n"/>
      <c r="O2440" s="12" t="n"/>
    </row>
    <row r="2441">
      <c r="A2441" s="12" t="n"/>
      <c r="B2441" s="13">
        <f>IF($A2441="","",IFERROR(INDEX(Emp_Names,MATCH($A2441,Emp_Codes,0)),"NOT FOUND"))</f>
        <v/>
      </c>
      <c r="C2441" s="14" t="n"/>
      <c r="D2441" s="15" t="n"/>
      <c r="E2441" s="15" t="n"/>
      <c r="F2441" s="15" t="n"/>
      <c r="G2441" s="15" t="n"/>
      <c r="H2441" s="16">
        <f>IF($A2441="","",$D2441+IF($E2441="",0,$E2441)+IF($F2441="",0,$F2441)-IF($G2441="",0,$G2441))</f>
        <v/>
      </c>
      <c r="I2441" s="12" t="n"/>
      <c r="J2441" s="12" t="n"/>
      <c r="K2441" s="12" t="n"/>
      <c r="L2441" s="14" t="n"/>
      <c r="M2441" s="12" t="n"/>
      <c r="N2441" s="12" t="n"/>
      <c r="O2441" s="12" t="n"/>
    </row>
    <row r="2442">
      <c r="A2442" s="12" t="n"/>
      <c r="B2442" s="13">
        <f>IF($A2442="","",IFERROR(INDEX(Emp_Names,MATCH($A2442,Emp_Codes,0)),"NOT FOUND"))</f>
        <v/>
      </c>
      <c r="C2442" s="14" t="n"/>
      <c r="D2442" s="15" t="n"/>
      <c r="E2442" s="15" t="n"/>
      <c r="F2442" s="15" t="n"/>
      <c r="G2442" s="15" t="n"/>
      <c r="H2442" s="16">
        <f>IF($A2442="","",$D2442+IF($E2442="",0,$E2442)+IF($F2442="",0,$F2442)-IF($G2442="",0,$G2442))</f>
        <v/>
      </c>
      <c r="I2442" s="12" t="n"/>
      <c r="J2442" s="12" t="n"/>
      <c r="K2442" s="12" t="n"/>
      <c r="L2442" s="14" t="n"/>
      <c r="M2442" s="12" t="n"/>
      <c r="N2442" s="12" t="n"/>
      <c r="O2442" s="12" t="n"/>
    </row>
    <row r="2443">
      <c r="A2443" s="12" t="n"/>
      <c r="B2443" s="13">
        <f>IF($A2443="","",IFERROR(INDEX(Emp_Names,MATCH($A2443,Emp_Codes,0)),"NOT FOUND"))</f>
        <v/>
      </c>
      <c r="C2443" s="14" t="n"/>
      <c r="D2443" s="15" t="n"/>
      <c r="E2443" s="15" t="n"/>
      <c r="F2443" s="15" t="n"/>
      <c r="G2443" s="15" t="n"/>
      <c r="H2443" s="16">
        <f>IF($A2443="","",$D2443+IF($E2443="",0,$E2443)+IF($F2443="",0,$F2443)-IF($G2443="",0,$G2443))</f>
        <v/>
      </c>
      <c r="I2443" s="12" t="n"/>
      <c r="J2443" s="12" t="n"/>
      <c r="K2443" s="12" t="n"/>
      <c r="L2443" s="14" t="n"/>
      <c r="M2443" s="12" t="n"/>
      <c r="N2443" s="12" t="n"/>
      <c r="O2443" s="12" t="n"/>
    </row>
    <row r="2444">
      <c r="A2444" s="12" t="n"/>
      <c r="B2444" s="13">
        <f>IF($A2444="","",IFERROR(INDEX(Emp_Names,MATCH($A2444,Emp_Codes,0)),"NOT FOUND"))</f>
        <v/>
      </c>
      <c r="C2444" s="14" t="n"/>
      <c r="D2444" s="15" t="n"/>
      <c r="E2444" s="15" t="n"/>
      <c r="F2444" s="15" t="n"/>
      <c r="G2444" s="15" t="n"/>
      <c r="H2444" s="16">
        <f>IF($A2444="","",$D2444+IF($E2444="",0,$E2444)+IF($F2444="",0,$F2444)-IF($G2444="",0,$G2444))</f>
        <v/>
      </c>
      <c r="I2444" s="12" t="n"/>
      <c r="J2444" s="12" t="n"/>
      <c r="K2444" s="12" t="n"/>
      <c r="L2444" s="14" t="n"/>
      <c r="M2444" s="12" t="n"/>
      <c r="N2444" s="12" t="n"/>
      <c r="O2444" s="12" t="n"/>
    </row>
    <row r="2445">
      <c r="A2445" s="12" t="n"/>
      <c r="B2445" s="13">
        <f>IF($A2445="","",IFERROR(INDEX(Emp_Names,MATCH($A2445,Emp_Codes,0)),"NOT FOUND"))</f>
        <v/>
      </c>
      <c r="C2445" s="14" t="n"/>
      <c r="D2445" s="15" t="n"/>
      <c r="E2445" s="15" t="n"/>
      <c r="F2445" s="15" t="n"/>
      <c r="G2445" s="15" t="n"/>
      <c r="H2445" s="16">
        <f>IF($A2445="","",$D2445+IF($E2445="",0,$E2445)+IF($F2445="",0,$F2445)-IF($G2445="",0,$G2445))</f>
        <v/>
      </c>
      <c r="I2445" s="12" t="n"/>
      <c r="J2445" s="12" t="n"/>
      <c r="K2445" s="12" t="n"/>
      <c r="L2445" s="14" t="n"/>
      <c r="M2445" s="12" t="n"/>
      <c r="N2445" s="12" t="n"/>
      <c r="O2445" s="12" t="n"/>
    </row>
    <row r="2446">
      <c r="A2446" s="12" t="n"/>
      <c r="B2446" s="13">
        <f>IF($A2446="","",IFERROR(INDEX(Emp_Names,MATCH($A2446,Emp_Codes,0)),"NOT FOUND"))</f>
        <v/>
      </c>
      <c r="C2446" s="14" t="n"/>
      <c r="D2446" s="15" t="n"/>
      <c r="E2446" s="15" t="n"/>
      <c r="F2446" s="15" t="n"/>
      <c r="G2446" s="15" t="n"/>
      <c r="H2446" s="16">
        <f>IF($A2446="","",$D2446+IF($E2446="",0,$E2446)+IF($F2446="",0,$F2446)-IF($G2446="",0,$G2446))</f>
        <v/>
      </c>
      <c r="I2446" s="12" t="n"/>
      <c r="J2446" s="12" t="n"/>
      <c r="K2446" s="12" t="n"/>
      <c r="L2446" s="14" t="n"/>
      <c r="M2446" s="12" t="n"/>
      <c r="N2446" s="12" t="n"/>
      <c r="O2446" s="12" t="n"/>
    </row>
    <row r="2447">
      <c r="A2447" s="12" t="n"/>
      <c r="B2447" s="13">
        <f>IF($A2447="","",IFERROR(INDEX(Emp_Names,MATCH($A2447,Emp_Codes,0)),"NOT FOUND"))</f>
        <v/>
      </c>
      <c r="C2447" s="14" t="n"/>
      <c r="D2447" s="15" t="n"/>
      <c r="E2447" s="15" t="n"/>
      <c r="F2447" s="15" t="n"/>
      <c r="G2447" s="15" t="n"/>
      <c r="H2447" s="16">
        <f>IF($A2447="","",$D2447+IF($E2447="",0,$E2447)+IF($F2447="",0,$F2447)-IF($G2447="",0,$G2447))</f>
        <v/>
      </c>
      <c r="I2447" s="12" t="n"/>
      <c r="J2447" s="12" t="n"/>
      <c r="K2447" s="12" t="n"/>
      <c r="L2447" s="14" t="n"/>
      <c r="M2447" s="12" t="n"/>
      <c r="N2447" s="12" t="n"/>
      <c r="O2447" s="12" t="n"/>
    </row>
    <row r="2448">
      <c r="A2448" s="12" t="n"/>
      <c r="B2448" s="13">
        <f>IF($A2448="","",IFERROR(INDEX(Emp_Names,MATCH($A2448,Emp_Codes,0)),"NOT FOUND"))</f>
        <v/>
      </c>
      <c r="C2448" s="14" t="n"/>
      <c r="D2448" s="15" t="n"/>
      <c r="E2448" s="15" t="n"/>
      <c r="F2448" s="15" t="n"/>
      <c r="G2448" s="15" t="n"/>
      <c r="H2448" s="16">
        <f>IF($A2448="","",$D2448+IF($E2448="",0,$E2448)+IF($F2448="",0,$F2448)-IF($G2448="",0,$G2448))</f>
        <v/>
      </c>
      <c r="I2448" s="12" t="n"/>
      <c r="J2448" s="12" t="n"/>
      <c r="K2448" s="12" t="n"/>
      <c r="L2448" s="14" t="n"/>
      <c r="M2448" s="12" t="n"/>
      <c r="N2448" s="12" t="n"/>
      <c r="O2448" s="12" t="n"/>
    </row>
    <row r="2449">
      <c r="A2449" s="12" t="n"/>
      <c r="B2449" s="13">
        <f>IF($A2449="","",IFERROR(INDEX(Emp_Names,MATCH($A2449,Emp_Codes,0)),"NOT FOUND"))</f>
        <v/>
      </c>
      <c r="C2449" s="14" t="n"/>
      <c r="D2449" s="15" t="n"/>
      <c r="E2449" s="15" t="n"/>
      <c r="F2449" s="15" t="n"/>
      <c r="G2449" s="15" t="n"/>
      <c r="H2449" s="16">
        <f>IF($A2449="","",$D2449+IF($E2449="",0,$E2449)+IF($F2449="",0,$F2449)-IF($G2449="",0,$G2449))</f>
        <v/>
      </c>
      <c r="I2449" s="12" t="n"/>
      <c r="J2449" s="12" t="n"/>
      <c r="K2449" s="12" t="n"/>
      <c r="L2449" s="14" t="n"/>
      <c r="M2449" s="12" t="n"/>
      <c r="N2449" s="12" t="n"/>
      <c r="O2449" s="12" t="n"/>
    </row>
    <row r="2450">
      <c r="A2450" s="12" t="n"/>
      <c r="B2450" s="13">
        <f>IF($A2450="","",IFERROR(INDEX(Emp_Names,MATCH($A2450,Emp_Codes,0)),"NOT FOUND"))</f>
        <v/>
      </c>
      <c r="C2450" s="14" t="n"/>
      <c r="D2450" s="15" t="n"/>
      <c r="E2450" s="15" t="n"/>
      <c r="F2450" s="15" t="n"/>
      <c r="G2450" s="15" t="n"/>
      <c r="H2450" s="16">
        <f>IF($A2450="","",$D2450+IF($E2450="",0,$E2450)+IF($F2450="",0,$F2450)-IF($G2450="",0,$G2450))</f>
        <v/>
      </c>
      <c r="I2450" s="12" t="n"/>
      <c r="J2450" s="12" t="n"/>
      <c r="K2450" s="12" t="n"/>
      <c r="L2450" s="14" t="n"/>
      <c r="M2450" s="12" t="n"/>
      <c r="N2450" s="12" t="n"/>
      <c r="O2450" s="12" t="n"/>
    </row>
    <row r="2451">
      <c r="A2451" s="12" t="n"/>
      <c r="B2451" s="13">
        <f>IF($A2451="","",IFERROR(INDEX(Emp_Names,MATCH($A2451,Emp_Codes,0)),"NOT FOUND"))</f>
        <v/>
      </c>
      <c r="C2451" s="14" t="n"/>
      <c r="D2451" s="15" t="n"/>
      <c r="E2451" s="15" t="n"/>
      <c r="F2451" s="15" t="n"/>
      <c r="G2451" s="15" t="n"/>
      <c r="H2451" s="16">
        <f>IF($A2451="","",$D2451+IF($E2451="",0,$E2451)+IF($F2451="",0,$F2451)-IF($G2451="",0,$G2451))</f>
        <v/>
      </c>
      <c r="I2451" s="12" t="n"/>
      <c r="J2451" s="12" t="n"/>
      <c r="K2451" s="12" t="n"/>
      <c r="L2451" s="14" t="n"/>
      <c r="M2451" s="12" t="n"/>
      <c r="N2451" s="12" t="n"/>
      <c r="O2451" s="12" t="n"/>
    </row>
    <row r="2452">
      <c r="A2452" s="12" t="n"/>
      <c r="B2452" s="13">
        <f>IF($A2452="","",IFERROR(INDEX(Emp_Names,MATCH($A2452,Emp_Codes,0)),"NOT FOUND"))</f>
        <v/>
      </c>
      <c r="C2452" s="14" t="n"/>
      <c r="D2452" s="15" t="n"/>
      <c r="E2452" s="15" t="n"/>
      <c r="F2452" s="15" t="n"/>
      <c r="G2452" s="15" t="n"/>
      <c r="H2452" s="16">
        <f>IF($A2452="","",$D2452+IF($E2452="",0,$E2452)+IF($F2452="",0,$F2452)-IF($G2452="",0,$G2452))</f>
        <v/>
      </c>
      <c r="I2452" s="12" t="n"/>
      <c r="J2452" s="12" t="n"/>
      <c r="K2452" s="12" t="n"/>
      <c r="L2452" s="14" t="n"/>
      <c r="M2452" s="12" t="n"/>
      <c r="N2452" s="12" t="n"/>
      <c r="O2452" s="12" t="n"/>
    </row>
    <row r="2453">
      <c r="A2453" s="12" t="n"/>
      <c r="B2453" s="13">
        <f>IF($A2453="","",IFERROR(INDEX(Emp_Names,MATCH($A2453,Emp_Codes,0)),"NOT FOUND"))</f>
        <v/>
      </c>
      <c r="C2453" s="14" t="n"/>
      <c r="D2453" s="15" t="n"/>
      <c r="E2453" s="15" t="n"/>
      <c r="F2453" s="15" t="n"/>
      <c r="G2453" s="15" t="n"/>
      <c r="H2453" s="16">
        <f>IF($A2453="","",$D2453+IF($E2453="",0,$E2453)+IF($F2453="",0,$F2453)-IF($G2453="",0,$G2453))</f>
        <v/>
      </c>
      <c r="I2453" s="12" t="n"/>
      <c r="J2453" s="12" t="n"/>
      <c r="K2453" s="12" t="n"/>
      <c r="L2453" s="14" t="n"/>
      <c r="M2453" s="12" t="n"/>
      <c r="N2453" s="12" t="n"/>
      <c r="O2453" s="12" t="n"/>
    </row>
    <row r="2454">
      <c r="A2454" s="12" t="n"/>
      <c r="B2454" s="13">
        <f>IF($A2454="","",IFERROR(INDEX(Emp_Names,MATCH($A2454,Emp_Codes,0)),"NOT FOUND"))</f>
        <v/>
      </c>
      <c r="C2454" s="14" t="n"/>
      <c r="D2454" s="15" t="n"/>
      <c r="E2454" s="15" t="n"/>
      <c r="F2454" s="15" t="n"/>
      <c r="G2454" s="15" t="n"/>
      <c r="H2454" s="16">
        <f>IF($A2454="","",$D2454+IF($E2454="",0,$E2454)+IF($F2454="",0,$F2454)-IF($G2454="",0,$G2454))</f>
        <v/>
      </c>
      <c r="I2454" s="12" t="n"/>
      <c r="J2454" s="12" t="n"/>
      <c r="K2454" s="12" t="n"/>
      <c r="L2454" s="14" t="n"/>
      <c r="M2454" s="12" t="n"/>
      <c r="N2454" s="12" t="n"/>
      <c r="O2454" s="12" t="n"/>
    </row>
    <row r="2455">
      <c r="A2455" s="12" t="n"/>
      <c r="B2455" s="13">
        <f>IF($A2455="","",IFERROR(INDEX(Emp_Names,MATCH($A2455,Emp_Codes,0)),"NOT FOUND"))</f>
        <v/>
      </c>
      <c r="C2455" s="14" t="n"/>
      <c r="D2455" s="15" t="n"/>
      <c r="E2455" s="15" t="n"/>
      <c r="F2455" s="15" t="n"/>
      <c r="G2455" s="15" t="n"/>
      <c r="H2455" s="16">
        <f>IF($A2455="","",$D2455+IF($E2455="",0,$E2455)+IF($F2455="",0,$F2455)-IF($G2455="",0,$G2455))</f>
        <v/>
      </c>
      <c r="I2455" s="12" t="n"/>
      <c r="J2455" s="12" t="n"/>
      <c r="K2455" s="12" t="n"/>
      <c r="L2455" s="14" t="n"/>
      <c r="M2455" s="12" t="n"/>
      <c r="N2455" s="12" t="n"/>
      <c r="O2455" s="12" t="n"/>
    </row>
    <row r="2456">
      <c r="A2456" s="12" t="n"/>
      <c r="B2456" s="13">
        <f>IF($A2456="","",IFERROR(INDEX(Emp_Names,MATCH($A2456,Emp_Codes,0)),"NOT FOUND"))</f>
        <v/>
      </c>
      <c r="C2456" s="14" t="n"/>
      <c r="D2456" s="15" t="n"/>
      <c r="E2456" s="15" t="n"/>
      <c r="F2456" s="15" t="n"/>
      <c r="G2456" s="15" t="n"/>
      <c r="H2456" s="16">
        <f>IF($A2456="","",$D2456+IF($E2456="",0,$E2456)+IF($F2456="",0,$F2456)-IF($G2456="",0,$G2456))</f>
        <v/>
      </c>
      <c r="I2456" s="12" t="n"/>
      <c r="J2456" s="12" t="n"/>
      <c r="K2456" s="12" t="n"/>
      <c r="L2456" s="14" t="n"/>
      <c r="M2456" s="12" t="n"/>
      <c r="N2456" s="12" t="n"/>
      <c r="O2456" s="12" t="n"/>
    </row>
    <row r="2457">
      <c r="A2457" s="12" t="n"/>
      <c r="B2457" s="13">
        <f>IF($A2457="","",IFERROR(INDEX(Emp_Names,MATCH($A2457,Emp_Codes,0)),"NOT FOUND"))</f>
        <v/>
      </c>
      <c r="C2457" s="14" t="n"/>
      <c r="D2457" s="15" t="n"/>
      <c r="E2457" s="15" t="n"/>
      <c r="F2457" s="15" t="n"/>
      <c r="G2457" s="15" t="n"/>
      <c r="H2457" s="16">
        <f>IF($A2457="","",$D2457+IF($E2457="",0,$E2457)+IF($F2457="",0,$F2457)-IF($G2457="",0,$G2457))</f>
        <v/>
      </c>
      <c r="I2457" s="12" t="n"/>
      <c r="J2457" s="12" t="n"/>
      <c r="K2457" s="12" t="n"/>
      <c r="L2457" s="14" t="n"/>
      <c r="M2457" s="12" t="n"/>
      <c r="N2457" s="12" t="n"/>
      <c r="O2457" s="12" t="n"/>
    </row>
    <row r="2458">
      <c r="A2458" s="12" t="n"/>
      <c r="B2458" s="13">
        <f>IF($A2458="","",IFERROR(INDEX(Emp_Names,MATCH($A2458,Emp_Codes,0)),"NOT FOUND"))</f>
        <v/>
      </c>
      <c r="C2458" s="14" t="n"/>
      <c r="D2458" s="15" t="n"/>
      <c r="E2458" s="15" t="n"/>
      <c r="F2458" s="15" t="n"/>
      <c r="G2458" s="15" t="n"/>
      <c r="H2458" s="16">
        <f>IF($A2458="","",$D2458+IF($E2458="",0,$E2458)+IF($F2458="",0,$F2458)-IF($G2458="",0,$G2458))</f>
        <v/>
      </c>
      <c r="I2458" s="12" t="n"/>
      <c r="J2458" s="12" t="n"/>
      <c r="K2458" s="12" t="n"/>
      <c r="L2458" s="14" t="n"/>
      <c r="M2458" s="12" t="n"/>
      <c r="N2458" s="12" t="n"/>
      <c r="O2458" s="12" t="n"/>
    </row>
    <row r="2459">
      <c r="A2459" s="12" t="n"/>
      <c r="B2459" s="13">
        <f>IF($A2459="","",IFERROR(INDEX(Emp_Names,MATCH($A2459,Emp_Codes,0)),"NOT FOUND"))</f>
        <v/>
      </c>
      <c r="C2459" s="14" t="n"/>
      <c r="D2459" s="15" t="n"/>
      <c r="E2459" s="15" t="n"/>
      <c r="F2459" s="15" t="n"/>
      <c r="G2459" s="15" t="n"/>
      <c r="H2459" s="16">
        <f>IF($A2459="","",$D2459+IF($E2459="",0,$E2459)+IF($F2459="",0,$F2459)-IF($G2459="",0,$G2459))</f>
        <v/>
      </c>
      <c r="I2459" s="12" t="n"/>
      <c r="J2459" s="12" t="n"/>
      <c r="K2459" s="12" t="n"/>
      <c r="L2459" s="14" t="n"/>
      <c r="M2459" s="12" t="n"/>
      <c r="N2459" s="12" t="n"/>
      <c r="O2459" s="12" t="n"/>
    </row>
    <row r="2460">
      <c r="A2460" s="12" t="n"/>
      <c r="B2460" s="13">
        <f>IF($A2460="","",IFERROR(INDEX(Emp_Names,MATCH($A2460,Emp_Codes,0)),"NOT FOUND"))</f>
        <v/>
      </c>
      <c r="C2460" s="14" t="n"/>
      <c r="D2460" s="15" t="n"/>
      <c r="E2460" s="15" t="n"/>
      <c r="F2460" s="15" t="n"/>
      <c r="G2460" s="15" t="n"/>
      <c r="H2460" s="16">
        <f>IF($A2460="","",$D2460+IF($E2460="",0,$E2460)+IF($F2460="",0,$F2460)-IF($G2460="",0,$G2460))</f>
        <v/>
      </c>
      <c r="I2460" s="12" t="n"/>
      <c r="J2460" s="12" t="n"/>
      <c r="K2460" s="12" t="n"/>
      <c r="L2460" s="14" t="n"/>
      <c r="M2460" s="12" t="n"/>
      <c r="N2460" s="12" t="n"/>
      <c r="O2460" s="12" t="n"/>
    </row>
    <row r="2461">
      <c r="A2461" s="12" t="n"/>
      <c r="B2461" s="13">
        <f>IF($A2461="","",IFERROR(INDEX(Emp_Names,MATCH($A2461,Emp_Codes,0)),"NOT FOUND"))</f>
        <v/>
      </c>
      <c r="C2461" s="14" t="n"/>
      <c r="D2461" s="15" t="n"/>
      <c r="E2461" s="15" t="n"/>
      <c r="F2461" s="15" t="n"/>
      <c r="G2461" s="15" t="n"/>
      <c r="H2461" s="16">
        <f>IF($A2461="","",$D2461+IF($E2461="",0,$E2461)+IF($F2461="",0,$F2461)-IF($G2461="",0,$G2461))</f>
        <v/>
      </c>
      <c r="I2461" s="12" t="n"/>
      <c r="J2461" s="12" t="n"/>
      <c r="K2461" s="12" t="n"/>
      <c r="L2461" s="14" t="n"/>
      <c r="M2461" s="12" t="n"/>
      <c r="N2461" s="12" t="n"/>
      <c r="O2461" s="12" t="n"/>
    </row>
    <row r="2462">
      <c r="A2462" s="12" t="n"/>
      <c r="B2462" s="13">
        <f>IF($A2462="","",IFERROR(INDEX(Emp_Names,MATCH($A2462,Emp_Codes,0)),"NOT FOUND"))</f>
        <v/>
      </c>
      <c r="C2462" s="14" t="n"/>
      <c r="D2462" s="15" t="n"/>
      <c r="E2462" s="15" t="n"/>
      <c r="F2462" s="15" t="n"/>
      <c r="G2462" s="15" t="n"/>
      <c r="H2462" s="16">
        <f>IF($A2462="","",$D2462+IF($E2462="",0,$E2462)+IF($F2462="",0,$F2462)-IF($G2462="",0,$G2462))</f>
        <v/>
      </c>
      <c r="I2462" s="12" t="n"/>
      <c r="J2462" s="12" t="n"/>
      <c r="K2462" s="12" t="n"/>
      <c r="L2462" s="14" t="n"/>
      <c r="M2462" s="12" t="n"/>
      <c r="N2462" s="12" t="n"/>
      <c r="O2462" s="12" t="n"/>
    </row>
    <row r="2463">
      <c r="A2463" s="12" t="n"/>
      <c r="B2463" s="13">
        <f>IF($A2463="","",IFERROR(INDEX(Emp_Names,MATCH($A2463,Emp_Codes,0)),"NOT FOUND"))</f>
        <v/>
      </c>
      <c r="C2463" s="14" t="n"/>
      <c r="D2463" s="15" t="n"/>
      <c r="E2463" s="15" t="n"/>
      <c r="F2463" s="15" t="n"/>
      <c r="G2463" s="15" t="n"/>
      <c r="H2463" s="16">
        <f>IF($A2463="","",$D2463+IF($E2463="",0,$E2463)+IF($F2463="",0,$F2463)-IF($G2463="",0,$G2463))</f>
        <v/>
      </c>
      <c r="I2463" s="12" t="n"/>
      <c r="J2463" s="12" t="n"/>
      <c r="K2463" s="12" t="n"/>
      <c r="L2463" s="14" t="n"/>
      <c r="M2463" s="12" t="n"/>
      <c r="N2463" s="12" t="n"/>
      <c r="O2463" s="12" t="n"/>
    </row>
    <row r="2464">
      <c r="A2464" s="12" t="n"/>
      <c r="B2464" s="13">
        <f>IF($A2464="","",IFERROR(INDEX(Emp_Names,MATCH($A2464,Emp_Codes,0)),"NOT FOUND"))</f>
        <v/>
      </c>
      <c r="C2464" s="14" t="n"/>
      <c r="D2464" s="15" t="n"/>
      <c r="E2464" s="15" t="n"/>
      <c r="F2464" s="15" t="n"/>
      <c r="G2464" s="15" t="n"/>
      <c r="H2464" s="16">
        <f>IF($A2464="","",$D2464+IF($E2464="",0,$E2464)+IF($F2464="",0,$F2464)-IF($G2464="",0,$G2464))</f>
        <v/>
      </c>
      <c r="I2464" s="12" t="n"/>
      <c r="J2464" s="12" t="n"/>
      <c r="K2464" s="12" t="n"/>
      <c r="L2464" s="14" t="n"/>
      <c r="M2464" s="12" t="n"/>
      <c r="N2464" s="12" t="n"/>
      <c r="O2464" s="12" t="n"/>
    </row>
    <row r="2465">
      <c r="A2465" s="12" t="n"/>
      <c r="B2465" s="13">
        <f>IF($A2465="","",IFERROR(INDEX(Emp_Names,MATCH($A2465,Emp_Codes,0)),"NOT FOUND"))</f>
        <v/>
      </c>
      <c r="C2465" s="14" t="n"/>
      <c r="D2465" s="15" t="n"/>
      <c r="E2465" s="15" t="n"/>
      <c r="F2465" s="15" t="n"/>
      <c r="G2465" s="15" t="n"/>
      <c r="H2465" s="16">
        <f>IF($A2465="","",$D2465+IF($E2465="",0,$E2465)+IF($F2465="",0,$F2465)-IF($G2465="",0,$G2465))</f>
        <v/>
      </c>
      <c r="I2465" s="12" t="n"/>
      <c r="J2465" s="12" t="n"/>
      <c r="K2465" s="12" t="n"/>
      <c r="L2465" s="14" t="n"/>
      <c r="M2465" s="12" t="n"/>
      <c r="N2465" s="12" t="n"/>
      <c r="O2465" s="12" t="n"/>
    </row>
    <row r="2466">
      <c r="A2466" s="12" t="n"/>
      <c r="B2466" s="13">
        <f>IF($A2466="","",IFERROR(INDEX(Emp_Names,MATCH($A2466,Emp_Codes,0)),"NOT FOUND"))</f>
        <v/>
      </c>
      <c r="C2466" s="14" t="n"/>
      <c r="D2466" s="15" t="n"/>
      <c r="E2466" s="15" t="n"/>
      <c r="F2466" s="15" t="n"/>
      <c r="G2466" s="15" t="n"/>
      <c r="H2466" s="16">
        <f>IF($A2466="","",$D2466+IF($E2466="",0,$E2466)+IF($F2466="",0,$F2466)-IF($G2466="",0,$G2466))</f>
        <v/>
      </c>
      <c r="I2466" s="12" t="n"/>
      <c r="J2466" s="12" t="n"/>
      <c r="K2466" s="12" t="n"/>
      <c r="L2466" s="14" t="n"/>
      <c r="M2466" s="12" t="n"/>
      <c r="N2466" s="12" t="n"/>
      <c r="O2466" s="12" t="n"/>
    </row>
    <row r="2467">
      <c r="A2467" s="12" t="n"/>
      <c r="B2467" s="13">
        <f>IF($A2467="","",IFERROR(INDEX(Emp_Names,MATCH($A2467,Emp_Codes,0)),"NOT FOUND"))</f>
        <v/>
      </c>
      <c r="C2467" s="14" t="n"/>
      <c r="D2467" s="15" t="n"/>
      <c r="E2467" s="15" t="n"/>
      <c r="F2467" s="15" t="n"/>
      <c r="G2467" s="15" t="n"/>
      <c r="H2467" s="16">
        <f>IF($A2467="","",$D2467+IF($E2467="",0,$E2467)+IF($F2467="",0,$F2467)-IF($G2467="",0,$G2467))</f>
        <v/>
      </c>
      <c r="I2467" s="12" t="n"/>
      <c r="J2467" s="12" t="n"/>
      <c r="K2467" s="12" t="n"/>
      <c r="L2467" s="14" t="n"/>
      <c r="M2467" s="12" t="n"/>
      <c r="N2467" s="12" t="n"/>
      <c r="O2467" s="12" t="n"/>
    </row>
    <row r="2468">
      <c r="A2468" s="12" t="n"/>
      <c r="B2468" s="13">
        <f>IF($A2468="","",IFERROR(INDEX(Emp_Names,MATCH($A2468,Emp_Codes,0)),"NOT FOUND"))</f>
        <v/>
      </c>
      <c r="C2468" s="14" t="n"/>
      <c r="D2468" s="15" t="n"/>
      <c r="E2468" s="15" t="n"/>
      <c r="F2468" s="15" t="n"/>
      <c r="G2468" s="15" t="n"/>
      <c r="H2468" s="16">
        <f>IF($A2468="","",$D2468+IF($E2468="",0,$E2468)+IF($F2468="",0,$F2468)-IF($G2468="",0,$G2468))</f>
        <v/>
      </c>
      <c r="I2468" s="12" t="n"/>
      <c r="J2468" s="12" t="n"/>
      <c r="K2468" s="12" t="n"/>
      <c r="L2468" s="14" t="n"/>
      <c r="M2468" s="12" t="n"/>
      <c r="N2468" s="12" t="n"/>
      <c r="O2468" s="12" t="n"/>
    </row>
    <row r="2469">
      <c r="A2469" s="12" t="n"/>
      <c r="B2469" s="13">
        <f>IF($A2469="","",IFERROR(INDEX(Emp_Names,MATCH($A2469,Emp_Codes,0)),"NOT FOUND"))</f>
        <v/>
      </c>
      <c r="C2469" s="14" t="n"/>
      <c r="D2469" s="15" t="n"/>
      <c r="E2469" s="15" t="n"/>
      <c r="F2469" s="15" t="n"/>
      <c r="G2469" s="15" t="n"/>
      <c r="H2469" s="16">
        <f>IF($A2469="","",$D2469+IF($E2469="",0,$E2469)+IF($F2469="",0,$F2469)-IF($G2469="",0,$G2469))</f>
        <v/>
      </c>
      <c r="I2469" s="12" t="n"/>
      <c r="J2469" s="12" t="n"/>
      <c r="K2469" s="12" t="n"/>
      <c r="L2469" s="14" t="n"/>
      <c r="M2469" s="12" t="n"/>
      <c r="N2469" s="12" t="n"/>
      <c r="O2469" s="12" t="n"/>
    </row>
    <row r="2470">
      <c r="A2470" s="12" t="n"/>
      <c r="B2470" s="13">
        <f>IF($A2470="","",IFERROR(INDEX(Emp_Names,MATCH($A2470,Emp_Codes,0)),"NOT FOUND"))</f>
        <v/>
      </c>
      <c r="C2470" s="14" t="n"/>
      <c r="D2470" s="15" t="n"/>
      <c r="E2470" s="15" t="n"/>
      <c r="F2470" s="15" t="n"/>
      <c r="G2470" s="15" t="n"/>
      <c r="H2470" s="16">
        <f>IF($A2470="","",$D2470+IF($E2470="",0,$E2470)+IF($F2470="",0,$F2470)-IF($G2470="",0,$G2470))</f>
        <v/>
      </c>
      <c r="I2470" s="12" t="n"/>
      <c r="J2470" s="12" t="n"/>
      <c r="K2470" s="12" t="n"/>
      <c r="L2470" s="14" t="n"/>
      <c r="M2470" s="12" t="n"/>
      <c r="N2470" s="12" t="n"/>
      <c r="O2470" s="12" t="n"/>
    </row>
    <row r="2471">
      <c r="A2471" s="12" t="n"/>
      <c r="B2471" s="13">
        <f>IF($A2471="","",IFERROR(INDEX(Emp_Names,MATCH($A2471,Emp_Codes,0)),"NOT FOUND"))</f>
        <v/>
      </c>
      <c r="C2471" s="14" t="n"/>
      <c r="D2471" s="15" t="n"/>
      <c r="E2471" s="15" t="n"/>
      <c r="F2471" s="15" t="n"/>
      <c r="G2471" s="15" t="n"/>
      <c r="H2471" s="16">
        <f>IF($A2471="","",$D2471+IF($E2471="",0,$E2471)+IF($F2471="",0,$F2471)-IF($G2471="",0,$G2471))</f>
        <v/>
      </c>
      <c r="I2471" s="12" t="n"/>
      <c r="J2471" s="12" t="n"/>
      <c r="K2471" s="12" t="n"/>
      <c r="L2471" s="14" t="n"/>
      <c r="M2471" s="12" t="n"/>
      <c r="N2471" s="12" t="n"/>
      <c r="O2471" s="12" t="n"/>
    </row>
    <row r="2472">
      <c r="A2472" s="12" t="n"/>
      <c r="B2472" s="13">
        <f>IF($A2472="","",IFERROR(INDEX(Emp_Names,MATCH($A2472,Emp_Codes,0)),"NOT FOUND"))</f>
        <v/>
      </c>
      <c r="C2472" s="14" t="n"/>
      <c r="D2472" s="15" t="n"/>
      <c r="E2472" s="15" t="n"/>
      <c r="F2472" s="15" t="n"/>
      <c r="G2472" s="15" t="n"/>
      <c r="H2472" s="16">
        <f>IF($A2472="","",$D2472+IF($E2472="",0,$E2472)+IF($F2472="",0,$F2472)-IF($G2472="",0,$G2472))</f>
        <v/>
      </c>
      <c r="I2472" s="12" t="n"/>
      <c r="J2472" s="12" t="n"/>
      <c r="K2472" s="12" t="n"/>
      <c r="L2472" s="14" t="n"/>
      <c r="M2472" s="12" t="n"/>
      <c r="N2472" s="12" t="n"/>
      <c r="O2472" s="12" t="n"/>
    </row>
    <row r="2473">
      <c r="A2473" s="12" t="n"/>
      <c r="B2473" s="13">
        <f>IF($A2473="","",IFERROR(INDEX(Emp_Names,MATCH($A2473,Emp_Codes,0)),"NOT FOUND"))</f>
        <v/>
      </c>
      <c r="C2473" s="14" t="n"/>
      <c r="D2473" s="15" t="n"/>
      <c r="E2473" s="15" t="n"/>
      <c r="F2473" s="15" t="n"/>
      <c r="G2473" s="15" t="n"/>
      <c r="H2473" s="16">
        <f>IF($A2473="","",$D2473+IF($E2473="",0,$E2473)+IF($F2473="",0,$F2473)-IF($G2473="",0,$G2473))</f>
        <v/>
      </c>
      <c r="I2473" s="12" t="n"/>
      <c r="J2473" s="12" t="n"/>
      <c r="K2473" s="12" t="n"/>
      <c r="L2473" s="14" t="n"/>
      <c r="M2473" s="12" t="n"/>
      <c r="N2473" s="12" t="n"/>
      <c r="O2473" s="12" t="n"/>
    </row>
    <row r="2474">
      <c r="A2474" s="12" t="n"/>
      <c r="B2474" s="13">
        <f>IF($A2474="","",IFERROR(INDEX(Emp_Names,MATCH($A2474,Emp_Codes,0)),"NOT FOUND"))</f>
        <v/>
      </c>
      <c r="C2474" s="14" t="n"/>
      <c r="D2474" s="15" t="n"/>
      <c r="E2474" s="15" t="n"/>
      <c r="F2474" s="15" t="n"/>
      <c r="G2474" s="15" t="n"/>
      <c r="H2474" s="16">
        <f>IF($A2474="","",$D2474+IF($E2474="",0,$E2474)+IF($F2474="",0,$F2474)-IF($G2474="",0,$G2474))</f>
        <v/>
      </c>
      <c r="I2474" s="12" t="n"/>
      <c r="J2474" s="12" t="n"/>
      <c r="K2474" s="12" t="n"/>
      <c r="L2474" s="14" t="n"/>
      <c r="M2474" s="12" t="n"/>
      <c r="N2474" s="12" t="n"/>
      <c r="O2474" s="12" t="n"/>
    </row>
    <row r="2475">
      <c r="A2475" s="12" t="n"/>
      <c r="B2475" s="13">
        <f>IF($A2475="","",IFERROR(INDEX(Emp_Names,MATCH($A2475,Emp_Codes,0)),"NOT FOUND"))</f>
        <v/>
      </c>
      <c r="C2475" s="14" t="n"/>
      <c r="D2475" s="15" t="n"/>
      <c r="E2475" s="15" t="n"/>
      <c r="F2475" s="15" t="n"/>
      <c r="G2475" s="15" t="n"/>
      <c r="H2475" s="16">
        <f>IF($A2475="","",$D2475+IF($E2475="",0,$E2475)+IF($F2475="",0,$F2475)-IF($G2475="",0,$G2475))</f>
        <v/>
      </c>
      <c r="I2475" s="12" t="n"/>
      <c r="J2475" s="12" t="n"/>
      <c r="K2475" s="12" t="n"/>
      <c r="L2475" s="14" t="n"/>
      <c r="M2475" s="12" t="n"/>
      <c r="N2475" s="12" t="n"/>
      <c r="O2475" s="12" t="n"/>
    </row>
    <row r="2476">
      <c r="A2476" s="12" t="n"/>
      <c r="B2476" s="13">
        <f>IF($A2476="","",IFERROR(INDEX(Emp_Names,MATCH($A2476,Emp_Codes,0)),"NOT FOUND"))</f>
        <v/>
      </c>
      <c r="C2476" s="14" t="n"/>
      <c r="D2476" s="15" t="n"/>
      <c r="E2476" s="15" t="n"/>
      <c r="F2476" s="15" t="n"/>
      <c r="G2476" s="15" t="n"/>
      <c r="H2476" s="16">
        <f>IF($A2476="","",$D2476+IF($E2476="",0,$E2476)+IF($F2476="",0,$F2476)-IF($G2476="",0,$G2476))</f>
        <v/>
      </c>
      <c r="I2476" s="12" t="n"/>
      <c r="J2476" s="12" t="n"/>
      <c r="K2476" s="12" t="n"/>
      <c r="L2476" s="14" t="n"/>
      <c r="M2476" s="12" t="n"/>
      <c r="N2476" s="12" t="n"/>
      <c r="O2476" s="12" t="n"/>
    </row>
    <row r="2477">
      <c r="A2477" s="12" t="n"/>
      <c r="B2477" s="13">
        <f>IF($A2477="","",IFERROR(INDEX(Emp_Names,MATCH($A2477,Emp_Codes,0)),"NOT FOUND"))</f>
        <v/>
      </c>
      <c r="C2477" s="14" t="n"/>
      <c r="D2477" s="15" t="n"/>
      <c r="E2477" s="15" t="n"/>
      <c r="F2477" s="15" t="n"/>
      <c r="G2477" s="15" t="n"/>
      <c r="H2477" s="16">
        <f>IF($A2477="","",$D2477+IF($E2477="",0,$E2477)+IF($F2477="",0,$F2477)-IF($G2477="",0,$G2477))</f>
        <v/>
      </c>
      <c r="I2477" s="12" t="n"/>
      <c r="J2477" s="12" t="n"/>
      <c r="K2477" s="12" t="n"/>
      <c r="L2477" s="14" t="n"/>
      <c r="M2477" s="12" t="n"/>
      <c r="N2477" s="12" t="n"/>
      <c r="O2477" s="12" t="n"/>
    </row>
    <row r="2478">
      <c r="A2478" s="12" t="n"/>
      <c r="B2478" s="13">
        <f>IF($A2478="","",IFERROR(INDEX(Emp_Names,MATCH($A2478,Emp_Codes,0)),"NOT FOUND"))</f>
        <v/>
      </c>
      <c r="C2478" s="14" t="n"/>
      <c r="D2478" s="15" t="n"/>
      <c r="E2478" s="15" t="n"/>
      <c r="F2478" s="15" t="n"/>
      <c r="G2478" s="15" t="n"/>
      <c r="H2478" s="16">
        <f>IF($A2478="","",$D2478+IF($E2478="",0,$E2478)+IF($F2478="",0,$F2478)-IF($G2478="",0,$G2478))</f>
        <v/>
      </c>
      <c r="I2478" s="12" t="n"/>
      <c r="J2478" s="12" t="n"/>
      <c r="K2478" s="12" t="n"/>
      <c r="L2478" s="14" t="n"/>
      <c r="M2478" s="12" t="n"/>
      <c r="N2478" s="12" t="n"/>
      <c r="O2478" s="12" t="n"/>
    </row>
    <row r="2479">
      <c r="A2479" s="12" t="n"/>
      <c r="B2479" s="13">
        <f>IF($A2479="","",IFERROR(INDEX(Emp_Names,MATCH($A2479,Emp_Codes,0)),"NOT FOUND"))</f>
        <v/>
      </c>
      <c r="C2479" s="14" t="n"/>
      <c r="D2479" s="15" t="n"/>
      <c r="E2479" s="15" t="n"/>
      <c r="F2479" s="15" t="n"/>
      <c r="G2479" s="15" t="n"/>
      <c r="H2479" s="16">
        <f>IF($A2479="","",$D2479+IF($E2479="",0,$E2479)+IF($F2479="",0,$F2479)-IF($G2479="",0,$G2479))</f>
        <v/>
      </c>
      <c r="I2479" s="12" t="n"/>
      <c r="J2479" s="12" t="n"/>
      <c r="K2479" s="12" t="n"/>
      <c r="L2479" s="14" t="n"/>
      <c r="M2479" s="12" t="n"/>
      <c r="N2479" s="12" t="n"/>
      <c r="O2479" s="12" t="n"/>
    </row>
    <row r="2480">
      <c r="A2480" s="12" t="n"/>
      <c r="B2480" s="13">
        <f>IF($A2480="","",IFERROR(INDEX(Emp_Names,MATCH($A2480,Emp_Codes,0)),"NOT FOUND"))</f>
        <v/>
      </c>
      <c r="C2480" s="14" t="n"/>
      <c r="D2480" s="15" t="n"/>
      <c r="E2480" s="15" t="n"/>
      <c r="F2480" s="15" t="n"/>
      <c r="G2480" s="15" t="n"/>
      <c r="H2480" s="16">
        <f>IF($A2480="","",$D2480+IF($E2480="",0,$E2480)+IF($F2480="",0,$F2480)-IF($G2480="",0,$G2480))</f>
        <v/>
      </c>
      <c r="I2480" s="12" t="n"/>
      <c r="J2480" s="12" t="n"/>
      <c r="K2480" s="12" t="n"/>
      <c r="L2480" s="14" t="n"/>
      <c r="M2480" s="12" t="n"/>
      <c r="N2480" s="12" t="n"/>
      <c r="O2480" s="12" t="n"/>
    </row>
    <row r="2481">
      <c r="A2481" s="12" t="n"/>
      <c r="B2481" s="13">
        <f>IF($A2481="","",IFERROR(INDEX(Emp_Names,MATCH($A2481,Emp_Codes,0)),"NOT FOUND"))</f>
        <v/>
      </c>
      <c r="C2481" s="14" t="n"/>
      <c r="D2481" s="15" t="n"/>
      <c r="E2481" s="15" t="n"/>
      <c r="F2481" s="15" t="n"/>
      <c r="G2481" s="15" t="n"/>
      <c r="H2481" s="16">
        <f>IF($A2481="","",$D2481+IF($E2481="",0,$E2481)+IF($F2481="",0,$F2481)-IF($G2481="",0,$G2481))</f>
        <v/>
      </c>
      <c r="I2481" s="12" t="n"/>
      <c r="J2481" s="12" t="n"/>
      <c r="K2481" s="12" t="n"/>
      <c r="L2481" s="14" t="n"/>
      <c r="M2481" s="12" t="n"/>
      <c r="N2481" s="12" t="n"/>
      <c r="O2481" s="12" t="n"/>
    </row>
    <row r="2482">
      <c r="A2482" s="12" t="n"/>
      <c r="B2482" s="13">
        <f>IF($A2482="","",IFERROR(INDEX(Emp_Names,MATCH($A2482,Emp_Codes,0)),"NOT FOUND"))</f>
        <v/>
      </c>
      <c r="C2482" s="14" t="n"/>
      <c r="D2482" s="15" t="n"/>
      <c r="E2482" s="15" t="n"/>
      <c r="F2482" s="15" t="n"/>
      <c r="G2482" s="15" t="n"/>
      <c r="H2482" s="16">
        <f>IF($A2482="","",$D2482+IF($E2482="",0,$E2482)+IF($F2482="",0,$F2482)-IF($G2482="",0,$G2482))</f>
        <v/>
      </c>
      <c r="I2482" s="12" t="n"/>
      <c r="J2482" s="12" t="n"/>
      <c r="K2482" s="12" t="n"/>
      <c r="L2482" s="14" t="n"/>
      <c r="M2482" s="12" t="n"/>
      <c r="N2482" s="12" t="n"/>
      <c r="O2482" s="12" t="n"/>
    </row>
    <row r="2483">
      <c r="A2483" s="12" t="n"/>
      <c r="B2483" s="13">
        <f>IF($A2483="","",IFERROR(INDEX(Emp_Names,MATCH($A2483,Emp_Codes,0)),"NOT FOUND"))</f>
        <v/>
      </c>
      <c r="C2483" s="14" t="n"/>
      <c r="D2483" s="15" t="n"/>
      <c r="E2483" s="15" t="n"/>
      <c r="F2483" s="15" t="n"/>
      <c r="G2483" s="15" t="n"/>
      <c r="H2483" s="16">
        <f>IF($A2483="","",$D2483+IF($E2483="",0,$E2483)+IF($F2483="",0,$F2483)-IF($G2483="",0,$G2483))</f>
        <v/>
      </c>
      <c r="I2483" s="12" t="n"/>
      <c r="J2483" s="12" t="n"/>
      <c r="K2483" s="12" t="n"/>
      <c r="L2483" s="14" t="n"/>
      <c r="M2483" s="12" t="n"/>
      <c r="N2483" s="12" t="n"/>
      <c r="O2483" s="12" t="n"/>
    </row>
    <row r="2484">
      <c r="A2484" s="12" t="n"/>
      <c r="B2484" s="13">
        <f>IF($A2484="","",IFERROR(INDEX(Emp_Names,MATCH($A2484,Emp_Codes,0)),"NOT FOUND"))</f>
        <v/>
      </c>
      <c r="C2484" s="14" t="n"/>
      <c r="D2484" s="15" t="n"/>
      <c r="E2484" s="15" t="n"/>
      <c r="F2484" s="15" t="n"/>
      <c r="G2484" s="15" t="n"/>
      <c r="H2484" s="16">
        <f>IF($A2484="","",$D2484+IF($E2484="",0,$E2484)+IF($F2484="",0,$F2484)-IF($G2484="",0,$G2484))</f>
        <v/>
      </c>
      <c r="I2484" s="12" t="n"/>
      <c r="J2484" s="12" t="n"/>
      <c r="K2484" s="12" t="n"/>
      <c r="L2484" s="14" t="n"/>
      <c r="M2484" s="12" t="n"/>
      <c r="N2484" s="12" t="n"/>
      <c r="O2484" s="12" t="n"/>
    </row>
    <row r="2485">
      <c r="A2485" s="12" t="n"/>
      <c r="B2485" s="13">
        <f>IF($A2485="","",IFERROR(INDEX(Emp_Names,MATCH($A2485,Emp_Codes,0)),"NOT FOUND"))</f>
        <v/>
      </c>
      <c r="C2485" s="14" t="n"/>
      <c r="D2485" s="15" t="n"/>
      <c r="E2485" s="15" t="n"/>
      <c r="F2485" s="15" t="n"/>
      <c r="G2485" s="15" t="n"/>
      <c r="H2485" s="16">
        <f>IF($A2485="","",$D2485+IF($E2485="",0,$E2485)+IF($F2485="",0,$F2485)-IF($G2485="",0,$G2485))</f>
        <v/>
      </c>
      <c r="I2485" s="12" t="n"/>
      <c r="J2485" s="12" t="n"/>
      <c r="K2485" s="12" t="n"/>
      <c r="L2485" s="14" t="n"/>
      <c r="M2485" s="12" t="n"/>
      <c r="N2485" s="12" t="n"/>
      <c r="O2485" s="12" t="n"/>
    </row>
    <row r="2486">
      <c r="A2486" s="12" t="n"/>
      <c r="B2486" s="13">
        <f>IF($A2486="","",IFERROR(INDEX(Emp_Names,MATCH($A2486,Emp_Codes,0)),"NOT FOUND"))</f>
        <v/>
      </c>
      <c r="C2486" s="14" t="n"/>
      <c r="D2486" s="15" t="n"/>
      <c r="E2486" s="15" t="n"/>
      <c r="F2486" s="15" t="n"/>
      <c r="G2486" s="15" t="n"/>
      <c r="H2486" s="16">
        <f>IF($A2486="","",$D2486+IF($E2486="",0,$E2486)+IF($F2486="",0,$F2486)-IF($G2486="",0,$G2486))</f>
        <v/>
      </c>
      <c r="I2486" s="12" t="n"/>
      <c r="J2486" s="12" t="n"/>
      <c r="K2486" s="12" t="n"/>
      <c r="L2486" s="14" t="n"/>
      <c r="M2486" s="12" t="n"/>
      <c r="N2486" s="12" t="n"/>
      <c r="O2486" s="12" t="n"/>
    </row>
    <row r="2487">
      <c r="A2487" s="12" t="n"/>
      <c r="B2487" s="13">
        <f>IF($A2487="","",IFERROR(INDEX(Emp_Names,MATCH($A2487,Emp_Codes,0)),"NOT FOUND"))</f>
        <v/>
      </c>
      <c r="C2487" s="14" t="n"/>
      <c r="D2487" s="15" t="n"/>
      <c r="E2487" s="15" t="n"/>
      <c r="F2487" s="15" t="n"/>
      <c r="G2487" s="15" t="n"/>
      <c r="H2487" s="16">
        <f>IF($A2487="","",$D2487+IF($E2487="",0,$E2487)+IF($F2487="",0,$F2487)-IF($G2487="",0,$G2487))</f>
        <v/>
      </c>
      <c r="I2487" s="12" t="n"/>
      <c r="J2487" s="12" t="n"/>
      <c r="K2487" s="12" t="n"/>
      <c r="L2487" s="14" t="n"/>
      <c r="M2487" s="12" t="n"/>
      <c r="N2487" s="12" t="n"/>
      <c r="O2487" s="12" t="n"/>
    </row>
    <row r="2488">
      <c r="A2488" s="12" t="n"/>
      <c r="B2488" s="13">
        <f>IF($A2488="","",IFERROR(INDEX(Emp_Names,MATCH($A2488,Emp_Codes,0)),"NOT FOUND"))</f>
        <v/>
      </c>
      <c r="C2488" s="14" t="n"/>
      <c r="D2488" s="15" t="n"/>
      <c r="E2488" s="15" t="n"/>
      <c r="F2488" s="15" t="n"/>
      <c r="G2488" s="15" t="n"/>
      <c r="H2488" s="16">
        <f>IF($A2488="","",$D2488+IF($E2488="",0,$E2488)+IF($F2488="",0,$F2488)-IF($G2488="",0,$G2488))</f>
        <v/>
      </c>
      <c r="I2488" s="12" t="n"/>
      <c r="J2488" s="12" t="n"/>
      <c r="K2488" s="12" t="n"/>
      <c r="L2488" s="14" t="n"/>
      <c r="M2488" s="12" t="n"/>
      <c r="N2488" s="12" t="n"/>
      <c r="O2488" s="12" t="n"/>
    </row>
    <row r="2489">
      <c r="A2489" s="12" t="n"/>
      <c r="B2489" s="13">
        <f>IF($A2489="","",IFERROR(INDEX(Emp_Names,MATCH($A2489,Emp_Codes,0)),"NOT FOUND"))</f>
        <v/>
      </c>
      <c r="C2489" s="14" t="n"/>
      <c r="D2489" s="15" t="n"/>
      <c r="E2489" s="15" t="n"/>
      <c r="F2489" s="15" t="n"/>
      <c r="G2489" s="15" t="n"/>
      <c r="H2489" s="16">
        <f>IF($A2489="","",$D2489+IF($E2489="",0,$E2489)+IF($F2489="",0,$F2489)-IF($G2489="",0,$G2489))</f>
        <v/>
      </c>
      <c r="I2489" s="12" t="n"/>
      <c r="J2489" s="12" t="n"/>
      <c r="K2489" s="12" t="n"/>
      <c r="L2489" s="14" t="n"/>
      <c r="M2489" s="12" t="n"/>
      <c r="N2489" s="12" t="n"/>
      <c r="O2489" s="12" t="n"/>
    </row>
    <row r="2490">
      <c r="A2490" s="12" t="n"/>
      <c r="B2490" s="13">
        <f>IF($A2490="","",IFERROR(INDEX(Emp_Names,MATCH($A2490,Emp_Codes,0)),"NOT FOUND"))</f>
        <v/>
      </c>
      <c r="C2490" s="14" t="n"/>
      <c r="D2490" s="15" t="n"/>
      <c r="E2490" s="15" t="n"/>
      <c r="F2490" s="15" t="n"/>
      <c r="G2490" s="15" t="n"/>
      <c r="H2490" s="16">
        <f>IF($A2490="","",$D2490+IF($E2490="",0,$E2490)+IF($F2490="",0,$F2490)-IF($G2490="",0,$G2490))</f>
        <v/>
      </c>
      <c r="I2490" s="12" t="n"/>
      <c r="J2490" s="12" t="n"/>
      <c r="K2490" s="12" t="n"/>
      <c r="L2490" s="14" t="n"/>
      <c r="M2490" s="12" t="n"/>
      <c r="N2490" s="12" t="n"/>
      <c r="O2490" s="12" t="n"/>
    </row>
    <row r="2491">
      <c r="A2491" s="12" t="n"/>
      <c r="B2491" s="13">
        <f>IF($A2491="","",IFERROR(INDEX(Emp_Names,MATCH($A2491,Emp_Codes,0)),"NOT FOUND"))</f>
        <v/>
      </c>
      <c r="C2491" s="14" t="n"/>
      <c r="D2491" s="15" t="n"/>
      <c r="E2491" s="15" t="n"/>
      <c r="F2491" s="15" t="n"/>
      <c r="G2491" s="15" t="n"/>
      <c r="H2491" s="16">
        <f>IF($A2491="","",$D2491+IF($E2491="",0,$E2491)+IF($F2491="",0,$F2491)-IF($G2491="",0,$G2491))</f>
        <v/>
      </c>
      <c r="I2491" s="12" t="n"/>
      <c r="J2491" s="12" t="n"/>
      <c r="K2491" s="12" t="n"/>
      <c r="L2491" s="14" t="n"/>
      <c r="M2491" s="12" t="n"/>
      <c r="N2491" s="12" t="n"/>
      <c r="O2491" s="12" t="n"/>
    </row>
    <row r="2492">
      <c r="A2492" s="12" t="n"/>
      <c r="B2492" s="13">
        <f>IF($A2492="","",IFERROR(INDEX(Emp_Names,MATCH($A2492,Emp_Codes,0)),"NOT FOUND"))</f>
        <v/>
      </c>
      <c r="C2492" s="14" t="n"/>
      <c r="D2492" s="15" t="n"/>
      <c r="E2492" s="15" t="n"/>
      <c r="F2492" s="15" t="n"/>
      <c r="G2492" s="15" t="n"/>
      <c r="H2492" s="16">
        <f>IF($A2492="","",$D2492+IF($E2492="",0,$E2492)+IF($F2492="",0,$F2492)-IF($G2492="",0,$G2492))</f>
        <v/>
      </c>
      <c r="I2492" s="12" t="n"/>
      <c r="J2492" s="12" t="n"/>
      <c r="K2492" s="12" t="n"/>
      <c r="L2492" s="14" t="n"/>
      <c r="M2492" s="12" t="n"/>
      <c r="N2492" s="12" t="n"/>
      <c r="O2492" s="12" t="n"/>
    </row>
    <row r="2493">
      <c r="A2493" s="12" t="n"/>
      <c r="B2493" s="13">
        <f>IF($A2493="","",IFERROR(INDEX(Emp_Names,MATCH($A2493,Emp_Codes,0)),"NOT FOUND"))</f>
        <v/>
      </c>
      <c r="C2493" s="14" t="n"/>
      <c r="D2493" s="15" t="n"/>
      <c r="E2493" s="15" t="n"/>
      <c r="F2493" s="15" t="n"/>
      <c r="G2493" s="15" t="n"/>
      <c r="H2493" s="16">
        <f>IF($A2493="","",$D2493+IF($E2493="",0,$E2493)+IF($F2493="",0,$F2493)-IF($G2493="",0,$G2493))</f>
        <v/>
      </c>
      <c r="I2493" s="12" t="n"/>
      <c r="J2493" s="12" t="n"/>
      <c r="K2493" s="12" t="n"/>
      <c r="L2493" s="14" t="n"/>
      <c r="M2493" s="12" t="n"/>
      <c r="N2493" s="12" t="n"/>
      <c r="O2493" s="12" t="n"/>
    </row>
    <row r="2494">
      <c r="A2494" s="12" t="n"/>
      <c r="B2494" s="13">
        <f>IF($A2494="","",IFERROR(INDEX(Emp_Names,MATCH($A2494,Emp_Codes,0)),"NOT FOUND"))</f>
        <v/>
      </c>
      <c r="C2494" s="14" t="n"/>
      <c r="D2494" s="15" t="n"/>
      <c r="E2494" s="15" t="n"/>
      <c r="F2494" s="15" t="n"/>
      <c r="G2494" s="15" t="n"/>
      <c r="H2494" s="16">
        <f>IF($A2494="","",$D2494+IF($E2494="",0,$E2494)+IF($F2494="",0,$F2494)-IF($G2494="",0,$G2494))</f>
        <v/>
      </c>
      <c r="I2494" s="12" t="n"/>
      <c r="J2494" s="12" t="n"/>
      <c r="K2494" s="12" t="n"/>
      <c r="L2494" s="14" t="n"/>
      <c r="M2494" s="12" t="n"/>
      <c r="N2494" s="12" t="n"/>
      <c r="O2494" s="12" t="n"/>
    </row>
    <row r="2495">
      <c r="A2495" s="12" t="n"/>
      <c r="B2495" s="13">
        <f>IF($A2495="","",IFERROR(INDEX(Emp_Names,MATCH($A2495,Emp_Codes,0)),"NOT FOUND"))</f>
        <v/>
      </c>
      <c r="C2495" s="14" t="n"/>
      <c r="D2495" s="15" t="n"/>
      <c r="E2495" s="15" t="n"/>
      <c r="F2495" s="15" t="n"/>
      <c r="G2495" s="15" t="n"/>
      <c r="H2495" s="16">
        <f>IF($A2495="","",$D2495+IF($E2495="",0,$E2495)+IF($F2495="",0,$F2495)-IF($G2495="",0,$G2495))</f>
        <v/>
      </c>
      <c r="I2495" s="12" t="n"/>
      <c r="J2495" s="12" t="n"/>
      <c r="K2495" s="12" t="n"/>
      <c r="L2495" s="14" t="n"/>
      <c r="M2495" s="12" t="n"/>
      <c r="N2495" s="12" t="n"/>
      <c r="O2495" s="12" t="n"/>
    </row>
    <row r="2496">
      <c r="A2496" s="12" t="n"/>
      <c r="B2496" s="13">
        <f>IF($A2496="","",IFERROR(INDEX(Emp_Names,MATCH($A2496,Emp_Codes,0)),"NOT FOUND"))</f>
        <v/>
      </c>
      <c r="C2496" s="14" t="n"/>
      <c r="D2496" s="15" t="n"/>
      <c r="E2496" s="15" t="n"/>
      <c r="F2496" s="15" t="n"/>
      <c r="G2496" s="15" t="n"/>
      <c r="H2496" s="16">
        <f>IF($A2496="","",$D2496+IF($E2496="",0,$E2496)+IF($F2496="",0,$F2496)-IF($G2496="",0,$G2496))</f>
        <v/>
      </c>
      <c r="I2496" s="12" t="n"/>
      <c r="J2496" s="12" t="n"/>
      <c r="K2496" s="12" t="n"/>
      <c r="L2496" s="14" t="n"/>
      <c r="M2496" s="12" t="n"/>
      <c r="N2496" s="12" t="n"/>
      <c r="O2496" s="12" t="n"/>
    </row>
    <row r="2497">
      <c r="A2497" s="12" t="n"/>
      <c r="B2497" s="13">
        <f>IF($A2497="","",IFERROR(INDEX(Emp_Names,MATCH($A2497,Emp_Codes,0)),"NOT FOUND"))</f>
        <v/>
      </c>
      <c r="C2497" s="14" t="n"/>
      <c r="D2497" s="15" t="n"/>
      <c r="E2497" s="15" t="n"/>
      <c r="F2497" s="15" t="n"/>
      <c r="G2497" s="15" t="n"/>
      <c r="H2497" s="16">
        <f>IF($A2497="","",$D2497+IF($E2497="",0,$E2497)+IF($F2497="",0,$F2497)-IF($G2497="",0,$G2497))</f>
        <v/>
      </c>
      <c r="I2497" s="12" t="n"/>
      <c r="J2497" s="12" t="n"/>
      <c r="K2497" s="12" t="n"/>
      <c r="L2497" s="14" t="n"/>
      <c r="M2497" s="12" t="n"/>
      <c r="N2497" s="12" t="n"/>
      <c r="O2497" s="12" t="n"/>
    </row>
    <row r="2498">
      <c r="A2498" s="12" t="n"/>
      <c r="B2498" s="13">
        <f>IF($A2498="","",IFERROR(INDEX(Emp_Names,MATCH($A2498,Emp_Codes,0)),"NOT FOUND"))</f>
        <v/>
      </c>
      <c r="C2498" s="14" t="n"/>
      <c r="D2498" s="15" t="n"/>
      <c r="E2498" s="15" t="n"/>
      <c r="F2498" s="15" t="n"/>
      <c r="G2498" s="15" t="n"/>
      <c r="H2498" s="16">
        <f>IF($A2498="","",$D2498+IF($E2498="",0,$E2498)+IF($F2498="",0,$F2498)-IF($G2498="",0,$G2498))</f>
        <v/>
      </c>
      <c r="I2498" s="12" t="n"/>
      <c r="J2498" s="12" t="n"/>
      <c r="K2498" s="12" t="n"/>
      <c r="L2498" s="14" t="n"/>
      <c r="M2498" s="12" t="n"/>
      <c r="N2498" s="12" t="n"/>
      <c r="O2498" s="12" t="n"/>
    </row>
    <row r="2499">
      <c r="A2499" s="12" t="n"/>
      <c r="B2499" s="13">
        <f>IF($A2499="","",IFERROR(INDEX(Emp_Names,MATCH($A2499,Emp_Codes,0)),"NOT FOUND"))</f>
        <v/>
      </c>
      <c r="C2499" s="14" t="n"/>
      <c r="D2499" s="15" t="n"/>
      <c r="E2499" s="15" t="n"/>
      <c r="F2499" s="15" t="n"/>
      <c r="G2499" s="15" t="n"/>
      <c r="H2499" s="16">
        <f>IF($A2499="","",$D2499+IF($E2499="",0,$E2499)+IF($F2499="",0,$F2499)-IF($G2499="",0,$G2499))</f>
        <v/>
      </c>
      <c r="I2499" s="12" t="n"/>
      <c r="J2499" s="12" t="n"/>
      <c r="K2499" s="12" t="n"/>
      <c r="L2499" s="14" t="n"/>
      <c r="M2499" s="12" t="n"/>
      <c r="N2499" s="12" t="n"/>
      <c r="O2499" s="12" t="n"/>
    </row>
    <row r="2500">
      <c r="A2500" s="12" t="n"/>
      <c r="B2500" s="13">
        <f>IF($A2500="","",IFERROR(INDEX(Emp_Names,MATCH($A2500,Emp_Codes,0)),"NOT FOUND"))</f>
        <v/>
      </c>
      <c r="C2500" s="14" t="n"/>
      <c r="D2500" s="15" t="n"/>
      <c r="E2500" s="15" t="n"/>
      <c r="F2500" s="15" t="n"/>
      <c r="G2500" s="15" t="n"/>
      <c r="H2500" s="16">
        <f>IF($A2500="","",$D2500+IF($E2500="",0,$E2500)+IF($F2500="",0,$F2500)-IF($G2500="",0,$G2500))</f>
        <v/>
      </c>
      <c r="I2500" s="12" t="n"/>
      <c r="J2500" s="12" t="n"/>
      <c r="K2500" s="12" t="n"/>
      <c r="L2500" s="14" t="n"/>
      <c r="M2500" s="12" t="n"/>
      <c r="N2500" s="12" t="n"/>
      <c r="O2500" s="12" t="n"/>
    </row>
    <row r="2501">
      <c r="A2501" s="12" t="n"/>
      <c r="B2501" s="13">
        <f>IF($A2501="","",IFERROR(INDEX(Emp_Names,MATCH($A2501,Emp_Codes,0)),"NOT FOUND"))</f>
        <v/>
      </c>
      <c r="C2501" s="14" t="n"/>
      <c r="D2501" s="15" t="n"/>
      <c r="E2501" s="15" t="n"/>
      <c r="F2501" s="15" t="n"/>
      <c r="G2501" s="15" t="n"/>
      <c r="H2501" s="16">
        <f>IF($A2501="","",$D2501+IF($E2501="",0,$E2501)+IF($F2501="",0,$F2501)-IF($G2501="",0,$G2501))</f>
        <v/>
      </c>
      <c r="I2501" s="12" t="n"/>
      <c r="J2501" s="12" t="n"/>
      <c r="K2501" s="12" t="n"/>
      <c r="L2501" s="14" t="n"/>
      <c r="M2501" s="12" t="n"/>
      <c r="N2501" s="12" t="n"/>
      <c r="O2501" s="12" t="n"/>
    </row>
    <row r="2502">
      <c r="A2502" s="12" t="n"/>
      <c r="B2502" s="13">
        <f>IF($A2502="","",IFERROR(INDEX(Emp_Names,MATCH($A2502,Emp_Codes,0)),"NOT FOUND"))</f>
        <v/>
      </c>
      <c r="C2502" s="14" t="n"/>
      <c r="D2502" s="15" t="n"/>
      <c r="E2502" s="15" t="n"/>
      <c r="F2502" s="15" t="n"/>
      <c r="G2502" s="15" t="n"/>
      <c r="H2502" s="16">
        <f>IF($A2502="","",$D2502+IF($E2502="",0,$E2502)+IF($F2502="",0,$F2502)-IF($G2502="",0,$G2502))</f>
        <v/>
      </c>
      <c r="I2502" s="12" t="n"/>
      <c r="J2502" s="12" t="n"/>
      <c r="K2502" s="12" t="n"/>
      <c r="L2502" s="14" t="n"/>
      <c r="M2502" s="12" t="n"/>
      <c r="N2502" s="12" t="n"/>
      <c r="O2502" s="12" t="n"/>
    </row>
    <row r="2503">
      <c r="A2503" s="12" t="n"/>
      <c r="B2503" s="13">
        <f>IF($A2503="","",IFERROR(INDEX(Emp_Names,MATCH($A2503,Emp_Codes,0)),"NOT FOUND"))</f>
        <v/>
      </c>
      <c r="C2503" s="14" t="n"/>
      <c r="D2503" s="15" t="n"/>
      <c r="E2503" s="15" t="n"/>
      <c r="F2503" s="15" t="n"/>
      <c r="G2503" s="15" t="n"/>
      <c r="H2503" s="16">
        <f>IF($A2503="","",$D2503+IF($E2503="",0,$E2503)+IF($F2503="",0,$F2503)-IF($G2503="",0,$G2503))</f>
        <v/>
      </c>
      <c r="I2503" s="12" t="n"/>
      <c r="J2503" s="12" t="n"/>
      <c r="K2503" s="12" t="n"/>
      <c r="L2503" s="14" t="n"/>
      <c r="M2503" s="12" t="n"/>
      <c r="N2503" s="12" t="n"/>
      <c r="O2503" s="12" t="n"/>
    </row>
    <row r="2504">
      <c r="A2504" s="12" t="n"/>
      <c r="B2504" s="13">
        <f>IF($A2504="","",IFERROR(INDEX(Emp_Names,MATCH($A2504,Emp_Codes,0)),"NOT FOUND"))</f>
        <v/>
      </c>
      <c r="C2504" s="14" t="n"/>
      <c r="D2504" s="15" t="n"/>
      <c r="E2504" s="15" t="n"/>
      <c r="F2504" s="15" t="n"/>
      <c r="G2504" s="15" t="n"/>
      <c r="H2504" s="16">
        <f>IF($A2504="","",$D2504+IF($E2504="",0,$E2504)+IF($F2504="",0,$F2504)-IF($G2504="",0,$G2504))</f>
        <v/>
      </c>
      <c r="I2504" s="12" t="n"/>
      <c r="J2504" s="12" t="n"/>
      <c r="K2504" s="12" t="n"/>
      <c r="L2504" s="14" t="n"/>
      <c r="M2504" s="12" t="n"/>
      <c r="N2504" s="12" t="n"/>
      <c r="O2504" s="12" t="n"/>
    </row>
    <row r="2505">
      <c r="A2505" s="12" t="n"/>
      <c r="B2505" s="13">
        <f>IF($A2505="","",IFERROR(INDEX(Emp_Names,MATCH($A2505,Emp_Codes,0)),"NOT FOUND"))</f>
        <v/>
      </c>
      <c r="C2505" s="14" t="n"/>
      <c r="D2505" s="15" t="n"/>
      <c r="E2505" s="15" t="n"/>
      <c r="F2505" s="15" t="n"/>
      <c r="G2505" s="15" t="n"/>
      <c r="H2505" s="16">
        <f>IF($A2505="","",$D2505+IF($E2505="",0,$E2505)+IF($F2505="",0,$F2505)-IF($G2505="",0,$G2505))</f>
        <v/>
      </c>
      <c r="I2505" s="12" t="n"/>
      <c r="J2505" s="12" t="n"/>
      <c r="K2505" s="12" t="n"/>
      <c r="L2505" s="14" t="n"/>
      <c r="M2505" s="12" t="n"/>
      <c r="N2505" s="12" t="n"/>
      <c r="O2505" s="12" t="n"/>
    </row>
    <row r="2506">
      <c r="A2506" s="12" t="n"/>
      <c r="B2506" s="13">
        <f>IF($A2506="","",IFERROR(INDEX(Emp_Names,MATCH($A2506,Emp_Codes,0)),"NOT FOUND"))</f>
        <v/>
      </c>
      <c r="C2506" s="14" t="n"/>
      <c r="D2506" s="15" t="n"/>
      <c r="E2506" s="15" t="n"/>
      <c r="F2506" s="15" t="n"/>
      <c r="G2506" s="15" t="n"/>
      <c r="H2506" s="16">
        <f>IF($A2506="","",$D2506+IF($E2506="",0,$E2506)+IF($F2506="",0,$F2506)-IF($G2506="",0,$G2506))</f>
        <v/>
      </c>
      <c r="I2506" s="12" t="n"/>
      <c r="J2506" s="12" t="n"/>
      <c r="K2506" s="12" t="n"/>
      <c r="L2506" s="14" t="n"/>
      <c r="M2506" s="12" t="n"/>
      <c r="N2506" s="12" t="n"/>
      <c r="O2506" s="12" t="n"/>
    </row>
    <row r="2507">
      <c r="A2507" s="12" t="n"/>
      <c r="B2507" s="13">
        <f>IF($A2507="","",IFERROR(INDEX(Emp_Names,MATCH($A2507,Emp_Codes,0)),"NOT FOUND"))</f>
        <v/>
      </c>
      <c r="C2507" s="14" t="n"/>
      <c r="D2507" s="15" t="n"/>
      <c r="E2507" s="15" t="n"/>
      <c r="F2507" s="15" t="n"/>
      <c r="G2507" s="15" t="n"/>
      <c r="H2507" s="16">
        <f>IF($A2507="","",$D2507+IF($E2507="",0,$E2507)+IF($F2507="",0,$F2507)-IF($G2507="",0,$G2507))</f>
        <v/>
      </c>
      <c r="I2507" s="12" t="n"/>
      <c r="J2507" s="12" t="n"/>
      <c r="K2507" s="12" t="n"/>
      <c r="L2507" s="14" t="n"/>
      <c r="M2507" s="12" t="n"/>
      <c r="N2507" s="12" t="n"/>
      <c r="O2507" s="12" t="n"/>
    </row>
    <row r="2508">
      <c r="A2508" s="12" t="n"/>
      <c r="B2508" s="13">
        <f>IF($A2508="","",IFERROR(INDEX(Emp_Names,MATCH($A2508,Emp_Codes,0)),"NOT FOUND"))</f>
        <v/>
      </c>
      <c r="C2508" s="14" t="n"/>
      <c r="D2508" s="15" t="n"/>
      <c r="E2508" s="15" t="n"/>
      <c r="F2508" s="15" t="n"/>
      <c r="G2508" s="15" t="n"/>
      <c r="H2508" s="16">
        <f>IF($A2508="","",$D2508+IF($E2508="",0,$E2508)+IF($F2508="",0,$F2508)-IF($G2508="",0,$G2508))</f>
        <v/>
      </c>
      <c r="I2508" s="12" t="n"/>
      <c r="J2508" s="12" t="n"/>
      <c r="K2508" s="12" t="n"/>
      <c r="L2508" s="14" t="n"/>
      <c r="M2508" s="12" t="n"/>
      <c r="N2508" s="12" t="n"/>
      <c r="O2508" s="12" t="n"/>
    </row>
    <row r="2509">
      <c r="A2509" s="12" t="n"/>
      <c r="B2509" s="13">
        <f>IF($A2509="","",IFERROR(INDEX(Emp_Names,MATCH($A2509,Emp_Codes,0)),"NOT FOUND"))</f>
        <v/>
      </c>
      <c r="C2509" s="14" t="n"/>
      <c r="D2509" s="15" t="n"/>
      <c r="E2509" s="15" t="n"/>
      <c r="F2509" s="15" t="n"/>
      <c r="G2509" s="15" t="n"/>
      <c r="H2509" s="16">
        <f>IF($A2509="","",$D2509+IF($E2509="",0,$E2509)+IF($F2509="",0,$F2509)-IF($G2509="",0,$G2509))</f>
        <v/>
      </c>
      <c r="I2509" s="12" t="n"/>
      <c r="J2509" s="12" t="n"/>
      <c r="K2509" s="12" t="n"/>
      <c r="L2509" s="14" t="n"/>
      <c r="M2509" s="12" t="n"/>
      <c r="N2509" s="12" t="n"/>
      <c r="O2509" s="12" t="n"/>
    </row>
    <row r="2510">
      <c r="A2510" s="12" t="n"/>
      <c r="B2510" s="13">
        <f>IF($A2510="","",IFERROR(INDEX(Emp_Names,MATCH($A2510,Emp_Codes,0)),"NOT FOUND"))</f>
        <v/>
      </c>
      <c r="C2510" s="14" t="n"/>
      <c r="D2510" s="15" t="n"/>
      <c r="E2510" s="15" t="n"/>
      <c r="F2510" s="15" t="n"/>
      <c r="G2510" s="15" t="n"/>
      <c r="H2510" s="16">
        <f>IF($A2510="","",$D2510+IF($E2510="",0,$E2510)+IF($F2510="",0,$F2510)-IF($G2510="",0,$G2510))</f>
        <v/>
      </c>
      <c r="I2510" s="12" t="n"/>
      <c r="J2510" s="12" t="n"/>
      <c r="K2510" s="12" t="n"/>
      <c r="L2510" s="14" t="n"/>
      <c r="M2510" s="12" t="n"/>
      <c r="N2510" s="12" t="n"/>
      <c r="O2510" s="12" t="n"/>
    </row>
    <row r="2511">
      <c r="A2511" s="12" t="n"/>
      <c r="B2511" s="13">
        <f>IF($A2511="","",IFERROR(INDEX(Emp_Names,MATCH($A2511,Emp_Codes,0)),"NOT FOUND"))</f>
        <v/>
      </c>
      <c r="C2511" s="14" t="n"/>
      <c r="D2511" s="15" t="n"/>
      <c r="E2511" s="15" t="n"/>
      <c r="F2511" s="15" t="n"/>
      <c r="G2511" s="15" t="n"/>
      <c r="H2511" s="16">
        <f>IF($A2511="","",$D2511+IF($E2511="",0,$E2511)+IF($F2511="",0,$F2511)-IF($G2511="",0,$G2511))</f>
        <v/>
      </c>
      <c r="I2511" s="12" t="n"/>
      <c r="J2511" s="12" t="n"/>
      <c r="K2511" s="12" t="n"/>
      <c r="L2511" s="14" t="n"/>
      <c r="M2511" s="12" t="n"/>
      <c r="N2511" s="12" t="n"/>
      <c r="O2511" s="12" t="n"/>
    </row>
    <row r="2512">
      <c r="A2512" s="12" t="n"/>
      <c r="B2512" s="13">
        <f>IF($A2512="","",IFERROR(INDEX(Emp_Names,MATCH($A2512,Emp_Codes,0)),"NOT FOUND"))</f>
        <v/>
      </c>
      <c r="C2512" s="14" t="n"/>
      <c r="D2512" s="15" t="n"/>
      <c r="E2512" s="15" t="n"/>
      <c r="F2512" s="15" t="n"/>
      <c r="G2512" s="15" t="n"/>
      <c r="H2512" s="16">
        <f>IF($A2512="","",$D2512+IF($E2512="",0,$E2512)+IF($F2512="",0,$F2512)-IF($G2512="",0,$G2512))</f>
        <v/>
      </c>
      <c r="I2512" s="12" t="n"/>
      <c r="J2512" s="12" t="n"/>
      <c r="K2512" s="12" t="n"/>
      <c r="L2512" s="14" t="n"/>
      <c r="M2512" s="12" t="n"/>
      <c r="N2512" s="12" t="n"/>
      <c r="O2512" s="12" t="n"/>
    </row>
    <row r="2513">
      <c r="A2513" s="12" t="n"/>
      <c r="B2513" s="13">
        <f>IF($A2513="","",IFERROR(INDEX(Emp_Names,MATCH($A2513,Emp_Codes,0)),"NOT FOUND"))</f>
        <v/>
      </c>
      <c r="C2513" s="14" t="n"/>
      <c r="D2513" s="15" t="n"/>
      <c r="E2513" s="15" t="n"/>
      <c r="F2513" s="15" t="n"/>
      <c r="G2513" s="15" t="n"/>
      <c r="H2513" s="16">
        <f>IF($A2513="","",$D2513+IF($E2513="",0,$E2513)+IF($F2513="",0,$F2513)-IF($G2513="",0,$G2513))</f>
        <v/>
      </c>
      <c r="I2513" s="12" t="n"/>
      <c r="J2513" s="12" t="n"/>
      <c r="K2513" s="12" t="n"/>
      <c r="L2513" s="14" t="n"/>
      <c r="M2513" s="12" t="n"/>
      <c r="N2513" s="12" t="n"/>
      <c r="O2513" s="12" t="n"/>
    </row>
    <row r="2514">
      <c r="A2514" s="12" t="n"/>
      <c r="B2514" s="13">
        <f>IF($A2514="","",IFERROR(INDEX(Emp_Names,MATCH($A2514,Emp_Codes,0)),"NOT FOUND"))</f>
        <v/>
      </c>
      <c r="C2514" s="14" t="n"/>
      <c r="D2514" s="15" t="n"/>
      <c r="E2514" s="15" t="n"/>
      <c r="F2514" s="15" t="n"/>
      <c r="G2514" s="15" t="n"/>
      <c r="H2514" s="16">
        <f>IF($A2514="","",$D2514+IF($E2514="",0,$E2514)+IF($F2514="",0,$F2514)-IF($G2514="",0,$G2514))</f>
        <v/>
      </c>
      <c r="I2514" s="12" t="n"/>
      <c r="J2514" s="12" t="n"/>
      <c r="K2514" s="12" t="n"/>
      <c r="L2514" s="14" t="n"/>
      <c r="M2514" s="12" t="n"/>
      <c r="N2514" s="12" t="n"/>
      <c r="O2514" s="12" t="n"/>
    </row>
    <row r="2515">
      <c r="A2515" s="12" t="n"/>
      <c r="B2515" s="13">
        <f>IF($A2515="","",IFERROR(INDEX(Emp_Names,MATCH($A2515,Emp_Codes,0)),"NOT FOUND"))</f>
        <v/>
      </c>
      <c r="C2515" s="14" t="n"/>
      <c r="D2515" s="15" t="n"/>
      <c r="E2515" s="15" t="n"/>
      <c r="F2515" s="15" t="n"/>
      <c r="G2515" s="15" t="n"/>
      <c r="H2515" s="16">
        <f>IF($A2515="","",$D2515+IF($E2515="",0,$E2515)+IF($F2515="",0,$F2515)-IF($G2515="",0,$G2515))</f>
        <v/>
      </c>
      <c r="I2515" s="12" t="n"/>
      <c r="J2515" s="12" t="n"/>
      <c r="K2515" s="12" t="n"/>
      <c r="L2515" s="14" t="n"/>
      <c r="M2515" s="12" t="n"/>
      <c r="N2515" s="12" t="n"/>
      <c r="O2515" s="12" t="n"/>
    </row>
    <row r="2516">
      <c r="A2516" s="12" t="n"/>
      <c r="B2516" s="13">
        <f>IF($A2516="","",IFERROR(INDEX(Emp_Names,MATCH($A2516,Emp_Codes,0)),"NOT FOUND"))</f>
        <v/>
      </c>
      <c r="C2516" s="14" t="n"/>
      <c r="D2516" s="15" t="n"/>
      <c r="E2516" s="15" t="n"/>
      <c r="F2516" s="15" t="n"/>
      <c r="G2516" s="15" t="n"/>
      <c r="H2516" s="16">
        <f>IF($A2516="","",$D2516+IF($E2516="",0,$E2516)+IF($F2516="",0,$F2516)-IF($G2516="",0,$G2516))</f>
        <v/>
      </c>
      <c r="I2516" s="12" t="n"/>
      <c r="J2516" s="12" t="n"/>
      <c r="K2516" s="12" t="n"/>
      <c r="L2516" s="14" t="n"/>
      <c r="M2516" s="12" t="n"/>
      <c r="N2516" s="12" t="n"/>
      <c r="O2516" s="12" t="n"/>
    </row>
    <row r="2517">
      <c r="A2517" s="12" t="n"/>
      <c r="B2517" s="13">
        <f>IF($A2517="","",IFERROR(INDEX(Emp_Names,MATCH($A2517,Emp_Codes,0)),"NOT FOUND"))</f>
        <v/>
      </c>
      <c r="C2517" s="14" t="n"/>
      <c r="D2517" s="15" t="n"/>
      <c r="E2517" s="15" t="n"/>
      <c r="F2517" s="15" t="n"/>
      <c r="G2517" s="15" t="n"/>
      <c r="H2517" s="16">
        <f>IF($A2517="","",$D2517+IF($E2517="",0,$E2517)+IF($F2517="",0,$F2517)-IF($G2517="",0,$G2517))</f>
        <v/>
      </c>
      <c r="I2517" s="12" t="n"/>
      <c r="J2517" s="12" t="n"/>
      <c r="K2517" s="12" t="n"/>
      <c r="L2517" s="14" t="n"/>
      <c r="M2517" s="12" t="n"/>
      <c r="N2517" s="12" t="n"/>
      <c r="O2517" s="12" t="n"/>
    </row>
    <row r="2518">
      <c r="A2518" s="12" t="n"/>
      <c r="B2518" s="13">
        <f>IF($A2518="","",IFERROR(INDEX(Emp_Names,MATCH($A2518,Emp_Codes,0)),"NOT FOUND"))</f>
        <v/>
      </c>
      <c r="C2518" s="14" t="n"/>
      <c r="D2518" s="15" t="n"/>
      <c r="E2518" s="15" t="n"/>
      <c r="F2518" s="15" t="n"/>
      <c r="G2518" s="15" t="n"/>
      <c r="H2518" s="16">
        <f>IF($A2518="","",$D2518+IF($E2518="",0,$E2518)+IF($F2518="",0,$F2518)-IF($G2518="",0,$G2518))</f>
        <v/>
      </c>
      <c r="I2518" s="12" t="n"/>
      <c r="J2518" s="12" t="n"/>
      <c r="K2518" s="12" t="n"/>
      <c r="L2518" s="14" t="n"/>
      <c r="M2518" s="12" t="n"/>
      <c r="N2518" s="12" t="n"/>
      <c r="O2518" s="12" t="n"/>
    </row>
    <row r="2519">
      <c r="A2519" s="12" t="n"/>
      <c r="B2519" s="13">
        <f>IF($A2519="","",IFERROR(INDEX(Emp_Names,MATCH($A2519,Emp_Codes,0)),"NOT FOUND"))</f>
        <v/>
      </c>
      <c r="C2519" s="14" t="n"/>
      <c r="D2519" s="15" t="n"/>
      <c r="E2519" s="15" t="n"/>
      <c r="F2519" s="15" t="n"/>
      <c r="G2519" s="15" t="n"/>
      <c r="H2519" s="16">
        <f>IF($A2519="","",$D2519+IF($E2519="",0,$E2519)+IF($F2519="",0,$F2519)-IF($G2519="",0,$G2519))</f>
        <v/>
      </c>
      <c r="I2519" s="12" t="n"/>
      <c r="J2519" s="12" t="n"/>
      <c r="K2519" s="12" t="n"/>
      <c r="L2519" s="14" t="n"/>
      <c r="M2519" s="12" t="n"/>
      <c r="N2519" s="12" t="n"/>
      <c r="O2519" s="12" t="n"/>
    </row>
    <row r="2520">
      <c r="A2520" s="12" t="n"/>
      <c r="B2520" s="13">
        <f>IF($A2520="","",IFERROR(INDEX(Emp_Names,MATCH($A2520,Emp_Codes,0)),"NOT FOUND"))</f>
        <v/>
      </c>
      <c r="C2520" s="14" t="n"/>
      <c r="D2520" s="15" t="n"/>
      <c r="E2520" s="15" t="n"/>
      <c r="F2520" s="15" t="n"/>
      <c r="G2520" s="15" t="n"/>
      <c r="H2520" s="16">
        <f>IF($A2520="","",$D2520+IF($E2520="",0,$E2520)+IF($F2520="",0,$F2520)-IF($G2520="",0,$G2520))</f>
        <v/>
      </c>
      <c r="I2520" s="12" t="n"/>
      <c r="J2520" s="12" t="n"/>
      <c r="K2520" s="12" t="n"/>
      <c r="L2520" s="14" t="n"/>
      <c r="M2520" s="12" t="n"/>
      <c r="N2520" s="12" t="n"/>
      <c r="O2520" s="12" t="n"/>
    </row>
    <row r="2521">
      <c r="A2521" s="12" t="n"/>
      <c r="B2521" s="13">
        <f>IF($A2521="","",IFERROR(INDEX(Emp_Names,MATCH($A2521,Emp_Codes,0)),"NOT FOUND"))</f>
        <v/>
      </c>
      <c r="C2521" s="14" t="n"/>
      <c r="D2521" s="15" t="n"/>
      <c r="E2521" s="15" t="n"/>
      <c r="F2521" s="15" t="n"/>
      <c r="G2521" s="15" t="n"/>
      <c r="H2521" s="16">
        <f>IF($A2521="","",$D2521+IF($E2521="",0,$E2521)+IF($F2521="",0,$F2521)-IF($G2521="",0,$G2521))</f>
        <v/>
      </c>
      <c r="I2521" s="12" t="n"/>
      <c r="J2521" s="12" t="n"/>
      <c r="K2521" s="12" t="n"/>
      <c r="L2521" s="14" t="n"/>
      <c r="M2521" s="12" t="n"/>
      <c r="N2521" s="12" t="n"/>
      <c r="O2521" s="12" t="n"/>
    </row>
    <row r="2522">
      <c r="A2522" s="12" t="n"/>
      <c r="B2522" s="13">
        <f>IF($A2522="","",IFERROR(INDEX(Emp_Names,MATCH($A2522,Emp_Codes,0)),"NOT FOUND"))</f>
        <v/>
      </c>
      <c r="C2522" s="14" t="n"/>
      <c r="D2522" s="15" t="n"/>
      <c r="E2522" s="15" t="n"/>
      <c r="F2522" s="15" t="n"/>
      <c r="G2522" s="15" t="n"/>
      <c r="H2522" s="16">
        <f>IF($A2522="","",$D2522+IF($E2522="",0,$E2522)+IF($F2522="",0,$F2522)-IF($G2522="",0,$G2522))</f>
        <v/>
      </c>
      <c r="I2522" s="12" t="n"/>
      <c r="J2522" s="12" t="n"/>
      <c r="K2522" s="12" t="n"/>
      <c r="L2522" s="14" t="n"/>
      <c r="M2522" s="12" t="n"/>
      <c r="N2522" s="12" t="n"/>
      <c r="O2522" s="12" t="n"/>
    </row>
    <row r="2523">
      <c r="A2523" s="12" t="n"/>
      <c r="B2523" s="13">
        <f>IF($A2523="","",IFERROR(INDEX(Emp_Names,MATCH($A2523,Emp_Codes,0)),"NOT FOUND"))</f>
        <v/>
      </c>
      <c r="C2523" s="14" t="n"/>
      <c r="D2523" s="15" t="n"/>
      <c r="E2523" s="15" t="n"/>
      <c r="F2523" s="15" t="n"/>
      <c r="G2523" s="15" t="n"/>
      <c r="H2523" s="16">
        <f>IF($A2523="","",$D2523+IF($E2523="",0,$E2523)+IF($F2523="",0,$F2523)-IF($G2523="",0,$G2523))</f>
        <v/>
      </c>
      <c r="I2523" s="12" t="n"/>
      <c r="J2523" s="12" t="n"/>
      <c r="K2523" s="12" t="n"/>
      <c r="L2523" s="14" t="n"/>
      <c r="M2523" s="12" t="n"/>
      <c r="N2523" s="12" t="n"/>
      <c r="O2523" s="12" t="n"/>
    </row>
    <row r="2524">
      <c r="A2524" s="12" t="n"/>
      <c r="B2524" s="13">
        <f>IF($A2524="","",IFERROR(INDEX(Emp_Names,MATCH($A2524,Emp_Codes,0)),"NOT FOUND"))</f>
        <v/>
      </c>
      <c r="C2524" s="14" t="n"/>
      <c r="D2524" s="15" t="n"/>
      <c r="E2524" s="15" t="n"/>
      <c r="F2524" s="15" t="n"/>
      <c r="G2524" s="15" t="n"/>
      <c r="H2524" s="16">
        <f>IF($A2524="","",$D2524+IF($E2524="",0,$E2524)+IF($F2524="",0,$F2524)-IF($G2524="",0,$G2524))</f>
        <v/>
      </c>
      <c r="I2524" s="12" t="n"/>
      <c r="J2524" s="12" t="n"/>
      <c r="K2524" s="12" t="n"/>
      <c r="L2524" s="14" t="n"/>
      <c r="M2524" s="12" t="n"/>
      <c r="N2524" s="12" t="n"/>
      <c r="O2524" s="12" t="n"/>
    </row>
    <row r="2525">
      <c r="A2525" s="12" t="n"/>
      <c r="B2525" s="13">
        <f>IF($A2525="","",IFERROR(INDEX(Emp_Names,MATCH($A2525,Emp_Codes,0)),"NOT FOUND"))</f>
        <v/>
      </c>
      <c r="C2525" s="14" t="n"/>
      <c r="D2525" s="15" t="n"/>
      <c r="E2525" s="15" t="n"/>
      <c r="F2525" s="15" t="n"/>
      <c r="G2525" s="15" t="n"/>
      <c r="H2525" s="16">
        <f>IF($A2525="","",$D2525+IF($E2525="",0,$E2525)+IF($F2525="",0,$F2525)-IF($G2525="",0,$G2525))</f>
        <v/>
      </c>
      <c r="I2525" s="12" t="n"/>
      <c r="J2525" s="12" t="n"/>
      <c r="K2525" s="12" t="n"/>
      <c r="L2525" s="14" t="n"/>
      <c r="M2525" s="12" t="n"/>
      <c r="N2525" s="12" t="n"/>
      <c r="O2525" s="12" t="n"/>
    </row>
    <row r="2526">
      <c r="A2526" s="12" t="n"/>
      <c r="B2526" s="13">
        <f>IF($A2526="","",IFERROR(INDEX(Emp_Names,MATCH($A2526,Emp_Codes,0)),"NOT FOUND"))</f>
        <v/>
      </c>
      <c r="C2526" s="14" t="n"/>
      <c r="D2526" s="15" t="n"/>
      <c r="E2526" s="15" t="n"/>
      <c r="F2526" s="15" t="n"/>
      <c r="G2526" s="15" t="n"/>
      <c r="H2526" s="16">
        <f>IF($A2526="","",$D2526+IF($E2526="",0,$E2526)+IF($F2526="",0,$F2526)-IF($G2526="",0,$G2526))</f>
        <v/>
      </c>
      <c r="I2526" s="12" t="n"/>
      <c r="J2526" s="12" t="n"/>
      <c r="K2526" s="12" t="n"/>
      <c r="L2526" s="14" t="n"/>
      <c r="M2526" s="12" t="n"/>
      <c r="N2526" s="12" t="n"/>
      <c r="O2526" s="12" t="n"/>
    </row>
    <row r="2527">
      <c r="A2527" s="12" t="n"/>
      <c r="B2527" s="13">
        <f>IF($A2527="","",IFERROR(INDEX(Emp_Names,MATCH($A2527,Emp_Codes,0)),"NOT FOUND"))</f>
        <v/>
      </c>
      <c r="C2527" s="14" t="n"/>
      <c r="D2527" s="15" t="n"/>
      <c r="E2527" s="15" t="n"/>
      <c r="F2527" s="15" t="n"/>
      <c r="G2527" s="15" t="n"/>
      <c r="H2527" s="16">
        <f>IF($A2527="","",$D2527+IF($E2527="",0,$E2527)+IF($F2527="",0,$F2527)-IF($G2527="",0,$G2527))</f>
        <v/>
      </c>
      <c r="I2527" s="12" t="n"/>
      <c r="J2527" s="12" t="n"/>
      <c r="K2527" s="12" t="n"/>
      <c r="L2527" s="14" t="n"/>
      <c r="M2527" s="12" t="n"/>
      <c r="N2527" s="12" t="n"/>
      <c r="O2527" s="12" t="n"/>
    </row>
    <row r="2528">
      <c r="A2528" s="12" t="n"/>
      <c r="B2528" s="13">
        <f>IF($A2528="","",IFERROR(INDEX(Emp_Names,MATCH($A2528,Emp_Codes,0)),"NOT FOUND"))</f>
        <v/>
      </c>
      <c r="C2528" s="14" t="n"/>
      <c r="D2528" s="15" t="n"/>
      <c r="E2528" s="15" t="n"/>
      <c r="F2528" s="15" t="n"/>
      <c r="G2528" s="15" t="n"/>
      <c r="H2528" s="16">
        <f>IF($A2528="","",$D2528+IF($E2528="",0,$E2528)+IF($F2528="",0,$F2528)-IF($G2528="",0,$G2528))</f>
        <v/>
      </c>
      <c r="I2528" s="12" t="n"/>
      <c r="J2528" s="12" t="n"/>
      <c r="K2528" s="12" t="n"/>
      <c r="L2528" s="14" t="n"/>
      <c r="M2528" s="12" t="n"/>
      <c r="N2528" s="12" t="n"/>
      <c r="O2528" s="12" t="n"/>
    </row>
    <row r="2529">
      <c r="A2529" s="12" t="n"/>
      <c r="B2529" s="13">
        <f>IF($A2529="","",IFERROR(INDEX(Emp_Names,MATCH($A2529,Emp_Codes,0)),"NOT FOUND"))</f>
        <v/>
      </c>
      <c r="C2529" s="14" t="n"/>
      <c r="D2529" s="15" t="n"/>
      <c r="E2529" s="15" t="n"/>
      <c r="F2529" s="15" t="n"/>
      <c r="G2529" s="15" t="n"/>
      <c r="H2529" s="16">
        <f>IF($A2529="","",$D2529+IF($E2529="",0,$E2529)+IF($F2529="",0,$F2529)-IF($G2529="",0,$G2529))</f>
        <v/>
      </c>
      <c r="I2529" s="12" t="n"/>
      <c r="J2529" s="12" t="n"/>
      <c r="K2529" s="12" t="n"/>
      <c r="L2529" s="14" t="n"/>
      <c r="M2529" s="12" t="n"/>
      <c r="N2529" s="12" t="n"/>
      <c r="O2529" s="12" t="n"/>
    </row>
    <row r="2530">
      <c r="A2530" s="12" t="n"/>
      <c r="B2530" s="13">
        <f>IF($A2530="","",IFERROR(INDEX(Emp_Names,MATCH($A2530,Emp_Codes,0)),"NOT FOUND"))</f>
        <v/>
      </c>
      <c r="C2530" s="14" t="n"/>
      <c r="D2530" s="15" t="n"/>
      <c r="E2530" s="15" t="n"/>
      <c r="F2530" s="15" t="n"/>
      <c r="G2530" s="15" t="n"/>
      <c r="H2530" s="16">
        <f>IF($A2530="","",$D2530+IF($E2530="",0,$E2530)+IF($F2530="",0,$F2530)-IF($G2530="",0,$G2530))</f>
        <v/>
      </c>
      <c r="I2530" s="12" t="n"/>
      <c r="J2530" s="12" t="n"/>
      <c r="K2530" s="12" t="n"/>
      <c r="L2530" s="14" t="n"/>
      <c r="M2530" s="12" t="n"/>
      <c r="N2530" s="12" t="n"/>
      <c r="O2530" s="12" t="n"/>
    </row>
    <row r="2531">
      <c r="A2531" s="12" t="n"/>
      <c r="B2531" s="13">
        <f>IF($A2531="","",IFERROR(INDEX(Emp_Names,MATCH($A2531,Emp_Codes,0)),"NOT FOUND"))</f>
        <v/>
      </c>
      <c r="C2531" s="14" t="n"/>
      <c r="D2531" s="15" t="n"/>
      <c r="E2531" s="15" t="n"/>
      <c r="F2531" s="15" t="n"/>
      <c r="G2531" s="15" t="n"/>
      <c r="H2531" s="16">
        <f>IF($A2531="","",$D2531+IF($E2531="",0,$E2531)+IF($F2531="",0,$F2531)-IF($G2531="",0,$G2531))</f>
        <v/>
      </c>
      <c r="I2531" s="12" t="n"/>
      <c r="J2531" s="12" t="n"/>
      <c r="K2531" s="12" t="n"/>
      <c r="L2531" s="14" t="n"/>
      <c r="M2531" s="12" t="n"/>
      <c r="N2531" s="12" t="n"/>
      <c r="O2531" s="12" t="n"/>
    </row>
    <row r="2532">
      <c r="A2532" s="12" t="n"/>
      <c r="B2532" s="13">
        <f>IF($A2532="","",IFERROR(INDEX(Emp_Names,MATCH($A2532,Emp_Codes,0)),"NOT FOUND"))</f>
        <v/>
      </c>
      <c r="C2532" s="14" t="n"/>
      <c r="D2532" s="15" t="n"/>
      <c r="E2532" s="15" t="n"/>
      <c r="F2532" s="15" t="n"/>
      <c r="G2532" s="15" t="n"/>
      <c r="H2532" s="16">
        <f>IF($A2532="","",$D2532+IF($E2532="",0,$E2532)+IF($F2532="",0,$F2532)-IF($G2532="",0,$G2532))</f>
        <v/>
      </c>
      <c r="I2532" s="12" t="n"/>
      <c r="J2532" s="12" t="n"/>
      <c r="K2532" s="12" t="n"/>
      <c r="L2532" s="14" t="n"/>
      <c r="M2532" s="12" t="n"/>
      <c r="N2532" s="12" t="n"/>
      <c r="O2532" s="12" t="n"/>
    </row>
    <row r="2533">
      <c r="A2533" s="12" t="n"/>
      <c r="B2533" s="13">
        <f>IF($A2533="","",IFERROR(INDEX(Emp_Names,MATCH($A2533,Emp_Codes,0)),"NOT FOUND"))</f>
        <v/>
      </c>
      <c r="C2533" s="14" t="n"/>
      <c r="D2533" s="15" t="n"/>
      <c r="E2533" s="15" t="n"/>
      <c r="F2533" s="15" t="n"/>
      <c r="G2533" s="15" t="n"/>
      <c r="H2533" s="16">
        <f>IF($A2533="","",$D2533+IF($E2533="",0,$E2533)+IF($F2533="",0,$F2533)-IF($G2533="",0,$G2533))</f>
        <v/>
      </c>
      <c r="I2533" s="12" t="n"/>
      <c r="J2533" s="12" t="n"/>
      <c r="K2533" s="12" t="n"/>
      <c r="L2533" s="14" t="n"/>
      <c r="M2533" s="12" t="n"/>
      <c r="N2533" s="12" t="n"/>
      <c r="O2533" s="12" t="n"/>
    </row>
    <row r="2534">
      <c r="A2534" s="12" t="n"/>
      <c r="B2534" s="13">
        <f>IF($A2534="","",IFERROR(INDEX(Emp_Names,MATCH($A2534,Emp_Codes,0)),"NOT FOUND"))</f>
        <v/>
      </c>
      <c r="C2534" s="14" t="n"/>
      <c r="D2534" s="15" t="n"/>
      <c r="E2534" s="15" t="n"/>
      <c r="F2534" s="15" t="n"/>
      <c r="G2534" s="15" t="n"/>
      <c r="H2534" s="16">
        <f>IF($A2534="","",$D2534+IF($E2534="",0,$E2534)+IF($F2534="",0,$F2534)-IF($G2534="",0,$G2534))</f>
        <v/>
      </c>
      <c r="I2534" s="12" t="n"/>
      <c r="J2534" s="12" t="n"/>
      <c r="K2534" s="12" t="n"/>
      <c r="L2534" s="14" t="n"/>
      <c r="M2534" s="12" t="n"/>
      <c r="N2534" s="12" t="n"/>
      <c r="O2534" s="12" t="n"/>
    </row>
    <row r="2535">
      <c r="A2535" s="12" t="n"/>
      <c r="B2535" s="13">
        <f>IF($A2535="","",IFERROR(INDEX(Emp_Names,MATCH($A2535,Emp_Codes,0)),"NOT FOUND"))</f>
        <v/>
      </c>
      <c r="C2535" s="14" t="n"/>
      <c r="D2535" s="15" t="n"/>
      <c r="E2535" s="15" t="n"/>
      <c r="F2535" s="15" t="n"/>
      <c r="G2535" s="15" t="n"/>
      <c r="H2535" s="16">
        <f>IF($A2535="","",$D2535+IF($E2535="",0,$E2535)+IF($F2535="",0,$F2535)-IF($G2535="",0,$G2535))</f>
        <v/>
      </c>
      <c r="I2535" s="12" t="n"/>
      <c r="J2535" s="12" t="n"/>
      <c r="K2535" s="12" t="n"/>
      <c r="L2535" s="14" t="n"/>
      <c r="M2535" s="12" t="n"/>
      <c r="N2535" s="12" t="n"/>
      <c r="O2535" s="12" t="n"/>
    </row>
    <row r="2536">
      <c r="A2536" s="12" t="n"/>
      <c r="B2536" s="13">
        <f>IF($A2536="","",IFERROR(INDEX(Emp_Names,MATCH($A2536,Emp_Codes,0)),"NOT FOUND"))</f>
        <v/>
      </c>
      <c r="C2536" s="14" t="n"/>
      <c r="D2536" s="15" t="n"/>
      <c r="E2536" s="15" t="n"/>
      <c r="F2536" s="15" t="n"/>
      <c r="G2536" s="15" t="n"/>
      <c r="H2536" s="16">
        <f>IF($A2536="","",$D2536+IF($E2536="",0,$E2536)+IF($F2536="",0,$F2536)-IF($G2536="",0,$G2536))</f>
        <v/>
      </c>
      <c r="I2536" s="12" t="n"/>
      <c r="J2536" s="12" t="n"/>
      <c r="K2536" s="12" t="n"/>
      <c r="L2536" s="14" t="n"/>
      <c r="M2536" s="12" t="n"/>
      <c r="N2536" s="12" t="n"/>
      <c r="O2536" s="12" t="n"/>
    </row>
    <row r="2537">
      <c r="A2537" s="12" t="n"/>
      <c r="B2537" s="13">
        <f>IF($A2537="","",IFERROR(INDEX(Emp_Names,MATCH($A2537,Emp_Codes,0)),"NOT FOUND"))</f>
        <v/>
      </c>
      <c r="C2537" s="14" t="n"/>
      <c r="D2537" s="15" t="n"/>
      <c r="E2537" s="15" t="n"/>
      <c r="F2537" s="15" t="n"/>
      <c r="G2537" s="15" t="n"/>
      <c r="H2537" s="16">
        <f>IF($A2537="","",$D2537+IF($E2537="",0,$E2537)+IF($F2537="",0,$F2537)-IF($G2537="",0,$G2537))</f>
        <v/>
      </c>
      <c r="I2537" s="12" t="n"/>
      <c r="J2537" s="12" t="n"/>
      <c r="K2537" s="12" t="n"/>
      <c r="L2537" s="14" t="n"/>
      <c r="M2537" s="12" t="n"/>
      <c r="N2537" s="12" t="n"/>
      <c r="O2537" s="12" t="n"/>
    </row>
    <row r="2538">
      <c r="A2538" s="12" t="n"/>
      <c r="B2538" s="13">
        <f>IF($A2538="","",IFERROR(INDEX(Emp_Names,MATCH($A2538,Emp_Codes,0)),"NOT FOUND"))</f>
        <v/>
      </c>
      <c r="C2538" s="14" t="n"/>
      <c r="D2538" s="15" t="n"/>
      <c r="E2538" s="15" t="n"/>
      <c r="F2538" s="15" t="n"/>
      <c r="G2538" s="15" t="n"/>
      <c r="H2538" s="16">
        <f>IF($A2538="","",$D2538+IF($E2538="",0,$E2538)+IF($F2538="",0,$F2538)-IF($G2538="",0,$G2538))</f>
        <v/>
      </c>
      <c r="I2538" s="12" t="n"/>
      <c r="J2538" s="12" t="n"/>
      <c r="K2538" s="12" t="n"/>
      <c r="L2538" s="14" t="n"/>
      <c r="M2538" s="12" t="n"/>
      <c r="N2538" s="12" t="n"/>
      <c r="O2538" s="12" t="n"/>
    </row>
    <row r="2539">
      <c r="A2539" s="12" t="n"/>
      <c r="B2539" s="13">
        <f>IF($A2539="","",IFERROR(INDEX(Emp_Names,MATCH($A2539,Emp_Codes,0)),"NOT FOUND"))</f>
        <v/>
      </c>
      <c r="C2539" s="14" t="n"/>
      <c r="D2539" s="15" t="n"/>
      <c r="E2539" s="15" t="n"/>
      <c r="F2539" s="15" t="n"/>
      <c r="G2539" s="15" t="n"/>
      <c r="H2539" s="16">
        <f>IF($A2539="","",$D2539+IF($E2539="",0,$E2539)+IF($F2539="",0,$F2539)-IF($G2539="",0,$G2539))</f>
        <v/>
      </c>
      <c r="I2539" s="12" t="n"/>
      <c r="J2539" s="12" t="n"/>
      <c r="K2539" s="12" t="n"/>
      <c r="L2539" s="14" t="n"/>
      <c r="M2539" s="12" t="n"/>
      <c r="N2539" s="12" t="n"/>
      <c r="O2539" s="12" t="n"/>
    </row>
    <row r="2540">
      <c r="A2540" s="12" t="n"/>
      <c r="B2540" s="13">
        <f>IF($A2540="","",IFERROR(INDEX(Emp_Names,MATCH($A2540,Emp_Codes,0)),"NOT FOUND"))</f>
        <v/>
      </c>
      <c r="C2540" s="14" t="n"/>
      <c r="D2540" s="15" t="n"/>
      <c r="E2540" s="15" t="n"/>
      <c r="F2540" s="15" t="n"/>
      <c r="G2540" s="15" t="n"/>
      <c r="H2540" s="16">
        <f>IF($A2540="","",$D2540+IF($E2540="",0,$E2540)+IF($F2540="",0,$F2540)-IF($G2540="",0,$G2540))</f>
        <v/>
      </c>
      <c r="I2540" s="12" t="n"/>
      <c r="J2540" s="12" t="n"/>
      <c r="K2540" s="12" t="n"/>
      <c r="L2540" s="14" t="n"/>
      <c r="M2540" s="12" t="n"/>
      <c r="N2540" s="12" t="n"/>
      <c r="O2540" s="12" t="n"/>
    </row>
    <row r="2541">
      <c r="A2541" s="12" t="n"/>
      <c r="B2541" s="13">
        <f>IF($A2541="","",IFERROR(INDEX(Emp_Names,MATCH($A2541,Emp_Codes,0)),"NOT FOUND"))</f>
        <v/>
      </c>
      <c r="C2541" s="14" t="n"/>
      <c r="D2541" s="15" t="n"/>
      <c r="E2541" s="15" t="n"/>
      <c r="F2541" s="15" t="n"/>
      <c r="G2541" s="15" t="n"/>
      <c r="H2541" s="16">
        <f>IF($A2541="","",$D2541+IF($E2541="",0,$E2541)+IF($F2541="",0,$F2541)-IF($G2541="",0,$G2541))</f>
        <v/>
      </c>
      <c r="I2541" s="12" t="n"/>
      <c r="J2541" s="12" t="n"/>
      <c r="K2541" s="12" t="n"/>
      <c r="L2541" s="14" t="n"/>
      <c r="M2541" s="12" t="n"/>
      <c r="N2541" s="12" t="n"/>
      <c r="O2541" s="12" t="n"/>
    </row>
    <row r="2542">
      <c r="A2542" s="12" t="n"/>
      <c r="B2542" s="13">
        <f>IF($A2542="","",IFERROR(INDEX(Emp_Names,MATCH($A2542,Emp_Codes,0)),"NOT FOUND"))</f>
        <v/>
      </c>
      <c r="C2542" s="14" t="n"/>
      <c r="D2542" s="15" t="n"/>
      <c r="E2542" s="15" t="n"/>
      <c r="F2542" s="15" t="n"/>
      <c r="G2542" s="15" t="n"/>
      <c r="H2542" s="16">
        <f>IF($A2542="","",$D2542+IF($E2542="",0,$E2542)+IF($F2542="",0,$F2542)-IF($G2542="",0,$G2542))</f>
        <v/>
      </c>
      <c r="I2542" s="12" t="n"/>
      <c r="J2542" s="12" t="n"/>
      <c r="K2542" s="12" t="n"/>
      <c r="L2542" s="14" t="n"/>
      <c r="M2542" s="12" t="n"/>
      <c r="N2542" s="12" t="n"/>
      <c r="O2542" s="12" t="n"/>
    </row>
    <row r="2543">
      <c r="A2543" s="12" t="n"/>
      <c r="B2543" s="13">
        <f>IF($A2543="","",IFERROR(INDEX(Emp_Names,MATCH($A2543,Emp_Codes,0)),"NOT FOUND"))</f>
        <v/>
      </c>
      <c r="C2543" s="14" t="n"/>
      <c r="D2543" s="15" t="n"/>
      <c r="E2543" s="15" t="n"/>
      <c r="F2543" s="15" t="n"/>
      <c r="G2543" s="15" t="n"/>
      <c r="H2543" s="16">
        <f>IF($A2543="","",$D2543+IF($E2543="",0,$E2543)+IF($F2543="",0,$F2543)-IF($G2543="",0,$G2543))</f>
        <v/>
      </c>
      <c r="I2543" s="12" t="n"/>
      <c r="J2543" s="12" t="n"/>
      <c r="K2543" s="12" t="n"/>
      <c r="L2543" s="14" t="n"/>
      <c r="M2543" s="12" t="n"/>
      <c r="N2543" s="12" t="n"/>
      <c r="O2543" s="12" t="n"/>
    </row>
    <row r="2544">
      <c r="A2544" s="12" t="n"/>
      <c r="B2544" s="13">
        <f>IF($A2544="","",IFERROR(INDEX(Emp_Names,MATCH($A2544,Emp_Codes,0)),"NOT FOUND"))</f>
        <v/>
      </c>
      <c r="C2544" s="14" t="n"/>
      <c r="D2544" s="15" t="n"/>
      <c r="E2544" s="15" t="n"/>
      <c r="F2544" s="15" t="n"/>
      <c r="G2544" s="15" t="n"/>
      <c r="H2544" s="16">
        <f>IF($A2544="","",$D2544+IF($E2544="",0,$E2544)+IF($F2544="",0,$F2544)-IF($G2544="",0,$G2544))</f>
        <v/>
      </c>
      <c r="I2544" s="12" t="n"/>
      <c r="J2544" s="12" t="n"/>
      <c r="K2544" s="12" t="n"/>
      <c r="L2544" s="14" t="n"/>
      <c r="M2544" s="12" t="n"/>
      <c r="N2544" s="12" t="n"/>
      <c r="O2544" s="12" t="n"/>
    </row>
    <row r="2545">
      <c r="A2545" s="12" t="n"/>
      <c r="B2545" s="13">
        <f>IF($A2545="","",IFERROR(INDEX(Emp_Names,MATCH($A2545,Emp_Codes,0)),"NOT FOUND"))</f>
        <v/>
      </c>
      <c r="C2545" s="14" t="n"/>
      <c r="D2545" s="15" t="n"/>
      <c r="E2545" s="15" t="n"/>
      <c r="F2545" s="15" t="n"/>
      <c r="G2545" s="15" t="n"/>
      <c r="H2545" s="16">
        <f>IF($A2545="","",$D2545+IF($E2545="",0,$E2545)+IF($F2545="",0,$F2545)-IF($G2545="",0,$G2545))</f>
        <v/>
      </c>
      <c r="I2545" s="12" t="n"/>
      <c r="J2545" s="12" t="n"/>
      <c r="K2545" s="12" t="n"/>
      <c r="L2545" s="14" t="n"/>
      <c r="M2545" s="12" t="n"/>
      <c r="N2545" s="12" t="n"/>
      <c r="O2545" s="12" t="n"/>
    </row>
    <row r="2546">
      <c r="A2546" s="12" t="n"/>
      <c r="B2546" s="13">
        <f>IF($A2546="","",IFERROR(INDEX(Emp_Names,MATCH($A2546,Emp_Codes,0)),"NOT FOUND"))</f>
        <v/>
      </c>
      <c r="C2546" s="14" t="n"/>
      <c r="D2546" s="15" t="n"/>
      <c r="E2546" s="15" t="n"/>
      <c r="F2546" s="15" t="n"/>
      <c r="G2546" s="15" t="n"/>
      <c r="H2546" s="16">
        <f>IF($A2546="","",$D2546+IF($E2546="",0,$E2546)+IF($F2546="",0,$F2546)-IF($G2546="",0,$G2546))</f>
        <v/>
      </c>
      <c r="I2546" s="12" t="n"/>
      <c r="J2546" s="12" t="n"/>
      <c r="K2546" s="12" t="n"/>
      <c r="L2546" s="14" t="n"/>
      <c r="M2546" s="12" t="n"/>
      <c r="N2546" s="12" t="n"/>
      <c r="O2546" s="12" t="n"/>
    </row>
    <row r="2547">
      <c r="A2547" s="12" t="n"/>
      <c r="B2547" s="13">
        <f>IF($A2547="","",IFERROR(INDEX(Emp_Names,MATCH($A2547,Emp_Codes,0)),"NOT FOUND"))</f>
        <v/>
      </c>
      <c r="C2547" s="14" t="n"/>
      <c r="D2547" s="15" t="n"/>
      <c r="E2547" s="15" t="n"/>
      <c r="F2547" s="15" t="n"/>
      <c r="G2547" s="15" t="n"/>
      <c r="H2547" s="16">
        <f>IF($A2547="","",$D2547+IF($E2547="",0,$E2547)+IF($F2547="",0,$F2547)-IF($G2547="",0,$G2547))</f>
        <v/>
      </c>
      <c r="I2547" s="12" t="n"/>
      <c r="J2547" s="12" t="n"/>
      <c r="K2547" s="12" t="n"/>
      <c r="L2547" s="14" t="n"/>
      <c r="M2547" s="12" t="n"/>
      <c r="N2547" s="12" t="n"/>
      <c r="O2547" s="12" t="n"/>
    </row>
    <row r="2548">
      <c r="A2548" s="12" t="n"/>
      <c r="B2548" s="13">
        <f>IF($A2548="","",IFERROR(INDEX(Emp_Names,MATCH($A2548,Emp_Codes,0)),"NOT FOUND"))</f>
        <v/>
      </c>
      <c r="C2548" s="14" t="n"/>
      <c r="D2548" s="15" t="n"/>
      <c r="E2548" s="15" t="n"/>
      <c r="F2548" s="15" t="n"/>
      <c r="G2548" s="15" t="n"/>
      <c r="H2548" s="16">
        <f>IF($A2548="","",$D2548+IF($E2548="",0,$E2548)+IF($F2548="",0,$F2548)-IF($G2548="",0,$G2548))</f>
        <v/>
      </c>
      <c r="I2548" s="12" t="n"/>
      <c r="J2548" s="12" t="n"/>
      <c r="K2548" s="12" t="n"/>
      <c r="L2548" s="14" t="n"/>
      <c r="M2548" s="12" t="n"/>
      <c r="N2548" s="12" t="n"/>
      <c r="O2548" s="12" t="n"/>
    </row>
    <row r="2549">
      <c r="A2549" s="12" t="n"/>
      <c r="B2549" s="13">
        <f>IF($A2549="","",IFERROR(INDEX(Emp_Names,MATCH($A2549,Emp_Codes,0)),"NOT FOUND"))</f>
        <v/>
      </c>
      <c r="C2549" s="14" t="n"/>
      <c r="D2549" s="15" t="n"/>
      <c r="E2549" s="15" t="n"/>
      <c r="F2549" s="15" t="n"/>
      <c r="G2549" s="15" t="n"/>
      <c r="H2549" s="16">
        <f>IF($A2549="","",$D2549+IF($E2549="",0,$E2549)+IF($F2549="",0,$F2549)-IF($G2549="",0,$G2549))</f>
        <v/>
      </c>
      <c r="I2549" s="12" t="n"/>
      <c r="J2549" s="12" t="n"/>
      <c r="K2549" s="12" t="n"/>
      <c r="L2549" s="14" t="n"/>
      <c r="M2549" s="12" t="n"/>
      <c r="N2549" s="12" t="n"/>
      <c r="O2549" s="12" t="n"/>
    </row>
    <row r="2550">
      <c r="A2550" s="12" t="n"/>
      <c r="B2550" s="13">
        <f>IF($A2550="","",IFERROR(INDEX(Emp_Names,MATCH($A2550,Emp_Codes,0)),"NOT FOUND"))</f>
        <v/>
      </c>
      <c r="C2550" s="14" t="n"/>
      <c r="D2550" s="15" t="n"/>
      <c r="E2550" s="15" t="n"/>
      <c r="F2550" s="15" t="n"/>
      <c r="G2550" s="15" t="n"/>
      <c r="H2550" s="16">
        <f>IF($A2550="","",$D2550+IF($E2550="",0,$E2550)+IF($F2550="",0,$F2550)-IF($G2550="",0,$G2550))</f>
        <v/>
      </c>
      <c r="I2550" s="12" t="n"/>
      <c r="J2550" s="12" t="n"/>
      <c r="K2550" s="12" t="n"/>
      <c r="L2550" s="14" t="n"/>
      <c r="M2550" s="12" t="n"/>
      <c r="N2550" s="12" t="n"/>
      <c r="O2550" s="12" t="n"/>
    </row>
    <row r="2551">
      <c r="A2551" s="12" t="n"/>
      <c r="B2551" s="13">
        <f>IF($A2551="","",IFERROR(INDEX(Emp_Names,MATCH($A2551,Emp_Codes,0)),"NOT FOUND"))</f>
        <v/>
      </c>
      <c r="C2551" s="14" t="n"/>
      <c r="D2551" s="15" t="n"/>
      <c r="E2551" s="15" t="n"/>
      <c r="F2551" s="15" t="n"/>
      <c r="G2551" s="15" t="n"/>
      <c r="H2551" s="16">
        <f>IF($A2551="","",$D2551+IF($E2551="",0,$E2551)+IF($F2551="",0,$F2551)-IF($G2551="",0,$G2551))</f>
        <v/>
      </c>
      <c r="I2551" s="12" t="n"/>
      <c r="J2551" s="12" t="n"/>
      <c r="K2551" s="12" t="n"/>
      <c r="L2551" s="14" t="n"/>
      <c r="M2551" s="12" t="n"/>
      <c r="N2551" s="12" t="n"/>
      <c r="O2551" s="12" t="n"/>
    </row>
    <row r="2552">
      <c r="A2552" s="12" t="n"/>
      <c r="B2552" s="13">
        <f>IF($A2552="","",IFERROR(INDEX(Emp_Names,MATCH($A2552,Emp_Codes,0)),"NOT FOUND"))</f>
        <v/>
      </c>
      <c r="C2552" s="14" t="n"/>
      <c r="D2552" s="15" t="n"/>
      <c r="E2552" s="15" t="n"/>
      <c r="F2552" s="15" t="n"/>
      <c r="G2552" s="15" t="n"/>
      <c r="H2552" s="16">
        <f>IF($A2552="","",$D2552+IF($E2552="",0,$E2552)+IF($F2552="",0,$F2552)-IF($G2552="",0,$G2552))</f>
        <v/>
      </c>
      <c r="I2552" s="12" t="n"/>
      <c r="J2552" s="12" t="n"/>
      <c r="K2552" s="12" t="n"/>
      <c r="L2552" s="14" t="n"/>
      <c r="M2552" s="12" t="n"/>
      <c r="N2552" s="12" t="n"/>
      <c r="O2552" s="12" t="n"/>
    </row>
    <row r="2553">
      <c r="A2553" s="12" t="n"/>
      <c r="B2553" s="13">
        <f>IF($A2553="","",IFERROR(INDEX(Emp_Names,MATCH($A2553,Emp_Codes,0)),"NOT FOUND"))</f>
        <v/>
      </c>
      <c r="C2553" s="14" t="n"/>
      <c r="D2553" s="15" t="n"/>
      <c r="E2553" s="15" t="n"/>
      <c r="F2553" s="15" t="n"/>
      <c r="G2553" s="15" t="n"/>
      <c r="H2553" s="16">
        <f>IF($A2553="","",$D2553+IF($E2553="",0,$E2553)+IF($F2553="",0,$F2553)-IF($G2553="",0,$G2553))</f>
        <v/>
      </c>
      <c r="I2553" s="12" t="n"/>
      <c r="J2553" s="12" t="n"/>
      <c r="K2553" s="12" t="n"/>
      <c r="L2553" s="14" t="n"/>
      <c r="M2553" s="12" t="n"/>
      <c r="N2553" s="12" t="n"/>
      <c r="O2553" s="12" t="n"/>
    </row>
    <row r="2554">
      <c r="A2554" s="12" t="n"/>
      <c r="B2554" s="13">
        <f>IF($A2554="","",IFERROR(INDEX(Emp_Names,MATCH($A2554,Emp_Codes,0)),"NOT FOUND"))</f>
        <v/>
      </c>
      <c r="C2554" s="14" t="n"/>
      <c r="D2554" s="15" t="n"/>
      <c r="E2554" s="15" t="n"/>
      <c r="F2554" s="15" t="n"/>
      <c r="G2554" s="15" t="n"/>
      <c r="H2554" s="16">
        <f>IF($A2554="","",$D2554+IF($E2554="",0,$E2554)+IF($F2554="",0,$F2554)-IF($G2554="",0,$G2554))</f>
        <v/>
      </c>
      <c r="I2554" s="12" t="n"/>
      <c r="J2554" s="12" t="n"/>
      <c r="K2554" s="12" t="n"/>
      <c r="L2554" s="14" t="n"/>
      <c r="M2554" s="12" t="n"/>
      <c r="N2554" s="12" t="n"/>
      <c r="O2554" s="12" t="n"/>
    </row>
    <row r="2555">
      <c r="A2555" s="12" t="n"/>
      <c r="B2555" s="13">
        <f>IF($A2555="","",IFERROR(INDEX(Emp_Names,MATCH($A2555,Emp_Codes,0)),"NOT FOUND"))</f>
        <v/>
      </c>
      <c r="C2555" s="14" t="n"/>
      <c r="D2555" s="15" t="n"/>
      <c r="E2555" s="15" t="n"/>
      <c r="F2555" s="15" t="n"/>
      <c r="G2555" s="15" t="n"/>
      <c r="H2555" s="16">
        <f>IF($A2555="","",$D2555+IF($E2555="",0,$E2555)+IF($F2555="",0,$F2555)-IF($G2555="",0,$G2555))</f>
        <v/>
      </c>
      <c r="I2555" s="12" t="n"/>
      <c r="J2555" s="12" t="n"/>
      <c r="K2555" s="12" t="n"/>
      <c r="L2555" s="14" t="n"/>
      <c r="M2555" s="12" t="n"/>
      <c r="N2555" s="12" t="n"/>
      <c r="O2555" s="12" t="n"/>
    </row>
    <row r="2556">
      <c r="A2556" s="12" t="n"/>
      <c r="B2556" s="13">
        <f>IF($A2556="","",IFERROR(INDEX(Emp_Names,MATCH($A2556,Emp_Codes,0)),"NOT FOUND"))</f>
        <v/>
      </c>
      <c r="C2556" s="14" t="n"/>
      <c r="D2556" s="15" t="n"/>
      <c r="E2556" s="15" t="n"/>
      <c r="F2556" s="15" t="n"/>
      <c r="G2556" s="15" t="n"/>
      <c r="H2556" s="16">
        <f>IF($A2556="","",$D2556+IF($E2556="",0,$E2556)+IF($F2556="",0,$F2556)-IF($G2556="",0,$G2556))</f>
        <v/>
      </c>
      <c r="I2556" s="12" t="n"/>
      <c r="J2556" s="12" t="n"/>
      <c r="K2556" s="12" t="n"/>
      <c r="L2556" s="14" t="n"/>
      <c r="M2556" s="12" t="n"/>
      <c r="N2556" s="12" t="n"/>
      <c r="O2556" s="12" t="n"/>
    </row>
    <row r="2557">
      <c r="A2557" s="12" t="n"/>
      <c r="B2557" s="13">
        <f>IF($A2557="","",IFERROR(INDEX(Emp_Names,MATCH($A2557,Emp_Codes,0)),"NOT FOUND"))</f>
        <v/>
      </c>
      <c r="C2557" s="14" t="n"/>
      <c r="D2557" s="15" t="n"/>
      <c r="E2557" s="15" t="n"/>
      <c r="F2557" s="15" t="n"/>
      <c r="G2557" s="15" t="n"/>
      <c r="H2557" s="16">
        <f>IF($A2557="","",$D2557+IF($E2557="",0,$E2557)+IF($F2557="",0,$F2557)-IF($G2557="",0,$G2557))</f>
        <v/>
      </c>
      <c r="I2557" s="12" t="n"/>
      <c r="J2557" s="12" t="n"/>
      <c r="K2557" s="12" t="n"/>
      <c r="L2557" s="14" t="n"/>
      <c r="M2557" s="12" t="n"/>
      <c r="N2557" s="12" t="n"/>
      <c r="O2557" s="12" t="n"/>
    </row>
    <row r="2558">
      <c r="A2558" s="12" t="n"/>
      <c r="B2558" s="13">
        <f>IF($A2558="","",IFERROR(INDEX(Emp_Names,MATCH($A2558,Emp_Codes,0)),"NOT FOUND"))</f>
        <v/>
      </c>
      <c r="C2558" s="14" t="n"/>
      <c r="D2558" s="15" t="n"/>
      <c r="E2558" s="15" t="n"/>
      <c r="F2558" s="15" t="n"/>
      <c r="G2558" s="15" t="n"/>
      <c r="H2558" s="16">
        <f>IF($A2558="","",$D2558+IF($E2558="",0,$E2558)+IF($F2558="",0,$F2558)-IF($G2558="",0,$G2558))</f>
        <v/>
      </c>
      <c r="I2558" s="12" t="n"/>
      <c r="J2558" s="12" t="n"/>
      <c r="K2558" s="12" t="n"/>
      <c r="L2558" s="14" t="n"/>
      <c r="M2558" s="12" t="n"/>
      <c r="N2558" s="12" t="n"/>
      <c r="O2558" s="12" t="n"/>
    </row>
    <row r="2559">
      <c r="A2559" s="12" t="n"/>
      <c r="B2559" s="13">
        <f>IF($A2559="","",IFERROR(INDEX(Emp_Names,MATCH($A2559,Emp_Codes,0)),"NOT FOUND"))</f>
        <v/>
      </c>
      <c r="C2559" s="14" t="n"/>
      <c r="D2559" s="15" t="n"/>
      <c r="E2559" s="15" t="n"/>
      <c r="F2559" s="15" t="n"/>
      <c r="G2559" s="15" t="n"/>
      <c r="H2559" s="16">
        <f>IF($A2559="","",$D2559+IF($E2559="",0,$E2559)+IF($F2559="",0,$F2559)-IF($G2559="",0,$G2559))</f>
        <v/>
      </c>
      <c r="I2559" s="12" t="n"/>
      <c r="J2559" s="12" t="n"/>
      <c r="K2559" s="12" t="n"/>
      <c r="L2559" s="14" t="n"/>
      <c r="M2559" s="12" t="n"/>
      <c r="N2559" s="12" t="n"/>
      <c r="O2559" s="12" t="n"/>
    </row>
    <row r="2560">
      <c r="A2560" s="12" t="n"/>
      <c r="B2560" s="13">
        <f>IF($A2560="","",IFERROR(INDEX(Emp_Names,MATCH($A2560,Emp_Codes,0)),"NOT FOUND"))</f>
        <v/>
      </c>
      <c r="C2560" s="14" t="n"/>
      <c r="D2560" s="15" t="n"/>
      <c r="E2560" s="15" t="n"/>
      <c r="F2560" s="15" t="n"/>
      <c r="G2560" s="15" t="n"/>
      <c r="H2560" s="16">
        <f>IF($A2560="","",$D2560+IF($E2560="",0,$E2560)+IF($F2560="",0,$F2560)-IF($G2560="",0,$G2560))</f>
        <v/>
      </c>
      <c r="I2560" s="12" t="n"/>
      <c r="J2560" s="12" t="n"/>
      <c r="K2560" s="12" t="n"/>
      <c r="L2560" s="14" t="n"/>
      <c r="M2560" s="12" t="n"/>
      <c r="N2560" s="12" t="n"/>
      <c r="O2560" s="12" t="n"/>
    </row>
    <row r="2561">
      <c r="A2561" s="12" t="n"/>
      <c r="B2561" s="13">
        <f>IF($A2561="","",IFERROR(INDEX(Emp_Names,MATCH($A2561,Emp_Codes,0)),"NOT FOUND"))</f>
        <v/>
      </c>
      <c r="C2561" s="14" t="n"/>
      <c r="D2561" s="15" t="n"/>
      <c r="E2561" s="15" t="n"/>
      <c r="F2561" s="15" t="n"/>
      <c r="G2561" s="15" t="n"/>
      <c r="H2561" s="16">
        <f>IF($A2561="","",$D2561+IF($E2561="",0,$E2561)+IF($F2561="",0,$F2561)-IF($G2561="",0,$G2561))</f>
        <v/>
      </c>
      <c r="I2561" s="12" t="n"/>
      <c r="J2561" s="12" t="n"/>
      <c r="K2561" s="12" t="n"/>
      <c r="L2561" s="14" t="n"/>
      <c r="M2561" s="12" t="n"/>
      <c r="N2561" s="12" t="n"/>
      <c r="O2561" s="12" t="n"/>
    </row>
    <row r="2562">
      <c r="A2562" s="12" t="n"/>
      <c r="B2562" s="13">
        <f>IF($A2562="","",IFERROR(INDEX(Emp_Names,MATCH($A2562,Emp_Codes,0)),"NOT FOUND"))</f>
        <v/>
      </c>
      <c r="C2562" s="14" t="n"/>
      <c r="D2562" s="15" t="n"/>
      <c r="E2562" s="15" t="n"/>
      <c r="F2562" s="15" t="n"/>
      <c r="G2562" s="15" t="n"/>
      <c r="H2562" s="16">
        <f>IF($A2562="","",$D2562+IF($E2562="",0,$E2562)+IF($F2562="",0,$F2562)-IF($G2562="",0,$G2562))</f>
        <v/>
      </c>
      <c r="I2562" s="12" t="n"/>
      <c r="J2562" s="12" t="n"/>
      <c r="K2562" s="12" t="n"/>
      <c r="L2562" s="14" t="n"/>
      <c r="M2562" s="12" t="n"/>
      <c r="N2562" s="12" t="n"/>
      <c r="O2562" s="12" t="n"/>
    </row>
    <row r="2563">
      <c r="A2563" s="12" t="n"/>
      <c r="B2563" s="13">
        <f>IF($A2563="","",IFERROR(INDEX(Emp_Names,MATCH($A2563,Emp_Codes,0)),"NOT FOUND"))</f>
        <v/>
      </c>
      <c r="C2563" s="14" t="n"/>
      <c r="D2563" s="15" t="n"/>
      <c r="E2563" s="15" t="n"/>
      <c r="F2563" s="15" t="n"/>
      <c r="G2563" s="15" t="n"/>
      <c r="H2563" s="16">
        <f>IF($A2563="","",$D2563+IF($E2563="",0,$E2563)+IF($F2563="",0,$F2563)-IF($G2563="",0,$G2563))</f>
        <v/>
      </c>
      <c r="I2563" s="12" t="n"/>
      <c r="J2563" s="12" t="n"/>
      <c r="K2563" s="12" t="n"/>
      <c r="L2563" s="14" t="n"/>
      <c r="M2563" s="12" t="n"/>
      <c r="N2563" s="12" t="n"/>
      <c r="O2563" s="12" t="n"/>
    </row>
    <row r="2564">
      <c r="A2564" s="12" t="n"/>
      <c r="B2564" s="13">
        <f>IF($A2564="","",IFERROR(INDEX(Emp_Names,MATCH($A2564,Emp_Codes,0)),"NOT FOUND"))</f>
        <v/>
      </c>
      <c r="C2564" s="14" t="n"/>
      <c r="D2564" s="15" t="n"/>
      <c r="E2564" s="15" t="n"/>
      <c r="F2564" s="15" t="n"/>
      <c r="G2564" s="15" t="n"/>
      <c r="H2564" s="16">
        <f>IF($A2564="","",$D2564+IF($E2564="",0,$E2564)+IF($F2564="",0,$F2564)-IF($G2564="",0,$G2564))</f>
        <v/>
      </c>
      <c r="I2564" s="12" t="n"/>
      <c r="J2564" s="12" t="n"/>
      <c r="K2564" s="12" t="n"/>
      <c r="L2564" s="14" t="n"/>
      <c r="M2564" s="12" t="n"/>
      <c r="N2564" s="12" t="n"/>
      <c r="O2564" s="12" t="n"/>
    </row>
    <row r="2565">
      <c r="A2565" s="12" t="n"/>
      <c r="B2565" s="13">
        <f>IF($A2565="","",IFERROR(INDEX(Emp_Names,MATCH($A2565,Emp_Codes,0)),"NOT FOUND"))</f>
        <v/>
      </c>
      <c r="C2565" s="14" t="n"/>
      <c r="D2565" s="15" t="n"/>
      <c r="E2565" s="15" t="n"/>
      <c r="F2565" s="15" t="n"/>
      <c r="G2565" s="15" t="n"/>
      <c r="H2565" s="16">
        <f>IF($A2565="","",$D2565+IF($E2565="",0,$E2565)+IF($F2565="",0,$F2565)-IF($G2565="",0,$G2565))</f>
        <v/>
      </c>
      <c r="I2565" s="12" t="n"/>
      <c r="J2565" s="12" t="n"/>
      <c r="K2565" s="12" t="n"/>
      <c r="L2565" s="14" t="n"/>
      <c r="M2565" s="12" t="n"/>
      <c r="N2565" s="12" t="n"/>
      <c r="O2565" s="12" t="n"/>
    </row>
    <row r="2566">
      <c r="A2566" s="12" t="n"/>
      <c r="B2566" s="13">
        <f>IF($A2566="","",IFERROR(INDEX(Emp_Names,MATCH($A2566,Emp_Codes,0)),"NOT FOUND"))</f>
        <v/>
      </c>
      <c r="C2566" s="14" t="n"/>
      <c r="D2566" s="15" t="n"/>
      <c r="E2566" s="15" t="n"/>
      <c r="F2566" s="15" t="n"/>
      <c r="G2566" s="15" t="n"/>
      <c r="H2566" s="16">
        <f>IF($A2566="","",$D2566+IF($E2566="",0,$E2566)+IF($F2566="",0,$F2566)-IF($G2566="",0,$G2566))</f>
        <v/>
      </c>
      <c r="I2566" s="12" t="n"/>
      <c r="J2566" s="12" t="n"/>
      <c r="K2566" s="12" t="n"/>
      <c r="L2566" s="14" t="n"/>
      <c r="M2566" s="12" t="n"/>
      <c r="N2566" s="12" t="n"/>
      <c r="O2566" s="12" t="n"/>
    </row>
    <row r="2567">
      <c r="A2567" s="12" t="n"/>
      <c r="B2567" s="13">
        <f>IF($A2567="","",IFERROR(INDEX(Emp_Names,MATCH($A2567,Emp_Codes,0)),"NOT FOUND"))</f>
        <v/>
      </c>
      <c r="C2567" s="14" t="n"/>
      <c r="D2567" s="15" t="n"/>
      <c r="E2567" s="15" t="n"/>
      <c r="F2567" s="15" t="n"/>
      <c r="G2567" s="15" t="n"/>
      <c r="H2567" s="16">
        <f>IF($A2567="","",$D2567+IF($E2567="",0,$E2567)+IF($F2567="",0,$F2567)-IF($G2567="",0,$G2567))</f>
        <v/>
      </c>
      <c r="I2567" s="12" t="n"/>
      <c r="J2567" s="12" t="n"/>
      <c r="K2567" s="12" t="n"/>
      <c r="L2567" s="14" t="n"/>
      <c r="M2567" s="12" t="n"/>
      <c r="N2567" s="12" t="n"/>
      <c r="O2567" s="12" t="n"/>
    </row>
    <row r="2568">
      <c r="A2568" s="12" t="n"/>
      <c r="B2568" s="13">
        <f>IF($A2568="","",IFERROR(INDEX(Emp_Names,MATCH($A2568,Emp_Codes,0)),"NOT FOUND"))</f>
        <v/>
      </c>
      <c r="C2568" s="14" t="n"/>
      <c r="D2568" s="15" t="n"/>
      <c r="E2568" s="15" t="n"/>
      <c r="F2568" s="15" t="n"/>
      <c r="G2568" s="15" t="n"/>
      <c r="H2568" s="16">
        <f>IF($A2568="","",$D2568+IF($E2568="",0,$E2568)+IF($F2568="",0,$F2568)-IF($G2568="",0,$G2568))</f>
        <v/>
      </c>
      <c r="I2568" s="12" t="n"/>
      <c r="J2568" s="12" t="n"/>
      <c r="K2568" s="12" t="n"/>
      <c r="L2568" s="14" t="n"/>
      <c r="M2568" s="12" t="n"/>
      <c r="N2568" s="12" t="n"/>
      <c r="O2568" s="12" t="n"/>
    </row>
    <row r="2569">
      <c r="A2569" s="12" t="n"/>
      <c r="B2569" s="13">
        <f>IF($A2569="","",IFERROR(INDEX(Emp_Names,MATCH($A2569,Emp_Codes,0)),"NOT FOUND"))</f>
        <v/>
      </c>
      <c r="C2569" s="14" t="n"/>
      <c r="D2569" s="15" t="n"/>
      <c r="E2569" s="15" t="n"/>
      <c r="F2569" s="15" t="n"/>
      <c r="G2569" s="15" t="n"/>
      <c r="H2569" s="16">
        <f>IF($A2569="","",$D2569+IF($E2569="",0,$E2569)+IF($F2569="",0,$F2569)-IF($G2569="",0,$G2569))</f>
        <v/>
      </c>
      <c r="I2569" s="12" t="n"/>
      <c r="J2569" s="12" t="n"/>
      <c r="K2569" s="12" t="n"/>
      <c r="L2569" s="14" t="n"/>
      <c r="M2569" s="12" t="n"/>
      <c r="N2569" s="12" t="n"/>
      <c r="O2569" s="12" t="n"/>
    </row>
    <row r="2570">
      <c r="A2570" s="12" t="n"/>
      <c r="B2570" s="13">
        <f>IF($A2570="","",IFERROR(INDEX(Emp_Names,MATCH($A2570,Emp_Codes,0)),"NOT FOUND"))</f>
        <v/>
      </c>
      <c r="C2570" s="14" t="n"/>
      <c r="D2570" s="15" t="n"/>
      <c r="E2570" s="15" t="n"/>
      <c r="F2570" s="15" t="n"/>
      <c r="G2570" s="15" t="n"/>
      <c r="H2570" s="16">
        <f>IF($A2570="","",$D2570+IF($E2570="",0,$E2570)+IF($F2570="",0,$F2570)-IF($G2570="",0,$G2570))</f>
        <v/>
      </c>
      <c r="I2570" s="12" t="n"/>
      <c r="J2570" s="12" t="n"/>
      <c r="K2570" s="12" t="n"/>
      <c r="L2570" s="14" t="n"/>
      <c r="M2570" s="12" t="n"/>
      <c r="N2570" s="12" t="n"/>
      <c r="O2570" s="12" t="n"/>
    </row>
    <row r="2571">
      <c r="A2571" s="12" t="n"/>
      <c r="B2571" s="13">
        <f>IF($A2571="","",IFERROR(INDEX(Emp_Names,MATCH($A2571,Emp_Codes,0)),"NOT FOUND"))</f>
        <v/>
      </c>
      <c r="C2571" s="14" t="n"/>
      <c r="D2571" s="15" t="n"/>
      <c r="E2571" s="15" t="n"/>
      <c r="F2571" s="15" t="n"/>
      <c r="G2571" s="15" t="n"/>
      <c r="H2571" s="16">
        <f>IF($A2571="","",$D2571+IF($E2571="",0,$E2571)+IF($F2571="",0,$F2571)-IF($G2571="",0,$G2571))</f>
        <v/>
      </c>
      <c r="I2571" s="12" t="n"/>
      <c r="J2571" s="12" t="n"/>
      <c r="K2571" s="12" t="n"/>
      <c r="L2571" s="14" t="n"/>
      <c r="M2571" s="12" t="n"/>
      <c r="N2571" s="12" t="n"/>
      <c r="O2571" s="12" t="n"/>
    </row>
    <row r="2572">
      <c r="A2572" s="12" t="n"/>
      <c r="B2572" s="13">
        <f>IF($A2572="","",IFERROR(INDEX(Emp_Names,MATCH($A2572,Emp_Codes,0)),"NOT FOUND"))</f>
        <v/>
      </c>
      <c r="C2572" s="14" t="n"/>
      <c r="D2572" s="15" t="n"/>
      <c r="E2572" s="15" t="n"/>
      <c r="F2572" s="15" t="n"/>
      <c r="G2572" s="15" t="n"/>
      <c r="H2572" s="16">
        <f>IF($A2572="","",$D2572+IF($E2572="",0,$E2572)+IF($F2572="",0,$F2572)-IF($G2572="",0,$G2572))</f>
        <v/>
      </c>
      <c r="I2572" s="12" t="n"/>
      <c r="J2572" s="12" t="n"/>
      <c r="K2572" s="12" t="n"/>
      <c r="L2572" s="14" t="n"/>
      <c r="M2572" s="12" t="n"/>
      <c r="N2572" s="12" t="n"/>
      <c r="O2572" s="12" t="n"/>
    </row>
    <row r="2573">
      <c r="A2573" s="12" t="n"/>
      <c r="B2573" s="13">
        <f>IF($A2573="","",IFERROR(INDEX(Emp_Names,MATCH($A2573,Emp_Codes,0)),"NOT FOUND"))</f>
        <v/>
      </c>
      <c r="C2573" s="14" t="n"/>
      <c r="D2573" s="15" t="n"/>
      <c r="E2573" s="15" t="n"/>
      <c r="F2573" s="15" t="n"/>
      <c r="G2573" s="15" t="n"/>
      <c r="H2573" s="16">
        <f>IF($A2573="","",$D2573+IF($E2573="",0,$E2573)+IF($F2573="",0,$F2573)-IF($G2573="",0,$G2573))</f>
        <v/>
      </c>
      <c r="I2573" s="12" t="n"/>
      <c r="J2573" s="12" t="n"/>
      <c r="K2573" s="12" t="n"/>
      <c r="L2573" s="14" t="n"/>
      <c r="M2573" s="12" t="n"/>
      <c r="N2573" s="12" t="n"/>
      <c r="O2573" s="12" t="n"/>
    </row>
    <row r="2574">
      <c r="A2574" s="12" t="n"/>
      <c r="B2574" s="13">
        <f>IF($A2574="","",IFERROR(INDEX(Emp_Names,MATCH($A2574,Emp_Codes,0)),"NOT FOUND"))</f>
        <v/>
      </c>
      <c r="C2574" s="14" t="n"/>
      <c r="D2574" s="15" t="n"/>
      <c r="E2574" s="15" t="n"/>
      <c r="F2574" s="15" t="n"/>
      <c r="G2574" s="15" t="n"/>
      <c r="H2574" s="16">
        <f>IF($A2574="","",$D2574+IF($E2574="",0,$E2574)+IF($F2574="",0,$F2574)-IF($G2574="",0,$G2574))</f>
        <v/>
      </c>
      <c r="I2574" s="12" t="n"/>
      <c r="J2574" s="12" t="n"/>
      <c r="K2574" s="12" t="n"/>
      <c r="L2574" s="14" t="n"/>
      <c r="M2574" s="12" t="n"/>
      <c r="N2574" s="12" t="n"/>
      <c r="O2574" s="12" t="n"/>
    </row>
    <row r="2575">
      <c r="A2575" s="12" t="n"/>
      <c r="B2575" s="13">
        <f>IF($A2575="","",IFERROR(INDEX(Emp_Names,MATCH($A2575,Emp_Codes,0)),"NOT FOUND"))</f>
        <v/>
      </c>
      <c r="C2575" s="14" t="n"/>
      <c r="D2575" s="15" t="n"/>
      <c r="E2575" s="15" t="n"/>
      <c r="F2575" s="15" t="n"/>
      <c r="G2575" s="15" t="n"/>
      <c r="H2575" s="16">
        <f>IF($A2575="","",$D2575+IF($E2575="",0,$E2575)+IF($F2575="",0,$F2575)-IF($G2575="",0,$G2575))</f>
        <v/>
      </c>
      <c r="I2575" s="12" t="n"/>
      <c r="J2575" s="12" t="n"/>
      <c r="K2575" s="12" t="n"/>
      <c r="L2575" s="14" t="n"/>
      <c r="M2575" s="12" t="n"/>
      <c r="N2575" s="12" t="n"/>
      <c r="O2575" s="12" t="n"/>
    </row>
    <row r="2576">
      <c r="A2576" s="12" t="n"/>
      <c r="B2576" s="13">
        <f>IF($A2576="","",IFERROR(INDEX(Emp_Names,MATCH($A2576,Emp_Codes,0)),"NOT FOUND"))</f>
        <v/>
      </c>
      <c r="C2576" s="14" t="n"/>
      <c r="D2576" s="15" t="n"/>
      <c r="E2576" s="15" t="n"/>
      <c r="F2576" s="15" t="n"/>
      <c r="G2576" s="15" t="n"/>
      <c r="H2576" s="16">
        <f>IF($A2576="","",$D2576+IF($E2576="",0,$E2576)+IF($F2576="",0,$F2576)-IF($G2576="",0,$G2576))</f>
        <v/>
      </c>
      <c r="I2576" s="12" t="n"/>
      <c r="J2576" s="12" t="n"/>
      <c r="K2576" s="12" t="n"/>
      <c r="L2576" s="14" t="n"/>
      <c r="M2576" s="12" t="n"/>
      <c r="N2576" s="12" t="n"/>
      <c r="O2576" s="12" t="n"/>
    </row>
    <row r="2577">
      <c r="A2577" s="12" t="n"/>
      <c r="B2577" s="13">
        <f>IF($A2577="","",IFERROR(INDEX(Emp_Names,MATCH($A2577,Emp_Codes,0)),"NOT FOUND"))</f>
        <v/>
      </c>
      <c r="C2577" s="14" t="n"/>
      <c r="D2577" s="15" t="n"/>
      <c r="E2577" s="15" t="n"/>
      <c r="F2577" s="15" t="n"/>
      <c r="G2577" s="15" t="n"/>
      <c r="H2577" s="16">
        <f>IF($A2577="","",$D2577+IF($E2577="",0,$E2577)+IF($F2577="",0,$F2577)-IF($G2577="",0,$G2577))</f>
        <v/>
      </c>
      <c r="I2577" s="12" t="n"/>
      <c r="J2577" s="12" t="n"/>
      <c r="K2577" s="12" t="n"/>
      <c r="L2577" s="14" t="n"/>
      <c r="M2577" s="12" t="n"/>
      <c r="N2577" s="12" t="n"/>
      <c r="O2577" s="12" t="n"/>
    </row>
    <row r="2578">
      <c r="A2578" s="12" t="n"/>
      <c r="B2578" s="13">
        <f>IF($A2578="","",IFERROR(INDEX(Emp_Names,MATCH($A2578,Emp_Codes,0)),"NOT FOUND"))</f>
        <v/>
      </c>
      <c r="C2578" s="14" t="n"/>
      <c r="D2578" s="15" t="n"/>
      <c r="E2578" s="15" t="n"/>
      <c r="F2578" s="15" t="n"/>
      <c r="G2578" s="15" t="n"/>
      <c r="H2578" s="16">
        <f>IF($A2578="","",$D2578+IF($E2578="",0,$E2578)+IF($F2578="",0,$F2578)-IF($G2578="",0,$G2578))</f>
        <v/>
      </c>
      <c r="I2578" s="12" t="n"/>
      <c r="J2578" s="12" t="n"/>
      <c r="K2578" s="12" t="n"/>
      <c r="L2578" s="14" t="n"/>
      <c r="M2578" s="12" t="n"/>
      <c r="N2578" s="12" t="n"/>
      <c r="O2578" s="12" t="n"/>
    </row>
    <row r="2579">
      <c r="A2579" s="12" t="n"/>
      <c r="B2579" s="13">
        <f>IF($A2579="","",IFERROR(INDEX(Emp_Names,MATCH($A2579,Emp_Codes,0)),"NOT FOUND"))</f>
        <v/>
      </c>
      <c r="C2579" s="14" t="n"/>
      <c r="D2579" s="15" t="n"/>
      <c r="E2579" s="15" t="n"/>
      <c r="F2579" s="15" t="n"/>
      <c r="G2579" s="15" t="n"/>
      <c r="H2579" s="16">
        <f>IF($A2579="","",$D2579+IF($E2579="",0,$E2579)+IF($F2579="",0,$F2579)-IF($G2579="",0,$G2579))</f>
        <v/>
      </c>
      <c r="I2579" s="12" t="n"/>
      <c r="J2579" s="12" t="n"/>
      <c r="K2579" s="12" t="n"/>
      <c r="L2579" s="14" t="n"/>
      <c r="M2579" s="12" t="n"/>
      <c r="N2579" s="12" t="n"/>
      <c r="O2579" s="12" t="n"/>
    </row>
    <row r="2580">
      <c r="A2580" s="12" t="n"/>
      <c r="B2580" s="13">
        <f>IF($A2580="","",IFERROR(INDEX(Emp_Names,MATCH($A2580,Emp_Codes,0)),"NOT FOUND"))</f>
        <v/>
      </c>
      <c r="C2580" s="14" t="n"/>
      <c r="D2580" s="15" t="n"/>
      <c r="E2580" s="15" t="n"/>
      <c r="F2580" s="15" t="n"/>
      <c r="G2580" s="15" t="n"/>
      <c r="H2580" s="16">
        <f>IF($A2580="","",$D2580+IF($E2580="",0,$E2580)+IF($F2580="",0,$F2580)-IF($G2580="",0,$G2580))</f>
        <v/>
      </c>
      <c r="I2580" s="12" t="n"/>
      <c r="J2580" s="12" t="n"/>
      <c r="K2580" s="12" t="n"/>
      <c r="L2580" s="14" t="n"/>
      <c r="M2580" s="12" t="n"/>
      <c r="N2580" s="12" t="n"/>
      <c r="O2580" s="12" t="n"/>
    </row>
    <row r="2581">
      <c r="A2581" s="12" t="n"/>
      <c r="B2581" s="13">
        <f>IF($A2581="","",IFERROR(INDEX(Emp_Names,MATCH($A2581,Emp_Codes,0)),"NOT FOUND"))</f>
        <v/>
      </c>
      <c r="C2581" s="14" t="n"/>
      <c r="D2581" s="15" t="n"/>
      <c r="E2581" s="15" t="n"/>
      <c r="F2581" s="15" t="n"/>
      <c r="G2581" s="15" t="n"/>
      <c r="H2581" s="16">
        <f>IF($A2581="","",$D2581+IF($E2581="",0,$E2581)+IF($F2581="",0,$F2581)-IF($G2581="",0,$G2581))</f>
        <v/>
      </c>
      <c r="I2581" s="12" t="n"/>
      <c r="J2581" s="12" t="n"/>
      <c r="K2581" s="12" t="n"/>
      <c r="L2581" s="14" t="n"/>
      <c r="M2581" s="12" t="n"/>
      <c r="N2581" s="12" t="n"/>
      <c r="O2581" s="12" t="n"/>
    </row>
    <row r="2582">
      <c r="A2582" s="12" t="n"/>
      <c r="B2582" s="13">
        <f>IF($A2582="","",IFERROR(INDEX(Emp_Names,MATCH($A2582,Emp_Codes,0)),"NOT FOUND"))</f>
        <v/>
      </c>
      <c r="C2582" s="14" t="n"/>
      <c r="D2582" s="15" t="n"/>
      <c r="E2582" s="15" t="n"/>
      <c r="F2582" s="15" t="n"/>
      <c r="G2582" s="15" t="n"/>
      <c r="H2582" s="16">
        <f>IF($A2582="","",$D2582+IF($E2582="",0,$E2582)+IF($F2582="",0,$F2582)-IF($G2582="",0,$G2582))</f>
        <v/>
      </c>
      <c r="I2582" s="12" t="n"/>
      <c r="J2582" s="12" t="n"/>
      <c r="K2582" s="12" t="n"/>
      <c r="L2582" s="14" t="n"/>
      <c r="M2582" s="12" t="n"/>
      <c r="N2582" s="12" t="n"/>
      <c r="O2582" s="12" t="n"/>
    </row>
    <row r="2583">
      <c r="A2583" s="12" t="n"/>
      <c r="B2583" s="13">
        <f>IF($A2583="","",IFERROR(INDEX(Emp_Names,MATCH($A2583,Emp_Codes,0)),"NOT FOUND"))</f>
        <v/>
      </c>
      <c r="C2583" s="14" t="n"/>
      <c r="D2583" s="15" t="n"/>
      <c r="E2583" s="15" t="n"/>
      <c r="F2583" s="15" t="n"/>
      <c r="G2583" s="15" t="n"/>
      <c r="H2583" s="16">
        <f>IF($A2583="","",$D2583+IF($E2583="",0,$E2583)+IF($F2583="",0,$F2583)-IF($G2583="",0,$G2583))</f>
        <v/>
      </c>
      <c r="I2583" s="12" t="n"/>
      <c r="J2583" s="12" t="n"/>
      <c r="K2583" s="12" t="n"/>
      <c r="L2583" s="14" t="n"/>
      <c r="M2583" s="12" t="n"/>
      <c r="N2583" s="12" t="n"/>
      <c r="O2583" s="12" t="n"/>
    </row>
    <row r="2584">
      <c r="A2584" s="12" t="n"/>
      <c r="B2584" s="13">
        <f>IF($A2584="","",IFERROR(INDEX(Emp_Names,MATCH($A2584,Emp_Codes,0)),"NOT FOUND"))</f>
        <v/>
      </c>
      <c r="C2584" s="14" t="n"/>
      <c r="D2584" s="15" t="n"/>
      <c r="E2584" s="15" t="n"/>
      <c r="F2584" s="15" t="n"/>
      <c r="G2584" s="15" t="n"/>
      <c r="H2584" s="16">
        <f>IF($A2584="","",$D2584+IF($E2584="",0,$E2584)+IF($F2584="",0,$F2584)-IF($G2584="",0,$G2584))</f>
        <v/>
      </c>
      <c r="I2584" s="12" t="n"/>
      <c r="J2584" s="12" t="n"/>
      <c r="K2584" s="12" t="n"/>
      <c r="L2584" s="14" t="n"/>
      <c r="M2584" s="12" t="n"/>
      <c r="N2584" s="12" t="n"/>
      <c r="O2584" s="12" t="n"/>
    </row>
    <row r="2585">
      <c r="A2585" s="12" t="n"/>
      <c r="B2585" s="13">
        <f>IF($A2585="","",IFERROR(INDEX(Emp_Names,MATCH($A2585,Emp_Codes,0)),"NOT FOUND"))</f>
        <v/>
      </c>
      <c r="C2585" s="14" t="n"/>
      <c r="D2585" s="15" t="n"/>
      <c r="E2585" s="15" t="n"/>
      <c r="F2585" s="15" t="n"/>
      <c r="G2585" s="15" t="n"/>
      <c r="H2585" s="16">
        <f>IF($A2585="","",$D2585+IF($E2585="",0,$E2585)+IF($F2585="",0,$F2585)-IF($G2585="",0,$G2585))</f>
        <v/>
      </c>
      <c r="I2585" s="12" t="n"/>
      <c r="J2585" s="12" t="n"/>
      <c r="K2585" s="12" t="n"/>
      <c r="L2585" s="14" t="n"/>
      <c r="M2585" s="12" t="n"/>
      <c r="N2585" s="12" t="n"/>
      <c r="O2585" s="12" t="n"/>
    </row>
    <row r="2586">
      <c r="A2586" s="12" t="n"/>
      <c r="B2586" s="13">
        <f>IF($A2586="","",IFERROR(INDEX(Emp_Names,MATCH($A2586,Emp_Codes,0)),"NOT FOUND"))</f>
        <v/>
      </c>
      <c r="C2586" s="14" t="n"/>
      <c r="D2586" s="15" t="n"/>
      <c r="E2586" s="15" t="n"/>
      <c r="F2586" s="15" t="n"/>
      <c r="G2586" s="15" t="n"/>
      <c r="H2586" s="16">
        <f>IF($A2586="","",$D2586+IF($E2586="",0,$E2586)+IF($F2586="",0,$F2586)-IF($G2586="",0,$G2586))</f>
        <v/>
      </c>
      <c r="I2586" s="12" t="n"/>
      <c r="J2586" s="12" t="n"/>
      <c r="K2586" s="12" t="n"/>
      <c r="L2586" s="14" t="n"/>
      <c r="M2586" s="12" t="n"/>
      <c r="N2586" s="12" t="n"/>
      <c r="O2586" s="12" t="n"/>
    </row>
    <row r="2587">
      <c r="A2587" s="12" t="n"/>
      <c r="B2587" s="13">
        <f>IF($A2587="","",IFERROR(INDEX(Emp_Names,MATCH($A2587,Emp_Codes,0)),"NOT FOUND"))</f>
        <v/>
      </c>
      <c r="C2587" s="14" t="n"/>
      <c r="D2587" s="15" t="n"/>
      <c r="E2587" s="15" t="n"/>
      <c r="F2587" s="15" t="n"/>
      <c r="G2587" s="15" t="n"/>
      <c r="H2587" s="16">
        <f>IF($A2587="","",$D2587+IF($E2587="",0,$E2587)+IF($F2587="",0,$F2587)-IF($G2587="",0,$G2587))</f>
        <v/>
      </c>
      <c r="I2587" s="12" t="n"/>
      <c r="J2587" s="12" t="n"/>
      <c r="K2587" s="12" t="n"/>
      <c r="L2587" s="14" t="n"/>
      <c r="M2587" s="12" t="n"/>
      <c r="N2587" s="12" t="n"/>
      <c r="O2587" s="12" t="n"/>
    </row>
    <row r="2588">
      <c r="A2588" s="12" t="n"/>
      <c r="B2588" s="13">
        <f>IF($A2588="","",IFERROR(INDEX(Emp_Names,MATCH($A2588,Emp_Codes,0)),"NOT FOUND"))</f>
        <v/>
      </c>
      <c r="C2588" s="14" t="n"/>
      <c r="D2588" s="15" t="n"/>
      <c r="E2588" s="15" t="n"/>
      <c r="F2588" s="15" t="n"/>
      <c r="G2588" s="15" t="n"/>
      <c r="H2588" s="16">
        <f>IF($A2588="","",$D2588+IF($E2588="",0,$E2588)+IF($F2588="",0,$F2588)-IF($G2588="",0,$G2588))</f>
        <v/>
      </c>
      <c r="I2588" s="12" t="n"/>
      <c r="J2588" s="12" t="n"/>
      <c r="K2588" s="12" t="n"/>
      <c r="L2588" s="14" t="n"/>
      <c r="M2588" s="12" t="n"/>
      <c r="N2588" s="12" t="n"/>
      <c r="O2588" s="12" t="n"/>
    </row>
    <row r="2589">
      <c r="A2589" s="12" t="n"/>
      <c r="B2589" s="13">
        <f>IF($A2589="","",IFERROR(INDEX(Emp_Names,MATCH($A2589,Emp_Codes,0)),"NOT FOUND"))</f>
        <v/>
      </c>
      <c r="C2589" s="14" t="n"/>
      <c r="D2589" s="15" t="n"/>
      <c r="E2589" s="15" t="n"/>
      <c r="F2589" s="15" t="n"/>
      <c r="G2589" s="15" t="n"/>
      <c r="H2589" s="16">
        <f>IF($A2589="","",$D2589+IF($E2589="",0,$E2589)+IF($F2589="",0,$F2589)-IF($G2589="",0,$G2589))</f>
        <v/>
      </c>
      <c r="I2589" s="12" t="n"/>
      <c r="J2589" s="12" t="n"/>
      <c r="K2589" s="12" t="n"/>
      <c r="L2589" s="14" t="n"/>
      <c r="M2589" s="12" t="n"/>
      <c r="N2589" s="12" t="n"/>
      <c r="O2589" s="12" t="n"/>
    </row>
    <row r="2590">
      <c r="A2590" s="12" t="n"/>
      <c r="B2590" s="13">
        <f>IF($A2590="","",IFERROR(INDEX(Emp_Names,MATCH($A2590,Emp_Codes,0)),"NOT FOUND"))</f>
        <v/>
      </c>
      <c r="C2590" s="14" t="n"/>
      <c r="D2590" s="15" t="n"/>
      <c r="E2590" s="15" t="n"/>
      <c r="F2590" s="15" t="n"/>
      <c r="G2590" s="15" t="n"/>
      <c r="H2590" s="16">
        <f>IF($A2590="","",$D2590+IF($E2590="",0,$E2590)+IF($F2590="",0,$F2590)-IF($G2590="",0,$G2590))</f>
        <v/>
      </c>
      <c r="I2590" s="12" t="n"/>
      <c r="J2590" s="12" t="n"/>
      <c r="K2590" s="12" t="n"/>
      <c r="L2590" s="14" t="n"/>
      <c r="M2590" s="12" t="n"/>
      <c r="N2590" s="12" t="n"/>
      <c r="O2590" s="12" t="n"/>
    </row>
    <row r="2591">
      <c r="A2591" s="12" t="n"/>
      <c r="B2591" s="13">
        <f>IF($A2591="","",IFERROR(INDEX(Emp_Names,MATCH($A2591,Emp_Codes,0)),"NOT FOUND"))</f>
        <v/>
      </c>
      <c r="C2591" s="14" t="n"/>
      <c r="D2591" s="15" t="n"/>
      <c r="E2591" s="15" t="n"/>
      <c r="F2591" s="15" t="n"/>
      <c r="G2591" s="15" t="n"/>
      <c r="H2591" s="16">
        <f>IF($A2591="","",$D2591+IF($E2591="",0,$E2591)+IF($F2591="",0,$F2591)-IF($G2591="",0,$G2591))</f>
        <v/>
      </c>
      <c r="I2591" s="12" t="n"/>
      <c r="J2591" s="12" t="n"/>
      <c r="K2591" s="12" t="n"/>
      <c r="L2591" s="14" t="n"/>
      <c r="M2591" s="12" t="n"/>
      <c r="N2591" s="12" t="n"/>
      <c r="O2591" s="12" t="n"/>
    </row>
    <row r="2592">
      <c r="A2592" s="12" t="n"/>
      <c r="B2592" s="13">
        <f>IF($A2592="","",IFERROR(INDEX(Emp_Names,MATCH($A2592,Emp_Codes,0)),"NOT FOUND"))</f>
        <v/>
      </c>
      <c r="C2592" s="14" t="n"/>
      <c r="D2592" s="15" t="n"/>
      <c r="E2592" s="15" t="n"/>
      <c r="F2592" s="15" t="n"/>
      <c r="G2592" s="15" t="n"/>
      <c r="H2592" s="16">
        <f>IF($A2592="","",$D2592+IF($E2592="",0,$E2592)+IF($F2592="",0,$F2592)-IF($G2592="",0,$G2592))</f>
        <v/>
      </c>
      <c r="I2592" s="12" t="n"/>
      <c r="J2592" s="12" t="n"/>
      <c r="K2592" s="12" t="n"/>
      <c r="L2592" s="14" t="n"/>
      <c r="M2592" s="12" t="n"/>
      <c r="N2592" s="12" t="n"/>
      <c r="O2592" s="12" t="n"/>
    </row>
    <row r="2593">
      <c r="A2593" s="12" t="n"/>
      <c r="B2593" s="13">
        <f>IF($A2593="","",IFERROR(INDEX(Emp_Names,MATCH($A2593,Emp_Codes,0)),"NOT FOUND"))</f>
        <v/>
      </c>
      <c r="C2593" s="14" t="n"/>
      <c r="D2593" s="15" t="n"/>
      <c r="E2593" s="15" t="n"/>
      <c r="F2593" s="15" t="n"/>
      <c r="G2593" s="15" t="n"/>
      <c r="H2593" s="16">
        <f>IF($A2593="","",$D2593+IF($E2593="",0,$E2593)+IF($F2593="",0,$F2593)-IF($G2593="",0,$G2593))</f>
        <v/>
      </c>
      <c r="I2593" s="12" t="n"/>
      <c r="J2593" s="12" t="n"/>
      <c r="K2593" s="12" t="n"/>
      <c r="L2593" s="14" t="n"/>
      <c r="M2593" s="12" t="n"/>
      <c r="N2593" s="12" t="n"/>
      <c r="O2593" s="12" t="n"/>
    </row>
    <row r="2594">
      <c r="A2594" s="12" t="n"/>
      <c r="B2594" s="13">
        <f>IF($A2594="","",IFERROR(INDEX(Emp_Names,MATCH($A2594,Emp_Codes,0)),"NOT FOUND"))</f>
        <v/>
      </c>
      <c r="C2594" s="14" t="n"/>
      <c r="D2594" s="15" t="n"/>
      <c r="E2594" s="15" t="n"/>
      <c r="F2594" s="15" t="n"/>
      <c r="G2594" s="15" t="n"/>
      <c r="H2594" s="16">
        <f>IF($A2594="","",$D2594+IF($E2594="",0,$E2594)+IF($F2594="",0,$F2594)-IF($G2594="",0,$G2594))</f>
        <v/>
      </c>
      <c r="I2594" s="12" t="n"/>
      <c r="J2594" s="12" t="n"/>
      <c r="K2594" s="12" t="n"/>
      <c r="L2594" s="14" t="n"/>
      <c r="M2594" s="12" t="n"/>
      <c r="N2594" s="12" t="n"/>
      <c r="O2594" s="12" t="n"/>
    </row>
    <row r="2595">
      <c r="A2595" s="12" t="n"/>
      <c r="B2595" s="13">
        <f>IF($A2595="","",IFERROR(INDEX(Emp_Names,MATCH($A2595,Emp_Codes,0)),"NOT FOUND"))</f>
        <v/>
      </c>
      <c r="C2595" s="14" t="n"/>
      <c r="D2595" s="15" t="n"/>
      <c r="E2595" s="15" t="n"/>
      <c r="F2595" s="15" t="n"/>
      <c r="G2595" s="15" t="n"/>
      <c r="H2595" s="16">
        <f>IF($A2595="","",$D2595+IF($E2595="",0,$E2595)+IF($F2595="",0,$F2595)-IF($G2595="",0,$G2595))</f>
        <v/>
      </c>
      <c r="I2595" s="12" t="n"/>
      <c r="J2595" s="12" t="n"/>
      <c r="K2595" s="12" t="n"/>
      <c r="L2595" s="14" t="n"/>
      <c r="M2595" s="12" t="n"/>
      <c r="N2595" s="12" t="n"/>
      <c r="O2595" s="12" t="n"/>
    </row>
    <row r="2596">
      <c r="A2596" s="12" t="n"/>
      <c r="B2596" s="13">
        <f>IF($A2596="","",IFERROR(INDEX(Emp_Names,MATCH($A2596,Emp_Codes,0)),"NOT FOUND"))</f>
        <v/>
      </c>
      <c r="C2596" s="14" t="n"/>
      <c r="D2596" s="15" t="n"/>
      <c r="E2596" s="15" t="n"/>
      <c r="F2596" s="15" t="n"/>
      <c r="G2596" s="15" t="n"/>
      <c r="H2596" s="16">
        <f>IF($A2596="","",$D2596+IF($E2596="",0,$E2596)+IF($F2596="",0,$F2596)-IF($G2596="",0,$G2596))</f>
        <v/>
      </c>
      <c r="I2596" s="12" t="n"/>
      <c r="J2596" s="12" t="n"/>
      <c r="K2596" s="12" t="n"/>
      <c r="L2596" s="14" t="n"/>
      <c r="M2596" s="12" t="n"/>
      <c r="N2596" s="12" t="n"/>
      <c r="O2596" s="12" t="n"/>
    </row>
    <row r="2597">
      <c r="A2597" s="12" t="n"/>
      <c r="B2597" s="13">
        <f>IF($A2597="","",IFERROR(INDEX(Emp_Names,MATCH($A2597,Emp_Codes,0)),"NOT FOUND"))</f>
        <v/>
      </c>
      <c r="C2597" s="14" t="n"/>
      <c r="D2597" s="15" t="n"/>
      <c r="E2597" s="15" t="n"/>
      <c r="F2597" s="15" t="n"/>
      <c r="G2597" s="15" t="n"/>
      <c r="H2597" s="16">
        <f>IF($A2597="","",$D2597+IF($E2597="",0,$E2597)+IF($F2597="",0,$F2597)-IF($G2597="",0,$G2597))</f>
        <v/>
      </c>
      <c r="I2597" s="12" t="n"/>
      <c r="J2597" s="12" t="n"/>
      <c r="K2597" s="12" t="n"/>
      <c r="L2597" s="14" t="n"/>
      <c r="M2597" s="12" t="n"/>
      <c r="N2597" s="12" t="n"/>
      <c r="O2597" s="12" t="n"/>
    </row>
    <row r="2598">
      <c r="A2598" s="12" t="n"/>
      <c r="B2598" s="13">
        <f>IF($A2598="","",IFERROR(INDEX(Emp_Names,MATCH($A2598,Emp_Codes,0)),"NOT FOUND"))</f>
        <v/>
      </c>
      <c r="C2598" s="14" t="n"/>
      <c r="D2598" s="15" t="n"/>
      <c r="E2598" s="15" t="n"/>
      <c r="F2598" s="15" t="n"/>
      <c r="G2598" s="15" t="n"/>
      <c r="H2598" s="16">
        <f>IF($A2598="","",$D2598+IF($E2598="",0,$E2598)+IF($F2598="",0,$F2598)-IF($G2598="",0,$G2598))</f>
        <v/>
      </c>
      <c r="I2598" s="12" t="n"/>
      <c r="J2598" s="12" t="n"/>
      <c r="K2598" s="12" t="n"/>
      <c r="L2598" s="14" t="n"/>
      <c r="M2598" s="12" t="n"/>
      <c r="N2598" s="12" t="n"/>
      <c r="O2598" s="12" t="n"/>
    </row>
    <row r="2599">
      <c r="A2599" s="12" t="n"/>
      <c r="B2599" s="13">
        <f>IF($A2599="","",IFERROR(INDEX(Emp_Names,MATCH($A2599,Emp_Codes,0)),"NOT FOUND"))</f>
        <v/>
      </c>
      <c r="C2599" s="14" t="n"/>
      <c r="D2599" s="15" t="n"/>
      <c r="E2599" s="15" t="n"/>
      <c r="F2599" s="15" t="n"/>
      <c r="G2599" s="15" t="n"/>
      <c r="H2599" s="16">
        <f>IF($A2599="","",$D2599+IF($E2599="",0,$E2599)+IF($F2599="",0,$F2599)-IF($G2599="",0,$G2599))</f>
        <v/>
      </c>
      <c r="I2599" s="12" t="n"/>
      <c r="J2599" s="12" t="n"/>
      <c r="K2599" s="12" t="n"/>
      <c r="L2599" s="14" t="n"/>
      <c r="M2599" s="12" t="n"/>
      <c r="N2599" s="12" t="n"/>
      <c r="O2599" s="12" t="n"/>
    </row>
    <row r="2600">
      <c r="A2600" s="12" t="n"/>
      <c r="B2600" s="13">
        <f>IF($A2600="","",IFERROR(INDEX(Emp_Names,MATCH($A2600,Emp_Codes,0)),"NOT FOUND"))</f>
        <v/>
      </c>
      <c r="C2600" s="14" t="n"/>
      <c r="D2600" s="15" t="n"/>
      <c r="E2600" s="15" t="n"/>
      <c r="F2600" s="15" t="n"/>
      <c r="G2600" s="15" t="n"/>
      <c r="H2600" s="16">
        <f>IF($A2600="","",$D2600+IF($E2600="",0,$E2600)+IF($F2600="",0,$F2600)-IF($G2600="",0,$G2600))</f>
        <v/>
      </c>
      <c r="I2600" s="12" t="n"/>
      <c r="J2600" s="12" t="n"/>
      <c r="K2600" s="12" t="n"/>
      <c r="L2600" s="14" t="n"/>
      <c r="M2600" s="12" t="n"/>
      <c r="N2600" s="12" t="n"/>
      <c r="O2600" s="12" t="n"/>
    </row>
    <row r="2601">
      <c r="A2601" s="12" t="n"/>
      <c r="B2601" s="13">
        <f>IF($A2601="","",IFERROR(INDEX(Emp_Names,MATCH($A2601,Emp_Codes,0)),"NOT FOUND"))</f>
        <v/>
      </c>
      <c r="C2601" s="14" t="n"/>
      <c r="D2601" s="15" t="n"/>
      <c r="E2601" s="15" t="n"/>
      <c r="F2601" s="15" t="n"/>
      <c r="G2601" s="15" t="n"/>
      <c r="H2601" s="16">
        <f>IF($A2601="","",$D2601+IF($E2601="",0,$E2601)+IF($F2601="",0,$F2601)-IF($G2601="",0,$G2601))</f>
        <v/>
      </c>
      <c r="I2601" s="12" t="n"/>
      <c r="J2601" s="12" t="n"/>
      <c r="K2601" s="12" t="n"/>
      <c r="L2601" s="14" t="n"/>
      <c r="M2601" s="12" t="n"/>
      <c r="N2601" s="12" t="n"/>
      <c r="O2601" s="12" t="n"/>
    </row>
    <row r="2602">
      <c r="A2602" s="12" t="n"/>
      <c r="B2602" s="13">
        <f>IF($A2602="","",IFERROR(INDEX(Emp_Names,MATCH($A2602,Emp_Codes,0)),"NOT FOUND"))</f>
        <v/>
      </c>
      <c r="C2602" s="14" t="n"/>
      <c r="D2602" s="15" t="n"/>
      <c r="E2602" s="15" t="n"/>
      <c r="F2602" s="15" t="n"/>
      <c r="G2602" s="15" t="n"/>
      <c r="H2602" s="16">
        <f>IF($A2602="","",$D2602+IF($E2602="",0,$E2602)+IF($F2602="",0,$F2602)-IF($G2602="",0,$G2602))</f>
        <v/>
      </c>
      <c r="I2602" s="12" t="n"/>
      <c r="J2602" s="12" t="n"/>
      <c r="K2602" s="12" t="n"/>
      <c r="L2602" s="14" t="n"/>
      <c r="M2602" s="12" t="n"/>
      <c r="N2602" s="12" t="n"/>
      <c r="O2602" s="12" t="n"/>
    </row>
    <row r="2603">
      <c r="A2603" s="12" t="n"/>
      <c r="B2603" s="13">
        <f>IF($A2603="","",IFERROR(INDEX(Emp_Names,MATCH($A2603,Emp_Codes,0)),"NOT FOUND"))</f>
        <v/>
      </c>
      <c r="C2603" s="14" t="n"/>
      <c r="D2603" s="15" t="n"/>
      <c r="E2603" s="15" t="n"/>
      <c r="F2603" s="15" t="n"/>
      <c r="G2603" s="15" t="n"/>
      <c r="H2603" s="16">
        <f>IF($A2603="","",$D2603+IF($E2603="",0,$E2603)+IF($F2603="",0,$F2603)-IF($G2603="",0,$G2603))</f>
        <v/>
      </c>
      <c r="I2603" s="12" t="n"/>
      <c r="J2603" s="12" t="n"/>
      <c r="K2603" s="12" t="n"/>
      <c r="L2603" s="14" t="n"/>
      <c r="M2603" s="12" t="n"/>
      <c r="N2603" s="12" t="n"/>
      <c r="O2603" s="12" t="n"/>
    </row>
    <row r="2604">
      <c r="A2604" s="12" t="n"/>
      <c r="B2604" s="13">
        <f>IF($A2604="","",IFERROR(INDEX(Emp_Names,MATCH($A2604,Emp_Codes,0)),"NOT FOUND"))</f>
        <v/>
      </c>
      <c r="C2604" s="14" t="n"/>
      <c r="D2604" s="15" t="n"/>
      <c r="E2604" s="15" t="n"/>
      <c r="F2604" s="15" t="n"/>
      <c r="G2604" s="15" t="n"/>
      <c r="H2604" s="16">
        <f>IF($A2604="","",$D2604+IF($E2604="",0,$E2604)+IF($F2604="",0,$F2604)-IF($G2604="",0,$G2604))</f>
        <v/>
      </c>
      <c r="I2604" s="12" t="n"/>
      <c r="J2604" s="12" t="n"/>
      <c r="K2604" s="12" t="n"/>
      <c r="L2604" s="14" t="n"/>
      <c r="M2604" s="12" t="n"/>
      <c r="N2604" s="12" t="n"/>
      <c r="O2604" s="12" t="n"/>
    </row>
    <row r="2605">
      <c r="A2605" s="12" t="n"/>
      <c r="B2605" s="13">
        <f>IF($A2605="","",IFERROR(INDEX(Emp_Names,MATCH($A2605,Emp_Codes,0)),"NOT FOUND"))</f>
        <v/>
      </c>
      <c r="C2605" s="14" t="n"/>
      <c r="D2605" s="15" t="n"/>
      <c r="E2605" s="15" t="n"/>
      <c r="F2605" s="15" t="n"/>
      <c r="G2605" s="15" t="n"/>
      <c r="H2605" s="16">
        <f>IF($A2605="","",$D2605+IF($E2605="",0,$E2605)+IF($F2605="",0,$F2605)-IF($G2605="",0,$G2605))</f>
        <v/>
      </c>
      <c r="I2605" s="12" t="n"/>
      <c r="J2605" s="12" t="n"/>
      <c r="K2605" s="12" t="n"/>
      <c r="L2605" s="14" t="n"/>
      <c r="M2605" s="12" t="n"/>
      <c r="N2605" s="12" t="n"/>
      <c r="O2605" s="12" t="n"/>
    </row>
    <row r="2606">
      <c r="A2606" s="12" t="n"/>
      <c r="B2606" s="13">
        <f>IF($A2606="","",IFERROR(INDEX(Emp_Names,MATCH($A2606,Emp_Codes,0)),"NOT FOUND"))</f>
        <v/>
      </c>
      <c r="C2606" s="14" t="n"/>
      <c r="D2606" s="15" t="n"/>
      <c r="E2606" s="15" t="n"/>
      <c r="F2606" s="15" t="n"/>
      <c r="G2606" s="15" t="n"/>
      <c r="H2606" s="16">
        <f>IF($A2606="","",$D2606+IF($E2606="",0,$E2606)+IF($F2606="",0,$F2606)-IF($G2606="",0,$G2606))</f>
        <v/>
      </c>
      <c r="I2606" s="12" t="n"/>
      <c r="J2606" s="12" t="n"/>
      <c r="K2606" s="12" t="n"/>
      <c r="L2606" s="14" t="n"/>
      <c r="M2606" s="12" t="n"/>
      <c r="N2606" s="12" t="n"/>
      <c r="O2606" s="12" t="n"/>
    </row>
    <row r="2607">
      <c r="A2607" s="12" t="n"/>
      <c r="B2607" s="13">
        <f>IF($A2607="","",IFERROR(INDEX(Emp_Names,MATCH($A2607,Emp_Codes,0)),"NOT FOUND"))</f>
        <v/>
      </c>
      <c r="C2607" s="14" t="n"/>
      <c r="D2607" s="15" t="n"/>
      <c r="E2607" s="15" t="n"/>
      <c r="F2607" s="15" t="n"/>
      <c r="G2607" s="15" t="n"/>
      <c r="H2607" s="16">
        <f>IF($A2607="","",$D2607+IF($E2607="",0,$E2607)+IF($F2607="",0,$F2607)-IF($G2607="",0,$G2607))</f>
        <v/>
      </c>
      <c r="I2607" s="12" t="n"/>
      <c r="J2607" s="12" t="n"/>
      <c r="K2607" s="12" t="n"/>
      <c r="L2607" s="14" t="n"/>
      <c r="M2607" s="12" t="n"/>
      <c r="N2607" s="12" t="n"/>
      <c r="O2607" s="12" t="n"/>
    </row>
    <row r="2608">
      <c r="A2608" s="12" t="n"/>
      <c r="B2608" s="13">
        <f>IF($A2608="","",IFERROR(INDEX(Emp_Names,MATCH($A2608,Emp_Codes,0)),"NOT FOUND"))</f>
        <v/>
      </c>
      <c r="C2608" s="14" t="n"/>
      <c r="D2608" s="15" t="n"/>
      <c r="E2608" s="15" t="n"/>
      <c r="F2608" s="15" t="n"/>
      <c r="G2608" s="15" t="n"/>
      <c r="H2608" s="16">
        <f>IF($A2608="","",$D2608+IF($E2608="",0,$E2608)+IF($F2608="",0,$F2608)-IF($G2608="",0,$G2608))</f>
        <v/>
      </c>
      <c r="I2608" s="12" t="n"/>
      <c r="J2608" s="12" t="n"/>
      <c r="K2608" s="12" t="n"/>
      <c r="L2608" s="14" t="n"/>
      <c r="M2608" s="12" t="n"/>
      <c r="N2608" s="12" t="n"/>
      <c r="O2608" s="12" t="n"/>
    </row>
    <row r="2609">
      <c r="A2609" s="12" t="n"/>
      <c r="B2609" s="13">
        <f>IF($A2609="","",IFERROR(INDEX(Emp_Names,MATCH($A2609,Emp_Codes,0)),"NOT FOUND"))</f>
        <v/>
      </c>
      <c r="C2609" s="14" t="n"/>
      <c r="D2609" s="15" t="n"/>
      <c r="E2609" s="15" t="n"/>
      <c r="F2609" s="15" t="n"/>
      <c r="G2609" s="15" t="n"/>
      <c r="H2609" s="16">
        <f>IF($A2609="","",$D2609+IF($E2609="",0,$E2609)+IF($F2609="",0,$F2609)-IF($G2609="",0,$G2609))</f>
        <v/>
      </c>
      <c r="I2609" s="12" t="n"/>
      <c r="J2609" s="12" t="n"/>
      <c r="K2609" s="12" t="n"/>
      <c r="L2609" s="14" t="n"/>
      <c r="M2609" s="12" t="n"/>
      <c r="N2609" s="12" t="n"/>
      <c r="O2609" s="12" t="n"/>
    </row>
    <row r="2610">
      <c r="A2610" s="12" t="n"/>
      <c r="B2610" s="13">
        <f>IF($A2610="","",IFERROR(INDEX(Emp_Names,MATCH($A2610,Emp_Codes,0)),"NOT FOUND"))</f>
        <v/>
      </c>
      <c r="C2610" s="14" t="n"/>
      <c r="D2610" s="15" t="n"/>
      <c r="E2610" s="15" t="n"/>
      <c r="F2610" s="15" t="n"/>
      <c r="G2610" s="15" t="n"/>
      <c r="H2610" s="16">
        <f>IF($A2610="","",$D2610+IF($E2610="",0,$E2610)+IF($F2610="",0,$F2610)-IF($G2610="",0,$G2610))</f>
        <v/>
      </c>
      <c r="I2610" s="12" t="n"/>
      <c r="J2610" s="12" t="n"/>
      <c r="K2610" s="12" t="n"/>
      <c r="L2610" s="14" t="n"/>
      <c r="M2610" s="12" t="n"/>
      <c r="N2610" s="12" t="n"/>
      <c r="O2610" s="12" t="n"/>
    </row>
    <row r="2611">
      <c r="A2611" s="12" t="n"/>
      <c r="B2611" s="13">
        <f>IF($A2611="","",IFERROR(INDEX(Emp_Names,MATCH($A2611,Emp_Codes,0)),"NOT FOUND"))</f>
        <v/>
      </c>
      <c r="C2611" s="14" t="n"/>
      <c r="D2611" s="15" t="n"/>
      <c r="E2611" s="15" t="n"/>
      <c r="F2611" s="15" t="n"/>
      <c r="G2611" s="15" t="n"/>
      <c r="H2611" s="16">
        <f>IF($A2611="","",$D2611+IF($E2611="",0,$E2611)+IF($F2611="",0,$F2611)-IF($G2611="",0,$G2611))</f>
        <v/>
      </c>
      <c r="I2611" s="12" t="n"/>
      <c r="J2611" s="12" t="n"/>
      <c r="K2611" s="12" t="n"/>
      <c r="L2611" s="14" t="n"/>
      <c r="M2611" s="12" t="n"/>
      <c r="N2611" s="12" t="n"/>
      <c r="O2611" s="12" t="n"/>
    </row>
    <row r="2612">
      <c r="A2612" s="12" t="n"/>
      <c r="B2612" s="13">
        <f>IF($A2612="","",IFERROR(INDEX(Emp_Names,MATCH($A2612,Emp_Codes,0)),"NOT FOUND"))</f>
        <v/>
      </c>
      <c r="C2612" s="14" t="n"/>
      <c r="D2612" s="15" t="n"/>
      <c r="E2612" s="15" t="n"/>
      <c r="F2612" s="15" t="n"/>
      <c r="G2612" s="15" t="n"/>
      <c r="H2612" s="16">
        <f>IF($A2612="","",$D2612+IF($E2612="",0,$E2612)+IF($F2612="",0,$F2612)-IF($G2612="",0,$G2612))</f>
        <v/>
      </c>
      <c r="I2612" s="12" t="n"/>
      <c r="J2612" s="12" t="n"/>
      <c r="K2612" s="12" t="n"/>
      <c r="L2612" s="14" t="n"/>
      <c r="M2612" s="12" t="n"/>
      <c r="N2612" s="12" t="n"/>
      <c r="O2612" s="12" t="n"/>
    </row>
    <row r="2613">
      <c r="A2613" s="12" t="n"/>
      <c r="B2613" s="13">
        <f>IF($A2613="","",IFERROR(INDEX(Emp_Names,MATCH($A2613,Emp_Codes,0)),"NOT FOUND"))</f>
        <v/>
      </c>
      <c r="C2613" s="14" t="n"/>
      <c r="D2613" s="15" t="n"/>
      <c r="E2613" s="15" t="n"/>
      <c r="F2613" s="15" t="n"/>
      <c r="G2613" s="15" t="n"/>
      <c r="H2613" s="16">
        <f>IF($A2613="","",$D2613+IF($E2613="",0,$E2613)+IF($F2613="",0,$F2613)-IF($G2613="",0,$G2613))</f>
        <v/>
      </c>
      <c r="I2613" s="12" t="n"/>
      <c r="J2613" s="12" t="n"/>
      <c r="K2613" s="12" t="n"/>
      <c r="L2613" s="14" t="n"/>
      <c r="M2613" s="12" t="n"/>
      <c r="N2613" s="12" t="n"/>
      <c r="O2613" s="12" t="n"/>
    </row>
    <row r="2614">
      <c r="A2614" s="12" t="n"/>
      <c r="B2614" s="13">
        <f>IF($A2614="","",IFERROR(INDEX(Emp_Names,MATCH($A2614,Emp_Codes,0)),"NOT FOUND"))</f>
        <v/>
      </c>
      <c r="C2614" s="14" t="n"/>
      <c r="D2614" s="15" t="n"/>
      <c r="E2614" s="15" t="n"/>
      <c r="F2614" s="15" t="n"/>
      <c r="G2614" s="15" t="n"/>
      <c r="H2614" s="16">
        <f>IF($A2614="","",$D2614+IF($E2614="",0,$E2614)+IF($F2614="",0,$F2614)-IF($G2614="",0,$G2614))</f>
        <v/>
      </c>
      <c r="I2614" s="12" t="n"/>
      <c r="J2614" s="12" t="n"/>
      <c r="K2614" s="12" t="n"/>
      <c r="L2614" s="14" t="n"/>
      <c r="M2614" s="12" t="n"/>
      <c r="N2614" s="12" t="n"/>
      <c r="O2614" s="12" t="n"/>
    </row>
    <row r="2615">
      <c r="A2615" s="12" t="n"/>
      <c r="B2615" s="13">
        <f>IF($A2615="","",IFERROR(INDEX(Emp_Names,MATCH($A2615,Emp_Codes,0)),"NOT FOUND"))</f>
        <v/>
      </c>
      <c r="C2615" s="14" t="n"/>
      <c r="D2615" s="15" t="n"/>
      <c r="E2615" s="15" t="n"/>
      <c r="F2615" s="15" t="n"/>
      <c r="G2615" s="15" t="n"/>
      <c r="H2615" s="16">
        <f>IF($A2615="","",$D2615+IF($E2615="",0,$E2615)+IF($F2615="",0,$F2615)-IF($G2615="",0,$G2615))</f>
        <v/>
      </c>
      <c r="I2615" s="12" t="n"/>
      <c r="J2615" s="12" t="n"/>
      <c r="K2615" s="12" t="n"/>
      <c r="L2615" s="14" t="n"/>
      <c r="M2615" s="12" t="n"/>
      <c r="N2615" s="12" t="n"/>
      <c r="O2615" s="12" t="n"/>
    </row>
    <row r="2616">
      <c r="A2616" s="12" t="n"/>
      <c r="B2616" s="13">
        <f>IF($A2616="","",IFERROR(INDEX(Emp_Names,MATCH($A2616,Emp_Codes,0)),"NOT FOUND"))</f>
        <v/>
      </c>
      <c r="C2616" s="14" t="n"/>
      <c r="D2616" s="15" t="n"/>
      <c r="E2616" s="15" t="n"/>
      <c r="F2616" s="15" t="n"/>
      <c r="G2616" s="15" t="n"/>
      <c r="H2616" s="16">
        <f>IF($A2616="","",$D2616+IF($E2616="",0,$E2616)+IF($F2616="",0,$F2616)-IF($G2616="",0,$G2616))</f>
        <v/>
      </c>
      <c r="I2616" s="12" t="n"/>
      <c r="J2616" s="12" t="n"/>
      <c r="K2616" s="12" t="n"/>
      <c r="L2616" s="14" t="n"/>
      <c r="M2616" s="12" t="n"/>
      <c r="N2616" s="12" t="n"/>
      <c r="O2616" s="12" t="n"/>
    </row>
    <row r="2617">
      <c r="A2617" s="12" t="n"/>
      <c r="B2617" s="13">
        <f>IF($A2617="","",IFERROR(INDEX(Emp_Names,MATCH($A2617,Emp_Codes,0)),"NOT FOUND"))</f>
        <v/>
      </c>
      <c r="C2617" s="14" t="n"/>
      <c r="D2617" s="15" t="n"/>
      <c r="E2617" s="15" t="n"/>
      <c r="F2617" s="15" t="n"/>
      <c r="G2617" s="15" t="n"/>
      <c r="H2617" s="16">
        <f>IF($A2617="","",$D2617+IF($E2617="",0,$E2617)+IF($F2617="",0,$F2617)-IF($G2617="",0,$G2617))</f>
        <v/>
      </c>
      <c r="I2617" s="12" t="n"/>
      <c r="J2617" s="12" t="n"/>
      <c r="K2617" s="12" t="n"/>
      <c r="L2617" s="14" t="n"/>
      <c r="M2617" s="12" t="n"/>
      <c r="N2617" s="12" t="n"/>
      <c r="O2617" s="12" t="n"/>
    </row>
    <row r="2618">
      <c r="A2618" s="12" t="n"/>
      <c r="B2618" s="13">
        <f>IF($A2618="","",IFERROR(INDEX(Emp_Names,MATCH($A2618,Emp_Codes,0)),"NOT FOUND"))</f>
        <v/>
      </c>
      <c r="C2618" s="14" t="n"/>
      <c r="D2618" s="15" t="n"/>
      <c r="E2618" s="15" t="n"/>
      <c r="F2618" s="15" t="n"/>
      <c r="G2618" s="15" t="n"/>
      <c r="H2618" s="16">
        <f>IF($A2618="","",$D2618+IF($E2618="",0,$E2618)+IF($F2618="",0,$F2618)-IF($G2618="",0,$G2618))</f>
        <v/>
      </c>
      <c r="I2618" s="12" t="n"/>
      <c r="J2618" s="12" t="n"/>
      <c r="K2618" s="12" t="n"/>
      <c r="L2618" s="14" t="n"/>
      <c r="M2618" s="12" t="n"/>
      <c r="N2618" s="12" t="n"/>
      <c r="O2618" s="12" t="n"/>
    </row>
    <row r="2619">
      <c r="A2619" s="12" t="n"/>
      <c r="B2619" s="13">
        <f>IF($A2619="","",IFERROR(INDEX(Emp_Names,MATCH($A2619,Emp_Codes,0)),"NOT FOUND"))</f>
        <v/>
      </c>
      <c r="C2619" s="14" t="n"/>
      <c r="D2619" s="15" t="n"/>
      <c r="E2619" s="15" t="n"/>
      <c r="F2619" s="15" t="n"/>
      <c r="G2619" s="15" t="n"/>
      <c r="H2619" s="16">
        <f>IF($A2619="","",$D2619+IF($E2619="",0,$E2619)+IF($F2619="",0,$F2619)-IF($G2619="",0,$G2619))</f>
        <v/>
      </c>
      <c r="I2619" s="12" t="n"/>
      <c r="J2619" s="12" t="n"/>
      <c r="K2619" s="12" t="n"/>
      <c r="L2619" s="14" t="n"/>
      <c r="M2619" s="12" t="n"/>
      <c r="N2619" s="12" t="n"/>
      <c r="O2619" s="12" t="n"/>
    </row>
    <row r="2620">
      <c r="A2620" s="12" t="n"/>
      <c r="B2620" s="13">
        <f>IF($A2620="","",IFERROR(INDEX(Emp_Names,MATCH($A2620,Emp_Codes,0)),"NOT FOUND"))</f>
        <v/>
      </c>
      <c r="C2620" s="14" t="n"/>
      <c r="D2620" s="15" t="n"/>
      <c r="E2620" s="15" t="n"/>
      <c r="F2620" s="15" t="n"/>
      <c r="G2620" s="15" t="n"/>
      <c r="H2620" s="16">
        <f>IF($A2620="","",$D2620+IF($E2620="",0,$E2620)+IF($F2620="",0,$F2620)-IF($G2620="",0,$G2620))</f>
        <v/>
      </c>
      <c r="I2620" s="12" t="n"/>
      <c r="J2620" s="12" t="n"/>
      <c r="K2620" s="12" t="n"/>
      <c r="L2620" s="14" t="n"/>
      <c r="M2620" s="12" t="n"/>
      <c r="N2620" s="12" t="n"/>
      <c r="O2620" s="12" t="n"/>
    </row>
    <row r="2621">
      <c r="A2621" s="12" t="n"/>
      <c r="B2621" s="13">
        <f>IF($A2621="","",IFERROR(INDEX(Emp_Names,MATCH($A2621,Emp_Codes,0)),"NOT FOUND"))</f>
        <v/>
      </c>
      <c r="C2621" s="14" t="n"/>
      <c r="D2621" s="15" t="n"/>
      <c r="E2621" s="15" t="n"/>
      <c r="F2621" s="15" t="n"/>
      <c r="G2621" s="15" t="n"/>
      <c r="H2621" s="16">
        <f>IF($A2621="","",$D2621+IF($E2621="",0,$E2621)+IF($F2621="",0,$F2621)-IF($G2621="",0,$G2621))</f>
        <v/>
      </c>
      <c r="I2621" s="12" t="n"/>
      <c r="J2621" s="12" t="n"/>
      <c r="K2621" s="12" t="n"/>
      <c r="L2621" s="14" t="n"/>
      <c r="M2621" s="12" t="n"/>
      <c r="N2621" s="12" t="n"/>
      <c r="O2621" s="12" t="n"/>
    </row>
    <row r="2622">
      <c r="A2622" s="12" t="n"/>
      <c r="B2622" s="13">
        <f>IF($A2622="","",IFERROR(INDEX(Emp_Names,MATCH($A2622,Emp_Codes,0)),"NOT FOUND"))</f>
        <v/>
      </c>
      <c r="C2622" s="14" t="n"/>
      <c r="D2622" s="15" t="n"/>
      <c r="E2622" s="15" t="n"/>
      <c r="F2622" s="15" t="n"/>
      <c r="G2622" s="15" t="n"/>
      <c r="H2622" s="16">
        <f>IF($A2622="","",$D2622+IF($E2622="",0,$E2622)+IF($F2622="",0,$F2622)-IF($G2622="",0,$G2622))</f>
        <v/>
      </c>
      <c r="I2622" s="12" t="n"/>
      <c r="J2622" s="12" t="n"/>
      <c r="K2622" s="12" t="n"/>
      <c r="L2622" s="14" t="n"/>
      <c r="M2622" s="12" t="n"/>
      <c r="N2622" s="12" t="n"/>
      <c r="O2622" s="12" t="n"/>
    </row>
    <row r="2623">
      <c r="A2623" s="12" t="n"/>
      <c r="B2623" s="13">
        <f>IF($A2623="","",IFERROR(INDEX(Emp_Names,MATCH($A2623,Emp_Codes,0)),"NOT FOUND"))</f>
        <v/>
      </c>
      <c r="C2623" s="14" t="n"/>
      <c r="D2623" s="15" t="n"/>
      <c r="E2623" s="15" t="n"/>
      <c r="F2623" s="15" t="n"/>
      <c r="G2623" s="15" t="n"/>
      <c r="H2623" s="16">
        <f>IF($A2623="","",$D2623+IF($E2623="",0,$E2623)+IF($F2623="",0,$F2623)-IF($G2623="",0,$G2623))</f>
        <v/>
      </c>
      <c r="I2623" s="12" t="n"/>
      <c r="J2623" s="12" t="n"/>
      <c r="K2623" s="12" t="n"/>
      <c r="L2623" s="14" t="n"/>
      <c r="M2623" s="12" t="n"/>
      <c r="N2623" s="12" t="n"/>
      <c r="O2623" s="12" t="n"/>
    </row>
    <row r="2624">
      <c r="A2624" s="12" t="n"/>
      <c r="B2624" s="13">
        <f>IF($A2624="","",IFERROR(INDEX(Emp_Names,MATCH($A2624,Emp_Codes,0)),"NOT FOUND"))</f>
        <v/>
      </c>
      <c r="C2624" s="14" t="n"/>
      <c r="D2624" s="15" t="n"/>
      <c r="E2624" s="15" t="n"/>
      <c r="F2624" s="15" t="n"/>
      <c r="G2624" s="15" t="n"/>
      <c r="H2624" s="16">
        <f>IF($A2624="","",$D2624+IF($E2624="",0,$E2624)+IF($F2624="",0,$F2624)-IF($G2624="",0,$G2624))</f>
        <v/>
      </c>
      <c r="I2624" s="12" t="n"/>
      <c r="J2624" s="12" t="n"/>
      <c r="K2624" s="12" t="n"/>
      <c r="L2624" s="14" t="n"/>
      <c r="M2624" s="12" t="n"/>
      <c r="N2624" s="12" t="n"/>
      <c r="O2624" s="12" t="n"/>
    </row>
    <row r="2625">
      <c r="A2625" s="12" t="n"/>
      <c r="B2625" s="13">
        <f>IF($A2625="","",IFERROR(INDEX(Emp_Names,MATCH($A2625,Emp_Codes,0)),"NOT FOUND"))</f>
        <v/>
      </c>
      <c r="C2625" s="14" t="n"/>
      <c r="D2625" s="15" t="n"/>
      <c r="E2625" s="15" t="n"/>
      <c r="F2625" s="15" t="n"/>
      <c r="G2625" s="15" t="n"/>
      <c r="H2625" s="16">
        <f>IF($A2625="","",$D2625+IF($E2625="",0,$E2625)+IF($F2625="",0,$F2625)-IF($G2625="",0,$G2625))</f>
        <v/>
      </c>
      <c r="I2625" s="12" t="n"/>
      <c r="J2625" s="12" t="n"/>
      <c r="K2625" s="12" t="n"/>
      <c r="L2625" s="14" t="n"/>
      <c r="M2625" s="12" t="n"/>
      <c r="N2625" s="12" t="n"/>
      <c r="O2625" s="12" t="n"/>
    </row>
    <row r="2626">
      <c r="A2626" s="12" t="n"/>
      <c r="B2626" s="13">
        <f>IF($A2626="","",IFERROR(INDEX(Emp_Names,MATCH($A2626,Emp_Codes,0)),"NOT FOUND"))</f>
        <v/>
      </c>
      <c r="C2626" s="14" t="n"/>
      <c r="D2626" s="15" t="n"/>
      <c r="E2626" s="15" t="n"/>
      <c r="F2626" s="15" t="n"/>
      <c r="G2626" s="15" t="n"/>
      <c r="H2626" s="16">
        <f>IF($A2626="","",$D2626+IF($E2626="",0,$E2626)+IF($F2626="",0,$F2626)-IF($G2626="",0,$G2626))</f>
        <v/>
      </c>
      <c r="I2626" s="12" t="n"/>
      <c r="J2626" s="12" t="n"/>
      <c r="K2626" s="12" t="n"/>
      <c r="L2626" s="14" t="n"/>
      <c r="M2626" s="12" t="n"/>
      <c r="N2626" s="12" t="n"/>
      <c r="O2626" s="12" t="n"/>
    </row>
    <row r="2627">
      <c r="A2627" s="12" t="n"/>
      <c r="B2627" s="13">
        <f>IF($A2627="","",IFERROR(INDEX(Emp_Names,MATCH($A2627,Emp_Codes,0)),"NOT FOUND"))</f>
        <v/>
      </c>
      <c r="C2627" s="14" t="n"/>
      <c r="D2627" s="15" t="n"/>
      <c r="E2627" s="15" t="n"/>
      <c r="F2627" s="15" t="n"/>
      <c r="G2627" s="15" t="n"/>
      <c r="H2627" s="16">
        <f>IF($A2627="","",$D2627+IF($E2627="",0,$E2627)+IF($F2627="",0,$F2627)-IF($G2627="",0,$G2627))</f>
        <v/>
      </c>
      <c r="I2627" s="12" t="n"/>
      <c r="J2627" s="12" t="n"/>
      <c r="K2627" s="12" t="n"/>
      <c r="L2627" s="14" t="n"/>
      <c r="M2627" s="12" t="n"/>
      <c r="N2627" s="12" t="n"/>
      <c r="O2627" s="12" t="n"/>
    </row>
    <row r="2628">
      <c r="A2628" s="12" t="n"/>
      <c r="B2628" s="13">
        <f>IF($A2628="","",IFERROR(INDEX(Emp_Names,MATCH($A2628,Emp_Codes,0)),"NOT FOUND"))</f>
        <v/>
      </c>
      <c r="C2628" s="14" t="n"/>
      <c r="D2628" s="15" t="n"/>
      <c r="E2628" s="15" t="n"/>
      <c r="F2628" s="15" t="n"/>
      <c r="G2628" s="15" t="n"/>
      <c r="H2628" s="16">
        <f>IF($A2628="","",$D2628+IF($E2628="",0,$E2628)+IF($F2628="",0,$F2628)-IF($G2628="",0,$G2628))</f>
        <v/>
      </c>
      <c r="I2628" s="12" t="n"/>
      <c r="J2628" s="12" t="n"/>
      <c r="K2628" s="12" t="n"/>
      <c r="L2628" s="14" t="n"/>
      <c r="M2628" s="12" t="n"/>
      <c r="N2628" s="12" t="n"/>
      <c r="O2628" s="12" t="n"/>
    </row>
    <row r="2629">
      <c r="A2629" s="12" t="n"/>
      <c r="B2629" s="13">
        <f>IF($A2629="","",IFERROR(INDEX(Emp_Names,MATCH($A2629,Emp_Codes,0)),"NOT FOUND"))</f>
        <v/>
      </c>
      <c r="C2629" s="14" t="n"/>
      <c r="D2629" s="15" t="n"/>
      <c r="E2629" s="15" t="n"/>
      <c r="F2629" s="15" t="n"/>
      <c r="G2629" s="15" t="n"/>
      <c r="H2629" s="16">
        <f>IF($A2629="","",$D2629+IF($E2629="",0,$E2629)+IF($F2629="",0,$F2629)-IF($G2629="",0,$G2629))</f>
        <v/>
      </c>
      <c r="I2629" s="12" t="n"/>
      <c r="J2629" s="12" t="n"/>
      <c r="K2629" s="12" t="n"/>
      <c r="L2629" s="14" t="n"/>
      <c r="M2629" s="12" t="n"/>
      <c r="N2629" s="12" t="n"/>
      <c r="O2629" s="12" t="n"/>
    </row>
    <row r="2630">
      <c r="A2630" s="12" t="n"/>
      <c r="B2630" s="13">
        <f>IF($A2630="","",IFERROR(INDEX(Emp_Names,MATCH($A2630,Emp_Codes,0)),"NOT FOUND"))</f>
        <v/>
      </c>
      <c r="C2630" s="14" t="n"/>
      <c r="D2630" s="15" t="n"/>
      <c r="E2630" s="15" t="n"/>
      <c r="F2630" s="15" t="n"/>
      <c r="G2630" s="15" t="n"/>
      <c r="H2630" s="16">
        <f>IF($A2630="","",$D2630+IF($E2630="",0,$E2630)+IF($F2630="",0,$F2630)-IF($G2630="",0,$G2630))</f>
        <v/>
      </c>
      <c r="I2630" s="12" t="n"/>
      <c r="J2630" s="12" t="n"/>
      <c r="K2630" s="12" t="n"/>
      <c r="L2630" s="14" t="n"/>
      <c r="M2630" s="12" t="n"/>
      <c r="N2630" s="12" t="n"/>
      <c r="O2630" s="12" t="n"/>
    </row>
    <row r="2631">
      <c r="A2631" s="12" t="n"/>
      <c r="B2631" s="13">
        <f>IF($A2631="","",IFERROR(INDEX(Emp_Names,MATCH($A2631,Emp_Codes,0)),"NOT FOUND"))</f>
        <v/>
      </c>
      <c r="C2631" s="14" t="n"/>
      <c r="D2631" s="15" t="n"/>
      <c r="E2631" s="15" t="n"/>
      <c r="F2631" s="15" t="n"/>
      <c r="G2631" s="15" t="n"/>
      <c r="H2631" s="16">
        <f>IF($A2631="","",$D2631+IF($E2631="",0,$E2631)+IF($F2631="",0,$F2631)-IF($G2631="",0,$G2631))</f>
        <v/>
      </c>
      <c r="I2631" s="12" t="n"/>
      <c r="J2631" s="12" t="n"/>
      <c r="K2631" s="12" t="n"/>
      <c r="L2631" s="14" t="n"/>
      <c r="M2631" s="12" t="n"/>
      <c r="N2631" s="12" t="n"/>
      <c r="O2631" s="12" t="n"/>
    </row>
    <row r="2632">
      <c r="A2632" s="12" t="n"/>
      <c r="B2632" s="13">
        <f>IF($A2632="","",IFERROR(INDEX(Emp_Names,MATCH($A2632,Emp_Codes,0)),"NOT FOUND"))</f>
        <v/>
      </c>
      <c r="C2632" s="14" t="n"/>
      <c r="D2632" s="15" t="n"/>
      <c r="E2632" s="15" t="n"/>
      <c r="F2632" s="15" t="n"/>
      <c r="G2632" s="15" t="n"/>
      <c r="H2632" s="16">
        <f>IF($A2632="","",$D2632+IF($E2632="",0,$E2632)+IF($F2632="",0,$F2632)-IF($G2632="",0,$G2632))</f>
        <v/>
      </c>
      <c r="I2632" s="12" t="n"/>
      <c r="J2632" s="12" t="n"/>
      <c r="K2632" s="12" t="n"/>
      <c r="L2632" s="14" t="n"/>
      <c r="M2632" s="12" t="n"/>
      <c r="N2632" s="12" t="n"/>
      <c r="O2632" s="12" t="n"/>
    </row>
    <row r="2633">
      <c r="A2633" s="12" t="n"/>
      <c r="B2633" s="13">
        <f>IF($A2633="","",IFERROR(INDEX(Emp_Names,MATCH($A2633,Emp_Codes,0)),"NOT FOUND"))</f>
        <v/>
      </c>
      <c r="C2633" s="14" t="n"/>
      <c r="D2633" s="15" t="n"/>
      <c r="E2633" s="15" t="n"/>
      <c r="F2633" s="15" t="n"/>
      <c r="G2633" s="15" t="n"/>
      <c r="H2633" s="16">
        <f>IF($A2633="","",$D2633+IF($E2633="",0,$E2633)+IF($F2633="",0,$F2633)-IF($G2633="",0,$G2633))</f>
        <v/>
      </c>
      <c r="I2633" s="12" t="n"/>
      <c r="J2633" s="12" t="n"/>
      <c r="K2633" s="12" t="n"/>
      <c r="L2633" s="14" t="n"/>
      <c r="M2633" s="12" t="n"/>
      <c r="N2633" s="12" t="n"/>
      <c r="O2633" s="12" t="n"/>
    </row>
    <row r="2634">
      <c r="A2634" s="12" t="n"/>
      <c r="B2634" s="13">
        <f>IF($A2634="","",IFERROR(INDEX(Emp_Names,MATCH($A2634,Emp_Codes,0)),"NOT FOUND"))</f>
        <v/>
      </c>
      <c r="C2634" s="14" t="n"/>
      <c r="D2634" s="15" t="n"/>
      <c r="E2634" s="15" t="n"/>
      <c r="F2634" s="15" t="n"/>
      <c r="G2634" s="15" t="n"/>
      <c r="H2634" s="16">
        <f>IF($A2634="","",$D2634+IF($E2634="",0,$E2634)+IF($F2634="",0,$F2634)-IF($G2634="",0,$G2634))</f>
        <v/>
      </c>
      <c r="I2634" s="12" t="n"/>
      <c r="J2634" s="12" t="n"/>
      <c r="K2634" s="12" t="n"/>
      <c r="L2634" s="14" t="n"/>
      <c r="M2634" s="12" t="n"/>
      <c r="N2634" s="12" t="n"/>
      <c r="O2634" s="12" t="n"/>
    </row>
    <row r="2635">
      <c r="A2635" s="12" t="n"/>
      <c r="B2635" s="13">
        <f>IF($A2635="","",IFERROR(INDEX(Emp_Names,MATCH($A2635,Emp_Codes,0)),"NOT FOUND"))</f>
        <v/>
      </c>
      <c r="C2635" s="14" t="n"/>
      <c r="D2635" s="15" t="n"/>
      <c r="E2635" s="15" t="n"/>
      <c r="F2635" s="15" t="n"/>
      <c r="G2635" s="15" t="n"/>
      <c r="H2635" s="16">
        <f>IF($A2635="","",$D2635+IF($E2635="",0,$E2635)+IF($F2635="",0,$F2635)-IF($G2635="",0,$G2635))</f>
        <v/>
      </c>
      <c r="I2635" s="12" t="n"/>
      <c r="J2635" s="12" t="n"/>
      <c r="K2635" s="12" t="n"/>
      <c r="L2635" s="14" t="n"/>
      <c r="M2635" s="12" t="n"/>
      <c r="N2635" s="12" t="n"/>
      <c r="O2635" s="12" t="n"/>
    </row>
    <row r="2636">
      <c r="A2636" s="12" t="n"/>
      <c r="B2636" s="13">
        <f>IF($A2636="","",IFERROR(INDEX(Emp_Names,MATCH($A2636,Emp_Codes,0)),"NOT FOUND"))</f>
        <v/>
      </c>
      <c r="C2636" s="14" t="n"/>
      <c r="D2636" s="15" t="n"/>
      <c r="E2636" s="15" t="n"/>
      <c r="F2636" s="15" t="n"/>
      <c r="G2636" s="15" t="n"/>
      <c r="H2636" s="16">
        <f>IF($A2636="","",$D2636+IF($E2636="",0,$E2636)+IF($F2636="",0,$F2636)-IF($G2636="",0,$G2636))</f>
        <v/>
      </c>
      <c r="I2636" s="12" t="n"/>
      <c r="J2636" s="12" t="n"/>
      <c r="K2636" s="12" t="n"/>
      <c r="L2636" s="14" t="n"/>
      <c r="M2636" s="12" t="n"/>
      <c r="N2636" s="12" t="n"/>
      <c r="O2636" s="12" t="n"/>
    </row>
    <row r="2637">
      <c r="A2637" s="12" t="n"/>
      <c r="B2637" s="13">
        <f>IF($A2637="","",IFERROR(INDEX(Emp_Names,MATCH($A2637,Emp_Codes,0)),"NOT FOUND"))</f>
        <v/>
      </c>
      <c r="C2637" s="14" t="n"/>
      <c r="D2637" s="15" t="n"/>
      <c r="E2637" s="15" t="n"/>
      <c r="F2637" s="15" t="n"/>
      <c r="G2637" s="15" t="n"/>
      <c r="H2637" s="16">
        <f>IF($A2637="","",$D2637+IF($E2637="",0,$E2637)+IF($F2637="",0,$F2637)-IF($G2637="",0,$G2637))</f>
        <v/>
      </c>
      <c r="I2637" s="12" t="n"/>
      <c r="J2637" s="12" t="n"/>
      <c r="K2637" s="12" t="n"/>
      <c r="L2637" s="14" t="n"/>
      <c r="M2637" s="12" t="n"/>
      <c r="N2637" s="12" t="n"/>
      <c r="O2637" s="12" t="n"/>
    </row>
    <row r="2638">
      <c r="A2638" s="12" t="n"/>
      <c r="B2638" s="13">
        <f>IF($A2638="","",IFERROR(INDEX(Emp_Names,MATCH($A2638,Emp_Codes,0)),"NOT FOUND"))</f>
        <v/>
      </c>
      <c r="C2638" s="14" t="n"/>
      <c r="D2638" s="15" t="n"/>
      <c r="E2638" s="15" t="n"/>
      <c r="F2638" s="15" t="n"/>
      <c r="G2638" s="15" t="n"/>
      <c r="H2638" s="16">
        <f>IF($A2638="","",$D2638+IF($E2638="",0,$E2638)+IF($F2638="",0,$F2638)-IF($G2638="",0,$G2638))</f>
        <v/>
      </c>
      <c r="I2638" s="12" t="n"/>
      <c r="J2638" s="12" t="n"/>
      <c r="K2638" s="12" t="n"/>
      <c r="L2638" s="14" t="n"/>
      <c r="M2638" s="12" t="n"/>
      <c r="N2638" s="12" t="n"/>
      <c r="O2638" s="12" t="n"/>
    </row>
    <row r="2639">
      <c r="A2639" s="12" t="n"/>
      <c r="B2639" s="13">
        <f>IF($A2639="","",IFERROR(INDEX(Emp_Names,MATCH($A2639,Emp_Codes,0)),"NOT FOUND"))</f>
        <v/>
      </c>
      <c r="C2639" s="14" t="n"/>
      <c r="D2639" s="15" t="n"/>
      <c r="E2639" s="15" t="n"/>
      <c r="F2639" s="15" t="n"/>
      <c r="G2639" s="15" t="n"/>
      <c r="H2639" s="16">
        <f>IF($A2639="","",$D2639+IF($E2639="",0,$E2639)+IF($F2639="",0,$F2639)-IF($G2639="",0,$G2639))</f>
        <v/>
      </c>
      <c r="I2639" s="12" t="n"/>
      <c r="J2639" s="12" t="n"/>
      <c r="K2639" s="12" t="n"/>
      <c r="L2639" s="14" t="n"/>
      <c r="M2639" s="12" t="n"/>
      <c r="N2639" s="12" t="n"/>
      <c r="O2639" s="12" t="n"/>
    </row>
    <row r="2640">
      <c r="A2640" s="12" t="n"/>
      <c r="B2640" s="13">
        <f>IF($A2640="","",IFERROR(INDEX(Emp_Names,MATCH($A2640,Emp_Codes,0)),"NOT FOUND"))</f>
        <v/>
      </c>
      <c r="C2640" s="14" t="n"/>
      <c r="D2640" s="15" t="n"/>
      <c r="E2640" s="15" t="n"/>
      <c r="F2640" s="15" t="n"/>
      <c r="G2640" s="15" t="n"/>
      <c r="H2640" s="16">
        <f>IF($A2640="","",$D2640+IF($E2640="",0,$E2640)+IF($F2640="",0,$F2640)-IF($G2640="",0,$G2640))</f>
        <v/>
      </c>
      <c r="I2640" s="12" t="n"/>
      <c r="J2640" s="12" t="n"/>
      <c r="K2640" s="12" t="n"/>
      <c r="L2640" s="14" t="n"/>
      <c r="M2640" s="12" t="n"/>
      <c r="N2640" s="12" t="n"/>
      <c r="O2640" s="12" t="n"/>
    </row>
    <row r="2641">
      <c r="A2641" s="12" t="n"/>
      <c r="B2641" s="13">
        <f>IF($A2641="","",IFERROR(INDEX(Emp_Names,MATCH($A2641,Emp_Codes,0)),"NOT FOUND"))</f>
        <v/>
      </c>
      <c r="C2641" s="14" t="n"/>
      <c r="D2641" s="15" t="n"/>
      <c r="E2641" s="15" t="n"/>
      <c r="F2641" s="15" t="n"/>
      <c r="G2641" s="15" t="n"/>
      <c r="H2641" s="16">
        <f>IF($A2641="","",$D2641+IF($E2641="",0,$E2641)+IF($F2641="",0,$F2641)-IF($G2641="",0,$G2641))</f>
        <v/>
      </c>
      <c r="I2641" s="12" t="n"/>
      <c r="J2641" s="12" t="n"/>
      <c r="K2641" s="12" t="n"/>
      <c r="L2641" s="14" t="n"/>
      <c r="M2641" s="12" t="n"/>
      <c r="N2641" s="12" t="n"/>
      <c r="O2641" s="12" t="n"/>
    </row>
    <row r="2642">
      <c r="A2642" s="12" t="n"/>
      <c r="B2642" s="13">
        <f>IF($A2642="","",IFERROR(INDEX(Emp_Names,MATCH($A2642,Emp_Codes,0)),"NOT FOUND"))</f>
        <v/>
      </c>
      <c r="C2642" s="14" t="n"/>
      <c r="D2642" s="15" t="n"/>
      <c r="E2642" s="15" t="n"/>
      <c r="F2642" s="15" t="n"/>
      <c r="G2642" s="15" t="n"/>
      <c r="H2642" s="16">
        <f>IF($A2642="","",$D2642+IF($E2642="",0,$E2642)+IF($F2642="",0,$F2642)-IF($G2642="",0,$G2642))</f>
        <v/>
      </c>
      <c r="I2642" s="12" t="n"/>
      <c r="J2642" s="12" t="n"/>
      <c r="K2642" s="12" t="n"/>
      <c r="L2642" s="14" t="n"/>
      <c r="M2642" s="12" t="n"/>
      <c r="N2642" s="12" t="n"/>
      <c r="O2642" s="12" t="n"/>
    </row>
    <row r="2643">
      <c r="A2643" s="12" t="n"/>
      <c r="B2643" s="13">
        <f>IF($A2643="","",IFERROR(INDEX(Emp_Names,MATCH($A2643,Emp_Codes,0)),"NOT FOUND"))</f>
        <v/>
      </c>
      <c r="C2643" s="14" t="n"/>
      <c r="D2643" s="15" t="n"/>
      <c r="E2643" s="15" t="n"/>
      <c r="F2643" s="15" t="n"/>
      <c r="G2643" s="15" t="n"/>
      <c r="H2643" s="16">
        <f>IF($A2643="","",$D2643+IF($E2643="",0,$E2643)+IF($F2643="",0,$F2643)-IF($G2643="",0,$G2643))</f>
        <v/>
      </c>
      <c r="I2643" s="12" t="n"/>
      <c r="J2643" s="12" t="n"/>
      <c r="K2643" s="12" t="n"/>
      <c r="L2643" s="14" t="n"/>
      <c r="M2643" s="12" t="n"/>
      <c r="N2643" s="12" t="n"/>
      <c r="O2643" s="12" t="n"/>
    </row>
    <row r="2644">
      <c r="A2644" s="12" t="n"/>
      <c r="B2644" s="13">
        <f>IF($A2644="","",IFERROR(INDEX(Emp_Names,MATCH($A2644,Emp_Codes,0)),"NOT FOUND"))</f>
        <v/>
      </c>
      <c r="C2644" s="14" t="n"/>
      <c r="D2644" s="15" t="n"/>
      <c r="E2644" s="15" t="n"/>
      <c r="F2644" s="15" t="n"/>
      <c r="G2644" s="15" t="n"/>
      <c r="H2644" s="16">
        <f>IF($A2644="","",$D2644+IF($E2644="",0,$E2644)+IF($F2644="",0,$F2644)-IF($G2644="",0,$G2644))</f>
        <v/>
      </c>
      <c r="I2644" s="12" t="n"/>
      <c r="J2644" s="12" t="n"/>
      <c r="K2644" s="12" t="n"/>
      <c r="L2644" s="14" t="n"/>
      <c r="M2644" s="12" t="n"/>
      <c r="N2644" s="12" t="n"/>
      <c r="O2644" s="12" t="n"/>
    </row>
    <row r="2645">
      <c r="A2645" s="12" t="n"/>
      <c r="B2645" s="13">
        <f>IF($A2645="","",IFERROR(INDEX(Emp_Names,MATCH($A2645,Emp_Codes,0)),"NOT FOUND"))</f>
        <v/>
      </c>
      <c r="C2645" s="14" t="n"/>
      <c r="D2645" s="15" t="n"/>
      <c r="E2645" s="15" t="n"/>
      <c r="F2645" s="15" t="n"/>
      <c r="G2645" s="15" t="n"/>
      <c r="H2645" s="16">
        <f>IF($A2645="","",$D2645+IF($E2645="",0,$E2645)+IF($F2645="",0,$F2645)-IF($G2645="",0,$G2645))</f>
        <v/>
      </c>
      <c r="I2645" s="12" t="n"/>
      <c r="J2645" s="12" t="n"/>
      <c r="K2645" s="12" t="n"/>
      <c r="L2645" s="14" t="n"/>
      <c r="M2645" s="12" t="n"/>
      <c r="N2645" s="12" t="n"/>
      <c r="O2645" s="12" t="n"/>
    </row>
    <row r="2646">
      <c r="A2646" s="12" t="n"/>
      <c r="B2646" s="13">
        <f>IF($A2646="","",IFERROR(INDEX(Emp_Names,MATCH($A2646,Emp_Codes,0)),"NOT FOUND"))</f>
        <v/>
      </c>
      <c r="C2646" s="14" t="n"/>
      <c r="D2646" s="15" t="n"/>
      <c r="E2646" s="15" t="n"/>
      <c r="F2646" s="15" t="n"/>
      <c r="G2646" s="15" t="n"/>
      <c r="H2646" s="16">
        <f>IF($A2646="","",$D2646+IF($E2646="",0,$E2646)+IF($F2646="",0,$F2646)-IF($G2646="",0,$G2646))</f>
        <v/>
      </c>
      <c r="I2646" s="12" t="n"/>
      <c r="J2646" s="12" t="n"/>
      <c r="K2646" s="12" t="n"/>
      <c r="L2646" s="14" t="n"/>
      <c r="M2646" s="12" t="n"/>
      <c r="N2646" s="12" t="n"/>
      <c r="O2646" s="12" t="n"/>
    </row>
    <row r="2647">
      <c r="A2647" s="12" t="n"/>
      <c r="B2647" s="13">
        <f>IF($A2647="","",IFERROR(INDEX(Emp_Names,MATCH($A2647,Emp_Codes,0)),"NOT FOUND"))</f>
        <v/>
      </c>
      <c r="C2647" s="14" t="n"/>
      <c r="D2647" s="15" t="n"/>
      <c r="E2647" s="15" t="n"/>
      <c r="F2647" s="15" t="n"/>
      <c r="G2647" s="15" t="n"/>
      <c r="H2647" s="16">
        <f>IF($A2647="","",$D2647+IF($E2647="",0,$E2647)+IF($F2647="",0,$F2647)-IF($G2647="",0,$G2647))</f>
        <v/>
      </c>
      <c r="I2647" s="12" t="n"/>
      <c r="J2647" s="12" t="n"/>
      <c r="K2647" s="12" t="n"/>
      <c r="L2647" s="14" t="n"/>
      <c r="M2647" s="12" t="n"/>
      <c r="N2647" s="12" t="n"/>
      <c r="O2647" s="12" t="n"/>
    </row>
    <row r="2648">
      <c r="A2648" s="12" t="n"/>
      <c r="B2648" s="13">
        <f>IF($A2648="","",IFERROR(INDEX(Emp_Names,MATCH($A2648,Emp_Codes,0)),"NOT FOUND"))</f>
        <v/>
      </c>
      <c r="C2648" s="14" t="n"/>
      <c r="D2648" s="15" t="n"/>
      <c r="E2648" s="15" t="n"/>
      <c r="F2648" s="15" t="n"/>
      <c r="G2648" s="15" t="n"/>
      <c r="H2648" s="16">
        <f>IF($A2648="","",$D2648+IF($E2648="",0,$E2648)+IF($F2648="",0,$F2648)-IF($G2648="",0,$G2648))</f>
        <v/>
      </c>
      <c r="I2648" s="12" t="n"/>
      <c r="J2648" s="12" t="n"/>
      <c r="K2648" s="12" t="n"/>
      <c r="L2648" s="14" t="n"/>
      <c r="M2648" s="12" t="n"/>
      <c r="N2648" s="12" t="n"/>
      <c r="O2648" s="12" t="n"/>
    </row>
    <row r="2649">
      <c r="A2649" s="12" t="n"/>
      <c r="B2649" s="13">
        <f>IF($A2649="","",IFERROR(INDEX(Emp_Names,MATCH($A2649,Emp_Codes,0)),"NOT FOUND"))</f>
        <v/>
      </c>
      <c r="C2649" s="14" t="n"/>
      <c r="D2649" s="15" t="n"/>
      <c r="E2649" s="15" t="n"/>
      <c r="F2649" s="15" t="n"/>
      <c r="G2649" s="15" t="n"/>
      <c r="H2649" s="16">
        <f>IF($A2649="","",$D2649+IF($E2649="",0,$E2649)+IF($F2649="",0,$F2649)-IF($G2649="",0,$G2649))</f>
        <v/>
      </c>
      <c r="I2649" s="12" t="n"/>
      <c r="J2649" s="12" t="n"/>
      <c r="K2649" s="12" t="n"/>
      <c r="L2649" s="14" t="n"/>
      <c r="M2649" s="12" t="n"/>
      <c r="N2649" s="12" t="n"/>
      <c r="O2649" s="12" t="n"/>
    </row>
    <row r="2650">
      <c r="A2650" s="12" t="n"/>
      <c r="B2650" s="13">
        <f>IF($A2650="","",IFERROR(INDEX(Emp_Names,MATCH($A2650,Emp_Codes,0)),"NOT FOUND"))</f>
        <v/>
      </c>
      <c r="C2650" s="14" t="n"/>
      <c r="D2650" s="15" t="n"/>
      <c r="E2650" s="15" t="n"/>
      <c r="F2650" s="15" t="n"/>
      <c r="G2650" s="15" t="n"/>
      <c r="H2650" s="16">
        <f>IF($A2650="","",$D2650+IF($E2650="",0,$E2650)+IF($F2650="",0,$F2650)-IF($G2650="",0,$G2650))</f>
        <v/>
      </c>
      <c r="I2650" s="12" t="n"/>
      <c r="J2650" s="12" t="n"/>
      <c r="K2650" s="12" t="n"/>
      <c r="L2650" s="14" t="n"/>
      <c r="M2650" s="12" t="n"/>
      <c r="N2650" s="12" t="n"/>
      <c r="O2650" s="12" t="n"/>
    </row>
    <row r="2651">
      <c r="A2651" s="12" t="n"/>
      <c r="B2651" s="13">
        <f>IF($A2651="","",IFERROR(INDEX(Emp_Names,MATCH($A2651,Emp_Codes,0)),"NOT FOUND"))</f>
        <v/>
      </c>
      <c r="C2651" s="14" t="n"/>
      <c r="D2651" s="15" t="n"/>
      <c r="E2651" s="15" t="n"/>
      <c r="F2651" s="15" t="n"/>
      <c r="G2651" s="15" t="n"/>
      <c r="H2651" s="16">
        <f>IF($A2651="","",$D2651+IF($E2651="",0,$E2651)+IF($F2651="",0,$F2651)-IF($G2651="",0,$G2651))</f>
        <v/>
      </c>
      <c r="I2651" s="12" t="n"/>
      <c r="J2651" s="12" t="n"/>
      <c r="K2651" s="12" t="n"/>
      <c r="L2651" s="14" t="n"/>
      <c r="M2651" s="12" t="n"/>
      <c r="N2651" s="12" t="n"/>
      <c r="O2651" s="12" t="n"/>
    </row>
    <row r="2652">
      <c r="A2652" s="12" t="n"/>
      <c r="B2652" s="13">
        <f>IF($A2652="","",IFERROR(INDEX(Emp_Names,MATCH($A2652,Emp_Codes,0)),"NOT FOUND"))</f>
        <v/>
      </c>
      <c r="C2652" s="14" t="n"/>
      <c r="D2652" s="15" t="n"/>
      <c r="E2652" s="15" t="n"/>
      <c r="F2652" s="15" t="n"/>
      <c r="G2652" s="15" t="n"/>
      <c r="H2652" s="16">
        <f>IF($A2652="","",$D2652+IF($E2652="",0,$E2652)+IF($F2652="",0,$F2652)-IF($G2652="",0,$G2652))</f>
        <v/>
      </c>
      <c r="I2652" s="12" t="n"/>
      <c r="J2652" s="12" t="n"/>
      <c r="K2652" s="12" t="n"/>
      <c r="L2652" s="14" t="n"/>
      <c r="M2652" s="12" t="n"/>
      <c r="N2652" s="12" t="n"/>
      <c r="O2652" s="12" t="n"/>
    </row>
    <row r="2653">
      <c r="A2653" s="12" t="n"/>
      <c r="B2653" s="13">
        <f>IF($A2653="","",IFERROR(INDEX(Emp_Names,MATCH($A2653,Emp_Codes,0)),"NOT FOUND"))</f>
        <v/>
      </c>
      <c r="C2653" s="14" t="n"/>
      <c r="D2653" s="15" t="n"/>
      <c r="E2653" s="15" t="n"/>
      <c r="F2653" s="15" t="n"/>
      <c r="G2653" s="15" t="n"/>
      <c r="H2653" s="16">
        <f>IF($A2653="","",$D2653+IF($E2653="",0,$E2653)+IF($F2653="",0,$F2653)-IF($G2653="",0,$G2653))</f>
        <v/>
      </c>
      <c r="I2653" s="12" t="n"/>
      <c r="J2653" s="12" t="n"/>
      <c r="K2653" s="12" t="n"/>
      <c r="L2653" s="14" t="n"/>
      <c r="M2653" s="12" t="n"/>
      <c r="N2653" s="12" t="n"/>
      <c r="O2653" s="12" t="n"/>
    </row>
    <row r="2654">
      <c r="A2654" s="12" t="n"/>
      <c r="B2654" s="13">
        <f>IF($A2654="","",IFERROR(INDEX(Emp_Names,MATCH($A2654,Emp_Codes,0)),"NOT FOUND"))</f>
        <v/>
      </c>
      <c r="C2654" s="14" t="n"/>
      <c r="D2654" s="15" t="n"/>
      <c r="E2654" s="15" t="n"/>
      <c r="F2654" s="15" t="n"/>
      <c r="G2654" s="15" t="n"/>
      <c r="H2654" s="16">
        <f>IF($A2654="","",$D2654+IF($E2654="",0,$E2654)+IF($F2654="",0,$F2654)-IF($G2654="",0,$G2654))</f>
        <v/>
      </c>
      <c r="I2654" s="12" t="n"/>
      <c r="J2654" s="12" t="n"/>
      <c r="K2654" s="12" t="n"/>
      <c r="L2654" s="14" t="n"/>
      <c r="M2654" s="12" t="n"/>
      <c r="N2654" s="12" t="n"/>
      <c r="O2654" s="12" t="n"/>
    </row>
    <row r="2655">
      <c r="A2655" s="12" t="n"/>
      <c r="B2655" s="13">
        <f>IF($A2655="","",IFERROR(INDEX(Emp_Names,MATCH($A2655,Emp_Codes,0)),"NOT FOUND"))</f>
        <v/>
      </c>
      <c r="C2655" s="14" t="n"/>
      <c r="D2655" s="15" t="n"/>
      <c r="E2655" s="15" t="n"/>
      <c r="F2655" s="15" t="n"/>
      <c r="G2655" s="15" t="n"/>
      <c r="H2655" s="16">
        <f>IF($A2655="","",$D2655+IF($E2655="",0,$E2655)+IF($F2655="",0,$F2655)-IF($G2655="",0,$G2655))</f>
        <v/>
      </c>
      <c r="I2655" s="12" t="n"/>
      <c r="J2655" s="12" t="n"/>
      <c r="K2655" s="12" t="n"/>
      <c r="L2655" s="14" t="n"/>
      <c r="M2655" s="12" t="n"/>
      <c r="N2655" s="12" t="n"/>
      <c r="O2655" s="12" t="n"/>
    </row>
    <row r="2656">
      <c r="A2656" s="12" t="n"/>
      <c r="B2656" s="13">
        <f>IF($A2656="","",IFERROR(INDEX(Emp_Names,MATCH($A2656,Emp_Codes,0)),"NOT FOUND"))</f>
        <v/>
      </c>
      <c r="C2656" s="14" t="n"/>
      <c r="D2656" s="15" t="n"/>
      <c r="E2656" s="15" t="n"/>
      <c r="F2656" s="15" t="n"/>
      <c r="G2656" s="15" t="n"/>
      <c r="H2656" s="16">
        <f>IF($A2656="","",$D2656+IF($E2656="",0,$E2656)+IF($F2656="",0,$F2656)-IF($G2656="",0,$G2656))</f>
        <v/>
      </c>
      <c r="I2656" s="12" t="n"/>
      <c r="J2656" s="12" t="n"/>
      <c r="K2656" s="12" t="n"/>
      <c r="L2656" s="14" t="n"/>
      <c r="M2656" s="12" t="n"/>
      <c r="N2656" s="12" t="n"/>
      <c r="O2656" s="12" t="n"/>
    </row>
    <row r="2657">
      <c r="A2657" s="12" t="n"/>
      <c r="B2657" s="13">
        <f>IF($A2657="","",IFERROR(INDEX(Emp_Names,MATCH($A2657,Emp_Codes,0)),"NOT FOUND"))</f>
        <v/>
      </c>
      <c r="C2657" s="14" t="n"/>
      <c r="D2657" s="15" t="n"/>
      <c r="E2657" s="15" t="n"/>
      <c r="F2657" s="15" t="n"/>
      <c r="G2657" s="15" t="n"/>
      <c r="H2657" s="16">
        <f>IF($A2657="","",$D2657+IF($E2657="",0,$E2657)+IF($F2657="",0,$F2657)-IF($G2657="",0,$G2657))</f>
        <v/>
      </c>
      <c r="I2657" s="12" t="n"/>
      <c r="J2657" s="12" t="n"/>
      <c r="K2657" s="12" t="n"/>
      <c r="L2657" s="14" t="n"/>
      <c r="M2657" s="12" t="n"/>
      <c r="N2657" s="12" t="n"/>
      <c r="O2657" s="12" t="n"/>
    </row>
    <row r="2658">
      <c r="A2658" s="12" t="n"/>
      <c r="B2658" s="13">
        <f>IF($A2658="","",IFERROR(INDEX(Emp_Names,MATCH($A2658,Emp_Codes,0)),"NOT FOUND"))</f>
        <v/>
      </c>
      <c r="C2658" s="14" t="n"/>
      <c r="D2658" s="15" t="n"/>
      <c r="E2658" s="15" t="n"/>
      <c r="F2658" s="15" t="n"/>
      <c r="G2658" s="15" t="n"/>
      <c r="H2658" s="16">
        <f>IF($A2658="","",$D2658+IF($E2658="",0,$E2658)+IF($F2658="",0,$F2658)-IF($G2658="",0,$G2658))</f>
        <v/>
      </c>
      <c r="I2658" s="12" t="n"/>
      <c r="J2658" s="12" t="n"/>
      <c r="K2658" s="12" t="n"/>
      <c r="L2658" s="14" t="n"/>
      <c r="M2658" s="12" t="n"/>
      <c r="N2658" s="12" t="n"/>
      <c r="O2658" s="12" t="n"/>
    </row>
    <row r="2659">
      <c r="A2659" s="12" t="n"/>
      <c r="B2659" s="13">
        <f>IF($A2659="","",IFERROR(INDEX(Emp_Names,MATCH($A2659,Emp_Codes,0)),"NOT FOUND"))</f>
        <v/>
      </c>
      <c r="C2659" s="14" t="n"/>
      <c r="D2659" s="15" t="n"/>
      <c r="E2659" s="15" t="n"/>
      <c r="F2659" s="15" t="n"/>
      <c r="G2659" s="15" t="n"/>
      <c r="H2659" s="16">
        <f>IF($A2659="","",$D2659+IF($E2659="",0,$E2659)+IF($F2659="",0,$F2659)-IF($G2659="",0,$G2659))</f>
        <v/>
      </c>
      <c r="I2659" s="12" t="n"/>
      <c r="J2659" s="12" t="n"/>
      <c r="K2659" s="12" t="n"/>
      <c r="L2659" s="14" t="n"/>
      <c r="M2659" s="12" t="n"/>
      <c r="N2659" s="12" t="n"/>
      <c r="O2659" s="12" t="n"/>
    </row>
    <row r="2660">
      <c r="A2660" s="12" t="n"/>
      <c r="B2660" s="13">
        <f>IF($A2660="","",IFERROR(INDEX(Emp_Names,MATCH($A2660,Emp_Codes,0)),"NOT FOUND"))</f>
        <v/>
      </c>
      <c r="C2660" s="14" t="n"/>
      <c r="D2660" s="15" t="n"/>
      <c r="E2660" s="15" t="n"/>
      <c r="F2660" s="15" t="n"/>
      <c r="G2660" s="15" t="n"/>
      <c r="H2660" s="16">
        <f>IF($A2660="","",$D2660+IF($E2660="",0,$E2660)+IF($F2660="",0,$F2660)-IF($G2660="",0,$G2660))</f>
        <v/>
      </c>
      <c r="I2660" s="12" t="n"/>
      <c r="J2660" s="12" t="n"/>
      <c r="K2660" s="12" t="n"/>
      <c r="L2660" s="14" t="n"/>
      <c r="M2660" s="12" t="n"/>
      <c r="N2660" s="12" t="n"/>
      <c r="O2660" s="12" t="n"/>
    </row>
    <row r="2661">
      <c r="A2661" s="12" t="n"/>
      <c r="B2661" s="13">
        <f>IF($A2661="","",IFERROR(INDEX(Emp_Names,MATCH($A2661,Emp_Codes,0)),"NOT FOUND"))</f>
        <v/>
      </c>
      <c r="C2661" s="14" t="n"/>
      <c r="D2661" s="15" t="n"/>
      <c r="E2661" s="15" t="n"/>
      <c r="F2661" s="15" t="n"/>
      <c r="G2661" s="15" t="n"/>
      <c r="H2661" s="16">
        <f>IF($A2661="","",$D2661+IF($E2661="",0,$E2661)+IF($F2661="",0,$F2661)-IF($G2661="",0,$G2661))</f>
        <v/>
      </c>
      <c r="I2661" s="12" t="n"/>
      <c r="J2661" s="12" t="n"/>
      <c r="K2661" s="12" t="n"/>
      <c r="L2661" s="14" t="n"/>
      <c r="M2661" s="12" t="n"/>
      <c r="N2661" s="12" t="n"/>
      <c r="O2661" s="12" t="n"/>
    </row>
    <row r="2662">
      <c r="A2662" s="12" t="n"/>
      <c r="B2662" s="13">
        <f>IF($A2662="","",IFERROR(INDEX(Emp_Names,MATCH($A2662,Emp_Codes,0)),"NOT FOUND"))</f>
        <v/>
      </c>
      <c r="C2662" s="14" t="n"/>
      <c r="D2662" s="15" t="n"/>
      <c r="E2662" s="15" t="n"/>
      <c r="F2662" s="15" t="n"/>
      <c r="G2662" s="15" t="n"/>
      <c r="H2662" s="16">
        <f>IF($A2662="","",$D2662+IF($E2662="",0,$E2662)+IF($F2662="",0,$F2662)-IF($G2662="",0,$G2662))</f>
        <v/>
      </c>
      <c r="I2662" s="12" t="n"/>
      <c r="J2662" s="12" t="n"/>
      <c r="K2662" s="12" t="n"/>
      <c r="L2662" s="14" t="n"/>
      <c r="M2662" s="12" t="n"/>
      <c r="N2662" s="12" t="n"/>
      <c r="O2662" s="12" t="n"/>
    </row>
    <row r="2663">
      <c r="A2663" s="12" t="n"/>
      <c r="B2663" s="13">
        <f>IF($A2663="","",IFERROR(INDEX(Emp_Names,MATCH($A2663,Emp_Codes,0)),"NOT FOUND"))</f>
        <v/>
      </c>
      <c r="C2663" s="14" t="n"/>
      <c r="D2663" s="15" t="n"/>
      <c r="E2663" s="15" t="n"/>
      <c r="F2663" s="15" t="n"/>
      <c r="G2663" s="15" t="n"/>
      <c r="H2663" s="16">
        <f>IF($A2663="","",$D2663+IF($E2663="",0,$E2663)+IF($F2663="",0,$F2663)-IF($G2663="",0,$G2663))</f>
        <v/>
      </c>
      <c r="I2663" s="12" t="n"/>
      <c r="J2663" s="12" t="n"/>
      <c r="K2663" s="12" t="n"/>
      <c r="L2663" s="14" t="n"/>
      <c r="M2663" s="12" t="n"/>
      <c r="N2663" s="12" t="n"/>
      <c r="O2663" s="12" t="n"/>
    </row>
    <row r="2664">
      <c r="A2664" s="12" t="n"/>
      <c r="B2664" s="13">
        <f>IF($A2664="","",IFERROR(INDEX(Emp_Names,MATCH($A2664,Emp_Codes,0)),"NOT FOUND"))</f>
        <v/>
      </c>
      <c r="C2664" s="14" t="n"/>
      <c r="D2664" s="15" t="n"/>
      <c r="E2664" s="15" t="n"/>
      <c r="F2664" s="15" t="n"/>
      <c r="G2664" s="15" t="n"/>
      <c r="H2664" s="16">
        <f>IF($A2664="","",$D2664+IF($E2664="",0,$E2664)+IF($F2664="",0,$F2664)-IF($G2664="",0,$G2664))</f>
        <v/>
      </c>
      <c r="I2664" s="12" t="n"/>
      <c r="J2664" s="12" t="n"/>
      <c r="K2664" s="12" t="n"/>
      <c r="L2664" s="14" t="n"/>
      <c r="M2664" s="12" t="n"/>
      <c r="N2664" s="12" t="n"/>
      <c r="O2664" s="12" t="n"/>
    </row>
    <row r="2665">
      <c r="A2665" s="12" t="n"/>
      <c r="B2665" s="13">
        <f>IF($A2665="","",IFERROR(INDEX(Emp_Names,MATCH($A2665,Emp_Codes,0)),"NOT FOUND"))</f>
        <v/>
      </c>
      <c r="C2665" s="14" t="n"/>
      <c r="D2665" s="15" t="n"/>
      <c r="E2665" s="15" t="n"/>
      <c r="F2665" s="15" t="n"/>
      <c r="G2665" s="15" t="n"/>
      <c r="H2665" s="16">
        <f>IF($A2665="","",$D2665+IF($E2665="",0,$E2665)+IF($F2665="",0,$F2665)-IF($G2665="",0,$G2665))</f>
        <v/>
      </c>
      <c r="I2665" s="12" t="n"/>
      <c r="J2665" s="12" t="n"/>
      <c r="K2665" s="12" t="n"/>
      <c r="L2665" s="14" t="n"/>
      <c r="M2665" s="12" t="n"/>
      <c r="N2665" s="12" t="n"/>
      <c r="O2665" s="12" t="n"/>
    </row>
    <row r="2666">
      <c r="A2666" s="12" t="n"/>
      <c r="B2666" s="13">
        <f>IF($A2666="","",IFERROR(INDEX(Emp_Names,MATCH($A2666,Emp_Codes,0)),"NOT FOUND"))</f>
        <v/>
      </c>
      <c r="C2666" s="14" t="n"/>
      <c r="D2666" s="15" t="n"/>
      <c r="E2666" s="15" t="n"/>
      <c r="F2666" s="15" t="n"/>
      <c r="G2666" s="15" t="n"/>
      <c r="H2666" s="16">
        <f>IF($A2666="","",$D2666+IF($E2666="",0,$E2666)+IF($F2666="",0,$F2666)-IF($G2666="",0,$G2666))</f>
        <v/>
      </c>
      <c r="I2666" s="12" t="n"/>
      <c r="J2666" s="12" t="n"/>
      <c r="K2666" s="12" t="n"/>
      <c r="L2666" s="14" t="n"/>
      <c r="M2666" s="12" t="n"/>
      <c r="N2666" s="12" t="n"/>
      <c r="O2666" s="12" t="n"/>
    </row>
    <row r="2667">
      <c r="A2667" s="12" t="n"/>
      <c r="B2667" s="13">
        <f>IF($A2667="","",IFERROR(INDEX(Emp_Names,MATCH($A2667,Emp_Codes,0)),"NOT FOUND"))</f>
        <v/>
      </c>
      <c r="C2667" s="14" t="n"/>
      <c r="D2667" s="15" t="n"/>
      <c r="E2667" s="15" t="n"/>
      <c r="F2667" s="15" t="n"/>
      <c r="G2667" s="15" t="n"/>
      <c r="H2667" s="16">
        <f>IF($A2667="","",$D2667+IF($E2667="",0,$E2667)+IF($F2667="",0,$F2667)-IF($G2667="",0,$G2667))</f>
        <v/>
      </c>
      <c r="I2667" s="12" t="n"/>
      <c r="J2667" s="12" t="n"/>
      <c r="K2667" s="12" t="n"/>
      <c r="L2667" s="14" t="n"/>
      <c r="M2667" s="12" t="n"/>
      <c r="N2667" s="12" t="n"/>
      <c r="O2667" s="12" t="n"/>
    </row>
    <row r="2668">
      <c r="A2668" s="12" t="n"/>
      <c r="B2668" s="13">
        <f>IF($A2668="","",IFERROR(INDEX(Emp_Names,MATCH($A2668,Emp_Codes,0)),"NOT FOUND"))</f>
        <v/>
      </c>
      <c r="C2668" s="14" t="n"/>
      <c r="D2668" s="15" t="n"/>
      <c r="E2668" s="15" t="n"/>
      <c r="F2668" s="15" t="n"/>
      <c r="G2668" s="15" t="n"/>
      <c r="H2668" s="16">
        <f>IF($A2668="","",$D2668+IF($E2668="",0,$E2668)+IF($F2668="",0,$F2668)-IF($G2668="",0,$G2668))</f>
        <v/>
      </c>
      <c r="I2668" s="12" t="n"/>
      <c r="J2668" s="12" t="n"/>
      <c r="K2668" s="12" t="n"/>
      <c r="L2668" s="14" t="n"/>
      <c r="M2668" s="12" t="n"/>
      <c r="N2668" s="12" t="n"/>
      <c r="O2668" s="12" t="n"/>
    </row>
    <row r="2669">
      <c r="A2669" s="12" t="n"/>
      <c r="B2669" s="13">
        <f>IF($A2669="","",IFERROR(INDEX(Emp_Names,MATCH($A2669,Emp_Codes,0)),"NOT FOUND"))</f>
        <v/>
      </c>
      <c r="C2669" s="14" t="n"/>
      <c r="D2669" s="15" t="n"/>
      <c r="E2669" s="15" t="n"/>
      <c r="F2669" s="15" t="n"/>
      <c r="G2669" s="15" t="n"/>
      <c r="H2669" s="16">
        <f>IF($A2669="","",$D2669+IF($E2669="",0,$E2669)+IF($F2669="",0,$F2669)-IF($G2669="",0,$G2669))</f>
        <v/>
      </c>
      <c r="I2669" s="12" t="n"/>
      <c r="J2669" s="12" t="n"/>
      <c r="K2669" s="12" t="n"/>
      <c r="L2669" s="14" t="n"/>
      <c r="M2669" s="12" t="n"/>
      <c r="N2669" s="12" t="n"/>
      <c r="O2669" s="12" t="n"/>
    </row>
    <row r="2670">
      <c r="A2670" s="12" t="n"/>
      <c r="B2670" s="13">
        <f>IF($A2670="","",IFERROR(INDEX(Emp_Names,MATCH($A2670,Emp_Codes,0)),"NOT FOUND"))</f>
        <v/>
      </c>
      <c r="C2670" s="14" t="n"/>
      <c r="D2670" s="15" t="n"/>
      <c r="E2670" s="15" t="n"/>
      <c r="F2670" s="15" t="n"/>
      <c r="G2670" s="15" t="n"/>
      <c r="H2670" s="16">
        <f>IF($A2670="","",$D2670+IF($E2670="",0,$E2670)+IF($F2670="",0,$F2670)-IF($G2670="",0,$G2670))</f>
        <v/>
      </c>
      <c r="I2670" s="12" t="n"/>
      <c r="J2670" s="12" t="n"/>
      <c r="K2670" s="12" t="n"/>
      <c r="L2670" s="14" t="n"/>
      <c r="M2670" s="12" t="n"/>
      <c r="N2670" s="12" t="n"/>
      <c r="O2670" s="12" t="n"/>
    </row>
    <row r="2671">
      <c r="A2671" s="12" t="n"/>
      <c r="B2671" s="13">
        <f>IF($A2671="","",IFERROR(INDEX(Emp_Names,MATCH($A2671,Emp_Codes,0)),"NOT FOUND"))</f>
        <v/>
      </c>
      <c r="C2671" s="14" t="n"/>
      <c r="D2671" s="15" t="n"/>
      <c r="E2671" s="15" t="n"/>
      <c r="F2671" s="15" t="n"/>
      <c r="G2671" s="15" t="n"/>
      <c r="H2671" s="16">
        <f>IF($A2671="","",$D2671+IF($E2671="",0,$E2671)+IF($F2671="",0,$F2671)-IF($G2671="",0,$G2671))</f>
        <v/>
      </c>
      <c r="I2671" s="12" t="n"/>
      <c r="J2671" s="12" t="n"/>
      <c r="K2671" s="12" t="n"/>
      <c r="L2671" s="14" t="n"/>
      <c r="M2671" s="12" t="n"/>
      <c r="N2671" s="12" t="n"/>
      <c r="O2671" s="12" t="n"/>
    </row>
    <row r="2672">
      <c r="A2672" s="12" t="n"/>
      <c r="B2672" s="13">
        <f>IF($A2672="","",IFERROR(INDEX(Emp_Names,MATCH($A2672,Emp_Codes,0)),"NOT FOUND"))</f>
        <v/>
      </c>
      <c r="C2672" s="14" t="n"/>
      <c r="D2672" s="15" t="n"/>
      <c r="E2672" s="15" t="n"/>
      <c r="F2672" s="15" t="n"/>
      <c r="G2672" s="15" t="n"/>
      <c r="H2672" s="16">
        <f>IF($A2672="","",$D2672+IF($E2672="",0,$E2672)+IF($F2672="",0,$F2672)-IF($G2672="",0,$G2672))</f>
        <v/>
      </c>
      <c r="I2672" s="12" t="n"/>
      <c r="J2672" s="12" t="n"/>
      <c r="K2672" s="12" t="n"/>
      <c r="L2672" s="14" t="n"/>
      <c r="M2672" s="12" t="n"/>
      <c r="N2672" s="12" t="n"/>
      <c r="O2672" s="12" t="n"/>
    </row>
    <row r="2673">
      <c r="A2673" s="12" t="n"/>
      <c r="B2673" s="13">
        <f>IF($A2673="","",IFERROR(INDEX(Emp_Names,MATCH($A2673,Emp_Codes,0)),"NOT FOUND"))</f>
        <v/>
      </c>
      <c r="C2673" s="14" t="n"/>
      <c r="D2673" s="15" t="n"/>
      <c r="E2673" s="15" t="n"/>
      <c r="F2673" s="15" t="n"/>
      <c r="G2673" s="15" t="n"/>
      <c r="H2673" s="16">
        <f>IF($A2673="","",$D2673+IF($E2673="",0,$E2673)+IF($F2673="",0,$F2673)-IF($G2673="",0,$G2673))</f>
        <v/>
      </c>
      <c r="I2673" s="12" t="n"/>
      <c r="J2673" s="12" t="n"/>
      <c r="K2673" s="12" t="n"/>
      <c r="L2673" s="14" t="n"/>
      <c r="M2673" s="12" t="n"/>
      <c r="N2673" s="12" t="n"/>
      <c r="O2673" s="12" t="n"/>
    </row>
    <row r="2674">
      <c r="A2674" s="12" t="n"/>
      <c r="B2674" s="13">
        <f>IF($A2674="","",IFERROR(INDEX(Emp_Names,MATCH($A2674,Emp_Codes,0)),"NOT FOUND"))</f>
        <v/>
      </c>
      <c r="C2674" s="14" t="n"/>
      <c r="D2674" s="15" t="n"/>
      <c r="E2674" s="15" t="n"/>
      <c r="F2674" s="15" t="n"/>
      <c r="G2674" s="15" t="n"/>
      <c r="H2674" s="16">
        <f>IF($A2674="","",$D2674+IF($E2674="",0,$E2674)+IF($F2674="",0,$F2674)-IF($G2674="",0,$G2674))</f>
        <v/>
      </c>
      <c r="I2674" s="12" t="n"/>
      <c r="J2674" s="12" t="n"/>
      <c r="K2674" s="12" t="n"/>
      <c r="L2674" s="14" t="n"/>
      <c r="M2674" s="12" t="n"/>
      <c r="N2674" s="12" t="n"/>
      <c r="O2674" s="12" t="n"/>
    </row>
    <row r="2675">
      <c r="A2675" s="12" t="n"/>
      <c r="B2675" s="13">
        <f>IF($A2675="","",IFERROR(INDEX(Emp_Names,MATCH($A2675,Emp_Codes,0)),"NOT FOUND"))</f>
        <v/>
      </c>
      <c r="C2675" s="14" t="n"/>
      <c r="D2675" s="15" t="n"/>
      <c r="E2675" s="15" t="n"/>
      <c r="F2675" s="15" t="n"/>
      <c r="G2675" s="15" t="n"/>
      <c r="H2675" s="16">
        <f>IF($A2675="","",$D2675+IF($E2675="",0,$E2675)+IF($F2675="",0,$F2675)-IF($G2675="",0,$G2675))</f>
        <v/>
      </c>
      <c r="I2675" s="12" t="n"/>
      <c r="J2675" s="12" t="n"/>
      <c r="K2675" s="12" t="n"/>
      <c r="L2675" s="14" t="n"/>
      <c r="M2675" s="12" t="n"/>
      <c r="N2675" s="12" t="n"/>
      <c r="O2675" s="12" t="n"/>
    </row>
    <row r="2676">
      <c r="A2676" s="12" t="n"/>
      <c r="B2676" s="13">
        <f>IF($A2676="","",IFERROR(INDEX(Emp_Names,MATCH($A2676,Emp_Codes,0)),"NOT FOUND"))</f>
        <v/>
      </c>
      <c r="C2676" s="14" t="n"/>
      <c r="D2676" s="15" t="n"/>
      <c r="E2676" s="15" t="n"/>
      <c r="F2676" s="15" t="n"/>
      <c r="G2676" s="15" t="n"/>
      <c r="H2676" s="16">
        <f>IF($A2676="","",$D2676+IF($E2676="",0,$E2676)+IF($F2676="",0,$F2676)-IF($G2676="",0,$G2676))</f>
        <v/>
      </c>
      <c r="I2676" s="12" t="n"/>
      <c r="J2676" s="12" t="n"/>
      <c r="K2676" s="12" t="n"/>
      <c r="L2676" s="14" t="n"/>
      <c r="M2676" s="12" t="n"/>
      <c r="N2676" s="12" t="n"/>
      <c r="O2676" s="12" t="n"/>
    </row>
    <row r="2677">
      <c r="A2677" s="12" t="n"/>
      <c r="B2677" s="13">
        <f>IF($A2677="","",IFERROR(INDEX(Emp_Names,MATCH($A2677,Emp_Codes,0)),"NOT FOUND"))</f>
        <v/>
      </c>
      <c r="C2677" s="14" t="n"/>
      <c r="D2677" s="15" t="n"/>
      <c r="E2677" s="15" t="n"/>
      <c r="F2677" s="15" t="n"/>
      <c r="G2677" s="15" t="n"/>
      <c r="H2677" s="16">
        <f>IF($A2677="","",$D2677+IF($E2677="",0,$E2677)+IF($F2677="",0,$F2677)-IF($G2677="",0,$G2677))</f>
        <v/>
      </c>
      <c r="I2677" s="12" t="n"/>
      <c r="J2677" s="12" t="n"/>
      <c r="K2677" s="12" t="n"/>
      <c r="L2677" s="14" t="n"/>
      <c r="M2677" s="12" t="n"/>
      <c r="N2677" s="12" t="n"/>
      <c r="O2677" s="12" t="n"/>
    </row>
    <row r="2678">
      <c r="A2678" s="12" t="n"/>
      <c r="B2678" s="13">
        <f>IF($A2678="","",IFERROR(INDEX(Emp_Names,MATCH($A2678,Emp_Codes,0)),"NOT FOUND"))</f>
        <v/>
      </c>
      <c r="C2678" s="14" t="n"/>
      <c r="D2678" s="15" t="n"/>
      <c r="E2678" s="15" t="n"/>
      <c r="F2678" s="15" t="n"/>
      <c r="G2678" s="15" t="n"/>
      <c r="H2678" s="16">
        <f>IF($A2678="","",$D2678+IF($E2678="",0,$E2678)+IF($F2678="",0,$F2678)-IF($G2678="",0,$G2678))</f>
        <v/>
      </c>
      <c r="I2678" s="12" t="n"/>
      <c r="J2678" s="12" t="n"/>
      <c r="K2678" s="12" t="n"/>
      <c r="L2678" s="14" t="n"/>
      <c r="M2678" s="12" t="n"/>
      <c r="N2678" s="12" t="n"/>
      <c r="O2678" s="12" t="n"/>
    </row>
    <row r="2679">
      <c r="A2679" s="12" t="n"/>
      <c r="B2679" s="13">
        <f>IF($A2679="","",IFERROR(INDEX(Emp_Names,MATCH($A2679,Emp_Codes,0)),"NOT FOUND"))</f>
        <v/>
      </c>
      <c r="C2679" s="14" t="n"/>
      <c r="D2679" s="15" t="n"/>
      <c r="E2679" s="15" t="n"/>
      <c r="F2679" s="15" t="n"/>
      <c r="G2679" s="15" t="n"/>
      <c r="H2679" s="16">
        <f>IF($A2679="","",$D2679+IF($E2679="",0,$E2679)+IF($F2679="",0,$F2679)-IF($G2679="",0,$G2679))</f>
        <v/>
      </c>
      <c r="I2679" s="12" t="n"/>
      <c r="J2679" s="12" t="n"/>
      <c r="K2679" s="12" t="n"/>
      <c r="L2679" s="14" t="n"/>
      <c r="M2679" s="12" t="n"/>
      <c r="N2679" s="12" t="n"/>
      <c r="O2679" s="12" t="n"/>
    </row>
    <row r="2680">
      <c r="A2680" s="12" t="n"/>
      <c r="B2680" s="13">
        <f>IF($A2680="","",IFERROR(INDEX(Emp_Names,MATCH($A2680,Emp_Codes,0)),"NOT FOUND"))</f>
        <v/>
      </c>
      <c r="C2680" s="14" t="n"/>
      <c r="D2680" s="15" t="n"/>
      <c r="E2680" s="15" t="n"/>
      <c r="F2680" s="15" t="n"/>
      <c r="G2680" s="15" t="n"/>
      <c r="H2680" s="16">
        <f>IF($A2680="","",$D2680+IF($E2680="",0,$E2680)+IF($F2680="",0,$F2680)-IF($G2680="",0,$G2680))</f>
        <v/>
      </c>
      <c r="I2680" s="12" t="n"/>
      <c r="J2680" s="12" t="n"/>
      <c r="K2680" s="12" t="n"/>
      <c r="L2680" s="14" t="n"/>
      <c r="M2680" s="12" t="n"/>
      <c r="N2680" s="12" t="n"/>
      <c r="O2680" s="12" t="n"/>
    </row>
    <row r="2681">
      <c r="A2681" s="12" t="n"/>
      <c r="B2681" s="13">
        <f>IF($A2681="","",IFERROR(INDEX(Emp_Names,MATCH($A2681,Emp_Codes,0)),"NOT FOUND"))</f>
        <v/>
      </c>
      <c r="C2681" s="14" t="n"/>
      <c r="D2681" s="15" t="n"/>
      <c r="E2681" s="15" t="n"/>
      <c r="F2681" s="15" t="n"/>
      <c r="G2681" s="15" t="n"/>
      <c r="H2681" s="16">
        <f>IF($A2681="","",$D2681+IF($E2681="",0,$E2681)+IF($F2681="",0,$F2681)-IF($G2681="",0,$G2681))</f>
        <v/>
      </c>
      <c r="I2681" s="12" t="n"/>
      <c r="J2681" s="12" t="n"/>
      <c r="K2681" s="12" t="n"/>
      <c r="L2681" s="14" t="n"/>
      <c r="M2681" s="12" t="n"/>
      <c r="N2681" s="12" t="n"/>
      <c r="O2681" s="12" t="n"/>
    </row>
    <row r="2682">
      <c r="A2682" s="12" t="n"/>
      <c r="B2682" s="13">
        <f>IF($A2682="","",IFERROR(INDEX(Emp_Names,MATCH($A2682,Emp_Codes,0)),"NOT FOUND"))</f>
        <v/>
      </c>
      <c r="C2682" s="14" t="n"/>
      <c r="D2682" s="15" t="n"/>
      <c r="E2682" s="15" t="n"/>
      <c r="F2682" s="15" t="n"/>
      <c r="G2682" s="15" t="n"/>
      <c r="H2682" s="16">
        <f>IF($A2682="","",$D2682+IF($E2682="",0,$E2682)+IF($F2682="",0,$F2682)-IF($G2682="",0,$G2682))</f>
        <v/>
      </c>
      <c r="I2682" s="12" t="n"/>
      <c r="J2682" s="12" t="n"/>
      <c r="K2682" s="12" t="n"/>
      <c r="L2682" s="14" t="n"/>
      <c r="M2682" s="12" t="n"/>
      <c r="N2682" s="12" t="n"/>
      <c r="O2682" s="12" t="n"/>
    </row>
    <row r="2683">
      <c r="A2683" s="12" t="n"/>
      <c r="B2683" s="13">
        <f>IF($A2683="","",IFERROR(INDEX(Emp_Names,MATCH($A2683,Emp_Codes,0)),"NOT FOUND"))</f>
        <v/>
      </c>
      <c r="C2683" s="14" t="n"/>
      <c r="D2683" s="15" t="n"/>
      <c r="E2683" s="15" t="n"/>
      <c r="F2683" s="15" t="n"/>
      <c r="G2683" s="15" t="n"/>
      <c r="H2683" s="16">
        <f>IF($A2683="","",$D2683+IF($E2683="",0,$E2683)+IF($F2683="",0,$F2683)-IF($G2683="",0,$G2683))</f>
        <v/>
      </c>
      <c r="I2683" s="12" t="n"/>
      <c r="J2683" s="12" t="n"/>
      <c r="K2683" s="12" t="n"/>
      <c r="L2683" s="14" t="n"/>
      <c r="M2683" s="12" t="n"/>
      <c r="N2683" s="12" t="n"/>
      <c r="O2683" s="12" t="n"/>
    </row>
    <row r="2684">
      <c r="A2684" s="12" t="n"/>
      <c r="B2684" s="13">
        <f>IF($A2684="","",IFERROR(INDEX(Emp_Names,MATCH($A2684,Emp_Codes,0)),"NOT FOUND"))</f>
        <v/>
      </c>
      <c r="C2684" s="14" t="n"/>
      <c r="D2684" s="15" t="n"/>
      <c r="E2684" s="15" t="n"/>
      <c r="F2684" s="15" t="n"/>
      <c r="G2684" s="15" t="n"/>
      <c r="H2684" s="16">
        <f>IF($A2684="","",$D2684+IF($E2684="",0,$E2684)+IF($F2684="",0,$F2684)-IF($G2684="",0,$G2684))</f>
        <v/>
      </c>
      <c r="I2684" s="12" t="n"/>
      <c r="J2684" s="12" t="n"/>
      <c r="K2684" s="12" t="n"/>
      <c r="L2684" s="14" t="n"/>
      <c r="M2684" s="12" t="n"/>
      <c r="N2684" s="12" t="n"/>
      <c r="O2684" s="12" t="n"/>
    </row>
    <row r="2685">
      <c r="A2685" s="12" t="n"/>
      <c r="B2685" s="13">
        <f>IF($A2685="","",IFERROR(INDEX(Emp_Names,MATCH($A2685,Emp_Codes,0)),"NOT FOUND"))</f>
        <v/>
      </c>
      <c r="C2685" s="14" t="n"/>
      <c r="D2685" s="15" t="n"/>
      <c r="E2685" s="15" t="n"/>
      <c r="F2685" s="15" t="n"/>
      <c r="G2685" s="15" t="n"/>
      <c r="H2685" s="16">
        <f>IF($A2685="","",$D2685+IF($E2685="",0,$E2685)+IF($F2685="",0,$F2685)-IF($G2685="",0,$G2685))</f>
        <v/>
      </c>
      <c r="I2685" s="12" t="n"/>
      <c r="J2685" s="12" t="n"/>
      <c r="K2685" s="12" t="n"/>
      <c r="L2685" s="14" t="n"/>
      <c r="M2685" s="12" t="n"/>
      <c r="N2685" s="12" t="n"/>
      <c r="O2685" s="12" t="n"/>
    </row>
    <row r="2686">
      <c r="A2686" s="12" t="n"/>
      <c r="B2686" s="13">
        <f>IF($A2686="","",IFERROR(INDEX(Emp_Names,MATCH($A2686,Emp_Codes,0)),"NOT FOUND"))</f>
        <v/>
      </c>
      <c r="C2686" s="14" t="n"/>
      <c r="D2686" s="15" t="n"/>
      <c r="E2686" s="15" t="n"/>
      <c r="F2686" s="15" t="n"/>
      <c r="G2686" s="15" t="n"/>
      <c r="H2686" s="16">
        <f>IF($A2686="","",$D2686+IF($E2686="",0,$E2686)+IF($F2686="",0,$F2686)-IF($G2686="",0,$G2686))</f>
        <v/>
      </c>
      <c r="I2686" s="12" t="n"/>
      <c r="J2686" s="12" t="n"/>
      <c r="K2686" s="12" t="n"/>
      <c r="L2686" s="14" t="n"/>
      <c r="M2686" s="12" t="n"/>
      <c r="N2686" s="12" t="n"/>
      <c r="O2686" s="12" t="n"/>
    </row>
    <row r="2687">
      <c r="A2687" s="12" t="n"/>
      <c r="B2687" s="13">
        <f>IF($A2687="","",IFERROR(INDEX(Emp_Names,MATCH($A2687,Emp_Codes,0)),"NOT FOUND"))</f>
        <v/>
      </c>
      <c r="C2687" s="14" t="n"/>
      <c r="D2687" s="15" t="n"/>
      <c r="E2687" s="15" t="n"/>
      <c r="F2687" s="15" t="n"/>
      <c r="G2687" s="15" t="n"/>
      <c r="H2687" s="16">
        <f>IF($A2687="","",$D2687+IF($E2687="",0,$E2687)+IF($F2687="",0,$F2687)-IF($G2687="",0,$G2687))</f>
        <v/>
      </c>
      <c r="I2687" s="12" t="n"/>
      <c r="J2687" s="12" t="n"/>
      <c r="K2687" s="12" t="n"/>
      <c r="L2687" s="14" t="n"/>
      <c r="M2687" s="12" t="n"/>
      <c r="N2687" s="12" t="n"/>
      <c r="O2687" s="12" t="n"/>
    </row>
    <row r="2688">
      <c r="A2688" s="12" t="n"/>
      <c r="B2688" s="13">
        <f>IF($A2688="","",IFERROR(INDEX(Emp_Names,MATCH($A2688,Emp_Codes,0)),"NOT FOUND"))</f>
        <v/>
      </c>
      <c r="C2688" s="14" t="n"/>
      <c r="D2688" s="15" t="n"/>
      <c r="E2688" s="15" t="n"/>
      <c r="F2688" s="15" t="n"/>
      <c r="G2688" s="15" t="n"/>
      <c r="H2688" s="16">
        <f>IF($A2688="","",$D2688+IF($E2688="",0,$E2688)+IF($F2688="",0,$F2688)-IF($G2688="",0,$G2688))</f>
        <v/>
      </c>
      <c r="I2688" s="12" t="n"/>
      <c r="J2688" s="12" t="n"/>
      <c r="K2688" s="12" t="n"/>
      <c r="L2688" s="14" t="n"/>
      <c r="M2688" s="12" t="n"/>
      <c r="N2688" s="12" t="n"/>
      <c r="O2688" s="12" t="n"/>
    </row>
    <row r="2689">
      <c r="A2689" s="12" t="n"/>
      <c r="B2689" s="13">
        <f>IF($A2689="","",IFERROR(INDEX(Emp_Names,MATCH($A2689,Emp_Codes,0)),"NOT FOUND"))</f>
        <v/>
      </c>
      <c r="C2689" s="14" t="n"/>
      <c r="D2689" s="15" t="n"/>
      <c r="E2689" s="15" t="n"/>
      <c r="F2689" s="15" t="n"/>
      <c r="G2689" s="15" t="n"/>
      <c r="H2689" s="16">
        <f>IF($A2689="","",$D2689+IF($E2689="",0,$E2689)+IF($F2689="",0,$F2689)-IF($G2689="",0,$G2689))</f>
        <v/>
      </c>
      <c r="I2689" s="12" t="n"/>
      <c r="J2689" s="12" t="n"/>
      <c r="K2689" s="12" t="n"/>
      <c r="L2689" s="14" t="n"/>
      <c r="M2689" s="12" t="n"/>
      <c r="N2689" s="12" t="n"/>
      <c r="O2689" s="12" t="n"/>
    </row>
    <row r="2690">
      <c r="A2690" s="12" t="n"/>
      <c r="B2690" s="13">
        <f>IF($A2690="","",IFERROR(INDEX(Emp_Names,MATCH($A2690,Emp_Codes,0)),"NOT FOUND"))</f>
        <v/>
      </c>
      <c r="C2690" s="14" t="n"/>
      <c r="D2690" s="15" t="n"/>
      <c r="E2690" s="15" t="n"/>
      <c r="F2690" s="15" t="n"/>
      <c r="G2690" s="15" t="n"/>
      <c r="H2690" s="16">
        <f>IF($A2690="","",$D2690+IF($E2690="",0,$E2690)+IF($F2690="",0,$F2690)-IF($G2690="",0,$G2690))</f>
        <v/>
      </c>
      <c r="I2690" s="12" t="n"/>
      <c r="J2690" s="12" t="n"/>
      <c r="K2690" s="12" t="n"/>
      <c r="L2690" s="14" t="n"/>
      <c r="M2690" s="12" t="n"/>
      <c r="N2690" s="12" t="n"/>
      <c r="O2690" s="12" t="n"/>
    </row>
    <row r="2691">
      <c r="A2691" s="12" t="n"/>
      <c r="B2691" s="13">
        <f>IF($A2691="","",IFERROR(INDEX(Emp_Names,MATCH($A2691,Emp_Codes,0)),"NOT FOUND"))</f>
        <v/>
      </c>
      <c r="C2691" s="14" t="n"/>
      <c r="D2691" s="15" t="n"/>
      <c r="E2691" s="15" t="n"/>
      <c r="F2691" s="15" t="n"/>
      <c r="G2691" s="15" t="n"/>
      <c r="H2691" s="16">
        <f>IF($A2691="","",$D2691+IF($E2691="",0,$E2691)+IF($F2691="",0,$F2691)-IF($G2691="",0,$G2691))</f>
        <v/>
      </c>
      <c r="I2691" s="12" t="n"/>
      <c r="J2691" s="12" t="n"/>
      <c r="K2691" s="12" t="n"/>
      <c r="L2691" s="14" t="n"/>
      <c r="M2691" s="12" t="n"/>
      <c r="N2691" s="12" t="n"/>
      <c r="O2691" s="12" t="n"/>
    </row>
    <row r="2692">
      <c r="A2692" s="12" t="n"/>
      <c r="B2692" s="13">
        <f>IF($A2692="","",IFERROR(INDEX(Emp_Names,MATCH($A2692,Emp_Codes,0)),"NOT FOUND"))</f>
        <v/>
      </c>
      <c r="C2692" s="14" t="n"/>
      <c r="D2692" s="15" t="n"/>
      <c r="E2692" s="15" t="n"/>
      <c r="F2692" s="15" t="n"/>
      <c r="G2692" s="15" t="n"/>
      <c r="H2692" s="16">
        <f>IF($A2692="","",$D2692+IF($E2692="",0,$E2692)+IF($F2692="",0,$F2692)-IF($G2692="",0,$G2692))</f>
        <v/>
      </c>
      <c r="I2692" s="12" t="n"/>
      <c r="J2692" s="12" t="n"/>
      <c r="K2692" s="12" t="n"/>
      <c r="L2692" s="14" t="n"/>
      <c r="M2692" s="12" t="n"/>
      <c r="N2692" s="12" t="n"/>
      <c r="O2692" s="12" t="n"/>
    </row>
    <row r="2693">
      <c r="A2693" s="12" t="n"/>
      <c r="B2693" s="13">
        <f>IF($A2693="","",IFERROR(INDEX(Emp_Names,MATCH($A2693,Emp_Codes,0)),"NOT FOUND"))</f>
        <v/>
      </c>
      <c r="C2693" s="14" t="n"/>
      <c r="D2693" s="15" t="n"/>
      <c r="E2693" s="15" t="n"/>
      <c r="F2693" s="15" t="n"/>
      <c r="G2693" s="15" t="n"/>
      <c r="H2693" s="16">
        <f>IF($A2693="","",$D2693+IF($E2693="",0,$E2693)+IF($F2693="",0,$F2693)-IF($G2693="",0,$G2693))</f>
        <v/>
      </c>
      <c r="I2693" s="12" t="n"/>
      <c r="J2693" s="12" t="n"/>
      <c r="K2693" s="12" t="n"/>
      <c r="L2693" s="14" t="n"/>
      <c r="M2693" s="12" t="n"/>
      <c r="N2693" s="12" t="n"/>
      <c r="O2693" s="12" t="n"/>
    </row>
    <row r="2694">
      <c r="A2694" s="12" t="n"/>
      <c r="B2694" s="13">
        <f>IF($A2694="","",IFERROR(INDEX(Emp_Names,MATCH($A2694,Emp_Codes,0)),"NOT FOUND"))</f>
        <v/>
      </c>
      <c r="C2694" s="14" t="n"/>
      <c r="D2694" s="15" t="n"/>
      <c r="E2694" s="15" t="n"/>
      <c r="F2694" s="15" t="n"/>
      <c r="G2694" s="15" t="n"/>
      <c r="H2694" s="16">
        <f>IF($A2694="","",$D2694+IF($E2694="",0,$E2694)+IF($F2694="",0,$F2694)-IF($G2694="",0,$G2694))</f>
        <v/>
      </c>
      <c r="I2694" s="12" t="n"/>
      <c r="J2694" s="12" t="n"/>
      <c r="K2694" s="12" t="n"/>
      <c r="L2694" s="14" t="n"/>
      <c r="M2694" s="12" t="n"/>
      <c r="N2694" s="12" t="n"/>
      <c r="O2694" s="12" t="n"/>
    </row>
    <row r="2695">
      <c r="A2695" s="12" t="n"/>
      <c r="B2695" s="13">
        <f>IF($A2695="","",IFERROR(INDEX(Emp_Names,MATCH($A2695,Emp_Codes,0)),"NOT FOUND"))</f>
        <v/>
      </c>
      <c r="C2695" s="14" t="n"/>
      <c r="D2695" s="15" t="n"/>
      <c r="E2695" s="15" t="n"/>
      <c r="F2695" s="15" t="n"/>
      <c r="G2695" s="15" t="n"/>
      <c r="H2695" s="16">
        <f>IF($A2695="","",$D2695+IF($E2695="",0,$E2695)+IF($F2695="",0,$F2695)-IF($G2695="",0,$G2695))</f>
        <v/>
      </c>
      <c r="I2695" s="12" t="n"/>
      <c r="J2695" s="12" t="n"/>
      <c r="K2695" s="12" t="n"/>
      <c r="L2695" s="14" t="n"/>
      <c r="M2695" s="12" t="n"/>
      <c r="N2695" s="12" t="n"/>
      <c r="O2695" s="12" t="n"/>
    </row>
    <row r="2696">
      <c r="A2696" s="12" t="n"/>
      <c r="B2696" s="13">
        <f>IF($A2696="","",IFERROR(INDEX(Emp_Names,MATCH($A2696,Emp_Codes,0)),"NOT FOUND"))</f>
        <v/>
      </c>
      <c r="C2696" s="14" t="n"/>
      <c r="D2696" s="15" t="n"/>
      <c r="E2696" s="15" t="n"/>
      <c r="F2696" s="15" t="n"/>
      <c r="G2696" s="15" t="n"/>
      <c r="H2696" s="16">
        <f>IF($A2696="","",$D2696+IF($E2696="",0,$E2696)+IF($F2696="",0,$F2696)-IF($G2696="",0,$G2696))</f>
        <v/>
      </c>
      <c r="I2696" s="12" t="n"/>
      <c r="J2696" s="12" t="n"/>
      <c r="K2696" s="12" t="n"/>
      <c r="L2696" s="14" t="n"/>
      <c r="M2696" s="12" t="n"/>
      <c r="N2696" s="12" t="n"/>
      <c r="O2696" s="12" t="n"/>
    </row>
    <row r="2697">
      <c r="A2697" s="12" t="n"/>
      <c r="B2697" s="13">
        <f>IF($A2697="","",IFERROR(INDEX(Emp_Names,MATCH($A2697,Emp_Codes,0)),"NOT FOUND"))</f>
        <v/>
      </c>
      <c r="C2697" s="14" t="n"/>
      <c r="D2697" s="15" t="n"/>
      <c r="E2697" s="15" t="n"/>
      <c r="F2697" s="15" t="n"/>
      <c r="G2697" s="15" t="n"/>
      <c r="H2697" s="16">
        <f>IF($A2697="","",$D2697+IF($E2697="",0,$E2697)+IF($F2697="",0,$F2697)-IF($G2697="",0,$G2697))</f>
        <v/>
      </c>
      <c r="I2697" s="12" t="n"/>
      <c r="J2697" s="12" t="n"/>
      <c r="K2697" s="12" t="n"/>
      <c r="L2697" s="14" t="n"/>
      <c r="M2697" s="12" t="n"/>
      <c r="N2697" s="12" t="n"/>
      <c r="O2697" s="12" t="n"/>
    </row>
    <row r="2698">
      <c r="A2698" s="12" t="n"/>
      <c r="B2698" s="13">
        <f>IF($A2698="","",IFERROR(INDEX(Emp_Names,MATCH($A2698,Emp_Codes,0)),"NOT FOUND"))</f>
        <v/>
      </c>
      <c r="C2698" s="14" t="n"/>
      <c r="D2698" s="15" t="n"/>
      <c r="E2698" s="15" t="n"/>
      <c r="F2698" s="15" t="n"/>
      <c r="G2698" s="15" t="n"/>
      <c r="H2698" s="16">
        <f>IF($A2698="","",$D2698+IF($E2698="",0,$E2698)+IF($F2698="",0,$F2698)-IF($G2698="",0,$G2698))</f>
        <v/>
      </c>
      <c r="I2698" s="12" t="n"/>
      <c r="J2698" s="12" t="n"/>
      <c r="K2698" s="12" t="n"/>
      <c r="L2698" s="14" t="n"/>
      <c r="M2698" s="12" t="n"/>
      <c r="N2698" s="12" t="n"/>
      <c r="O2698" s="12" t="n"/>
    </row>
    <row r="2699">
      <c r="A2699" s="12" t="n"/>
      <c r="B2699" s="13">
        <f>IF($A2699="","",IFERROR(INDEX(Emp_Names,MATCH($A2699,Emp_Codes,0)),"NOT FOUND"))</f>
        <v/>
      </c>
      <c r="C2699" s="14" t="n"/>
      <c r="D2699" s="15" t="n"/>
      <c r="E2699" s="15" t="n"/>
      <c r="F2699" s="15" t="n"/>
      <c r="G2699" s="15" t="n"/>
      <c r="H2699" s="16">
        <f>IF($A2699="","",$D2699+IF($E2699="",0,$E2699)+IF($F2699="",0,$F2699)-IF($G2699="",0,$G2699))</f>
        <v/>
      </c>
      <c r="I2699" s="12" t="n"/>
      <c r="J2699" s="12" t="n"/>
      <c r="K2699" s="12" t="n"/>
      <c r="L2699" s="14" t="n"/>
      <c r="M2699" s="12" t="n"/>
      <c r="N2699" s="12" t="n"/>
      <c r="O2699" s="12" t="n"/>
    </row>
    <row r="2700">
      <c r="A2700" s="12" t="n"/>
      <c r="B2700" s="13">
        <f>IF($A2700="","",IFERROR(INDEX(Emp_Names,MATCH($A2700,Emp_Codes,0)),"NOT FOUND"))</f>
        <v/>
      </c>
      <c r="C2700" s="14" t="n"/>
      <c r="D2700" s="15" t="n"/>
      <c r="E2700" s="15" t="n"/>
      <c r="F2700" s="15" t="n"/>
      <c r="G2700" s="15" t="n"/>
      <c r="H2700" s="16">
        <f>IF($A2700="","",$D2700+IF($E2700="",0,$E2700)+IF($F2700="",0,$F2700)-IF($G2700="",0,$G2700))</f>
        <v/>
      </c>
      <c r="I2700" s="12" t="n"/>
      <c r="J2700" s="12" t="n"/>
      <c r="K2700" s="12" t="n"/>
      <c r="L2700" s="14" t="n"/>
      <c r="M2700" s="12" t="n"/>
      <c r="N2700" s="12" t="n"/>
      <c r="O2700" s="12" t="n"/>
    </row>
    <row r="2701">
      <c r="A2701" s="12" t="n"/>
      <c r="B2701" s="13">
        <f>IF($A2701="","",IFERROR(INDEX(Emp_Names,MATCH($A2701,Emp_Codes,0)),"NOT FOUND"))</f>
        <v/>
      </c>
      <c r="C2701" s="14" t="n"/>
      <c r="D2701" s="15" t="n"/>
      <c r="E2701" s="15" t="n"/>
      <c r="F2701" s="15" t="n"/>
      <c r="G2701" s="15" t="n"/>
      <c r="H2701" s="16">
        <f>IF($A2701="","",$D2701+IF($E2701="",0,$E2701)+IF($F2701="",0,$F2701)-IF($G2701="",0,$G2701))</f>
        <v/>
      </c>
      <c r="I2701" s="12" t="n"/>
      <c r="J2701" s="12" t="n"/>
      <c r="K2701" s="12" t="n"/>
      <c r="L2701" s="14" t="n"/>
      <c r="M2701" s="12" t="n"/>
      <c r="N2701" s="12" t="n"/>
      <c r="O2701" s="12" t="n"/>
    </row>
    <row r="2702">
      <c r="A2702" s="12" t="n"/>
      <c r="B2702" s="13">
        <f>IF($A2702="","",IFERROR(INDEX(Emp_Names,MATCH($A2702,Emp_Codes,0)),"NOT FOUND"))</f>
        <v/>
      </c>
      <c r="C2702" s="14" t="n"/>
      <c r="D2702" s="15" t="n"/>
      <c r="E2702" s="15" t="n"/>
      <c r="F2702" s="15" t="n"/>
      <c r="G2702" s="15" t="n"/>
      <c r="H2702" s="16">
        <f>IF($A2702="","",$D2702+IF($E2702="",0,$E2702)+IF($F2702="",0,$F2702)-IF($G2702="",0,$G2702))</f>
        <v/>
      </c>
      <c r="I2702" s="12" t="n"/>
      <c r="J2702" s="12" t="n"/>
      <c r="K2702" s="12" t="n"/>
      <c r="L2702" s="14" t="n"/>
      <c r="M2702" s="12" t="n"/>
      <c r="N2702" s="12" t="n"/>
      <c r="O2702" s="12" t="n"/>
    </row>
    <row r="2703">
      <c r="A2703" s="12" t="n"/>
      <c r="B2703" s="13">
        <f>IF($A2703="","",IFERROR(INDEX(Emp_Names,MATCH($A2703,Emp_Codes,0)),"NOT FOUND"))</f>
        <v/>
      </c>
      <c r="C2703" s="14" t="n"/>
      <c r="D2703" s="15" t="n"/>
      <c r="E2703" s="15" t="n"/>
      <c r="F2703" s="15" t="n"/>
      <c r="G2703" s="15" t="n"/>
      <c r="H2703" s="16">
        <f>IF($A2703="","",$D2703+IF($E2703="",0,$E2703)+IF($F2703="",0,$F2703)-IF($G2703="",0,$G2703))</f>
        <v/>
      </c>
      <c r="I2703" s="12" t="n"/>
      <c r="J2703" s="12" t="n"/>
      <c r="K2703" s="12" t="n"/>
      <c r="L2703" s="14" t="n"/>
      <c r="M2703" s="12" t="n"/>
      <c r="N2703" s="12" t="n"/>
      <c r="O2703" s="12" t="n"/>
    </row>
    <row r="2704">
      <c r="A2704" s="12" t="n"/>
      <c r="B2704" s="13">
        <f>IF($A2704="","",IFERROR(INDEX(Emp_Names,MATCH($A2704,Emp_Codes,0)),"NOT FOUND"))</f>
        <v/>
      </c>
      <c r="C2704" s="14" t="n"/>
      <c r="D2704" s="15" t="n"/>
      <c r="E2704" s="15" t="n"/>
      <c r="F2704" s="15" t="n"/>
      <c r="G2704" s="15" t="n"/>
      <c r="H2704" s="16">
        <f>IF($A2704="","",$D2704+IF($E2704="",0,$E2704)+IF($F2704="",0,$F2704)-IF($G2704="",0,$G2704))</f>
        <v/>
      </c>
      <c r="I2704" s="12" t="n"/>
      <c r="J2704" s="12" t="n"/>
      <c r="K2704" s="12" t="n"/>
      <c r="L2704" s="14" t="n"/>
      <c r="M2704" s="12" t="n"/>
      <c r="N2704" s="12" t="n"/>
      <c r="O2704" s="12" t="n"/>
    </row>
    <row r="2705">
      <c r="A2705" s="12" t="n"/>
      <c r="B2705" s="13">
        <f>IF($A2705="","",IFERROR(INDEX(Emp_Names,MATCH($A2705,Emp_Codes,0)),"NOT FOUND"))</f>
        <v/>
      </c>
      <c r="C2705" s="14" t="n"/>
      <c r="D2705" s="15" t="n"/>
      <c r="E2705" s="15" t="n"/>
      <c r="F2705" s="15" t="n"/>
      <c r="G2705" s="15" t="n"/>
      <c r="H2705" s="16">
        <f>IF($A2705="","",$D2705+IF($E2705="",0,$E2705)+IF($F2705="",0,$F2705)-IF($G2705="",0,$G2705))</f>
        <v/>
      </c>
      <c r="I2705" s="12" t="n"/>
      <c r="J2705" s="12" t="n"/>
      <c r="K2705" s="12" t="n"/>
      <c r="L2705" s="14" t="n"/>
      <c r="M2705" s="12" t="n"/>
      <c r="N2705" s="12" t="n"/>
      <c r="O2705" s="12" t="n"/>
    </row>
    <row r="2706">
      <c r="A2706" s="12" t="n"/>
      <c r="B2706" s="13">
        <f>IF($A2706="","",IFERROR(INDEX(Emp_Names,MATCH($A2706,Emp_Codes,0)),"NOT FOUND"))</f>
        <v/>
      </c>
      <c r="C2706" s="14" t="n"/>
      <c r="D2706" s="15" t="n"/>
      <c r="E2706" s="15" t="n"/>
      <c r="F2706" s="15" t="n"/>
      <c r="G2706" s="15" t="n"/>
      <c r="H2706" s="16">
        <f>IF($A2706="","",$D2706+IF($E2706="",0,$E2706)+IF($F2706="",0,$F2706)-IF($G2706="",0,$G2706))</f>
        <v/>
      </c>
      <c r="I2706" s="12" t="n"/>
      <c r="J2706" s="12" t="n"/>
      <c r="K2706" s="12" t="n"/>
      <c r="L2706" s="14" t="n"/>
      <c r="M2706" s="12" t="n"/>
      <c r="N2706" s="12" t="n"/>
      <c r="O2706" s="12" t="n"/>
    </row>
    <row r="2707">
      <c r="A2707" s="12" t="n"/>
      <c r="B2707" s="13">
        <f>IF($A2707="","",IFERROR(INDEX(Emp_Names,MATCH($A2707,Emp_Codes,0)),"NOT FOUND"))</f>
        <v/>
      </c>
      <c r="C2707" s="14" t="n"/>
      <c r="D2707" s="15" t="n"/>
      <c r="E2707" s="15" t="n"/>
      <c r="F2707" s="15" t="n"/>
      <c r="G2707" s="15" t="n"/>
      <c r="H2707" s="16">
        <f>IF($A2707="","",$D2707+IF($E2707="",0,$E2707)+IF($F2707="",0,$F2707)-IF($G2707="",0,$G2707))</f>
        <v/>
      </c>
      <c r="I2707" s="12" t="n"/>
      <c r="J2707" s="12" t="n"/>
      <c r="K2707" s="12" t="n"/>
      <c r="L2707" s="14" t="n"/>
      <c r="M2707" s="12" t="n"/>
      <c r="N2707" s="12" t="n"/>
      <c r="O2707" s="12" t="n"/>
    </row>
    <row r="2708">
      <c r="A2708" s="12" t="n"/>
      <c r="B2708" s="13">
        <f>IF($A2708="","",IFERROR(INDEX(Emp_Names,MATCH($A2708,Emp_Codes,0)),"NOT FOUND"))</f>
        <v/>
      </c>
      <c r="C2708" s="14" t="n"/>
      <c r="D2708" s="15" t="n"/>
      <c r="E2708" s="15" t="n"/>
      <c r="F2708" s="15" t="n"/>
      <c r="G2708" s="15" t="n"/>
      <c r="H2708" s="16">
        <f>IF($A2708="","",$D2708+IF($E2708="",0,$E2708)+IF($F2708="",0,$F2708)-IF($G2708="",0,$G2708))</f>
        <v/>
      </c>
      <c r="I2708" s="12" t="n"/>
      <c r="J2708" s="12" t="n"/>
      <c r="K2708" s="12" t="n"/>
      <c r="L2708" s="14" t="n"/>
      <c r="M2708" s="12" t="n"/>
      <c r="N2708" s="12" t="n"/>
      <c r="O2708" s="12" t="n"/>
    </row>
    <row r="2709">
      <c r="A2709" s="12" t="n"/>
      <c r="B2709" s="13">
        <f>IF($A2709="","",IFERROR(INDEX(Emp_Names,MATCH($A2709,Emp_Codes,0)),"NOT FOUND"))</f>
        <v/>
      </c>
      <c r="C2709" s="14" t="n"/>
      <c r="D2709" s="15" t="n"/>
      <c r="E2709" s="15" t="n"/>
      <c r="F2709" s="15" t="n"/>
      <c r="G2709" s="15" t="n"/>
      <c r="H2709" s="16">
        <f>IF($A2709="","",$D2709+IF($E2709="",0,$E2709)+IF($F2709="",0,$F2709)-IF($G2709="",0,$G2709))</f>
        <v/>
      </c>
      <c r="I2709" s="12" t="n"/>
      <c r="J2709" s="12" t="n"/>
      <c r="K2709" s="12" t="n"/>
      <c r="L2709" s="14" t="n"/>
      <c r="M2709" s="12" t="n"/>
      <c r="N2709" s="12" t="n"/>
      <c r="O2709" s="12" t="n"/>
    </row>
    <row r="2710">
      <c r="A2710" s="12" t="n"/>
      <c r="B2710" s="13">
        <f>IF($A2710="","",IFERROR(INDEX(Emp_Names,MATCH($A2710,Emp_Codes,0)),"NOT FOUND"))</f>
        <v/>
      </c>
      <c r="C2710" s="14" t="n"/>
      <c r="D2710" s="15" t="n"/>
      <c r="E2710" s="15" t="n"/>
      <c r="F2710" s="15" t="n"/>
      <c r="G2710" s="15" t="n"/>
      <c r="H2710" s="16">
        <f>IF($A2710="","",$D2710+IF($E2710="",0,$E2710)+IF($F2710="",0,$F2710)-IF($G2710="",0,$G2710))</f>
        <v/>
      </c>
      <c r="I2710" s="12" t="n"/>
      <c r="J2710" s="12" t="n"/>
      <c r="K2710" s="12" t="n"/>
      <c r="L2710" s="14" t="n"/>
      <c r="M2710" s="12" t="n"/>
      <c r="N2710" s="12" t="n"/>
      <c r="O2710" s="12" t="n"/>
    </row>
    <row r="2711">
      <c r="A2711" s="12" t="n"/>
      <c r="B2711" s="13">
        <f>IF($A2711="","",IFERROR(INDEX(Emp_Names,MATCH($A2711,Emp_Codes,0)),"NOT FOUND"))</f>
        <v/>
      </c>
      <c r="C2711" s="14" t="n"/>
      <c r="D2711" s="15" t="n"/>
      <c r="E2711" s="15" t="n"/>
      <c r="F2711" s="15" t="n"/>
      <c r="G2711" s="15" t="n"/>
      <c r="H2711" s="16">
        <f>IF($A2711="","",$D2711+IF($E2711="",0,$E2711)+IF($F2711="",0,$F2711)-IF($G2711="",0,$G2711))</f>
        <v/>
      </c>
      <c r="I2711" s="12" t="n"/>
      <c r="J2711" s="12" t="n"/>
      <c r="K2711" s="12" t="n"/>
      <c r="L2711" s="14" t="n"/>
      <c r="M2711" s="12" t="n"/>
      <c r="N2711" s="12" t="n"/>
      <c r="O2711" s="12" t="n"/>
    </row>
    <row r="2712">
      <c r="A2712" s="12" t="n"/>
      <c r="B2712" s="13">
        <f>IF($A2712="","",IFERROR(INDEX(Emp_Names,MATCH($A2712,Emp_Codes,0)),"NOT FOUND"))</f>
        <v/>
      </c>
      <c r="C2712" s="14" t="n"/>
      <c r="D2712" s="15" t="n"/>
      <c r="E2712" s="15" t="n"/>
      <c r="F2712" s="15" t="n"/>
      <c r="G2712" s="15" t="n"/>
      <c r="H2712" s="16">
        <f>IF($A2712="","",$D2712+IF($E2712="",0,$E2712)+IF($F2712="",0,$F2712)-IF($G2712="",0,$G2712))</f>
        <v/>
      </c>
      <c r="I2712" s="12" t="n"/>
      <c r="J2712" s="12" t="n"/>
      <c r="K2712" s="12" t="n"/>
      <c r="L2712" s="14" t="n"/>
      <c r="M2712" s="12" t="n"/>
      <c r="N2712" s="12" t="n"/>
      <c r="O2712" s="12" t="n"/>
    </row>
    <row r="2713">
      <c r="A2713" s="12" t="n"/>
      <c r="B2713" s="13">
        <f>IF($A2713="","",IFERROR(INDEX(Emp_Names,MATCH($A2713,Emp_Codes,0)),"NOT FOUND"))</f>
        <v/>
      </c>
      <c r="C2713" s="14" t="n"/>
      <c r="D2713" s="15" t="n"/>
      <c r="E2713" s="15" t="n"/>
      <c r="F2713" s="15" t="n"/>
      <c r="G2713" s="15" t="n"/>
      <c r="H2713" s="16">
        <f>IF($A2713="","",$D2713+IF($E2713="",0,$E2713)+IF($F2713="",0,$F2713)-IF($G2713="",0,$G2713))</f>
        <v/>
      </c>
      <c r="I2713" s="12" t="n"/>
      <c r="J2713" s="12" t="n"/>
      <c r="K2713" s="12" t="n"/>
      <c r="L2713" s="14" t="n"/>
      <c r="M2713" s="12" t="n"/>
      <c r="N2713" s="12" t="n"/>
      <c r="O2713" s="12" t="n"/>
    </row>
    <row r="2714">
      <c r="A2714" s="12" t="n"/>
      <c r="B2714" s="13">
        <f>IF($A2714="","",IFERROR(INDEX(Emp_Names,MATCH($A2714,Emp_Codes,0)),"NOT FOUND"))</f>
        <v/>
      </c>
      <c r="C2714" s="14" t="n"/>
      <c r="D2714" s="15" t="n"/>
      <c r="E2714" s="15" t="n"/>
      <c r="F2714" s="15" t="n"/>
      <c r="G2714" s="15" t="n"/>
      <c r="H2714" s="16">
        <f>IF($A2714="","",$D2714+IF($E2714="",0,$E2714)+IF($F2714="",0,$F2714)-IF($G2714="",0,$G2714))</f>
        <v/>
      </c>
      <c r="I2714" s="12" t="n"/>
      <c r="J2714" s="12" t="n"/>
      <c r="K2714" s="12" t="n"/>
      <c r="L2714" s="14" t="n"/>
      <c r="M2714" s="12" t="n"/>
      <c r="N2714" s="12" t="n"/>
      <c r="O2714" s="12" t="n"/>
    </row>
    <row r="2715">
      <c r="A2715" s="12" t="n"/>
      <c r="B2715" s="13">
        <f>IF($A2715="","",IFERROR(INDEX(Emp_Names,MATCH($A2715,Emp_Codes,0)),"NOT FOUND"))</f>
        <v/>
      </c>
      <c r="C2715" s="14" t="n"/>
      <c r="D2715" s="15" t="n"/>
      <c r="E2715" s="15" t="n"/>
      <c r="F2715" s="15" t="n"/>
      <c r="G2715" s="15" t="n"/>
      <c r="H2715" s="16">
        <f>IF($A2715="","",$D2715+IF($E2715="",0,$E2715)+IF($F2715="",0,$F2715)-IF($G2715="",0,$G2715))</f>
        <v/>
      </c>
      <c r="I2715" s="12" t="n"/>
      <c r="J2715" s="12" t="n"/>
      <c r="K2715" s="12" t="n"/>
      <c r="L2715" s="14" t="n"/>
      <c r="M2715" s="12" t="n"/>
      <c r="N2715" s="12" t="n"/>
      <c r="O2715" s="12" t="n"/>
    </row>
    <row r="2716">
      <c r="A2716" s="12" t="n"/>
      <c r="B2716" s="13">
        <f>IF($A2716="","",IFERROR(INDEX(Emp_Names,MATCH($A2716,Emp_Codes,0)),"NOT FOUND"))</f>
        <v/>
      </c>
      <c r="C2716" s="14" t="n"/>
      <c r="D2716" s="15" t="n"/>
      <c r="E2716" s="15" t="n"/>
      <c r="F2716" s="15" t="n"/>
      <c r="G2716" s="15" t="n"/>
      <c r="H2716" s="16">
        <f>IF($A2716="","",$D2716+IF($E2716="",0,$E2716)+IF($F2716="",0,$F2716)-IF($G2716="",0,$G2716))</f>
        <v/>
      </c>
      <c r="I2716" s="12" t="n"/>
      <c r="J2716" s="12" t="n"/>
      <c r="K2716" s="12" t="n"/>
      <c r="L2716" s="14" t="n"/>
      <c r="M2716" s="12" t="n"/>
      <c r="N2716" s="12" t="n"/>
      <c r="O2716" s="12" t="n"/>
    </row>
    <row r="2717">
      <c r="A2717" s="12" t="n"/>
      <c r="B2717" s="13">
        <f>IF($A2717="","",IFERROR(INDEX(Emp_Names,MATCH($A2717,Emp_Codes,0)),"NOT FOUND"))</f>
        <v/>
      </c>
      <c r="C2717" s="14" t="n"/>
      <c r="D2717" s="15" t="n"/>
      <c r="E2717" s="15" t="n"/>
      <c r="F2717" s="15" t="n"/>
      <c r="G2717" s="15" t="n"/>
      <c r="H2717" s="16">
        <f>IF($A2717="","",$D2717+IF($E2717="",0,$E2717)+IF($F2717="",0,$F2717)-IF($G2717="",0,$G2717))</f>
        <v/>
      </c>
      <c r="I2717" s="12" t="n"/>
      <c r="J2717" s="12" t="n"/>
      <c r="K2717" s="12" t="n"/>
      <c r="L2717" s="14" t="n"/>
      <c r="M2717" s="12" t="n"/>
      <c r="N2717" s="12" t="n"/>
      <c r="O2717" s="12" t="n"/>
    </row>
    <row r="2718">
      <c r="A2718" s="12" t="n"/>
      <c r="B2718" s="13">
        <f>IF($A2718="","",IFERROR(INDEX(Emp_Names,MATCH($A2718,Emp_Codes,0)),"NOT FOUND"))</f>
        <v/>
      </c>
      <c r="C2718" s="14" t="n"/>
      <c r="D2718" s="15" t="n"/>
      <c r="E2718" s="15" t="n"/>
      <c r="F2718" s="15" t="n"/>
      <c r="G2718" s="15" t="n"/>
      <c r="H2718" s="16">
        <f>IF($A2718="","",$D2718+IF($E2718="",0,$E2718)+IF($F2718="",0,$F2718)-IF($G2718="",0,$G2718))</f>
        <v/>
      </c>
      <c r="I2718" s="12" t="n"/>
      <c r="J2718" s="12" t="n"/>
      <c r="K2718" s="12" t="n"/>
      <c r="L2718" s="14" t="n"/>
      <c r="M2718" s="12" t="n"/>
      <c r="N2718" s="12" t="n"/>
      <c r="O2718" s="12" t="n"/>
    </row>
    <row r="2719">
      <c r="A2719" s="12" t="n"/>
      <c r="B2719" s="13">
        <f>IF($A2719="","",IFERROR(INDEX(Emp_Names,MATCH($A2719,Emp_Codes,0)),"NOT FOUND"))</f>
        <v/>
      </c>
      <c r="C2719" s="14" t="n"/>
      <c r="D2719" s="15" t="n"/>
      <c r="E2719" s="15" t="n"/>
      <c r="F2719" s="15" t="n"/>
      <c r="G2719" s="15" t="n"/>
      <c r="H2719" s="16">
        <f>IF($A2719="","",$D2719+IF($E2719="",0,$E2719)+IF($F2719="",0,$F2719)-IF($G2719="",0,$G2719))</f>
        <v/>
      </c>
      <c r="I2719" s="12" t="n"/>
      <c r="J2719" s="12" t="n"/>
      <c r="K2719" s="12" t="n"/>
      <c r="L2719" s="14" t="n"/>
      <c r="M2719" s="12" t="n"/>
      <c r="N2719" s="12" t="n"/>
      <c r="O2719" s="12" t="n"/>
    </row>
    <row r="2720">
      <c r="A2720" s="12" t="n"/>
      <c r="B2720" s="13">
        <f>IF($A2720="","",IFERROR(INDEX(Emp_Names,MATCH($A2720,Emp_Codes,0)),"NOT FOUND"))</f>
        <v/>
      </c>
      <c r="C2720" s="14" t="n"/>
      <c r="D2720" s="15" t="n"/>
      <c r="E2720" s="15" t="n"/>
      <c r="F2720" s="15" t="n"/>
      <c r="G2720" s="15" t="n"/>
      <c r="H2720" s="16">
        <f>IF($A2720="","",$D2720+IF($E2720="",0,$E2720)+IF($F2720="",0,$F2720)-IF($G2720="",0,$G2720))</f>
        <v/>
      </c>
      <c r="I2720" s="12" t="n"/>
      <c r="J2720" s="12" t="n"/>
      <c r="K2720" s="12" t="n"/>
      <c r="L2720" s="14" t="n"/>
      <c r="M2720" s="12" t="n"/>
      <c r="N2720" s="12" t="n"/>
      <c r="O2720" s="12" t="n"/>
    </row>
    <row r="2721">
      <c r="A2721" s="12" t="n"/>
      <c r="B2721" s="13">
        <f>IF($A2721="","",IFERROR(INDEX(Emp_Names,MATCH($A2721,Emp_Codes,0)),"NOT FOUND"))</f>
        <v/>
      </c>
      <c r="C2721" s="14" t="n"/>
      <c r="D2721" s="15" t="n"/>
      <c r="E2721" s="15" t="n"/>
      <c r="F2721" s="15" t="n"/>
      <c r="G2721" s="15" t="n"/>
      <c r="H2721" s="16">
        <f>IF($A2721="","",$D2721+IF($E2721="",0,$E2721)+IF($F2721="",0,$F2721)-IF($G2721="",0,$G2721))</f>
        <v/>
      </c>
      <c r="I2721" s="12" t="n"/>
      <c r="J2721" s="12" t="n"/>
      <c r="K2721" s="12" t="n"/>
      <c r="L2721" s="14" t="n"/>
      <c r="M2721" s="12" t="n"/>
      <c r="N2721" s="12" t="n"/>
      <c r="O2721" s="12" t="n"/>
    </row>
    <row r="2722">
      <c r="A2722" s="12" t="n"/>
      <c r="B2722" s="13">
        <f>IF($A2722="","",IFERROR(INDEX(Emp_Names,MATCH($A2722,Emp_Codes,0)),"NOT FOUND"))</f>
        <v/>
      </c>
      <c r="C2722" s="14" t="n"/>
      <c r="D2722" s="15" t="n"/>
      <c r="E2722" s="15" t="n"/>
      <c r="F2722" s="15" t="n"/>
      <c r="G2722" s="15" t="n"/>
      <c r="H2722" s="16">
        <f>IF($A2722="","",$D2722+IF($E2722="",0,$E2722)+IF($F2722="",0,$F2722)-IF($G2722="",0,$G2722))</f>
        <v/>
      </c>
      <c r="I2722" s="12" t="n"/>
      <c r="J2722" s="12" t="n"/>
      <c r="K2722" s="12" t="n"/>
      <c r="L2722" s="14" t="n"/>
      <c r="M2722" s="12" t="n"/>
      <c r="N2722" s="12" t="n"/>
      <c r="O2722" s="12" t="n"/>
    </row>
    <row r="2723">
      <c r="A2723" s="12" t="n"/>
      <c r="B2723" s="13">
        <f>IF($A2723="","",IFERROR(INDEX(Emp_Names,MATCH($A2723,Emp_Codes,0)),"NOT FOUND"))</f>
        <v/>
      </c>
      <c r="C2723" s="14" t="n"/>
      <c r="D2723" s="15" t="n"/>
      <c r="E2723" s="15" t="n"/>
      <c r="F2723" s="15" t="n"/>
      <c r="G2723" s="15" t="n"/>
      <c r="H2723" s="16">
        <f>IF($A2723="","",$D2723+IF($E2723="",0,$E2723)+IF($F2723="",0,$F2723)-IF($G2723="",0,$G2723))</f>
        <v/>
      </c>
      <c r="I2723" s="12" t="n"/>
      <c r="J2723" s="12" t="n"/>
      <c r="K2723" s="12" t="n"/>
      <c r="L2723" s="14" t="n"/>
      <c r="M2723" s="12" t="n"/>
      <c r="N2723" s="12" t="n"/>
      <c r="O2723" s="12" t="n"/>
    </row>
    <row r="2724">
      <c r="A2724" s="12" t="n"/>
      <c r="B2724" s="13">
        <f>IF($A2724="","",IFERROR(INDEX(Emp_Names,MATCH($A2724,Emp_Codes,0)),"NOT FOUND"))</f>
        <v/>
      </c>
      <c r="C2724" s="14" t="n"/>
      <c r="D2724" s="15" t="n"/>
      <c r="E2724" s="15" t="n"/>
      <c r="F2724" s="15" t="n"/>
      <c r="G2724" s="15" t="n"/>
      <c r="H2724" s="16">
        <f>IF($A2724="","",$D2724+IF($E2724="",0,$E2724)+IF($F2724="",0,$F2724)-IF($G2724="",0,$G2724))</f>
        <v/>
      </c>
      <c r="I2724" s="12" t="n"/>
      <c r="J2724" s="12" t="n"/>
      <c r="K2724" s="12" t="n"/>
      <c r="L2724" s="14" t="n"/>
      <c r="M2724" s="12" t="n"/>
      <c r="N2724" s="12" t="n"/>
      <c r="O2724" s="12" t="n"/>
    </row>
    <row r="2725">
      <c r="A2725" s="12" t="n"/>
      <c r="B2725" s="13">
        <f>IF($A2725="","",IFERROR(INDEX(Emp_Names,MATCH($A2725,Emp_Codes,0)),"NOT FOUND"))</f>
        <v/>
      </c>
      <c r="C2725" s="14" t="n"/>
      <c r="D2725" s="15" t="n"/>
      <c r="E2725" s="15" t="n"/>
      <c r="F2725" s="15" t="n"/>
      <c r="G2725" s="15" t="n"/>
      <c r="H2725" s="16">
        <f>IF($A2725="","",$D2725+IF($E2725="",0,$E2725)+IF($F2725="",0,$F2725)-IF($G2725="",0,$G2725))</f>
        <v/>
      </c>
      <c r="I2725" s="12" t="n"/>
      <c r="J2725" s="12" t="n"/>
      <c r="K2725" s="12" t="n"/>
      <c r="L2725" s="14" t="n"/>
      <c r="M2725" s="12" t="n"/>
      <c r="N2725" s="12" t="n"/>
      <c r="O2725" s="12" t="n"/>
    </row>
    <row r="2726">
      <c r="A2726" s="12" t="n"/>
      <c r="B2726" s="13">
        <f>IF($A2726="","",IFERROR(INDEX(Emp_Names,MATCH($A2726,Emp_Codes,0)),"NOT FOUND"))</f>
        <v/>
      </c>
      <c r="C2726" s="14" t="n"/>
      <c r="D2726" s="15" t="n"/>
      <c r="E2726" s="15" t="n"/>
      <c r="F2726" s="15" t="n"/>
      <c r="G2726" s="15" t="n"/>
      <c r="H2726" s="16">
        <f>IF($A2726="","",$D2726+IF($E2726="",0,$E2726)+IF($F2726="",0,$F2726)-IF($G2726="",0,$G2726))</f>
        <v/>
      </c>
      <c r="I2726" s="12" t="n"/>
      <c r="J2726" s="12" t="n"/>
      <c r="K2726" s="12" t="n"/>
      <c r="L2726" s="14" t="n"/>
      <c r="M2726" s="12" t="n"/>
      <c r="N2726" s="12" t="n"/>
      <c r="O2726" s="12" t="n"/>
    </row>
    <row r="2727">
      <c r="A2727" s="12" t="n"/>
      <c r="B2727" s="13">
        <f>IF($A2727="","",IFERROR(INDEX(Emp_Names,MATCH($A2727,Emp_Codes,0)),"NOT FOUND"))</f>
        <v/>
      </c>
      <c r="C2727" s="14" t="n"/>
      <c r="D2727" s="15" t="n"/>
      <c r="E2727" s="15" t="n"/>
      <c r="F2727" s="15" t="n"/>
      <c r="G2727" s="15" t="n"/>
      <c r="H2727" s="16">
        <f>IF($A2727="","",$D2727+IF($E2727="",0,$E2727)+IF($F2727="",0,$F2727)-IF($G2727="",0,$G2727))</f>
        <v/>
      </c>
      <c r="I2727" s="12" t="n"/>
      <c r="J2727" s="12" t="n"/>
      <c r="K2727" s="12" t="n"/>
      <c r="L2727" s="14" t="n"/>
      <c r="M2727" s="12" t="n"/>
      <c r="N2727" s="12" t="n"/>
      <c r="O2727" s="12" t="n"/>
    </row>
    <row r="2728">
      <c r="A2728" s="12" t="n"/>
      <c r="B2728" s="13">
        <f>IF($A2728="","",IFERROR(INDEX(Emp_Names,MATCH($A2728,Emp_Codes,0)),"NOT FOUND"))</f>
        <v/>
      </c>
      <c r="C2728" s="14" t="n"/>
      <c r="D2728" s="15" t="n"/>
      <c r="E2728" s="15" t="n"/>
      <c r="F2728" s="15" t="n"/>
      <c r="G2728" s="15" t="n"/>
      <c r="H2728" s="16">
        <f>IF($A2728="","",$D2728+IF($E2728="",0,$E2728)+IF($F2728="",0,$F2728)-IF($G2728="",0,$G2728))</f>
        <v/>
      </c>
      <c r="I2728" s="12" t="n"/>
      <c r="J2728" s="12" t="n"/>
      <c r="K2728" s="12" t="n"/>
      <c r="L2728" s="14" t="n"/>
      <c r="M2728" s="12" t="n"/>
      <c r="N2728" s="12" t="n"/>
      <c r="O2728" s="12" t="n"/>
    </row>
    <row r="2729">
      <c r="A2729" s="12" t="n"/>
      <c r="B2729" s="13">
        <f>IF($A2729="","",IFERROR(INDEX(Emp_Names,MATCH($A2729,Emp_Codes,0)),"NOT FOUND"))</f>
        <v/>
      </c>
      <c r="C2729" s="14" t="n"/>
      <c r="D2729" s="15" t="n"/>
      <c r="E2729" s="15" t="n"/>
      <c r="F2729" s="15" t="n"/>
      <c r="G2729" s="15" t="n"/>
      <c r="H2729" s="16">
        <f>IF($A2729="","",$D2729+IF($E2729="",0,$E2729)+IF($F2729="",0,$F2729)-IF($G2729="",0,$G2729))</f>
        <v/>
      </c>
      <c r="I2729" s="12" t="n"/>
      <c r="J2729" s="12" t="n"/>
      <c r="K2729" s="12" t="n"/>
      <c r="L2729" s="14" t="n"/>
      <c r="M2729" s="12" t="n"/>
      <c r="N2729" s="12" t="n"/>
      <c r="O2729" s="12" t="n"/>
    </row>
    <row r="2730">
      <c r="A2730" s="12" t="n"/>
      <c r="B2730" s="13">
        <f>IF($A2730="","",IFERROR(INDEX(Emp_Names,MATCH($A2730,Emp_Codes,0)),"NOT FOUND"))</f>
        <v/>
      </c>
      <c r="C2730" s="14" t="n"/>
      <c r="D2730" s="15" t="n"/>
      <c r="E2730" s="15" t="n"/>
      <c r="F2730" s="15" t="n"/>
      <c r="G2730" s="15" t="n"/>
      <c r="H2730" s="16">
        <f>IF($A2730="","",$D2730+IF($E2730="",0,$E2730)+IF($F2730="",0,$F2730)-IF($G2730="",0,$G2730))</f>
        <v/>
      </c>
      <c r="I2730" s="12" t="n"/>
      <c r="J2730" s="12" t="n"/>
      <c r="K2730" s="12" t="n"/>
      <c r="L2730" s="14" t="n"/>
      <c r="M2730" s="12" t="n"/>
      <c r="N2730" s="12" t="n"/>
      <c r="O2730" s="12" t="n"/>
    </row>
    <row r="2731">
      <c r="A2731" s="12" t="n"/>
      <c r="B2731" s="13">
        <f>IF($A2731="","",IFERROR(INDEX(Emp_Names,MATCH($A2731,Emp_Codes,0)),"NOT FOUND"))</f>
        <v/>
      </c>
      <c r="C2731" s="14" t="n"/>
      <c r="D2731" s="15" t="n"/>
      <c r="E2731" s="15" t="n"/>
      <c r="F2731" s="15" t="n"/>
      <c r="G2731" s="15" t="n"/>
      <c r="H2731" s="16">
        <f>IF($A2731="","",$D2731+IF($E2731="",0,$E2731)+IF($F2731="",0,$F2731)-IF($G2731="",0,$G2731))</f>
        <v/>
      </c>
      <c r="I2731" s="12" t="n"/>
      <c r="J2731" s="12" t="n"/>
      <c r="K2731" s="12" t="n"/>
      <c r="L2731" s="14" t="n"/>
      <c r="M2731" s="12" t="n"/>
      <c r="N2731" s="12" t="n"/>
      <c r="O2731" s="12" t="n"/>
    </row>
    <row r="2732">
      <c r="A2732" s="12" t="n"/>
      <c r="B2732" s="13">
        <f>IF($A2732="","",IFERROR(INDEX(Emp_Names,MATCH($A2732,Emp_Codes,0)),"NOT FOUND"))</f>
        <v/>
      </c>
      <c r="C2732" s="14" t="n"/>
      <c r="D2732" s="15" t="n"/>
      <c r="E2732" s="15" t="n"/>
      <c r="F2732" s="15" t="n"/>
      <c r="G2732" s="15" t="n"/>
      <c r="H2732" s="16">
        <f>IF($A2732="","",$D2732+IF($E2732="",0,$E2732)+IF($F2732="",0,$F2732)-IF($G2732="",0,$G2732))</f>
        <v/>
      </c>
      <c r="I2732" s="12" t="n"/>
      <c r="J2732" s="12" t="n"/>
      <c r="K2732" s="12" t="n"/>
      <c r="L2732" s="14" t="n"/>
      <c r="M2732" s="12" t="n"/>
      <c r="N2732" s="12" t="n"/>
      <c r="O2732" s="12" t="n"/>
    </row>
    <row r="2733">
      <c r="A2733" s="12" t="n"/>
      <c r="B2733" s="13">
        <f>IF($A2733="","",IFERROR(INDEX(Emp_Names,MATCH($A2733,Emp_Codes,0)),"NOT FOUND"))</f>
        <v/>
      </c>
      <c r="C2733" s="14" t="n"/>
      <c r="D2733" s="15" t="n"/>
      <c r="E2733" s="15" t="n"/>
      <c r="F2733" s="15" t="n"/>
      <c r="G2733" s="15" t="n"/>
      <c r="H2733" s="16">
        <f>IF($A2733="","",$D2733+IF($E2733="",0,$E2733)+IF($F2733="",0,$F2733)-IF($G2733="",0,$G2733))</f>
        <v/>
      </c>
      <c r="I2733" s="12" t="n"/>
      <c r="J2733" s="12" t="n"/>
      <c r="K2733" s="12" t="n"/>
      <c r="L2733" s="14" t="n"/>
      <c r="M2733" s="12" t="n"/>
      <c r="N2733" s="12" t="n"/>
      <c r="O2733" s="12" t="n"/>
    </row>
    <row r="2734">
      <c r="A2734" s="12" t="n"/>
      <c r="B2734" s="13">
        <f>IF($A2734="","",IFERROR(INDEX(Emp_Names,MATCH($A2734,Emp_Codes,0)),"NOT FOUND"))</f>
        <v/>
      </c>
      <c r="C2734" s="14" t="n"/>
      <c r="D2734" s="15" t="n"/>
      <c r="E2734" s="15" t="n"/>
      <c r="F2734" s="15" t="n"/>
      <c r="G2734" s="15" t="n"/>
      <c r="H2734" s="16">
        <f>IF($A2734="","",$D2734+IF($E2734="",0,$E2734)+IF($F2734="",0,$F2734)-IF($G2734="",0,$G2734))</f>
        <v/>
      </c>
      <c r="I2734" s="12" t="n"/>
      <c r="J2734" s="12" t="n"/>
      <c r="K2734" s="12" t="n"/>
      <c r="L2734" s="14" t="n"/>
      <c r="M2734" s="12" t="n"/>
      <c r="N2734" s="12" t="n"/>
      <c r="O2734" s="12" t="n"/>
    </row>
    <row r="2735">
      <c r="A2735" s="12" t="n"/>
      <c r="B2735" s="13">
        <f>IF($A2735="","",IFERROR(INDEX(Emp_Names,MATCH($A2735,Emp_Codes,0)),"NOT FOUND"))</f>
        <v/>
      </c>
      <c r="C2735" s="14" t="n"/>
      <c r="D2735" s="15" t="n"/>
      <c r="E2735" s="15" t="n"/>
      <c r="F2735" s="15" t="n"/>
      <c r="G2735" s="15" t="n"/>
      <c r="H2735" s="16">
        <f>IF($A2735="","",$D2735+IF($E2735="",0,$E2735)+IF($F2735="",0,$F2735)-IF($G2735="",0,$G2735))</f>
        <v/>
      </c>
      <c r="I2735" s="12" t="n"/>
      <c r="J2735" s="12" t="n"/>
      <c r="K2735" s="12" t="n"/>
      <c r="L2735" s="14" t="n"/>
      <c r="M2735" s="12" t="n"/>
      <c r="N2735" s="12" t="n"/>
      <c r="O2735" s="12" t="n"/>
    </row>
    <row r="2736">
      <c r="A2736" s="12" t="n"/>
      <c r="B2736" s="13">
        <f>IF($A2736="","",IFERROR(INDEX(Emp_Names,MATCH($A2736,Emp_Codes,0)),"NOT FOUND"))</f>
        <v/>
      </c>
      <c r="C2736" s="14" t="n"/>
      <c r="D2736" s="15" t="n"/>
      <c r="E2736" s="15" t="n"/>
      <c r="F2736" s="15" t="n"/>
      <c r="G2736" s="15" t="n"/>
      <c r="H2736" s="16">
        <f>IF($A2736="","",$D2736+IF($E2736="",0,$E2736)+IF($F2736="",0,$F2736)-IF($G2736="",0,$G2736))</f>
        <v/>
      </c>
      <c r="I2736" s="12" t="n"/>
      <c r="J2736" s="12" t="n"/>
      <c r="K2736" s="12" t="n"/>
      <c r="L2736" s="14" t="n"/>
      <c r="M2736" s="12" t="n"/>
      <c r="N2736" s="12" t="n"/>
      <c r="O2736" s="12" t="n"/>
    </row>
    <row r="2737">
      <c r="A2737" s="12" t="n"/>
      <c r="B2737" s="13">
        <f>IF($A2737="","",IFERROR(INDEX(Emp_Names,MATCH($A2737,Emp_Codes,0)),"NOT FOUND"))</f>
        <v/>
      </c>
      <c r="C2737" s="14" t="n"/>
      <c r="D2737" s="15" t="n"/>
      <c r="E2737" s="15" t="n"/>
      <c r="F2737" s="15" t="n"/>
      <c r="G2737" s="15" t="n"/>
      <c r="H2737" s="16">
        <f>IF($A2737="","",$D2737+IF($E2737="",0,$E2737)+IF($F2737="",0,$F2737)-IF($G2737="",0,$G2737))</f>
        <v/>
      </c>
      <c r="I2737" s="12" t="n"/>
      <c r="J2737" s="12" t="n"/>
      <c r="K2737" s="12" t="n"/>
      <c r="L2737" s="14" t="n"/>
      <c r="M2737" s="12" t="n"/>
      <c r="N2737" s="12" t="n"/>
      <c r="O2737" s="12" t="n"/>
    </row>
    <row r="2738">
      <c r="A2738" s="12" t="n"/>
      <c r="B2738" s="13">
        <f>IF($A2738="","",IFERROR(INDEX(Emp_Names,MATCH($A2738,Emp_Codes,0)),"NOT FOUND"))</f>
        <v/>
      </c>
      <c r="C2738" s="14" t="n"/>
      <c r="D2738" s="15" t="n"/>
      <c r="E2738" s="15" t="n"/>
      <c r="F2738" s="15" t="n"/>
      <c r="G2738" s="15" t="n"/>
      <c r="H2738" s="16">
        <f>IF($A2738="","",$D2738+IF($E2738="",0,$E2738)+IF($F2738="",0,$F2738)-IF($G2738="",0,$G2738))</f>
        <v/>
      </c>
      <c r="I2738" s="12" t="n"/>
      <c r="J2738" s="12" t="n"/>
      <c r="K2738" s="12" t="n"/>
      <c r="L2738" s="14" t="n"/>
      <c r="M2738" s="12" t="n"/>
      <c r="N2738" s="12" t="n"/>
      <c r="O2738" s="12" t="n"/>
    </row>
    <row r="2739">
      <c r="A2739" s="12" t="n"/>
      <c r="B2739" s="13">
        <f>IF($A2739="","",IFERROR(INDEX(Emp_Names,MATCH($A2739,Emp_Codes,0)),"NOT FOUND"))</f>
        <v/>
      </c>
      <c r="C2739" s="14" t="n"/>
      <c r="D2739" s="15" t="n"/>
      <c r="E2739" s="15" t="n"/>
      <c r="F2739" s="15" t="n"/>
      <c r="G2739" s="15" t="n"/>
      <c r="H2739" s="16">
        <f>IF($A2739="","",$D2739+IF($E2739="",0,$E2739)+IF($F2739="",0,$F2739)-IF($G2739="",0,$G2739))</f>
        <v/>
      </c>
      <c r="I2739" s="12" t="n"/>
      <c r="J2739" s="12" t="n"/>
      <c r="K2739" s="12" t="n"/>
      <c r="L2739" s="14" t="n"/>
      <c r="M2739" s="12" t="n"/>
      <c r="N2739" s="12" t="n"/>
      <c r="O2739" s="12" t="n"/>
    </row>
    <row r="2740">
      <c r="A2740" s="12" t="n"/>
      <c r="B2740" s="13">
        <f>IF($A2740="","",IFERROR(INDEX(Emp_Names,MATCH($A2740,Emp_Codes,0)),"NOT FOUND"))</f>
        <v/>
      </c>
      <c r="C2740" s="14" t="n"/>
      <c r="D2740" s="15" t="n"/>
      <c r="E2740" s="15" t="n"/>
      <c r="F2740" s="15" t="n"/>
      <c r="G2740" s="15" t="n"/>
      <c r="H2740" s="16">
        <f>IF($A2740="","",$D2740+IF($E2740="",0,$E2740)+IF($F2740="",0,$F2740)-IF($G2740="",0,$G2740))</f>
        <v/>
      </c>
      <c r="I2740" s="12" t="n"/>
      <c r="J2740" s="12" t="n"/>
      <c r="K2740" s="12" t="n"/>
      <c r="L2740" s="14" t="n"/>
      <c r="M2740" s="12" t="n"/>
      <c r="N2740" s="12" t="n"/>
      <c r="O2740" s="12" t="n"/>
    </row>
    <row r="2741">
      <c r="A2741" s="12" t="n"/>
      <c r="B2741" s="13">
        <f>IF($A2741="","",IFERROR(INDEX(Emp_Names,MATCH($A2741,Emp_Codes,0)),"NOT FOUND"))</f>
        <v/>
      </c>
      <c r="C2741" s="14" t="n"/>
      <c r="D2741" s="15" t="n"/>
      <c r="E2741" s="15" t="n"/>
      <c r="F2741" s="15" t="n"/>
      <c r="G2741" s="15" t="n"/>
      <c r="H2741" s="16">
        <f>IF($A2741="","",$D2741+IF($E2741="",0,$E2741)+IF($F2741="",0,$F2741)-IF($G2741="",0,$G2741))</f>
        <v/>
      </c>
      <c r="I2741" s="12" t="n"/>
      <c r="J2741" s="12" t="n"/>
      <c r="K2741" s="12" t="n"/>
      <c r="L2741" s="14" t="n"/>
      <c r="M2741" s="12" t="n"/>
      <c r="N2741" s="12" t="n"/>
      <c r="O2741" s="12" t="n"/>
    </row>
    <row r="2742">
      <c r="A2742" s="12" t="n"/>
      <c r="B2742" s="13">
        <f>IF($A2742="","",IFERROR(INDEX(Emp_Names,MATCH($A2742,Emp_Codes,0)),"NOT FOUND"))</f>
        <v/>
      </c>
      <c r="C2742" s="14" t="n"/>
      <c r="D2742" s="15" t="n"/>
      <c r="E2742" s="15" t="n"/>
      <c r="F2742" s="15" t="n"/>
      <c r="G2742" s="15" t="n"/>
      <c r="H2742" s="16">
        <f>IF($A2742="","",$D2742+IF($E2742="",0,$E2742)+IF($F2742="",0,$F2742)-IF($G2742="",0,$G2742))</f>
        <v/>
      </c>
      <c r="I2742" s="12" t="n"/>
      <c r="J2742" s="12" t="n"/>
      <c r="K2742" s="12" t="n"/>
      <c r="L2742" s="14" t="n"/>
      <c r="M2742" s="12" t="n"/>
      <c r="N2742" s="12" t="n"/>
      <c r="O2742" s="12" t="n"/>
    </row>
    <row r="2743">
      <c r="A2743" s="12" t="n"/>
      <c r="B2743" s="13">
        <f>IF($A2743="","",IFERROR(INDEX(Emp_Names,MATCH($A2743,Emp_Codes,0)),"NOT FOUND"))</f>
        <v/>
      </c>
      <c r="C2743" s="14" t="n"/>
      <c r="D2743" s="15" t="n"/>
      <c r="E2743" s="15" t="n"/>
      <c r="F2743" s="15" t="n"/>
      <c r="G2743" s="15" t="n"/>
      <c r="H2743" s="16">
        <f>IF($A2743="","",$D2743+IF($E2743="",0,$E2743)+IF($F2743="",0,$F2743)-IF($G2743="",0,$G2743))</f>
        <v/>
      </c>
      <c r="I2743" s="12" t="n"/>
      <c r="J2743" s="12" t="n"/>
      <c r="K2743" s="12" t="n"/>
      <c r="L2743" s="14" t="n"/>
      <c r="M2743" s="12" t="n"/>
      <c r="N2743" s="12" t="n"/>
      <c r="O2743" s="12" t="n"/>
    </row>
    <row r="2744">
      <c r="A2744" s="12" t="n"/>
      <c r="B2744" s="13">
        <f>IF($A2744="","",IFERROR(INDEX(Emp_Names,MATCH($A2744,Emp_Codes,0)),"NOT FOUND"))</f>
        <v/>
      </c>
      <c r="C2744" s="14" t="n"/>
      <c r="D2744" s="15" t="n"/>
      <c r="E2744" s="15" t="n"/>
      <c r="F2744" s="15" t="n"/>
      <c r="G2744" s="15" t="n"/>
      <c r="H2744" s="16">
        <f>IF($A2744="","",$D2744+IF($E2744="",0,$E2744)+IF($F2744="",0,$F2744)-IF($G2744="",0,$G2744))</f>
        <v/>
      </c>
      <c r="I2744" s="12" t="n"/>
      <c r="J2744" s="12" t="n"/>
      <c r="K2744" s="12" t="n"/>
      <c r="L2744" s="14" t="n"/>
      <c r="M2744" s="12" t="n"/>
      <c r="N2744" s="12" t="n"/>
      <c r="O2744" s="12" t="n"/>
    </row>
    <row r="2745">
      <c r="A2745" s="12" t="n"/>
      <c r="B2745" s="13">
        <f>IF($A2745="","",IFERROR(INDEX(Emp_Names,MATCH($A2745,Emp_Codes,0)),"NOT FOUND"))</f>
        <v/>
      </c>
      <c r="C2745" s="14" t="n"/>
      <c r="D2745" s="15" t="n"/>
      <c r="E2745" s="15" t="n"/>
      <c r="F2745" s="15" t="n"/>
      <c r="G2745" s="15" t="n"/>
      <c r="H2745" s="16">
        <f>IF($A2745="","",$D2745+IF($E2745="",0,$E2745)+IF($F2745="",0,$F2745)-IF($G2745="",0,$G2745))</f>
        <v/>
      </c>
      <c r="I2745" s="12" t="n"/>
      <c r="J2745" s="12" t="n"/>
      <c r="K2745" s="12" t="n"/>
      <c r="L2745" s="14" t="n"/>
      <c r="M2745" s="12" t="n"/>
      <c r="N2745" s="12" t="n"/>
      <c r="O2745" s="12" t="n"/>
    </row>
    <row r="2746">
      <c r="A2746" s="12" t="n"/>
      <c r="B2746" s="13">
        <f>IF($A2746="","",IFERROR(INDEX(Emp_Names,MATCH($A2746,Emp_Codes,0)),"NOT FOUND"))</f>
        <v/>
      </c>
      <c r="C2746" s="14" t="n"/>
      <c r="D2746" s="15" t="n"/>
      <c r="E2746" s="15" t="n"/>
      <c r="F2746" s="15" t="n"/>
      <c r="G2746" s="15" t="n"/>
      <c r="H2746" s="16">
        <f>IF($A2746="","",$D2746+IF($E2746="",0,$E2746)+IF($F2746="",0,$F2746)-IF($G2746="",0,$G2746))</f>
        <v/>
      </c>
      <c r="I2746" s="12" t="n"/>
      <c r="J2746" s="12" t="n"/>
      <c r="K2746" s="12" t="n"/>
      <c r="L2746" s="14" t="n"/>
      <c r="M2746" s="12" t="n"/>
      <c r="N2746" s="12" t="n"/>
      <c r="O2746" s="12" t="n"/>
    </row>
    <row r="2747">
      <c r="A2747" s="12" t="n"/>
      <c r="B2747" s="13">
        <f>IF($A2747="","",IFERROR(INDEX(Emp_Names,MATCH($A2747,Emp_Codes,0)),"NOT FOUND"))</f>
        <v/>
      </c>
      <c r="C2747" s="14" t="n"/>
      <c r="D2747" s="15" t="n"/>
      <c r="E2747" s="15" t="n"/>
      <c r="F2747" s="15" t="n"/>
      <c r="G2747" s="15" t="n"/>
      <c r="H2747" s="16">
        <f>IF($A2747="","",$D2747+IF($E2747="",0,$E2747)+IF($F2747="",0,$F2747)-IF($G2747="",0,$G2747))</f>
        <v/>
      </c>
      <c r="I2747" s="12" t="n"/>
      <c r="J2747" s="12" t="n"/>
      <c r="K2747" s="12" t="n"/>
      <c r="L2747" s="14" t="n"/>
      <c r="M2747" s="12" t="n"/>
      <c r="N2747" s="12" t="n"/>
      <c r="O2747" s="12" t="n"/>
    </row>
    <row r="2748">
      <c r="A2748" s="12" t="n"/>
      <c r="B2748" s="13">
        <f>IF($A2748="","",IFERROR(INDEX(Emp_Names,MATCH($A2748,Emp_Codes,0)),"NOT FOUND"))</f>
        <v/>
      </c>
      <c r="C2748" s="14" t="n"/>
      <c r="D2748" s="15" t="n"/>
      <c r="E2748" s="15" t="n"/>
      <c r="F2748" s="15" t="n"/>
      <c r="G2748" s="15" t="n"/>
      <c r="H2748" s="16">
        <f>IF($A2748="","",$D2748+IF($E2748="",0,$E2748)+IF($F2748="",0,$F2748)-IF($G2748="",0,$G2748))</f>
        <v/>
      </c>
      <c r="I2748" s="12" t="n"/>
      <c r="J2748" s="12" t="n"/>
      <c r="K2748" s="12" t="n"/>
      <c r="L2748" s="14" t="n"/>
      <c r="M2748" s="12" t="n"/>
      <c r="N2748" s="12" t="n"/>
      <c r="O2748" s="12" t="n"/>
    </row>
    <row r="2749">
      <c r="A2749" s="12" t="n"/>
      <c r="B2749" s="13">
        <f>IF($A2749="","",IFERROR(INDEX(Emp_Names,MATCH($A2749,Emp_Codes,0)),"NOT FOUND"))</f>
        <v/>
      </c>
      <c r="C2749" s="14" t="n"/>
      <c r="D2749" s="15" t="n"/>
      <c r="E2749" s="15" t="n"/>
      <c r="F2749" s="15" t="n"/>
      <c r="G2749" s="15" t="n"/>
      <c r="H2749" s="16">
        <f>IF($A2749="","",$D2749+IF($E2749="",0,$E2749)+IF($F2749="",0,$F2749)-IF($G2749="",0,$G2749))</f>
        <v/>
      </c>
      <c r="I2749" s="12" t="n"/>
      <c r="J2749" s="12" t="n"/>
      <c r="K2749" s="12" t="n"/>
      <c r="L2749" s="14" t="n"/>
      <c r="M2749" s="12" t="n"/>
      <c r="N2749" s="12" t="n"/>
      <c r="O2749" s="12" t="n"/>
    </row>
    <row r="2750">
      <c r="A2750" s="12" t="n"/>
      <c r="B2750" s="13">
        <f>IF($A2750="","",IFERROR(INDEX(Emp_Names,MATCH($A2750,Emp_Codes,0)),"NOT FOUND"))</f>
        <v/>
      </c>
      <c r="C2750" s="14" t="n"/>
      <c r="D2750" s="15" t="n"/>
      <c r="E2750" s="15" t="n"/>
      <c r="F2750" s="15" t="n"/>
      <c r="G2750" s="15" t="n"/>
      <c r="H2750" s="16">
        <f>IF($A2750="","",$D2750+IF($E2750="",0,$E2750)+IF($F2750="",0,$F2750)-IF($G2750="",0,$G2750))</f>
        <v/>
      </c>
      <c r="I2750" s="12" t="n"/>
      <c r="J2750" s="12" t="n"/>
      <c r="K2750" s="12" t="n"/>
      <c r="L2750" s="14" t="n"/>
      <c r="M2750" s="12" t="n"/>
      <c r="N2750" s="12" t="n"/>
      <c r="O2750" s="12" t="n"/>
    </row>
    <row r="2751">
      <c r="A2751" s="12" t="n"/>
      <c r="B2751" s="13">
        <f>IF($A2751="","",IFERROR(INDEX(Emp_Names,MATCH($A2751,Emp_Codes,0)),"NOT FOUND"))</f>
        <v/>
      </c>
      <c r="C2751" s="14" t="n"/>
      <c r="D2751" s="15" t="n"/>
      <c r="E2751" s="15" t="n"/>
      <c r="F2751" s="15" t="n"/>
      <c r="G2751" s="15" t="n"/>
      <c r="H2751" s="16">
        <f>IF($A2751="","",$D2751+IF($E2751="",0,$E2751)+IF($F2751="",0,$F2751)-IF($G2751="",0,$G2751))</f>
        <v/>
      </c>
      <c r="I2751" s="12" t="n"/>
      <c r="J2751" s="12" t="n"/>
      <c r="K2751" s="12" t="n"/>
      <c r="L2751" s="14" t="n"/>
      <c r="M2751" s="12" t="n"/>
      <c r="N2751" s="12" t="n"/>
      <c r="O2751" s="12" t="n"/>
    </row>
    <row r="2752">
      <c r="A2752" s="12" t="n"/>
      <c r="B2752" s="13">
        <f>IF($A2752="","",IFERROR(INDEX(Emp_Names,MATCH($A2752,Emp_Codes,0)),"NOT FOUND"))</f>
        <v/>
      </c>
      <c r="C2752" s="14" t="n"/>
      <c r="D2752" s="15" t="n"/>
      <c r="E2752" s="15" t="n"/>
      <c r="F2752" s="15" t="n"/>
      <c r="G2752" s="15" t="n"/>
      <c r="H2752" s="16">
        <f>IF($A2752="","",$D2752+IF($E2752="",0,$E2752)+IF($F2752="",0,$F2752)-IF($G2752="",0,$G2752))</f>
        <v/>
      </c>
      <c r="I2752" s="12" t="n"/>
      <c r="J2752" s="12" t="n"/>
      <c r="K2752" s="12" t="n"/>
      <c r="L2752" s="14" t="n"/>
      <c r="M2752" s="12" t="n"/>
      <c r="N2752" s="12" t="n"/>
      <c r="O2752" s="12" t="n"/>
    </row>
    <row r="2753">
      <c r="A2753" s="12" t="n"/>
      <c r="B2753" s="13">
        <f>IF($A2753="","",IFERROR(INDEX(Emp_Names,MATCH($A2753,Emp_Codes,0)),"NOT FOUND"))</f>
        <v/>
      </c>
      <c r="C2753" s="14" t="n"/>
      <c r="D2753" s="15" t="n"/>
      <c r="E2753" s="15" t="n"/>
      <c r="F2753" s="15" t="n"/>
      <c r="G2753" s="15" t="n"/>
      <c r="H2753" s="16">
        <f>IF($A2753="","",$D2753+IF($E2753="",0,$E2753)+IF($F2753="",0,$F2753)-IF($G2753="",0,$G2753))</f>
        <v/>
      </c>
      <c r="I2753" s="12" t="n"/>
      <c r="J2753" s="12" t="n"/>
      <c r="K2753" s="12" t="n"/>
      <c r="L2753" s="14" t="n"/>
      <c r="M2753" s="12" t="n"/>
      <c r="N2753" s="12" t="n"/>
      <c r="O2753" s="12" t="n"/>
    </row>
    <row r="2754">
      <c r="A2754" s="12" t="n"/>
      <c r="B2754" s="13">
        <f>IF($A2754="","",IFERROR(INDEX(Emp_Names,MATCH($A2754,Emp_Codes,0)),"NOT FOUND"))</f>
        <v/>
      </c>
      <c r="C2754" s="14" t="n"/>
      <c r="D2754" s="15" t="n"/>
      <c r="E2754" s="15" t="n"/>
      <c r="F2754" s="15" t="n"/>
      <c r="G2754" s="15" t="n"/>
      <c r="H2754" s="16">
        <f>IF($A2754="","",$D2754+IF($E2754="",0,$E2754)+IF($F2754="",0,$F2754)-IF($G2754="",0,$G2754))</f>
        <v/>
      </c>
      <c r="I2754" s="12" t="n"/>
      <c r="J2754" s="12" t="n"/>
      <c r="K2754" s="12" t="n"/>
      <c r="L2754" s="14" t="n"/>
      <c r="M2754" s="12" t="n"/>
      <c r="N2754" s="12" t="n"/>
      <c r="O2754" s="12" t="n"/>
    </row>
    <row r="2755">
      <c r="A2755" s="12" t="n"/>
      <c r="B2755" s="13">
        <f>IF($A2755="","",IFERROR(INDEX(Emp_Names,MATCH($A2755,Emp_Codes,0)),"NOT FOUND"))</f>
        <v/>
      </c>
      <c r="C2755" s="14" t="n"/>
      <c r="D2755" s="15" t="n"/>
      <c r="E2755" s="15" t="n"/>
      <c r="F2755" s="15" t="n"/>
      <c r="G2755" s="15" t="n"/>
      <c r="H2755" s="16">
        <f>IF($A2755="","",$D2755+IF($E2755="",0,$E2755)+IF($F2755="",0,$F2755)-IF($G2755="",0,$G2755))</f>
        <v/>
      </c>
      <c r="I2755" s="12" t="n"/>
      <c r="J2755" s="12" t="n"/>
      <c r="K2755" s="12" t="n"/>
      <c r="L2755" s="14" t="n"/>
      <c r="M2755" s="12" t="n"/>
      <c r="N2755" s="12" t="n"/>
      <c r="O2755" s="12" t="n"/>
    </row>
    <row r="2756">
      <c r="A2756" s="12" t="n"/>
      <c r="B2756" s="13">
        <f>IF($A2756="","",IFERROR(INDEX(Emp_Names,MATCH($A2756,Emp_Codes,0)),"NOT FOUND"))</f>
        <v/>
      </c>
      <c r="C2756" s="14" t="n"/>
      <c r="D2756" s="15" t="n"/>
      <c r="E2756" s="15" t="n"/>
      <c r="F2756" s="15" t="n"/>
      <c r="G2756" s="15" t="n"/>
      <c r="H2756" s="16">
        <f>IF($A2756="","",$D2756+IF($E2756="",0,$E2756)+IF($F2756="",0,$F2756)-IF($G2756="",0,$G2756))</f>
        <v/>
      </c>
      <c r="I2756" s="12" t="n"/>
      <c r="J2756" s="12" t="n"/>
      <c r="K2756" s="12" t="n"/>
      <c r="L2756" s="14" t="n"/>
      <c r="M2756" s="12" t="n"/>
      <c r="N2756" s="12" t="n"/>
      <c r="O2756" s="12" t="n"/>
    </row>
    <row r="2757">
      <c r="A2757" s="12" t="n"/>
      <c r="B2757" s="13">
        <f>IF($A2757="","",IFERROR(INDEX(Emp_Names,MATCH($A2757,Emp_Codes,0)),"NOT FOUND"))</f>
        <v/>
      </c>
      <c r="C2757" s="14" t="n"/>
      <c r="D2757" s="15" t="n"/>
      <c r="E2757" s="15" t="n"/>
      <c r="F2757" s="15" t="n"/>
      <c r="G2757" s="15" t="n"/>
      <c r="H2757" s="16">
        <f>IF($A2757="","",$D2757+IF($E2757="",0,$E2757)+IF($F2757="",0,$F2757)-IF($G2757="",0,$G2757))</f>
        <v/>
      </c>
      <c r="I2757" s="12" t="n"/>
      <c r="J2757" s="12" t="n"/>
      <c r="K2757" s="12" t="n"/>
      <c r="L2757" s="14" t="n"/>
      <c r="M2757" s="12" t="n"/>
      <c r="N2757" s="12" t="n"/>
      <c r="O2757" s="12" t="n"/>
    </row>
    <row r="2758">
      <c r="A2758" s="12" t="n"/>
      <c r="B2758" s="13">
        <f>IF($A2758="","",IFERROR(INDEX(Emp_Names,MATCH($A2758,Emp_Codes,0)),"NOT FOUND"))</f>
        <v/>
      </c>
      <c r="C2758" s="14" t="n"/>
      <c r="D2758" s="15" t="n"/>
      <c r="E2758" s="15" t="n"/>
      <c r="F2758" s="15" t="n"/>
      <c r="G2758" s="15" t="n"/>
      <c r="H2758" s="16">
        <f>IF($A2758="","",$D2758+IF($E2758="",0,$E2758)+IF($F2758="",0,$F2758)-IF($G2758="",0,$G2758))</f>
        <v/>
      </c>
      <c r="I2758" s="12" t="n"/>
      <c r="J2758" s="12" t="n"/>
      <c r="K2758" s="12" t="n"/>
      <c r="L2758" s="14" t="n"/>
      <c r="M2758" s="12" t="n"/>
      <c r="N2758" s="12" t="n"/>
      <c r="O2758" s="12" t="n"/>
    </row>
    <row r="2759">
      <c r="A2759" s="12" t="n"/>
      <c r="B2759" s="13">
        <f>IF($A2759="","",IFERROR(INDEX(Emp_Names,MATCH($A2759,Emp_Codes,0)),"NOT FOUND"))</f>
        <v/>
      </c>
      <c r="C2759" s="14" t="n"/>
      <c r="D2759" s="15" t="n"/>
      <c r="E2759" s="15" t="n"/>
      <c r="F2759" s="15" t="n"/>
      <c r="G2759" s="15" t="n"/>
      <c r="H2759" s="16">
        <f>IF($A2759="","",$D2759+IF($E2759="",0,$E2759)+IF($F2759="",0,$F2759)-IF($G2759="",0,$G2759))</f>
        <v/>
      </c>
      <c r="I2759" s="12" t="n"/>
      <c r="J2759" s="12" t="n"/>
      <c r="K2759" s="12" t="n"/>
      <c r="L2759" s="14" t="n"/>
      <c r="M2759" s="12" t="n"/>
      <c r="N2759" s="12" t="n"/>
      <c r="O2759" s="12" t="n"/>
    </row>
    <row r="2760">
      <c r="A2760" s="12" t="n"/>
      <c r="B2760" s="13">
        <f>IF($A2760="","",IFERROR(INDEX(Emp_Names,MATCH($A2760,Emp_Codes,0)),"NOT FOUND"))</f>
        <v/>
      </c>
      <c r="C2760" s="14" t="n"/>
      <c r="D2760" s="15" t="n"/>
      <c r="E2760" s="15" t="n"/>
      <c r="F2760" s="15" t="n"/>
      <c r="G2760" s="15" t="n"/>
      <c r="H2760" s="16">
        <f>IF($A2760="","",$D2760+IF($E2760="",0,$E2760)+IF($F2760="",0,$F2760)-IF($G2760="",0,$G2760))</f>
        <v/>
      </c>
      <c r="I2760" s="12" t="n"/>
      <c r="J2760" s="12" t="n"/>
      <c r="K2760" s="12" t="n"/>
      <c r="L2760" s="14" t="n"/>
      <c r="M2760" s="12" t="n"/>
      <c r="N2760" s="12" t="n"/>
      <c r="O2760" s="12" t="n"/>
    </row>
    <row r="2761">
      <c r="A2761" s="12" t="n"/>
      <c r="B2761" s="13">
        <f>IF($A2761="","",IFERROR(INDEX(Emp_Names,MATCH($A2761,Emp_Codes,0)),"NOT FOUND"))</f>
        <v/>
      </c>
      <c r="C2761" s="14" t="n"/>
      <c r="D2761" s="15" t="n"/>
      <c r="E2761" s="15" t="n"/>
      <c r="F2761" s="15" t="n"/>
      <c r="G2761" s="15" t="n"/>
      <c r="H2761" s="16">
        <f>IF($A2761="","",$D2761+IF($E2761="",0,$E2761)+IF($F2761="",0,$F2761)-IF($G2761="",0,$G2761))</f>
        <v/>
      </c>
      <c r="I2761" s="12" t="n"/>
      <c r="J2761" s="12" t="n"/>
      <c r="K2761" s="12" t="n"/>
      <c r="L2761" s="14" t="n"/>
      <c r="M2761" s="12" t="n"/>
      <c r="N2761" s="12" t="n"/>
      <c r="O2761" s="12" t="n"/>
    </row>
    <row r="2762">
      <c r="A2762" s="12" t="n"/>
      <c r="B2762" s="13">
        <f>IF($A2762="","",IFERROR(INDEX(Emp_Names,MATCH($A2762,Emp_Codes,0)),"NOT FOUND"))</f>
        <v/>
      </c>
      <c r="C2762" s="14" t="n"/>
      <c r="D2762" s="15" t="n"/>
      <c r="E2762" s="15" t="n"/>
      <c r="F2762" s="15" t="n"/>
      <c r="G2762" s="15" t="n"/>
      <c r="H2762" s="16">
        <f>IF($A2762="","",$D2762+IF($E2762="",0,$E2762)+IF($F2762="",0,$F2762)-IF($G2762="",0,$G2762))</f>
        <v/>
      </c>
      <c r="I2762" s="12" t="n"/>
      <c r="J2762" s="12" t="n"/>
      <c r="K2762" s="12" t="n"/>
      <c r="L2762" s="14" t="n"/>
      <c r="M2762" s="12" t="n"/>
      <c r="N2762" s="12" t="n"/>
      <c r="O2762" s="12" t="n"/>
    </row>
    <row r="2763">
      <c r="A2763" s="12" t="n"/>
      <c r="B2763" s="13">
        <f>IF($A2763="","",IFERROR(INDEX(Emp_Names,MATCH($A2763,Emp_Codes,0)),"NOT FOUND"))</f>
        <v/>
      </c>
      <c r="C2763" s="14" t="n"/>
      <c r="D2763" s="15" t="n"/>
      <c r="E2763" s="15" t="n"/>
      <c r="F2763" s="15" t="n"/>
      <c r="G2763" s="15" t="n"/>
      <c r="H2763" s="16">
        <f>IF($A2763="","",$D2763+IF($E2763="",0,$E2763)+IF($F2763="",0,$F2763)-IF($G2763="",0,$G2763))</f>
        <v/>
      </c>
      <c r="I2763" s="12" t="n"/>
      <c r="J2763" s="12" t="n"/>
      <c r="K2763" s="12" t="n"/>
      <c r="L2763" s="14" t="n"/>
      <c r="M2763" s="12" t="n"/>
      <c r="N2763" s="12" t="n"/>
      <c r="O2763" s="12" t="n"/>
    </row>
    <row r="2764">
      <c r="A2764" s="12" t="n"/>
      <c r="B2764" s="13">
        <f>IF($A2764="","",IFERROR(INDEX(Emp_Names,MATCH($A2764,Emp_Codes,0)),"NOT FOUND"))</f>
        <v/>
      </c>
      <c r="C2764" s="14" t="n"/>
      <c r="D2764" s="15" t="n"/>
      <c r="E2764" s="15" t="n"/>
      <c r="F2764" s="15" t="n"/>
      <c r="G2764" s="15" t="n"/>
      <c r="H2764" s="16">
        <f>IF($A2764="","",$D2764+IF($E2764="",0,$E2764)+IF($F2764="",0,$F2764)-IF($G2764="",0,$G2764))</f>
        <v/>
      </c>
      <c r="I2764" s="12" t="n"/>
      <c r="J2764" s="12" t="n"/>
      <c r="K2764" s="12" t="n"/>
      <c r="L2764" s="14" t="n"/>
      <c r="M2764" s="12" t="n"/>
      <c r="N2764" s="12" t="n"/>
      <c r="O2764" s="12" t="n"/>
    </row>
    <row r="2765">
      <c r="A2765" s="12" t="n"/>
      <c r="B2765" s="13">
        <f>IF($A2765="","",IFERROR(INDEX(Emp_Names,MATCH($A2765,Emp_Codes,0)),"NOT FOUND"))</f>
        <v/>
      </c>
      <c r="C2765" s="14" t="n"/>
      <c r="D2765" s="15" t="n"/>
      <c r="E2765" s="15" t="n"/>
      <c r="F2765" s="15" t="n"/>
      <c r="G2765" s="15" t="n"/>
      <c r="H2765" s="16">
        <f>IF($A2765="","",$D2765+IF($E2765="",0,$E2765)+IF($F2765="",0,$F2765)-IF($G2765="",0,$G2765))</f>
        <v/>
      </c>
      <c r="I2765" s="12" t="n"/>
      <c r="J2765" s="12" t="n"/>
      <c r="K2765" s="12" t="n"/>
      <c r="L2765" s="14" t="n"/>
      <c r="M2765" s="12" t="n"/>
      <c r="N2765" s="12" t="n"/>
      <c r="O2765" s="12" t="n"/>
    </row>
    <row r="2766">
      <c r="A2766" s="12" t="n"/>
      <c r="B2766" s="13">
        <f>IF($A2766="","",IFERROR(INDEX(Emp_Names,MATCH($A2766,Emp_Codes,0)),"NOT FOUND"))</f>
        <v/>
      </c>
      <c r="C2766" s="14" t="n"/>
      <c r="D2766" s="15" t="n"/>
      <c r="E2766" s="15" t="n"/>
      <c r="F2766" s="15" t="n"/>
      <c r="G2766" s="15" t="n"/>
      <c r="H2766" s="16">
        <f>IF($A2766="","",$D2766+IF($E2766="",0,$E2766)+IF($F2766="",0,$F2766)-IF($G2766="",0,$G2766))</f>
        <v/>
      </c>
      <c r="I2766" s="12" t="n"/>
      <c r="J2766" s="12" t="n"/>
      <c r="K2766" s="12" t="n"/>
      <c r="L2766" s="14" t="n"/>
      <c r="M2766" s="12" t="n"/>
      <c r="N2766" s="12" t="n"/>
      <c r="O2766" s="12" t="n"/>
    </row>
    <row r="2767">
      <c r="A2767" s="12" t="n"/>
      <c r="B2767" s="13">
        <f>IF($A2767="","",IFERROR(INDEX(Emp_Names,MATCH($A2767,Emp_Codes,0)),"NOT FOUND"))</f>
        <v/>
      </c>
      <c r="C2767" s="14" t="n"/>
      <c r="D2767" s="15" t="n"/>
      <c r="E2767" s="15" t="n"/>
      <c r="F2767" s="15" t="n"/>
      <c r="G2767" s="15" t="n"/>
      <c r="H2767" s="16">
        <f>IF($A2767="","",$D2767+IF($E2767="",0,$E2767)+IF($F2767="",0,$F2767)-IF($G2767="",0,$G2767))</f>
        <v/>
      </c>
      <c r="I2767" s="12" t="n"/>
      <c r="J2767" s="12" t="n"/>
      <c r="K2767" s="12" t="n"/>
      <c r="L2767" s="14" t="n"/>
      <c r="M2767" s="12" t="n"/>
      <c r="N2767" s="12" t="n"/>
      <c r="O2767" s="12" t="n"/>
    </row>
    <row r="2768">
      <c r="A2768" s="12" t="n"/>
      <c r="B2768" s="13">
        <f>IF($A2768="","",IFERROR(INDEX(Emp_Names,MATCH($A2768,Emp_Codes,0)),"NOT FOUND"))</f>
        <v/>
      </c>
      <c r="C2768" s="14" t="n"/>
      <c r="D2768" s="15" t="n"/>
      <c r="E2768" s="15" t="n"/>
      <c r="F2768" s="15" t="n"/>
      <c r="G2768" s="15" t="n"/>
      <c r="H2768" s="16">
        <f>IF($A2768="","",$D2768+IF($E2768="",0,$E2768)+IF($F2768="",0,$F2768)-IF($G2768="",0,$G2768))</f>
        <v/>
      </c>
      <c r="I2768" s="12" t="n"/>
      <c r="J2768" s="12" t="n"/>
      <c r="K2768" s="12" t="n"/>
      <c r="L2768" s="14" t="n"/>
      <c r="M2768" s="12" t="n"/>
      <c r="N2768" s="12" t="n"/>
      <c r="O2768" s="12" t="n"/>
    </row>
    <row r="2769">
      <c r="A2769" s="12" t="n"/>
      <c r="B2769" s="13">
        <f>IF($A2769="","",IFERROR(INDEX(Emp_Names,MATCH($A2769,Emp_Codes,0)),"NOT FOUND"))</f>
        <v/>
      </c>
      <c r="C2769" s="14" t="n"/>
      <c r="D2769" s="15" t="n"/>
      <c r="E2769" s="15" t="n"/>
      <c r="F2769" s="15" t="n"/>
      <c r="G2769" s="15" t="n"/>
      <c r="H2769" s="16">
        <f>IF($A2769="","",$D2769+IF($E2769="",0,$E2769)+IF($F2769="",0,$F2769)-IF($G2769="",0,$G2769))</f>
        <v/>
      </c>
      <c r="I2769" s="12" t="n"/>
      <c r="J2769" s="12" t="n"/>
      <c r="K2769" s="12" t="n"/>
      <c r="L2769" s="14" t="n"/>
      <c r="M2769" s="12" t="n"/>
      <c r="N2769" s="12" t="n"/>
      <c r="O2769" s="12" t="n"/>
    </row>
    <row r="2770">
      <c r="A2770" s="12" t="n"/>
      <c r="B2770" s="13">
        <f>IF($A2770="","",IFERROR(INDEX(Emp_Names,MATCH($A2770,Emp_Codes,0)),"NOT FOUND"))</f>
        <v/>
      </c>
      <c r="C2770" s="14" t="n"/>
      <c r="D2770" s="15" t="n"/>
      <c r="E2770" s="15" t="n"/>
      <c r="F2770" s="15" t="n"/>
      <c r="G2770" s="15" t="n"/>
      <c r="H2770" s="16">
        <f>IF($A2770="","",$D2770+IF($E2770="",0,$E2770)+IF($F2770="",0,$F2770)-IF($G2770="",0,$G2770))</f>
        <v/>
      </c>
      <c r="I2770" s="12" t="n"/>
      <c r="J2770" s="12" t="n"/>
      <c r="K2770" s="12" t="n"/>
      <c r="L2770" s="14" t="n"/>
      <c r="M2770" s="12" t="n"/>
      <c r="N2770" s="12" t="n"/>
      <c r="O2770" s="12" t="n"/>
    </row>
    <row r="2771">
      <c r="A2771" s="12" t="n"/>
      <c r="B2771" s="13">
        <f>IF($A2771="","",IFERROR(INDEX(Emp_Names,MATCH($A2771,Emp_Codes,0)),"NOT FOUND"))</f>
        <v/>
      </c>
      <c r="C2771" s="14" t="n"/>
      <c r="D2771" s="15" t="n"/>
      <c r="E2771" s="15" t="n"/>
      <c r="F2771" s="15" t="n"/>
      <c r="G2771" s="15" t="n"/>
      <c r="H2771" s="16">
        <f>IF($A2771="","",$D2771+IF($E2771="",0,$E2771)+IF($F2771="",0,$F2771)-IF($G2771="",0,$G2771))</f>
        <v/>
      </c>
      <c r="I2771" s="12" t="n"/>
      <c r="J2771" s="12" t="n"/>
      <c r="K2771" s="12" t="n"/>
      <c r="L2771" s="14" t="n"/>
      <c r="M2771" s="12" t="n"/>
      <c r="N2771" s="12" t="n"/>
      <c r="O2771" s="12" t="n"/>
    </row>
    <row r="2772">
      <c r="A2772" s="12" t="n"/>
      <c r="B2772" s="13">
        <f>IF($A2772="","",IFERROR(INDEX(Emp_Names,MATCH($A2772,Emp_Codes,0)),"NOT FOUND"))</f>
        <v/>
      </c>
      <c r="C2772" s="14" t="n"/>
      <c r="D2772" s="15" t="n"/>
      <c r="E2772" s="15" t="n"/>
      <c r="F2772" s="15" t="n"/>
      <c r="G2772" s="15" t="n"/>
      <c r="H2772" s="16">
        <f>IF($A2772="","",$D2772+IF($E2772="",0,$E2772)+IF($F2772="",0,$F2772)-IF($G2772="",0,$G2772))</f>
        <v/>
      </c>
      <c r="I2772" s="12" t="n"/>
      <c r="J2772" s="12" t="n"/>
      <c r="K2772" s="12" t="n"/>
      <c r="L2772" s="14" t="n"/>
      <c r="M2772" s="12" t="n"/>
      <c r="N2772" s="12" t="n"/>
      <c r="O2772" s="12" t="n"/>
    </row>
    <row r="2773">
      <c r="A2773" s="12" t="n"/>
      <c r="B2773" s="13">
        <f>IF($A2773="","",IFERROR(INDEX(Emp_Names,MATCH($A2773,Emp_Codes,0)),"NOT FOUND"))</f>
        <v/>
      </c>
      <c r="C2773" s="14" t="n"/>
      <c r="D2773" s="15" t="n"/>
      <c r="E2773" s="15" t="n"/>
      <c r="F2773" s="15" t="n"/>
      <c r="G2773" s="15" t="n"/>
      <c r="H2773" s="16">
        <f>IF($A2773="","",$D2773+IF($E2773="",0,$E2773)+IF($F2773="",0,$F2773)-IF($G2773="",0,$G2773))</f>
        <v/>
      </c>
      <c r="I2773" s="12" t="n"/>
      <c r="J2773" s="12" t="n"/>
      <c r="K2773" s="12" t="n"/>
      <c r="L2773" s="14" t="n"/>
      <c r="M2773" s="12" t="n"/>
      <c r="N2773" s="12" t="n"/>
      <c r="O2773" s="12" t="n"/>
    </row>
    <row r="2774">
      <c r="A2774" s="12" t="n"/>
      <c r="B2774" s="13">
        <f>IF($A2774="","",IFERROR(INDEX(Emp_Names,MATCH($A2774,Emp_Codes,0)),"NOT FOUND"))</f>
        <v/>
      </c>
      <c r="C2774" s="14" t="n"/>
      <c r="D2774" s="15" t="n"/>
      <c r="E2774" s="15" t="n"/>
      <c r="F2774" s="15" t="n"/>
      <c r="G2774" s="15" t="n"/>
      <c r="H2774" s="16">
        <f>IF($A2774="","",$D2774+IF($E2774="",0,$E2774)+IF($F2774="",0,$F2774)-IF($G2774="",0,$G2774))</f>
        <v/>
      </c>
      <c r="I2774" s="12" t="n"/>
      <c r="J2774" s="12" t="n"/>
      <c r="K2774" s="12" t="n"/>
      <c r="L2774" s="14" t="n"/>
      <c r="M2774" s="12" t="n"/>
      <c r="N2774" s="12" t="n"/>
      <c r="O2774" s="12" t="n"/>
    </row>
    <row r="2775">
      <c r="A2775" s="12" t="n"/>
      <c r="B2775" s="13">
        <f>IF($A2775="","",IFERROR(INDEX(Emp_Names,MATCH($A2775,Emp_Codes,0)),"NOT FOUND"))</f>
        <v/>
      </c>
      <c r="C2775" s="14" t="n"/>
      <c r="D2775" s="15" t="n"/>
      <c r="E2775" s="15" t="n"/>
      <c r="F2775" s="15" t="n"/>
      <c r="G2775" s="15" t="n"/>
      <c r="H2775" s="16">
        <f>IF($A2775="","",$D2775+IF($E2775="",0,$E2775)+IF($F2775="",0,$F2775)-IF($G2775="",0,$G2775))</f>
        <v/>
      </c>
      <c r="I2775" s="12" t="n"/>
      <c r="J2775" s="12" t="n"/>
      <c r="K2775" s="12" t="n"/>
      <c r="L2775" s="14" t="n"/>
      <c r="M2775" s="12" t="n"/>
      <c r="N2775" s="12" t="n"/>
      <c r="O2775" s="12" t="n"/>
    </row>
    <row r="2776">
      <c r="A2776" s="12" t="n"/>
      <c r="B2776" s="13">
        <f>IF($A2776="","",IFERROR(INDEX(Emp_Names,MATCH($A2776,Emp_Codes,0)),"NOT FOUND"))</f>
        <v/>
      </c>
      <c r="C2776" s="14" t="n"/>
      <c r="D2776" s="15" t="n"/>
      <c r="E2776" s="15" t="n"/>
      <c r="F2776" s="15" t="n"/>
      <c r="G2776" s="15" t="n"/>
      <c r="H2776" s="16">
        <f>IF($A2776="","",$D2776+IF($E2776="",0,$E2776)+IF($F2776="",0,$F2776)-IF($G2776="",0,$G2776))</f>
        <v/>
      </c>
      <c r="I2776" s="12" t="n"/>
      <c r="J2776" s="12" t="n"/>
      <c r="K2776" s="12" t="n"/>
      <c r="L2776" s="14" t="n"/>
      <c r="M2776" s="12" t="n"/>
      <c r="N2776" s="12" t="n"/>
      <c r="O2776" s="12" t="n"/>
    </row>
    <row r="2777">
      <c r="A2777" s="12" t="n"/>
      <c r="B2777" s="13">
        <f>IF($A2777="","",IFERROR(INDEX(Emp_Names,MATCH($A2777,Emp_Codes,0)),"NOT FOUND"))</f>
        <v/>
      </c>
      <c r="C2777" s="14" t="n"/>
      <c r="D2777" s="15" t="n"/>
      <c r="E2777" s="15" t="n"/>
      <c r="F2777" s="15" t="n"/>
      <c r="G2777" s="15" t="n"/>
      <c r="H2777" s="16">
        <f>IF($A2777="","",$D2777+IF($E2777="",0,$E2777)+IF($F2777="",0,$F2777)-IF($G2777="",0,$G2777))</f>
        <v/>
      </c>
      <c r="I2777" s="12" t="n"/>
      <c r="J2777" s="12" t="n"/>
      <c r="K2777" s="12" t="n"/>
      <c r="L2777" s="14" t="n"/>
      <c r="M2777" s="12" t="n"/>
      <c r="N2777" s="12" t="n"/>
      <c r="O2777" s="12" t="n"/>
    </row>
    <row r="2778">
      <c r="A2778" s="12" t="n"/>
      <c r="B2778" s="13">
        <f>IF($A2778="","",IFERROR(INDEX(Emp_Names,MATCH($A2778,Emp_Codes,0)),"NOT FOUND"))</f>
        <v/>
      </c>
      <c r="C2778" s="14" t="n"/>
      <c r="D2778" s="15" t="n"/>
      <c r="E2778" s="15" t="n"/>
      <c r="F2778" s="15" t="n"/>
      <c r="G2778" s="15" t="n"/>
      <c r="H2778" s="16">
        <f>IF($A2778="","",$D2778+IF($E2778="",0,$E2778)+IF($F2778="",0,$F2778)-IF($G2778="",0,$G2778))</f>
        <v/>
      </c>
      <c r="I2778" s="12" t="n"/>
      <c r="J2778" s="12" t="n"/>
      <c r="K2778" s="12" t="n"/>
      <c r="L2778" s="14" t="n"/>
      <c r="M2778" s="12" t="n"/>
      <c r="N2778" s="12" t="n"/>
      <c r="O2778" s="12" t="n"/>
    </row>
    <row r="2779">
      <c r="A2779" s="12" t="n"/>
      <c r="B2779" s="13">
        <f>IF($A2779="","",IFERROR(INDEX(Emp_Names,MATCH($A2779,Emp_Codes,0)),"NOT FOUND"))</f>
        <v/>
      </c>
      <c r="C2779" s="14" t="n"/>
      <c r="D2779" s="15" t="n"/>
      <c r="E2779" s="15" t="n"/>
      <c r="F2779" s="15" t="n"/>
      <c r="G2779" s="15" t="n"/>
      <c r="H2779" s="16">
        <f>IF($A2779="","",$D2779+IF($E2779="",0,$E2779)+IF($F2779="",0,$F2779)-IF($G2779="",0,$G2779))</f>
        <v/>
      </c>
      <c r="I2779" s="12" t="n"/>
      <c r="J2779" s="12" t="n"/>
      <c r="K2779" s="12" t="n"/>
      <c r="L2779" s="14" t="n"/>
      <c r="M2779" s="12" t="n"/>
      <c r="N2779" s="12" t="n"/>
      <c r="O2779" s="12" t="n"/>
    </row>
    <row r="2780">
      <c r="A2780" s="12" t="n"/>
      <c r="B2780" s="13">
        <f>IF($A2780="","",IFERROR(INDEX(Emp_Names,MATCH($A2780,Emp_Codes,0)),"NOT FOUND"))</f>
        <v/>
      </c>
      <c r="C2780" s="14" t="n"/>
      <c r="D2780" s="15" t="n"/>
      <c r="E2780" s="15" t="n"/>
      <c r="F2780" s="15" t="n"/>
      <c r="G2780" s="15" t="n"/>
      <c r="H2780" s="16">
        <f>IF($A2780="","",$D2780+IF($E2780="",0,$E2780)+IF($F2780="",0,$F2780)-IF($G2780="",0,$G2780))</f>
        <v/>
      </c>
      <c r="I2780" s="12" t="n"/>
      <c r="J2780" s="12" t="n"/>
      <c r="K2780" s="12" t="n"/>
      <c r="L2780" s="14" t="n"/>
      <c r="M2780" s="12" t="n"/>
      <c r="N2780" s="12" t="n"/>
      <c r="O2780" s="12" t="n"/>
    </row>
    <row r="2781">
      <c r="A2781" s="12" t="n"/>
      <c r="B2781" s="13">
        <f>IF($A2781="","",IFERROR(INDEX(Emp_Names,MATCH($A2781,Emp_Codes,0)),"NOT FOUND"))</f>
        <v/>
      </c>
      <c r="C2781" s="14" t="n"/>
      <c r="D2781" s="15" t="n"/>
      <c r="E2781" s="15" t="n"/>
      <c r="F2781" s="15" t="n"/>
      <c r="G2781" s="15" t="n"/>
      <c r="H2781" s="16">
        <f>IF($A2781="","",$D2781+IF($E2781="",0,$E2781)+IF($F2781="",0,$F2781)-IF($G2781="",0,$G2781))</f>
        <v/>
      </c>
      <c r="I2781" s="12" t="n"/>
      <c r="J2781" s="12" t="n"/>
      <c r="K2781" s="12" t="n"/>
      <c r="L2781" s="14" t="n"/>
      <c r="M2781" s="12" t="n"/>
      <c r="N2781" s="12" t="n"/>
      <c r="O2781" s="12" t="n"/>
    </row>
    <row r="2782">
      <c r="A2782" s="12" t="n"/>
      <c r="B2782" s="13">
        <f>IF($A2782="","",IFERROR(INDEX(Emp_Names,MATCH($A2782,Emp_Codes,0)),"NOT FOUND"))</f>
        <v/>
      </c>
      <c r="C2782" s="14" t="n"/>
      <c r="D2782" s="15" t="n"/>
      <c r="E2782" s="15" t="n"/>
      <c r="F2782" s="15" t="n"/>
      <c r="G2782" s="15" t="n"/>
      <c r="H2782" s="16">
        <f>IF($A2782="","",$D2782+IF($E2782="",0,$E2782)+IF($F2782="",0,$F2782)-IF($G2782="",0,$G2782))</f>
        <v/>
      </c>
      <c r="I2782" s="12" t="n"/>
      <c r="J2782" s="12" t="n"/>
      <c r="K2782" s="12" t="n"/>
      <c r="L2782" s="14" t="n"/>
      <c r="M2782" s="12" t="n"/>
      <c r="N2782" s="12" t="n"/>
      <c r="O2782" s="12" t="n"/>
    </row>
    <row r="2783">
      <c r="A2783" s="12" t="n"/>
      <c r="B2783" s="13">
        <f>IF($A2783="","",IFERROR(INDEX(Emp_Names,MATCH($A2783,Emp_Codes,0)),"NOT FOUND"))</f>
        <v/>
      </c>
      <c r="C2783" s="14" t="n"/>
      <c r="D2783" s="15" t="n"/>
      <c r="E2783" s="15" t="n"/>
      <c r="F2783" s="15" t="n"/>
      <c r="G2783" s="15" t="n"/>
      <c r="H2783" s="16">
        <f>IF($A2783="","",$D2783+IF($E2783="",0,$E2783)+IF($F2783="",0,$F2783)-IF($G2783="",0,$G2783))</f>
        <v/>
      </c>
      <c r="I2783" s="12" t="n"/>
      <c r="J2783" s="12" t="n"/>
      <c r="K2783" s="12" t="n"/>
      <c r="L2783" s="14" t="n"/>
      <c r="M2783" s="12" t="n"/>
      <c r="N2783" s="12" t="n"/>
      <c r="O2783" s="12" t="n"/>
    </row>
    <row r="2784">
      <c r="A2784" s="12" t="n"/>
      <c r="B2784" s="13">
        <f>IF($A2784="","",IFERROR(INDEX(Emp_Names,MATCH($A2784,Emp_Codes,0)),"NOT FOUND"))</f>
        <v/>
      </c>
      <c r="C2784" s="14" t="n"/>
      <c r="D2784" s="15" t="n"/>
      <c r="E2784" s="15" t="n"/>
      <c r="F2784" s="15" t="n"/>
      <c r="G2784" s="15" t="n"/>
      <c r="H2784" s="16">
        <f>IF($A2784="","",$D2784+IF($E2784="",0,$E2784)+IF($F2784="",0,$F2784)-IF($G2784="",0,$G2784))</f>
        <v/>
      </c>
      <c r="I2784" s="12" t="n"/>
      <c r="J2784" s="12" t="n"/>
      <c r="K2784" s="12" t="n"/>
      <c r="L2784" s="14" t="n"/>
      <c r="M2784" s="12" t="n"/>
      <c r="N2784" s="12" t="n"/>
      <c r="O2784" s="12" t="n"/>
    </row>
    <row r="2785">
      <c r="A2785" s="12" t="n"/>
      <c r="B2785" s="13">
        <f>IF($A2785="","",IFERROR(INDEX(Emp_Names,MATCH($A2785,Emp_Codes,0)),"NOT FOUND"))</f>
        <v/>
      </c>
      <c r="C2785" s="14" t="n"/>
      <c r="D2785" s="15" t="n"/>
      <c r="E2785" s="15" t="n"/>
      <c r="F2785" s="15" t="n"/>
      <c r="G2785" s="15" t="n"/>
      <c r="H2785" s="16">
        <f>IF($A2785="","",$D2785+IF($E2785="",0,$E2785)+IF($F2785="",0,$F2785)-IF($G2785="",0,$G2785))</f>
        <v/>
      </c>
      <c r="I2785" s="12" t="n"/>
      <c r="J2785" s="12" t="n"/>
      <c r="K2785" s="12" t="n"/>
      <c r="L2785" s="14" t="n"/>
      <c r="M2785" s="12" t="n"/>
      <c r="N2785" s="12" t="n"/>
      <c r="O2785" s="12" t="n"/>
    </row>
    <row r="2786">
      <c r="A2786" s="12" t="n"/>
      <c r="B2786" s="13">
        <f>IF($A2786="","",IFERROR(INDEX(Emp_Names,MATCH($A2786,Emp_Codes,0)),"NOT FOUND"))</f>
        <v/>
      </c>
      <c r="C2786" s="14" t="n"/>
      <c r="D2786" s="15" t="n"/>
      <c r="E2786" s="15" t="n"/>
      <c r="F2786" s="15" t="n"/>
      <c r="G2786" s="15" t="n"/>
      <c r="H2786" s="16">
        <f>IF($A2786="","",$D2786+IF($E2786="",0,$E2786)+IF($F2786="",0,$F2786)-IF($G2786="",0,$G2786))</f>
        <v/>
      </c>
      <c r="I2786" s="12" t="n"/>
      <c r="J2786" s="12" t="n"/>
      <c r="K2786" s="12" t="n"/>
      <c r="L2786" s="14" t="n"/>
      <c r="M2786" s="12" t="n"/>
      <c r="N2786" s="12" t="n"/>
      <c r="O2786" s="12" t="n"/>
    </row>
    <row r="2787">
      <c r="A2787" s="12" t="n"/>
      <c r="B2787" s="13">
        <f>IF($A2787="","",IFERROR(INDEX(Emp_Names,MATCH($A2787,Emp_Codes,0)),"NOT FOUND"))</f>
        <v/>
      </c>
      <c r="C2787" s="14" t="n"/>
      <c r="D2787" s="15" t="n"/>
      <c r="E2787" s="15" t="n"/>
      <c r="F2787" s="15" t="n"/>
      <c r="G2787" s="15" t="n"/>
      <c r="H2787" s="16">
        <f>IF($A2787="","",$D2787+IF($E2787="",0,$E2787)+IF($F2787="",0,$F2787)-IF($G2787="",0,$G2787))</f>
        <v/>
      </c>
      <c r="I2787" s="12" t="n"/>
      <c r="J2787" s="12" t="n"/>
      <c r="K2787" s="12" t="n"/>
      <c r="L2787" s="14" t="n"/>
      <c r="M2787" s="12" t="n"/>
      <c r="N2787" s="12" t="n"/>
      <c r="O2787" s="12" t="n"/>
    </row>
    <row r="2788">
      <c r="A2788" s="12" t="n"/>
      <c r="B2788" s="13">
        <f>IF($A2788="","",IFERROR(INDEX(Emp_Names,MATCH($A2788,Emp_Codes,0)),"NOT FOUND"))</f>
        <v/>
      </c>
      <c r="C2788" s="14" t="n"/>
      <c r="D2788" s="15" t="n"/>
      <c r="E2788" s="15" t="n"/>
      <c r="F2788" s="15" t="n"/>
      <c r="G2788" s="15" t="n"/>
      <c r="H2788" s="16">
        <f>IF($A2788="","",$D2788+IF($E2788="",0,$E2788)+IF($F2788="",0,$F2788)-IF($G2788="",0,$G2788))</f>
        <v/>
      </c>
      <c r="I2788" s="12" t="n"/>
      <c r="J2788" s="12" t="n"/>
      <c r="K2788" s="12" t="n"/>
      <c r="L2788" s="14" t="n"/>
      <c r="M2788" s="12" t="n"/>
      <c r="N2788" s="12" t="n"/>
      <c r="O2788" s="12" t="n"/>
    </row>
    <row r="2789">
      <c r="A2789" s="12" t="n"/>
      <c r="B2789" s="13">
        <f>IF($A2789="","",IFERROR(INDEX(Emp_Names,MATCH($A2789,Emp_Codes,0)),"NOT FOUND"))</f>
        <v/>
      </c>
      <c r="C2789" s="14" t="n"/>
      <c r="D2789" s="15" t="n"/>
      <c r="E2789" s="15" t="n"/>
      <c r="F2789" s="15" t="n"/>
      <c r="G2789" s="15" t="n"/>
      <c r="H2789" s="16">
        <f>IF($A2789="","",$D2789+IF($E2789="",0,$E2789)+IF($F2789="",0,$F2789)-IF($G2789="",0,$G2789))</f>
        <v/>
      </c>
      <c r="I2789" s="12" t="n"/>
      <c r="J2789" s="12" t="n"/>
      <c r="K2789" s="12" t="n"/>
      <c r="L2789" s="14" t="n"/>
      <c r="M2789" s="12" t="n"/>
      <c r="N2789" s="12" t="n"/>
      <c r="O2789" s="12" t="n"/>
    </row>
    <row r="2790">
      <c r="A2790" s="12" t="n"/>
      <c r="B2790" s="13">
        <f>IF($A2790="","",IFERROR(INDEX(Emp_Names,MATCH($A2790,Emp_Codes,0)),"NOT FOUND"))</f>
        <v/>
      </c>
      <c r="C2790" s="14" t="n"/>
      <c r="D2790" s="15" t="n"/>
      <c r="E2790" s="15" t="n"/>
      <c r="F2790" s="15" t="n"/>
      <c r="G2790" s="15" t="n"/>
      <c r="H2790" s="16">
        <f>IF($A2790="","",$D2790+IF($E2790="",0,$E2790)+IF($F2790="",0,$F2790)-IF($G2790="",0,$G2790))</f>
        <v/>
      </c>
      <c r="I2790" s="12" t="n"/>
      <c r="J2790" s="12" t="n"/>
      <c r="K2790" s="12" t="n"/>
      <c r="L2790" s="14" t="n"/>
      <c r="M2790" s="12" t="n"/>
      <c r="N2790" s="12" t="n"/>
      <c r="O2790" s="12" t="n"/>
    </row>
    <row r="2791">
      <c r="A2791" s="12" t="n"/>
      <c r="B2791" s="13">
        <f>IF($A2791="","",IFERROR(INDEX(Emp_Names,MATCH($A2791,Emp_Codes,0)),"NOT FOUND"))</f>
        <v/>
      </c>
      <c r="C2791" s="14" t="n"/>
      <c r="D2791" s="15" t="n"/>
      <c r="E2791" s="15" t="n"/>
      <c r="F2791" s="15" t="n"/>
      <c r="G2791" s="15" t="n"/>
      <c r="H2791" s="16">
        <f>IF($A2791="","",$D2791+IF($E2791="",0,$E2791)+IF($F2791="",0,$F2791)-IF($G2791="",0,$G2791))</f>
        <v/>
      </c>
      <c r="I2791" s="12" t="n"/>
      <c r="J2791" s="12" t="n"/>
      <c r="K2791" s="12" t="n"/>
      <c r="L2791" s="14" t="n"/>
      <c r="M2791" s="12" t="n"/>
      <c r="N2791" s="12" t="n"/>
      <c r="O2791" s="12" t="n"/>
    </row>
    <row r="2792">
      <c r="A2792" s="12" t="n"/>
      <c r="B2792" s="13">
        <f>IF($A2792="","",IFERROR(INDEX(Emp_Names,MATCH($A2792,Emp_Codes,0)),"NOT FOUND"))</f>
        <v/>
      </c>
      <c r="C2792" s="14" t="n"/>
      <c r="D2792" s="15" t="n"/>
      <c r="E2792" s="15" t="n"/>
      <c r="F2792" s="15" t="n"/>
      <c r="G2792" s="15" t="n"/>
      <c r="H2792" s="16">
        <f>IF($A2792="","",$D2792+IF($E2792="",0,$E2792)+IF($F2792="",0,$F2792)-IF($G2792="",0,$G2792))</f>
        <v/>
      </c>
      <c r="I2792" s="12" t="n"/>
      <c r="J2792" s="12" t="n"/>
      <c r="K2792" s="12" t="n"/>
      <c r="L2792" s="14" t="n"/>
      <c r="M2792" s="12" t="n"/>
      <c r="N2792" s="12" t="n"/>
      <c r="O2792" s="12" t="n"/>
    </row>
    <row r="2793">
      <c r="A2793" s="12" t="n"/>
      <c r="B2793" s="13">
        <f>IF($A2793="","",IFERROR(INDEX(Emp_Names,MATCH($A2793,Emp_Codes,0)),"NOT FOUND"))</f>
        <v/>
      </c>
      <c r="C2793" s="14" t="n"/>
      <c r="D2793" s="15" t="n"/>
      <c r="E2793" s="15" t="n"/>
      <c r="F2793" s="15" t="n"/>
      <c r="G2793" s="15" t="n"/>
      <c r="H2793" s="16">
        <f>IF($A2793="","",$D2793+IF($E2793="",0,$E2793)+IF($F2793="",0,$F2793)-IF($G2793="",0,$G2793))</f>
        <v/>
      </c>
      <c r="I2793" s="12" t="n"/>
      <c r="J2793" s="12" t="n"/>
      <c r="K2793" s="12" t="n"/>
      <c r="L2793" s="14" t="n"/>
      <c r="M2793" s="12" t="n"/>
      <c r="N2793" s="12" t="n"/>
      <c r="O2793" s="12" t="n"/>
    </row>
    <row r="2794">
      <c r="A2794" s="12" t="n"/>
      <c r="B2794" s="13">
        <f>IF($A2794="","",IFERROR(INDEX(Emp_Names,MATCH($A2794,Emp_Codes,0)),"NOT FOUND"))</f>
        <v/>
      </c>
      <c r="C2794" s="14" t="n"/>
      <c r="D2794" s="15" t="n"/>
      <c r="E2794" s="15" t="n"/>
      <c r="F2794" s="15" t="n"/>
      <c r="G2794" s="15" t="n"/>
      <c r="H2794" s="16">
        <f>IF($A2794="","",$D2794+IF($E2794="",0,$E2794)+IF($F2794="",0,$F2794)-IF($G2794="",0,$G2794))</f>
        <v/>
      </c>
      <c r="I2794" s="12" t="n"/>
      <c r="J2794" s="12" t="n"/>
      <c r="K2794" s="12" t="n"/>
      <c r="L2794" s="14" t="n"/>
      <c r="M2794" s="12" t="n"/>
      <c r="N2794" s="12" t="n"/>
      <c r="O2794" s="12" t="n"/>
    </row>
    <row r="2795">
      <c r="A2795" s="12" t="n"/>
      <c r="B2795" s="13">
        <f>IF($A2795="","",IFERROR(INDEX(Emp_Names,MATCH($A2795,Emp_Codes,0)),"NOT FOUND"))</f>
        <v/>
      </c>
      <c r="C2795" s="14" t="n"/>
      <c r="D2795" s="15" t="n"/>
      <c r="E2795" s="15" t="n"/>
      <c r="F2795" s="15" t="n"/>
      <c r="G2795" s="15" t="n"/>
      <c r="H2795" s="16">
        <f>IF($A2795="","",$D2795+IF($E2795="",0,$E2795)+IF($F2795="",0,$F2795)-IF($G2795="",0,$G2795))</f>
        <v/>
      </c>
      <c r="I2795" s="12" t="n"/>
      <c r="J2795" s="12" t="n"/>
      <c r="K2795" s="12" t="n"/>
      <c r="L2795" s="14" t="n"/>
      <c r="M2795" s="12" t="n"/>
      <c r="N2795" s="12" t="n"/>
      <c r="O2795" s="12" t="n"/>
    </row>
    <row r="2796">
      <c r="A2796" s="12" t="n"/>
      <c r="B2796" s="13">
        <f>IF($A2796="","",IFERROR(INDEX(Emp_Names,MATCH($A2796,Emp_Codes,0)),"NOT FOUND"))</f>
        <v/>
      </c>
      <c r="C2796" s="14" t="n"/>
      <c r="D2796" s="15" t="n"/>
      <c r="E2796" s="15" t="n"/>
      <c r="F2796" s="15" t="n"/>
      <c r="G2796" s="15" t="n"/>
      <c r="H2796" s="16">
        <f>IF($A2796="","",$D2796+IF($E2796="",0,$E2796)+IF($F2796="",0,$F2796)-IF($G2796="",0,$G2796))</f>
        <v/>
      </c>
      <c r="I2796" s="12" t="n"/>
      <c r="J2796" s="12" t="n"/>
      <c r="K2796" s="12" t="n"/>
      <c r="L2796" s="14" t="n"/>
      <c r="M2796" s="12" t="n"/>
      <c r="N2796" s="12" t="n"/>
      <c r="O2796" s="12" t="n"/>
    </row>
    <row r="2797">
      <c r="A2797" s="12" t="n"/>
      <c r="B2797" s="13">
        <f>IF($A2797="","",IFERROR(INDEX(Emp_Names,MATCH($A2797,Emp_Codes,0)),"NOT FOUND"))</f>
        <v/>
      </c>
      <c r="C2797" s="14" t="n"/>
      <c r="D2797" s="15" t="n"/>
      <c r="E2797" s="15" t="n"/>
      <c r="F2797" s="15" t="n"/>
      <c r="G2797" s="15" t="n"/>
      <c r="H2797" s="16">
        <f>IF($A2797="","",$D2797+IF($E2797="",0,$E2797)+IF($F2797="",0,$F2797)-IF($G2797="",0,$G2797))</f>
        <v/>
      </c>
      <c r="I2797" s="12" t="n"/>
      <c r="J2797" s="12" t="n"/>
      <c r="K2797" s="12" t="n"/>
      <c r="L2797" s="14" t="n"/>
      <c r="M2797" s="12" t="n"/>
      <c r="N2797" s="12" t="n"/>
      <c r="O2797" s="12" t="n"/>
    </row>
    <row r="2798">
      <c r="A2798" s="12" t="n"/>
      <c r="B2798" s="13">
        <f>IF($A2798="","",IFERROR(INDEX(Emp_Names,MATCH($A2798,Emp_Codes,0)),"NOT FOUND"))</f>
        <v/>
      </c>
      <c r="C2798" s="14" t="n"/>
      <c r="D2798" s="15" t="n"/>
      <c r="E2798" s="15" t="n"/>
      <c r="F2798" s="15" t="n"/>
      <c r="G2798" s="15" t="n"/>
      <c r="H2798" s="16">
        <f>IF($A2798="","",$D2798+IF($E2798="",0,$E2798)+IF($F2798="",0,$F2798)-IF($G2798="",0,$G2798))</f>
        <v/>
      </c>
      <c r="I2798" s="12" t="n"/>
      <c r="J2798" s="12" t="n"/>
      <c r="K2798" s="12" t="n"/>
      <c r="L2798" s="14" t="n"/>
      <c r="M2798" s="12" t="n"/>
      <c r="N2798" s="12" t="n"/>
      <c r="O2798" s="12" t="n"/>
    </row>
    <row r="2799">
      <c r="A2799" s="12" t="n"/>
      <c r="B2799" s="13">
        <f>IF($A2799="","",IFERROR(INDEX(Emp_Names,MATCH($A2799,Emp_Codes,0)),"NOT FOUND"))</f>
        <v/>
      </c>
      <c r="C2799" s="14" t="n"/>
      <c r="D2799" s="15" t="n"/>
      <c r="E2799" s="15" t="n"/>
      <c r="F2799" s="15" t="n"/>
      <c r="G2799" s="15" t="n"/>
      <c r="H2799" s="16">
        <f>IF($A2799="","",$D2799+IF($E2799="",0,$E2799)+IF($F2799="",0,$F2799)-IF($G2799="",0,$G2799))</f>
        <v/>
      </c>
      <c r="I2799" s="12" t="n"/>
      <c r="J2799" s="12" t="n"/>
      <c r="K2799" s="12" t="n"/>
      <c r="L2799" s="14" t="n"/>
      <c r="M2799" s="12" t="n"/>
      <c r="N2799" s="12" t="n"/>
      <c r="O2799" s="12" t="n"/>
    </row>
    <row r="2800">
      <c r="A2800" s="12" t="n"/>
      <c r="B2800" s="13">
        <f>IF($A2800="","",IFERROR(INDEX(Emp_Names,MATCH($A2800,Emp_Codes,0)),"NOT FOUND"))</f>
        <v/>
      </c>
      <c r="C2800" s="14" t="n"/>
      <c r="D2800" s="15" t="n"/>
      <c r="E2800" s="15" t="n"/>
      <c r="F2800" s="15" t="n"/>
      <c r="G2800" s="15" t="n"/>
      <c r="H2800" s="16">
        <f>IF($A2800="","",$D2800+IF($E2800="",0,$E2800)+IF($F2800="",0,$F2800)-IF($G2800="",0,$G2800))</f>
        <v/>
      </c>
      <c r="I2800" s="12" t="n"/>
      <c r="J2800" s="12" t="n"/>
      <c r="K2800" s="12" t="n"/>
      <c r="L2800" s="14" t="n"/>
      <c r="M2800" s="12" t="n"/>
      <c r="N2800" s="12" t="n"/>
      <c r="O2800" s="12" t="n"/>
    </row>
    <row r="2801">
      <c r="A2801" s="12" t="n"/>
      <c r="B2801" s="13">
        <f>IF($A2801="","",IFERROR(INDEX(Emp_Names,MATCH($A2801,Emp_Codes,0)),"NOT FOUND"))</f>
        <v/>
      </c>
      <c r="C2801" s="14" t="n"/>
      <c r="D2801" s="15" t="n"/>
      <c r="E2801" s="15" t="n"/>
      <c r="F2801" s="15" t="n"/>
      <c r="G2801" s="15" t="n"/>
      <c r="H2801" s="16">
        <f>IF($A2801="","",$D2801+IF($E2801="",0,$E2801)+IF($F2801="",0,$F2801)-IF($G2801="",0,$G2801))</f>
        <v/>
      </c>
      <c r="I2801" s="12" t="n"/>
      <c r="J2801" s="12" t="n"/>
      <c r="K2801" s="12" t="n"/>
      <c r="L2801" s="14" t="n"/>
      <c r="M2801" s="12" t="n"/>
      <c r="N2801" s="12" t="n"/>
      <c r="O2801" s="12" t="n"/>
    </row>
    <row r="2802">
      <c r="A2802" s="12" t="n"/>
      <c r="B2802" s="13">
        <f>IF($A2802="","",IFERROR(INDEX(Emp_Names,MATCH($A2802,Emp_Codes,0)),"NOT FOUND"))</f>
        <v/>
      </c>
      <c r="C2802" s="14" t="n"/>
      <c r="D2802" s="15" t="n"/>
      <c r="E2802" s="15" t="n"/>
      <c r="F2802" s="15" t="n"/>
      <c r="G2802" s="15" t="n"/>
      <c r="H2802" s="16">
        <f>IF($A2802="","",$D2802+IF($E2802="",0,$E2802)+IF($F2802="",0,$F2802)-IF($G2802="",0,$G2802))</f>
        <v/>
      </c>
      <c r="I2802" s="12" t="n"/>
      <c r="J2802" s="12" t="n"/>
      <c r="K2802" s="12" t="n"/>
      <c r="L2802" s="14" t="n"/>
      <c r="M2802" s="12" t="n"/>
      <c r="N2802" s="12" t="n"/>
      <c r="O2802" s="12" t="n"/>
    </row>
    <row r="2803">
      <c r="A2803" s="12" t="n"/>
      <c r="B2803" s="13">
        <f>IF($A2803="","",IFERROR(INDEX(Emp_Names,MATCH($A2803,Emp_Codes,0)),"NOT FOUND"))</f>
        <v/>
      </c>
      <c r="C2803" s="14" t="n"/>
      <c r="D2803" s="15" t="n"/>
      <c r="E2803" s="15" t="n"/>
      <c r="F2803" s="15" t="n"/>
      <c r="G2803" s="15" t="n"/>
      <c r="H2803" s="16">
        <f>IF($A2803="","",$D2803+IF($E2803="",0,$E2803)+IF($F2803="",0,$F2803)-IF($G2803="",0,$G2803))</f>
        <v/>
      </c>
      <c r="I2803" s="12" t="n"/>
      <c r="J2803" s="12" t="n"/>
      <c r="K2803" s="12" t="n"/>
      <c r="L2803" s="14" t="n"/>
      <c r="M2803" s="12" t="n"/>
      <c r="N2803" s="12" t="n"/>
      <c r="O2803" s="12" t="n"/>
    </row>
    <row r="2804">
      <c r="A2804" s="12" t="n"/>
      <c r="B2804" s="13">
        <f>IF($A2804="","",IFERROR(INDEX(Emp_Names,MATCH($A2804,Emp_Codes,0)),"NOT FOUND"))</f>
        <v/>
      </c>
      <c r="C2804" s="14" t="n"/>
      <c r="D2804" s="15" t="n"/>
      <c r="E2804" s="15" t="n"/>
      <c r="F2804" s="15" t="n"/>
      <c r="G2804" s="15" t="n"/>
      <c r="H2804" s="16">
        <f>IF($A2804="","",$D2804+IF($E2804="",0,$E2804)+IF($F2804="",0,$F2804)-IF($G2804="",0,$G2804))</f>
        <v/>
      </c>
      <c r="I2804" s="12" t="n"/>
      <c r="J2804" s="12" t="n"/>
      <c r="K2804" s="12" t="n"/>
      <c r="L2804" s="14" t="n"/>
      <c r="M2804" s="12" t="n"/>
      <c r="N2804" s="12" t="n"/>
      <c r="O2804" s="12" t="n"/>
    </row>
    <row r="2805">
      <c r="A2805" s="12" t="n"/>
      <c r="B2805" s="13">
        <f>IF($A2805="","",IFERROR(INDEX(Emp_Names,MATCH($A2805,Emp_Codes,0)),"NOT FOUND"))</f>
        <v/>
      </c>
      <c r="C2805" s="14" t="n"/>
      <c r="D2805" s="15" t="n"/>
      <c r="E2805" s="15" t="n"/>
      <c r="F2805" s="15" t="n"/>
      <c r="G2805" s="15" t="n"/>
      <c r="H2805" s="16">
        <f>IF($A2805="","",$D2805+IF($E2805="",0,$E2805)+IF($F2805="",0,$F2805)-IF($G2805="",0,$G2805))</f>
        <v/>
      </c>
      <c r="I2805" s="12" t="n"/>
      <c r="J2805" s="12" t="n"/>
      <c r="K2805" s="12" t="n"/>
      <c r="L2805" s="14" t="n"/>
      <c r="M2805" s="12" t="n"/>
      <c r="N2805" s="12" t="n"/>
      <c r="O2805" s="12" t="n"/>
    </row>
    <row r="2806">
      <c r="A2806" s="12" t="n"/>
      <c r="B2806" s="13">
        <f>IF($A2806="","",IFERROR(INDEX(Emp_Names,MATCH($A2806,Emp_Codes,0)),"NOT FOUND"))</f>
        <v/>
      </c>
      <c r="C2806" s="14" t="n"/>
      <c r="D2806" s="15" t="n"/>
      <c r="E2806" s="15" t="n"/>
      <c r="F2806" s="15" t="n"/>
      <c r="G2806" s="15" t="n"/>
      <c r="H2806" s="16">
        <f>IF($A2806="","",$D2806+IF($E2806="",0,$E2806)+IF($F2806="",0,$F2806)-IF($G2806="",0,$G2806))</f>
        <v/>
      </c>
      <c r="I2806" s="12" t="n"/>
      <c r="J2806" s="12" t="n"/>
      <c r="K2806" s="12" t="n"/>
      <c r="L2806" s="14" t="n"/>
      <c r="M2806" s="12" t="n"/>
      <c r="N2806" s="12" t="n"/>
      <c r="O2806" s="12" t="n"/>
    </row>
    <row r="2807">
      <c r="A2807" s="12" t="n"/>
      <c r="B2807" s="13">
        <f>IF($A2807="","",IFERROR(INDEX(Emp_Names,MATCH($A2807,Emp_Codes,0)),"NOT FOUND"))</f>
        <v/>
      </c>
      <c r="C2807" s="14" t="n"/>
      <c r="D2807" s="15" t="n"/>
      <c r="E2807" s="15" t="n"/>
      <c r="F2807" s="15" t="n"/>
      <c r="G2807" s="15" t="n"/>
      <c r="H2807" s="16">
        <f>IF($A2807="","",$D2807+IF($E2807="",0,$E2807)+IF($F2807="",0,$F2807)-IF($G2807="",0,$G2807))</f>
        <v/>
      </c>
      <c r="I2807" s="12" t="n"/>
      <c r="J2807" s="12" t="n"/>
      <c r="K2807" s="12" t="n"/>
      <c r="L2807" s="14" t="n"/>
      <c r="M2807" s="12" t="n"/>
      <c r="N2807" s="12" t="n"/>
      <c r="O2807" s="12" t="n"/>
    </row>
    <row r="2808">
      <c r="A2808" s="12" t="n"/>
      <c r="B2808" s="13">
        <f>IF($A2808="","",IFERROR(INDEX(Emp_Names,MATCH($A2808,Emp_Codes,0)),"NOT FOUND"))</f>
        <v/>
      </c>
      <c r="C2808" s="14" t="n"/>
      <c r="D2808" s="15" t="n"/>
      <c r="E2808" s="15" t="n"/>
      <c r="F2808" s="15" t="n"/>
      <c r="G2808" s="15" t="n"/>
      <c r="H2808" s="16">
        <f>IF($A2808="","",$D2808+IF($E2808="",0,$E2808)+IF($F2808="",0,$F2808)-IF($G2808="",0,$G2808))</f>
        <v/>
      </c>
      <c r="I2808" s="12" t="n"/>
      <c r="J2808" s="12" t="n"/>
      <c r="K2808" s="12" t="n"/>
      <c r="L2808" s="14" t="n"/>
      <c r="M2808" s="12" t="n"/>
      <c r="N2808" s="12" t="n"/>
      <c r="O2808" s="12" t="n"/>
    </row>
    <row r="2809">
      <c r="A2809" s="12" t="n"/>
      <c r="B2809" s="13">
        <f>IF($A2809="","",IFERROR(INDEX(Emp_Names,MATCH($A2809,Emp_Codes,0)),"NOT FOUND"))</f>
        <v/>
      </c>
      <c r="C2809" s="14" t="n"/>
      <c r="D2809" s="15" t="n"/>
      <c r="E2809" s="15" t="n"/>
      <c r="F2809" s="15" t="n"/>
      <c r="G2809" s="15" t="n"/>
      <c r="H2809" s="16">
        <f>IF($A2809="","",$D2809+IF($E2809="",0,$E2809)+IF($F2809="",0,$F2809)-IF($G2809="",0,$G2809))</f>
        <v/>
      </c>
      <c r="I2809" s="12" t="n"/>
      <c r="J2809" s="12" t="n"/>
      <c r="K2809" s="12" t="n"/>
      <c r="L2809" s="14" t="n"/>
      <c r="M2809" s="12" t="n"/>
      <c r="N2809" s="12" t="n"/>
      <c r="O2809" s="12" t="n"/>
    </row>
    <row r="2810">
      <c r="A2810" s="12" t="n"/>
      <c r="B2810" s="13">
        <f>IF($A2810="","",IFERROR(INDEX(Emp_Names,MATCH($A2810,Emp_Codes,0)),"NOT FOUND"))</f>
        <v/>
      </c>
      <c r="C2810" s="14" t="n"/>
      <c r="D2810" s="15" t="n"/>
      <c r="E2810" s="15" t="n"/>
      <c r="F2810" s="15" t="n"/>
      <c r="G2810" s="15" t="n"/>
      <c r="H2810" s="16">
        <f>IF($A2810="","",$D2810+IF($E2810="",0,$E2810)+IF($F2810="",0,$F2810)-IF($G2810="",0,$G2810))</f>
        <v/>
      </c>
      <c r="I2810" s="12" t="n"/>
      <c r="J2810" s="12" t="n"/>
      <c r="K2810" s="12" t="n"/>
      <c r="L2810" s="14" t="n"/>
      <c r="M2810" s="12" t="n"/>
      <c r="N2810" s="12" t="n"/>
      <c r="O2810" s="12" t="n"/>
    </row>
    <row r="2811">
      <c r="A2811" s="12" t="n"/>
      <c r="B2811" s="13">
        <f>IF($A2811="","",IFERROR(INDEX(Emp_Names,MATCH($A2811,Emp_Codes,0)),"NOT FOUND"))</f>
        <v/>
      </c>
      <c r="C2811" s="14" t="n"/>
      <c r="D2811" s="15" t="n"/>
      <c r="E2811" s="15" t="n"/>
      <c r="F2811" s="15" t="n"/>
      <c r="G2811" s="15" t="n"/>
      <c r="H2811" s="16">
        <f>IF($A2811="","",$D2811+IF($E2811="",0,$E2811)+IF($F2811="",0,$F2811)-IF($G2811="",0,$G2811))</f>
        <v/>
      </c>
      <c r="I2811" s="12" t="n"/>
      <c r="J2811" s="12" t="n"/>
      <c r="K2811" s="12" t="n"/>
      <c r="L2811" s="14" t="n"/>
      <c r="M2811" s="12" t="n"/>
      <c r="N2811" s="12" t="n"/>
      <c r="O2811" s="12" t="n"/>
    </row>
    <row r="2812">
      <c r="A2812" s="12" t="n"/>
      <c r="B2812" s="13">
        <f>IF($A2812="","",IFERROR(INDEX(Emp_Names,MATCH($A2812,Emp_Codes,0)),"NOT FOUND"))</f>
        <v/>
      </c>
      <c r="C2812" s="14" t="n"/>
      <c r="D2812" s="15" t="n"/>
      <c r="E2812" s="15" t="n"/>
      <c r="F2812" s="15" t="n"/>
      <c r="G2812" s="15" t="n"/>
      <c r="H2812" s="16">
        <f>IF($A2812="","",$D2812+IF($E2812="",0,$E2812)+IF($F2812="",0,$F2812)-IF($G2812="",0,$G2812))</f>
        <v/>
      </c>
      <c r="I2812" s="12" t="n"/>
      <c r="J2812" s="12" t="n"/>
      <c r="K2812" s="12" t="n"/>
      <c r="L2812" s="14" t="n"/>
      <c r="M2812" s="12" t="n"/>
      <c r="N2812" s="12" t="n"/>
      <c r="O2812" s="12" t="n"/>
    </row>
    <row r="2813">
      <c r="A2813" s="12" t="n"/>
      <c r="B2813" s="13">
        <f>IF($A2813="","",IFERROR(INDEX(Emp_Names,MATCH($A2813,Emp_Codes,0)),"NOT FOUND"))</f>
        <v/>
      </c>
      <c r="C2813" s="14" t="n"/>
      <c r="D2813" s="15" t="n"/>
      <c r="E2813" s="15" t="n"/>
      <c r="F2813" s="15" t="n"/>
      <c r="G2813" s="15" t="n"/>
      <c r="H2813" s="16">
        <f>IF($A2813="","",$D2813+IF($E2813="",0,$E2813)+IF($F2813="",0,$F2813)-IF($G2813="",0,$G2813))</f>
        <v/>
      </c>
      <c r="I2813" s="12" t="n"/>
      <c r="J2813" s="12" t="n"/>
      <c r="K2813" s="12" t="n"/>
      <c r="L2813" s="14" t="n"/>
      <c r="M2813" s="12" t="n"/>
      <c r="N2813" s="12" t="n"/>
      <c r="O2813" s="12" t="n"/>
    </row>
    <row r="2814">
      <c r="A2814" s="12" t="n"/>
      <c r="B2814" s="13">
        <f>IF($A2814="","",IFERROR(INDEX(Emp_Names,MATCH($A2814,Emp_Codes,0)),"NOT FOUND"))</f>
        <v/>
      </c>
      <c r="C2814" s="14" t="n"/>
      <c r="D2814" s="15" t="n"/>
      <c r="E2814" s="15" t="n"/>
      <c r="F2814" s="15" t="n"/>
      <c r="G2814" s="15" t="n"/>
      <c r="H2814" s="16">
        <f>IF($A2814="","",$D2814+IF($E2814="",0,$E2814)+IF($F2814="",0,$F2814)-IF($G2814="",0,$G2814))</f>
        <v/>
      </c>
      <c r="I2814" s="12" t="n"/>
      <c r="J2814" s="12" t="n"/>
      <c r="K2814" s="12" t="n"/>
      <c r="L2814" s="14" t="n"/>
      <c r="M2814" s="12" t="n"/>
      <c r="N2814" s="12" t="n"/>
      <c r="O2814" s="12" t="n"/>
    </row>
    <row r="2815">
      <c r="A2815" s="12" t="n"/>
      <c r="B2815" s="13">
        <f>IF($A2815="","",IFERROR(INDEX(Emp_Names,MATCH($A2815,Emp_Codes,0)),"NOT FOUND"))</f>
        <v/>
      </c>
      <c r="C2815" s="14" t="n"/>
      <c r="D2815" s="15" t="n"/>
      <c r="E2815" s="15" t="n"/>
      <c r="F2815" s="15" t="n"/>
      <c r="G2815" s="15" t="n"/>
      <c r="H2815" s="16">
        <f>IF($A2815="","",$D2815+IF($E2815="",0,$E2815)+IF($F2815="",0,$F2815)-IF($G2815="",0,$G2815))</f>
        <v/>
      </c>
      <c r="I2815" s="12" t="n"/>
      <c r="J2815" s="12" t="n"/>
      <c r="K2815" s="12" t="n"/>
      <c r="L2815" s="14" t="n"/>
      <c r="M2815" s="12" t="n"/>
      <c r="N2815" s="12" t="n"/>
      <c r="O2815" s="12" t="n"/>
    </row>
    <row r="2816">
      <c r="A2816" s="12" t="n"/>
      <c r="B2816" s="13">
        <f>IF($A2816="","",IFERROR(INDEX(Emp_Names,MATCH($A2816,Emp_Codes,0)),"NOT FOUND"))</f>
        <v/>
      </c>
      <c r="C2816" s="14" t="n"/>
      <c r="D2816" s="15" t="n"/>
      <c r="E2816" s="15" t="n"/>
      <c r="F2816" s="15" t="n"/>
      <c r="G2816" s="15" t="n"/>
      <c r="H2816" s="16">
        <f>IF($A2816="","",$D2816+IF($E2816="",0,$E2816)+IF($F2816="",0,$F2816)-IF($G2816="",0,$G2816))</f>
        <v/>
      </c>
      <c r="I2816" s="12" t="n"/>
      <c r="J2816" s="12" t="n"/>
      <c r="K2816" s="12" t="n"/>
      <c r="L2816" s="14" t="n"/>
      <c r="M2816" s="12" t="n"/>
      <c r="N2816" s="12" t="n"/>
      <c r="O2816" s="12" t="n"/>
    </row>
    <row r="2817">
      <c r="A2817" s="12" t="n"/>
      <c r="B2817" s="13">
        <f>IF($A2817="","",IFERROR(INDEX(Emp_Names,MATCH($A2817,Emp_Codes,0)),"NOT FOUND"))</f>
        <v/>
      </c>
      <c r="C2817" s="14" t="n"/>
      <c r="D2817" s="15" t="n"/>
      <c r="E2817" s="15" t="n"/>
      <c r="F2817" s="15" t="n"/>
      <c r="G2817" s="15" t="n"/>
      <c r="H2817" s="16">
        <f>IF($A2817="","",$D2817+IF($E2817="",0,$E2817)+IF($F2817="",0,$F2817)-IF($G2817="",0,$G2817))</f>
        <v/>
      </c>
      <c r="I2817" s="12" t="n"/>
      <c r="J2817" s="12" t="n"/>
      <c r="K2817" s="12" t="n"/>
      <c r="L2817" s="14" t="n"/>
      <c r="M2817" s="12" t="n"/>
      <c r="N2817" s="12" t="n"/>
      <c r="O2817" s="12" t="n"/>
    </row>
    <row r="2818">
      <c r="A2818" s="12" t="n"/>
      <c r="B2818" s="13">
        <f>IF($A2818="","",IFERROR(INDEX(Emp_Names,MATCH($A2818,Emp_Codes,0)),"NOT FOUND"))</f>
        <v/>
      </c>
      <c r="C2818" s="14" t="n"/>
      <c r="D2818" s="15" t="n"/>
      <c r="E2818" s="15" t="n"/>
      <c r="F2818" s="15" t="n"/>
      <c r="G2818" s="15" t="n"/>
      <c r="H2818" s="16">
        <f>IF($A2818="","",$D2818+IF($E2818="",0,$E2818)+IF($F2818="",0,$F2818)-IF($G2818="",0,$G2818))</f>
        <v/>
      </c>
      <c r="I2818" s="12" t="n"/>
      <c r="J2818" s="12" t="n"/>
      <c r="K2818" s="12" t="n"/>
      <c r="L2818" s="14" t="n"/>
      <c r="M2818" s="12" t="n"/>
      <c r="N2818" s="12" t="n"/>
      <c r="O2818" s="12" t="n"/>
    </row>
    <row r="2819">
      <c r="A2819" s="12" t="n"/>
      <c r="B2819" s="13">
        <f>IF($A2819="","",IFERROR(INDEX(Emp_Names,MATCH($A2819,Emp_Codes,0)),"NOT FOUND"))</f>
        <v/>
      </c>
      <c r="C2819" s="14" t="n"/>
      <c r="D2819" s="15" t="n"/>
      <c r="E2819" s="15" t="n"/>
      <c r="F2819" s="15" t="n"/>
      <c r="G2819" s="15" t="n"/>
      <c r="H2819" s="16">
        <f>IF($A2819="","",$D2819+IF($E2819="",0,$E2819)+IF($F2819="",0,$F2819)-IF($G2819="",0,$G2819))</f>
        <v/>
      </c>
      <c r="I2819" s="12" t="n"/>
      <c r="J2819" s="12" t="n"/>
      <c r="K2819" s="12" t="n"/>
      <c r="L2819" s="14" t="n"/>
      <c r="M2819" s="12" t="n"/>
      <c r="N2819" s="12" t="n"/>
      <c r="O2819" s="12" t="n"/>
    </row>
    <row r="2820">
      <c r="A2820" s="12" t="n"/>
      <c r="B2820" s="13">
        <f>IF($A2820="","",IFERROR(INDEX(Emp_Names,MATCH($A2820,Emp_Codes,0)),"NOT FOUND"))</f>
        <v/>
      </c>
      <c r="C2820" s="14" t="n"/>
      <c r="D2820" s="15" t="n"/>
      <c r="E2820" s="15" t="n"/>
      <c r="F2820" s="15" t="n"/>
      <c r="G2820" s="15" t="n"/>
      <c r="H2820" s="16">
        <f>IF($A2820="","",$D2820+IF($E2820="",0,$E2820)+IF($F2820="",0,$F2820)-IF($G2820="",0,$G2820))</f>
        <v/>
      </c>
      <c r="I2820" s="12" t="n"/>
      <c r="J2820" s="12" t="n"/>
      <c r="K2820" s="12" t="n"/>
      <c r="L2820" s="14" t="n"/>
      <c r="M2820" s="12" t="n"/>
      <c r="N2820" s="12" t="n"/>
      <c r="O2820" s="12" t="n"/>
    </row>
    <row r="2821">
      <c r="A2821" s="12" t="n"/>
      <c r="B2821" s="13">
        <f>IF($A2821="","",IFERROR(INDEX(Emp_Names,MATCH($A2821,Emp_Codes,0)),"NOT FOUND"))</f>
        <v/>
      </c>
      <c r="C2821" s="14" t="n"/>
      <c r="D2821" s="15" t="n"/>
      <c r="E2821" s="15" t="n"/>
      <c r="F2821" s="15" t="n"/>
      <c r="G2821" s="15" t="n"/>
      <c r="H2821" s="16">
        <f>IF($A2821="","",$D2821+IF($E2821="",0,$E2821)+IF($F2821="",0,$F2821)-IF($G2821="",0,$G2821))</f>
        <v/>
      </c>
      <c r="I2821" s="12" t="n"/>
      <c r="J2821" s="12" t="n"/>
      <c r="K2821" s="12" t="n"/>
      <c r="L2821" s="14" t="n"/>
      <c r="M2821" s="12" t="n"/>
      <c r="N2821" s="12" t="n"/>
      <c r="O2821" s="12" t="n"/>
    </row>
    <row r="2822">
      <c r="A2822" s="12" t="n"/>
      <c r="B2822" s="13">
        <f>IF($A2822="","",IFERROR(INDEX(Emp_Names,MATCH($A2822,Emp_Codes,0)),"NOT FOUND"))</f>
        <v/>
      </c>
      <c r="C2822" s="14" t="n"/>
      <c r="D2822" s="15" t="n"/>
      <c r="E2822" s="15" t="n"/>
      <c r="F2822" s="15" t="n"/>
      <c r="G2822" s="15" t="n"/>
      <c r="H2822" s="16">
        <f>IF($A2822="","",$D2822+IF($E2822="",0,$E2822)+IF($F2822="",0,$F2822)-IF($G2822="",0,$G2822))</f>
        <v/>
      </c>
      <c r="I2822" s="12" t="n"/>
      <c r="J2822" s="12" t="n"/>
      <c r="K2822" s="12" t="n"/>
      <c r="L2822" s="14" t="n"/>
      <c r="M2822" s="12" t="n"/>
      <c r="N2822" s="12" t="n"/>
      <c r="O2822" s="12" t="n"/>
    </row>
    <row r="2823">
      <c r="A2823" s="12" t="n"/>
      <c r="B2823" s="13">
        <f>IF($A2823="","",IFERROR(INDEX(Emp_Names,MATCH($A2823,Emp_Codes,0)),"NOT FOUND"))</f>
        <v/>
      </c>
      <c r="C2823" s="14" t="n"/>
      <c r="D2823" s="15" t="n"/>
      <c r="E2823" s="15" t="n"/>
      <c r="F2823" s="15" t="n"/>
      <c r="G2823" s="15" t="n"/>
      <c r="H2823" s="16">
        <f>IF($A2823="","",$D2823+IF($E2823="",0,$E2823)+IF($F2823="",0,$F2823)-IF($G2823="",0,$G2823))</f>
        <v/>
      </c>
      <c r="I2823" s="12" t="n"/>
      <c r="J2823" s="12" t="n"/>
      <c r="K2823" s="12" t="n"/>
      <c r="L2823" s="14" t="n"/>
      <c r="M2823" s="12" t="n"/>
      <c r="N2823" s="12" t="n"/>
      <c r="O2823" s="12" t="n"/>
    </row>
    <row r="2824">
      <c r="A2824" s="12" t="n"/>
      <c r="B2824" s="13">
        <f>IF($A2824="","",IFERROR(INDEX(Emp_Names,MATCH($A2824,Emp_Codes,0)),"NOT FOUND"))</f>
        <v/>
      </c>
      <c r="C2824" s="14" t="n"/>
      <c r="D2824" s="15" t="n"/>
      <c r="E2824" s="15" t="n"/>
      <c r="F2824" s="15" t="n"/>
      <c r="G2824" s="15" t="n"/>
      <c r="H2824" s="16">
        <f>IF($A2824="","",$D2824+IF($E2824="",0,$E2824)+IF($F2824="",0,$F2824)-IF($G2824="",0,$G2824))</f>
        <v/>
      </c>
      <c r="I2824" s="12" t="n"/>
      <c r="J2824" s="12" t="n"/>
      <c r="K2824" s="12" t="n"/>
      <c r="L2824" s="14" t="n"/>
      <c r="M2824" s="12" t="n"/>
      <c r="N2824" s="12" t="n"/>
      <c r="O2824" s="12" t="n"/>
    </row>
    <row r="2825">
      <c r="A2825" s="12" t="n"/>
      <c r="B2825" s="13">
        <f>IF($A2825="","",IFERROR(INDEX(Emp_Names,MATCH($A2825,Emp_Codes,0)),"NOT FOUND"))</f>
        <v/>
      </c>
      <c r="C2825" s="14" t="n"/>
      <c r="D2825" s="15" t="n"/>
      <c r="E2825" s="15" t="n"/>
      <c r="F2825" s="15" t="n"/>
      <c r="G2825" s="15" t="n"/>
      <c r="H2825" s="16">
        <f>IF($A2825="","",$D2825+IF($E2825="",0,$E2825)+IF($F2825="",0,$F2825)-IF($G2825="",0,$G2825))</f>
        <v/>
      </c>
      <c r="I2825" s="12" t="n"/>
      <c r="J2825" s="12" t="n"/>
      <c r="K2825" s="12" t="n"/>
      <c r="L2825" s="14" t="n"/>
      <c r="M2825" s="12" t="n"/>
      <c r="N2825" s="12" t="n"/>
      <c r="O2825" s="12" t="n"/>
    </row>
    <row r="2826">
      <c r="A2826" s="12" t="n"/>
      <c r="B2826" s="13">
        <f>IF($A2826="","",IFERROR(INDEX(Emp_Names,MATCH($A2826,Emp_Codes,0)),"NOT FOUND"))</f>
        <v/>
      </c>
      <c r="C2826" s="14" t="n"/>
      <c r="D2826" s="15" t="n"/>
      <c r="E2826" s="15" t="n"/>
      <c r="F2826" s="15" t="n"/>
      <c r="G2826" s="15" t="n"/>
      <c r="H2826" s="16">
        <f>IF($A2826="","",$D2826+IF($E2826="",0,$E2826)+IF($F2826="",0,$F2826)-IF($G2826="",0,$G2826))</f>
        <v/>
      </c>
      <c r="I2826" s="12" t="n"/>
      <c r="J2826" s="12" t="n"/>
      <c r="K2826" s="12" t="n"/>
      <c r="L2826" s="14" t="n"/>
      <c r="M2826" s="12" t="n"/>
      <c r="N2826" s="12" t="n"/>
      <c r="O2826" s="12" t="n"/>
    </row>
    <row r="2827">
      <c r="A2827" s="12" t="n"/>
      <c r="B2827" s="13">
        <f>IF($A2827="","",IFERROR(INDEX(Emp_Names,MATCH($A2827,Emp_Codes,0)),"NOT FOUND"))</f>
        <v/>
      </c>
      <c r="C2827" s="14" t="n"/>
      <c r="D2827" s="15" t="n"/>
      <c r="E2827" s="15" t="n"/>
      <c r="F2827" s="15" t="n"/>
      <c r="G2827" s="15" t="n"/>
      <c r="H2827" s="16">
        <f>IF($A2827="","",$D2827+IF($E2827="",0,$E2827)+IF($F2827="",0,$F2827)-IF($G2827="",0,$G2827))</f>
        <v/>
      </c>
      <c r="I2827" s="12" t="n"/>
      <c r="J2827" s="12" t="n"/>
      <c r="K2827" s="12" t="n"/>
      <c r="L2827" s="14" t="n"/>
      <c r="M2827" s="12" t="n"/>
      <c r="N2827" s="12" t="n"/>
      <c r="O2827" s="12" t="n"/>
    </row>
    <row r="2828">
      <c r="A2828" s="12" t="n"/>
      <c r="B2828" s="13">
        <f>IF($A2828="","",IFERROR(INDEX(Emp_Names,MATCH($A2828,Emp_Codes,0)),"NOT FOUND"))</f>
        <v/>
      </c>
      <c r="C2828" s="14" t="n"/>
      <c r="D2828" s="15" t="n"/>
      <c r="E2828" s="15" t="n"/>
      <c r="F2828" s="15" t="n"/>
      <c r="G2828" s="15" t="n"/>
      <c r="H2828" s="16">
        <f>IF($A2828="","",$D2828+IF($E2828="",0,$E2828)+IF($F2828="",0,$F2828)-IF($G2828="",0,$G2828))</f>
        <v/>
      </c>
      <c r="I2828" s="12" t="n"/>
      <c r="J2828" s="12" t="n"/>
      <c r="K2828" s="12" t="n"/>
      <c r="L2828" s="14" t="n"/>
      <c r="M2828" s="12" t="n"/>
      <c r="N2828" s="12" t="n"/>
      <c r="O2828" s="12" t="n"/>
    </row>
    <row r="2829">
      <c r="A2829" s="12" t="n"/>
      <c r="B2829" s="13">
        <f>IF($A2829="","",IFERROR(INDEX(Emp_Names,MATCH($A2829,Emp_Codes,0)),"NOT FOUND"))</f>
        <v/>
      </c>
      <c r="C2829" s="14" t="n"/>
      <c r="D2829" s="15" t="n"/>
      <c r="E2829" s="15" t="n"/>
      <c r="F2829" s="15" t="n"/>
      <c r="G2829" s="15" t="n"/>
      <c r="H2829" s="16">
        <f>IF($A2829="","",$D2829+IF($E2829="",0,$E2829)+IF($F2829="",0,$F2829)-IF($G2829="",0,$G2829))</f>
        <v/>
      </c>
      <c r="I2829" s="12" t="n"/>
      <c r="J2829" s="12" t="n"/>
      <c r="K2829" s="12" t="n"/>
      <c r="L2829" s="14" t="n"/>
      <c r="M2829" s="12" t="n"/>
      <c r="N2829" s="12" t="n"/>
      <c r="O2829" s="12" t="n"/>
    </row>
    <row r="2830">
      <c r="A2830" s="12" t="n"/>
      <c r="B2830" s="13">
        <f>IF($A2830="","",IFERROR(INDEX(Emp_Names,MATCH($A2830,Emp_Codes,0)),"NOT FOUND"))</f>
        <v/>
      </c>
      <c r="C2830" s="14" t="n"/>
      <c r="D2830" s="15" t="n"/>
      <c r="E2830" s="15" t="n"/>
      <c r="F2830" s="15" t="n"/>
      <c r="G2830" s="15" t="n"/>
      <c r="H2830" s="16">
        <f>IF($A2830="","",$D2830+IF($E2830="",0,$E2830)+IF($F2830="",0,$F2830)-IF($G2830="",0,$G2830))</f>
        <v/>
      </c>
      <c r="I2830" s="12" t="n"/>
      <c r="J2830" s="12" t="n"/>
      <c r="K2830" s="12" t="n"/>
      <c r="L2830" s="14" t="n"/>
      <c r="M2830" s="12" t="n"/>
      <c r="N2830" s="12" t="n"/>
      <c r="O2830" s="12" t="n"/>
    </row>
    <row r="2831">
      <c r="A2831" s="12" t="n"/>
      <c r="B2831" s="13">
        <f>IF($A2831="","",IFERROR(INDEX(Emp_Names,MATCH($A2831,Emp_Codes,0)),"NOT FOUND"))</f>
        <v/>
      </c>
      <c r="C2831" s="14" t="n"/>
      <c r="D2831" s="15" t="n"/>
      <c r="E2831" s="15" t="n"/>
      <c r="F2831" s="15" t="n"/>
      <c r="G2831" s="15" t="n"/>
      <c r="H2831" s="16">
        <f>IF($A2831="","",$D2831+IF($E2831="",0,$E2831)+IF($F2831="",0,$F2831)-IF($G2831="",0,$G2831))</f>
        <v/>
      </c>
      <c r="I2831" s="12" t="n"/>
      <c r="J2831" s="12" t="n"/>
      <c r="K2831" s="12" t="n"/>
      <c r="L2831" s="14" t="n"/>
      <c r="M2831" s="12" t="n"/>
      <c r="N2831" s="12" t="n"/>
      <c r="O2831" s="12" t="n"/>
    </row>
    <row r="2832">
      <c r="A2832" s="12" t="n"/>
      <c r="B2832" s="13">
        <f>IF($A2832="","",IFERROR(INDEX(Emp_Names,MATCH($A2832,Emp_Codes,0)),"NOT FOUND"))</f>
        <v/>
      </c>
      <c r="C2832" s="14" t="n"/>
      <c r="D2832" s="15" t="n"/>
      <c r="E2832" s="15" t="n"/>
      <c r="F2832" s="15" t="n"/>
      <c r="G2832" s="15" t="n"/>
      <c r="H2832" s="16">
        <f>IF($A2832="","",$D2832+IF($E2832="",0,$E2832)+IF($F2832="",0,$F2832)-IF($G2832="",0,$G2832))</f>
        <v/>
      </c>
      <c r="I2832" s="12" t="n"/>
      <c r="J2832" s="12" t="n"/>
      <c r="K2832" s="12" t="n"/>
      <c r="L2832" s="14" t="n"/>
      <c r="M2832" s="12" t="n"/>
      <c r="N2832" s="12" t="n"/>
      <c r="O2832" s="12" t="n"/>
    </row>
    <row r="2833">
      <c r="A2833" s="12" t="n"/>
      <c r="B2833" s="13">
        <f>IF($A2833="","",IFERROR(INDEX(Emp_Names,MATCH($A2833,Emp_Codes,0)),"NOT FOUND"))</f>
        <v/>
      </c>
      <c r="C2833" s="14" t="n"/>
      <c r="D2833" s="15" t="n"/>
      <c r="E2833" s="15" t="n"/>
      <c r="F2833" s="15" t="n"/>
      <c r="G2833" s="15" t="n"/>
      <c r="H2833" s="16">
        <f>IF($A2833="","",$D2833+IF($E2833="",0,$E2833)+IF($F2833="",0,$F2833)-IF($G2833="",0,$G2833))</f>
        <v/>
      </c>
      <c r="I2833" s="12" t="n"/>
      <c r="J2833" s="12" t="n"/>
      <c r="K2833" s="12" t="n"/>
      <c r="L2833" s="14" t="n"/>
      <c r="M2833" s="12" t="n"/>
      <c r="N2833" s="12" t="n"/>
      <c r="O2833" s="12" t="n"/>
    </row>
    <row r="2834">
      <c r="A2834" s="12" t="n"/>
      <c r="B2834" s="13">
        <f>IF($A2834="","",IFERROR(INDEX(Emp_Names,MATCH($A2834,Emp_Codes,0)),"NOT FOUND"))</f>
        <v/>
      </c>
      <c r="C2834" s="14" t="n"/>
      <c r="D2834" s="15" t="n"/>
      <c r="E2834" s="15" t="n"/>
      <c r="F2834" s="15" t="n"/>
      <c r="G2834" s="15" t="n"/>
      <c r="H2834" s="16">
        <f>IF($A2834="","",$D2834+IF($E2834="",0,$E2834)+IF($F2834="",0,$F2834)-IF($G2834="",0,$G2834))</f>
        <v/>
      </c>
      <c r="I2834" s="12" t="n"/>
      <c r="J2834" s="12" t="n"/>
      <c r="K2834" s="12" t="n"/>
      <c r="L2834" s="14" t="n"/>
      <c r="M2834" s="12" t="n"/>
      <c r="N2834" s="12" t="n"/>
      <c r="O2834" s="12" t="n"/>
    </row>
    <row r="2835">
      <c r="A2835" s="12" t="n"/>
      <c r="B2835" s="13">
        <f>IF($A2835="","",IFERROR(INDEX(Emp_Names,MATCH($A2835,Emp_Codes,0)),"NOT FOUND"))</f>
        <v/>
      </c>
      <c r="C2835" s="14" t="n"/>
      <c r="D2835" s="15" t="n"/>
      <c r="E2835" s="15" t="n"/>
      <c r="F2835" s="15" t="n"/>
      <c r="G2835" s="15" t="n"/>
      <c r="H2835" s="16">
        <f>IF($A2835="","",$D2835+IF($E2835="",0,$E2835)+IF($F2835="",0,$F2835)-IF($G2835="",0,$G2835))</f>
        <v/>
      </c>
      <c r="I2835" s="12" t="n"/>
      <c r="J2835" s="12" t="n"/>
      <c r="K2835" s="12" t="n"/>
      <c r="L2835" s="14" t="n"/>
      <c r="M2835" s="12" t="n"/>
      <c r="N2835" s="12" t="n"/>
      <c r="O2835" s="12" t="n"/>
    </row>
    <row r="2836">
      <c r="A2836" s="12" t="n"/>
      <c r="B2836" s="13">
        <f>IF($A2836="","",IFERROR(INDEX(Emp_Names,MATCH($A2836,Emp_Codes,0)),"NOT FOUND"))</f>
        <v/>
      </c>
      <c r="C2836" s="14" t="n"/>
      <c r="D2836" s="15" t="n"/>
      <c r="E2836" s="15" t="n"/>
      <c r="F2836" s="15" t="n"/>
      <c r="G2836" s="15" t="n"/>
      <c r="H2836" s="16">
        <f>IF($A2836="","",$D2836+IF($E2836="",0,$E2836)+IF($F2836="",0,$F2836)-IF($G2836="",0,$G2836))</f>
        <v/>
      </c>
      <c r="I2836" s="12" t="n"/>
      <c r="J2836" s="12" t="n"/>
      <c r="K2836" s="12" t="n"/>
      <c r="L2836" s="14" t="n"/>
      <c r="M2836" s="12" t="n"/>
      <c r="N2836" s="12" t="n"/>
      <c r="O2836" s="12" t="n"/>
    </row>
    <row r="2837">
      <c r="A2837" s="12" t="n"/>
      <c r="B2837" s="13">
        <f>IF($A2837="","",IFERROR(INDEX(Emp_Names,MATCH($A2837,Emp_Codes,0)),"NOT FOUND"))</f>
        <v/>
      </c>
      <c r="C2837" s="14" t="n"/>
      <c r="D2837" s="15" t="n"/>
      <c r="E2837" s="15" t="n"/>
      <c r="F2837" s="15" t="n"/>
      <c r="G2837" s="15" t="n"/>
      <c r="H2837" s="16">
        <f>IF($A2837="","",$D2837+IF($E2837="",0,$E2837)+IF($F2837="",0,$F2837)-IF($G2837="",0,$G2837))</f>
        <v/>
      </c>
      <c r="I2837" s="12" t="n"/>
      <c r="J2837" s="12" t="n"/>
      <c r="K2837" s="12" t="n"/>
      <c r="L2837" s="14" t="n"/>
      <c r="M2837" s="12" t="n"/>
      <c r="N2837" s="12" t="n"/>
      <c r="O2837" s="12" t="n"/>
    </row>
    <row r="2838">
      <c r="A2838" s="12" t="n"/>
      <c r="B2838" s="13">
        <f>IF($A2838="","",IFERROR(INDEX(Emp_Names,MATCH($A2838,Emp_Codes,0)),"NOT FOUND"))</f>
        <v/>
      </c>
      <c r="C2838" s="14" t="n"/>
      <c r="D2838" s="15" t="n"/>
      <c r="E2838" s="15" t="n"/>
      <c r="F2838" s="15" t="n"/>
      <c r="G2838" s="15" t="n"/>
      <c r="H2838" s="16">
        <f>IF($A2838="","",$D2838+IF($E2838="",0,$E2838)+IF($F2838="",0,$F2838)-IF($G2838="",0,$G2838))</f>
        <v/>
      </c>
      <c r="I2838" s="12" t="n"/>
      <c r="J2838" s="12" t="n"/>
      <c r="K2838" s="12" t="n"/>
      <c r="L2838" s="14" t="n"/>
      <c r="M2838" s="12" t="n"/>
      <c r="N2838" s="12" t="n"/>
      <c r="O2838" s="12" t="n"/>
    </row>
    <row r="2839">
      <c r="A2839" s="12" t="n"/>
      <c r="B2839" s="13">
        <f>IF($A2839="","",IFERROR(INDEX(Emp_Names,MATCH($A2839,Emp_Codes,0)),"NOT FOUND"))</f>
        <v/>
      </c>
      <c r="C2839" s="14" t="n"/>
      <c r="D2839" s="15" t="n"/>
      <c r="E2839" s="15" t="n"/>
      <c r="F2839" s="15" t="n"/>
      <c r="G2839" s="15" t="n"/>
      <c r="H2839" s="16">
        <f>IF($A2839="","",$D2839+IF($E2839="",0,$E2839)+IF($F2839="",0,$F2839)-IF($G2839="",0,$G2839))</f>
        <v/>
      </c>
      <c r="I2839" s="12" t="n"/>
      <c r="J2839" s="12" t="n"/>
      <c r="K2839" s="12" t="n"/>
      <c r="L2839" s="14" t="n"/>
      <c r="M2839" s="12" t="n"/>
      <c r="N2839" s="12" t="n"/>
      <c r="O2839" s="12" t="n"/>
    </row>
    <row r="2840">
      <c r="A2840" s="12" t="n"/>
      <c r="B2840" s="13">
        <f>IF($A2840="","",IFERROR(INDEX(Emp_Names,MATCH($A2840,Emp_Codes,0)),"NOT FOUND"))</f>
        <v/>
      </c>
      <c r="C2840" s="14" t="n"/>
      <c r="D2840" s="15" t="n"/>
      <c r="E2840" s="15" t="n"/>
      <c r="F2840" s="15" t="n"/>
      <c r="G2840" s="15" t="n"/>
      <c r="H2840" s="16">
        <f>IF($A2840="","",$D2840+IF($E2840="",0,$E2840)+IF($F2840="",0,$F2840)-IF($G2840="",0,$G2840))</f>
        <v/>
      </c>
      <c r="I2840" s="12" t="n"/>
      <c r="J2840" s="12" t="n"/>
      <c r="K2840" s="12" t="n"/>
      <c r="L2840" s="14" t="n"/>
      <c r="M2840" s="12" t="n"/>
      <c r="N2840" s="12" t="n"/>
      <c r="O2840" s="12" t="n"/>
    </row>
    <row r="2841">
      <c r="A2841" s="12" t="n"/>
      <c r="B2841" s="13">
        <f>IF($A2841="","",IFERROR(INDEX(Emp_Names,MATCH($A2841,Emp_Codes,0)),"NOT FOUND"))</f>
        <v/>
      </c>
      <c r="C2841" s="14" t="n"/>
      <c r="D2841" s="15" t="n"/>
      <c r="E2841" s="15" t="n"/>
      <c r="F2841" s="15" t="n"/>
      <c r="G2841" s="15" t="n"/>
      <c r="H2841" s="16">
        <f>IF($A2841="","",$D2841+IF($E2841="",0,$E2841)+IF($F2841="",0,$F2841)-IF($G2841="",0,$G2841))</f>
        <v/>
      </c>
      <c r="I2841" s="12" t="n"/>
      <c r="J2841" s="12" t="n"/>
      <c r="K2841" s="12" t="n"/>
      <c r="L2841" s="14" t="n"/>
      <c r="M2841" s="12" t="n"/>
      <c r="N2841" s="12" t="n"/>
      <c r="O2841" s="12" t="n"/>
    </row>
    <row r="2842">
      <c r="A2842" s="12" t="n"/>
      <c r="B2842" s="13">
        <f>IF($A2842="","",IFERROR(INDEX(Emp_Names,MATCH($A2842,Emp_Codes,0)),"NOT FOUND"))</f>
        <v/>
      </c>
      <c r="C2842" s="14" t="n"/>
      <c r="D2842" s="15" t="n"/>
      <c r="E2842" s="15" t="n"/>
      <c r="F2842" s="15" t="n"/>
      <c r="G2842" s="15" t="n"/>
      <c r="H2842" s="16">
        <f>IF($A2842="","",$D2842+IF($E2842="",0,$E2842)+IF($F2842="",0,$F2842)-IF($G2842="",0,$G2842))</f>
        <v/>
      </c>
      <c r="I2842" s="12" t="n"/>
      <c r="J2842" s="12" t="n"/>
      <c r="K2842" s="12" t="n"/>
      <c r="L2842" s="14" t="n"/>
      <c r="M2842" s="12" t="n"/>
      <c r="N2842" s="12" t="n"/>
      <c r="O2842" s="12" t="n"/>
    </row>
    <row r="2843">
      <c r="A2843" s="12" t="n"/>
      <c r="B2843" s="13">
        <f>IF($A2843="","",IFERROR(INDEX(Emp_Names,MATCH($A2843,Emp_Codes,0)),"NOT FOUND"))</f>
        <v/>
      </c>
      <c r="C2843" s="14" t="n"/>
      <c r="D2843" s="15" t="n"/>
      <c r="E2843" s="15" t="n"/>
      <c r="F2843" s="15" t="n"/>
      <c r="G2843" s="15" t="n"/>
      <c r="H2843" s="16">
        <f>IF($A2843="","",$D2843+IF($E2843="",0,$E2843)+IF($F2843="",0,$F2843)-IF($G2843="",0,$G2843))</f>
        <v/>
      </c>
      <c r="I2843" s="12" t="n"/>
      <c r="J2843" s="12" t="n"/>
      <c r="K2843" s="12" t="n"/>
      <c r="L2843" s="14" t="n"/>
      <c r="M2843" s="12" t="n"/>
      <c r="N2843" s="12" t="n"/>
      <c r="O2843" s="12" t="n"/>
    </row>
    <row r="2844">
      <c r="A2844" s="12" t="n"/>
      <c r="B2844" s="13">
        <f>IF($A2844="","",IFERROR(INDEX(Emp_Names,MATCH($A2844,Emp_Codes,0)),"NOT FOUND"))</f>
        <v/>
      </c>
      <c r="C2844" s="14" t="n"/>
      <c r="D2844" s="15" t="n"/>
      <c r="E2844" s="15" t="n"/>
      <c r="F2844" s="15" t="n"/>
      <c r="G2844" s="15" t="n"/>
      <c r="H2844" s="16">
        <f>IF($A2844="","",$D2844+IF($E2844="",0,$E2844)+IF($F2844="",0,$F2844)-IF($G2844="",0,$G2844))</f>
        <v/>
      </c>
      <c r="I2844" s="12" t="n"/>
      <c r="J2844" s="12" t="n"/>
      <c r="K2844" s="12" t="n"/>
      <c r="L2844" s="14" t="n"/>
      <c r="M2844" s="12" t="n"/>
      <c r="N2844" s="12" t="n"/>
      <c r="O2844" s="12" t="n"/>
    </row>
    <row r="2845">
      <c r="A2845" s="12" t="n"/>
      <c r="B2845" s="13">
        <f>IF($A2845="","",IFERROR(INDEX(Emp_Names,MATCH($A2845,Emp_Codes,0)),"NOT FOUND"))</f>
        <v/>
      </c>
      <c r="C2845" s="14" t="n"/>
      <c r="D2845" s="15" t="n"/>
      <c r="E2845" s="15" t="n"/>
      <c r="F2845" s="15" t="n"/>
      <c r="G2845" s="15" t="n"/>
      <c r="H2845" s="16">
        <f>IF($A2845="","",$D2845+IF($E2845="",0,$E2845)+IF($F2845="",0,$F2845)-IF($G2845="",0,$G2845))</f>
        <v/>
      </c>
      <c r="I2845" s="12" t="n"/>
      <c r="J2845" s="12" t="n"/>
      <c r="K2845" s="12" t="n"/>
      <c r="L2845" s="14" t="n"/>
      <c r="M2845" s="12" t="n"/>
      <c r="N2845" s="12" t="n"/>
      <c r="O2845" s="12" t="n"/>
    </row>
    <row r="2846">
      <c r="A2846" s="12" t="n"/>
      <c r="B2846" s="13">
        <f>IF($A2846="","",IFERROR(INDEX(Emp_Names,MATCH($A2846,Emp_Codes,0)),"NOT FOUND"))</f>
        <v/>
      </c>
      <c r="C2846" s="14" t="n"/>
      <c r="D2846" s="15" t="n"/>
      <c r="E2846" s="15" t="n"/>
      <c r="F2846" s="15" t="n"/>
      <c r="G2846" s="15" t="n"/>
      <c r="H2846" s="16">
        <f>IF($A2846="","",$D2846+IF($E2846="",0,$E2846)+IF($F2846="",0,$F2846)-IF($G2846="",0,$G2846))</f>
        <v/>
      </c>
      <c r="I2846" s="12" t="n"/>
      <c r="J2846" s="12" t="n"/>
      <c r="K2846" s="12" t="n"/>
      <c r="L2846" s="14" t="n"/>
      <c r="M2846" s="12" t="n"/>
      <c r="N2846" s="12" t="n"/>
      <c r="O2846" s="12" t="n"/>
    </row>
    <row r="2847">
      <c r="A2847" s="12" t="n"/>
      <c r="B2847" s="13">
        <f>IF($A2847="","",IFERROR(INDEX(Emp_Names,MATCH($A2847,Emp_Codes,0)),"NOT FOUND"))</f>
        <v/>
      </c>
      <c r="C2847" s="14" t="n"/>
      <c r="D2847" s="15" t="n"/>
      <c r="E2847" s="15" t="n"/>
      <c r="F2847" s="15" t="n"/>
      <c r="G2847" s="15" t="n"/>
      <c r="H2847" s="16">
        <f>IF($A2847="","",$D2847+IF($E2847="",0,$E2847)+IF($F2847="",0,$F2847)-IF($G2847="",0,$G2847))</f>
        <v/>
      </c>
      <c r="I2847" s="12" t="n"/>
      <c r="J2847" s="12" t="n"/>
      <c r="K2847" s="12" t="n"/>
      <c r="L2847" s="14" t="n"/>
      <c r="M2847" s="12" t="n"/>
      <c r="N2847" s="12" t="n"/>
      <c r="O2847" s="12" t="n"/>
    </row>
    <row r="2848">
      <c r="A2848" s="12" t="n"/>
      <c r="B2848" s="13">
        <f>IF($A2848="","",IFERROR(INDEX(Emp_Names,MATCH($A2848,Emp_Codes,0)),"NOT FOUND"))</f>
        <v/>
      </c>
      <c r="C2848" s="14" t="n"/>
      <c r="D2848" s="15" t="n"/>
      <c r="E2848" s="15" t="n"/>
      <c r="F2848" s="15" t="n"/>
      <c r="G2848" s="15" t="n"/>
      <c r="H2848" s="16">
        <f>IF($A2848="","",$D2848+IF($E2848="",0,$E2848)+IF($F2848="",0,$F2848)-IF($G2848="",0,$G2848))</f>
        <v/>
      </c>
      <c r="I2848" s="12" t="n"/>
      <c r="J2848" s="12" t="n"/>
      <c r="K2848" s="12" t="n"/>
      <c r="L2848" s="14" t="n"/>
      <c r="M2848" s="12" t="n"/>
      <c r="N2848" s="12" t="n"/>
      <c r="O2848" s="12" t="n"/>
    </row>
    <row r="2849">
      <c r="A2849" s="12" t="n"/>
      <c r="B2849" s="13">
        <f>IF($A2849="","",IFERROR(INDEX(Emp_Names,MATCH($A2849,Emp_Codes,0)),"NOT FOUND"))</f>
        <v/>
      </c>
      <c r="C2849" s="14" t="n"/>
      <c r="D2849" s="15" t="n"/>
      <c r="E2849" s="15" t="n"/>
      <c r="F2849" s="15" t="n"/>
      <c r="G2849" s="15" t="n"/>
      <c r="H2849" s="16">
        <f>IF($A2849="","",$D2849+IF($E2849="",0,$E2849)+IF($F2849="",0,$F2849)-IF($G2849="",0,$G2849))</f>
        <v/>
      </c>
      <c r="I2849" s="12" t="n"/>
      <c r="J2849" s="12" t="n"/>
      <c r="K2849" s="12" t="n"/>
      <c r="L2849" s="14" t="n"/>
      <c r="M2849" s="12" t="n"/>
      <c r="N2849" s="12" t="n"/>
      <c r="O2849" s="12" t="n"/>
    </row>
    <row r="2850">
      <c r="A2850" s="12" t="n"/>
      <c r="B2850" s="13">
        <f>IF($A2850="","",IFERROR(INDEX(Emp_Names,MATCH($A2850,Emp_Codes,0)),"NOT FOUND"))</f>
        <v/>
      </c>
      <c r="C2850" s="14" t="n"/>
      <c r="D2850" s="15" t="n"/>
      <c r="E2850" s="15" t="n"/>
      <c r="F2850" s="15" t="n"/>
      <c r="G2850" s="15" t="n"/>
      <c r="H2850" s="16">
        <f>IF($A2850="","",$D2850+IF($E2850="",0,$E2850)+IF($F2850="",0,$F2850)-IF($G2850="",0,$G2850))</f>
        <v/>
      </c>
      <c r="I2850" s="12" t="n"/>
      <c r="J2850" s="12" t="n"/>
      <c r="K2850" s="12" t="n"/>
      <c r="L2850" s="14" t="n"/>
      <c r="M2850" s="12" t="n"/>
      <c r="N2850" s="12" t="n"/>
      <c r="O2850" s="12" t="n"/>
    </row>
    <row r="2851">
      <c r="A2851" s="12" t="n"/>
      <c r="B2851" s="13">
        <f>IF($A2851="","",IFERROR(INDEX(Emp_Names,MATCH($A2851,Emp_Codes,0)),"NOT FOUND"))</f>
        <v/>
      </c>
      <c r="C2851" s="14" t="n"/>
      <c r="D2851" s="15" t="n"/>
      <c r="E2851" s="15" t="n"/>
      <c r="F2851" s="15" t="n"/>
      <c r="G2851" s="15" t="n"/>
      <c r="H2851" s="16">
        <f>IF($A2851="","",$D2851+IF($E2851="",0,$E2851)+IF($F2851="",0,$F2851)-IF($G2851="",0,$G2851))</f>
        <v/>
      </c>
      <c r="I2851" s="12" t="n"/>
      <c r="J2851" s="12" t="n"/>
      <c r="K2851" s="12" t="n"/>
      <c r="L2851" s="14" t="n"/>
      <c r="M2851" s="12" t="n"/>
      <c r="N2851" s="12" t="n"/>
      <c r="O2851" s="12" t="n"/>
    </row>
    <row r="2852">
      <c r="A2852" s="12" t="n"/>
      <c r="B2852" s="13">
        <f>IF($A2852="","",IFERROR(INDEX(Emp_Names,MATCH($A2852,Emp_Codes,0)),"NOT FOUND"))</f>
        <v/>
      </c>
      <c r="C2852" s="14" t="n"/>
      <c r="D2852" s="15" t="n"/>
      <c r="E2852" s="15" t="n"/>
      <c r="F2852" s="15" t="n"/>
      <c r="G2852" s="15" t="n"/>
      <c r="H2852" s="16">
        <f>IF($A2852="","",$D2852+IF($E2852="",0,$E2852)+IF($F2852="",0,$F2852)-IF($G2852="",0,$G2852))</f>
        <v/>
      </c>
      <c r="I2852" s="12" t="n"/>
      <c r="J2852" s="12" t="n"/>
      <c r="K2852" s="12" t="n"/>
      <c r="L2852" s="14" t="n"/>
      <c r="M2852" s="12" t="n"/>
      <c r="N2852" s="12" t="n"/>
      <c r="O2852" s="12" t="n"/>
    </row>
    <row r="2853">
      <c r="A2853" s="12" t="n"/>
      <c r="B2853" s="13">
        <f>IF($A2853="","",IFERROR(INDEX(Emp_Names,MATCH($A2853,Emp_Codes,0)),"NOT FOUND"))</f>
        <v/>
      </c>
      <c r="C2853" s="14" t="n"/>
      <c r="D2853" s="15" t="n"/>
      <c r="E2853" s="15" t="n"/>
      <c r="F2853" s="15" t="n"/>
      <c r="G2853" s="15" t="n"/>
      <c r="H2853" s="16">
        <f>IF($A2853="","",$D2853+IF($E2853="",0,$E2853)+IF($F2853="",0,$F2853)-IF($G2853="",0,$G2853))</f>
        <v/>
      </c>
      <c r="I2853" s="12" t="n"/>
      <c r="J2853" s="12" t="n"/>
      <c r="K2853" s="12" t="n"/>
      <c r="L2853" s="14" t="n"/>
      <c r="M2853" s="12" t="n"/>
      <c r="N2853" s="12" t="n"/>
      <c r="O2853" s="12" t="n"/>
    </row>
    <row r="2854">
      <c r="A2854" s="12" t="n"/>
      <c r="B2854" s="13">
        <f>IF($A2854="","",IFERROR(INDEX(Emp_Names,MATCH($A2854,Emp_Codes,0)),"NOT FOUND"))</f>
        <v/>
      </c>
      <c r="C2854" s="14" t="n"/>
      <c r="D2854" s="15" t="n"/>
      <c r="E2854" s="15" t="n"/>
      <c r="F2854" s="15" t="n"/>
      <c r="G2854" s="15" t="n"/>
      <c r="H2854" s="16">
        <f>IF($A2854="","",$D2854+IF($E2854="",0,$E2854)+IF($F2854="",0,$F2854)-IF($G2854="",0,$G2854))</f>
        <v/>
      </c>
      <c r="I2854" s="12" t="n"/>
      <c r="J2854" s="12" t="n"/>
      <c r="K2854" s="12" t="n"/>
      <c r="L2854" s="14" t="n"/>
      <c r="M2854" s="12" t="n"/>
      <c r="N2854" s="12" t="n"/>
      <c r="O2854" s="12" t="n"/>
    </row>
    <row r="2855">
      <c r="A2855" s="12" t="n"/>
      <c r="B2855" s="13">
        <f>IF($A2855="","",IFERROR(INDEX(Emp_Names,MATCH($A2855,Emp_Codes,0)),"NOT FOUND"))</f>
        <v/>
      </c>
      <c r="C2855" s="14" t="n"/>
      <c r="D2855" s="15" t="n"/>
      <c r="E2855" s="15" t="n"/>
      <c r="F2855" s="15" t="n"/>
      <c r="G2855" s="15" t="n"/>
      <c r="H2855" s="16">
        <f>IF($A2855="","",$D2855+IF($E2855="",0,$E2855)+IF($F2855="",0,$F2855)-IF($G2855="",0,$G2855))</f>
        <v/>
      </c>
      <c r="I2855" s="12" t="n"/>
      <c r="J2855" s="12" t="n"/>
      <c r="K2855" s="12" t="n"/>
      <c r="L2855" s="14" t="n"/>
      <c r="M2855" s="12" t="n"/>
      <c r="N2855" s="12" t="n"/>
      <c r="O2855" s="12" t="n"/>
    </row>
    <row r="2856">
      <c r="A2856" s="12" t="n"/>
      <c r="B2856" s="13">
        <f>IF($A2856="","",IFERROR(INDEX(Emp_Names,MATCH($A2856,Emp_Codes,0)),"NOT FOUND"))</f>
        <v/>
      </c>
      <c r="C2856" s="14" t="n"/>
      <c r="D2856" s="15" t="n"/>
      <c r="E2856" s="15" t="n"/>
      <c r="F2856" s="15" t="n"/>
      <c r="G2856" s="15" t="n"/>
      <c r="H2856" s="16">
        <f>IF($A2856="","",$D2856+IF($E2856="",0,$E2856)+IF($F2856="",0,$F2856)-IF($G2856="",0,$G2856))</f>
        <v/>
      </c>
      <c r="I2856" s="12" t="n"/>
      <c r="J2856" s="12" t="n"/>
      <c r="K2856" s="12" t="n"/>
      <c r="L2856" s="14" t="n"/>
      <c r="M2856" s="12" t="n"/>
      <c r="N2856" s="12" t="n"/>
      <c r="O2856" s="12" t="n"/>
    </row>
    <row r="2857">
      <c r="A2857" s="12" t="n"/>
      <c r="B2857" s="13">
        <f>IF($A2857="","",IFERROR(INDEX(Emp_Names,MATCH($A2857,Emp_Codes,0)),"NOT FOUND"))</f>
        <v/>
      </c>
      <c r="C2857" s="14" t="n"/>
      <c r="D2857" s="15" t="n"/>
      <c r="E2857" s="15" t="n"/>
      <c r="F2857" s="15" t="n"/>
      <c r="G2857" s="15" t="n"/>
      <c r="H2857" s="16">
        <f>IF($A2857="","",$D2857+IF($E2857="",0,$E2857)+IF($F2857="",0,$F2857)-IF($G2857="",0,$G2857))</f>
        <v/>
      </c>
      <c r="I2857" s="12" t="n"/>
      <c r="J2857" s="12" t="n"/>
      <c r="K2857" s="12" t="n"/>
      <c r="L2857" s="14" t="n"/>
      <c r="M2857" s="12" t="n"/>
      <c r="N2857" s="12" t="n"/>
      <c r="O2857" s="12" t="n"/>
    </row>
    <row r="2858">
      <c r="A2858" s="12" t="n"/>
      <c r="B2858" s="13">
        <f>IF($A2858="","",IFERROR(INDEX(Emp_Names,MATCH($A2858,Emp_Codes,0)),"NOT FOUND"))</f>
        <v/>
      </c>
      <c r="C2858" s="14" t="n"/>
      <c r="D2858" s="15" t="n"/>
      <c r="E2858" s="15" t="n"/>
      <c r="F2858" s="15" t="n"/>
      <c r="G2858" s="15" t="n"/>
      <c r="H2858" s="16">
        <f>IF($A2858="","",$D2858+IF($E2858="",0,$E2858)+IF($F2858="",0,$F2858)-IF($G2858="",0,$G2858))</f>
        <v/>
      </c>
      <c r="I2858" s="12" t="n"/>
      <c r="J2858" s="12" t="n"/>
      <c r="K2858" s="12" t="n"/>
      <c r="L2858" s="14" t="n"/>
      <c r="M2858" s="12" t="n"/>
      <c r="N2858" s="12" t="n"/>
      <c r="O2858" s="12" t="n"/>
    </row>
    <row r="2859">
      <c r="A2859" s="12" t="n"/>
      <c r="B2859" s="13">
        <f>IF($A2859="","",IFERROR(INDEX(Emp_Names,MATCH($A2859,Emp_Codes,0)),"NOT FOUND"))</f>
        <v/>
      </c>
      <c r="C2859" s="14" t="n"/>
      <c r="D2859" s="15" t="n"/>
      <c r="E2859" s="15" t="n"/>
      <c r="F2859" s="15" t="n"/>
      <c r="G2859" s="15" t="n"/>
      <c r="H2859" s="16">
        <f>IF($A2859="","",$D2859+IF($E2859="",0,$E2859)+IF($F2859="",0,$F2859)-IF($G2859="",0,$G2859))</f>
        <v/>
      </c>
      <c r="I2859" s="12" t="n"/>
      <c r="J2859" s="12" t="n"/>
      <c r="K2859" s="12" t="n"/>
      <c r="L2859" s="14" t="n"/>
      <c r="M2859" s="12" t="n"/>
      <c r="N2859" s="12" t="n"/>
      <c r="O2859" s="12" t="n"/>
    </row>
    <row r="2860">
      <c r="A2860" s="12" t="n"/>
      <c r="B2860" s="13">
        <f>IF($A2860="","",IFERROR(INDEX(Emp_Names,MATCH($A2860,Emp_Codes,0)),"NOT FOUND"))</f>
        <v/>
      </c>
      <c r="C2860" s="14" t="n"/>
      <c r="D2860" s="15" t="n"/>
      <c r="E2860" s="15" t="n"/>
      <c r="F2860" s="15" t="n"/>
      <c r="G2860" s="15" t="n"/>
      <c r="H2860" s="16">
        <f>IF($A2860="","",$D2860+IF($E2860="",0,$E2860)+IF($F2860="",0,$F2860)-IF($G2860="",0,$G2860))</f>
        <v/>
      </c>
      <c r="I2860" s="12" t="n"/>
      <c r="J2860" s="12" t="n"/>
      <c r="K2860" s="12" t="n"/>
      <c r="L2860" s="14" t="n"/>
      <c r="M2860" s="12" t="n"/>
      <c r="N2860" s="12" t="n"/>
      <c r="O2860" s="12" t="n"/>
    </row>
    <row r="2861">
      <c r="A2861" s="12" t="n"/>
      <c r="B2861" s="13">
        <f>IF($A2861="","",IFERROR(INDEX(Emp_Names,MATCH($A2861,Emp_Codes,0)),"NOT FOUND"))</f>
        <v/>
      </c>
      <c r="C2861" s="14" t="n"/>
      <c r="D2861" s="15" t="n"/>
      <c r="E2861" s="15" t="n"/>
      <c r="F2861" s="15" t="n"/>
      <c r="G2861" s="15" t="n"/>
      <c r="H2861" s="16">
        <f>IF($A2861="","",$D2861+IF($E2861="",0,$E2861)+IF($F2861="",0,$F2861)-IF($G2861="",0,$G2861))</f>
        <v/>
      </c>
      <c r="I2861" s="12" t="n"/>
      <c r="J2861" s="12" t="n"/>
      <c r="K2861" s="12" t="n"/>
      <c r="L2861" s="14" t="n"/>
      <c r="M2861" s="12" t="n"/>
      <c r="N2861" s="12" t="n"/>
      <c r="O2861" s="12" t="n"/>
    </row>
    <row r="2862">
      <c r="A2862" s="12" t="n"/>
      <c r="B2862" s="13">
        <f>IF($A2862="","",IFERROR(INDEX(Emp_Names,MATCH($A2862,Emp_Codes,0)),"NOT FOUND"))</f>
        <v/>
      </c>
      <c r="C2862" s="14" t="n"/>
      <c r="D2862" s="15" t="n"/>
      <c r="E2862" s="15" t="n"/>
      <c r="F2862" s="15" t="n"/>
      <c r="G2862" s="15" t="n"/>
      <c r="H2862" s="16">
        <f>IF($A2862="","",$D2862+IF($E2862="",0,$E2862)+IF($F2862="",0,$F2862)-IF($G2862="",0,$G2862))</f>
        <v/>
      </c>
      <c r="I2862" s="12" t="n"/>
      <c r="J2862" s="12" t="n"/>
      <c r="K2862" s="12" t="n"/>
      <c r="L2862" s="14" t="n"/>
      <c r="M2862" s="12" t="n"/>
      <c r="N2862" s="12" t="n"/>
      <c r="O2862" s="12" t="n"/>
    </row>
    <row r="2863">
      <c r="A2863" s="12" t="n"/>
      <c r="B2863" s="13">
        <f>IF($A2863="","",IFERROR(INDEX(Emp_Names,MATCH($A2863,Emp_Codes,0)),"NOT FOUND"))</f>
        <v/>
      </c>
      <c r="C2863" s="14" t="n"/>
      <c r="D2863" s="15" t="n"/>
      <c r="E2863" s="15" t="n"/>
      <c r="F2863" s="15" t="n"/>
      <c r="G2863" s="15" t="n"/>
      <c r="H2863" s="16">
        <f>IF($A2863="","",$D2863+IF($E2863="",0,$E2863)+IF($F2863="",0,$F2863)-IF($G2863="",0,$G2863))</f>
        <v/>
      </c>
      <c r="I2863" s="12" t="n"/>
      <c r="J2863" s="12" t="n"/>
      <c r="K2863" s="12" t="n"/>
      <c r="L2863" s="14" t="n"/>
      <c r="M2863" s="12" t="n"/>
      <c r="N2863" s="12" t="n"/>
      <c r="O2863" s="12" t="n"/>
    </row>
    <row r="2864">
      <c r="A2864" s="12" t="n"/>
      <c r="B2864" s="13">
        <f>IF($A2864="","",IFERROR(INDEX(Emp_Names,MATCH($A2864,Emp_Codes,0)),"NOT FOUND"))</f>
        <v/>
      </c>
      <c r="C2864" s="14" t="n"/>
      <c r="D2864" s="15" t="n"/>
      <c r="E2864" s="15" t="n"/>
      <c r="F2864" s="15" t="n"/>
      <c r="G2864" s="15" t="n"/>
      <c r="H2864" s="16">
        <f>IF($A2864="","",$D2864+IF($E2864="",0,$E2864)+IF($F2864="",0,$F2864)-IF($G2864="",0,$G2864))</f>
        <v/>
      </c>
      <c r="I2864" s="12" t="n"/>
      <c r="J2864" s="12" t="n"/>
      <c r="K2864" s="12" t="n"/>
      <c r="L2864" s="14" t="n"/>
      <c r="M2864" s="12" t="n"/>
      <c r="N2864" s="12" t="n"/>
      <c r="O2864" s="12" t="n"/>
    </row>
    <row r="2865">
      <c r="A2865" s="12" t="n"/>
      <c r="B2865" s="13">
        <f>IF($A2865="","",IFERROR(INDEX(Emp_Names,MATCH($A2865,Emp_Codes,0)),"NOT FOUND"))</f>
        <v/>
      </c>
      <c r="C2865" s="14" t="n"/>
      <c r="D2865" s="15" t="n"/>
      <c r="E2865" s="15" t="n"/>
      <c r="F2865" s="15" t="n"/>
      <c r="G2865" s="15" t="n"/>
      <c r="H2865" s="16">
        <f>IF($A2865="","",$D2865+IF($E2865="",0,$E2865)+IF($F2865="",0,$F2865)-IF($G2865="",0,$G2865))</f>
        <v/>
      </c>
      <c r="I2865" s="12" t="n"/>
      <c r="J2865" s="12" t="n"/>
      <c r="K2865" s="12" t="n"/>
      <c r="L2865" s="14" t="n"/>
      <c r="M2865" s="12" t="n"/>
      <c r="N2865" s="12" t="n"/>
      <c r="O2865" s="12" t="n"/>
    </row>
    <row r="2866">
      <c r="A2866" s="12" t="n"/>
      <c r="B2866" s="13">
        <f>IF($A2866="","",IFERROR(INDEX(Emp_Names,MATCH($A2866,Emp_Codes,0)),"NOT FOUND"))</f>
        <v/>
      </c>
      <c r="C2866" s="14" t="n"/>
      <c r="D2866" s="15" t="n"/>
      <c r="E2866" s="15" t="n"/>
      <c r="F2866" s="15" t="n"/>
      <c r="G2866" s="15" t="n"/>
      <c r="H2866" s="16">
        <f>IF($A2866="","",$D2866+IF($E2866="",0,$E2866)+IF($F2866="",0,$F2866)-IF($G2866="",0,$G2866))</f>
        <v/>
      </c>
      <c r="I2866" s="12" t="n"/>
      <c r="J2866" s="12" t="n"/>
      <c r="K2866" s="12" t="n"/>
      <c r="L2866" s="14" t="n"/>
      <c r="M2866" s="12" t="n"/>
      <c r="N2866" s="12" t="n"/>
      <c r="O2866" s="12" t="n"/>
    </row>
    <row r="2867">
      <c r="A2867" s="12" t="n"/>
      <c r="B2867" s="13">
        <f>IF($A2867="","",IFERROR(INDEX(Emp_Names,MATCH($A2867,Emp_Codes,0)),"NOT FOUND"))</f>
        <v/>
      </c>
      <c r="C2867" s="14" t="n"/>
      <c r="D2867" s="15" t="n"/>
      <c r="E2867" s="15" t="n"/>
      <c r="F2867" s="15" t="n"/>
      <c r="G2867" s="15" t="n"/>
      <c r="H2867" s="16">
        <f>IF($A2867="","",$D2867+IF($E2867="",0,$E2867)+IF($F2867="",0,$F2867)-IF($G2867="",0,$G2867))</f>
        <v/>
      </c>
      <c r="I2867" s="12" t="n"/>
      <c r="J2867" s="12" t="n"/>
      <c r="K2867" s="12" t="n"/>
      <c r="L2867" s="14" t="n"/>
      <c r="M2867" s="12" t="n"/>
      <c r="N2867" s="12" t="n"/>
      <c r="O2867" s="12" t="n"/>
    </row>
    <row r="2868">
      <c r="A2868" s="12" t="n"/>
      <c r="B2868" s="13">
        <f>IF($A2868="","",IFERROR(INDEX(Emp_Names,MATCH($A2868,Emp_Codes,0)),"NOT FOUND"))</f>
        <v/>
      </c>
      <c r="C2868" s="14" t="n"/>
      <c r="D2868" s="15" t="n"/>
      <c r="E2868" s="15" t="n"/>
      <c r="F2868" s="15" t="n"/>
      <c r="G2868" s="15" t="n"/>
      <c r="H2868" s="16">
        <f>IF($A2868="","",$D2868+IF($E2868="",0,$E2868)+IF($F2868="",0,$F2868)-IF($G2868="",0,$G2868))</f>
        <v/>
      </c>
      <c r="I2868" s="12" t="n"/>
      <c r="J2868" s="12" t="n"/>
      <c r="K2868" s="12" t="n"/>
      <c r="L2868" s="14" t="n"/>
      <c r="M2868" s="12" t="n"/>
      <c r="N2868" s="12" t="n"/>
      <c r="O2868" s="12" t="n"/>
    </row>
    <row r="2869">
      <c r="A2869" s="12" t="n"/>
      <c r="B2869" s="13">
        <f>IF($A2869="","",IFERROR(INDEX(Emp_Names,MATCH($A2869,Emp_Codes,0)),"NOT FOUND"))</f>
        <v/>
      </c>
      <c r="C2869" s="14" t="n"/>
      <c r="D2869" s="15" t="n"/>
      <c r="E2869" s="15" t="n"/>
      <c r="F2869" s="15" t="n"/>
      <c r="G2869" s="15" t="n"/>
      <c r="H2869" s="16">
        <f>IF($A2869="","",$D2869+IF($E2869="",0,$E2869)+IF($F2869="",0,$F2869)-IF($G2869="",0,$G2869))</f>
        <v/>
      </c>
      <c r="I2869" s="12" t="n"/>
      <c r="J2869" s="12" t="n"/>
      <c r="K2869" s="12" t="n"/>
      <c r="L2869" s="14" t="n"/>
      <c r="M2869" s="12" t="n"/>
      <c r="N2869" s="12" t="n"/>
      <c r="O2869" s="12" t="n"/>
    </row>
    <row r="2870">
      <c r="A2870" s="12" t="n"/>
      <c r="B2870" s="13">
        <f>IF($A2870="","",IFERROR(INDEX(Emp_Names,MATCH($A2870,Emp_Codes,0)),"NOT FOUND"))</f>
        <v/>
      </c>
      <c r="C2870" s="14" t="n"/>
      <c r="D2870" s="15" t="n"/>
      <c r="E2870" s="15" t="n"/>
      <c r="F2870" s="15" t="n"/>
      <c r="G2870" s="15" t="n"/>
      <c r="H2870" s="16">
        <f>IF($A2870="","",$D2870+IF($E2870="",0,$E2870)+IF($F2870="",0,$F2870)-IF($G2870="",0,$G2870))</f>
        <v/>
      </c>
      <c r="I2870" s="12" t="n"/>
      <c r="J2870" s="12" t="n"/>
      <c r="K2870" s="12" t="n"/>
      <c r="L2870" s="14" t="n"/>
      <c r="M2870" s="12" t="n"/>
      <c r="N2870" s="12" t="n"/>
      <c r="O2870" s="12" t="n"/>
    </row>
    <row r="2871">
      <c r="A2871" s="12" t="n"/>
      <c r="B2871" s="13">
        <f>IF($A2871="","",IFERROR(INDEX(Emp_Names,MATCH($A2871,Emp_Codes,0)),"NOT FOUND"))</f>
        <v/>
      </c>
      <c r="C2871" s="14" t="n"/>
      <c r="D2871" s="15" t="n"/>
      <c r="E2871" s="15" t="n"/>
      <c r="F2871" s="15" t="n"/>
      <c r="G2871" s="15" t="n"/>
      <c r="H2871" s="16">
        <f>IF($A2871="","",$D2871+IF($E2871="",0,$E2871)+IF($F2871="",0,$F2871)-IF($G2871="",0,$G2871))</f>
        <v/>
      </c>
      <c r="I2871" s="12" t="n"/>
      <c r="J2871" s="12" t="n"/>
      <c r="K2871" s="12" t="n"/>
      <c r="L2871" s="14" t="n"/>
      <c r="M2871" s="12" t="n"/>
      <c r="N2871" s="12" t="n"/>
      <c r="O2871" s="12" t="n"/>
    </row>
    <row r="2872">
      <c r="A2872" s="12" t="n"/>
      <c r="B2872" s="13">
        <f>IF($A2872="","",IFERROR(INDEX(Emp_Names,MATCH($A2872,Emp_Codes,0)),"NOT FOUND"))</f>
        <v/>
      </c>
      <c r="C2872" s="14" t="n"/>
      <c r="D2872" s="15" t="n"/>
      <c r="E2872" s="15" t="n"/>
      <c r="F2872" s="15" t="n"/>
      <c r="G2872" s="15" t="n"/>
      <c r="H2872" s="16">
        <f>IF($A2872="","",$D2872+IF($E2872="",0,$E2872)+IF($F2872="",0,$F2872)-IF($G2872="",0,$G2872))</f>
        <v/>
      </c>
      <c r="I2872" s="12" t="n"/>
      <c r="J2872" s="12" t="n"/>
      <c r="K2872" s="12" t="n"/>
      <c r="L2872" s="14" t="n"/>
      <c r="M2872" s="12" t="n"/>
      <c r="N2872" s="12" t="n"/>
      <c r="O2872" s="12" t="n"/>
    </row>
    <row r="2873">
      <c r="A2873" s="12" t="n"/>
      <c r="B2873" s="13">
        <f>IF($A2873="","",IFERROR(INDEX(Emp_Names,MATCH($A2873,Emp_Codes,0)),"NOT FOUND"))</f>
        <v/>
      </c>
      <c r="C2873" s="14" t="n"/>
      <c r="D2873" s="15" t="n"/>
      <c r="E2873" s="15" t="n"/>
      <c r="F2873" s="15" t="n"/>
      <c r="G2873" s="15" t="n"/>
      <c r="H2873" s="16">
        <f>IF($A2873="","",$D2873+IF($E2873="",0,$E2873)+IF($F2873="",0,$F2873)-IF($G2873="",0,$G2873))</f>
        <v/>
      </c>
      <c r="I2873" s="12" t="n"/>
      <c r="J2873" s="12" t="n"/>
      <c r="K2873" s="12" t="n"/>
      <c r="L2873" s="14" t="n"/>
      <c r="M2873" s="12" t="n"/>
      <c r="N2873" s="12" t="n"/>
      <c r="O2873" s="12" t="n"/>
    </row>
    <row r="2874">
      <c r="A2874" s="12" t="n"/>
      <c r="B2874" s="13">
        <f>IF($A2874="","",IFERROR(INDEX(Emp_Names,MATCH($A2874,Emp_Codes,0)),"NOT FOUND"))</f>
        <v/>
      </c>
      <c r="C2874" s="14" t="n"/>
      <c r="D2874" s="15" t="n"/>
      <c r="E2874" s="15" t="n"/>
      <c r="F2874" s="15" t="n"/>
      <c r="G2874" s="15" t="n"/>
      <c r="H2874" s="16">
        <f>IF($A2874="","",$D2874+IF($E2874="",0,$E2874)+IF($F2874="",0,$F2874)-IF($G2874="",0,$G2874))</f>
        <v/>
      </c>
      <c r="I2874" s="12" t="n"/>
      <c r="J2874" s="12" t="n"/>
      <c r="K2874" s="12" t="n"/>
      <c r="L2874" s="14" t="n"/>
      <c r="M2874" s="12" t="n"/>
      <c r="N2874" s="12" t="n"/>
      <c r="O2874" s="12" t="n"/>
    </row>
    <row r="2875">
      <c r="A2875" s="12" t="n"/>
      <c r="B2875" s="13">
        <f>IF($A2875="","",IFERROR(INDEX(Emp_Names,MATCH($A2875,Emp_Codes,0)),"NOT FOUND"))</f>
        <v/>
      </c>
      <c r="C2875" s="14" t="n"/>
      <c r="D2875" s="15" t="n"/>
      <c r="E2875" s="15" t="n"/>
      <c r="F2875" s="15" t="n"/>
      <c r="G2875" s="15" t="n"/>
      <c r="H2875" s="16">
        <f>IF($A2875="","",$D2875+IF($E2875="",0,$E2875)+IF($F2875="",0,$F2875)-IF($G2875="",0,$G2875))</f>
        <v/>
      </c>
      <c r="I2875" s="12" t="n"/>
      <c r="J2875" s="12" t="n"/>
      <c r="K2875" s="12" t="n"/>
      <c r="L2875" s="14" t="n"/>
      <c r="M2875" s="12" t="n"/>
      <c r="N2875" s="12" t="n"/>
      <c r="O2875" s="12" t="n"/>
    </row>
    <row r="2876">
      <c r="A2876" s="12" t="n"/>
      <c r="B2876" s="13">
        <f>IF($A2876="","",IFERROR(INDEX(Emp_Names,MATCH($A2876,Emp_Codes,0)),"NOT FOUND"))</f>
        <v/>
      </c>
      <c r="C2876" s="14" t="n"/>
      <c r="D2876" s="15" t="n"/>
      <c r="E2876" s="15" t="n"/>
      <c r="F2876" s="15" t="n"/>
      <c r="G2876" s="15" t="n"/>
      <c r="H2876" s="16">
        <f>IF($A2876="","",$D2876+IF($E2876="",0,$E2876)+IF($F2876="",0,$F2876)-IF($G2876="",0,$G2876))</f>
        <v/>
      </c>
      <c r="I2876" s="12" t="n"/>
      <c r="J2876" s="12" t="n"/>
      <c r="K2876" s="12" t="n"/>
      <c r="L2876" s="14" t="n"/>
      <c r="M2876" s="12" t="n"/>
      <c r="N2876" s="12" t="n"/>
      <c r="O2876" s="12" t="n"/>
    </row>
    <row r="2877">
      <c r="A2877" s="12" t="n"/>
      <c r="B2877" s="13">
        <f>IF($A2877="","",IFERROR(INDEX(Emp_Names,MATCH($A2877,Emp_Codes,0)),"NOT FOUND"))</f>
        <v/>
      </c>
      <c r="C2877" s="14" t="n"/>
      <c r="D2877" s="15" t="n"/>
      <c r="E2877" s="15" t="n"/>
      <c r="F2877" s="15" t="n"/>
      <c r="G2877" s="15" t="n"/>
      <c r="H2877" s="16">
        <f>IF($A2877="","",$D2877+IF($E2877="",0,$E2877)+IF($F2877="",0,$F2877)-IF($G2877="",0,$G2877))</f>
        <v/>
      </c>
      <c r="I2877" s="12" t="n"/>
      <c r="J2877" s="12" t="n"/>
      <c r="K2877" s="12" t="n"/>
      <c r="L2877" s="14" t="n"/>
      <c r="M2877" s="12" t="n"/>
      <c r="N2877" s="12" t="n"/>
      <c r="O2877" s="12" t="n"/>
    </row>
    <row r="2878">
      <c r="A2878" s="12" t="n"/>
      <c r="B2878" s="13">
        <f>IF($A2878="","",IFERROR(INDEX(Emp_Names,MATCH($A2878,Emp_Codes,0)),"NOT FOUND"))</f>
        <v/>
      </c>
      <c r="C2878" s="14" t="n"/>
      <c r="D2878" s="15" t="n"/>
      <c r="E2878" s="15" t="n"/>
      <c r="F2878" s="15" t="n"/>
      <c r="G2878" s="15" t="n"/>
      <c r="H2878" s="16">
        <f>IF($A2878="","",$D2878+IF($E2878="",0,$E2878)+IF($F2878="",0,$F2878)-IF($G2878="",0,$G2878))</f>
        <v/>
      </c>
      <c r="I2878" s="12" t="n"/>
      <c r="J2878" s="12" t="n"/>
      <c r="K2878" s="12" t="n"/>
      <c r="L2878" s="14" t="n"/>
      <c r="M2878" s="12" t="n"/>
      <c r="N2878" s="12" t="n"/>
      <c r="O2878" s="12" t="n"/>
    </row>
    <row r="2879">
      <c r="A2879" s="12" t="n"/>
      <c r="B2879" s="13">
        <f>IF($A2879="","",IFERROR(INDEX(Emp_Names,MATCH($A2879,Emp_Codes,0)),"NOT FOUND"))</f>
        <v/>
      </c>
      <c r="C2879" s="14" t="n"/>
      <c r="D2879" s="15" t="n"/>
      <c r="E2879" s="15" t="n"/>
      <c r="F2879" s="15" t="n"/>
      <c r="G2879" s="15" t="n"/>
      <c r="H2879" s="16">
        <f>IF($A2879="","",$D2879+IF($E2879="",0,$E2879)+IF($F2879="",0,$F2879)-IF($G2879="",0,$G2879))</f>
        <v/>
      </c>
      <c r="I2879" s="12" t="n"/>
      <c r="J2879" s="12" t="n"/>
      <c r="K2879" s="12" t="n"/>
      <c r="L2879" s="14" t="n"/>
      <c r="M2879" s="12" t="n"/>
      <c r="N2879" s="12" t="n"/>
      <c r="O2879" s="12" t="n"/>
    </row>
    <row r="2880">
      <c r="A2880" s="12" t="n"/>
      <c r="B2880" s="13">
        <f>IF($A2880="","",IFERROR(INDEX(Emp_Names,MATCH($A2880,Emp_Codes,0)),"NOT FOUND"))</f>
        <v/>
      </c>
      <c r="C2880" s="14" t="n"/>
      <c r="D2880" s="15" t="n"/>
      <c r="E2880" s="15" t="n"/>
      <c r="F2880" s="15" t="n"/>
      <c r="G2880" s="15" t="n"/>
      <c r="H2880" s="16">
        <f>IF($A2880="","",$D2880+IF($E2880="",0,$E2880)+IF($F2880="",0,$F2880)-IF($G2880="",0,$G2880))</f>
        <v/>
      </c>
      <c r="I2880" s="12" t="n"/>
      <c r="J2880" s="12" t="n"/>
      <c r="K2880" s="12" t="n"/>
      <c r="L2880" s="14" t="n"/>
      <c r="M2880" s="12" t="n"/>
      <c r="N2880" s="12" t="n"/>
      <c r="O2880" s="12" t="n"/>
    </row>
    <row r="2881">
      <c r="A2881" s="12" t="n"/>
      <c r="B2881" s="13">
        <f>IF($A2881="","",IFERROR(INDEX(Emp_Names,MATCH($A2881,Emp_Codes,0)),"NOT FOUND"))</f>
        <v/>
      </c>
      <c r="C2881" s="14" t="n"/>
      <c r="D2881" s="15" t="n"/>
      <c r="E2881" s="15" t="n"/>
      <c r="F2881" s="15" t="n"/>
      <c r="G2881" s="15" t="n"/>
      <c r="H2881" s="16">
        <f>IF($A2881="","",$D2881+IF($E2881="",0,$E2881)+IF($F2881="",0,$F2881)-IF($G2881="",0,$G2881))</f>
        <v/>
      </c>
      <c r="I2881" s="12" t="n"/>
      <c r="J2881" s="12" t="n"/>
      <c r="K2881" s="12" t="n"/>
      <c r="L2881" s="14" t="n"/>
      <c r="M2881" s="12" t="n"/>
      <c r="N2881" s="12" t="n"/>
      <c r="O2881" s="12" t="n"/>
    </row>
    <row r="2882">
      <c r="A2882" s="12" t="n"/>
      <c r="B2882" s="13">
        <f>IF($A2882="","",IFERROR(INDEX(Emp_Names,MATCH($A2882,Emp_Codes,0)),"NOT FOUND"))</f>
        <v/>
      </c>
      <c r="C2882" s="14" t="n"/>
      <c r="D2882" s="15" t="n"/>
      <c r="E2882" s="15" t="n"/>
      <c r="F2882" s="15" t="n"/>
      <c r="G2882" s="15" t="n"/>
      <c r="H2882" s="16">
        <f>IF($A2882="","",$D2882+IF($E2882="",0,$E2882)+IF($F2882="",0,$F2882)-IF($G2882="",0,$G2882))</f>
        <v/>
      </c>
      <c r="I2882" s="12" t="n"/>
      <c r="J2882" s="12" t="n"/>
      <c r="K2882" s="12" t="n"/>
      <c r="L2882" s="14" t="n"/>
      <c r="M2882" s="12" t="n"/>
      <c r="N2882" s="12" t="n"/>
      <c r="O2882" s="12" t="n"/>
    </row>
    <row r="2883">
      <c r="A2883" s="12" t="n"/>
      <c r="B2883" s="13">
        <f>IF($A2883="","",IFERROR(INDEX(Emp_Names,MATCH($A2883,Emp_Codes,0)),"NOT FOUND"))</f>
        <v/>
      </c>
      <c r="C2883" s="14" t="n"/>
      <c r="D2883" s="15" t="n"/>
      <c r="E2883" s="15" t="n"/>
      <c r="F2883" s="15" t="n"/>
      <c r="G2883" s="15" t="n"/>
      <c r="H2883" s="16">
        <f>IF($A2883="","",$D2883+IF($E2883="",0,$E2883)+IF($F2883="",0,$F2883)-IF($G2883="",0,$G2883))</f>
        <v/>
      </c>
      <c r="I2883" s="12" t="n"/>
      <c r="J2883" s="12" t="n"/>
      <c r="K2883" s="12" t="n"/>
      <c r="L2883" s="14" t="n"/>
      <c r="M2883" s="12" t="n"/>
      <c r="N2883" s="12" t="n"/>
      <c r="O2883" s="12" t="n"/>
    </row>
    <row r="2884">
      <c r="A2884" s="12" t="n"/>
      <c r="B2884" s="13">
        <f>IF($A2884="","",IFERROR(INDEX(Emp_Names,MATCH($A2884,Emp_Codes,0)),"NOT FOUND"))</f>
        <v/>
      </c>
      <c r="C2884" s="14" t="n"/>
      <c r="D2884" s="15" t="n"/>
      <c r="E2884" s="15" t="n"/>
      <c r="F2884" s="15" t="n"/>
      <c r="G2884" s="15" t="n"/>
      <c r="H2884" s="16">
        <f>IF($A2884="","",$D2884+IF($E2884="",0,$E2884)+IF($F2884="",0,$F2884)-IF($G2884="",0,$G2884))</f>
        <v/>
      </c>
      <c r="I2884" s="12" t="n"/>
      <c r="J2884" s="12" t="n"/>
      <c r="K2884" s="12" t="n"/>
      <c r="L2884" s="14" t="n"/>
      <c r="M2884" s="12" t="n"/>
      <c r="N2884" s="12" t="n"/>
      <c r="O2884" s="12" t="n"/>
    </row>
    <row r="2885">
      <c r="A2885" s="12" t="n"/>
      <c r="B2885" s="13">
        <f>IF($A2885="","",IFERROR(INDEX(Emp_Names,MATCH($A2885,Emp_Codes,0)),"NOT FOUND"))</f>
        <v/>
      </c>
      <c r="C2885" s="14" t="n"/>
      <c r="D2885" s="15" t="n"/>
      <c r="E2885" s="15" t="n"/>
      <c r="F2885" s="15" t="n"/>
      <c r="G2885" s="15" t="n"/>
      <c r="H2885" s="16">
        <f>IF($A2885="","",$D2885+IF($E2885="",0,$E2885)+IF($F2885="",0,$F2885)-IF($G2885="",0,$G2885))</f>
        <v/>
      </c>
      <c r="I2885" s="12" t="n"/>
      <c r="J2885" s="12" t="n"/>
      <c r="K2885" s="12" t="n"/>
      <c r="L2885" s="14" t="n"/>
      <c r="M2885" s="12" t="n"/>
      <c r="N2885" s="12" t="n"/>
      <c r="O2885" s="12" t="n"/>
    </row>
    <row r="2886">
      <c r="A2886" s="12" t="n"/>
      <c r="B2886" s="13">
        <f>IF($A2886="","",IFERROR(INDEX(Emp_Names,MATCH($A2886,Emp_Codes,0)),"NOT FOUND"))</f>
        <v/>
      </c>
      <c r="C2886" s="14" t="n"/>
      <c r="D2886" s="15" t="n"/>
      <c r="E2886" s="15" t="n"/>
      <c r="F2886" s="15" t="n"/>
      <c r="G2886" s="15" t="n"/>
      <c r="H2886" s="16">
        <f>IF($A2886="","",$D2886+IF($E2886="",0,$E2886)+IF($F2886="",0,$F2886)-IF($G2886="",0,$G2886))</f>
        <v/>
      </c>
      <c r="I2886" s="12" t="n"/>
      <c r="J2886" s="12" t="n"/>
      <c r="K2886" s="12" t="n"/>
      <c r="L2886" s="14" t="n"/>
      <c r="M2886" s="12" t="n"/>
      <c r="N2886" s="12" t="n"/>
      <c r="O2886" s="12" t="n"/>
    </row>
    <row r="2887">
      <c r="A2887" s="12" t="n"/>
      <c r="B2887" s="13">
        <f>IF($A2887="","",IFERROR(INDEX(Emp_Names,MATCH($A2887,Emp_Codes,0)),"NOT FOUND"))</f>
        <v/>
      </c>
      <c r="C2887" s="14" t="n"/>
      <c r="D2887" s="15" t="n"/>
      <c r="E2887" s="15" t="n"/>
      <c r="F2887" s="15" t="n"/>
      <c r="G2887" s="15" t="n"/>
      <c r="H2887" s="16">
        <f>IF($A2887="","",$D2887+IF($E2887="",0,$E2887)+IF($F2887="",0,$F2887)-IF($G2887="",0,$G2887))</f>
        <v/>
      </c>
      <c r="I2887" s="12" t="n"/>
      <c r="J2887" s="12" t="n"/>
      <c r="K2887" s="12" t="n"/>
      <c r="L2887" s="14" t="n"/>
      <c r="M2887" s="12" t="n"/>
      <c r="N2887" s="12" t="n"/>
      <c r="O2887" s="12" t="n"/>
    </row>
    <row r="2888">
      <c r="A2888" s="12" t="n"/>
      <c r="B2888" s="13">
        <f>IF($A2888="","",IFERROR(INDEX(Emp_Names,MATCH($A2888,Emp_Codes,0)),"NOT FOUND"))</f>
        <v/>
      </c>
      <c r="C2888" s="14" t="n"/>
      <c r="D2888" s="15" t="n"/>
      <c r="E2888" s="15" t="n"/>
      <c r="F2888" s="15" t="n"/>
      <c r="G2888" s="15" t="n"/>
      <c r="H2888" s="16">
        <f>IF($A2888="","",$D2888+IF($E2888="",0,$E2888)+IF($F2888="",0,$F2888)-IF($G2888="",0,$G2888))</f>
        <v/>
      </c>
      <c r="I2888" s="12" t="n"/>
      <c r="J2888" s="12" t="n"/>
      <c r="K2888" s="12" t="n"/>
      <c r="L2888" s="14" t="n"/>
      <c r="M2888" s="12" t="n"/>
      <c r="N2888" s="12" t="n"/>
      <c r="O2888" s="12" t="n"/>
    </row>
    <row r="2889">
      <c r="A2889" s="12" t="n"/>
      <c r="B2889" s="13">
        <f>IF($A2889="","",IFERROR(INDEX(Emp_Names,MATCH($A2889,Emp_Codes,0)),"NOT FOUND"))</f>
        <v/>
      </c>
      <c r="C2889" s="14" t="n"/>
      <c r="D2889" s="15" t="n"/>
      <c r="E2889" s="15" t="n"/>
      <c r="F2889" s="15" t="n"/>
      <c r="G2889" s="15" t="n"/>
      <c r="H2889" s="16">
        <f>IF($A2889="","",$D2889+IF($E2889="",0,$E2889)+IF($F2889="",0,$F2889)-IF($G2889="",0,$G2889))</f>
        <v/>
      </c>
      <c r="I2889" s="12" t="n"/>
      <c r="J2889" s="12" t="n"/>
      <c r="K2889" s="12" t="n"/>
      <c r="L2889" s="14" t="n"/>
      <c r="M2889" s="12" t="n"/>
      <c r="N2889" s="12" t="n"/>
      <c r="O2889" s="12" t="n"/>
    </row>
    <row r="2890">
      <c r="A2890" s="12" t="n"/>
      <c r="B2890" s="13">
        <f>IF($A2890="","",IFERROR(INDEX(Emp_Names,MATCH($A2890,Emp_Codes,0)),"NOT FOUND"))</f>
        <v/>
      </c>
      <c r="C2890" s="14" t="n"/>
      <c r="D2890" s="15" t="n"/>
      <c r="E2890" s="15" t="n"/>
      <c r="F2890" s="15" t="n"/>
      <c r="G2890" s="15" t="n"/>
      <c r="H2890" s="16">
        <f>IF($A2890="","",$D2890+IF($E2890="",0,$E2890)+IF($F2890="",0,$F2890)-IF($G2890="",0,$G2890))</f>
        <v/>
      </c>
      <c r="I2890" s="12" t="n"/>
      <c r="J2890" s="12" t="n"/>
      <c r="K2890" s="12" t="n"/>
      <c r="L2890" s="14" t="n"/>
      <c r="M2890" s="12" t="n"/>
      <c r="N2890" s="12" t="n"/>
      <c r="O2890" s="12" t="n"/>
    </row>
    <row r="2891">
      <c r="A2891" s="12" t="n"/>
      <c r="B2891" s="13">
        <f>IF($A2891="","",IFERROR(INDEX(Emp_Names,MATCH($A2891,Emp_Codes,0)),"NOT FOUND"))</f>
        <v/>
      </c>
      <c r="C2891" s="14" t="n"/>
      <c r="D2891" s="15" t="n"/>
      <c r="E2891" s="15" t="n"/>
      <c r="F2891" s="15" t="n"/>
      <c r="G2891" s="15" t="n"/>
      <c r="H2891" s="16">
        <f>IF($A2891="","",$D2891+IF($E2891="",0,$E2891)+IF($F2891="",0,$F2891)-IF($G2891="",0,$G2891))</f>
        <v/>
      </c>
      <c r="I2891" s="12" t="n"/>
      <c r="J2891" s="12" t="n"/>
      <c r="K2891" s="12" t="n"/>
      <c r="L2891" s="14" t="n"/>
      <c r="M2891" s="12" t="n"/>
      <c r="N2891" s="12" t="n"/>
      <c r="O2891" s="12" t="n"/>
    </row>
    <row r="2892">
      <c r="A2892" s="12" t="n"/>
      <c r="B2892" s="13">
        <f>IF($A2892="","",IFERROR(INDEX(Emp_Names,MATCH($A2892,Emp_Codes,0)),"NOT FOUND"))</f>
        <v/>
      </c>
      <c r="C2892" s="14" t="n"/>
      <c r="D2892" s="15" t="n"/>
      <c r="E2892" s="15" t="n"/>
      <c r="F2892" s="15" t="n"/>
      <c r="G2892" s="15" t="n"/>
      <c r="H2892" s="16">
        <f>IF($A2892="","",$D2892+IF($E2892="",0,$E2892)+IF($F2892="",0,$F2892)-IF($G2892="",0,$G2892))</f>
        <v/>
      </c>
      <c r="I2892" s="12" t="n"/>
      <c r="J2892" s="12" t="n"/>
      <c r="K2892" s="12" t="n"/>
      <c r="L2892" s="14" t="n"/>
      <c r="M2892" s="12" t="n"/>
      <c r="N2892" s="12" t="n"/>
      <c r="O2892" s="12" t="n"/>
    </row>
    <row r="2893">
      <c r="A2893" s="12" t="n"/>
      <c r="B2893" s="13">
        <f>IF($A2893="","",IFERROR(INDEX(Emp_Names,MATCH($A2893,Emp_Codes,0)),"NOT FOUND"))</f>
        <v/>
      </c>
      <c r="C2893" s="14" t="n"/>
      <c r="D2893" s="15" t="n"/>
      <c r="E2893" s="15" t="n"/>
      <c r="F2893" s="15" t="n"/>
      <c r="G2893" s="15" t="n"/>
      <c r="H2893" s="16">
        <f>IF($A2893="","",$D2893+IF($E2893="",0,$E2893)+IF($F2893="",0,$F2893)-IF($G2893="",0,$G2893))</f>
        <v/>
      </c>
      <c r="I2893" s="12" t="n"/>
      <c r="J2893" s="12" t="n"/>
      <c r="K2893" s="12" t="n"/>
      <c r="L2893" s="14" t="n"/>
      <c r="M2893" s="12" t="n"/>
      <c r="N2893" s="12" t="n"/>
      <c r="O2893" s="12" t="n"/>
    </row>
    <row r="2894">
      <c r="A2894" s="12" t="n"/>
      <c r="B2894" s="13">
        <f>IF($A2894="","",IFERROR(INDEX(Emp_Names,MATCH($A2894,Emp_Codes,0)),"NOT FOUND"))</f>
        <v/>
      </c>
      <c r="C2894" s="14" t="n"/>
      <c r="D2894" s="15" t="n"/>
      <c r="E2894" s="15" t="n"/>
      <c r="F2894" s="15" t="n"/>
      <c r="G2894" s="15" t="n"/>
      <c r="H2894" s="16">
        <f>IF($A2894="","",$D2894+IF($E2894="",0,$E2894)+IF($F2894="",0,$F2894)-IF($G2894="",0,$G2894))</f>
        <v/>
      </c>
      <c r="I2894" s="12" t="n"/>
      <c r="J2894" s="12" t="n"/>
      <c r="K2894" s="12" t="n"/>
      <c r="L2894" s="14" t="n"/>
      <c r="M2894" s="12" t="n"/>
      <c r="N2894" s="12" t="n"/>
      <c r="O2894" s="12" t="n"/>
    </row>
    <row r="2895">
      <c r="A2895" s="12" t="n"/>
      <c r="B2895" s="13">
        <f>IF($A2895="","",IFERROR(INDEX(Emp_Names,MATCH($A2895,Emp_Codes,0)),"NOT FOUND"))</f>
        <v/>
      </c>
      <c r="C2895" s="14" t="n"/>
      <c r="D2895" s="15" t="n"/>
      <c r="E2895" s="15" t="n"/>
      <c r="F2895" s="15" t="n"/>
      <c r="G2895" s="15" t="n"/>
      <c r="H2895" s="16">
        <f>IF($A2895="","",$D2895+IF($E2895="",0,$E2895)+IF($F2895="",0,$F2895)-IF($G2895="",0,$G2895))</f>
        <v/>
      </c>
      <c r="I2895" s="12" t="n"/>
      <c r="J2895" s="12" t="n"/>
      <c r="K2895" s="12" t="n"/>
      <c r="L2895" s="14" t="n"/>
      <c r="M2895" s="12" t="n"/>
      <c r="N2895" s="12" t="n"/>
      <c r="O2895" s="12" t="n"/>
    </row>
    <row r="2896">
      <c r="A2896" s="12" t="n"/>
      <c r="B2896" s="13">
        <f>IF($A2896="","",IFERROR(INDEX(Emp_Names,MATCH($A2896,Emp_Codes,0)),"NOT FOUND"))</f>
        <v/>
      </c>
      <c r="C2896" s="14" t="n"/>
      <c r="D2896" s="15" t="n"/>
      <c r="E2896" s="15" t="n"/>
      <c r="F2896" s="15" t="n"/>
      <c r="G2896" s="15" t="n"/>
      <c r="H2896" s="16">
        <f>IF($A2896="","",$D2896+IF($E2896="",0,$E2896)+IF($F2896="",0,$F2896)-IF($G2896="",0,$G2896))</f>
        <v/>
      </c>
      <c r="I2896" s="12" t="n"/>
      <c r="J2896" s="12" t="n"/>
      <c r="K2896" s="12" t="n"/>
      <c r="L2896" s="14" t="n"/>
      <c r="M2896" s="12" t="n"/>
      <c r="N2896" s="12" t="n"/>
      <c r="O2896" s="12" t="n"/>
    </row>
    <row r="2897">
      <c r="A2897" s="12" t="n"/>
      <c r="B2897" s="13">
        <f>IF($A2897="","",IFERROR(INDEX(Emp_Names,MATCH($A2897,Emp_Codes,0)),"NOT FOUND"))</f>
        <v/>
      </c>
      <c r="C2897" s="14" t="n"/>
      <c r="D2897" s="15" t="n"/>
      <c r="E2897" s="15" t="n"/>
      <c r="F2897" s="15" t="n"/>
      <c r="G2897" s="15" t="n"/>
      <c r="H2897" s="16">
        <f>IF($A2897="","",$D2897+IF($E2897="",0,$E2897)+IF($F2897="",0,$F2897)-IF($G2897="",0,$G2897))</f>
        <v/>
      </c>
      <c r="I2897" s="12" t="n"/>
      <c r="J2897" s="12" t="n"/>
      <c r="K2897" s="12" t="n"/>
      <c r="L2897" s="14" t="n"/>
      <c r="M2897" s="12" t="n"/>
      <c r="N2897" s="12" t="n"/>
      <c r="O2897" s="12" t="n"/>
    </row>
    <row r="2898">
      <c r="A2898" s="12" t="n"/>
      <c r="B2898" s="13">
        <f>IF($A2898="","",IFERROR(INDEX(Emp_Names,MATCH($A2898,Emp_Codes,0)),"NOT FOUND"))</f>
        <v/>
      </c>
      <c r="C2898" s="14" t="n"/>
      <c r="D2898" s="15" t="n"/>
      <c r="E2898" s="15" t="n"/>
      <c r="F2898" s="15" t="n"/>
      <c r="G2898" s="15" t="n"/>
      <c r="H2898" s="16">
        <f>IF($A2898="","",$D2898+IF($E2898="",0,$E2898)+IF($F2898="",0,$F2898)-IF($G2898="",0,$G2898))</f>
        <v/>
      </c>
      <c r="I2898" s="12" t="n"/>
      <c r="J2898" s="12" t="n"/>
      <c r="K2898" s="12" t="n"/>
      <c r="L2898" s="14" t="n"/>
      <c r="M2898" s="12" t="n"/>
      <c r="N2898" s="12" t="n"/>
      <c r="O2898" s="12" t="n"/>
    </row>
    <row r="2899">
      <c r="A2899" s="12" t="n"/>
      <c r="B2899" s="13">
        <f>IF($A2899="","",IFERROR(INDEX(Emp_Names,MATCH($A2899,Emp_Codes,0)),"NOT FOUND"))</f>
        <v/>
      </c>
      <c r="C2899" s="14" t="n"/>
      <c r="D2899" s="15" t="n"/>
      <c r="E2899" s="15" t="n"/>
      <c r="F2899" s="15" t="n"/>
      <c r="G2899" s="15" t="n"/>
      <c r="H2899" s="16">
        <f>IF($A2899="","",$D2899+IF($E2899="",0,$E2899)+IF($F2899="",0,$F2899)-IF($G2899="",0,$G2899))</f>
        <v/>
      </c>
      <c r="I2899" s="12" t="n"/>
      <c r="J2899" s="12" t="n"/>
      <c r="K2899" s="12" t="n"/>
      <c r="L2899" s="14" t="n"/>
      <c r="M2899" s="12" t="n"/>
      <c r="N2899" s="12" t="n"/>
      <c r="O2899" s="12" t="n"/>
    </row>
    <row r="2900">
      <c r="A2900" s="12" t="n"/>
      <c r="B2900" s="13">
        <f>IF($A2900="","",IFERROR(INDEX(Emp_Names,MATCH($A2900,Emp_Codes,0)),"NOT FOUND"))</f>
        <v/>
      </c>
      <c r="C2900" s="14" t="n"/>
      <c r="D2900" s="15" t="n"/>
      <c r="E2900" s="15" t="n"/>
      <c r="F2900" s="15" t="n"/>
      <c r="G2900" s="15" t="n"/>
      <c r="H2900" s="16">
        <f>IF($A2900="","",$D2900+IF($E2900="",0,$E2900)+IF($F2900="",0,$F2900)-IF($G2900="",0,$G2900))</f>
        <v/>
      </c>
      <c r="I2900" s="12" t="n"/>
      <c r="J2900" s="12" t="n"/>
      <c r="K2900" s="12" t="n"/>
      <c r="L2900" s="14" t="n"/>
      <c r="M2900" s="12" t="n"/>
      <c r="N2900" s="12" t="n"/>
      <c r="O2900" s="12" t="n"/>
    </row>
    <row r="2901">
      <c r="A2901" s="12" t="n"/>
      <c r="B2901" s="13">
        <f>IF($A2901="","",IFERROR(INDEX(Emp_Names,MATCH($A2901,Emp_Codes,0)),"NOT FOUND"))</f>
        <v/>
      </c>
      <c r="C2901" s="14" t="n"/>
      <c r="D2901" s="15" t="n"/>
      <c r="E2901" s="15" t="n"/>
      <c r="F2901" s="15" t="n"/>
      <c r="G2901" s="15" t="n"/>
      <c r="H2901" s="16">
        <f>IF($A2901="","",$D2901+IF($E2901="",0,$E2901)+IF($F2901="",0,$F2901)-IF($G2901="",0,$G2901))</f>
        <v/>
      </c>
      <c r="I2901" s="12" t="n"/>
      <c r="J2901" s="12" t="n"/>
      <c r="K2901" s="12" t="n"/>
      <c r="L2901" s="14" t="n"/>
      <c r="M2901" s="12" t="n"/>
      <c r="N2901" s="12" t="n"/>
      <c r="O2901" s="12" t="n"/>
    </row>
    <row r="2902">
      <c r="A2902" s="12" t="n"/>
      <c r="B2902" s="13">
        <f>IF($A2902="","",IFERROR(INDEX(Emp_Names,MATCH($A2902,Emp_Codes,0)),"NOT FOUND"))</f>
        <v/>
      </c>
      <c r="C2902" s="14" t="n"/>
      <c r="D2902" s="15" t="n"/>
      <c r="E2902" s="15" t="n"/>
      <c r="F2902" s="15" t="n"/>
      <c r="G2902" s="15" t="n"/>
      <c r="H2902" s="16">
        <f>IF($A2902="","",$D2902+IF($E2902="",0,$E2902)+IF($F2902="",0,$F2902)-IF($G2902="",0,$G2902))</f>
        <v/>
      </c>
      <c r="I2902" s="12" t="n"/>
      <c r="J2902" s="12" t="n"/>
      <c r="K2902" s="12" t="n"/>
      <c r="L2902" s="14" t="n"/>
      <c r="M2902" s="12" t="n"/>
      <c r="N2902" s="12" t="n"/>
      <c r="O2902" s="12" t="n"/>
    </row>
    <row r="2903">
      <c r="A2903" s="12" t="n"/>
      <c r="B2903" s="13">
        <f>IF($A2903="","",IFERROR(INDEX(Emp_Names,MATCH($A2903,Emp_Codes,0)),"NOT FOUND"))</f>
        <v/>
      </c>
      <c r="C2903" s="14" t="n"/>
      <c r="D2903" s="15" t="n"/>
      <c r="E2903" s="15" t="n"/>
      <c r="F2903" s="15" t="n"/>
      <c r="G2903" s="15" t="n"/>
      <c r="H2903" s="16">
        <f>IF($A2903="","",$D2903+IF($E2903="",0,$E2903)+IF($F2903="",0,$F2903)-IF($G2903="",0,$G2903))</f>
        <v/>
      </c>
      <c r="I2903" s="12" t="n"/>
      <c r="J2903" s="12" t="n"/>
      <c r="K2903" s="12" t="n"/>
      <c r="L2903" s="14" t="n"/>
      <c r="M2903" s="12" t="n"/>
      <c r="N2903" s="12" t="n"/>
      <c r="O2903" s="12" t="n"/>
    </row>
    <row r="2904">
      <c r="A2904" s="12" t="n"/>
      <c r="B2904" s="13">
        <f>IF($A2904="","",IFERROR(INDEX(Emp_Names,MATCH($A2904,Emp_Codes,0)),"NOT FOUND"))</f>
        <v/>
      </c>
      <c r="C2904" s="14" t="n"/>
      <c r="D2904" s="15" t="n"/>
      <c r="E2904" s="15" t="n"/>
      <c r="F2904" s="15" t="n"/>
      <c r="G2904" s="15" t="n"/>
      <c r="H2904" s="16">
        <f>IF($A2904="","",$D2904+IF($E2904="",0,$E2904)+IF($F2904="",0,$F2904)-IF($G2904="",0,$G2904))</f>
        <v/>
      </c>
      <c r="I2904" s="12" t="n"/>
      <c r="J2904" s="12" t="n"/>
      <c r="K2904" s="12" t="n"/>
      <c r="L2904" s="14" t="n"/>
      <c r="M2904" s="12" t="n"/>
      <c r="N2904" s="12" t="n"/>
      <c r="O2904" s="12" t="n"/>
    </row>
    <row r="2905">
      <c r="A2905" s="12" t="n"/>
      <c r="B2905" s="13">
        <f>IF($A2905="","",IFERROR(INDEX(Emp_Names,MATCH($A2905,Emp_Codes,0)),"NOT FOUND"))</f>
        <v/>
      </c>
      <c r="C2905" s="14" t="n"/>
      <c r="D2905" s="15" t="n"/>
      <c r="E2905" s="15" t="n"/>
      <c r="F2905" s="15" t="n"/>
      <c r="G2905" s="15" t="n"/>
      <c r="H2905" s="16">
        <f>IF($A2905="","",$D2905+IF($E2905="",0,$E2905)+IF($F2905="",0,$F2905)-IF($G2905="",0,$G2905))</f>
        <v/>
      </c>
      <c r="I2905" s="12" t="n"/>
      <c r="J2905" s="12" t="n"/>
      <c r="K2905" s="12" t="n"/>
      <c r="L2905" s="14" t="n"/>
      <c r="M2905" s="12" t="n"/>
      <c r="N2905" s="12" t="n"/>
      <c r="O2905" s="12" t="n"/>
    </row>
    <row r="2906">
      <c r="A2906" s="12" t="n"/>
      <c r="B2906" s="13">
        <f>IF($A2906="","",IFERROR(INDEX(Emp_Names,MATCH($A2906,Emp_Codes,0)),"NOT FOUND"))</f>
        <v/>
      </c>
      <c r="C2906" s="14" t="n"/>
      <c r="D2906" s="15" t="n"/>
      <c r="E2906" s="15" t="n"/>
      <c r="F2906" s="15" t="n"/>
      <c r="G2906" s="15" t="n"/>
      <c r="H2906" s="16">
        <f>IF($A2906="","",$D2906+IF($E2906="",0,$E2906)+IF($F2906="",0,$F2906)-IF($G2906="",0,$G2906))</f>
        <v/>
      </c>
      <c r="I2906" s="12" t="n"/>
      <c r="J2906" s="12" t="n"/>
      <c r="K2906" s="12" t="n"/>
      <c r="L2906" s="14" t="n"/>
      <c r="M2906" s="12" t="n"/>
      <c r="N2906" s="12" t="n"/>
      <c r="O2906" s="12" t="n"/>
    </row>
    <row r="2907">
      <c r="A2907" s="12" t="n"/>
      <c r="B2907" s="13">
        <f>IF($A2907="","",IFERROR(INDEX(Emp_Names,MATCH($A2907,Emp_Codes,0)),"NOT FOUND"))</f>
        <v/>
      </c>
      <c r="C2907" s="14" t="n"/>
      <c r="D2907" s="15" t="n"/>
      <c r="E2907" s="15" t="n"/>
      <c r="F2907" s="15" t="n"/>
      <c r="G2907" s="15" t="n"/>
      <c r="H2907" s="16">
        <f>IF($A2907="","",$D2907+IF($E2907="",0,$E2907)+IF($F2907="",0,$F2907)-IF($G2907="",0,$G2907))</f>
        <v/>
      </c>
      <c r="I2907" s="12" t="n"/>
      <c r="J2907" s="12" t="n"/>
      <c r="K2907" s="12" t="n"/>
      <c r="L2907" s="14" t="n"/>
      <c r="M2907" s="12" t="n"/>
      <c r="N2907" s="12" t="n"/>
      <c r="O2907" s="12" t="n"/>
    </row>
    <row r="2908">
      <c r="A2908" s="12" t="n"/>
      <c r="B2908" s="13">
        <f>IF($A2908="","",IFERROR(INDEX(Emp_Names,MATCH($A2908,Emp_Codes,0)),"NOT FOUND"))</f>
        <v/>
      </c>
      <c r="C2908" s="14" t="n"/>
      <c r="D2908" s="15" t="n"/>
      <c r="E2908" s="15" t="n"/>
      <c r="F2908" s="15" t="n"/>
      <c r="G2908" s="15" t="n"/>
      <c r="H2908" s="16">
        <f>IF($A2908="","",$D2908+IF($E2908="",0,$E2908)+IF($F2908="",0,$F2908)-IF($G2908="",0,$G2908))</f>
        <v/>
      </c>
      <c r="I2908" s="12" t="n"/>
      <c r="J2908" s="12" t="n"/>
      <c r="K2908" s="12" t="n"/>
      <c r="L2908" s="14" t="n"/>
      <c r="M2908" s="12" t="n"/>
      <c r="N2908" s="12" t="n"/>
      <c r="O2908" s="12" t="n"/>
    </row>
    <row r="2909">
      <c r="A2909" s="12" t="n"/>
      <c r="B2909" s="13">
        <f>IF($A2909="","",IFERROR(INDEX(Emp_Names,MATCH($A2909,Emp_Codes,0)),"NOT FOUND"))</f>
        <v/>
      </c>
      <c r="C2909" s="14" t="n"/>
      <c r="D2909" s="15" t="n"/>
      <c r="E2909" s="15" t="n"/>
      <c r="F2909" s="15" t="n"/>
      <c r="G2909" s="15" t="n"/>
      <c r="H2909" s="16">
        <f>IF($A2909="","",$D2909+IF($E2909="",0,$E2909)+IF($F2909="",0,$F2909)-IF($G2909="",0,$G2909))</f>
        <v/>
      </c>
      <c r="I2909" s="12" t="n"/>
      <c r="J2909" s="12" t="n"/>
      <c r="K2909" s="12" t="n"/>
      <c r="L2909" s="14" t="n"/>
      <c r="M2909" s="12" t="n"/>
      <c r="N2909" s="12" t="n"/>
      <c r="O2909" s="12" t="n"/>
    </row>
    <row r="2910">
      <c r="A2910" s="12" t="n"/>
      <c r="B2910" s="13">
        <f>IF($A2910="","",IFERROR(INDEX(Emp_Names,MATCH($A2910,Emp_Codes,0)),"NOT FOUND"))</f>
        <v/>
      </c>
      <c r="C2910" s="14" t="n"/>
      <c r="D2910" s="15" t="n"/>
      <c r="E2910" s="15" t="n"/>
      <c r="F2910" s="15" t="n"/>
      <c r="G2910" s="15" t="n"/>
      <c r="H2910" s="16">
        <f>IF($A2910="","",$D2910+IF($E2910="",0,$E2910)+IF($F2910="",0,$F2910)-IF($G2910="",0,$G2910))</f>
        <v/>
      </c>
      <c r="I2910" s="12" t="n"/>
      <c r="J2910" s="12" t="n"/>
      <c r="K2910" s="12" t="n"/>
      <c r="L2910" s="14" t="n"/>
      <c r="M2910" s="12" t="n"/>
      <c r="N2910" s="12" t="n"/>
      <c r="O2910" s="12" t="n"/>
    </row>
    <row r="2911">
      <c r="A2911" s="12" t="n"/>
      <c r="B2911" s="13">
        <f>IF($A2911="","",IFERROR(INDEX(Emp_Names,MATCH($A2911,Emp_Codes,0)),"NOT FOUND"))</f>
        <v/>
      </c>
      <c r="C2911" s="14" t="n"/>
      <c r="D2911" s="15" t="n"/>
      <c r="E2911" s="15" t="n"/>
      <c r="F2911" s="15" t="n"/>
      <c r="G2911" s="15" t="n"/>
      <c r="H2911" s="16">
        <f>IF($A2911="","",$D2911+IF($E2911="",0,$E2911)+IF($F2911="",0,$F2911)-IF($G2911="",0,$G2911))</f>
        <v/>
      </c>
      <c r="I2911" s="12" t="n"/>
      <c r="J2911" s="12" t="n"/>
      <c r="K2911" s="12" t="n"/>
      <c r="L2911" s="14" t="n"/>
      <c r="M2911" s="12" t="n"/>
      <c r="N2911" s="12" t="n"/>
      <c r="O2911" s="12" t="n"/>
    </row>
    <row r="2912">
      <c r="A2912" s="12" t="n"/>
      <c r="B2912" s="13">
        <f>IF($A2912="","",IFERROR(INDEX(Emp_Names,MATCH($A2912,Emp_Codes,0)),"NOT FOUND"))</f>
        <v/>
      </c>
      <c r="C2912" s="14" t="n"/>
      <c r="D2912" s="15" t="n"/>
      <c r="E2912" s="15" t="n"/>
      <c r="F2912" s="15" t="n"/>
      <c r="G2912" s="15" t="n"/>
      <c r="H2912" s="16">
        <f>IF($A2912="","",$D2912+IF($E2912="",0,$E2912)+IF($F2912="",0,$F2912)-IF($G2912="",0,$G2912))</f>
        <v/>
      </c>
      <c r="I2912" s="12" t="n"/>
      <c r="J2912" s="12" t="n"/>
      <c r="K2912" s="12" t="n"/>
      <c r="L2912" s="14" t="n"/>
      <c r="M2912" s="12" t="n"/>
      <c r="N2912" s="12" t="n"/>
      <c r="O2912" s="12" t="n"/>
    </row>
    <row r="2913">
      <c r="A2913" s="12" t="n"/>
      <c r="B2913" s="13">
        <f>IF($A2913="","",IFERROR(INDEX(Emp_Names,MATCH($A2913,Emp_Codes,0)),"NOT FOUND"))</f>
        <v/>
      </c>
      <c r="C2913" s="14" t="n"/>
      <c r="D2913" s="15" t="n"/>
      <c r="E2913" s="15" t="n"/>
      <c r="F2913" s="15" t="n"/>
      <c r="G2913" s="15" t="n"/>
      <c r="H2913" s="16">
        <f>IF($A2913="","",$D2913+IF($E2913="",0,$E2913)+IF($F2913="",0,$F2913)-IF($G2913="",0,$G2913))</f>
        <v/>
      </c>
      <c r="I2913" s="12" t="n"/>
      <c r="J2913" s="12" t="n"/>
      <c r="K2913" s="12" t="n"/>
      <c r="L2913" s="14" t="n"/>
      <c r="M2913" s="12" t="n"/>
      <c r="N2913" s="12" t="n"/>
      <c r="O2913" s="12" t="n"/>
    </row>
    <row r="2914">
      <c r="A2914" s="12" t="n"/>
      <c r="B2914" s="13">
        <f>IF($A2914="","",IFERROR(INDEX(Emp_Names,MATCH($A2914,Emp_Codes,0)),"NOT FOUND"))</f>
        <v/>
      </c>
      <c r="C2914" s="14" t="n"/>
      <c r="D2914" s="15" t="n"/>
      <c r="E2914" s="15" t="n"/>
      <c r="F2914" s="15" t="n"/>
      <c r="G2914" s="15" t="n"/>
      <c r="H2914" s="16">
        <f>IF($A2914="","",$D2914+IF($E2914="",0,$E2914)+IF($F2914="",0,$F2914)-IF($G2914="",0,$G2914))</f>
        <v/>
      </c>
      <c r="I2914" s="12" t="n"/>
      <c r="J2914" s="12" t="n"/>
      <c r="K2914" s="12" t="n"/>
      <c r="L2914" s="14" t="n"/>
      <c r="M2914" s="12" t="n"/>
      <c r="N2914" s="12" t="n"/>
      <c r="O2914" s="12" t="n"/>
    </row>
    <row r="2915">
      <c r="A2915" s="12" t="n"/>
      <c r="B2915" s="13">
        <f>IF($A2915="","",IFERROR(INDEX(Emp_Names,MATCH($A2915,Emp_Codes,0)),"NOT FOUND"))</f>
        <v/>
      </c>
      <c r="C2915" s="14" t="n"/>
      <c r="D2915" s="15" t="n"/>
      <c r="E2915" s="15" t="n"/>
      <c r="F2915" s="15" t="n"/>
      <c r="G2915" s="15" t="n"/>
      <c r="H2915" s="16">
        <f>IF($A2915="","",$D2915+IF($E2915="",0,$E2915)+IF($F2915="",0,$F2915)-IF($G2915="",0,$G2915))</f>
        <v/>
      </c>
      <c r="I2915" s="12" t="n"/>
      <c r="J2915" s="12" t="n"/>
      <c r="K2915" s="12" t="n"/>
      <c r="L2915" s="14" t="n"/>
      <c r="M2915" s="12" t="n"/>
      <c r="N2915" s="12" t="n"/>
      <c r="O2915" s="12" t="n"/>
    </row>
    <row r="2916">
      <c r="A2916" s="12" t="n"/>
      <c r="B2916" s="13">
        <f>IF($A2916="","",IFERROR(INDEX(Emp_Names,MATCH($A2916,Emp_Codes,0)),"NOT FOUND"))</f>
        <v/>
      </c>
      <c r="C2916" s="14" t="n"/>
      <c r="D2916" s="15" t="n"/>
      <c r="E2916" s="15" t="n"/>
      <c r="F2916" s="15" t="n"/>
      <c r="G2916" s="15" t="n"/>
      <c r="H2916" s="16">
        <f>IF($A2916="","",$D2916+IF($E2916="",0,$E2916)+IF($F2916="",0,$F2916)-IF($G2916="",0,$G2916))</f>
        <v/>
      </c>
      <c r="I2916" s="12" t="n"/>
      <c r="J2916" s="12" t="n"/>
      <c r="K2916" s="12" t="n"/>
      <c r="L2916" s="14" t="n"/>
      <c r="M2916" s="12" t="n"/>
      <c r="N2916" s="12" t="n"/>
      <c r="O2916" s="12" t="n"/>
    </row>
    <row r="2917">
      <c r="A2917" s="12" t="n"/>
      <c r="B2917" s="13">
        <f>IF($A2917="","",IFERROR(INDEX(Emp_Names,MATCH($A2917,Emp_Codes,0)),"NOT FOUND"))</f>
        <v/>
      </c>
      <c r="C2917" s="14" t="n"/>
      <c r="D2917" s="15" t="n"/>
      <c r="E2917" s="15" t="n"/>
      <c r="F2917" s="15" t="n"/>
      <c r="G2917" s="15" t="n"/>
      <c r="H2917" s="16">
        <f>IF($A2917="","",$D2917+IF($E2917="",0,$E2917)+IF($F2917="",0,$F2917)-IF($G2917="",0,$G2917))</f>
        <v/>
      </c>
      <c r="I2917" s="12" t="n"/>
      <c r="J2917" s="12" t="n"/>
      <c r="K2917" s="12" t="n"/>
      <c r="L2917" s="14" t="n"/>
      <c r="M2917" s="12" t="n"/>
      <c r="N2917" s="12" t="n"/>
      <c r="O2917" s="12" t="n"/>
    </row>
    <row r="2918">
      <c r="A2918" s="12" t="n"/>
      <c r="B2918" s="13">
        <f>IF($A2918="","",IFERROR(INDEX(Emp_Names,MATCH($A2918,Emp_Codes,0)),"NOT FOUND"))</f>
        <v/>
      </c>
      <c r="C2918" s="14" t="n"/>
      <c r="D2918" s="15" t="n"/>
      <c r="E2918" s="15" t="n"/>
      <c r="F2918" s="15" t="n"/>
      <c r="G2918" s="15" t="n"/>
      <c r="H2918" s="16">
        <f>IF($A2918="","",$D2918+IF($E2918="",0,$E2918)+IF($F2918="",0,$F2918)-IF($G2918="",0,$G2918))</f>
        <v/>
      </c>
      <c r="I2918" s="12" t="n"/>
      <c r="J2918" s="12" t="n"/>
      <c r="K2918" s="12" t="n"/>
      <c r="L2918" s="14" t="n"/>
      <c r="M2918" s="12" t="n"/>
      <c r="N2918" s="12" t="n"/>
      <c r="O2918" s="12" t="n"/>
    </row>
    <row r="2919">
      <c r="A2919" s="12" t="n"/>
      <c r="B2919" s="13">
        <f>IF($A2919="","",IFERROR(INDEX(Emp_Names,MATCH($A2919,Emp_Codes,0)),"NOT FOUND"))</f>
        <v/>
      </c>
      <c r="C2919" s="14" t="n"/>
      <c r="D2919" s="15" t="n"/>
      <c r="E2919" s="15" t="n"/>
      <c r="F2919" s="15" t="n"/>
      <c r="G2919" s="15" t="n"/>
      <c r="H2919" s="16">
        <f>IF($A2919="","",$D2919+IF($E2919="",0,$E2919)+IF($F2919="",0,$F2919)-IF($G2919="",0,$G2919))</f>
        <v/>
      </c>
      <c r="I2919" s="12" t="n"/>
      <c r="J2919" s="12" t="n"/>
      <c r="K2919" s="12" t="n"/>
      <c r="L2919" s="14" t="n"/>
      <c r="M2919" s="12" t="n"/>
      <c r="N2919" s="12" t="n"/>
      <c r="O2919" s="12" t="n"/>
    </row>
    <row r="2920">
      <c r="A2920" s="12" t="n"/>
      <c r="B2920" s="13">
        <f>IF($A2920="","",IFERROR(INDEX(Emp_Names,MATCH($A2920,Emp_Codes,0)),"NOT FOUND"))</f>
        <v/>
      </c>
      <c r="C2920" s="14" t="n"/>
      <c r="D2920" s="15" t="n"/>
      <c r="E2920" s="15" t="n"/>
      <c r="F2920" s="15" t="n"/>
      <c r="G2920" s="15" t="n"/>
      <c r="H2920" s="16">
        <f>IF($A2920="","",$D2920+IF($E2920="",0,$E2920)+IF($F2920="",0,$F2920)-IF($G2920="",0,$G2920))</f>
        <v/>
      </c>
      <c r="I2920" s="12" t="n"/>
      <c r="J2920" s="12" t="n"/>
      <c r="K2920" s="12" t="n"/>
      <c r="L2920" s="14" t="n"/>
      <c r="M2920" s="12" t="n"/>
      <c r="N2920" s="12" t="n"/>
      <c r="O2920" s="12" t="n"/>
    </row>
    <row r="2921">
      <c r="A2921" s="12" t="n"/>
      <c r="B2921" s="13">
        <f>IF($A2921="","",IFERROR(INDEX(Emp_Names,MATCH($A2921,Emp_Codes,0)),"NOT FOUND"))</f>
        <v/>
      </c>
      <c r="C2921" s="14" t="n"/>
      <c r="D2921" s="15" t="n"/>
      <c r="E2921" s="15" t="n"/>
      <c r="F2921" s="15" t="n"/>
      <c r="G2921" s="15" t="n"/>
      <c r="H2921" s="16">
        <f>IF($A2921="","",$D2921+IF($E2921="",0,$E2921)+IF($F2921="",0,$F2921)-IF($G2921="",0,$G2921))</f>
        <v/>
      </c>
      <c r="I2921" s="12" t="n"/>
      <c r="J2921" s="12" t="n"/>
      <c r="K2921" s="12" t="n"/>
      <c r="L2921" s="14" t="n"/>
      <c r="M2921" s="12" t="n"/>
      <c r="N2921" s="12" t="n"/>
      <c r="O2921" s="12" t="n"/>
    </row>
    <row r="2922">
      <c r="A2922" s="12" t="n"/>
      <c r="B2922" s="13">
        <f>IF($A2922="","",IFERROR(INDEX(Emp_Names,MATCH($A2922,Emp_Codes,0)),"NOT FOUND"))</f>
        <v/>
      </c>
      <c r="C2922" s="14" t="n"/>
      <c r="D2922" s="15" t="n"/>
      <c r="E2922" s="15" t="n"/>
      <c r="F2922" s="15" t="n"/>
      <c r="G2922" s="15" t="n"/>
      <c r="H2922" s="16">
        <f>IF($A2922="","",$D2922+IF($E2922="",0,$E2922)+IF($F2922="",0,$F2922)-IF($G2922="",0,$G2922))</f>
        <v/>
      </c>
      <c r="I2922" s="12" t="n"/>
      <c r="J2922" s="12" t="n"/>
      <c r="K2922" s="12" t="n"/>
      <c r="L2922" s="14" t="n"/>
      <c r="M2922" s="12" t="n"/>
      <c r="N2922" s="12" t="n"/>
      <c r="O2922" s="12" t="n"/>
    </row>
    <row r="2923">
      <c r="A2923" s="12" t="n"/>
      <c r="B2923" s="13">
        <f>IF($A2923="","",IFERROR(INDEX(Emp_Names,MATCH($A2923,Emp_Codes,0)),"NOT FOUND"))</f>
        <v/>
      </c>
      <c r="C2923" s="14" t="n"/>
      <c r="D2923" s="15" t="n"/>
      <c r="E2923" s="15" t="n"/>
      <c r="F2923" s="15" t="n"/>
      <c r="G2923" s="15" t="n"/>
      <c r="H2923" s="16">
        <f>IF($A2923="","",$D2923+IF($E2923="",0,$E2923)+IF($F2923="",0,$F2923)-IF($G2923="",0,$G2923))</f>
        <v/>
      </c>
      <c r="I2923" s="12" t="n"/>
      <c r="J2923" s="12" t="n"/>
      <c r="K2923" s="12" t="n"/>
      <c r="L2923" s="14" t="n"/>
      <c r="M2923" s="12" t="n"/>
      <c r="N2923" s="12" t="n"/>
      <c r="O2923" s="12" t="n"/>
    </row>
    <row r="2924">
      <c r="A2924" s="12" t="n"/>
      <c r="B2924" s="13">
        <f>IF($A2924="","",IFERROR(INDEX(Emp_Names,MATCH($A2924,Emp_Codes,0)),"NOT FOUND"))</f>
        <v/>
      </c>
      <c r="C2924" s="14" t="n"/>
      <c r="D2924" s="15" t="n"/>
      <c r="E2924" s="15" t="n"/>
      <c r="F2924" s="15" t="n"/>
      <c r="G2924" s="15" t="n"/>
      <c r="H2924" s="16">
        <f>IF($A2924="","",$D2924+IF($E2924="",0,$E2924)+IF($F2924="",0,$F2924)-IF($G2924="",0,$G2924))</f>
        <v/>
      </c>
      <c r="I2924" s="12" t="n"/>
      <c r="J2924" s="12" t="n"/>
      <c r="K2924" s="12" t="n"/>
      <c r="L2924" s="14" t="n"/>
      <c r="M2924" s="12" t="n"/>
      <c r="N2924" s="12" t="n"/>
      <c r="O2924" s="12" t="n"/>
    </row>
    <row r="2925">
      <c r="A2925" s="12" t="n"/>
      <c r="B2925" s="13">
        <f>IF($A2925="","",IFERROR(INDEX(Emp_Names,MATCH($A2925,Emp_Codes,0)),"NOT FOUND"))</f>
        <v/>
      </c>
      <c r="C2925" s="14" t="n"/>
      <c r="D2925" s="15" t="n"/>
      <c r="E2925" s="15" t="n"/>
      <c r="F2925" s="15" t="n"/>
      <c r="G2925" s="15" t="n"/>
      <c r="H2925" s="16">
        <f>IF($A2925="","",$D2925+IF($E2925="",0,$E2925)+IF($F2925="",0,$F2925)-IF($G2925="",0,$G2925))</f>
        <v/>
      </c>
      <c r="I2925" s="12" t="n"/>
      <c r="J2925" s="12" t="n"/>
      <c r="K2925" s="12" t="n"/>
      <c r="L2925" s="14" t="n"/>
      <c r="M2925" s="12" t="n"/>
      <c r="N2925" s="12" t="n"/>
      <c r="O2925" s="12" t="n"/>
    </row>
    <row r="2926">
      <c r="A2926" s="12" t="n"/>
      <c r="B2926" s="13">
        <f>IF($A2926="","",IFERROR(INDEX(Emp_Names,MATCH($A2926,Emp_Codes,0)),"NOT FOUND"))</f>
        <v/>
      </c>
      <c r="C2926" s="14" t="n"/>
      <c r="D2926" s="15" t="n"/>
      <c r="E2926" s="15" t="n"/>
      <c r="F2926" s="15" t="n"/>
      <c r="G2926" s="15" t="n"/>
      <c r="H2926" s="16">
        <f>IF($A2926="","",$D2926+IF($E2926="",0,$E2926)+IF($F2926="",0,$F2926)-IF($G2926="",0,$G2926))</f>
        <v/>
      </c>
      <c r="I2926" s="12" t="n"/>
      <c r="J2926" s="12" t="n"/>
      <c r="K2926" s="12" t="n"/>
      <c r="L2926" s="14" t="n"/>
      <c r="M2926" s="12" t="n"/>
      <c r="N2926" s="12" t="n"/>
      <c r="O2926" s="12" t="n"/>
    </row>
    <row r="2927">
      <c r="A2927" s="12" t="n"/>
      <c r="B2927" s="13">
        <f>IF($A2927="","",IFERROR(INDEX(Emp_Names,MATCH($A2927,Emp_Codes,0)),"NOT FOUND"))</f>
        <v/>
      </c>
      <c r="C2927" s="14" t="n"/>
      <c r="D2927" s="15" t="n"/>
      <c r="E2927" s="15" t="n"/>
      <c r="F2927" s="15" t="n"/>
      <c r="G2927" s="15" t="n"/>
      <c r="H2927" s="16">
        <f>IF($A2927="","",$D2927+IF($E2927="",0,$E2927)+IF($F2927="",0,$F2927)-IF($G2927="",0,$G2927))</f>
        <v/>
      </c>
      <c r="I2927" s="12" t="n"/>
      <c r="J2927" s="12" t="n"/>
      <c r="K2927" s="12" t="n"/>
      <c r="L2927" s="14" t="n"/>
      <c r="M2927" s="12" t="n"/>
      <c r="N2927" s="12" t="n"/>
      <c r="O2927" s="12" t="n"/>
    </row>
    <row r="2928">
      <c r="A2928" s="12" t="n"/>
      <c r="B2928" s="13">
        <f>IF($A2928="","",IFERROR(INDEX(Emp_Names,MATCH($A2928,Emp_Codes,0)),"NOT FOUND"))</f>
        <v/>
      </c>
      <c r="C2928" s="14" t="n"/>
      <c r="D2928" s="15" t="n"/>
      <c r="E2928" s="15" t="n"/>
      <c r="F2928" s="15" t="n"/>
      <c r="G2928" s="15" t="n"/>
      <c r="H2928" s="16">
        <f>IF($A2928="","",$D2928+IF($E2928="",0,$E2928)+IF($F2928="",0,$F2928)-IF($G2928="",0,$G2928))</f>
        <v/>
      </c>
      <c r="I2928" s="12" t="n"/>
      <c r="J2928" s="12" t="n"/>
      <c r="K2928" s="12" t="n"/>
      <c r="L2928" s="14" t="n"/>
      <c r="M2928" s="12" t="n"/>
      <c r="N2928" s="12" t="n"/>
      <c r="O2928" s="12" t="n"/>
    </row>
    <row r="2929">
      <c r="A2929" s="12" t="n"/>
      <c r="B2929" s="13">
        <f>IF($A2929="","",IFERROR(INDEX(Emp_Names,MATCH($A2929,Emp_Codes,0)),"NOT FOUND"))</f>
        <v/>
      </c>
      <c r="C2929" s="14" t="n"/>
      <c r="D2929" s="15" t="n"/>
      <c r="E2929" s="15" t="n"/>
      <c r="F2929" s="15" t="n"/>
      <c r="G2929" s="15" t="n"/>
      <c r="H2929" s="16">
        <f>IF($A2929="","",$D2929+IF($E2929="",0,$E2929)+IF($F2929="",0,$F2929)-IF($G2929="",0,$G2929))</f>
        <v/>
      </c>
      <c r="I2929" s="12" t="n"/>
      <c r="J2929" s="12" t="n"/>
      <c r="K2929" s="12" t="n"/>
      <c r="L2929" s="14" t="n"/>
      <c r="M2929" s="12" t="n"/>
      <c r="N2929" s="12" t="n"/>
      <c r="O2929" s="12" t="n"/>
    </row>
    <row r="2930">
      <c r="A2930" s="12" t="n"/>
      <c r="B2930" s="13">
        <f>IF($A2930="","",IFERROR(INDEX(Emp_Names,MATCH($A2930,Emp_Codes,0)),"NOT FOUND"))</f>
        <v/>
      </c>
      <c r="C2930" s="14" t="n"/>
      <c r="D2930" s="15" t="n"/>
      <c r="E2930" s="15" t="n"/>
      <c r="F2930" s="15" t="n"/>
      <c r="G2930" s="15" t="n"/>
      <c r="H2930" s="16">
        <f>IF($A2930="","",$D2930+IF($E2930="",0,$E2930)+IF($F2930="",0,$F2930)-IF($G2930="",0,$G2930))</f>
        <v/>
      </c>
      <c r="I2930" s="12" t="n"/>
      <c r="J2930" s="12" t="n"/>
      <c r="K2930" s="12" t="n"/>
      <c r="L2930" s="14" t="n"/>
      <c r="M2930" s="12" t="n"/>
      <c r="N2930" s="12" t="n"/>
      <c r="O2930" s="12" t="n"/>
    </row>
    <row r="2931">
      <c r="A2931" s="12" t="n"/>
      <c r="B2931" s="13">
        <f>IF($A2931="","",IFERROR(INDEX(Emp_Names,MATCH($A2931,Emp_Codes,0)),"NOT FOUND"))</f>
        <v/>
      </c>
      <c r="C2931" s="14" t="n"/>
      <c r="D2931" s="15" t="n"/>
      <c r="E2931" s="15" t="n"/>
      <c r="F2931" s="15" t="n"/>
      <c r="G2931" s="15" t="n"/>
      <c r="H2931" s="16">
        <f>IF($A2931="","",$D2931+IF($E2931="",0,$E2931)+IF($F2931="",0,$F2931)-IF($G2931="",0,$G2931))</f>
        <v/>
      </c>
      <c r="I2931" s="12" t="n"/>
      <c r="J2931" s="12" t="n"/>
      <c r="K2931" s="12" t="n"/>
      <c r="L2931" s="14" t="n"/>
      <c r="M2931" s="12" t="n"/>
      <c r="N2931" s="12" t="n"/>
      <c r="O2931" s="12" t="n"/>
    </row>
    <row r="2932">
      <c r="A2932" s="12" t="n"/>
      <c r="B2932" s="13">
        <f>IF($A2932="","",IFERROR(INDEX(Emp_Names,MATCH($A2932,Emp_Codes,0)),"NOT FOUND"))</f>
        <v/>
      </c>
      <c r="C2932" s="14" t="n"/>
      <c r="D2932" s="15" t="n"/>
      <c r="E2932" s="15" t="n"/>
      <c r="F2932" s="15" t="n"/>
      <c r="G2932" s="15" t="n"/>
      <c r="H2932" s="16">
        <f>IF($A2932="","",$D2932+IF($E2932="",0,$E2932)+IF($F2932="",0,$F2932)-IF($G2932="",0,$G2932))</f>
        <v/>
      </c>
      <c r="I2932" s="12" t="n"/>
      <c r="J2932" s="12" t="n"/>
      <c r="K2932" s="12" t="n"/>
      <c r="L2932" s="14" t="n"/>
      <c r="M2932" s="12" t="n"/>
      <c r="N2932" s="12" t="n"/>
      <c r="O2932" s="12" t="n"/>
    </row>
    <row r="2933">
      <c r="A2933" s="12" t="n"/>
      <c r="B2933" s="13">
        <f>IF($A2933="","",IFERROR(INDEX(Emp_Names,MATCH($A2933,Emp_Codes,0)),"NOT FOUND"))</f>
        <v/>
      </c>
      <c r="C2933" s="14" t="n"/>
      <c r="D2933" s="15" t="n"/>
      <c r="E2933" s="15" t="n"/>
      <c r="F2933" s="15" t="n"/>
      <c r="G2933" s="15" t="n"/>
      <c r="H2933" s="16">
        <f>IF($A2933="","",$D2933+IF($E2933="",0,$E2933)+IF($F2933="",0,$F2933)-IF($G2933="",0,$G2933))</f>
        <v/>
      </c>
      <c r="I2933" s="12" t="n"/>
      <c r="J2933" s="12" t="n"/>
      <c r="K2933" s="12" t="n"/>
      <c r="L2933" s="14" t="n"/>
      <c r="M2933" s="12" t="n"/>
      <c r="N2933" s="12" t="n"/>
      <c r="O2933" s="12" t="n"/>
    </row>
    <row r="2934">
      <c r="A2934" s="12" t="n"/>
      <c r="B2934" s="13">
        <f>IF($A2934="","",IFERROR(INDEX(Emp_Names,MATCH($A2934,Emp_Codes,0)),"NOT FOUND"))</f>
        <v/>
      </c>
      <c r="C2934" s="14" t="n"/>
      <c r="D2934" s="15" t="n"/>
      <c r="E2934" s="15" t="n"/>
      <c r="F2934" s="15" t="n"/>
      <c r="G2934" s="15" t="n"/>
      <c r="H2934" s="16">
        <f>IF($A2934="","",$D2934+IF($E2934="",0,$E2934)+IF($F2934="",0,$F2934)-IF($G2934="",0,$G2934))</f>
        <v/>
      </c>
      <c r="I2934" s="12" t="n"/>
      <c r="J2934" s="12" t="n"/>
      <c r="K2934" s="12" t="n"/>
      <c r="L2934" s="14" t="n"/>
      <c r="M2934" s="12" t="n"/>
      <c r="N2934" s="12" t="n"/>
      <c r="O2934" s="12" t="n"/>
    </row>
    <row r="2935">
      <c r="A2935" s="12" t="n"/>
      <c r="B2935" s="13">
        <f>IF($A2935="","",IFERROR(INDEX(Emp_Names,MATCH($A2935,Emp_Codes,0)),"NOT FOUND"))</f>
        <v/>
      </c>
      <c r="C2935" s="14" t="n"/>
      <c r="D2935" s="15" t="n"/>
      <c r="E2935" s="15" t="n"/>
      <c r="F2935" s="15" t="n"/>
      <c r="G2935" s="15" t="n"/>
      <c r="H2935" s="16">
        <f>IF($A2935="","",$D2935+IF($E2935="",0,$E2935)+IF($F2935="",0,$F2935)-IF($G2935="",0,$G2935))</f>
        <v/>
      </c>
      <c r="I2935" s="12" t="n"/>
      <c r="J2935" s="12" t="n"/>
      <c r="K2935" s="12" t="n"/>
      <c r="L2935" s="14" t="n"/>
      <c r="M2935" s="12" t="n"/>
      <c r="N2935" s="12" t="n"/>
      <c r="O2935" s="12" t="n"/>
    </row>
    <row r="2936">
      <c r="A2936" s="12" t="n"/>
      <c r="B2936" s="13">
        <f>IF($A2936="","",IFERROR(INDEX(Emp_Names,MATCH($A2936,Emp_Codes,0)),"NOT FOUND"))</f>
        <v/>
      </c>
      <c r="C2936" s="14" t="n"/>
      <c r="D2936" s="15" t="n"/>
      <c r="E2936" s="15" t="n"/>
      <c r="F2936" s="15" t="n"/>
      <c r="G2936" s="15" t="n"/>
      <c r="H2936" s="16">
        <f>IF($A2936="","",$D2936+IF($E2936="",0,$E2936)+IF($F2936="",0,$F2936)-IF($G2936="",0,$G2936))</f>
        <v/>
      </c>
      <c r="I2936" s="12" t="n"/>
      <c r="J2936" s="12" t="n"/>
      <c r="K2936" s="12" t="n"/>
      <c r="L2936" s="14" t="n"/>
      <c r="M2936" s="12" t="n"/>
      <c r="N2936" s="12" t="n"/>
      <c r="O2936" s="12" t="n"/>
    </row>
    <row r="2937">
      <c r="A2937" s="12" t="n"/>
      <c r="B2937" s="13">
        <f>IF($A2937="","",IFERROR(INDEX(Emp_Names,MATCH($A2937,Emp_Codes,0)),"NOT FOUND"))</f>
        <v/>
      </c>
      <c r="C2937" s="14" t="n"/>
      <c r="D2937" s="15" t="n"/>
      <c r="E2937" s="15" t="n"/>
      <c r="F2937" s="15" t="n"/>
      <c r="G2937" s="15" t="n"/>
      <c r="H2937" s="16">
        <f>IF($A2937="","",$D2937+IF($E2937="",0,$E2937)+IF($F2937="",0,$F2937)-IF($G2937="",0,$G2937))</f>
        <v/>
      </c>
      <c r="I2937" s="12" t="n"/>
      <c r="J2937" s="12" t="n"/>
      <c r="K2937" s="12" t="n"/>
      <c r="L2937" s="14" t="n"/>
      <c r="M2937" s="12" t="n"/>
      <c r="N2937" s="12" t="n"/>
      <c r="O2937" s="12" t="n"/>
    </row>
    <row r="2938">
      <c r="A2938" s="12" t="n"/>
      <c r="B2938" s="13">
        <f>IF($A2938="","",IFERROR(INDEX(Emp_Names,MATCH($A2938,Emp_Codes,0)),"NOT FOUND"))</f>
        <v/>
      </c>
      <c r="C2938" s="14" t="n"/>
      <c r="D2938" s="15" t="n"/>
      <c r="E2938" s="15" t="n"/>
      <c r="F2938" s="15" t="n"/>
      <c r="G2938" s="15" t="n"/>
      <c r="H2938" s="16">
        <f>IF($A2938="","",$D2938+IF($E2938="",0,$E2938)+IF($F2938="",0,$F2938)-IF($G2938="",0,$G2938))</f>
        <v/>
      </c>
      <c r="I2938" s="12" t="n"/>
      <c r="J2938" s="12" t="n"/>
      <c r="K2938" s="12" t="n"/>
      <c r="L2938" s="14" t="n"/>
      <c r="M2938" s="12" t="n"/>
      <c r="N2938" s="12" t="n"/>
      <c r="O2938" s="12" t="n"/>
    </row>
    <row r="2939">
      <c r="A2939" s="12" t="n"/>
      <c r="B2939" s="13">
        <f>IF($A2939="","",IFERROR(INDEX(Emp_Names,MATCH($A2939,Emp_Codes,0)),"NOT FOUND"))</f>
        <v/>
      </c>
      <c r="C2939" s="14" t="n"/>
      <c r="D2939" s="15" t="n"/>
      <c r="E2939" s="15" t="n"/>
      <c r="F2939" s="15" t="n"/>
      <c r="G2939" s="15" t="n"/>
      <c r="H2939" s="16">
        <f>IF($A2939="","",$D2939+IF($E2939="",0,$E2939)+IF($F2939="",0,$F2939)-IF($G2939="",0,$G2939))</f>
        <v/>
      </c>
      <c r="I2939" s="12" t="n"/>
      <c r="J2939" s="12" t="n"/>
      <c r="K2939" s="12" t="n"/>
      <c r="L2939" s="14" t="n"/>
      <c r="M2939" s="12" t="n"/>
      <c r="N2939" s="12" t="n"/>
      <c r="O2939" s="12" t="n"/>
    </row>
    <row r="2940">
      <c r="A2940" s="12" t="n"/>
      <c r="B2940" s="13">
        <f>IF($A2940="","",IFERROR(INDEX(Emp_Names,MATCH($A2940,Emp_Codes,0)),"NOT FOUND"))</f>
        <v/>
      </c>
      <c r="C2940" s="14" t="n"/>
      <c r="D2940" s="15" t="n"/>
      <c r="E2940" s="15" t="n"/>
      <c r="F2940" s="15" t="n"/>
      <c r="G2940" s="15" t="n"/>
      <c r="H2940" s="16">
        <f>IF($A2940="","",$D2940+IF($E2940="",0,$E2940)+IF($F2940="",0,$F2940)-IF($G2940="",0,$G2940))</f>
        <v/>
      </c>
      <c r="I2940" s="12" t="n"/>
      <c r="J2940" s="12" t="n"/>
      <c r="K2940" s="12" t="n"/>
      <c r="L2940" s="14" t="n"/>
      <c r="M2940" s="12" t="n"/>
      <c r="N2940" s="12" t="n"/>
      <c r="O2940" s="12" t="n"/>
    </row>
    <row r="2941">
      <c r="A2941" s="12" t="n"/>
      <c r="B2941" s="13">
        <f>IF($A2941="","",IFERROR(INDEX(Emp_Names,MATCH($A2941,Emp_Codes,0)),"NOT FOUND"))</f>
        <v/>
      </c>
      <c r="C2941" s="14" t="n"/>
      <c r="D2941" s="15" t="n"/>
      <c r="E2941" s="15" t="n"/>
      <c r="F2941" s="15" t="n"/>
      <c r="G2941" s="15" t="n"/>
      <c r="H2941" s="16">
        <f>IF($A2941="","",$D2941+IF($E2941="",0,$E2941)+IF($F2941="",0,$F2941)-IF($G2941="",0,$G2941))</f>
        <v/>
      </c>
      <c r="I2941" s="12" t="n"/>
      <c r="J2941" s="12" t="n"/>
      <c r="K2941" s="12" t="n"/>
      <c r="L2941" s="14" t="n"/>
      <c r="M2941" s="12" t="n"/>
      <c r="N2941" s="12" t="n"/>
      <c r="O2941" s="12" t="n"/>
    </row>
    <row r="2942">
      <c r="A2942" s="12" t="n"/>
      <c r="B2942" s="13">
        <f>IF($A2942="","",IFERROR(INDEX(Emp_Names,MATCH($A2942,Emp_Codes,0)),"NOT FOUND"))</f>
        <v/>
      </c>
      <c r="C2942" s="14" t="n"/>
      <c r="D2942" s="15" t="n"/>
      <c r="E2942" s="15" t="n"/>
      <c r="F2942" s="15" t="n"/>
      <c r="G2942" s="15" t="n"/>
      <c r="H2942" s="16">
        <f>IF($A2942="","",$D2942+IF($E2942="",0,$E2942)+IF($F2942="",0,$F2942)-IF($G2942="",0,$G2942))</f>
        <v/>
      </c>
      <c r="I2942" s="12" t="n"/>
      <c r="J2942" s="12" t="n"/>
      <c r="K2942" s="12" t="n"/>
      <c r="L2942" s="14" t="n"/>
      <c r="M2942" s="12" t="n"/>
      <c r="N2942" s="12" t="n"/>
      <c r="O2942" s="12" t="n"/>
    </row>
    <row r="2943">
      <c r="A2943" s="12" t="n"/>
      <c r="B2943" s="13">
        <f>IF($A2943="","",IFERROR(INDEX(Emp_Names,MATCH($A2943,Emp_Codes,0)),"NOT FOUND"))</f>
        <v/>
      </c>
      <c r="C2943" s="14" t="n"/>
      <c r="D2943" s="15" t="n"/>
      <c r="E2943" s="15" t="n"/>
      <c r="F2943" s="15" t="n"/>
      <c r="G2943" s="15" t="n"/>
      <c r="H2943" s="16">
        <f>IF($A2943="","",$D2943+IF($E2943="",0,$E2943)+IF($F2943="",0,$F2943)-IF($G2943="",0,$G2943))</f>
        <v/>
      </c>
      <c r="I2943" s="12" t="n"/>
      <c r="J2943" s="12" t="n"/>
      <c r="K2943" s="12" t="n"/>
      <c r="L2943" s="14" t="n"/>
      <c r="M2943" s="12" t="n"/>
      <c r="N2943" s="12" t="n"/>
      <c r="O2943" s="12" t="n"/>
    </row>
    <row r="2944">
      <c r="A2944" s="12" t="n"/>
      <c r="B2944" s="13">
        <f>IF($A2944="","",IFERROR(INDEX(Emp_Names,MATCH($A2944,Emp_Codes,0)),"NOT FOUND"))</f>
        <v/>
      </c>
      <c r="C2944" s="14" t="n"/>
      <c r="D2944" s="15" t="n"/>
      <c r="E2944" s="15" t="n"/>
      <c r="F2944" s="15" t="n"/>
      <c r="G2944" s="15" t="n"/>
      <c r="H2944" s="16">
        <f>IF($A2944="","",$D2944+IF($E2944="",0,$E2944)+IF($F2944="",0,$F2944)-IF($G2944="",0,$G2944))</f>
        <v/>
      </c>
      <c r="I2944" s="12" t="n"/>
      <c r="J2944" s="12" t="n"/>
      <c r="K2944" s="12" t="n"/>
      <c r="L2944" s="14" t="n"/>
      <c r="M2944" s="12" t="n"/>
      <c r="N2944" s="12" t="n"/>
      <c r="O2944" s="12" t="n"/>
    </row>
    <row r="2945">
      <c r="A2945" s="12" t="n"/>
      <c r="B2945" s="13">
        <f>IF($A2945="","",IFERROR(INDEX(Emp_Names,MATCH($A2945,Emp_Codes,0)),"NOT FOUND"))</f>
        <v/>
      </c>
      <c r="C2945" s="14" t="n"/>
      <c r="D2945" s="15" t="n"/>
      <c r="E2945" s="15" t="n"/>
      <c r="F2945" s="15" t="n"/>
      <c r="G2945" s="15" t="n"/>
      <c r="H2945" s="16">
        <f>IF($A2945="","",$D2945+IF($E2945="",0,$E2945)+IF($F2945="",0,$F2945)-IF($G2945="",0,$G2945))</f>
        <v/>
      </c>
      <c r="I2945" s="12" t="n"/>
      <c r="J2945" s="12" t="n"/>
      <c r="K2945" s="12" t="n"/>
      <c r="L2945" s="14" t="n"/>
      <c r="M2945" s="12" t="n"/>
      <c r="N2945" s="12" t="n"/>
      <c r="O2945" s="12" t="n"/>
    </row>
    <row r="2946">
      <c r="A2946" s="12" t="n"/>
      <c r="B2946" s="13">
        <f>IF($A2946="","",IFERROR(INDEX(Emp_Names,MATCH($A2946,Emp_Codes,0)),"NOT FOUND"))</f>
        <v/>
      </c>
      <c r="C2946" s="14" t="n"/>
      <c r="D2946" s="15" t="n"/>
      <c r="E2946" s="15" t="n"/>
      <c r="F2946" s="15" t="n"/>
      <c r="G2946" s="15" t="n"/>
      <c r="H2946" s="16">
        <f>IF($A2946="","",$D2946+IF($E2946="",0,$E2946)+IF($F2946="",0,$F2946)-IF($G2946="",0,$G2946))</f>
        <v/>
      </c>
      <c r="I2946" s="12" t="n"/>
      <c r="J2946" s="12" t="n"/>
      <c r="K2946" s="12" t="n"/>
      <c r="L2946" s="14" t="n"/>
      <c r="M2946" s="12" t="n"/>
      <c r="N2946" s="12" t="n"/>
      <c r="O2946" s="12" t="n"/>
    </row>
    <row r="2947">
      <c r="A2947" s="12" t="n"/>
      <c r="B2947" s="13">
        <f>IF($A2947="","",IFERROR(INDEX(Emp_Names,MATCH($A2947,Emp_Codes,0)),"NOT FOUND"))</f>
        <v/>
      </c>
      <c r="C2947" s="14" t="n"/>
      <c r="D2947" s="15" t="n"/>
      <c r="E2947" s="15" t="n"/>
      <c r="F2947" s="15" t="n"/>
      <c r="G2947" s="15" t="n"/>
      <c r="H2947" s="16">
        <f>IF($A2947="","",$D2947+IF($E2947="",0,$E2947)+IF($F2947="",0,$F2947)-IF($G2947="",0,$G2947))</f>
        <v/>
      </c>
      <c r="I2947" s="12" t="n"/>
      <c r="J2947" s="12" t="n"/>
      <c r="K2947" s="12" t="n"/>
      <c r="L2947" s="14" t="n"/>
      <c r="M2947" s="12" t="n"/>
      <c r="N2947" s="12" t="n"/>
      <c r="O2947" s="12" t="n"/>
    </row>
    <row r="2948">
      <c r="A2948" s="12" t="n"/>
      <c r="B2948" s="13">
        <f>IF($A2948="","",IFERROR(INDEX(Emp_Names,MATCH($A2948,Emp_Codes,0)),"NOT FOUND"))</f>
        <v/>
      </c>
      <c r="C2948" s="14" t="n"/>
      <c r="D2948" s="15" t="n"/>
      <c r="E2948" s="15" t="n"/>
      <c r="F2948" s="15" t="n"/>
      <c r="G2948" s="15" t="n"/>
      <c r="H2948" s="16">
        <f>IF($A2948="","",$D2948+IF($E2948="",0,$E2948)+IF($F2948="",0,$F2948)-IF($G2948="",0,$G2948))</f>
        <v/>
      </c>
      <c r="I2948" s="12" t="n"/>
      <c r="J2948" s="12" t="n"/>
      <c r="K2948" s="12" t="n"/>
      <c r="L2948" s="14" t="n"/>
      <c r="M2948" s="12" t="n"/>
      <c r="N2948" s="12" t="n"/>
      <c r="O2948" s="12" t="n"/>
    </row>
    <row r="2949">
      <c r="A2949" s="12" t="n"/>
      <c r="B2949" s="13">
        <f>IF($A2949="","",IFERROR(INDEX(Emp_Names,MATCH($A2949,Emp_Codes,0)),"NOT FOUND"))</f>
        <v/>
      </c>
      <c r="C2949" s="14" t="n"/>
      <c r="D2949" s="15" t="n"/>
      <c r="E2949" s="15" t="n"/>
      <c r="F2949" s="15" t="n"/>
      <c r="G2949" s="15" t="n"/>
      <c r="H2949" s="16">
        <f>IF($A2949="","",$D2949+IF($E2949="",0,$E2949)+IF($F2949="",0,$F2949)-IF($G2949="",0,$G2949))</f>
        <v/>
      </c>
      <c r="I2949" s="12" t="n"/>
      <c r="J2949" s="12" t="n"/>
      <c r="K2949" s="12" t="n"/>
      <c r="L2949" s="14" t="n"/>
      <c r="M2949" s="12" t="n"/>
      <c r="N2949" s="12" t="n"/>
      <c r="O2949" s="12" t="n"/>
    </row>
    <row r="2950">
      <c r="A2950" s="12" t="n"/>
      <c r="B2950" s="13">
        <f>IF($A2950="","",IFERROR(INDEX(Emp_Names,MATCH($A2950,Emp_Codes,0)),"NOT FOUND"))</f>
        <v/>
      </c>
      <c r="C2950" s="14" t="n"/>
      <c r="D2950" s="15" t="n"/>
      <c r="E2950" s="15" t="n"/>
      <c r="F2950" s="15" t="n"/>
      <c r="G2950" s="15" t="n"/>
      <c r="H2950" s="16">
        <f>IF($A2950="","",$D2950+IF($E2950="",0,$E2950)+IF($F2950="",0,$F2950)-IF($G2950="",0,$G2950))</f>
        <v/>
      </c>
      <c r="I2950" s="12" t="n"/>
      <c r="J2950" s="12" t="n"/>
      <c r="K2950" s="12" t="n"/>
      <c r="L2950" s="14" t="n"/>
      <c r="M2950" s="12" t="n"/>
      <c r="N2950" s="12" t="n"/>
      <c r="O2950" s="12" t="n"/>
    </row>
    <row r="2951">
      <c r="A2951" s="12" t="n"/>
      <c r="B2951" s="13">
        <f>IF($A2951="","",IFERROR(INDEX(Emp_Names,MATCH($A2951,Emp_Codes,0)),"NOT FOUND"))</f>
        <v/>
      </c>
      <c r="C2951" s="14" t="n"/>
      <c r="D2951" s="15" t="n"/>
      <c r="E2951" s="15" t="n"/>
      <c r="F2951" s="15" t="n"/>
      <c r="G2951" s="15" t="n"/>
      <c r="H2951" s="16">
        <f>IF($A2951="","",$D2951+IF($E2951="",0,$E2951)+IF($F2951="",0,$F2951)-IF($G2951="",0,$G2951))</f>
        <v/>
      </c>
      <c r="I2951" s="12" t="n"/>
      <c r="J2951" s="12" t="n"/>
      <c r="K2951" s="12" t="n"/>
      <c r="L2951" s="14" t="n"/>
      <c r="M2951" s="12" t="n"/>
      <c r="N2951" s="12" t="n"/>
      <c r="O2951" s="12" t="n"/>
    </row>
    <row r="2952">
      <c r="A2952" s="12" t="n"/>
      <c r="B2952" s="13">
        <f>IF($A2952="","",IFERROR(INDEX(Emp_Names,MATCH($A2952,Emp_Codes,0)),"NOT FOUND"))</f>
        <v/>
      </c>
      <c r="C2952" s="14" t="n"/>
      <c r="D2952" s="15" t="n"/>
      <c r="E2952" s="15" t="n"/>
      <c r="F2952" s="15" t="n"/>
      <c r="G2952" s="15" t="n"/>
      <c r="H2952" s="16">
        <f>IF($A2952="","",$D2952+IF($E2952="",0,$E2952)+IF($F2952="",0,$F2952)-IF($G2952="",0,$G2952))</f>
        <v/>
      </c>
      <c r="I2952" s="12" t="n"/>
      <c r="J2952" s="12" t="n"/>
      <c r="K2952" s="12" t="n"/>
      <c r="L2952" s="14" t="n"/>
      <c r="M2952" s="12" t="n"/>
      <c r="N2952" s="12" t="n"/>
      <c r="O2952" s="12" t="n"/>
    </row>
    <row r="2953">
      <c r="A2953" s="12" t="n"/>
      <c r="B2953" s="13">
        <f>IF($A2953="","",IFERROR(INDEX(Emp_Names,MATCH($A2953,Emp_Codes,0)),"NOT FOUND"))</f>
        <v/>
      </c>
      <c r="C2953" s="14" t="n"/>
      <c r="D2953" s="15" t="n"/>
      <c r="E2953" s="15" t="n"/>
      <c r="F2953" s="15" t="n"/>
      <c r="G2953" s="15" t="n"/>
      <c r="H2953" s="16">
        <f>IF($A2953="","",$D2953+IF($E2953="",0,$E2953)+IF($F2953="",0,$F2953)-IF($G2953="",0,$G2953))</f>
        <v/>
      </c>
      <c r="I2953" s="12" t="n"/>
      <c r="J2953" s="12" t="n"/>
      <c r="K2953" s="12" t="n"/>
      <c r="L2953" s="14" t="n"/>
      <c r="M2953" s="12" t="n"/>
      <c r="N2953" s="12" t="n"/>
      <c r="O2953" s="12" t="n"/>
    </row>
    <row r="2954">
      <c r="A2954" s="12" t="n"/>
      <c r="B2954" s="13">
        <f>IF($A2954="","",IFERROR(INDEX(Emp_Names,MATCH($A2954,Emp_Codes,0)),"NOT FOUND"))</f>
        <v/>
      </c>
      <c r="C2954" s="14" t="n"/>
      <c r="D2954" s="15" t="n"/>
      <c r="E2954" s="15" t="n"/>
      <c r="F2954" s="15" t="n"/>
      <c r="G2954" s="15" t="n"/>
      <c r="H2954" s="16">
        <f>IF($A2954="","",$D2954+IF($E2954="",0,$E2954)+IF($F2954="",0,$F2954)-IF($G2954="",0,$G2954))</f>
        <v/>
      </c>
      <c r="I2954" s="12" t="n"/>
      <c r="J2954" s="12" t="n"/>
      <c r="K2954" s="12" t="n"/>
      <c r="L2954" s="14" t="n"/>
      <c r="M2954" s="12" t="n"/>
      <c r="N2954" s="12" t="n"/>
      <c r="O2954" s="12" t="n"/>
    </row>
    <row r="2955">
      <c r="A2955" s="12" t="n"/>
      <c r="B2955" s="13">
        <f>IF($A2955="","",IFERROR(INDEX(Emp_Names,MATCH($A2955,Emp_Codes,0)),"NOT FOUND"))</f>
        <v/>
      </c>
      <c r="C2955" s="14" t="n"/>
      <c r="D2955" s="15" t="n"/>
      <c r="E2955" s="15" t="n"/>
      <c r="F2955" s="15" t="n"/>
      <c r="G2955" s="15" t="n"/>
      <c r="H2955" s="16">
        <f>IF($A2955="","",$D2955+IF($E2955="",0,$E2955)+IF($F2955="",0,$F2955)-IF($G2955="",0,$G2955))</f>
        <v/>
      </c>
      <c r="I2955" s="12" t="n"/>
      <c r="J2955" s="12" t="n"/>
      <c r="K2955" s="12" t="n"/>
      <c r="L2955" s="14" t="n"/>
      <c r="M2955" s="12" t="n"/>
      <c r="N2955" s="12" t="n"/>
      <c r="O2955" s="12" t="n"/>
    </row>
    <row r="2956">
      <c r="A2956" s="12" t="n"/>
      <c r="B2956" s="13">
        <f>IF($A2956="","",IFERROR(INDEX(Emp_Names,MATCH($A2956,Emp_Codes,0)),"NOT FOUND"))</f>
        <v/>
      </c>
      <c r="C2956" s="14" t="n"/>
      <c r="D2956" s="15" t="n"/>
      <c r="E2956" s="15" t="n"/>
      <c r="F2956" s="15" t="n"/>
      <c r="G2956" s="15" t="n"/>
      <c r="H2956" s="16">
        <f>IF($A2956="","",$D2956+IF($E2956="",0,$E2956)+IF($F2956="",0,$F2956)-IF($G2956="",0,$G2956))</f>
        <v/>
      </c>
      <c r="I2956" s="12" t="n"/>
      <c r="J2956" s="12" t="n"/>
      <c r="K2956" s="12" t="n"/>
      <c r="L2956" s="14" t="n"/>
      <c r="M2956" s="12" t="n"/>
      <c r="N2956" s="12" t="n"/>
      <c r="O2956" s="12" t="n"/>
    </row>
    <row r="2957">
      <c r="A2957" s="12" t="n"/>
      <c r="B2957" s="13">
        <f>IF($A2957="","",IFERROR(INDEX(Emp_Names,MATCH($A2957,Emp_Codes,0)),"NOT FOUND"))</f>
        <v/>
      </c>
      <c r="C2957" s="14" t="n"/>
      <c r="D2957" s="15" t="n"/>
      <c r="E2957" s="15" t="n"/>
      <c r="F2957" s="15" t="n"/>
      <c r="G2957" s="15" t="n"/>
      <c r="H2957" s="16">
        <f>IF($A2957="","",$D2957+IF($E2957="",0,$E2957)+IF($F2957="",0,$F2957)-IF($G2957="",0,$G2957))</f>
        <v/>
      </c>
      <c r="I2957" s="12" t="n"/>
      <c r="J2957" s="12" t="n"/>
      <c r="K2957" s="12" t="n"/>
      <c r="L2957" s="14" t="n"/>
      <c r="M2957" s="12" t="n"/>
      <c r="N2957" s="12" t="n"/>
      <c r="O2957" s="12" t="n"/>
    </row>
    <row r="2958">
      <c r="A2958" s="12" t="n"/>
      <c r="B2958" s="13">
        <f>IF($A2958="","",IFERROR(INDEX(Emp_Names,MATCH($A2958,Emp_Codes,0)),"NOT FOUND"))</f>
        <v/>
      </c>
      <c r="C2958" s="14" t="n"/>
      <c r="D2958" s="15" t="n"/>
      <c r="E2958" s="15" t="n"/>
      <c r="F2958" s="15" t="n"/>
      <c r="G2958" s="15" t="n"/>
      <c r="H2958" s="16">
        <f>IF($A2958="","",$D2958+IF($E2958="",0,$E2958)+IF($F2958="",0,$F2958)-IF($G2958="",0,$G2958))</f>
        <v/>
      </c>
      <c r="I2958" s="12" t="n"/>
      <c r="J2958" s="12" t="n"/>
      <c r="K2958" s="12" t="n"/>
      <c r="L2958" s="14" t="n"/>
      <c r="M2958" s="12" t="n"/>
      <c r="N2958" s="12" t="n"/>
      <c r="O2958" s="12" t="n"/>
    </row>
    <row r="2959">
      <c r="A2959" s="12" t="n"/>
      <c r="B2959" s="13">
        <f>IF($A2959="","",IFERROR(INDEX(Emp_Names,MATCH($A2959,Emp_Codes,0)),"NOT FOUND"))</f>
        <v/>
      </c>
      <c r="C2959" s="14" t="n"/>
      <c r="D2959" s="15" t="n"/>
      <c r="E2959" s="15" t="n"/>
      <c r="F2959" s="15" t="n"/>
      <c r="G2959" s="15" t="n"/>
      <c r="H2959" s="16">
        <f>IF($A2959="","",$D2959+IF($E2959="",0,$E2959)+IF($F2959="",0,$F2959)-IF($G2959="",0,$G2959))</f>
        <v/>
      </c>
      <c r="I2959" s="12" t="n"/>
      <c r="J2959" s="12" t="n"/>
      <c r="K2959" s="12" t="n"/>
      <c r="L2959" s="14" t="n"/>
      <c r="M2959" s="12" t="n"/>
      <c r="N2959" s="12" t="n"/>
      <c r="O2959" s="12" t="n"/>
    </row>
    <row r="2960">
      <c r="A2960" s="12" t="n"/>
      <c r="B2960" s="13">
        <f>IF($A2960="","",IFERROR(INDEX(Emp_Names,MATCH($A2960,Emp_Codes,0)),"NOT FOUND"))</f>
        <v/>
      </c>
      <c r="C2960" s="14" t="n"/>
      <c r="D2960" s="15" t="n"/>
      <c r="E2960" s="15" t="n"/>
      <c r="F2960" s="15" t="n"/>
      <c r="G2960" s="15" t="n"/>
      <c r="H2960" s="16">
        <f>IF($A2960="","",$D2960+IF($E2960="",0,$E2960)+IF($F2960="",0,$F2960)-IF($G2960="",0,$G2960))</f>
        <v/>
      </c>
      <c r="I2960" s="12" t="n"/>
      <c r="J2960" s="12" t="n"/>
      <c r="K2960" s="12" t="n"/>
      <c r="L2960" s="14" t="n"/>
      <c r="M2960" s="12" t="n"/>
      <c r="N2960" s="12" t="n"/>
      <c r="O2960" s="12" t="n"/>
    </row>
    <row r="2961">
      <c r="A2961" s="12" t="n"/>
      <c r="B2961" s="13">
        <f>IF($A2961="","",IFERROR(INDEX(Emp_Names,MATCH($A2961,Emp_Codes,0)),"NOT FOUND"))</f>
        <v/>
      </c>
      <c r="C2961" s="14" t="n"/>
      <c r="D2961" s="15" t="n"/>
      <c r="E2961" s="15" t="n"/>
      <c r="F2961" s="15" t="n"/>
      <c r="G2961" s="15" t="n"/>
      <c r="H2961" s="16">
        <f>IF($A2961="","",$D2961+IF($E2961="",0,$E2961)+IF($F2961="",0,$F2961)-IF($G2961="",0,$G2961))</f>
        <v/>
      </c>
      <c r="I2961" s="12" t="n"/>
      <c r="J2961" s="12" t="n"/>
      <c r="K2961" s="12" t="n"/>
      <c r="L2961" s="14" t="n"/>
      <c r="M2961" s="12" t="n"/>
      <c r="N2961" s="12" t="n"/>
      <c r="O2961" s="12" t="n"/>
    </row>
    <row r="2962">
      <c r="A2962" s="12" t="n"/>
      <c r="B2962" s="13">
        <f>IF($A2962="","",IFERROR(INDEX(Emp_Names,MATCH($A2962,Emp_Codes,0)),"NOT FOUND"))</f>
        <v/>
      </c>
      <c r="C2962" s="14" t="n"/>
      <c r="D2962" s="15" t="n"/>
      <c r="E2962" s="15" t="n"/>
      <c r="F2962" s="15" t="n"/>
      <c r="G2962" s="15" t="n"/>
      <c r="H2962" s="16">
        <f>IF($A2962="","",$D2962+IF($E2962="",0,$E2962)+IF($F2962="",0,$F2962)-IF($G2962="",0,$G2962))</f>
        <v/>
      </c>
      <c r="I2962" s="12" t="n"/>
      <c r="J2962" s="12" t="n"/>
      <c r="K2962" s="12" t="n"/>
      <c r="L2962" s="14" t="n"/>
      <c r="M2962" s="12" t="n"/>
      <c r="N2962" s="12" t="n"/>
      <c r="O2962" s="12" t="n"/>
    </row>
    <row r="2963">
      <c r="A2963" s="12" t="n"/>
      <c r="B2963" s="13">
        <f>IF($A2963="","",IFERROR(INDEX(Emp_Names,MATCH($A2963,Emp_Codes,0)),"NOT FOUND"))</f>
        <v/>
      </c>
      <c r="C2963" s="14" t="n"/>
      <c r="D2963" s="15" t="n"/>
      <c r="E2963" s="15" t="n"/>
      <c r="F2963" s="15" t="n"/>
      <c r="G2963" s="15" t="n"/>
      <c r="H2963" s="16">
        <f>IF($A2963="","",$D2963+IF($E2963="",0,$E2963)+IF($F2963="",0,$F2963)-IF($G2963="",0,$G2963))</f>
        <v/>
      </c>
      <c r="I2963" s="12" t="n"/>
      <c r="J2963" s="12" t="n"/>
      <c r="K2963" s="12" t="n"/>
      <c r="L2963" s="14" t="n"/>
      <c r="M2963" s="12" t="n"/>
      <c r="N2963" s="12" t="n"/>
      <c r="O2963" s="12" t="n"/>
    </row>
    <row r="2964">
      <c r="A2964" s="12" t="n"/>
      <c r="B2964" s="13">
        <f>IF($A2964="","",IFERROR(INDEX(Emp_Names,MATCH($A2964,Emp_Codes,0)),"NOT FOUND"))</f>
        <v/>
      </c>
      <c r="C2964" s="14" t="n"/>
      <c r="D2964" s="15" t="n"/>
      <c r="E2964" s="15" t="n"/>
      <c r="F2964" s="15" t="n"/>
      <c r="G2964" s="15" t="n"/>
      <c r="H2964" s="16">
        <f>IF($A2964="","",$D2964+IF($E2964="",0,$E2964)+IF($F2964="",0,$F2964)-IF($G2964="",0,$G2964))</f>
        <v/>
      </c>
      <c r="I2964" s="12" t="n"/>
      <c r="J2964" s="12" t="n"/>
      <c r="K2964" s="12" t="n"/>
      <c r="L2964" s="14" t="n"/>
      <c r="M2964" s="12" t="n"/>
      <c r="N2964" s="12" t="n"/>
      <c r="O2964" s="12" t="n"/>
    </row>
    <row r="2965">
      <c r="A2965" s="12" t="n"/>
      <c r="B2965" s="13">
        <f>IF($A2965="","",IFERROR(INDEX(Emp_Names,MATCH($A2965,Emp_Codes,0)),"NOT FOUND"))</f>
        <v/>
      </c>
      <c r="C2965" s="14" t="n"/>
      <c r="D2965" s="15" t="n"/>
      <c r="E2965" s="15" t="n"/>
      <c r="F2965" s="15" t="n"/>
      <c r="G2965" s="15" t="n"/>
      <c r="H2965" s="16">
        <f>IF($A2965="","",$D2965+IF($E2965="",0,$E2965)+IF($F2965="",0,$F2965)-IF($G2965="",0,$G2965))</f>
        <v/>
      </c>
      <c r="I2965" s="12" t="n"/>
      <c r="J2965" s="12" t="n"/>
      <c r="K2965" s="12" t="n"/>
      <c r="L2965" s="14" t="n"/>
      <c r="M2965" s="12" t="n"/>
      <c r="N2965" s="12" t="n"/>
      <c r="O2965" s="12" t="n"/>
    </row>
    <row r="2966">
      <c r="A2966" s="12" t="n"/>
      <c r="B2966" s="13">
        <f>IF($A2966="","",IFERROR(INDEX(Emp_Names,MATCH($A2966,Emp_Codes,0)),"NOT FOUND"))</f>
        <v/>
      </c>
      <c r="C2966" s="14" t="n"/>
      <c r="D2966" s="15" t="n"/>
      <c r="E2966" s="15" t="n"/>
      <c r="F2966" s="15" t="n"/>
      <c r="G2966" s="15" t="n"/>
      <c r="H2966" s="16">
        <f>IF($A2966="","",$D2966+IF($E2966="",0,$E2966)+IF($F2966="",0,$F2966)-IF($G2966="",0,$G2966))</f>
        <v/>
      </c>
      <c r="I2966" s="12" t="n"/>
      <c r="J2966" s="12" t="n"/>
      <c r="K2966" s="12" t="n"/>
      <c r="L2966" s="14" t="n"/>
      <c r="M2966" s="12" t="n"/>
      <c r="N2966" s="12" t="n"/>
      <c r="O2966" s="12" t="n"/>
    </row>
    <row r="2967">
      <c r="A2967" s="12" t="n"/>
      <c r="B2967" s="13">
        <f>IF($A2967="","",IFERROR(INDEX(Emp_Names,MATCH($A2967,Emp_Codes,0)),"NOT FOUND"))</f>
        <v/>
      </c>
      <c r="C2967" s="14" t="n"/>
      <c r="D2967" s="15" t="n"/>
      <c r="E2967" s="15" t="n"/>
      <c r="F2967" s="15" t="n"/>
      <c r="G2967" s="15" t="n"/>
      <c r="H2967" s="16">
        <f>IF($A2967="","",$D2967+IF($E2967="",0,$E2967)+IF($F2967="",0,$F2967)-IF($G2967="",0,$G2967))</f>
        <v/>
      </c>
      <c r="I2967" s="12" t="n"/>
      <c r="J2967" s="12" t="n"/>
      <c r="K2967" s="12" t="n"/>
      <c r="L2967" s="14" t="n"/>
      <c r="M2967" s="12" t="n"/>
      <c r="N2967" s="12" t="n"/>
      <c r="O2967" s="12" t="n"/>
    </row>
    <row r="2968">
      <c r="A2968" s="12" t="n"/>
      <c r="B2968" s="13">
        <f>IF($A2968="","",IFERROR(INDEX(Emp_Names,MATCH($A2968,Emp_Codes,0)),"NOT FOUND"))</f>
        <v/>
      </c>
      <c r="C2968" s="14" t="n"/>
      <c r="D2968" s="15" t="n"/>
      <c r="E2968" s="15" t="n"/>
      <c r="F2968" s="15" t="n"/>
      <c r="G2968" s="15" t="n"/>
      <c r="H2968" s="16">
        <f>IF($A2968="","",$D2968+IF($E2968="",0,$E2968)+IF($F2968="",0,$F2968)-IF($G2968="",0,$G2968))</f>
        <v/>
      </c>
      <c r="I2968" s="12" t="n"/>
      <c r="J2968" s="12" t="n"/>
      <c r="K2968" s="12" t="n"/>
      <c r="L2968" s="14" t="n"/>
      <c r="M2968" s="12" t="n"/>
      <c r="N2968" s="12" t="n"/>
      <c r="O2968" s="12" t="n"/>
    </row>
    <row r="2969">
      <c r="A2969" s="12" t="n"/>
      <c r="B2969" s="13">
        <f>IF($A2969="","",IFERROR(INDEX(Emp_Names,MATCH($A2969,Emp_Codes,0)),"NOT FOUND"))</f>
        <v/>
      </c>
      <c r="C2969" s="14" t="n"/>
      <c r="D2969" s="15" t="n"/>
      <c r="E2969" s="15" t="n"/>
      <c r="F2969" s="15" t="n"/>
      <c r="G2969" s="15" t="n"/>
      <c r="H2969" s="16">
        <f>IF($A2969="","",$D2969+IF($E2969="",0,$E2969)+IF($F2969="",0,$F2969)-IF($G2969="",0,$G2969))</f>
        <v/>
      </c>
      <c r="I2969" s="12" t="n"/>
      <c r="J2969" s="12" t="n"/>
      <c r="K2969" s="12" t="n"/>
      <c r="L2969" s="14" t="n"/>
      <c r="M2969" s="12" t="n"/>
      <c r="N2969" s="12" t="n"/>
      <c r="O2969" s="12" t="n"/>
    </row>
    <row r="2970">
      <c r="A2970" s="12" t="n"/>
      <c r="B2970" s="13">
        <f>IF($A2970="","",IFERROR(INDEX(Emp_Names,MATCH($A2970,Emp_Codes,0)),"NOT FOUND"))</f>
        <v/>
      </c>
      <c r="C2970" s="14" t="n"/>
      <c r="D2970" s="15" t="n"/>
      <c r="E2970" s="15" t="n"/>
      <c r="F2970" s="15" t="n"/>
      <c r="G2970" s="15" t="n"/>
      <c r="H2970" s="16">
        <f>IF($A2970="","",$D2970+IF($E2970="",0,$E2970)+IF($F2970="",0,$F2970)-IF($G2970="",0,$G2970))</f>
        <v/>
      </c>
      <c r="I2970" s="12" t="n"/>
      <c r="J2970" s="12" t="n"/>
      <c r="K2970" s="12" t="n"/>
      <c r="L2970" s="14" t="n"/>
      <c r="M2970" s="12" t="n"/>
      <c r="N2970" s="12" t="n"/>
      <c r="O2970" s="12" t="n"/>
    </row>
    <row r="2971">
      <c r="A2971" s="12" t="n"/>
      <c r="B2971" s="13">
        <f>IF($A2971="","",IFERROR(INDEX(Emp_Names,MATCH($A2971,Emp_Codes,0)),"NOT FOUND"))</f>
        <v/>
      </c>
      <c r="C2971" s="14" t="n"/>
      <c r="D2971" s="15" t="n"/>
      <c r="E2971" s="15" t="n"/>
      <c r="F2971" s="15" t="n"/>
      <c r="G2971" s="15" t="n"/>
      <c r="H2971" s="16">
        <f>IF($A2971="","",$D2971+IF($E2971="",0,$E2971)+IF($F2971="",0,$F2971)-IF($G2971="",0,$G2971))</f>
        <v/>
      </c>
      <c r="I2971" s="12" t="n"/>
      <c r="J2971" s="12" t="n"/>
      <c r="K2971" s="12" t="n"/>
      <c r="L2971" s="14" t="n"/>
      <c r="M2971" s="12" t="n"/>
      <c r="N2971" s="12" t="n"/>
      <c r="O2971" s="12" t="n"/>
    </row>
    <row r="2972">
      <c r="A2972" s="12" t="n"/>
      <c r="B2972" s="13">
        <f>IF($A2972="","",IFERROR(INDEX(Emp_Names,MATCH($A2972,Emp_Codes,0)),"NOT FOUND"))</f>
        <v/>
      </c>
      <c r="C2972" s="14" t="n"/>
      <c r="D2972" s="15" t="n"/>
      <c r="E2972" s="15" t="n"/>
      <c r="F2972" s="15" t="n"/>
      <c r="G2972" s="15" t="n"/>
      <c r="H2972" s="16">
        <f>IF($A2972="","",$D2972+IF($E2972="",0,$E2972)+IF($F2972="",0,$F2972)-IF($G2972="",0,$G2972))</f>
        <v/>
      </c>
      <c r="I2972" s="12" t="n"/>
      <c r="J2972" s="12" t="n"/>
      <c r="K2972" s="12" t="n"/>
      <c r="L2972" s="14" t="n"/>
      <c r="M2972" s="12" t="n"/>
      <c r="N2972" s="12" t="n"/>
      <c r="O2972" s="12" t="n"/>
    </row>
    <row r="2973">
      <c r="A2973" s="12" t="n"/>
      <c r="B2973" s="13">
        <f>IF($A2973="","",IFERROR(INDEX(Emp_Names,MATCH($A2973,Emp_Codes,0)),"NOT FOUND"))</f>
        <v/>
      </c>
      <c r="C2973" s="14" t="n"/>
      <c r="D2973" s="15" t="n"/>
      <c r="E2973" s="15" t="n"/>
      <c r="F2973" s="15" t="n"/>
      <c r="G2973" s="15" t="n"/>
      <c r="H2973" s="16">
        <f>IF($A2973="","",$D2973+IF($E2973="",0,$E2973)+IF($F2973="",0,$F2973)-IF($G2973="",0,$G2973))</f>
        <v/>
      </c>
      <c r="I2973" s="12" t="n"/>
      <c r="J2973" s="12" t="n"/>
      <c r="K2973" s="12" t="n"/>
      <c r="L2973" s="14" t="n"/>
      <c r="M2973" s="12" t="n"/>
      <c r="N2973" s="12" t="n"/>
      <c r="O2973" s="12" t="n"/>
    </row>
    <row r="2974">
      <c r="A2974" s="12" t="n"/>
      <c r="B2974" s="13">
        <f>IF($A2974="","",IFERROR(INDEX(Emp_Names,MATCH($A2974,Emp_Codes,0)),"NOT FOUND"))</f>
        <v/>
      </c>
      <c r="C2974" s="14" t="n"/>
      <c r="D2974" s="15" t="n"/>
      <c r="E2974" s="15" t="n"/>
      <c r="F2974" s="15" t="n"/>
      <c r="G2974" s="15" t="n"/>
      <c r="H2974" s="16">
        <f>IF($A2974="","",$D2974+IF($E2974="",0,$E2974)+IF($F2974="",0,$F2974)-IF($G2974="",0,$G2974))</f>
        <v/>
      </c>
      <c r="I2974" s="12" t="n"/>
      <c r="J2974" s="12" t="n"/>
      <c r="K2974" s="12" t="n"/>
      <c r="L2974" s="14" t="n"/>
      <c r="M2974" s="12" t="n"/>
      <c r="N2974" s="12" t="n"/>
      <c r="O2974" s="12" t="n"/>
    </row>
    <row r="2975">
      <c r="A2975" s="12" t="n"/>
      <c r="B2975" s="13">
        <f>IF($A2975="","",IFERROR(INDEX(Emp_Names,MATCH($A2975,Emp_Codes,0)),"NOT FOUND"))</f>
        <v/>
      </c>
      <c r="C2975" s="14" t="n"/>
      <c r="D2975" s="15" t="n"/>
      <c r="E2975" s="15" t="n"/>
      <c r="F2975" s="15" t="n"/>
      <c r="G2975" s="15" t="n"/>
      <c r="H2975" s="16">
        <f>IF($A2975="","",$D2975+IF($E2975="",0,$E2975)+IF($F2975="",0,$F2975)-IF($G2975="",0,$G2975))</f>
        <v/>
      </c>
      <c r="I2975" s="12" t="n"/>
      <c r="J2975" s="12" t="n"/>
      <c r="K2975" s="12" t="n"/>
      <c r="L2975" s="14" t="n"/>
      <c r="M2975" s="12" t="n"/>
      <c r="N2975" s="12" t="n"/>
      <c r="O2975" s="12" t="n"/>
    </row>
    <row r="2976">
      <c r="A2976" s="12" t="n"/>
      <c r="B2976" s="13">
        <f>IF($A2976="","",IFERROR(INDEX(Emp_Names,MATCH($A2976,Emp_Codes,0)),"NOT FOUND"))</f>
        <v/>
      </c>
      <c r="C2976" s="14" t="n"/>
      <c r="D2976" s="15" t="n"/>
      <c r="E2976" s="15" t="n"/>
      <c r="F2976" s="15" t="n"/>
      <c r="G2976" s="15" t="n"/>
      <c r="H2976" s="16">
        <f>IF($A2976="","",$D2976+IF($E2976="",0,$E2976)+IF($F2976="",0,$F2976)-IF($G2976="",0,$G2976))</f>
        <v/>
      </c>
      <c r="I2976" s="12" t="n"/>
      <c r="J2976" s="12" t="n"/>
      <c r="K2976" s="12" t="n"/>
      <c r="L2976" s="14" t="n"/>
      <c r="M2976" s="12" t="n"/>
      <c r="N2976" s="12" t="n"/>
      <c r="O2976" s="12" t="n"/>
    </row>
    <row r="2977">
      <c r="A2977" s="12" t="n"/>
      <c r="B2977" s="13">
        <f>IF($A2977="","",IFERROR(INDEX(Emp_Names,MATCH($A2977,Emp_Codes,0)),"NOT FOUND"))</f>
        <v/>
      </c>
      <c r="C2977" s="14" t="n"/>
      <c r="D2977" s="15" t="n"/>
      <c r="E2977" s="15" t="n"/>
      <c r="F2977" s="15" t="n"/>
      <c r="G2977" s="15" t="n"/>
      <c r="H2977" s="16">
        <f>IF($A2977="","",$D2977+IF($E2977="",0,$E2977)+IF($F2977="",0,$F2977)-IF($G2977="",0,$G2977))</f>
        <v/>
      </c>
      <c r="I2977" s="12" t="n"/>
      <c r="J2977" s="12" t="n"/>
      <c r="K2977" s="12" t="n"/>
      <c r="L2977" s="14" t="n"/>
      <c r="M2977" s="12" t="n"/>
      <c r="N2977" s="12" t="n"/>
      <c r="O2977" s="12" t="n"/>
    </row>
    <row r="2978">
      <c r="A2978" s="12" t="n"/>
      <c r="B2978" s="13">
        <f>IF($A2978="","",IFERROR(INDEX(Emp_Names,MATCH($A2978,Emp_Codes,0)),"NOT FOUND"))</f>
        <v/>
      </c>
      <c r="C2978" s="14" t="n"/>
      <c r="D2978" s="15" t="n"/>
      <c r="E2978" s="15" t="n"/>
      <c r="F2978" s="15" t="n"/>
      <c r="G2978" s="15" t="n"/>
      <c r="H2978" s="16">
        <f>IF($A2978="","",$D2978+IF($E2978="",0,$E2978)+IF($F2978="",0,$F2978)-IF($G2978="",0,$G2978))</f>
        <v/>
      </c>
      <c r="I2978" s="12" t="n"/>
      <c r="J2978" s="12" t="n"/>
      <c r="K2978" s="12" t="n"/>
      <c r="L2978" s="14" t="n"/>
      <c r="M2978" s="12" t="n"/>
      <c r="N2978" s="12" t="n"/>
      <c r="O2978" s="12" t="n"/>
    </row>
    <row r="2979">
      <c r="A2979" s="12" t="n"/>
      <c r="B2979" s="13">
        <f>IF($A2979="","",IFERROR(INDEX(Emp_Names,MATCH($A2979,Emp_Codes,0)),"NOT FOUND"))</f>
        <v/>
      </c>
      <c r="C2979" s="14" t="n"/>
      <c r="D2979" s="15" t="n"/>
      <c r="E2979" s="15" t="n"/>
      <c r="F2979" s="15" t="n"/>
      <c r="G2979" s="15" t="n"/>
      <c r="H2979" s="16">
        <f>IF($A2979="","",$D2979+IF($E2979="",0,$E2979)+IF($F2979="",0,$F2979)-IF($G2979="",0,$G2979))</f>
        <v/>
      </c>
      <c r="I2979" s="12" t="n"/>
      <c r="J2979" s="12" t="n"/>
      <c r="K2979" s="12" t="n"/>
      <c r="L2979" s="14" t="n"/>
      <c r="M2979" s="12" t="n"/>
      <c r="N2979" s="12" t="n"/>
      <c r="O2979" s="12" t="n"/>
    </row>
    <row r="2980">
      <c r="A2980" s="12" t="n"/>
      <c r="B2980" s="13">
        <f>IF($A2980="","",IFERROR(INDEX(Emp_Names,MATCH($A2980,Emp_Codes,0)),"NOT FOUND"))</f>
        <v/>
      </c>
      <c r="C2980" s="14" t="n"/>
      <c r="D2980" s="15" t="n"/>
      <c r="E2980" s="15" t="n"/>
      <c r="F2980" s="15" t="n"/>
      <c r="G2980" s="15" t="n"/>
      <c r="H2980" s="16">
        <f>IF($A2980="","",$D2980+IF($E2980="",0,$E2980)+IF($F2980="",0,$F2980)-IF($G2980="",0,$G2980))</f>
        <v/>
      </c>
      <c r="I2980" s="12" t="n"/>
      <c r="J2980" s="12" t="n"/>
      <c r="K2980" s="12" t="n"/>
      <c r="L2980" s="14" t="n"/>
      <c r="M2980" s="12" t="n"/>
      <c r="N2980" s="12" t="n"/>
      <c r="O2980" s="12" t="n"/>
    </row>
    <row r="2981">
      <c r="A2981" s="12" t="n"/>
      <c r="B2981" s="13">
        <f>IF($A2981="","",IFERROR(INDEX(Emp_Names,MATCH($A2981,Emp_Codes,0)),"NOT FOUND"))</f>
        <v/>
      </c>
      <c r="C2981" s="14" t="n"/>
      <c r="D2981" s="15" t="n"/>
      <c r="E2981" s="15" t="n"/>
      <c r="F2981" s="15" t="n"/>
      <c r="G2981" s="15" t="n"/>
      <c r="H2981" s="16">
        <f>IF($A2981="","",$D2981+IF($E2981="",0,$E2981)+IF($F2981="",0,$F2981)-IF($G2981="",0,$G2981))</f>
        <v/>
      </c>
      <c r="I2981" s="12" t="n"/>
      <c r="J2981" s="12" t="n"/>
      <c r="K2981" s="12" t="n"/>
      <c r="L2981" s="14" t="n"/>
      <c r="M2981" s="12" t="n"/>
      <c r="N2981" s="12" t="n"/>
      <c r="O2981" s="12" t="n"/>
    </row>
    <row r="2982">
      <c r="A2982" s="12" t="n"/>
      <c r="B2982" s="13">
        <f>IF($A2982="","",IFERROR(INDEX(Emp_Names,MATCH($A2982,Emp_Codes,0)),"NOT FOUND"))</f>
        <v/>
      </c>
      <c r="C2982" s="14" t="n"/>
      <c r="D2982" s="15" t="n"/>
      <c r="E2982" s="15" t="n"/>
      <c r="F2982" s="15" t="n"/>
      <c r="G2982" s="15" t="n"/>
      <c r="H2982" s="16">
        <f>IF($A2982="","",$D2982+IF($E2982="",0,$E2982)+IF($F2982="",0,$F2982)-IF($G2982="",0,$G2982))</f>
        <v/>
      </c>
      <c r="I2982" s="12" t="n"/>
      <c r="J2982" s="12" t="n"/>
      <c r="K2982" s="12" t="n"/>
      <c r="L2982" s="14" t="n"/>
      <c r="M2982" s="12" t="n"/>
      <c r="N2982" s="12" t="n"/>
      <c r="O2982" s="12" t="n"/>
    </row>
    <row r="2983">
      <c r="A2983" s="12" t="n"/>
      <c r="B2983" s="13">
        <f>IF($A2983="","",IFERROR(INDEX(Emp_Names,MATCH($A2983,Emp_Codes,0)),"NOT FOUND"))</f>
        <v/>
      </c>
      <c r="C2983" s="14" t="n"/>
      <c r="D2983" s="15" t="n"/>
      <c r="E2983" s="15" t="n"/>
      <c r="F2983" s="15" t="n"/>
      <c r="G2983" s="15" t="n"/>
      <c r="H2983" s="16">
        <f>IF($A2983="","",$D2983+IF($E2983="",0,$E2983)+IF($F2983="",0,$F2983)-IF($G2983="",0,$G2983))</f>
        <v/>
      </c>
      <c r="I2983" s="12" t="n"/>
      <c r="J2983" s="12" t="n"/>
      <c r="K2983" s="12" t="n"/>
      <c r="L2983" s="14" t="n"/>
      <c r="M2983" s="12" t="n"/>
      <c r="N2983" s="12" t="n"/>
      <c r="O2983" s="12" t="n"/>
    </row>
    <row r="2984">
      <c r="A2984" s="12" t="n"/>
      <c r="B2984" s="13">
        <f>IF($A2984="","",IFERROR(INDEX(Emp_Names,MATCH($A2984,Emp_Codes,0)),"NOT FOUND"))</f>
        <v/>
      </c>
      <c r="C2984" s="14" t="n"/>
      <c r="D2984" s="15" t="n"/>
      <c r="E2984" s="15" t="n"/>
      <c r="F2984" s="15" t="n"/>
      <c r="G2984" s="15" t="n"/>
      <c r="H2984" s="16">
        <f>IF($A2984="","",$D2984+IF($E2984="",0,$E2984)+IF($F2984="",0,$F2984)-IF($G2984="",0,$G2984))</f>
        <v/>
      </c>
      <c r="I2984" s="12" t="n"/>
      <c r="J2984" s="12" t="n"/>
      <c r="K2984" s="12" t="n"/>
      <c r="L2984" s="14" t="n"/>
      <c r="M2984" s="12" t="n"/>
      <c r="N2984" s="12" t="n"/>
      <c r="O2984" s="12" t="n"/>
    </row>
    <row r="2985">
      <c r="A2985" s="12" t="n"/>
      <c r="B2985" s="13">
        <f>IF($A2985="","",IFERROR(INDEX(Emp_Names,MATCH($A2985,Emp_Codes,0)),"NOT FOUND"))</f>
        <v/>
      </c>
      <c r="C2985" s="14" t="n"/>
      <c r="D2985" s="15" t="n"/>
      <c r="E2985" s="15" t="n"/>
      <c r="F2985" s="15" t="n"/>
      <c r="G2985" s="15" t="n"/>
      <c r="H2985" s="16">
        <f>IF($A2985="","",$D2985+IF($E2985="",0,$E2985)+IF($F2985="",0,$F2985)-IF($G2985="",0,$G2985))</f>
        <v/>
      </c>
      <c r="I2985" s="12" t="n"/>
      <c r="J2985" s="12" t="n"/>
      <c r="K2985" s="12" t="n"/>
      <c r="L2985" s="14" t="n"/>
      <c r="M2985" s="12" t="n"/>
      <c r="N2985" s="12" t="n"/>
      <c r="O2985" s="12" t="n"/>
    </row>
    <row r="2986">
      <c r="A2986" s="12" t="n"/>
      <c r="B2986" s="13">
        <f>IF($A2986="","",IFERROR(INDEX(Emp_Names,MATCH($A2986,Emp_Codes,0)),"NOT FOUND"))</f>
        <v/>
      </c>
      <c r="C2986" s="14" t="n"/>
      <c r="D2986" s="15" t="n"/>
      <c r="E2986" s="15" t="n"/>
      <c r="F2986" s="15" t="n"/>
      <c r="G2986" s="15" t="n"/>
      <c r="H2986" s="16">
        <f>IF($A2986="","",$D2986+IF($E2986="",0,$E2986)+IF($F2986="",0,$F2986)-IF($G2986="",0,$G2986))</f>
        <v/>
      </c>
      <c r="I2986" s="12" t="n"/>
      <c r="J2986" s="12" t="n"/>
      <c r="K2986" s="12" t="n"/>
      <c r="L2986" s="14" t="n"/>
      <c r="M2986" s="12" t="n"/>
      <c r="N2986" s="12" t="n"/>
      <c r="O2986" s="12" t="n"/>
    </row>
    <row r="2987">
      <c r="A2987" s="12" t="n"/>
      <c r="B2987" s="13">
        <f>IF($A2987="","",IFERROR(INDEX(Emp_Names,MATCH($A2987,Emp_Codes,0)),"NOT FOUND"))</f>
        <v/>
      </c>
      <c r="C2987" s="14" t="n"/>
      <c r="D2987" s="15" t="n"/>
      <c r="E2987" s="15" t="n"/>
      <c r="F2987" s="15" t="n"/>
      <c r="G2987" s="15" t="n"/>
      <c r="H2987" s="16">
        <f>IF($A2987="","",$D2987+IF($E2987="",0,$E2987)+IF($F2987="",0,$F2987)-IF($G2987="",0,$G2987))</f>
        <v/>
      </c>
      <c r="I2987" s="12" t="n"/>
      <c r="J2987" s="12" t="n"/>
      <c r="K2987" s="12" t="n"/>
      <c r="L2987" s="14" t="n"/>
      <c r="M2987" s="12" t="n"/>
      <c r="N2987" s="12" t="n"/>
      <c r="O2987" s="12" t="n"/>
    </row>
    <row r="2988">
      <c r="A2988" s="12" t="n"/>
      <c r="B2988" s="13">
        <f>IF($A2988="","",IFERROR(INDEX(Emp_Names,MATCH($A2988,Emp_Codes,0)),"NOT FOUND"))</f>
        <v/>
      </c>
      <c r="C2988" s="14" t="n"/>
      <c r="D2988" s="15" t="n"/>
      <c r="E2988" s="15" t="n"/>
      <c r="F2988" s="15" t="n"/>
      <c r="G2988" s="15" t="n"/>
      <c r="H2988" s="16">
        <f>IF($A2988="","",$D2988+IF($E2988="",0,$E2988)+IF($F2988="",0,$F2988)-IF($G2988="",0,$G2988))</f>
        <v/>
      </c>
      <c r="I2988" s="12" t="n"/>
      <c r="J2988" s="12" t="n"/>
      <c r="K2988" s="12" t="n"/>
      <c r="L2988" s="14" t="n"/>
      <c r="M2988" s="12" t="n"/>
      <c r="N2988" s="12" t="n"/>
      <c r="O2988" s="12" t="n"/>
    </row>
    <row r="2989">
      <c r="A2989" s="12" t="n"/>
      <c r="B2989" s="13">
        <f>IF($A2989="","",IFERROR(INDEX(Emp_Names,MATCH($A2989,Emp_Codes,0)),"NOT FOUND"))</f>
        <v/>
      </c>
      <c r="C2989" s="14" t="n"/>
      <c r="D2989" s="15" t="n"/>
      <c r="E2989" s="15" t="n"/>
      <c r="F2989" s="15" t="n"/>
      <c r="G2989" s="15" t="n"/>
      <c r="H2989" s="16">
        <f>IF($A2989="","",$D2989+IF($E2989="",0,$E2989)+IF($F2989="",0,$F2989)-IF($G2989="",0,$G2989))</f>
        <v/>
      </c>
      <c r="I2989" s="12" t="n"/>
      <c r="J2989" s="12" t="n"/>
      <c r="K2989" s="12" t="n"/>
      <c r="L2989" s="14" t="n"/>
      <c r="M2989" s="12" t="n"/>
      <c r="N2989" s="12" t="n"/>
      <c r="O2989" s="12" t="n"/>
    </row>
    <row r="2990">
      <c r="A2990" s="12" t="n"/>
      <c r="B2990" s="13">
        <f>IF($A2990="","",IFERROR(INDEX(Emp_Names,MATCH($A2990,Emp_Codes,0)),"NOT FOUND"))</f>
        <v/>
      </c>
      <c r="C2990" s="14" t="n"/>
      <c r="D2990" s="15" t="n"/>
      <c r="E2990" s="15" t="n"/>
      <c r="F2990" s="15" t="n"/>
      <c r="G2990" s="15" t="n"/>
      <c r="H2990" s="16">
        <f>IF($A2990="","",$D2990+IF($E2990="",0,$E2990)+IF($F2990="",0,$F2990)-IF($G2990="",0,$G2990))</f>
        <v/>
      </c>
      <c r="I2990" s="12" t="n"/>
      <c r="J2990" s="12" t="n"/>
      <c r="K2990" s="12" t="n"/>
      <c r="L2990" s="14" t="n"/>
      <c r="M2990" s="12" t="n"/>
      <c r="N2990" s="12" t="n"/>
      <c r="O2990" s="12" t="n"/>
    </row>
    <row r="2991">
      <c r="A2991" s="12" t="n"/>
      <c r="B2991" s="13">
        <f>IF($A2991="","",IFERROR(INDEX(Emp_Names,MATCH($A2991,Emp_Codes,0)),"NOT FOUND"))</f>
        <v/>
      </c>
      <c r="C2991" s="14" t="n"/>
      <c r="D2991" s="15" t="n"/>
      <c r="E2991" s="15" t="n"/>
      <c r="F2991" s="15" t="n"/>
      <c r="G2991" s="15" t="n"/>
      <c r="H2991" s="16">
        <f>IF($A2991="","",$D2991+IF($E2991="",0,$E2991)+IF($F2991="",0,$F2991)-IF($G2991="",0,$G2991))</f>
        <v/>
      </c>
      <c r="I2991" s="12" t="n"/>
      <c r="J2991" s="12" t="n"/>
      <c r="K2991" s="12" t="n"/>
      <c r="L2991" s="14" t="n"/>
      <c r="M2991" s="12" t="n"/>
      <c r="N2991" s="12" t="n"/>
      <c r="O2991" s="12" t="n"/>
    </row>
    <row r="2992">
      <c r="A2992" s="12" t="n"/>
      <c r="B2992" s="13">
        <f>IF($A2992="","",IFERROR(INDEX(Emp_Names,MATCH($A2992,Emp_Codes,0)),"NOT FOUND"))</f>
        <v/>
      </c>
      <c r="C2992" s="14" t="n"/>
      <c r="D2992" s="15" t="n"/>
      <c r="E2992" s="15" t="n"/>
      <c r="F2992" s="15" t="n"/>
      <c r="G2992" s="15" t="n"/>
      <c r="H2992" s="16">
        <f>IF($A2992="","",$D2992+IF($E2992="",0,$E2992)+IF($F2992="",0,$F2992)-IF($G2992="",0,$G2992))</f>
        <v/>
      </c>
      <c r="I2992" s="12" t="n"/>
      <c r="J2992" s="12" t="n"/>
      <c r="K2992" s="12" t="n"/>
      <c r="L2992" s="14" t="n"/>
      <c r="M2992" s="12" t="n"/>
      <c r="N2992" s="12" t="n"/>
      <c r="O2992" s="12" t="n"/>
    </row>
    <row r="2993">
      <c r="A2993" s="12" t="n"/>
      <c r="B2993" s="13">
        <f>IF($A2993="","",IFERROR(INDEX(Emp_Names,MATCH($A2993,Emp_Codes,0)),"NOT FOUND"))</f>
        <v/>
      </c>
      <c r="C2993" s="14" t="n"/>
      <c r="D2993" s="15" t="n"/>
      <c r="E2993" s="15" t="n"/>
      <c r="F2993" s="15" t="n"/>
      <c r="G2993" s="15" t="n"/>
      <c r="H2993" s="16">
        <f>IF($A2993="","",$D2993+IF($E2993="",0,$E2993)+IF($F2993="",0,$F2993)-IF($G2993="",0,$G2993))</f>
        <v/>
      </c>
      <c r="I2993" s="12" t="n"/>
      <c r="J2993" s="12" t="n"/>
      <c r="K2993" s="12" t="n"/>
      <c r="L2993" s="14" t="n"/>
      <c r="M2993" s="12" t="n"/>
      <c r="N2993" s="12" t="n"/>
      <c r="O2993" s="12" t="n"/>
    </row>
    <row r="2994">
      <c r="A2994" s="12" t="n"/>
      <c r="B2994" s="13">
        <f>IF($A2994="","",IFERROR(INDEX(Emp_Names,MATCH($A2994,Emp_Codes,0)),"NOT FOUND"))</f>
        <v/>
      </c>
      <c r="C2994" s="14" t="n"/>
      <c r="D2994" s="15" t="n"/>
      <c r="E2994" s="15" t="n"/>
      <c r="F2994" s="15" t="n"/>
      <c r="G2994" s="15" t="n"/>
      <c r="H2994" s="16">
        <f>IF($A2994="","",$D2994+IF($E2994="",0,$E2994)+IF($F2994="",0,$F2994)-IF($G2994="",0,$G2994))</f>
        <v/>
      </c>
      <c r="I2994" s="12" t="n"/>
      <c r="J2994" s="12" t="n"/>
      <c r="K2994" s="12" t="n"/>
      <c r="L2994" s="14" t="n"/>
      <c r="M2994" s="12" t="n"/>
      <c r="N2994" s="12" t="n"/>
      <c r="O2994" s="12" t="n"/>
    </row>
    <row r="2995">
      <c r="A2995" s="12" t="n"/>
      <c r="B2995" s="13">
        <f>IF($A2995="","",IFERROR(INDEX(Emp_Names,MATCH($A2995,Emp_Codes,0)),"NOT FOUND"))</f>
        <v/>
      </c>
      <c r="C2995" s="14" t="n"/>
      <c r="D2995" s="15" t="n"/>
      <c r="E2995" s="15" t="n"/>
      <c r="F2995" s="15" t="n"/>
      <c r="G2995" s="15" t="n"/>
      <c r="H2995" s="16">
        <f>IF($A2995="","",$D2995+IF($E2995="",0,$E2995)+IF($F2995="",0,$F2995)-IF($G2995="",0,$G2995))</f>
        <v/>
      </c>
      <c r="I2995" s="12" t="n"/>
      <c r="J2995" s="12" t="n"/>
      <c r="K2995" s="12" t="n"/>
      <c r="L2995" s="14" t="n"/>
      <c r="M2995" s="12" t="n"/>
      <c r="N2995" s="12" t="n"/>
      <c r="O2995" s="12" t="n"/>
    </row>
    <row r="2996">
      <c r="A2996" s="12" t="n"/>
      <c r="B2996" s="13">
        <f>IF($A2996="","",IFERROR(INDEX(Emp_Names,MATCH($A2996,Emp_Codes,0)),"NOT FOUND"))</f>
        <v/>
      </c>
      <c r="C2996" s="14" t="n"/>
      <c r="D2996" s="15" t="n"/>
      <c r="E2996" s="15" t="n"/>
      <c r="F2996" s="15" t="n"/>
      <c r="G2996" s="15" t="n"/>
      <c r="H2996" s="16">
        <f>IF($A2996="","",$D2996+IF($E2996="",0,$E2996)+IF($F2996="",0,$F2996)-IF($G2996="",0,$G2996))</f>
        <v/>
      </c>
      <c r="I2996" s="12" t="n"/>
      <c r="J2996" s="12" t="n"/>
      <c r="K2996" s="12" t="n"/>
      <c r="L2996" s="14" t="n"/>
      <c r="M2996" s="12" t="n"/>
      <c r="N2996" s="12" t="n"/>
      <c r="O2996" s="12" t="n"/>
    </row>
    <row r="2997">
      <c r="A2997" s="12" t="n"/>
      <c r="B2997" s="13">
        <f>IF($A2997="","",IFERROR(INDEX(Emp_Names,MATCH($A2997,Emp_Codes,0)),"NOT FOUND"))</f>
        <v/>
      </c>
      <c r="C2997" s="14" t="n"/>
      <c r="D2997" s="15" t="n"/>
      <c r="E2997" s="15" t="n"/>
      <c r="F2997" s="15" t="n"/>
      <c r="G2997" s="15" t="n"/>
      <c r="H2997" s="16">
        <f>IF($A2997="","",$D2997+IF($E2997="",0,$E2997)+IF($F2997="",0,$F2997)-IF($G2997="",0,$G2997))</f>
        <v/>
      </c>
      <c r="I2997" s="12" t="n"/>
      <c r="J2997" s="12" t="n"/>
      <c r="K2997" s="12" t="n"/>
      <c r="L2997" s="14" t="n"/>
      <c r="M2997" s="12" t="n"/>
      <c r="N2997" s="12" t="n"/>
      <c r="O2997" s="12" t="n"/>
    </row>
    <row r="2998">
      <c r="A2998" s="12" t="n"/>
      <c r="B2998" s="13">
        <f>IF($A2998="","",IFERROR(INDEX(Emp_Names,MATCH($A2998,Emp_Codes,0)),"NOT FOUND"))</f>
        <v/>
      </c>
      <c r="C2998" s="14" t="n"/>
      <c r="D2998" s="15" t="n"/>
      <c r="E2998" s="15" t="n"/>
      <c r="F2998" s="15" t="n"/>
      <c r="G2998" s="15" t="n"/>
      <c r="H2998" s="16">
        <f>IF($A2998="","",$D2998+IF($E2998="",0,$E2998)+IF($F2998="",0,$F2998)-IF($G2998="",0,$G2998))</f>
        <v/>
      </c>
      <c r="I2998" s="12" t="n"/>
      <c r="J2998" s="12" t="n"/>
      <c r="K2998" s="12" t="n"/>
      <c r="L2998" s="14" t="n"/>
      <c r="M2998" s="12" t="n"/>
      <c r="N2998" s="12" t="n"/>
      <c r="O2998" s="12" t="n"/>
    </row>
    <row r="2999">
      <c r="A2999" s="12" t="n"/>
      <c r="B2999" s="13">
        <f>IF($A2999="","",IFERROR(INDEX(Emp_Names,MATCH($A2999,Emp_Codes,0)),"NOT FOUND"))</f>
        <v/>
      </c>
      <c r="C2999" s="14" t="n"/>
      <c r="D2999" s="15" t="n"/>
      <c r="E2999" s="15" t="n"/>
      <c r="F2999" s="15" t="n"/>
      <c r="G2999" s="15" t="n"/>
      <c r="H2999" s="16">
        <f>IF($A2999="","",$D2999+IF($E2999="",0,$E2999)+IF($F2999="",0,$F2999)-IF($G2999="",0,$G2999))</f>
        <v/>
      </c>
      <c r="I2999" s="12" t="n"/>
      <c r="J2999" s="12" t="n"/>
      <c r="K2999" s="12" t="n"/>
      <c r="L2999" s="14" t="n"/>
      <c r="M2999" s="12" t="n"/>
      <c r="N2999" s="12" t="n"/>
      <c r="O2999" s="12" t="n"/>
    </row>
    <row r="3000">
      <c r="A3000" s="12" t="n"/>
      <c r="B3000" s="13">
        <f>IF($A3000="","",IFERROR(INDEX(Emp_Names,MATCH($A3000,Emp_Codes,0)),"NOT FOUND"))</f>
        <v/>
      </c>
      <c r="C3000" s="14" t="n"/>
      <c r="D3000" s="15" t="n"/>
      <c r="E3000" s="15" t="n"/>
      <c r="F3000" s="15" t="n"/>
      <c r="G3000" s="15" t="n"/>
      <c r="H3000" s="16">
        <f>IF($A3000="","",$D3000+IF($E3000="",0,$E3000)+IF($F3000="",0,$F3000)-IF($G3000="",0,$G3000))</f>
        <v/>
      </c>
      <c r="I3000" s="12" t="n"/>
      <c r="J3000" s="12" t="n"/>
      <c r="K3000" s="12" t="n"/>
      <c r="L3000" s="14" t="n"/>
      <c r="M3000" s="12" t="n"/>
      <c r="N3000" s="12" t="n"/>
      <c r="O3000" s="12" t="n"/>
    </row>
    <row r="3001">
      <c r="A3001" s="12" t="n"/>
      <c r="B3001" s="13">
        <f>IF($A3001="","",IFERROR(INDEX(Emp_Names,MATCH($A3001,Emp_Codes,0)),"NOT FOUND"))</f>
        <v/>
      </c>
      <c r="C3001" s="14" t="n"/>
      <c r="D3001" s="15" t="n"/>
      <c r="E3001" s="15" t="n"/>
      <c r="F3001" s="15" t="n"/>
      <c r="G3001" s="15" t="n"/>
      <c r="H3001" s="16">
        <f>IF($A3001="","",$D3001+IF($E3001="",0,$E3001)+IF($F3001="",0,$F3001)-IF($G3001="",0,$G3001))</f>
        <v/>
      </c>
      <c r="I3001" s="12" t="n"/>
      <c r="J3001" s="12" t="n"/>
      <c r="K3001" s="12" t="n"/>
      <c r="L3001" s="14" t="n"/>
      <c r="M3001" s="12" t="n"/>
      <c r="N3001" s="12" t="n"/>
      <c r="O3001" s="12" t="n"/>
    </row>
    <row r="3002">
      <c r="A3002" s="12" t="n"/>
      <c r="B3002" s="13">
        <f>IF($A3002="","",IFERROR(INDEX(Emp_Names,MATCH($A3002,Emp_Codes,0)),"NOT FOUND"))</f>
        <v/>
      </c>
      <c r="C3002" s="14" t="n"/>
      <c r="D3002" s="15" t="n"/>
      <c r="E3002" s="15" t="n"/>
      <c r="F3002" s="15" t="n"/>
      <c r="G3002" s="15" t="n"/>
      <c r="H3002" s="16">
        <f>IF($A3002="","",$D3002+IF($E3002="",0,$E3002)+IF($F3002="",0,$F3002)-IF($G3002="",0,$G3002))</f>
        <v/>
      </c>
      <c r="I3002" s="12" t="n"/>
      <c r="J3002" s="12" t="n"/>
      <c r="K3002" s="12" t="n"/>
      <c r="L3002" s="14" t="n"/>
      <c r="M3002" s="12" t="n"/>
      <c r="N3002" s="12" t="n"/>
      <c r="O3002" s="12" t="n"/>
    </row>
    <row r="3003">
      <c r="A3003" s="12" t="n"/>
      <c r="B3003" s="13">
        <f>IF($A3003="","",IFERROR(INDEX(Emp_Names,MATCH($A3003,Emp_Codes,0)),"NOT FOUND"))</f>
        <v/>
      </c>
      <c r="C3003" s="14" t="n"/>
      <c r="D3003" s="15" t="n"/>
      <c r="E3003" s="15" t="n"/>
      <c r="F3003" s="15" t="n"/>
      <c r="G3003" s="15" t="n"/>
      <c r="H3003" s="16">
        <f>IF($A3003="","",$D3003+IF($E3003="",0,$E3003)+IF($F3003="",0,$F3003)-IF($G3003="",0,$G3003))</f>
        <v/>
      </c>
      <c r="I3003" s="12" t="n"/>
      <c r="J3003" s="12" t="n"/>
      <c r="K3003" s="12" t="n"/>
      <c r="L3003" s="14" t="n"/>
      <c r="M3003" s="12" t="n"/>
      <c r="N3003" s="12" t="n"/>
      <c r="O3003" s="12" t="n"/>
    </row>
    <row r="3004">
      <c r="A3004" s="12" t="n"/>
      <c r="B3004" s="13">
        <f>IF($A3004="","",IFERROR(INDEX(Emp_Names,MATCH($A3004,Emp_Codes,0)),"NOT FOUND"))</f>
        <v/>
      </c>
      <c r="C3004" s="14" t="n"/>
      <c r="D3004" s="15" t="n"/>
      <c r="E3004" s="15" t="n"/>
      <c r="F3004" s="15" t="n"/>
      <c r="G3004" s="15" t="n"/>
      <c r="H3004" s="16">
        <f>IF($A3004="","",$D3004+IF($E3004="",0,$E3004)+IF($F3004="",0,$F3004)-IF($G3004="",0,$G3004))</f>
        <v/>
      </c>
      <c r="I3004" s="12" t="n"/>
      <c r="J3004" s="12" t="n"/>
      <c r="K3004" s="12" t="n"/>
      <c r="L3004" s="14" t="n"/>
      <c r="M3004" s="12" t="n"/>
      <c r="N3004" s="12" t="n"/>
      <c r="O3004" s="12" t="n"/>
    </row>
    <row r="3005">
      <c r="A3005" s="12" t="n"/>
      <c r="B3005" s="13">
        <f>IF($A3005="","",IFERROR(INDEX(Emp_Names,MATCH($A3005,Emp_Codes,0)),"NOT FOUND"))</f>
        <v/>
      </c>
      <c r="C3005" s="14" t="n"/>
      <c r="D3005" s="15" t="n"/>
      <c r="E3005" s="15" t="n"/>
      <c r="F3005" s="15" t="n"/>
      <c r="G3005" s="15" t="n"/>
      <c r="H3005" s="16">
        <f>IF($A3005="","",$D3005+IF($E3005="",0,$E3005)+IF($F3005="",0,$F3005)-IF($G3005="",0,$G3005))</f>
        <v/>
      </c>
      <c r="I3005" s="12" t="n"/>
      <c r="J3005" s="12" t="n"/>
      <c r="K3005" s="12" t="n"/>
      <c r="L3005" s="14" t="n"/>
      <c r="M3005" s="12" t="n"/>
      <c r="N3005" s="12" t="n"/>
      <c r="O3005" s="12" t="n"/>
    </row>
    <row r="3006">
      <c r="A3006" s="12" t="n"/>
      <c r="B3006" s="13">
        <f>IF($A3006="","",IFERROR(INDEX(Emp_Names,MATCH($A3006,Emp_Codes,0)),"NOT FOUND"))</f>
        <v/>
      </c>
      <c r="C3006" s="14" t="n"/>
      <c r="D3006" s="15" t="n"/>
      <c r="E3006" s="15" t="n"/>
      <c r="F3006" s="15" t="n"/>
      <c r="G3006" s="15" t="n"/>
      <c r="H3006" s="16">
        <f>IF($A3006="","",$D3006+IF($E3006="",0,$E3006)+IF($F3006="",0,$F3006)-IF($G3006="",0,$G3006))</f>
        <v/>
      </c>
      <c r="I3006" s="12" t="n"/>
      <c r="J3006" s="12" t="n"/>
      <c r="K3006" s="12" t="n"/>
      <c r="L3006" s="14" t="n"/>
      <c r="M3006" s="12" t="n"/>
      <c r="N3006" s="12" t="n"/>
      <c r="O3006" s="12" t="n"/>
    </row>
    <row r="3007">
      <c r="A3007" s="12" t="n"/>
      <c r="B3007" s="13">
        <f>IF($A3007="","",IFERROR(INDEX(Emp_Names,MATCH($A3007,Emp_Codes,0)),"NOT FOUND"))</f>
        <v/>
      </c>
      <c r="C3007" s="14" t="n"/>
      <c r="D3007" s="15" t="n"/>
      <c r="E3007" s="15" t="n"/>
      <c r="F3007" s="15" t="n"/>
      <c r="G3007" s="15" t="n"/>
      <c r="H3007" s="16">
        <f>IF($A3007="","",$D3007+IF($E3007="",0,$E3007)+IF($F3007="",0,$F3007)-IF($G3007="",0,$G3007))</f>
        <v/>
      </c>
      <c r="I3007" s="12" t="n"/>
      <c r="J3007" s="12" t="n"/>
      <c r="K3007" s="12" t="n"/>
      <c r="L3007" s="14" t="n"/>
      <c r="M3007" s="12" t="n"/>
      <c r="N3007" s="12" t="n"/>
      <c r="O3007" s="12" t="n"/>
    </row>
    <row r="3008">
      <c r="A3008" s="12" t="n"/>
      <c r="B3008" s="13">
        <f>IF($A3008="","",IFERROR(INDEX(Emp_Names,MATCH($A3008,Emp_Codes,0)),"NOT FOUND"))</f>
        <v/>
      </c>
      <c r="C3008" s="14" t="n"/>
      <c r="D3008" s="15" t="n"/>
      <c r="E3008" s="15" t="n"/>
      <c r="F3008" s="15" t="n"/>
      <c r="G3008" s="15" t="n"/>
      <c r="H3008" s="16">
        <f>IF($A3008="","",$D3008+IF($E3008="",0,$E3008)+IF($F3008="",0,$F3008)-IF($G3008="",0,$G3008))</f>
        <v/>
      </c>
      <c r="I3008" s="12" t="n"/>
      <c r="J3008" s="12" t="n"/>
      <c r="K3008" s="12" t="n"/>
      <c r="L3008" s="14" t="n"/>
      <c r="M3008" s="12" t="n"/>
      <c r="N3008" s="12" t="n"/>
      <c r="O3008" s="12" t="n"/>
    </row>
    <row r="3009">
      <c r="A3009" s="12" t="n"/>
      <c r="B3009" s="13">
        <f>IF($A3009="","",IFERROR(INDEX(Emp_Names,MATCH($A3009,Emp_Codes,0)),"NOT FOUND"))</f>
        <v/>
      </c>
      <c r="C3009" s="14" t="n"/>
      <c r="D3009" s="15" t="n"/>
      <c r="E3009" s="15" t="n"/>
      <c r="F3009" s="15" t="n"/>
      <c r="G3009" s="15" t="n"/>
      <c r="H3009" s="16">
        <f>IF($A3009="","",$D3009+IF($E3009="",0,$E3009)+IF($F3009="",0,$F3009)-IF($G3009="",0,$G3009))</f>
        <v/>
      </c>
      <c r="I3009" s="12" t="n"/>
      <c r="J3009" s="12" t="n"/>
      <c r="K3009" s="12" t="n"/>
      <c r="L3009" s="14" t="n"/>
      <c r="M3009" s="12" t="n"/>
      <c r="N3009" s="12" t="n"/>
      <c r="O3009" s="12" t="n"/>
    </row>
    <row r="3010">
      <c r="A3010" s="12" t="n"/>
      <c r="B3010" s="13">
        <f>IF($A3010="","",IFERROR(INDEX(Emp_Names,MATCH($A3010,Emp_Codes,0)),"NOT FOUND"))</f>
        <v/>
      </c>
      <c r="C3010" s="14" t="n"/>
      <c r="D3010" s="15" t="n"/>
      <c r="E3010" s="15" t="n"/>
      <c r="F3010" s="15" t="n"/>
      <c r="G3010" s="15" t="n"/>
      <c r="H3010" s="16">
        <f>IF($A3010="","",$D3010+IF($E3010="",0,$E3010)+IF($F3010="",0,$F3010)-IF($G3010="",0,$G3010))</f>
        <v/>
      </c>
      <c r="I3010" s="12" t="n"/>
      <c r="J3010" s="12" t="n"/>
      <c r="K3010" s="12" t="n"/>
      <c r="L3010" s="14" t="n"/>
      <c r="M3010" s="12" t="n"/>
      <c r="N3010" s="12" t="n"/>
      <c r="O3010" s="12" t="n"/>
    </row>
    <row r="3011">
      <c r="A3011" s="12" t="n"/>
      <c r="B3011" s="13">
        <f>IF($A3011="","",IFERROR(INDEX(Emp_Names,MATCH($A3011,Emp_Codes,0)),"NOT FOUND"))</f>
        <v/>
      </c>
      <c r="C3011" s="14" t="n"/>
      <c r="D3011" s="15" t="n"/>
      <c r="E3011" s="15" t="n"/>
      <c r="F3011" s="15" t="n"/>
      <c r="G3011" s="15" t="n"/>
      <c r="H3011" s="16">
        <f>IF($A3011="","",$D3011+IF($E3011="",0,$E3011)+IF($F3011="",0,$F3011)-IF($G3011="",0,$G3011))</f>
        <v/>
      </c>
      <c r="I3011" s="12" t="n"/>
      <c r="J3011" s="12" t="n"/>
      <c r="K3011" s="12" t="n"/>
      <c r="L3011" s="14" t="n"/>
      <c r="M3011" s="12" t="n"/>
      <c r="N3011" s="12" t="n"/>
      <c r="O3011" s="12" t="n"/>
    </row>
    <row r="3012">
      <c r="A3012" s="12" t="n"/>
      <c r="B3012" s="13">
        <f>IF($A3012="","",IFERROR(INDEX(Emp_Names,MATCH($A3012,Emp_Codes,0)),"NOT FOUND"))</f>
        <v/>
      </c>
      <c r="C3012" s="14" t="n"/>
      <c r="D3012" s="15" t="n"/>
      <c r="E3012" s="15" t="n"/>
      <c r="F3012" s="15" t="n"/>
      <c r="G3012" s="15" t="n"/>
      <c r="H3012" s="16">
        <f>IF($A3012="","",$D3012+IF($E3012="",0,$E3012)+IF($F3012="",0,$F3012)-IF($G3012="",0,$G3012))</f>
        <v/>
      </c>
      <c r="I3012" s="12" t="n"/>
      <c r="J3012" s="12" t="n"/>
      <c r="K3012" s="12" t="n"/>
      <c r="L3012" s="14" t="n"/>
      <c r="M3012" s="12" t="n"/>
      <c r="N3012" s="12" t="n"/>
      <c r="O3012" s="12" t="n"/>
    </row>
    <row r="3013">
      <c r="A3013" s="12" t="n"/>
      <c r="B3013" s="13">
        <f>IF($A3013="","",IFERROR(INDEX(Emp_Names,MATCH($A3013,Emp_Codes,0)),"NOT FOUND"))</f>
        <v/>
      </c>
      <c r="C3013" s="14" t="n"/>
      <c r="D3013" s="15" t="n"/>
      <c r="E3013" s="15" t="n"/>
      <c r="F3013" s="15" t="n"/>
      <c r="G3013" s="15" t="n"/>
      <c r="H3013" s="16">
        <f>IF($A3013="","",$D3013+IF($E3013="",0,$E3013)+IF($F3013="",0,$F3013)-IF($G3013="",0,$G3013))</f>
        <v/>
      </c>
      <c r="I3013" s="12" t="n"/>
      <c r="J3013" s="12" t="n"/>
      <c r="K3013" s="12" t="n"/>
      <c r="L3013" s="14" t="n"/>
      <c r="M3013" s="12" t="n"/>
      <c r="N3013" s="12" t="n"/>
      <c r="O3013" s="12" t="n"/>
    </row>
    <row r="3014">
      <c r="A3014" s="12" t="n"/>
      <c r="B3014" s="13">
        <f>IF($A3014="","",IFERROR(INDEX(Emp_Names,MATCH($A3014,Emp_Codes,0)),"NOT FOUND"))</f>
        <v/>
      </c>
      <c r="C3014" s="14" t="n"/>
      <c r="D3014" s="15" t="n"/>
      <c r="E3014" s="15" t="n"/>
      <c r="F3014" s="15" t="n"/>
      <c r="G3014" s="15" t="n"/>
      <c r="H3014" s="16">
        <f>IF($A3014="","",$D3014+IF($E3014="",0,$E3014)+IF($F3014="",0,$F3014)-IF($G3014="",0,$G3014))</f>
        <v/>
      </c>
      <c r="I3014" s="12" t="n"/>
      <c r="J3014" s="12" t="n"/>
      <c r="K3014" s="12" t="n"/>
      <c r="L3014" s="14" t="n"/>
      <c r="M3014" s="12" t="n"/>
      <c r="N3014" s="12" t="n"/>
      <c r="O3014" s="12" t="n"/>
    </row>
    <row r="3015">
      <c r="A3015" s="12" t="n"/>
      <c r="B3015" s="13">
        <f>IF($A3015="","",IFERROR(INDEX(Emp_Names,MATCH($A3015,Emp_Codes,0)),"NOT FOUND"))</f>
        <v/>
      </c>
      <c r="C3015" s="14" t="n"/>
      <c r="D3015" s="15" t="n"/>
      <c r="E3015" s="15" t="n"/>
      <c r="F3015" s="15" t="n"/>
      <c r="G3015" s="15" t="n"/>
      <c r="H3015" s="16">
        <f>IF($A3015="","",$D3015+IF($E3015="",0,$E3015)+IF($F3015="",0,$F3015)-IF($G3015="",0,$G3015))</f>
        <v/>
      </c>
      <c r="I3015" s="12" t="n"/>
      <c r="J3015" s="12" t="n"/>
      <c r="K3015" s="12" t="n"/>
      <c r="L3015" s="14" t="n"/>
      <c r="M3015" s="12" t="n"/>
      <c r="N3015" s="12" t="n"/>
      <c r="O3015" s="12" t="n"/>
    </row>
    <row r="3016">
      <c r="A3016" s="12" t="n"/>
      <c r="B3016" s="13">
        <f>IF($A3016="","",IFERROR(INDEX(Emp_Names,MATCH($A3016,Emp_Codes,0)),"NOT FOUND"))</f>
        <v/>
      </c>
      <c r="C3016" s="14" t="n"/>
      <c r="D3016" s="15" t="n"/>
      <c r="E3016" s="15" t="n"/>
      <c r="F3016" s="15" t="n"/>
      <c r="G3016" s="15" t="n"/>
      <c r="H3016" s="16">
        <f>IF($A3016="","",$D3016+IF($E3016="",0,$E3016)+IF($F3016="",0,$F3016)-IF($G3016="",0,$G3016))</f>
        <v/>
      </c>
      <c r="I3016" s="12" t="n"/>
      <c r="J3016" s="12" t="n"/>
      <c r="K3016" s="12" t="n"/>
      <c r="L3016" s="14" t="n"/>
      <c r="M3016" s="12" t="n"/>
      <c r="N3016" s="12" t="n"/>
      <c r="O3016" s="12" t="n"/>
    </row>
    <row r="3017">
      <c r="A3017" s="12" t="n"/>
      <c r="B3017" s="13">
        <f>IF($A3017="","",IFERROR(INDEX(Emp_Names,MATCH($A3017,Emp_Codes,0)),"NOT FOUND"))</f>
        <v/>
      </c>
      <c r="C3017" s="14" t="n"/>
      <c r="D3017" s="15" t="n"/>
      <c r="E3017" s="15" t="n"/>
      <c r="F3017" s="15" t="n"/>
      <c r="G3017" s="15" t="n"/>
      <c r="H3017" s="16">
        <f>IF($A3017="","",$D3017+IF($E3017="",0,$E3017)+IF($F3017="",0,$F3017)-IF($G3017="",0,$G3017))</f>
        <v/>
      </c>
      <c r="I3017" s="12" t="n"/>
      <c r="J3017" s="12" t="n"/>
      <c r="K3017" s="12" t="n"/>
      <c r="L3017" s="14" t="n"/>
      <c r="M3017" s="12" t="n"/>
      <c r="N3017" s="12" t="n"/>
      <c r="O3017" s="12" t="n"/>
    </row>
    <row r="3018">
      <c r="A3018" s="12" t="n"/>
      <c r="B3018" s="13">
        <f>IF($A3018="","",IFERROR(INDEX(Emp_Names,MATCH($A3018,Emp_Codes,0)),"NOT FOUND"))</f>
        <v/>
      </c>
      <c r="C3018" s="14" t="n"/>
      <c r="D3018" s="15" t="n"/>
      <c r="E3018" s="15" t="n"/>
      <c r="F3018" s="15" t="n"/>
      <c r="G3018" s="15" t="n"/>
      <c r="H3018" s="16">
        <f>IF($A3018="","",$D3018+IF($E3018="",0,$E3018)+IF($F3018="",0,$F3018)-IF($G3018="",0,$G3018))</f>
        <v/>
      </c>
      <c r="I3018" s="12" t="n"/>
      <c r="J3018" s="12" t="n"/>
      <c r="K3018" s="12" t="n"/>
      <c r="L3018" s="14" t="n"/>
      <c r="M3018" s="12" t="n"/>
      <c r="N3018" s="12" t="n"/>
      <c r="O3018" s="12" t="n"/>
    </row>
    <row r="3019">
      <c r="A3019" s="12" t="n"/>
      <c r="B3019" s="13">
        <f>IF($A3019="","",IFERROR(INDEX(Emp_Names,MATCH($A3019,Emp_Codes,0)),"NOT FOUND"))</f>
        <v/>
      </c>
      <c r="C3019" s="14" t="n"/>
      <c r="D3019" s="15" t="n"/>
      <c r="E3019" s="15" t="n"/>
      <c r="F3019" s="15" t="n"/>
      <c r="G3019" s="15" t="n"/>
      <c r="H3019" s="16">
        <f>IF($A3019="","",$D3019+IF($E3019="",0,$E3019)+IF($F3019="",0,$F3019)-IF($G3019="",0,$G3019))</f>
        <v/>
      </c>
      <c r="I3019" s="12" t="n"/>
      <c r="J3019" s="12" t="n"/>
      <c r="K3019" s="12" t="n"/>
      <c r="L3019" s="14" t="n"/>
      <c r="M3019" s="12" t="n"/>
      <c r="N3019" s="12" t="n"/>
      <c r="O3019" s="12" t="n"/>
    </row>
    <row r="3020">
      <c r="A3020" s="12" t="n"/>
      <c r="B3020" s="13">
        <f>IF($A3020="","",IFERROR(INDEX(Emp_Names,MATCH($A3020,Emp_Codes,0)),"NOT FOUND"))</f>
        <v/>
      </c>
      <c r="C3020" s="14" t="n"/>
      <c r="D3020" s="15" t="n"/>
      <c r="E3020" s="15" t="n"/>
      <c r="F3020" s="15" t="n"/>
      <c r="G3020" s="15" t="n"/>
      <c r="H3020" s="16">
        <f>IF($A3020="","",$D3020+IF($E3020="",0,$E3020)+IF($F3020="",0,$F3020)-IF($G3020="",0,$G3020))</f>
        <v/>
      </c>
      <c r="I3020" s="12" t="n"/>
      <c r="J3020" s="12" t="n"/>
      <c r="K3020" s="12" t="n"/>
      <c r="L3020" s="14" t="n"/>
      <c r="M3020" s="12" t="n"/>
      <c r="N3020" s="12" t="n"/>
      <c r="O3020" s="12" t="n"/>
    </row>
    <row r="3021">
      <c r="A3021" s="12" t="n"/>
      <c r="B3021" s="13">
        <f>IF($A3021="","",IFERROR(INDEX(Emp_Names,MATCH($A3021,Emp_Codes,0)),"NOT FOUND"))</f>
        <v/>
      </c>
      <c r="C3021" s="14" t="n"/>
      <c r="D3021" s="15" t="n"/>
      <c r="E3021" s="15" t="n"/>
      <c r="F3021" s="15" t="n"/>
      <c r="G3021" s="15" t="n"/>
      <c r="H3021" s="16">
        <f>IF($A3021="","",$D3021+IF($E3021="",0,$E3021)+IF($F3021="",0,$F3021)-IF($G3021="",0,$G3021))</f>
        <v/>
      </c>
      <c r="I3021" s="12" t="n"/>
      <c r="J3021" s="12" t="n"/>
      <c r="K3021" s="12" t="n"/>
      <c r="L3021" s="14" t="n"/>
      <c r="M3021" s="12" t="n"/>
      <c r="N3021" s="12" t="n"/>
      <c r="O3021" s="12" t="n"/>
    </row>
    <row r="3022">
      <c r="A3022" s="12" t="n"/>
      <c r="B3022" s="13">
        <f>IF($A3022="","",IFERROR(INDEX(Emp_Names,MATCH($A3022,Emp_Codes,0)),"NOT FOUND"))</f>
        <v/>
      </c>
      <c r="C3022" s="14" t="n"/>
      <c r="D3022" s="15" t="n"/>
      <c r="E3022" s="15" t="n"/>
      <c r="F3022" s="15" t="n"/>
      <c r="G3022" s="15" t="n"/>
      <c r="H3022" s="16">
        <f>IF($A3022="","",$D3022+IF($E3022="",0,$E3022)+IF($F3022="",0,$F3022)-IF($G3022="",0,$G3022))</f>
        <v/>
      </c>
      <c r="I3022" s="12" t="n"/>
      <c r="J3022" s="12" t="n"/>
      <c r="K3022" s="12" t="n"/>
      <c r="L3022" s="14" t="n"/>
      <c r="M3022" s="12" t="n"/>
      <c r="N3022" s="12" t="n"/>
      <c r="O3022" s="12" t="n"/>
    </row>
    <row r="3023">
      <c r="A3023" s="12" t="n"/>
      <c r="B3023" s="13">
        <f>IF($A3023="","",IFERROR(INDEX(Emp_Names,MATCH($A3023,Emp_Codes,0)),"NOT FOUND"))</f>
        <v/>
      </c>
      <c r="C3023" s="14" t="n"/>
      <c r="D3023" s="15" t="n"/>
      <c r="E3023" s="15" t="n"/>
      <c r="F3023" s="15" t="n"/>
      <c r="G3023" s="15" t="n"/>
      <c r="H3023" s="16">
        <f>IF($A3023="","",$D3023+IF($E3023="",0,$E3023)+IF($F3023="",0,$F3023)-IF($G3023="",0,$G3023))</f>
        <v/>
      </c>
      <c r="I3023" s="12" t="n"/>
      <c r="J3023" s="12" t="n"/>
      <c r="K3023" s="12" t="n"/>
      <c r="L3023" s="14" t="n"/>
      <c r="M3023" s="12" t="n"/>
      <c r="N3023" s="12" t="n"/>
      <c r="O3023" s="12" t="n"/>
    </row>
    <row r="3024">
      <c r="A3024" s="12" t="n"/>
      <c r="B3024" s="13">
        <f>IF($A3024="","",IFERROR(INDEX(Emp_Names,MATCH($A3024,Emp_Codes,0)),"NOT FOUND"))</f>
        <v/>
      </c>
      <c r="C3024" s="14" t="n"/>
      <c r="D3024" s="15" t="n"/>
      <c r="E3024" s="15" t="n"/>
      <c r="F3024" s="15" t="n"/>
      <c r="G3024" s="15" t="n"/>
      <c r="H3024" s="16">
        <f>IF($A3024="","",$D3024+IF($E3024="",0,$E3024)+IF($F3024="",0,$F3024)-IF($G3024="",0,$G3024))</f>
        <v/>
      </c>
      <c r="I3024" s="12" t="n"/>
      <c r="J3024" s="12" t="n"/>
      <c r="K3024" s="12" t="n"/>
      <c r="L3024" s="14" t="n"/>
      <c r="M3024" s="12" t="n"/>
      <c r="N3024" s="12" t="n"/>
      <c r="O3024" s="12" t="n"/>
    </row>
    <row r="3025">
      <c r="A3025" s="12" t="n"/>
      <c r="B3025" s="13">
        <f>IF($A3025="","",IFERROR(INDEX(Emp_Names,MATCH($A3025,Emp_Codes,0)),"NOT FOUND"))</f>
        <v/>
      </c>
      <c r="C3025" s="14" t="n"/>
      <c r="D3025" s="15" t="n"/>
      <c r="E3025" s="15" t="n"/>
      <c r="F3025" s="15" t="n"/>
      <c r="G3025" s="15" t="n"/>
      <c r="H3025" s="16">
        <f>IF($A3025="","",$D3025+IF($E3025="",0,$E3025)+IF($F3025="",0,$F3025)-IF($G3025="",0,$G3025))</f>
        <v/>
      </c>
      <c r="I3025" s="12" t="n"/>
      <c r="J3025" s="12" t="n"/>
      <c r="K3025" s="12" t="n"/>
      <c r="L3025" s="14" t="n"/>
      <c r="M3025" s="12" t="n"/>
      <c r="N3025" s="12" t="n"/>
      <c r="O3025" s="12" t="n"/>
    </row>
    <row r="3026">
      <c r="A3026" s="12" t="n"/>
      <c r="B3026" s="13">
        <f>IF($A3026="","",IFERROR(INDEX(Emp_Names,MATCH($A3026,Emp_Codes,0)),"NOT FOUND"))</f>
        <v/>
      </c>
      <c r="C3026" s="14" t="n"/>
      <c r="D3026" s="15" t="n"/>
      <c r="E3026" s="15" t="n"/>
      <c r="F3026" s="15" t="n"/>
      <c r="G3026" s="15" t="n"/>
      <c r="H3026" s="16">
        <f>IF($A3026="","",$D3026+IF($E3026="",0,$E3026)+IF($F3026="",0,$F3026)-IF($G3026="",0,$G3026))</f>
        <v/>
      </c>
      <c r="I3026" s="12" t="n"/>
      <c r="J3026" s="12" t="n"/>
      <c r="K3026" s="12" t="n"/>
      <c r="L3026" s="14" t="n"/>
      <c r="M3026" s="12" t="n"/>
      <c r="N3026" s="12" t="n"/>
      <c r="O3026" s="12" t="n"/>
    </row>
    <row r="3027">
      <c r="A3027" s="12" t="n"/>
      <c r="B3027" s="13">
        <f>IF($A3027="","",IFERROR(INDEX(Emp_Names,MATCH($A3027,Emp_Codes,0)),"NOT FOUND"))</f>
        <v/>
      </c>
      <c r="C3027" s="14" t="n"/>
      <c r="D3027" s="15" t="n"/>
      <c r="E3027" s="15" t="n"/>
      <c r="F3027" s="15" t="n"/>
      <c r="G3027" s="15" t="n"/>
      <c r="H3027" s="16">
        <f>IF($A3027="","",$D3027+IF($E3027="",0,$E3027)+IF($F3027="",0,$F3027)-IF($G3027="",0,$G3027))</f>
        <v/>
      </c>
      <c r="I3027" s="12" t="n"/>
      <c r="J3027" s="12" t="n"/>
      <c r="K3027" s="12" t="n"/>
      <c r="L3027" s="14" t="n"/>
      <c r="M3027" s="12" t="n"/>
      <c r="N3027" s="12" t="n"/>
      <c r="O3027" s="12" t="n"/>
    </row>
    <row r="3028">
      <c r="A3028" s="12" t="n"/>
      <c r="B3028" s="13">
        <f>IF($A3028="","",IFERROR(INDEX(Emp_Names,MATCH($A3028,Emp_Codes,0)),"NOT FOUND"))</f>
        <v/>
      </c>
      <c r="C3028" s="14" t="n"/>
      <c r="D3028" s="15" t="n"/>
      <c r="E3028" s="15" t="n"/>
      <c r="F3028" s="15" t="n"/>
      <c r="G3028" s="15" t="n"/>
      <c r="H3028" s="16">
        <f>IF($A3028="","",$D3028+IF($E3028="",0,$E3028)+IF($F3028="",0,$F3028)-IF($G3028="",0,$G3028))</f>
        <v/>
      </c>
      <c r="I3028" s="12" t="n"/>
      <c r="J3028" s="12" t="n"/>
      <c r="K3028" s="12" t="n"/>
      <c r="L3028" s="14" t="n"/>
      <c r="M3028" s="12" t="n"/>
      <c r="N3028" s="12" t="n"/>
      <c r="O3028" s="12" t="n"/>
    </row>
    <row r="3029">
      <c r="A3029" s="12" t="n"/>
      <c r="B3029" s="13">
        <f>IF($A3029="","",IFERROR(INDEX(Emp_Names,MATCH($A3029,Emp_Codes,0)),"NOT FOUND"))</f>
        <v/>
      </c>
      <c r="C3029" s="14" t="n"/>
      <c r="D3029" s="15" t="n"/>
      <c r="E3029" s="15" t="n"/>
      <c r="F3029" s="15" t="n"/>
      <c r="G3029" s="15" t="n"/>
      <c r="H3029" s="16">
        <f>IF($A3029="","",$D3029+IF($E3029="",0,$E3029)+IF($F3029="",0,$F3029)-IF($G3029="",0,$G3029))</f>
        <v/>
      </c>
      <c r="I3029" s="12" t="n"/>
      <c r="J3029" s="12" t="n"/>
      <c r="K3029" s="12" t="n"/>
      <c r="L3029" s="14" t="n"/>
      <c r="M3029" s="12" t="n"/>
      <c r="N3029" s="12" t="n"/>
      <c r="O3029" s="12" t="n"/>
    </row>
    <row r="3030">
      <c r="A3030" s="12" t="n"/>
      <c r="B3030" s="13">
        <f>IF($A3030="","",IFERROR(INDEX(Emp_Names,MATCH($A3030,Emp_Codes,0)),"NOT FOUND"))</f>
        <v/>
      </c>
      <c r="C3030" s="14" t="n"/>
      <c r="D3030" s="15" t="n"/>
      <c r="E3030" s="15" t="n"/>
      <c r="F3030" s="15" t="n"/>
      <c r="G3030" s="15" t="n"/>
      <c r="H3030" s="16">
        <f>IF($A3030="","",$D3030+IF($E3030="",0,$E3030)+IF($F3030="",0,$F3030)-IF($G3030="",0,$G3030))</f>
        <v/>
      </c>
      <c r="I3030" s="12" t="n"/>
      <c r="J3030" s="12" t="n"/>
      <c r="K3030" s="12" t="n"/>
      <c r="L3030" s="14" t="n"/>
      <c r="M3030" s="12" t="n"/>
      <c r="N3030" s="12" t="n"/>
      <c r="O3030" s="12" t="n"/>
    </row>
    <row r="3031">
      <c r="A3031" s="12" t="n"/>
      <c r="B3031" s="13">
        <f>IF($A3031="","",IFERROR(INDEX(Emp_Names,MATCH($A3031,Emp_Codes,0)),"NOT FOUND"))</f>
        <v/>
      </c>
      <c r="C3031" s="14" t="n"/>
      <c r="D3031" s="15" t="n"/>
      <c r="E3031" s="15" t="n"/>
      <c r="F3031" s="15" t="n"/>
      <c r="G3031" s="15" t="n"/>
      <c r="H3031" s="16">
        <f>IF($A3031="","",$D3031+IF($E3031="",0,$E3031)+IF($F3031="",0,$F3031)-IF($G3031="",0,$G3031))</f>
        <v/>
      </c>
      <c r="I3031" s="12" t="n"/>
      <c r="J3031" s="12" t="n"/>
      <c r="K3031" s="12" t="n"/>
      <c r="L3031" s="14" t="n"/>
      <c r="M3031" s="12" t="n"/>
      <c r="N3031" s="12" t="n"/>
      <c r="O3031" s="12" t="n"/>
    </row>
    <row r="3032">
      <c r="A3032" s="12" t="n"/>
      <c r="B3032" s="13">
        <f>IF($A3032="","",IFERROR(INDEX(Emp_Names,MATCH($A3032,Emp_Codes,0)),"NOT FOUND"))</f>
        <v/>
      </c>
      <c r="C3032" s="14" t="n"/>
      <c r="D3032" s="15" t="n"/>
      <c r="E3032" s="15" t="n"/>
      <c r="F3032" s="15" t="n"/>
      <c r="G3032" s="15" t="n"/>
      <c r="H3032" s="16">
        <f>IF($A3032="","",$D3032+IF($E3032="",0,$E3032)+IF($F3032="",0,$F3032)-IF($G3032="",0,$G3032))</f>
        <v/>
      </c>
      <c r="I3032" s="12" t="n"/>
      <c r="J3032" s="12" t="n"/>
      <c r="K3032" s="12" t="n"/>
      <c r="L3032" s="14" t="n"/>
      <c r="M3032" s="12" t="n"/>
      <c r="N3032" s="12" t="n"/>
      <c r="O3032" s="12" t="n"/>
    </row>
    <row r="3033">
      <c r="A3033" s="12" t="n"/>
      <c r="B3033" s="13">
        <f>IF($A3033="","",IFERROR(INDEX(Emp_Names,MATCH($A3033,Emp_Codes,0)),"NOT FOUND"))</f>
        <v/>
      </c>
      <c r="C3033" s="14" t="n"/>
      <c r="D3033" s="15" t="n"/>
      <c r="E3033" s="15" t="n"/>
      <c r="F3033" s="15" t="n"/>
      <c r="G3033" s="15" t="n"/>
      <c r="H3033" s="16">
        <f>IF($A3033="","",$D3033+IF($E3033="",0,$E3033)+IF($F3033="",0,$F3033)-IF($G3033="",0,$G3033))</f>
        <v/>
      </c>
      <c r="I3033" s="12" t="n"/>
      <c r="J3033" s="12" t="n"/>
      <c r="K3033" s="12" t="n"/>
      <c r="L3033" s="14" t="n"/>
      <c r="M3033" s="12" t="n"/>
      <c r="N3033" s="12" t="n"/>
      <c r="O3033" s="12" t="n"/>
    </row>
    <row r="3034">
      <c r="A3034" s="12" t="n"/>
      <c r="B3034" s="13">
        <f>IF($A3034="","",IFERROR(INDEX(Emp_Names,MATCH($A3034,Emp_Codes,0)),"NOT FOUND"))</f>
        <v/>
      </c>
      <c r="C3034" s="14" t="n"/>
      <c r="D3034" s="15" t="n"/>
      <c r="E3034" s="15" t="n"/>
      <c r="F3034" s="15" t="n"/>
      <c r="G3034" s="15" t="n"/>
      <c r="H3034" s="16">
        <f>IF($A3034="","",$D3034+IF($E3034="",0,$E3034)+IF($F3034="",0,$F3034)-IF($G3034="",0,$G3034))</f>
        <v/>
      </c>
      <c r="I3034" s="12" t="n"/>
      <c r="J3034" s="12" t="n"/>
      <c r="K3034" s="12" t="n"/>
      <c r="L3034" s="14" t="n"/>
      <c r="M3034" s="12" t="n"/>
      <c r="N3034" s="12" t="n"/>
      <c r="O3034" s="12" t="n"/>
    </row>
    <row r="3035">
      <c r="A3035" s="12" t="n"/>
      <c r="B3035" s="13">
        <f>IF($A3035="","",IFERROR(INDEX(Emp_Names,MATCH($A3035,Emp_Codes,0)),"NOT FOUND"))</f>
        <v/>
      </c>
      <c r="C3035" s="14" t="n"/>
      <c r="D3035" s="15" t="n"/>
      <c r="E3035" s="15" t="n"/>
      <c r="F3035" s="15" t="n"/>
      <c r="G3035" s="15" t="n"/>
      <c r="H3035" s="16">
        <f>IF($A3035="","",$D3035+IF($E3035="",0,$E3035)+IF($F3035="",0,$F3035)-IF($G3035="",0,$G3035))</f>
        <v/>
      </c>
      <c r="I3035" s="12" t="n"/>
      <c r="J3035" s="12" t="n"/>
      <c r="K3035" s="12" t="n"/>
      <c r="L3035" s="14" t="n"/>
      <c r="M3035" s="12" t="n"/>
      <c r="N3035" s="12" t="n"/>
      <c r="O3035" s="12" t="n"/>
    </row>
    <row r="3036">
      <c r="A3036" s="12" t="n"/>
      <c r="B3036" s="13">
        <f>IF($A3036="","",IFERROR(INDEX(Emp_Names,MATCH($A3036,Emp_Codes,0)),"NOT FOUND"))</f>
        <v/>
      </c>
      <c r="C3036" s="14" t="n"/>
      <c r="D3036" s="15" t="n"/>
      <c r="E3036" s="15" t="n"/>
      <c r="F3036" s="15" t="n"/>
      <c r="G3036" s="15" t="n"/>
      <c r="H3036" s="16">
        <f>IF($A3036="","",$D3036+IF($E3036="",0,$E3036)+IF($F3036="",0,$F3036)-IF($G3036="",0,$G3036))</f>
        <v/>
      </c>
      <c r="I3036" s="12" t="n"/>
      <c r="J3036" s="12" t="n"/>
      <c r="K3036" s="12" t="n"/>
      <c r="L3036" s="14" t="n"/>
      <c r="M3036" s="12" t="n"/>
      <c r="N3036" s="12" t="n"/>
      <c r="O3036" s="12" t="n"/>
    </row>
    <row r="3037">
      <c r="A3037" s="12" t="n"/>
      <c r="B3037" s="13">
        <f>IF($A3037="","",IFERROR(INDEX(Emp_Names,MATCH($A3037,Emp_Codes,0)),"NOT FOUND"))</f>
        <v/>
      </c>
      <c r="C3037" s="14" t="n"/>
      <c r="D3037" s="15" t="n"/>
      <c r="E3037" s="15" t="n"/>
      <c r="F3037" s="15" t="n"/>
      <c r="G3037" s="15" t="n"/>
      <c r="H3037" s="16">
        <f>IF($A3037="","",$D3037+IF($E3037="",0,$E3037)+IF($F3037="",0,$F3037)-IF($G3037="",0,$G3037))</f>
        <v/>
      </c>
      <c r="I3037" s="12" t="n"/>
      <c r="J3037" s="12" t="n"/>
      <c r="K3037" s="12" t="n"/>
      <c r="L3037" s="14" t="n"/>
      <c r="M3037" s="12" t="n"/>
      <c r="N3037" s="12" t="n"/>
      <c r="O3037" s="12" t="n"/>
    </row>
    <row r="3038">
      <c r="A3038" s="12" t="n"/>
      <c r="B3038" s="13">
        <f>IF($A3038="","",IFERROR(INDEX(Emp_Names,MATCH($A3038,Emp_Codes,0)),"NOT FOUND"))</f>
        <v/>
      </c>
      <c r="C3038" s="14" t="n"/>
      <c r="D3038" s="15" t="n"/>
      <c r="E3038" s="15" t="n"/>
      <c r="F3038" s="15" t="n"/>
      <c r="G3038" s="15" t="n"/>
      <c r="H3038" s="16">
        <f>IF($A3038="","",$D3038+IF($E3038="",0,$E3038)+IF($F3038="",0,$F3038)-IF($G3038="",0,$G3038))</f>
        <v/>
      </c>
      <c r="I3038" s="12" t="n"/>
      <c r="J3038" s="12" t="n"/>
      <c r="K3038" s="12" t="n"/>
      <c r="L3038" s="14" t="n"/>
      <c r="M3038" s="12" t="n"/>
      <c r="N3038" s="12" t="n"/>
      <c r="O3038" s="12" t="n"/>
    </row>
    <row r="3039">
      <c r="A3039" s="12" t="n"/>
      <c r="B3039" s="13">
        <f>IF($A3039="","",IFERROR(INDEX(Emp_Names,MATCH($A3039,Emp_Codes,0)),"NOT FOUND"))</f>
        <v/>
      </c>
      <c r="C3039" s="14" t="n"/>
      <c r="D3039" s="15" t="n"/>
      <c r="E3039" s="15" t="n"/>
      <c r="F3039" s="15" t="n"/>
      <c r="G3039" s="15" t="n"/>
      <c r="H3039" s="16">
        <f>IF($A3039="","",$D3039+IF($E3039="",0,$E3039)+IF($F3039="",0,$F3039)-IF($G3039="",0,$G3039))</f>
        <v/>
      </c>
      <c r="I3039" s="12" t="n"/>
      <c r="J3039" s="12" t="n"/>
      <c r="K3039" s="12" t="n"/>
      <c r="L3039" s="14" t="n"/>
      <c r="M3039" s="12" t="n"/>
      <c r="N3039" s="12" t="n"/>
      <c r="O3039" s="12" t="n"/>
    </row>
    <row r="3040">
      <c r="A3040" s="12" t="n"/>
      <c r="B3040" s="13">
        <f>IF($A3040="","",IFERROR(INDEX(Emp_Names,MATCH($A3040,Emp_Codes,0)),"NOT FOUND"))</f>
        <v/>
      </c>
      <c r="C3040" s="14" t="n"/>
      <c r="D3040" s="15" t="n"/>
      <c r="E3040" s="15" t="n"/>
      <c r="F3040" s="15" t="n"/>
      <c r="G3040" s="15" t="n"/>
      <c r="H3040" s="16">
        <f>IF($A3040="","",$D3040+IF($E3040="",0,$E3040)+IF($F3040="",0,$F3040)-IF($G3040="",0,$G3040))</f>
        <v/>
      </c>
      <c r="I3040" s="12" t="n"/>
      <c r="J3040" s="12" t="n"/>
      <c r="K3040" s="12" t="n"/>
      <c r="L3040" s="14" t="n"/>
      <c r="M3040" s="12" t="n"/>
      <c r="N3040" s="12" t="n"/>
      <c r="O3040" s="12" t="n"/>
    </row>
    <row r="3041">
      <c r="A3041" s="12" t="n"/>
      <c r="B3041" s="13">
        <f>IF($A3041="","",IFERROR(INDEX(Emp_Names,MATCH($A3041,Emp_Codes,0)),"NOT FOUND"))</f>
        <v/>
      </c>
      <c r="C3041" s="14" t="n"/>
      <c r="D3041" s="15" t="n"/>
      <c r="E3041" s="15" t="n"/>
      <c r="F3041" s="15" t="n"/>
      <c r="G3041" s="15" t="n"/>
      <c r="H3041" s="16">
        <f>IF($A3041="","",$D3041+IF($E3041="",0,$E3041)+IF($F3041="",0,$F3041)-IF($G3041="",0,$G3041))</f>
        <v/>
      </c>
      <c r="I3041" s="12" t="n"/>
      <c r="J3041" s="12" t="n"/>
      <c r="K3041" s="12" t="n"/>
      <c r="L3041" s="14" t="n"/>
      <c r="M3041" s="12" t="n"/>
      <c r="N3041" s="12" t="n"/>
      <c r="O3041" s="12" t="n"/>
    </row>
    <row r="3042">
      <c r="A3042" s="12" t="n"/>
      <c r="B3042" s="13">
        <f>IF($A3042="","",IFERROR(INDEX(Emp_Names,MATCH($A3042,Emp_Codes,0)),"NOT FOUND"))</f>
        <v/>
      </c>
      <c r="C3042" s="14" t="n"/>
      <c r="D3042" s="15" t="n"/>
      <c r="E3042" s="15" t="n"/>
      <c r="F3042" s="15" t="n"/>
      <c r="G3042" s="15" t="n"/>
      <c r="H3042" s="16">
        <f>IF($A3042="","",$D3042+IF($E3042="",0,$E3042)+IF($F3042="",0,$F3042)-IF($G3042="",0,$G3042))</f>
        <v/>
      </c>
      <c r="I3042" s="12" t="n"/>
      <c r="J3042" s="12" t="n"/>
      <c r="K3042" s="12" t="n"/>
      <c r="L3042" s="14" t="n"/>
      <c r="M3042" s="12" t="n"/>
      <c r="N3042" s="12" t="n"/>
      <c r="O3042" s="12" t="n"/>
    </row>
    <row r="3043">
      <c r="A3043" s="12" t="n"/>
      <c r="B3043" s="13">
        <f>IF($A3043="","",IFERROR(INDEX(Emp_Names,MATCH($A3043,Emp_Codes,0)),"NOT FOUND"))</f>
        <v/>
      </c>
      <c r="C3043" s="14" t="n"/>
      <c r="D3043" s="15" t="n"/>
      <c r="E3043" s="15" t="n"/>
      <c r="F3043" s="15" t="n"/>
      <c r="G3043" s="15" t="n"/>
      <c r="H3043" s="16">
        <f>IF($A3043="","",$D3043+IF($E3043="",0,$E3043)+IF($F3043="",0,$F3043)-IF($G3043="",0,$G3043))</f>
        <v/>
      </c>
      <c r="I3043" s="12" t="n"/>
      <c r="J3043" s="12" t="n"/>
      <c r="K3043" s="12" t="n"/>
      <c r="L3043" s="14" t="n"/>
      <c r="M3043" s="12" t="n"/>
      <c r="N3043" s="12" t="n"/>
      <c r="O3043" s="12" t="n"/>
    </row>
    <row r="3044">
      <c r="A3044" s="12" t="n"/>
      <c r="B3044" s="13">
        <f>IF($A3044="","",IFERROR(INDEX(Emp_Names,MATCH($A3044,Emp_Codes,0)),"NOT FOUND"))</f>
        <v/>
      </c>
      <c r="C3044" s="14" t="n"/>
      <c r="D3044" s="15" t="n"/>
      <c r="E3044" s="15" t="n"/>
      <c r="F3044" s="15" t="n"/>
      <c r="G3044" s="15" t="n"/>
      <c r="H3044" s="16">
        <f>IF($A3044="","",$D3044+IF($E3044="",0,$E3044)+IF($F3044="",0,$F3044)-IF($G3044="",0,$G3044))</f>
        <v/>
      </c>
      <c r="I3044" s="12" t="n"/>
      <c r="J3044" s="12" t="n"/>
      <c r="K3044" s="12" t="n"/>
      <c r="L3044" s="14" t="n"/>
      <c r="M3044" s="12" t="n"/>
      <c r="N3044" s="12" t="n"/>
      <c r="O3044" s="12" t="n"/>
    </row>
    <row r="3045">
      <c r="A3045" s="12" t="n"/>
      <c r="B3045" s="13">
        <f>IF($A3045="","",IFERROR(INDEX(Emp_Names,MATCH($A3045,Emp_Codes,0)),"NOT FOUND"))</f>
        <v/>
      </c>
      <c r="C3045" s="14" t="n"/>
      <c r="D3045" s="15" t="n"/>
      <c r="E3045" s="15" t="n"/>
      <c r="F3045" s="15" t="n"/>
      <c r="G3045" s="15" t="n"/>
      <c r="H3045" s="16">
        <f>IF($A3045="","",$D3045+IF($E3045="",0,$E3045)+IF($F3045="",0,$F3045)-IF($G3045="",0,$G3045))</f>
        <v/>
      </c>
      <c r="I3045" s="12" t="n"/>
      <c r="J3045" s="12" t="n"/>
      <c r="K3045" s="12" t="n"/>
      <c r="L3045" s="14" t="n"/>
      <c r="M3045" s="12" t="n"/>
      <c r="N3045" s="12" t="n"/>
      <c r="O3045" s="12" t="n"/>
    </row>
    <row r="3046">
      <c r="A3046" s="12" t="n"/>
      <c r="B3046" s="13">
        <f>IF($A3046="","",IFERROR(INDEX(Emp_Names,MATCH($A3046,Emp_Codes,0)),"NOT FOUND"))</f>
        <v/>
      </c>
      <c r="C3046" s="14" t="n"/>
      <c r="D3046" s="15" t="n"/>
      <c r="E3046" s="15" t="n"/>
      <c r="F3046" s="15" t="n"/>
      <c r="G3046" s="15" t="n"/>
      <c r="H3046" s="16">
        <f>IF($A3046="","",$D3046+IF($E3046="",0,$E3046)+IF($F3046="",0,$F3046)-IF($G3046="",0,$G3046))</f>
        <v/>
      </c>
      <c r="I3046" s="12" t="n"/>
      <c r="J3046" s="12" t="n"/>
      <c r="K3046" s="12" t="n"/>
      <c r="L3046" s="14" t="n"/>
      <c r="M3046" s="12" t="n"/>
      <c r="N3046" s="12" t="n"/>
      <c r="O3046" s="12" t="n"/>
    </row>
    <row r="3047">
      <c r="A3047" s="12" t="n"/>
      <c r="B3047" s="13">
        <f>IF($A3047="","",IFERROR(INDEX(Emp_Names,MATCH($A3047,Emp_Codes,0)),"NOT FOUND"))</f>
        <v/>
      </c>
      <c r="C3047" s="14" t="n"/>
      <c r="D3047" s="15" t="n"/>
      <c r="E3047" s="15" t="n"/>
      <c r="F3047" s="15" t="n"/>
      <c r="G3047" s="15" t="n"/>
      <c r="H3047" s="16">
        <f>IF($A3047="","",$D3047+IF($E3047="",0,$E3047)+IF($F3047="",0,$F3047)-IF($G3047="",0,$G3047))</f>
        <v/>
      </c>
      <c r="I3047" s="12" t="n"/>
      <c r="J3047" s="12" t="n"/>
      <c r="K3047" s="12" t="n"/>
      <c r="L3047" s="14" t="n"/>
      <c r="M3047" s="12" t="n"/>
      <c r="N3047" s="12" t="n"/>
      <c r="O3047" s="12" t="n"/>
    </row>
    <row r="3048">
      <c r="A3048" s="12" t="n"/>
      <c r="B3048" s="13">
        <f>IF($A3048="","",IFERROR(INDEX(Emp_Names,MATCH($A3048,Emp_Codes,0)),"NOT FOUND"))</f>
        <v/>
      </c>
      <c r="C3048" s="14" t="n"/>
      <c r="D3048" s="15" t="n"/>
      <c r="E3048" s="15" t="n"/>
      <c r="F3048" s="15" t="n"/>
      <c r="G3048" s="15" t="n"/>
      <c r="H3048" s="16">
        <f>IF($A3048="","",$D3048+IF($E3048="",0,$E3048)+IF($F3048="",0,$F3048)-IF($G3048="",0,$G3048))</f>
        <v/>
      </c>
      <c r="I3048" s="12" t="n"/>
      <c r="J3048" s="12" t="n"/>
      <c r="K3048" s="12" t="n"/>
      <c r="L3048" s="14" t="n"/>
      <c r="M3048" s="12" t="n"/>
      <c r="N3048" s="12" t="n"/>
      <c r="O3048" s="12" t="n"/>
    </row>
    <row r="3049">
      <c r="A3049" s="12" t="n"/>
      <c r="B3049" s="13">
        <f>IF($A3049="","",IFERROR(INDEX(Emp_Names,MATCH($A3049,Emp_Codes,0)),"NOT FOUND"))</f>
        <v/>
      </c>
      <c r="C3049" s="14" t="n"/>
      <c r="D3049" s="15" t="n"/>
      <c r="E3049" s="15" t="n"/>
      <c r="F3049" s="15" t="n"/>
      <c r="G3049" s="15" t="n"/>
      <c r="H3049" s="16">
        <f>IF($A3049="","",$D3049+IF($E3049="",0,$E3049)+IF($F3049="",0,$F3049)-IF($G3049="",0,$G3049))</f>
        <v/>
      </c>
      <c r="I3049" s="12" t="n"/>
      <c r="J3049" s="12" t="n"/>
      <c r="K3049" s="12" t="n"/>
      <c r="L3049" s="14" t="n"/>
      <c r="M3049" s="12" t="n"/>
      <c r="N3049" s="12" t="n"/>
      <c r="O3049" s="12" t="n"/>
    </row>
    <row r="3050">
      <c r="A3050" s="12" t="n"/>
      <c r="B3050" s="13">
        <f>IF($A3050="","",IFERROR(INDEX(Emp_Names,MATCH($A3050,Emp_Codes,0)),"NOT FOUND"))</f>
        <v/>
      </c>
      <c r="C3050" s="14" t="n"/>
      <c r="D3050" s="15" t="n"/>
      <c r="E3050" s="15" t="n"/>
      <c r="F3050" s="15" t="n"/>
      <c r="G3050" s="15" t="n"/>
      <c r="H3050" s="16">
        <f>IF($A3050="","",$D3050+IF($E3050="",0,$E3050)+IF($F3050="",0,$F3050)-IF($G3050="",0,$G3050))</f>
        <v/>
      </c>
      <c r="I3050" s="12" t="n"/>
      <c r="J3050" s="12" t="n"/>
      <c r="K3050" s="12" t="n"/>
      <c r="L3050" s="14" t="n"/>
      <c r="M3050" s="12" t="n"/>
      <c r="N3050" s="12" t="n"/>
      <c r="O3050" s="12" t="n"/>
    </row>
    <row r="3051">
      <c r="A3051" s="12" t="n"/>
      <c r="B3051" s="13">
        <f>IF($A3051="","",IFERROR(INDEX(Emp_Names,MATCH($A3051,Emp_Codes,0)),"NOT FOUND"))</f>
        <v/>
      </c>
      <c r="C3051" s="14" t="n"/>
      <c r="D3051" s="15" t="n"/>
      <c r="E3051" s="15" t="n"/>
      <c r="F3051" s="15" t="n"/>
      <c r="G3051" s="15" t="n"/>
      <c r="H3051" s="16">
        <f>IF($A3051="","",$D3051+IF($E3051="",0,$E3051)+IF($F3051="",0,$F3051)-IF($G3051="",0,$G3051))</f>
        <v/>
      </c>
      <c r="I3051" s="12" t="n"/>
      <c r="J3051" s="12" t="n"/>
      <c r="K3051" s="12" t="n"/>
      <c r="L3051" s="14" t="n"/>
      <c r="M3051" s="12" t="n"/>
      <c r="N3051" s="12" t="n"/>
      <c r="O3051" s="12" t="n"/>
    </row>
    <row r="3052">
      <c r="A3052" s="12" t="n"/>
      <c r="B3052" s="13">
        <f>IF($A3052="","",IFERROR(INDEX(Emp_Names,MATCH($A3052,Emp_Codes,0)),"NOT FOUND"))</f>
        <v/>
      </c>
      <c r="C3052" s="14" t="n"/>
      <c r="D3052" s="15" t="n"/>
      <c r="E3052" s="15" t="n"/>
      <c r="F3052" s="15" t="n"/>
      <c r="G3052" s="15" t="n"/>
      <c r="H3052" s="16">
        <f>IF($A3052="","",$D3052+IF($E3052="",0,$E3052)+IF($F3052="",0,$F3052)-IF($G3052="",0,$G3052))</f>
        <v/>
      </c>
      <c r="I3052" s="12" t="n"/>
      <c r="J3052" s="12" t="n"/>
      <c r="K3052" s="12" t="n"/>
      <c r="L3052" s="14" t="n"/>
      <c r="M3052" s="12" t="n"/>
      <c r="N3052" s="12" t="n"/>
      <c r="O3052" s="12" t="n"/>
    </row>
    <row r="3053">
      <c r="A3053" s="12" t="n"/>
      <c r="B3053" s="13">
        <f>IF($A3053="","",IFERROR(INDEX(Emp_Names,MATCH($A3053,Emp_Codes,0)),"NOT FOUND"))</f>
        <v/>
      </c>
      <c r="C3053" s="14" t="n"/>
      <c r="D3053" s="15" t="n"/>
      <c r="E3053" s="15" t="n"/>
      <c r="F3053" s="15" t="n"/>
      <c r="G3053" s="15" t="n"/>
      <c r="H3053" s="16">
        <f>IF($A3053="","",$D3053+IF($E3053="",0,$E3053)+IF($F3053="",0,$F3053)-IF($G3053="",0,$G3053))</f>
        <v/>
      </c>
      <c r="I3053" s="12" t="n"/>
      <c r="J3053" s="12" t="n"/>
      <c r="K3053" s="12" t="n"/>
      <c r="L3053" s="14" t="n"/>
      <c r="M3053" s="12" t="n"/>
      <c r="N3053" s="12" t="n"/>
      <c r="O3053" s="12" t="n"/>
    </row>
    <row r="3054">
      <c r="A3054" s="12" t="n"/>
      <c r="B3054" s="13">
        <f>IF($A3054="","",IFERROR(INDEX(Emp_Names,MATCH($A3054,Emp_Codes,0)),"NOT FOUND"))</f>
        <v/>
      </c>
      <c r="C3054" s="14" t="n"/>
      <c r="D3054" s="15" t="n"/>
      <c r="E3054" s="15" t="n"/>
      <c r="F3054" s="15" t="n"/>
      <c r="G3054" s="15" t="n"/>
      <c r="H3054" s="16">
        <f>IF($A3054="","",$D3054+IF($E3054="",0,$E3054)+IF($F3054="",0,$F3054)-IF($G3054="",0,$G3054))</f>
        <v/>
      </c>
      <c r="I3054" s="12" t="n"/>
      <c r="J3054" s="12" t="n"/>
      <c r="K3054" s="12" t="n"/>
      <c r="L3054" s="14" t="n"/>
      <c r="M3054" s="12" t="n"/>
      <c r="N3054" s="12" t="n"/>
      <c r="O3054" s="12" t="n"/>
    </row>
    <row r="3055">
      <c r="A3055" s="12" t="n"/>
      <c r="B3055" s="13">
        <f>IF($A3055="","",IFERROR(INDEX(Emp_Names,MATCH($A3055,Emp_Codes,0)),"NOT FOUND"))</f>
        <v/>
      </c>
      <c r="C3055" s="14" t="n"/>
      <c r="D3055" s="15" t="n"/>
      <c r="E3055" s="15" t="n"/>
      <c r="F3055" s="15" t="n"/>
      <c r="G3055" s="15" t="n"/>
      <c r="H3055" s="16">
        <f>IF($A3055="","",$D3055+IF($E3055="",0,$E3055)+IF($F3055="",0,$F3055)-IF($G3055="",0,$G3055))</f>
        <v/>
      </c>
      <c r="I3055" s="12" t="n"/>
      <c r="J3055" s="12" t="n"/>
      <c r="K3055" s="12" t="n"/>
      <c r="L3055" s="14" t="n"/>
      <c r="M3055" s="12" t="n"/>
      <c r="N3055" s="12" t="n"/>
      <c r="O3055" s="12" t="n"/>
    </row>
    <row r="3056">
      <c r="A3056" s="12" t="n"/>
      <c r="B3056" s="13">
        <f>IF($A3056="","",IFERROR(INDEX(Emp_Names,MATCH($A3056,Emp_Codes,0)),"NOT FOUND"))</f>
        <v/>
      </c>
      <c r="C3056" s="14" t="n"/>
      <c r="D3056" s="15" t="n"/>
      <c r="E3056" s="15" t="n"/>
      <c r="F3056" s="15" t="n"/>
      <c r="G3056" s="15" t="n"/>
      <c r="H3056" s="16">
        <f>IF($A3056="","",$D3056+IF($E3056="",0,$E3056)+IF($F3056="",0,$F3056)-IF($G3056="",0,$G3056))</f>
        <v/>
      </c>
      <c r="I3056" s="12" t="n"/>
      <c r="J3056" s="12" t="n"/>
      <c r="K3056" s="12" t="n"/>
      <c r="L3056" s="14" t="n"/>
      <c r="M3056" s="12" t="n"/>
      <c r="N3056" s="12" t="n"/>
      <c r="O3056" s="12" t="n"/>
    </row>
    <row r="3057">
      <c r="A3057" s="12" t="n"/>
      <c r="B3057" s="13">
        <f>IF($A3057="","",IFERROR(INDEX(Emp_Names,MATCH($A3057,Emp_Codes,0)),"NOT FOUND"))</f>
        <v/>
      </c>
      <c r="C3057" s="14" t="n"/>
      <c r="D3057" s="15" t="n"/>
      <c r="E3057" s="15" t="n"/>
      <c r="F3057" s="15" t="n"/>
      <c r="G3057" s="15" t="n"/>
      <c r="H3057" s="16">
        <f>IF($A3057="","",$D3057+IF($E3057="",0,$E3057)+IF($F3057="",0,$F3057)-IF($G3057="",0,$G3057))</f>
        <v/>
      </c>
      <c r="I3057" s="12" t="n"/>
      <c r="J3057" s="12" t="n"/>
      <c r="K3057" s="12" t="n"/>
      <c r="L3057" s="14" t="n"/>
      <c r="M3057" s="12" t="n"/>
      <c r="N3057" s="12" t="n"/>
      <c r="O3057" s="12" t="n"/>
    </row>
    <row r="3058">
      <c r="A3058" s="12" t="n"/>
      <c r="B3058" s="13">
        <f>IF($A3058="","",IFERROR(INDEX(Emp_Names,MATCH($A3058,Emp_Codes,0)),"NOT FOUND"))</f>
        <v/>
      </c>
      <c r="C3058" s="14" t="n"/>
      <c r="D3058" s="15" t="n"/>
      <c r="E3058" s="15" t="n"/>
      <c r="F3058" s="15" t="n"/>
      <c r="G3058" s="15" t="n"/>
      <c r="H3058" s="16">
        <f>IF($A3058="","",$D3058+IF($E3058="",0,$E3058)+IF($F3058="",0,$F3058)-IF($G3058="",0,$G3058))</f>
        <v/>
      </c>
      <c r="I3058" s="12" t="n"/>
      <c r="J3058" s="12" t="n"/>
      <c r="K3058" s="12" t="n"/>
      <c r="L3058" s="14" t="n"/>
      <c r="M3058" s="12" t="n"/>
      <c r="N3058" s="12" t="n"/>
      <c r="O3058" s="12" t="n"/>
    </row>
    <row r="3059">
      <c r="A3059" s="12" t="n"/>
      <c r="B3059" s="13">
        <f>IF($A3059="","",IFERROR(INDEX(Emp_Names,MATCH($A3059,Emp_Codes,0)),"NOT FOUND"))</f>
        <v/>
      </c>
      <c r="C3059" s="14" t="n"/>
      <c r="D3059" s="15" t="n"/>
      <c r="E3059" s="15" t="n"/>
      <c r="F3059" s="15" t="n"/>
      <c r="G3059" s="15" t="n"/>
      <c r="H3059" s="16">
        <f>IF($A3059="","",$D3059+IF($E3059="",0,$E3059)+IF($F3059="",0,$F3059)-IF($G3059="",0,$G3059))</f>
        <v/>
      </c>
      <c r="I3059" s="12" t="n"/>
      <c r="J3059" s="12" t="n"/>
      <c r="K3059" s="12" t="n"/>
      <c r="L3059" s="14" t="n"/>
      <c r="M3059" s="12" t="n"/>
      <c r="N3059" s="12" t="n"/>
      <c r="O3059" s="12" t="n"/>
    </row>
    <row r="3060">
      <c r="A3060" s="12" t="n"/>
      <c r="B3060" s="13">
        <f>IF($A3060="","",IFERROR(INDEX(Emp_Names,MATCH($A3060,Emp_Codes,0)),"NOT FOUND"))</f>
        <v/>
      </c>
      <c r="C3060" s="14" t="n"/>
      <c r="D3060" s="15" t="n"/>
      <c r="E3060" s="15" t="n"/>
      <c r="F3060" s="15" t="n"/>
      <c r="G3060" s="15" t="n"/>
      <c r="H3060" s="16">
        <f>IF($A3060="","",$D3060+IF($E3060="",0,$E3060)+IF($F3060="",0,$F3060)-IF($G3060="",0,$G3060))</f>
        <v/>
      </c>
      <c r="I3060" s="12" t="n"/>
      <c r="J3060" s="12" t="n"/>
      <c r="K3060" s="12" t="n"/>
      <c r="L3060" s="14" t="n"/>
      <c r="M3060" s="12" t="n"/>
      <c r="N3060" s="12" t="n"/>
      <c r="O3060" s="12" t="n"/>
    </row>
    <row r="3061">
      <c r="A3061" s="12" t="n"/>
      <c r="B3061" s="13">
        <f>IF($A3061="","",IFERROR(INDEX(Emp_Names,MATCH($A3061,Emp_Codes,0)),"NOT FOUND"))</f>
        <v/>
      </c>
      <c r="C3061" s="14" t="n"/>
      <c r="D3061" s="15" t="n"/>
      <c r="E3061" s="15" t="n"/>
      <c r="F3061" s="15" t="n"/>
      <c r="G3061" s="15" t="n"/>
      <c r="H3061" s="16">
        <f>IF($A3061="","",$D3061+IF($E3061="",0,$E3061)+IF($F3061="",0,$F3061)-IF($G3061="",0,$G3061))</f>
        <v/>
      </c>
      <c r="I3061" s="12" t="n"/>
      <c r="J3061" s="12" t="n"/>
      <c r="K3061" s="12" t="n"/>
      <c r="L3061" s="14" t="n"/>
      <c r="M3061" s="12" t="n"/>
      <c r="N3061" s="12" t="n"/>
      <c r="O3061" s="12" t="n"/>
    </row>
    <row r="3062">
      <c r="A3062" s="12" t="n"/>
      <c r="B3062" s="13">
        <f>IF($A3062="","",IFERROR(INDEX(Emp_Names,MATCH($A3062,Emp_Codes,0)),"NOT FOUND"))</f>
        <v/>
      </c>
      <c r="C3062" s="14" t="n"/>
      <c r="D3062" s="15" t="n"/>
      <c r="E3062" s="15" t="n"/>
      <c r="F3062" s="15" t="n"/>
      <c r="G3062" s="15" t="n"/>
      <c r="H3062" s="16">
        <f>IF($A3062="","",$D3062+IF($E3062="",0,$E3062)+IF($F3062="",0,$F3062)-IF($G3062="",0,$G3062))</f>
        <v/>
      </c>
      <c r="I3062" s="12" t="n"/>
      <c r="J3062" s="12" t="n"/>
      <c r="K3062" s="12" t="n"/>
      <c r="L3062" s="14" t="n"/>
      <c r="M3062" s="12" t="n"/>
      <c r="N3062" s="12" t="n"/>
      <c r="O3062" s="12" t="n"/>
    </row>
    <row r="3063">
      <c r="A3063" s="12" t="n"/>
      <c r="B3063" s="13">
        <f>IF($A3063="","",IFERROR(INDEX(Emp_Names,MATCH($A3063,Emp_Codes,0)),"NOT FOUND"))</f>
        <v/>
      </c>
      <c r="C3063" s="14" t="n"/>
      <c r="D3063" s="15" t="n"/>
      <c r="E3063" s="15" t="n"/>
      <c r="F3063" s="15" t="n"/>
      <c r="G3063" s="15" t="n"/>
      <c r="H3063" s="16">
        <f>IF($A3063="","",$D3063+IF($E3063="",0,$E3063)+IF($F3063="",0,$F3063)-IF($G3063="",0,$G3063))</f>
        <v/>
      </c>
      <c r="I3063" s="12" t="n"/>
      <c r="J3063" s="12" t="n"/>
      <c r="K3063" s="12" t="n"/>
      <c r="L3063" s="14" t="n"/>
      <c r="M3063" s="12" t="n"/>
      <c r="N3063" s="12" t="n"/>
      <c r="O3063" s="12" t="n"/>
    </row>
    <row r="3064">
      <c r="A3064" s="12" t="n"/>
      <c r="B3064" s="13">
        <f>IF($A3064="","",IFERROR(INDEX(Emp_Names,MATCH($A3064,Emp_Codes,0)),"NOT FOUND"))</f>
        <v/>
      </c>
      <c r="C3064" s="14" t="n"/>
      <c r="D3064" s="15" t="n"/>
      <c r="E3064" s="15" t="n"/>
      <c r="F3064" s="15" t="n"/>
      <c r="G3064" s="15" t="n"/>
      <c r="H3064" s="16">
        <f>IF($A3064="","",$D3064+IF($E3064="",0,$E3064)+IF($F3064="",0,$F3064)-IF($G3064="",0,$G3064))</f>
        <v/>
      </c>
      <c r="I3064" s="12" t="n"/>
      <c r="J3064" s="12" t="n"/>
      <c r="K3064" s="12" t="n"/>
      <c r="L3064" s="14" t="n"/>
      <c r="M3064" s="12" t="n"/>
      <c r="N3064" s="12" t="n"/>
      <c r="O3064" s="12" t="n"/>
    </row>
    <row r="3065">
      <c r="A3065" s="12" t="n"/>
      <c r="B3065" s="13">
        <f>IF($A3065="","",IFERROR(INDEX(Emp_Names,MATCH($A3065,Emp_Codes,0)),"NOT FOUND"))</f>
        <v/>
      </c>
      <c r="C3065" s="14" t="n"/>
      <c r="D3065" s="15" t="n"/>
      <c r="E3065" s="15" t="n"/>
      <c r="F3065" s="15" t="n"/>
      <c r="G3065" s="15" t="n"/>
      <c r="H3065" s="16">
        <f>IF($A3065="","",$D3065+IF($E3065="",0,$E3065)+IF($F3065="",0,$F3065)-IF($G3065="",0,$G3065))</f>
        <v/>
      </c>
      <c r="I3065" s="12" t="n"/>
      <c r="J3065" s="12" t="n"/>
      <c r="K3065" s="12" t="n"/>
      <c r="L3065" s="14" t="n"/>
      <c r="M3065" s="12" t="n"/>
      <c r="N3065" s="12" t="n"/>
      <c r="O3065" s="12" t="n"/>
    </row>
    <row r="3066">
      <c r="A3066" s="12" t="n"/>
      <c r="B3066" s="13">
        <f>IF($A3066="","",IFERROR(INDEX(Emp_Names,MATCH($A3066,Emp_Codes,0)),"NOT FOUND"))</f>
        <v/>
      </c>
      <c r="C3066" s="14" t="n"/>
      <c r="D3066" s="15" t="n"/>
      <c r="E3066" s="15" t="n"/>
      <c r="F3066" s="15" t="n"/>
      <c r="G3066" s="15" t="n"/>
      <c r="H3066" s="16">
        <f>IF($A3066="","",$D3066+IF($E3066="",0,$E3066)+IF($F3066="",0,$F3066)-IF($G3066="",0,$G3066))</f>
        <v/>
      </c>
      <c r="I3066" s="12" t="n"/>
      <c r="J3066" s="12" t="n"/>
      <c r="K3066" s="12" t="n"/>
      <c r="L3066" s="14" t="n"/>
      <c r="M3066" s="12" t="n"/>
      <c r="N3066" s="12" t="n"/>
      <c r="O3066" s="12" t="n"/>
    </row>
    <row r="3067">
      <c r="A3067" s="12" t="n"/>
      <c r="B3067" s="13">
        <f>IF($A3067="","",IFERROR(INDEX(Emp_Names,MATCH($A3067,Emp_Codes,0)),"NOT FOUND"))</f>
        <v/>
      </c>
      <c r="C3067" s="14" t="n"/>
      <c r="D3067" s="15" t="n"/>
      <c r="E3067" s="15" t="n"/>
      <c r="F3067" s="15" t="n"/>
      <c r="G3067" s="15" t="n"/>
      <c r="H3067" s="16">
        <f>IF($A3067="","",$D3067+IF($E3067="",0,$E3067)+IF($F3067="",0,$F3067)-IF($G3067="",0,$G3067))</f>
        <v/>
      </c>
      <c r="I3067" s="12" t="n"/>
      <c r="J3067" s="12" t="n"/>
      <c r="K3067" s="12" t="n"/>
      <c r="L3067" s="14" t="n"/>
      <c r="M3067" s="12" t="n"/>
      <c r="N3067" s="12" t="n"/>
      <c r="O3067" s="12" t="n"/>
    </row>
    <row r="3068">
      <c r="A3068" s="12" t="n"/>
      <c r="B3068" s="13">
        <f>IF($A3068="","",IFERROR(INDEX(Emp_Names,MATCH($A3068,Emp_Codes,0)),"NOT FOUND"))</f>
        <v/>
      </c>
      <c r="C3068" s="14" t="n"/>
      <c r="D3068" s="15" t="n"/>
      <c r="E3068" s="15" t="n"/>
      <c r="F3068" s="15" t="n"/>
      <c r="G3068" s="15" t="n"/>
      <c r="H3068" s="16">
        <f>IF($A3068="","",$D3068+IF($E3068="",0,$E3068)+IF($F3068="",0,$F3068)-IF($G3068="",0,$G3068))</f>
        <v/>
      </c>
      <c r="I3068" s="12" t="n"/>
      <c r="J3068" s="12" t="n"/>
      <c r="K3068" s="12" t="n"/>
      <c r="L3068" s="14" t="n"/>
      <c r="M3068" s="12" t="n"/>
      <c r="N3068" s="12" t="n"/>
      <c r="O3068" s="12" t="n"/>
    </row>
    <row r="3069">
      <c r="A3069" s="12" t="n"/>
      <c r="B3069" s="13">
        <f>IF($A3069="","",IFERROR(INDEX(Emp_Names,MATCH($A3069,Emp_Codes,0)),"NOT FOUND"))</f>
        <v/>
      </c>
      <c r="C3069" s="14" t="n"/>
      <c r="D3069" s="15" t="n"/>
      <c r="E3069" s="15" t="n"/>
      <c r="F3069" s="15" t="n"/>
      <c r="G3069" s="15" t="n"/>
      <c r="H3069" s="16">
        <f>IF($A3069="","",$D3069+IF($E3069="",0,$E3069)+IF($F3069="",0,$F3069)-IF($G3069="",0,$G3069))</f>
        <v/>
      </c>
      <c r="I3069" s="12" t="n"/>
      <c r="J3069" s="12" t="n"/>
      <c r="K3069" s="12" t="n"/>
      <c r="L3069" s="14" t="n"/>
      <c r="M3069" s="12" t="n"/>
      <c r="N3069" s="12" t="n"/>
      <c r="O3069" s="12" t="n"/>
    </row>
    <row r="3070">
      <c r="A3070" s="12" t="n"/>
      <c r="B3070" s="13">
        <f>IF($A3070="","",IFERROR(INDEX(Emp_Names,MATCH($A3070,Emp_Codes,0)),"NOT FOUND"))</f>
        <v/>
      </c>
      <c r="C3070" s="14" t="n"/>
      <c r="D3070" s="15" t="n"/>
      <c r="E3070" s="15" t="n"/>
      <c r="F3070" s="15" t="n"/>
      <c r="G3070" s="15" t="n"/>
      <c r="H3070" s="16">
        <f>IF($A3070="","",$D3070+IF($E3070="",0,$E3070)+IF($F3070="",0,$F3070)-IF($G3070="",0,$G3070))</f>
        <v/>
      </c>
      <c r="I3070" s="12" t="n"/>
      <c r="J3070" s="12" t="n"/>
      <c r="K3070" s="12" t="n"/>
      <c r="L3070" s="14" t="n"/>
      <c r="M3070" s="12" t="n"/>
      <c r="N3070" s="12" t="n"/>
      <c r="O3070" s="12" t="n"/>
    </row>
    <row r="3071">
      <c r="A3071" s="12" t="n"/>
      <c r="B3071" s="13">
        <f>IF($A3071="","",IFERROR(INDEX(Emp_Names,MATCH($A3071,Emp_Codes,0)),"NOT FOUND"))</f>
        <v/>
      </c>
      <c r="C3071" s="14" t="n"/>
      <c r="D3071" s="15" t="n"/>
      <c r="E3071" s="15" t="n"/>
      <c r="F3071" s="15" t="n"/>
      <c r="G3071" s="15" t="n"/>
      <c r="H3071" s="16">
        <f>IF($A3071="","",$D3071+IF($E3071="",0,$E3071)+IF($F3071="",0,$F3071)-IF($G3071="",0,$G3071))</f>
        <v/>
      </c>
      <c r="I3071" s="12" t="n"/>
      <c r="J3071" s="12" t="n"/>
      <c r="K3071" s="12" t="n"/>
      <c r="L3071" s="14" t="n"/>
      <c r="M3071" s="12" t="n"/>
      <c r="N3071" s="12" t="n"/>
      <c r="O3071" s="12" t="n"/>
    </row>
    <row r="3072">
      <c r="A3072" s="12" t="n"/>
      <c r="B3072" s="13">
        <f>IF($A3072="","",IFERROR(INDEX(Emp_Names,MATCH($A3072,Emp_Codes,0)),"NOT FOUND"))</f>
        <v/>
      </c>
      <c r="C3072" s="14" t="n"/>
      <c r="D3072" s="15" t="n"/>
      <c r="E3072" s="15" t="n"/>
      <c r="F3072" s="15" t="n"/>
      <c r="G3072" s="15" t="n"/>
      <c r="H3072" s="16">
        <f>IF($A3072="","",$D3072+IF($E3072="",0,$E3072)+IF($F3072="",0,$F3072)-IF($G3072="",0,$G3072))</f>
        <v/>
      </c>
      <c r="I3072" s="12" t="n"/>
      <c r="J3072" s="12" t="n"/>
      <c r="K3072" s="12" t="n"/>
      <c r="L3072" s="14" t="n"/>
      <c r="M3072" s="12" t="n"/>
      <c r="N3072" s="12" t="n"/>
      <c r="O3072" s="12" t="n"/>
    </row>
    <row r="3073">
      <c r="A3073" s="12" t="n"/>
      <c r="B3073" s="13">
        <f>IF($A3073="","",IFERROR(INDEX(Emp_Names,MATCH($A3073,Emp_Codes,0)),"NOT FOUND"))</f>
        <v/>
      </c>
      <c r="C3073" s="14" t="n"/>
      <c r="D3073" s="15" t="n"/>
      <c r="E3073" s="15" t="n"/>
      <c r="F3073" s="15" t="n"/>
      <c r="G3073" s="15" t="n"/>
      <c r="H3073" s="16">
        <f>IF($A3073="","",$D3073+IF($E3073="",0,$E3073)+IF($F3073="",0,$F3073)-IF($G3073="",0,$G3073))</f>
        <v/>
      </c>
      <c r="I3073" s="12" t="n"/>
      <c r="J3073" s="12" t="n"/>
      <c r="K3073" s="12" t="n"/>
      <c r="L3073" s="14" t="n"/>
      <c r="M3073" s="12" t="n"/>
      <c r="N3073" s="12" t="n"/>
      <c r="O3073" s="12" t="n"/>
    </row>
    <row r="3074">
      <c r="A3074" s="12" t="n"/>
      <c r="B3074" s="13">
        <f>IF($A3074="","",IFERROR(INDEX(Emp_Names,MATCH($A3074,Emp_Codes,0)),"NOT FOUND"))</f>
        <v/>
      </c>
      <c r="C3074" s="14" t="n"/>
      <c r="D3074" s="15" t="n"/>
      <c r="E3074" s="15" t="n"/>
      <c r="F3074" s="15" t="n"/>
      <c r="G3074" s="15" t="n"/>
      <c r="H3074" s="16">
        <f>IF($A3074="","",$D3074+IF($E3074="",0,$E3074)+IF($F3074="",0,$F3074)-IF($G3074="",0,$G3074))</f>
        <v/>
      </c>
      <c r="I3074" s="12" t="n"/>
      <c r="J3074" s="12" t="n"/>
      <c r="K3074" s="12" t="n"/>
      <c r="L3074" s="14" t="n"/>
      <c r="M3074" s="12" t="n"/>
      <c r="N3074" s="12" t="n"/>
      <c r="O3074" s="12" t="n"/>
    </row>
    <row r="3075">
      <c r="A3075" s="12" t="n"/>
      <c r="B3075" s="13">
        <f>IF($A3075="","",IFERROR(INDEX(Emp_Names,MATCH($A3075,Emp_Codes,0)),"NOT FOUND"))</f>
        <v/>
      </c>
      <c r="C3075" s="14" t="n"/>
      <c r="D3075" s="15" t="n"/>
      <c r="E3075" s="15" t="n"/>
      <c r="F3075" s="15" t="n"/>
      <c r="G3075" s="15" t="n"/>
      <c r="H3075" s="16">
        <f>IF($A3075="","",$D3075+IF($E3075="",0,$E3075)+IF($F3075="",0,$F3075)-IF($G3075="",0,$G3075))</f>
        <v/>
      </c>
      <c r="I3075" s="12" t="n"/>
      <c r="J3075" s="12" t="n"/>
      <c r="K3075" s="12" t="n"/>
      <c r="L3075" s="14" t="n"/>
      <c r="M3075" s="12" t="n"/>
      <c r="N3075" s="12" t="n"/>
      <c r="O3075" s="12" t="n"/>
    </row>
    <row r="3076">
      <c r="A3076" s="12" t="n"/>
      <c r="B3076" s="13">
        <f>IF($A3076="","",IFERROR(INDEX(Emp_Names,MATCH($A3076,Emp_Codes,0)),"NOT FOUND"))</f>
        <v/>
      </c>
      <c r="C3076" s="14" t="n"/>
      <c r="D3076" s="15" t="n"/>
      <c r="E3076" s="15" t="n"/>
      <c r="F3076" s="15" t="n"/>
      <c r="G3076" s="15" t="n"/>
      <c r="H3076" s="16">
        <f>IF($A3076="","",$D3076+IF($E3076="",0,$E3076)+IF($F3076="",0,$F3076)-IF($G3076="",0,$G3076))</f>
        <v/>
      </c>
      <c r="I3076" s="12" t="n"/>
      <c r="J3076" s="12" t="n"/>
      <c r="K3076" s="12" t="n"/>
      <c r="L3076" s="14" t="n"/>
      <c r="M3076" s="12" t="n"/>
      <c r="N3076" s="12" t="n"/>
      <c r="O3076" s="12" t="n"/>
    </row>
    <row r="3077">
      <c r="A3077" s="12" t="n"/>
      <c r="B3077" s="13">
        <f>IF($A3077="","",IFERROR(INDEX(Emp_Names,MATCH($A3077,Emp_Codes,0)),"NOT FOUND"))</f>
        <v/>
      </c>
      <c r="C3077" s="14" t="n"/>
      <c r="D3077" s="15" t="n"/>
      <c r="E3077" s="15" t="n"/>
      <c r="F3077" s="15" t="n"/>
      <c r="G3077" s="15" t="n"/>
      <c r="H3077" s="16">
        <f>IF($A3077="","",$D3077+IF($E3077="",0,$E3077)+IF($F3077="",0,$F3077)-IF($G3077="",0,$G3077))</f>
        <v/>
      </c>
      <c r="I3077" s="12" t="n"/>
      <c r="J3077" s="12" t="n"/>
      <c r="K3077" s="12" t="n"/>
      <c r="L3077" s="14" t="n"/>
      <c r="M3077" s="12" t="n"/>
      <c r="N3077" s="12" t="n"/>
      <c r="O3077" s="12" t="n"/>
    </row>
    <row r="3078">
      <c r="A3078" s="12" t="n"/>
      <c r="B3078" s="13">
        <f>IF($A3078="","",IFERROR(INDEX(Emp_Names,MATCH($A3078,Emp_Codes,0)),"NOT FOUND"))</f>
        <v/>
      </c>
      <c r="C3078" s="14" t="n"/>
      <c r="D3078" s="15" t="n"/>
      <c r="E3078" s="15" t="n"/>
      <c r="F3078" s="15" t="n"/>
      <c r="G3078" s="15" t="n"/>
      <c r="H3078" s="16">
        <f>IF($A3078="","",$D3078+IF($E3078="",0,$E3078)+IF($F3078="",0,$F3078)-IF($G3078="",0,$G3078))</f>
        <v/>
      </c>
      <c r="I3078" s="12" t="n"/>
      <c r="J3078" s="12" t="n"/>
      <c r="K3078" s="12" t="n"/>
      <c r="L3078" s="14" t="n"/>
      <c r="M3078" s="12" t="n"/>
      <c r="N3078" s="12" t="n"/>
      <c r="O3078" s="12" t="n"/>
    </row>
    <row r="3079">
      <c r="A3079" s="12" t="n"/>
      <c r="B3079" s="13">
        <f>IF($A3079="","",IFERROR(INDEX(Emp_Names,MATCH($A3079,Emp_Codes,0)),"NOT FOUND"))</f>
        <v/>
      </c>
      <c r="C3079" s="14" t="n"/>
      <c r="D3079" s="15" t="n"/>
      <c r="E3079" s="15" t="n"/>
      <c r="F3079" s="15" t="n"/>
      <c r="G3079" s="15" t="n"/>
      <c r="H3079" s="16">
        <f>IF($A3079="","",$D3079+IF($E3079="",0,$E3079)+IF($F3079="",0,$F3079)-IF($G3079="",0,$G3079))</f>
        <v/>
      </c>
      <c r="I3079" s="12" t="n"/>
      <c r="J3079" s="12" t="n"/>
      <c r="K3079" s="12" t="n"/>
      <c r="L3079" s="14" t="n"/>
      <c r="M3079" s="12" t="n"/>
      <c r="N3079" s="12" t="n"/>
      <c r="O3079" s="12" t="n"/>
    </row>
    <row r="3080">
      <c r="A3080" s="12" t="n"/>
      <c r="B3080" s="13">
        <f>IF($A3080="","",IFERROR(INDEX(Emp_Names,MATCH($A3080,Emp_Codes,0)),"NOT FOUND"))</f>
        <v/>
      </c>
      <c r="C3080" s="14" t="n"/>
      <c r="D3080" s="15" t="n"/>
      <c r="E3080" s="15" t="n"/>
      <c r="F3080" s="15" t="n"/>
      <c r="G3080" s="15" t="n"/>
      <c r="H3080" s="16">
        <f>IF($A3080="","",$D3080+IF($E3080="",0,$E3080)+IF($F3080="",0,$F3080)-IF($G3080="",0,$G3080))</f>
        <v/>
      </c>
      <c r="I3080" s="12" t="n"/>
      <c r="J3080" s="12" t="n"/>
      <c r="K3080" s="12" t="n"/>
      <c r="L3080" s="14" t="n"/>
      <c r="M3080" s="12" t="n"/>
      <c r="N3080" s="12" t="n"/>
      <c r="O3080" s="12" t="n"/>
    </row>
    <row r="3081">
      <c r="A3081" s="12" t="n"/>
      <c r="B3081" s="13">
        <f>IF($A3081="","",IFERROR(INDEX(Emp_Names,MATCH($A3081,Emp_Codes,0)),"NOT FOUND"))</f>
        <v/>
      </c>
      <c r="C3081" s="14" t="n"/>
      <c r="D3081" s="15" t="n"/>
      <c r="E3081" s="15" t="n"/>
      <c r="F3081" s="15" t="n"/>
      <c r="G3081" s="15" t="n"/>
      <c r="H3081" s="16">
        <f>IF($A3081="","",$D3081+IF($E3081="",0,$E3081)+IF($F3081="",0,$F3081)-IF($G3081="",0,$G3081))</f>
        <v/>
      </c>
      <c r="I3081" s="12" t="n"/>
      <c r="J3081" s="12" t="n"/>
      <c r="K3081" s="12" t="n"/>
      <c r="L3081" s="14" t="n"/>
      <c r="M3081" s="12" t="n"/>
      <c r="N3081" s="12" t="n"/>
      <c r="O3081" s="12" t="n"/>
    </row>
    <row r="3082">
      <c r="A3082" s="12" t="n"/>
      <c r="B3082" s="13">
        <f>IF($A3082="","",IFERROR(INDEX(Emp_Names,MATCH($A3082,Emp_Codes,0)),"NOT FOUND"))</f>
        <v/>
      </c>
      <c r="C3082" s="14" t="n"/>
      <c r="D3082" s="15" t="n"/>
      <c r="E3082" s="15" t="n"/>
      <c r="F3082" s="15" t="n"/>
      <c r="G3082" s="15" t="n"/>
      <c r="H3082" s="16">
        <f>IF($A3082="","",$D3082+IF($E3082="",0,$E3082)+IF($F3082="",0,$F3082)-IF($G3082="",0,$G3082))</f>
        <v/>
      </c>
      <c r="I3082" s="12" t="n"/>
      <c r="J3082" s="12" t="n"/>
      <c r="K3082" s="12" t="n"/>
      <c r="L3082" s="14" t="n"/>
      <c r="M3082" s="12" t="n"/>
      <c r="N3082" s="12" t="n"/>
      <c r="O3082" s="12" t="n"/>
    </row>
    <row r="3083">
      <c r="A3083" s="12" t="n"/>
      <c r="B3083" s="13">
        <f>IF($A3083="","",IFERROR(INDEX(Emp_Names,MATCH($A3083,Emp_Codes,0)),"NOT FOUND"))</f>
        <v/>
      </c>
      <c r="C3083" s="14" t="n"/>
      <c r="D3083" s="15" t="n"/>
      <c r="E3083" s="15" t="n"/>
      <c r="F3083" s="15" t="n"/>
      <c r="G3083" s="15" t="n"/>
      <c r="H3083" s="16">
        <f>IF($A3083="","",$D3083+IF($E3083="",0,$E3083)+IF($F3083="",0,$F3083)-IF($G3083="",0,$G3083))</f>
        <v/>
      </c>
      <c r="I3083" s="12" t="n"/>
      <c r="J3083" s="12" t="n"/>
      <c r="K3083" s="12" t="n"/>
      <c r="L3083" s="14" t="n"/>
      <c r="M3083" s="12" t="n"/>
      <c r="N3083" s="12" t="n"/>
      <c r="O3083" s="12" t="n"/>
    </row>
    <row r="3084">
      <c r="A3084" s="12" t="n"/>
      <c r="B3084" s="13">
        <f>IF($A3084="","",IFERROR(INDEX(Emp_Names,MATCH($A3084,Emp_Codes,0)),"NOT FOUND"))</f>
        <v/>
      </c>
      <c r="C3084" s="14" t="n"/>
      <c r="D3084" s="15" t="n"/>
      <c r="E3084" s="15" t="n"/>
      <c r="F3084" s="15" t="n"/>
      <c r="G3084" s="15" t="n"/>
      <c r="H3084" s="16">
        <f>IF($A3084="","",$D3084+IF($E3084="",0,$E3084)+IF($F3084="",0,$F3084)-IF($G3084="",0,$G3084))</f>
        <v/>
      </c>
      <c r="I3084" s="12" t="n"/>
      <c r="J3084" s="12" t="n"/>
      <c r="K3084" s="12" t="n"/>
      <c r="L3084" s="14" t="n"/>
      <c r="M3084" s="12" t="n"/>
      <c r="N3084" s="12" t="n"/>
      <c r="O3084" s="12" t="n"/>
    </row>
    <row r="3085">
      <c r="A3085" s="12" t="n"/>
      <c r="B3085" s="13">
        <f>IF($A3085="","",IFERROR(INDEX(Emp_Names,MATCH($A3085,Emp_Codes,0)),"NOT FOUND"))</f>
        <v/>
      </c>
      <c r="C3085" s="14" t="n"/>
      <c r="D3085" s="15" t="n"/>
      <c r="E3085" s="15" t="n"/>
      <c r="F3085" s="15" t="n"/>
      <c r="G3085" s="15" t="n"/>
      <c r="H3085" s="16">
        <f>IF($A3085="","",$D3085+IF($E3085="",0,$E3085)+IF($F3085="",0,$F3085)-IF($G3085="",0,$G3085))</f>
        <v/>
      </c>
      <c r="I3085" s="12" t="n"/>
      <c r="J3085" s="12" t="n"/>
      <c r="K3085" s="12" t="n"/>
      <c r="L3085" s="14" t="n"/>
      <c r="M3085" s="12" t="n"/>
      <c r="N3085" s="12" t="n"/>
      <c r="O3085" s="12" t="n"/>
    </row>
    <row r="3086">
      <c r="A3086" s="12" t="n"/>
      <c r="B3086" s="13">
        <f>IF($A3086="","",IFERROR(INDEX(Emp_Names,MATCH($A3086,Emp_Codes,0)),"NOT FOUND"))</f>
        <v/>
      </c>
      <c r="C3086" s="14" t="n"/>
      <c r="D3086" s="15" t="n"/>
      <c r="E3086" s="15" t="n"/>
      <c r="F3086" s="15" t="n"/>
      <c r="G3086" s="15" t="n"/>
      <c r="H3086" s="16">
        <f>IF($A3086="","",$D3086+IF($E3086="",0,$E3086)+IF($F3086="",0,$F3086)-IF($G3086="",0,$G3086))</f>
        <v/>
      </c>
      <c r="I3086" s="12" t="n"/>
      <c r="J3086" s="12" t="n"/>
      <c r="K3086" s="12" t="n"/>
      <c r="L3086" s="14" t="n"/>
      <c r="M3086" s="12" t="n"/>
      <c r="N3086" s="12" t="n"/>
      <c r="O3086" s="12" t="n"/>
    </row>
    <row r="3087">
      <c r="A3087" s="12" t="n"/>
      <c r="B3087" s="13">
        <f>IF($A3087="","",IFERROR(INDEX(Emp_Names,MATCH($A3087,Emp_Codes,0)),"NOT FOUND"))</f>
        <v/>
      </c>
      <c r="C3087" s="14" t="n"/>
      <c r="D3087" s="15" t="n"/>
      <c r="E3087" s="15" t="n"/>
      <c r="F3087" s="15" t="n"/>
      <c r="G3087" s="15" t="n"/>
      <c r="H3087" s="16">
        <f>IF($A3087="","",$D3087+IF($E3087="",0,$E3087)+IF($F3087="",0,$F3087)-IF($G3087="",0,$G3087))</f>
        <v/>
      </c>
      <c r="I3087" s="12" t="n"/>
      <c r="J3087" s="12" t="n"/>
      <c r="K3087" s="12" t="n"/>
      <c r="L3087" s="14" t="n"/>
      <c r="M3087" s="12" t="n"/>
      <c r="N3087" s="12" t="n"/>
      <c r="O3087" s="12" t="n"/>
    </row>
    <row r="3088">
      <c r="A3088" s="12" t="n"/>
      <c r="B3088" s="13">
        <f>IF($A3088="","",IFERROR(INDEX(Emp_Names,MATCH($A3088,Emp_Codes,0)),"NOT FOUND"))</f>
        <v/>
      </c>
      <c r="C3088" s="14" t="n"/>
      <c r="D3088" s="15" t="n"/>
      <c r="E3088" s="15" t="n"/>
      <c r="F3088" s="15" t="n"/>
      <c r="G3088" s="15" t="n"/>
      <c r="H3088" s="16">
        <f>IF($A3088="","",$D3088+IF($E3088="",0,$E3088)+IF($F3088="",0,$F3088)-IF($G3088="",0,$G3088))</f>
        <v/>
      </c>
      <c r="I3088" s="12" t="n"/>
      <c r="J3088" s="12" t="n"/>
      <c r="K3088" s="12" t="n"/>
      <c r="L3088" s="14" t="n"/>
      <c r="M3088" s="12" t="n"/>
      <c r="N3088" s="12" t="n"/>
      <c r="O3088" s="12" t="n"/>
    </row>
    <row r="3089">
      <c r="A3089" s="12" t="n"/>
      <c r="B3089" s="13">
        <f>IF($A3089="","",IFERROR(INDEX(Emp_Names,MATCH($A3089,Emp_Codes,0)),"NOT FOUND"))</f>
        <v/>
      </c>
      <c r="C3089" s="14" t="n"/>
      <c r="D3089" s="15" t="n"/>
      <c r="E3089" s="15" t="n"/>
      <c r="F3089" s="15" t="n"/>
      <c r="G3089" s="15" t="n"/>
      <c r="H3089" s="16">
        <f>IF($A3089="","",$D3089+IF($E3089="",0,$E3089)+IF($F3089="",0,$F3089)-IF($G3089="",0,$G3089))</f>
        <v/>
      </c>
      <c r="I3089" s="12" t="n"/>
      <c r="J3089" s="12" t="n"/>
      <c r="K3089" s="12" t="n"/>
      <c r="L3089" s="14" t="n"/>
      <c r="M3089" s="12" t="n"/>
      <c r="N3089" s="12" t="n"/>
      <c r="O3089" s="12" t="n"/>
    </row>
    <row r="3090">
      <c r="A3090" s="12" t="n"/>
      <c r="B3090" s="13">
        <f>IF($A3090="","",IFERROR(INDEX(Emp_Names,MATCH($A3090,Emp_Codes,0)),"NOT FOUND"))</f>
        <v/>
      </c>
      <c r="C3090" s="14" t="n"/>
      <c r="D3090" s="15" t="n"/>
      <c r="E3090" s="15" t="n"/>
      <c r="F3090" s="15" t="n"/>
      <c r="G3090" s="15" t="n"/>
      <c r="H3090" s="16">
        <f>IF($A3090="","",$D3090+IF($E3090="",0,$E3090)+IF($F3090="",0,$F3090)-IF($G3090="",0,$G3090))</f>
        <v/>
      </c>
      <c r="I3090" s="12" t="n"/>
      <c r="J3090" s="12" t="n"/>
      <c r="K3090" s="12" t="n"/>
      <c r="L3090" s="14" t="n"/>
      <c r="M3090" s="12" t="n"/>
      <c r="N3090" s="12" t="n"/>
      <c r="O3090" s="12" t="n"/>
    </row>
    <row r="3091">
      <c r="A3091" s="12" t="n"/>
      <c r="B3091" s="13">
        <f>IF($A3091="","",IFERROR(INDEX(Emp_Names,MATCH($A3091,Emp_Codes,0)),"NOT FOUND"))</f>
        <v/>
      </c>
      <c r="C3091" s="14" t="n"/>
      <c r="D3091" s="15" t="n"/>
      <c r="E3091" s="15" t="n"/>
      <c r="F3091" s="15" t="n"/>
      <c r="G3091" s="15" t="n"/>
      <c r="H3091" s="16">
        <f>IF($A3091="","",$D3091+IF($E3091="",0,$E3091)+IF($F3091="",0,$F3091)-IF($G3091="",0,$G3091))</f>
        <v/>
      </c>
      <c r="I3091" s="12" t="n"/>
      <c r="J3091" s="12" t="n"/>
      <c r="K3091" s="12" t="n"/>
      <c r="L3091" s="14" t="n"/>
      <c r="M3091" s="12" t="n"/>
      <c r="N3091" s="12" t="n"/>
      <c r="O3091" s="12" t="n"/>
    </row>
    <row r="3092">
      <c r="A3092" s="12" t="n"/>
      <c r="B3092" s="13">
        <f>IF($A3092="","",IFERROR(INDEX(Emp_Names,MATCH($A3092,Emp_Codes,0)),"NOT FOUND"))</f>
        <v/>
      </c>
      <c r="C3092" s="14" t="n"/>
      <c r="D3092" s="15" t="n"/>
      <c r="E3092" s="15" t="n"/>
      <c r="F3092" s="15" t="n"/>
      <c r="G3092" s="15" t="n"/>
      <c r="H3092" s="16">
        <f>IF($A3092="","",$D3092+IF($E3092="",0,$E3092)+IF($F3092="",0,$F3092)-IF($G3092="",0,$G3092))</f>
        <v/>
      </c>
      <c r="I3092" s="12" t="n"/>
      <c r="J3092" s="12" t="n"/>
      <c r="K3092" s="12" t="n"/>
      <c r="L3092" s="14" t="n"/>
      <c r="M3092" s="12" t="n"/>
      <c r="N3092" s="12" t="n"/>
      <c r="O3092" s="12" t="n"/>
    </row>
    <row r="3093">
      <c r="A3093" s="12" t="n"/>
      <c r="B3093" s="13">
        <f>IF($A3093="","",IFERROR(INDEX(Emp_Names,MATCH($A3093,Emp_Codes,0)),"NOT FOUND"))</f>
        <v/>
      </c>
      <c r="C3093" s="14" t="n"/>
      <c r="D3093" s="15" t="n"/>
      <c r="E3093" s="15" t="n"/>
      <c r="F3093" s="15" t="n"/>
      <c r="G3093" s="15" t="n"/>
      <c r="H3093" s="16">
        <f>IF($A3093="","",$D3093+IF($E3093="",0,$E3093)+IF($F3093="",0,$F3093)-IF($G3093="",0,$G3093))</f>
        <v/>
      </c>
      <c r="I3093" s="12" t="n"/>
      <c r="J3093" s="12" t="n"/>
      <c r="K3093" s="12" t="n"/>
      <c r="L3093" s="14" t="n"/>
      <c r="M3093" s="12" t="n"/>
      <c r="N3093" s="12" t="n"/>
      <c r="O3093" s="12" t="n"/>
    </row>
    <row r="3094">
      <c r="A3094" s="12" t="n"/>
      <c r="B3094" s="13">
        <f>IF($A3094="","",IFERROR(INDEX(Emp_Names,MATCH($A3094,Emp_Codes,0)),"NOT FOUND"))</f>
        <v/>
      </c>
      <c r="C3094" s="14" t="n"/>
      <c r="D3094" s="15" t="n"/>
      <c r="E3094" s="15" t="n"/>
      <c r="F3094" s="15" t="n"/>
      <c r="G3094" s="15" t="n"/>
      <c r="H3094" s="16">
        <f>IF($A3094="","",$D3094+IF($E3094="",0,$E3094)+IF($F3094="",0,$F3094)-IF($G3094="",0,$G3094))</f>
        <v/>
      </c>
      <c r="I3094" s="12" t="n"/>
      <c r="J3094" s="12" t="n"/>
      <c r="K3094" s="12" t="n"/>
      <c r="L3094" s="14" t="n"/>
      <c r="M3094" s="12" t="n"/>
      <c r="N3094" s="12" t="n"/>
      <c r="O3094" s="12" t="n"/>
    </row>
    <row r="3095">
      <c r="A3095" s="12" t="n"/>
      <c r="B3095" s="13">
        <f>IF($A3095="","",IFERROR(INDEX(Emp_Names,MATCH($A3095,Emp_Codes,0)),"NOT FOUND"))</f>
        <v/>
      </c>
      <c r="C3095" s="14" t="n"/>
      <c r="D3095" s="15" t="n"/>
      <c r="E3095" s="15" t="n"/>
      <c r="F3095" s="15" t="n"/>
      <c r="G3095" s="15" t="n"/>
      <c r="H3095" s="16">
        <f>IF($A3095="","",$D3095+IF($E3095="",0,$E3095)+IF($F3095="",0,$F3095)-IF($G3095="",0,$G3095))</f>
        <v/>
      </c>
      <c r="I3095" s="12" t="n"/>
      <c r="J3095" s="12" t="n"/>
      <c r="K3095" s="12" t="n"/>
      <c r="L3095" s="14" t="n"/>
      <c r="M3095" s="12" t="n"/>
      <c r="N3095" s="12" t="n"/>
      <c r="O3095" s="12" t="n"/>
    </row>
    <row r="3096">
      <c r="A3096" s="12" t="n"/>
      <c r="B3096" s="13">
        <f>IF($A3096="","",IFERROR(INDEX(Emp_Names,MATCH($A3096,Emp_Codes,0)),"NOT FOUND"))</f>
        <v/>
      </c>
      <c r="C3096" s="14" t="n"/>
      <c r="D3096" s="15" t="n"/>
      <c r="E3096" s="15" t="n"/>
      <c r="F3096" s="15" t="n"/>
      <c r="G3096" s="15" t="n"/>
      <c r="H3096" s="16">
        <f>IF($A3096="","",$D3096+IF($E3096="",0,$E3096)+IF($F3096="",0,$F3096)-IF($G3096="",0,$G3096))</f>
        <v/>
      </c>
      <c r="I3096" s="12" t="n"/>
      <c r="J3096" s="12" t="n"/>
      <c r="K3096" s="12" t="n"/>
      <c r="L3096" s="14" t="n"/>
      <c r="M3096" s="12" t="n"/>
      <c r="N3096" s="12" t="n"/>
      <c r="O3096" s="12" t="n"/>
    </row>
    <row r="3097">
      <c r="A3097" s="12" t="n"/>
      <c r="B3097" s="13">
        <f>IF($A3097="","",IFERROR(INDEX(Emp_Names,MATCH($A3097,Emp_Codes,0)),"NOT FOUND"))</f>
        <v/>
      </c>
      <c r="C3097" s="14" t="n"/>
      <c r="D3097" s="15" t="n"/>
      <c r="E3097" s="15" t="n"/>
      <c r="F3097" s="15" t="n"/>
      <c r="G3097" s="15" t="n"/>
      <c r="H3097" s="16">
        <f>IF($A3097="","",$D3097+IF($E3097="",0,$E3097)+IF($F3097="",0,$F3097)-IF($G3097="",0,$G3097))</f>
        <v/>
      </c>
      <c r="I3097" s="12" t="n"/>
      <c r="J3097" s="12" t="n"/>
      <c r="K3097" s="12" t="n"/>
      <c r="L3097" s="14" t="n"/>
      <c r="M3097" s="12" t="n"/>
      <c r="N3097" s="12" t="n"/>
      <c r="O3097" s="12" t="n"/>
    </row>
    <row r="3098">
      <c r="A3098" s="12" t="n"/>
      <c r="B3098" s="13">
        <f>IF($A3098="","",IFERROR(INDEX(Emp_Names,MATCH($A3098,Emp_Codes,0)),"NOT FOUND"))</f>
        <v/>
      </c>
      <c r="C3098" s="14" t="n"/>
      <c r="D3098" s="15" t="n"/>
      <c r="E3098" s="15" t="n"/>
      <c r="F3098" s="15" t="n"/>
      <c r="G3098" s="15" t="n"/>
      <c r="H3098" s="16">
        <f>IF($A3098="","",$D3098+IF($E3098="",0,$E3098)+IF($F3098="",0,$F3098)-IF($G3098="",0,$G3098))</f>
        <v/>
      </c>
      <c r="I3098" s="12" t="n"/>
      <c r="J3098" s="12" t="n"/>
      <c r="K3098" s="12" t="n"/>
      <c r="L3098" s="14" t="n"/>
      <c r="M3098" s="12" t="n"/>
      <c r="N3098" s="12" t="n"/>
      <c r="O3098" s="12" t="n"/>
    </row>
    <row r="3099">
      <c r="A3099" s="12" t="n"/>
      <c r="B3099" s="13">
        <f>IF($A3099="","",IFERROR(INDEX(Emp_Names,MATCH($A3099,Emp_Codes,0)),"NOT FOUND"))</f>
        <v/>
      </c>
      <c r="C3099" s="14" t="n"/>
      <c r="D3099" s="15" t="n"/>
      <c r="E3099" s="15" t="n"/>
      <c r="F3099" s="15" t="n"/>
      <c r="G3099" s="15" t="n"/>
      <c r="H3099" s="16">
        <f>IF($A3099="","",$D3099+IF($E3099="",0,$E3099)+IF($F3099="",0,$F3099)-IF($G3099="",0,$G3099))</f>
        <v/>
      </c>
      <c r="I3099" s="12" t="n"/>
      <c r="J3099" s="12" t="n"/>
      <c r="K3099" s="12" t="n"/>
      <c r="L3099" s="14" t="n"/>
      <c r="M3099" s="12" t="n"/>
      <c r="N3099" s="12" t="n"/>
      <c r="O3099" s="12" t="n"/>
    </row>
    <row r="3100">
      <c r="A3100" s="12" t="n"/>
      <c r="B3100" s="13">
        <f>IF($A3100="","",IFERROR(INDEX(Emp_Names,MATCH($A3100,Emp_Codes,0)),"NOT FOUND"))</f>
        <v/>
      </c>
      <c r="C3100" s="14" t="n"/>
      <c r="D3100" s="15" t="n"/>
      <c r="E3100" s="15" t="n"/>
      <c r="F3100" s="15" t="n"/>
      <c r="G3100" s="15" t="n"/>
      <c r="H3100" s="16">
        <f>IF($A3100="","",$D3100+IF($E3100="",0,$E3100)+IF($F3100="",0,$F3100)-IF($G3100="",0,$G3100))</f>
        <v/>
      </c>
      <c r="I3100" s="12" t="n"/>
      <c r="J3100" s="12" t="n"/>
      <c r="K3100" s="12" t="n"/>
      <c r="L3100" s="14" t="n"/>
      <c r="M3100" s="12" t="n"/>
      <c r="N3100" s="12" t="n"/>
      <c r="O3100" s="12" t="n"/>
    </row>
    <row r="3101">
      <c r="A3101" s="12" t="n"/>
      <c r="B3101" s="13">
        <f>IF($A3101="","",IFERROR(INDEX(Emp_Names,MATCH($A3101,Emp_Codes,0)),"NOT FOUND"))</f>
        <v/>
      </c>
      <c r="C3101" s="14" t="n"/>
      <c r="D3101" s="15" t="n"/>
      <c r="E3101" s="15" t="n"/>
      <c r="F3101" s="15" t="n"/>
      <c r="G3101" s="15" t="n"/>
      <c r="H3101" s="16">
        <f>IF($A3101="","",$D3101+IF($E3101="",0,$E3101)+IF($F3101="",0,$F3101)-IF($G3101="",0,$G3101))</f>
        <v/>
      </c>
      <c r="I3101" s="12" t="n"/>
      <c r="J3101" s="12" t="n"/>
      <c r="K3101" s="12" t="n"/>
      <c r="L3101" s="14" t="n"/>
      <c r="M3101" s="12" t="n"/>
      <c r="N3101" s="12" t="n"/>
      <c r="O3101" s="12" t="n"/>
    </row>
    <row r="3102">
      <c r="A3102" s="12" t="n"/>
      <c r="B3102" s="13">
        <f>IF($A3102="","",IFERROR(INDEX(Emp_Names,MATCH($A3102,Emp_Codes,0)),"NOT FOUND"))</f>
        <v/>
      </c>
      <c r="C3102" s="14" t="n"/>
      <c r="D3102" s="15" t="n"/>
      <c r="E3102" s="15" t="n"/>
      <c r="F3102" s="15" t="n"/>
      <c r="G3102" s="15" t="n"/>
      <c r="H3102" s="16">
        <f>IF($A3102="","",$D3102+IF($E3102="",0,$E3102)+IF($F3102="",0,$F3102)-IF($G3102="",0,$G3102))</f>
        <v/>
      </c>
      <c r="I3102" s="12" t="n"/>
      <c r="J3102" s="12" t="n"/>
      <c r="K3102" s="12" t="n"/>
      <c r="L3102" s="14" t="n"/>
      <c r="M3102" s="12" t="n"/>
      <c r="N3102" s="12" t="n"/>
      <c r="O3102" s="12" t="n"/>
    </row>
    <row r="3103">
      <c r="A3103" s="12" t="n"/>
      <c r="B3103" s="13">
        <f>IF($A3103="","",IFERROR(INDEX(Emp_Names,MATCH($A3103,Emp_Codes,0)),"NOT FOUND"))</f>
        <v/>
      </c>
      <c r="C3103" s="14" t="n"/>
      <c r="D3103" s="15" t="n"/>
      <c r="E3103" s="15" t="n"/>
      <c r="F3103" s="15" t="n"/>
      <c r="G3103" s="15" t="n"/>
      <c r="H3103" s="16">
        <f>IF($A3103="","",$D3103+IF($E3103="",0,$E3103)+IF($F3103="",0,$F3103)-IF($G3103="",0,$G3103))</f>
        <v/>
      </c>
      <c r="I3103" s="12" t="n"/>
      <c r="J3103" s="12" t="n"/>
      <c r="K3103" s="12" t="n"/>
      <c r="L3103" s="14" t="n"/>
      <c r="M3103" s="12" t="n"/>
      <c r="N3103" s="12" t="n"/>
      <c r="O3103" s="12" t="n"/>
    </row>
    <row r="3104">
      <c r="A3104" s="12" t="n"/>
      <c r="B3104" s="13">
        <f>IF($A3104="","",IFERROR(INDEX(Emp_Names,MATCH($A3104,Emp_Codes,0)),"NOT FOUND"))</f>
        <v/>
      </c>
      <c r="C3104" s="14" t="n"/>
      <c r="D3104" s="15" t="n"/>
      <c r="E3104" s="15" t="n"/>
      <c r="F3104" s="15" t="n"/>
      <c r="G3104" s="15" t="n"/>
      <c r="H3104" s="16">
        <f>IF($A3104="","",$D3104+IF($E3104="",0,$E3104)+IF($F3104="",0,$F3104)-IF($G3104="",0,$G3104))</f>
        <v/>
      </c>
      <c r="I3104" s="12" t="n"/>
      <c r="J3104" s="12" t="n"/>
      <c r="K3104" s="12" t="n"/>
      <c r="L3104" s="14" t="n"/>
      <c r="M3104" s="12" t="n"/>
      <c r="N3104" s="12" t="n"/>
      <c r="O3104" s="12" t="n"/>
    </row>
    <row r="3105">
      <c r="A3105" s="12" t="n"/>
      <c r="B3105" s="13">
        <f>IF($A3105="","",IFERROR(INDEX(Emp_Names,MATCH($A3105,Emp_Codes,0)),"NOT FOUND"))</f>
        <v/>
      </c>
      <c r="C3105" s="14" t="n"/>
      <c r="D3105" s="15" t="n"/>
      <c r="E3105" s="15" t="n"/>
      <c r="F3105" s="15" t="n"/>
      <c r="G3105" s="15" t="n"/>
      <c r="H3105" s="16">
        <f>IF($A3105="","",$D3105+IF($E3105="",0,$E3105)+IF($F3105="",0,$F3105)-IF($G3105="",0,$G3105))</f>
        <v/>
      </c>
      <c r="I3105" s="12" t="n"/>
      <c r="J3105" s="12" t="n"/>
      <c r="K3105" s="12" t="n"/>
      <c r="L3105" s="14" t="n"/>
      <c r="M3105" s="12" t="n"/>
      <c r="N3105" s="12" t="n"/>
      <c r="O3105" s="12" t="n"/>
    </row>
    <row r="3106">
      <c r="A3106" s="12" t="n"/>
      <c r="B3106" s="13">
        <f>IF($A3106="","",IFERROR(INDEX(Emp_Names,MATCH($A3106,Emp_Codes,0)),"NOT FOUND"))</f>
        <v/>
      </c>
      <c r="C3106" s="14" t="n"/>
      <c r="D3106" s="15" t="n"/>
      <c r="E3106" s="15" t="n"/>
      <c r="F3106" s="15" t="n"/>
      <c r="G3106" s="15" t="n"/>
      <c r="H3106" s="16">
        <f>IF($A3106="","",$D3106+IF($E3106="",0,$E3106)+IF($F3106="",0,$F3106)-IF($G3106="",0,$G3106))</f>
        <v/>
      </c>
      <c r="I3106" s="12" t="n"/>
      <c r="J3106" s="12" t="n"/>
      <c r="K3106" s="12" t="n"/>
      <c r="L3106" s="14" t="n"/>
      <c r="M3106" s="12" t="n"/>
      <c r="N3106" s="12" t="n"/>
      <c r="O3106" s="12" t="n"/>
    </row>
    <row r="3107">
      <c r="A3107" s="12" t="n"/>
      <c r="B3107" s="13">
        <f>IF($A3107="","",IFERROR(INDEX(Emp_Names,MATCH($A3107,Emp_Codes,0)),"NOT FOUND"))</f>
        <v/>
      </c>
      <c r="C3107" s="14" t="n"/>
      <c r="D3107" s="15" t="n"/>
      <c r="E3107" s="15" t="n"/>
      <c r="F3107" s="15" t="n"/>
      <c r="G3107" s="15" t="n"/>
      <c r="H3107" s="16">
        <f>IF($A3107="","",$D3107+IF($E3107="",0,$E3107)+IF($F3107="",0,$F3107)-IF($G3107="",0,$G3107))</f>
        <v/>
      </c>
      <c r="I3107" s="12" t="n"/>
      <c r="J3107" s="12" t="n"/>
      <c r="K3107" s="12" t="n"/>
      <c r="L3107" s="14" t="n"/>
      <c r="M3107" s="12" t="n"/>
      <c r="N3107" s="12" t="n"/>
      <c r="O3107" s="12" t="n"/>
    </row>
    <row r="3108">
      <c r="A3108" s="12" t="n"/>
      <c r="B3108" s="13">
        <f>IF($A3108="","",IFERROR(INDEX(Emp_Names,MATCH($A3108,Emp_Codes,0)),"NOT FOUND"))</f>
        <v/>
      </c>
      <c r="C3108" s="14" t="n"/>
      <c r="D3108" s="15" t="n"/>
      <c r="E3108" s="15" t="n"/>
      <c r="F3108" s="15" t="n"/>
      <c r="G3108" s="15" t="n"/>
      <c r="H3108" s="16">
        <f>IF($A3108="","",$D3108+IF($E3108="",0,$E3108)+IF($F3108="",0,$F3108)-IF($G3108="",0,$G3108))</f>
        <v/>
      </c>
      <c r="I3108" s="12" t="n"/>
      <c r="J3108" s="12" t="n"/>
      <c r="K3108" s="12" t="n"/>
      <c r="L3108" s="14" t="n"/>
      <c r="M3108" s="12" t="n"/>
      <c r="N3108" s="12" t="n"/>
      <c r="O3108" s="12" t="n"/>
    </row>
    <row r="3109">
      <c r="A3109" s="12" t="n"/>
      <c r="B3109" s="13">
        <f>IF($A3109="","",IFERROR(INDEX(Emp_Names,MATCH($A3109,Emp_Codes,0)),"NOT FOUND"))</f>
        <v/>
      </c>
      <c r="C3109" s="14" t="n"/>
      <c r="D3109" s="15" t="n"/>
      <c r="E3109" s="15" t="n"/>
      <c r="F3109" s="15" t="n"/>
      <c r="G3109" s="15" t="n"/>
      <c r="H3109" s="16">
        <f>IF($A3109="","",$D3109+IF($E3109="",0,$E3109)+IF($F3109="",0,$F3109)-IF($G3109="",0,$G3109))</f>
        <v/>
      </c>
      <c r="I3109" s="12" t="n"/>
      <c r="J3109" s="12" t="n"/>
      <c r="K3109" s="12" t="n"/>
      <c r="L3109" s="14" t="n"/>
      <c r="M3109" s="12" t="n"/>
      <c r="N3109" s="12" t="n"/>
      <c r="O3109" s="12" t="n"/>
    </row>
    <row r="3110">
      <c r="A3110" s="12" t="n"/>
      <c r="B3110" s="13">
        <f>IF($A3110="","",IFERROR(INDEX(Emp_Names,MATCH($A3110,Emp_Codes,0)),"NOT FOUND"))</f>
        <v/>
      </c>
      <c r="C3110" s="14" t="n"/>
      <c r="D3110" s="15" t="n"/>
      <c r="E3110" s="15" t="n"/>
      <c r="F3110" s="15" t="n"/>
      <c r="G3110" s="15" t="n"/>
      <c r="H3110" s="16">
        <f>IF($A3110="","",$D3110+IF($E3110="",0,$E3110)+IF($F3110="",0,$F3110)-IF($G3110="",0,$G3110))</f>
        <v/>
      </c>
      <c r="I3110" s="12" t="n"/>
      <c r="J3110" s="12" t="n"/>
      <c r="K3110" s="12" t="n"/>
      <c r="L3110" s="14" t="n"/>
      <c r="M3110" s="12" t="n"/>
      <c r="N3110" s="12" t="n"/>
      <c r="O3110" s="12" t="n"/>
    </row>
    <row r="3111">
      <c r="A3111" s="12" t="n"/>
      <c r="B3111" s="13">
        <f>IF($A3111="","",IFERROR(INDEX(Emp_Names,MATCH($A3111,Emp_Codes,0)),"NOT FOUND"))</f>
        <v/>
      </c>
      <c r="C3111" s="14" t="n"/>
      <c r="D3111" s="15" t="n"/>
      <c r="E3111" s="15" t="n"/>
      <c r="F3111" s="15" t="n"/>
      <c r="G3111" s="15" t="n"/>
      <c r="H3111" s="16">
        <f>IF($A3111="","",$D3111+IF($E3111="",0,$E3111)+IF($F3111="",0,$F3111)-IF($G3111="",0,$G3111))</f>
        <v/>
      </c>
      <c r="I3111" s="12" t="n"/>
      <c r="J3111" s="12" t="n"/>
      <c r="K3111" s="12" t="n"/>
      <c r="L3111" s="14" t="n"/>
      <c r="M3111" s="12" t="n"/>
      <c r="N3111" s="12" t="n"/>
      <c r="O3111" s="12" t="n"/>
    </row>
    <row r="3112">
      <c r="A3112" s="12" t="n"/>
      <c r="B3112" s="13">
        <f>IF($A3112="","",IFERROR(INDEX(Emp_Names,MATCH($A3112,Emp_Codes,0)),"NOT FOUND"))</f>
        <v/>
      </c>
      <c r="C3112" s="14" t="n"/>
      <c r="D3112" s="15" t="n"/>
      <c r="E3112" s="15" t="n"/>
      <c r="F3112" s="15" t="n"/>
      <c r="G3112" s="15" t="n"/>
      <c r="H3112" s="16">
        <f>IF($A3112="","",$D3112+IF($E3112="",0,$E3112)+IF($F3112="",0,$F3112)-IF($G3112="",0,$G3112))</f>
        <v/>
      </c>
      <c r="I3112" s="12" t="n"/>
      <c r="J3112" s="12" t="n"/>
      <c r="K3112" s="12" t="n"/>
      <c r="L3112" s="14" t="n"/>
      <c r="M3112" s="12" t="n"/>
      <c r="N3112" s="12" t="n"/>
      <c r="O3112" s="12" t="n"/>
    </row>
    <row r="3113">
      <c r="A3113" s="12" t="n"/>
      <c r="B3113" s="13">
        <f>IF($A3113="","",IFERROR(INDEX(Emp_Names,MATCH($A3113,Emp_Codes,0)),"NOT FOUND"))</f>
        <v/>
      </c>
      <c r="C3113" s="14" t="n"/>
      <c r="D3113" s="15" t="n"/>
      <c r="E3113" s="15" t="n"/>
      <c r="F3113" s="15" t="n"/>
      <c r="G3113" s="15" t="n"/>
      <c r="H3113" s="16">
        <f>IF($A3113="","",$D3113+IF($E3113="",0,$E3113)+IF($F3113="",0,$F3113)-IF($G3113="",0,$G3113))</f>
        <v/>
      </c>
      <c r="I3113" s="12" t="n"/>
      <c r="J3113" s="12" t="n"/>
      <c r="K3113" s="12" t="n"/>
      <c r="L3113" s="14" t="n"/>
      <c r="M3113" s="12" t="n"/>
      <c r="N3113" s="12" t="n"/>
      <c r="O3113" s="12" t="n"/>
    </row>
    <row r="3114">
      <c r="A3114" s="12" t="n"/>
      <c r="B3114" s="13">
        <f>IF($A3114="","",IFERROR(INDEX(Emp_Names,MATCH($A3114,Emp_Codes,0)),"NOT FOUND"))</f>
        <v/>
      </c>
      <c r="C3114" s="14" t="n"/>
      <c r="D3114" s="15" t="n"/>
      <c r="E3114" s="15" t="n"/>
      <c r="F3114" s="15" t="n"/>
      <c r="G3114" s="15" t="n"/>
      <c r="H3114" s="16">
        <f>IF($A3114="","",$D3114+IF($E3114="",0,$E3114)+IF($F3114="",0,$F3114)-IF($G3114="",0,$G3114))</f>
        <v/>
      </c>
      <c r="I3114" s="12" t="n"/>
      <c r="J3114" s="12" t="n"/>
      <c r="K3114" s="12" t="n"/>
      <c r="L3114" s="14" t="n"/>
      <c r="M3114" s="12" t="n"/>
      <c r="N3114" s="12" t="n"/>
      <c r="O3114" s="12" t="n"/>
    </row>
    <row r="3115">
      <c r="A3115" s="12" t="n"/>
      <c r="B3115" s="13">
        <f>IF($A3115="","",IFERROR(INDEX(Emp_Names,MATCH($A3115,Emp_Codes,0)),"NOT FOUND"))</f>
        <v/>
      </c>
      <c r="C3115" s="14" t="n"/>
      <c r="D3115" s="15" t="n"/>
      <c r="E3115" s="15" t="n"/>
      <c r="F3115" s="15" t="n"/>
      <c r="G3115" s="15" t="n"/>
      <c r="H3115" s="16">
        <f>IF($A3115="","",$D3115+IF($E3115="",0,$E3115)+IF($F3115="",0,$F3115)-IF($G3115="",0,$G3115))</f>
        <v/>
      </c>
      <c r="I3115" s="12" t="n"/>
      <c r="J3115" s="12" t="n"/>
      <c r="K3115" s="12" t="n"/>
      <c r="L3115" s="14" t="n"/>
      <c r="M3115" s="12" t="n"/>
      <c r="N3115" s="12" t="n"/>
      <c r="O3115" s="12" t="n"/>
    </row>
    <row r="3116">
      <c r="A3116" s="12" t="n"/>
      <c r="B3116" s="13">
        <f>IF($A3116="","",IFERROR(INDEX(Emp_Names,MATCH($A3116,Emp_Codes,0)),"NOT FOUND"))</f>
        <v/>
      </c>
      <c r="C3116" s="14" t="n"/>
      <c r="D3116" s="15" t="n"/>
      <c r="E3116" s="15" t="n"/>
      <c r="F3116" s="15" t="n"/>
      <c r="G3116" s="15" t="n"/>
      <c r="H3116" s="16">
        <f>IF($A3116="","",$D3116+IF($E3116="",0,$E3116)+IF($F3116="",0,$F3116)-IF($G3116="",0,$G3116))</f>
        <v/>
      </c>
      <c r="I3116" s="12" t="n"/>
      <c r="J3116" s="12" t="n"/>
      <c r="K3116" s="12" t="n"/>
      <c r="L3116" s="14" t="n"/>
      <c r="M3116" s="12" t="n"/>
      <c r="N3116" s="12" t="n"/>
      <c r="O3116" s="12" t="n"/>
    </row>
    <row r="3117">
      <c r="A3117" s="12" t="n"/>
      <c r="B3117" s="13">
        <f>IF($A3117="","",IFERROR(INDEX(Emp_Names,MATCH($A3117,Emp_Codes,0)),"NOT FOUND"))</f>
        <v/>
      </c>
      <c r="C3117" s="14" t="n"/>
      <c r="D3117" s="15" t="n"/>
      <c r="E3117" s="15" t="n"/>
      <c r="F3117" s="15" t="n"/>
      <c r="G3117" s="15" t="n"/>
      <c r="H3117" s="16">
        <f>IF($A3117="","",$D3117+IF($E3117="",0,$E3117)+IF($F3117="",0,$F3117)-IF($G3117="",0,$G3117))</f>
        <v/>
      </c>
      <c r="I3117" s="12" t="n"/>
      <c r="J3117" s="12" t="n"/>
      <c r="K3117" s="12" t="n"/>
      <c r="L3117" s="14" t="n"/>
      <c r="M3117" s="12" t="n"/>
      <c r="N3117" s="12" t="n"/>
      <c r="O3117" s="12" t="n"/>
    </row>
    <row r="3118">
      <c r="A3118" s="12" t="n"/>
      <c r="B3118" s="13">
        <f>IF($A3118="","",IFERROR(INDEX(Emp_Names,MATCH($A3118,Emp_Codes,0)),"NOT FOUND"))</f>
        <v/>
      </c>
      <c r="C3118" s="14" t="n"/>
      <c r="D3118" s="15" t="n"/>
      <c r="E3118" s="15" t="n"/>
      <c r="F3118" s="15" t="n"/>
      <c r="G3118" s="15" t="n"/>
      <c r="H3118" s="16">
        <f>IF($A3118="","",$D3118+IF($E3118="",0,$E3118)+IF($F3118="",0,$F3118)-IF($G3118="",0,$G3118))</f>
        <v/>
      </c>
      <c r="I3118" s="12" t="n"/>
      <c r="J3118" s="12" t="n"/>
      <c r="K3118" s="12" t="n"/>
      <c r="L3118" s="14" t="n"/>
      <c r="M3118" s="12" t="n"/>
      <c r="N3118" s="12" t="n"/>
      <c r="O3118" s="12" t="n"/>
    </row>
    <row r="3119">
      <c r="A3119" s="12" t="n"/>
      <c r="B3119" s="13">
        <f>IF($A3119="","",IFERROR(INDEX(Emp_Names,MATCH($A3119,Emp_Codes,0)),"NOT FOUND"))</f>
        <v/>
      </c>
      <c r="C3119" s="14" t="n"/>
      <c r="D3119" s="15" t="n"/>
      <c r="E3119" s="15" t="n"/>
      <c r="F3119" s="15" t="n"/>
      <c r="G3119" s="15" t="n"/>
      <c r="H3119" s="16">
        <f>IF($A3119="","",$D3119+IF($E3119="",0,$E3119)+IF($F3119="",0,$F3119)-IF($G3119="",0,$G3119))</f>
        <v/>
      </c>
      <c r="I3119" s="12" t="n"/>
      <c r="J3119" s="12" t="n"/>
      <c r="K3119" s="12" t="n"/>
      <c r="L3119" s="14" t="n"/>
      <c r="M3119" s="12" t="n"/>
      <c r="N3119" s="12" t="n"/>
      <c r="O3119" s="12" t="n"/>
    </row>
    <row r="3120">
      <c r="A3120" s="12" t="n"/>
      <c r="B3120" s="13">
        <f>IF($A3120="","",IFERROR(INDEX(Emp_Names,MATCH($A3120,Emp_Codes,0)),"NOT FOUND"))</f>
        <v/>
      </c>
      <c r="C3120" s="14" t="n"/>
      <c r="D3120" s="15" t="n"/>
      <c r="E3120" s="15" t="n"/>
      <c r="F3120" s="15" t="n"/>
      <c r="G3120" s="15" t="n"/>
      <c r="H3120" s="16">
        <f>IF($A3120="","",$D3120+IF($E3120="",0,$E3120)+IF($F3120="",0,$F3120)-IF($G3120="",0,$G3120))</f>
        <v/>
      </c>
      <c r="I3120" s="12" t="n"/>
      <c r="J3120" s="12" t="n"/>
      <c r="K3120" s="12" t="n"/>
      <c r="L3120" s="14" t="n"/>
      <c r="M3120" s="12" t="n"/>
      <c r="N3120" s="12" t="n"/>
      <c r="O3120" s="12" t="n"/>
    </row>
    <row r="3121">
      <c r="A3121" s="12" t="n"/>
      <c r="B3121" s="13">
        <f>IF($A3121="","",IFERROR(INDEX(Emp_Names,MATCH($A3121,Emp_Codes,0)),"NOT FOUND"))</f>
        <v/>
      </c>
      <c r="C3121" s="14" t="n"/>
      <c r="D3121" s="15" t="n"/>
      <c r="E3121" s="15" t="n"/>
      <c r="F3121" s="15" t="n"/>
      <c r="G3121" s="15" t="n"/>
      <c r="H3121" s="16">
        <f>IF($A3121="","",$D3121+IF($E3121="",0,$E3121)+IF($F3121="",0,$F3121)-IF($G3121="",0,$G3121))</f>
        <v/>
      </c>
      <c r="I3121" s="12" t="n"/>
      <c r="J3121" s="12" t="n"/>
      <c r="K3121" s="12" t="n"/>
      <c r="L3121" s="14" t="n"/>
      <c r="M3121" s="12" t="n"/>
      <c r="N3121" s="12" t="n"/>
      <c r="O3121" s="12" t="n"/>
    </row>
    <row r="3122">
      <c r="A3122" s="12" t="n"/>
      <c r="B3122" s="13">
        <f>IF($A3122="","",IFERROR(INDEX(Emp_Names,MATCH($A3122,Emp_Codes,0)),"NOT FOUND"))</f>
        <v/>
      </c>
      <c r="C3122" s="14" t="n"/>
      <c r="D3122" s="15" t="n"/>
      <c r="E3122" s="15" t="n"/>
      <c r="F3122" s="15" t="n"/>
      <c r="G3122" s="15" t="n"/>
      <c r="H3122" s="16">
        <f>IF($A3122="","",$D3122+IF($E3122="",0,$E3122)+IF($F3122="",0,$F3122)-IF($G3122="",0,$G3122))</f>
        <v/>
      </c>
      <c r="I3122" s="12" t="n"/>
      <c r="J3122" s="12" t="n"/>
      <c r="K3122" s="12" t="n"/>
      <c r="L3122" s="14" t="n"/>
      <c r="M3122" s="12" t="n"/>
      <c r="N3122" s="12" t="n"/>
      <c r="O3122" s="12" t="n"/>
    </row>
    <row r="3123">
      <c r="A3123" s="12" t="n"/>
      <c r="B3123" s="13">
        <f>IF($A3123="","",IFERROR(INDEX(Emp_Names,MATCH($A3123,Emp_Codes,0)),"NOT FOUND"))</f>
        <v/>
      </c>
      <c r="C3123" s="14" t="n"/>
      <c r="D3123" s="15" t="n"/>
      <c r="E3123" s="15" t="n"/>
      <c r="F3123" s="15" t="n"/>
      <c r="G3123" s="15" t="n"/>
      <c r="H3123" s="16">
        <f>IF($A3123="","",$D3123+IF($E3123="",0,$E3123)+IF($F3123="",0,$F3123)-IF($G3123="",0,$G3123))</f>
        <v/>
      </c>
      <c r="I3123" s="12" t="n"/>
      <c r="J3123" s="12" t="n"/>
      <c r="K3123" s="12" t="n"/>
      <c r="L3123" s="14" t="n"/>
      <c r="M3123" s="12" t="n"/>
      <c r="N3123" s="12" t="n"/>
      <c r="O3123" s="12" t="n"/>
    </row>
    <row r="3124">
      <c r="A3124" s="12" t="n"/>
      <c r="B3124" s="13">
        <f>IF($A3124="","",IFERROR(INDEX(Emp_Names,MATCH($A3124,Emp_Codes,0)),"NOT FOUND"))</f>
        <v/>
      </c>
      <c r="C3124" s="14" t="n"/>
      <c r="D3124" s="15" t="n"/>
      <c r="E3124" s="15" t="n"/>
      <c r="F3124" s="15" t="n"/>
      <c r="G3124" s="15" t="n"/>
      <c r="H3124" s="16">
        <f>IF($A3124="","",$D3124+IF($E3124="",0,$E3124)+IF($F3124="",0,$F3124)-IF($G3124="",0,$G3124))</f>
        <v/>
      </c>
      <c r="I3124" s="12" t="n"/>
      <c r="J3124" s="12" t="n"/>
      <c r="K3124" s="12" t="n"/>
      <c r="L3124" s="14" t="n"/>
      <c r="M3124" s="12" t="n"/>
      <c r="N3124" s="12" t="n"/>
      <c r="O3124" s="12" t="n"/>
    </row>
    <row r="3125">
      <c r="A3125" s="12" t="n"/>
      <c r="B3125" s="13">
        <f>IF($A3125="","",IFERROR(INDEX(Emp_Names,MATCH($A3125,Emp_Codes,0)),"NOT FOUND"))</f>
        <v/>
      </c>
      <c r="C3125" s="14" t="n"/>
      <c r="D3125" s="15" t="n"/>
      <c r="E3125" s="15" t="n"/>
      <c r="F3125" s="15" t="n"/>
      <c r="G3125" s="15" t="n"/>
      <c r="H3125" s="16">
        <f>IF($A3125="","",$D3125+IF($E3125="",0,$E3125)+IF($F3125="",0,$F3125)-IF($G3125="",0,$G3125))</f>
        <v/>
      </c>
      <c r="I3125" s="12" t="n"/>
      <c r="J3125" s="12" t="n"/>
      <c r="K3125" s="12" t="n"/>
      <c r="L3125" s="14" t="n"/>
      <c r="M3125" s="12" t="n"/>
      <c r="N3125" s="12" t="n"/>
      <c r="O3125" s="12" t="n"/>
    </row>
    <row r="3126">
      <c r="A3126" s="12" t="n"/>
      <c r="B3126" s="13">
        <f>IF($A3126="","",IFERROR(INDEX(Emp_Names,MATCH($A3126,Emp_Codes,0)),"NOT FOUND"))</f>
        <v/>
      </c>
      <c r="C3126" s="14" t="n"/>
      <c r="D3126" s="15" t="n"/>
      <c r="E3126" s="15" t="n"/>
      <c r="F3126" s="15" t="n"/>
      <c r="G3126" s="15" t="n"/>
      <c r="H3126" s="16">
        <f>IF($A3126="","",$D3126+IF($E3126="",0,$E3126)+IF($F3126="",0,$F3126)-IF($G3126="",0,$G3126))</f>
        <v/>
      </c>
      <c r="I3126" s="12" t="n"/>
      <c r="J3126" s="12" t="n"/>
      <c r="K3126" s="12" t="n"/>
      <c r="L3126" s="14" t="n"/>
      <c r="M3126" s="12" t="n"/>
      <c r="N3126" s="12" t="n"/>
      <c r="O3126" s="12" t="n"/>
    </row>
    <row r="3127">
      <c r="A3127" s="12" t="n"/>
      <c r="B3127" s="13">
        <f>IF($A3127="","",IFERROR(INDEX(Emp_Names,MATCH($A3127,Emp_Codes,0)),"NOT FOUND"))</f>
        <v/>
      </c>
      <c r="C3127" s="14" t="n"/>
      <c r="D3127" s="15" t="n"/>
      <c r="E3127" s="15" t="n"/>
      <c r="F3127" s="15" t="n"/>
      <c r="G3127" s="15" t="n"/>
      <c r="H3127" s="16">
        <f>IF($A3127="","",$D3127+IF($E3127="",0,$E3127)+IF($F3127="",0,$F3127)-IF($G3127="",0,$G3127))</f>
        <v/>
      </c>
      <c r="I3127" s="12" t="n"/>
      <c r="J3127" s="12" t="n"/>
      <c r="K3127" s="12" t="n"/>
      <c r="L3127" s="14" t="n"/>
      <c r="M3127" s="12" t="n"/>
      <c r="N3127" s="12" t="n"/>
      <c r="O3127" s="12" t="n"/>
    </row>
    <row r="3128">
      <c r="A3128" s="12" t="n"/>
      <c r="B3128" s="13">
        <f>IF($A3128="","",IFERROR(INDEX(Emp_Names,MATCH($A3128,Emp_Codes,0)),"NOT FOUND"))</f>
        <v/>
      </c>
      <c r="C3128" s="14" t="n"/>
      <c r="D3128" s="15" t="n"/>
      <c r="E3128" s="15" t="n"/>
      <c r="F3128" s="15" t="n"/>
      <c r="G3128" s="15" t="n"/>
      <c r="H3128" s="16">
        <f>IF($A3128="","",$D3128+IF($E3128="",0,$E3128)+IF($F3128="",0,$F3128)-IF($G3128="",0,$G3128))</f>
        <v/>
      </c>
      <c r="I3128" s="12" t="n"/>
      <c r="J3128" s="12" t="n"/>
      <c r="K3128" s="12" t="n"/>
      <c r="L3128" s="14" t="n"/>
      <c r="M3128" s="12" t="n"/>
      <c r="N3128" s="12" t="n"/>
      <c r="O3128" s="12" t="n"/>
    </row>
    <row r="3129">
      <c r="A3129" s="12" t="n"/>
      <c r="B3129" s="13">
        <f>IF($A3129="","",IFERROR(INDEX(Emp_Names,MATCH($A3129,Emp_Codes,0)),"NOT FOUND"))</f>
        <v/>
      </c>
      <c r="C3129" s="14" t="n"/>
      <c r="D3129" s="15" t="n"/>
      <c r="E3129" s="15" t="n"/>
      <c r="F3129" s="15" t="n"/>
      <c r="G3129" s="15" t="n"/>
      <c r="H3129" s="16">
        <f>IF($A3129="","",$D3129+IF($E3129="",0,$E3129)+IF($F3129="",0,$F3129)-IF($G3129="",0,$G3129))</f>
        <v/>
      </c>
      <c r="I3129" s="12" t="n"/>
      <c r="J3129" s="12" t="n"/>
      <c r="K3129" s="12" t="n"/>
      <c r="L3129" s="14" t="n"/>
      <c r="M3129" s="12" t="n"/>
      <c r="N3129" s="12" t="n"/>
      <c r="O3129" s="12" t="n"/>
    </row>
    <row r="3130">
      <c r="A3130" s="12" t="n"/>
      <c r="B3130" s="13">
        <f>IF($A3130="","",IFERROR(INDEX(Emp_Names,MATCH($A3130,Emp_Codes,0)),"NOT FOUND"))</f>
        <v/>
      </c>
      <c r="C3130" s="14" t="n"/>
      <c r="D3130" s="15" t="n"/>
      <c r="E3130" s="15" t="n"/>
      <c r="F3130" s="15" t="n"/>
      <c r="G3130" s="15" t="n"/>
      <c r="H3130" s="16">
        <f>IF($A3130="","",$D3130+IF($E3130="",0,$E3130)+IF($F3130="",0,$F3130)-IF($G3130="",0,$G3130))</f>
        <v/>
      </c>
      <c r="I3130" s="12" t="n"/>
      <c r="J3130" s="12" t="n"/>
      <c r="K3130" s="12" t="n"/>
      <c r="L3130" s="14" t="n"/>
      <c r="M3130" s="12" t="n"/>
      <c r="N3130" s="12" t="n"/>
      <c r="O3130" s="12" t="n"/>
    </row>
    <row r="3131">
      <c r="A3131" s="12" t="n"/>
      <c r="B3131" s="13">
        <f>IF($A3131="","",IFERROR(INDEX(Emp_Names,MATCH($A3131,Emp_Codes,0)),"NOT FOUND"))</f>
        <v/>
      </c>
      <c r="C3131" s="14" t="n"/>
      <c r="D3131" s="15" t="n"/>
      <c r="E3131" s="15" t="n"/>
      <c r="F3131" s="15" t="n"/>
      <c r="G3131" s="15" t="n"/>
      <c r="H3131" s="16">
        <f>IF($A3131="","",$D3131+IF($E3131="",0,$E3131)+IF($F3131="",0,$F3131)-IF($G3131="",0,$G3131))</f>
        <v/>
      </c>
      <c r="I3131" s="12" t="n"/>
      <c r="J3131" s="12" t="n"/>
      <c r="K3131" s="12" t="n"/>
      <c r="L3131" s="14" t="n"/>
      <c r="M3131" s="12" t="n"/>
      <c r="N3131" s="12" t="n"/>
      <c r="O3131" s="12" t="n"/>
    </row>
    <row r="3132">
      <c r="A3132" s="12" t="n"/>
      <c r="B3132" s="13">
        <f>IF($A3132="","",IFERROR(INDEX(Emp_Names,MATCH($A3132,Emp_Codes,0)),"NOT FOUND"))</f>
        <v/>
      </c>
      <c r="C3132" s="14" t="n"/>
      <c r="D3132" s="15" t="n"/>
      <c r="E3132" s="15" t="n"/>
      <c r="F3132" s="15" t="n"/>
      <c r="G3132" s="15" t="n"/>
      <c r="H3132" s="16">
        <f>IF($A3132="","",$D3132+IF($E3132="",0,$E3132)+IF($F3132="",0,$F3132)-IF($G3132="",0,$G3132))</f>
        <v/>
      </c>
      <c r="I3132" s="12" t="n"/>
      <c r="J3132" s="12" t="n"/>
      <c r="K3132" s="12" t="n"/>
      <c r="L3132" s="14" t="n"/>
      <c r="M3132" s="12" t="n"/>
      <c r="N3132" s="12" t="n"/>
      <c r="O3132" s="12" t="n"/>
    </row>
    <row r="3133">
      <c r="A3133" s="12" t="n"/>
      <c r="B3133" s="13">
        <f>IF($A3133="","",IFERROR(INDEX(Emp_Names,MATCH($A3133,Emp_Codes,0)),"NOT FOUND"))</f>
        <v/>
      </c>
      <c r="C3133" s="14" t="n"/>
      <c r="D3133" s="15" t="n"/>
      <c r="E3133" s="15" t="n"/>
      <c r="F3133" s="15" t="n"/>
      <c r="G3133" s="15" t="n"/>
      <c r="H3133" s="16">
        <f>IF($A3133="","",$D3133+IF($E3133="",0,$E3133)+IF($F3133="",0,$F3133)-IF($G3133="",0,$G3133))</f>
        <v/>
      </c>
      <c r="I3133" s="12" t="n"/>
      <c r="J3133" s="12" t="n"/>
      <c r="K3133" s="12" t="n"/>
      <c r="L3133" s="14" t="n"/>
      <c r="M3133" s="12" t="n"/>
      <c r="N3133" s="12" t="n"/>
      <c r="O3133" s="12" t="n"/>
    </row>
    <row r="3134">
      <c r="A3134" s="12" t="n"/>
      <c r="B3134" s="13">
        <f>IF($A3134="","",IFERROR(INDEX(Emp_Names,MATCH($A3134,Emp_Codes,0)),"NOT FOUND"))</f>
        <v/>
      </c>
      <c r="C3134" s="14" t="n"/>
      <c r="D3134" s="15" t="n"/>
      <c r="E3134" s="15" t="n"/>
      <c r="F3134" s="15" t="n"/>
      <c r="G3134" s="15" t="n"/>
      <c r="H3134" s="16">
        <f>IF($A3134="","",$D3134+IF($E3134="",0,$E3134)+IF($F3134="",0,$F3134)-IF($G3134="",0,$G3134))</f>
        <v/>
      </c>
      <c r="I3134" s="12" t="n"/>
      <c r="J3134" s="12" t="n"/>
      <c r="K3134" s="12" t="n"/>
      <c r="L3134" s="14" t="n"/>
      <c r="M3134" s="12" t="n"/>
      <c r="N3134" s="12" t="n"/>
      <c r="O3134" s="12" t="n"/>
    </row>
    <row r="3135">
      <c r="A3135" s="12" t="n"/>
      <c r="B3135" s="13">
        <f>IF($A3135="","",IFERROR(INDEX(Emp_Names,MATCH($A3135,Emp_Codes,0)),"NOT FOUND"))</f>
        <v/>
      </c>
      <c r="C3135" s="14" t="n"/>
      <c r="D3135" s="15" t="n"/>
      <c r="E3135" s="15" t="n"/>
      <c r="F3135" s="15" t="n"/>
      <c r="G3135" s="15" t="n"/>
      <c r="H3135" s="16">
        <f>IF($A3135="","",$D3135+IF($E3135="",0,$E3135)+IF($F3135="",0,$F3135)-IF($G3135="",0,$G3135))</f>
        <v/>
      </c>
      <c r="I3135" s="12" t="n"/>
      <c r="J3135" s="12" t="n"/>
      <c r="K3135" s="12" t="n"/>
      <c r="L3135" s="14" t="n"/>
      <c r="M3135" s="12" t="n"/>
      <c r="N3135" s="12" t="n"/>
      <c r="O3135" s="12" t="n"/>
    </row>
    <row r="3136">
      <c r="A3136" s="12" t="n"/>
      <c r="B3136" s="13">
        <f>IF($A3136="","",IFERROR(INDEX(Emp_Names,MATCH($A3136,Emp_Codes,0)),"NOT FOUND"))</f>
        <v/>
      </c>
      <c r="C3136" s="14" t="n"/>
      <c r="D3136" s="15" t="n"/>
      <c r="E3136" s="15" t="n"/>
      <c r="F3136" s="15" t="n"/>
      <c r="G3136" s="15" t="n"/>
      <c r="H3136" s="16">
        <f>IF($A3136="","",$D3136+IF($E3136="",0,$E3136)+IF($F3136="",0,$F3136)-IF($G3136="",0,$G3136))</f>
        <v/>
      </c>
      <c r="I3136" s="12" t="n"/>
      <c r="J3136" s="12" t="n"/>
      <c r="K3136" s="12" t="n"/>
      <c r="L3136" s="14" t="n"/>
      <c r="M3136" s="12" t="n"/>
      <c r="N3136" s="12" t="n"/>
      <c r="O3136" s="12" t="n"/>
    </row>
    <row r="3137">
      <c r="A3137" s="12" t="n"/>
      <c r="B3137" s="13">
        <f>IF($A3137="","",IFERROR(INDEX(Emp_Names,MATCH($A3137,Emp_Codes,0)),"NOT FOUND"))</f>
        <v/>
      </c>
      <c r="C3137" s="14" t="n"/>
      <c r="D3137" s="15" t="n"/>
      <c r="E3137" s="15" t="n"/>
      <c r="F3137" s="15" t="n"/>
      <c r="G3137" s="15" t="n"/>
      <c r="H3137" s="16">
        <f>IF($A3137="","",$D3137+IF($E3137="",0,$E3137)+IF($F3137="",0,$F3137)-IF($G3137="",0,$G3137))</f>
        <v/>
      </c>
      <c r="I3137" s="12" t="n"/>
      <c r="J3137" s="12" t="n"/>
      <c r="K3137" s="12" t="n"/>
      <c r="L3137" s="14" t="n"/>
      <c r="M3137" s="12" t="n"/>
      <c r="N3137" s="12" t="n"/>
      <c r="O3137" s="12" t="n"/>
    </row>
    <row r="3138">
      <c r="A3138" s="12" t="n"/>
      <c r="B3138" s="13">
        <f>IF($A3138="","",IFERROR(INDEX(Emp_Names,MATCH($A3138,Emp_Codes,0)),"NOT FOUND"))</f>
        <v/>
      </c>
      <c r="C3138" s="14" t="n"/>
      <c r="D3138" s="15" t="n"/>
      <c r="E3138" s="15" t="n"/>
      <c r="F3138" s="15" t="n"/>
      <c r="G3138" s="15" t="n"/>
      <c r="H3138" s="16">
        <f>IF($A3138="","",$D3138+IF($E3138="",0,$E3138)+IF($F3138="",0,$F3138)-IF($G3138="",0,$G3138))</f>
        <v/>
      </c>
      <c r="I3138" s="12" t="n"/>
      <c r="J3138" s="12" t="n"/>
      <c r="K3138" s="12" t="n"/>
      <c r="L3138" s="14" t="n"/>
      <c r="M3138" s="12" t="n"/>
      <c r="N3138" s="12" t="n"/>
      <c r="O3138" s="12" t="n"/>
    </row>
    <row r="3139">
      <c r="A3139" s="12" t="n"/>
      <c r="B3139" s="13">
        <f>IF($A3139="","",IFERROR(INDEX(Emp_Names,MATCH($A3139,Emp_Codes,0)),"NOT FOUND"))</f>
        <v/>
      </c>
      <c r="C3139" s="14" t="n"/>
      <c r="D3139" s="15" t="n"/>
      <c r="E3139" s="15" t="n"/>
      <c r="F3139" s="15" t="n"/>
      <c r="G3139" s="15" t="n"/>
      <c r="H3139" s="16">
        <f>IF($A3139="","",$D3139+IF($E3139="",0,$E3139)+IF($F3139="",0,$F3139)-IF($G3139="",0,$G3139))</f>
        <v/>
      </c>
      <c r="I3139" s="12" t="n"/>
      <c r="J3139" s="12" t="n"/>
      <c r="K3139" s="12" t="n"/>
      <c r="L3139" s="14" t="n"/>
      <c r="M3139" s="12" t="n"/>
      <c r="N3139" s="12" t="n"/>
      <c r="O3139" s="12" t="n"/>
    </row>
    <row r="3140">
      <c r="A3140" s="12" t="n"/>
      <c r="B3140" s="13">
        <f>IF($A3140="","",IFERROR(INDEX(Emp_Names,MATCH($A3140,Emp_Codes,0)),"NOT FOUND"))</f>
        <v/>
      </c>
      <c r="C3140" s="14" t="n"/>
      <c r="D3140" s="15" t="n"/>
      <c r="E3140" s="15" t="n"/>
      <c r="F3140" s="15" t="n"/>
      <c r="G3140" s="15" t="n"/>
      <c r="H3140" s="16">
        <f>IF($A3140="","",$D3140+IF($E3140="",0,$E3140)+IF($F3140="",0,$F3140)-IF($G3140="",0,$G3140))</f>
        <v/>
      </c>
      <c r="I3140" s="12" t="n"/>
      <c r="J3140" s="12" t="n"/>
      <c r="K3140" s="12" t="n"/>
      <c r="L3140" s="14" t="n"/>
      <c r="M3140" s="12" t="n"/>
      <c r="N3140" s="12" t="n"/>
      <c r="O3140" s="12" t="n"/>
    </row>
    <row r="3141">
      <c r="A3141" s="12" t="n"/>
      <c r="B3141" s="13">
        <f>IF($A3141="","",IFERROR(INDEX(Emp_Names,MATCH($A3141,Emp_Codes,0)),"NOT FOUND"))</f>
        <v/>
      </c>
      <c r="C3141" s="14" t="n"/>
      <c r="D3141" s="15" t="n"/>
      <c r="E3141" s="15" t="n"/>
      <c r="F3141" s="15" t="n"/>
      <c r="G3141" s="15" t="n"/>
      <c r="H3141" s="16">
        <f>IF($A3141="","",$D3141+IF($E3141="",0,$E3141)+IF($F3141="",0,$F3141)-IF($G3141="",0,$G3141))</f>
        <v/>
      </c>
      <c r="I3141" s="12" t="n"/>
      <c r="J3141" s="12" t="n"/>
      <c r="K3141" s="12" t="n"/>
      <c r="L3141" s="14" t="n"/>
      <c r="M3141" s="12" t="n"/>
      <c r="N3141" s="12" t="n"/>
      <c r="O3141" s="12" t="n"/>
    </row>
    <row r="3142">
      <c r="A3142" s="12" t="n"/>
      <c r="B3142" s="13">
        <f>IF($A3142="","",IFERROR(INDEX(Emp_Names,MATCH($A3142,Emp_Codes,0)),"NOT FOUND"))</f>
        <v/>
      </c>
      <c r="C3142" s="14" t="n"/>
      <c r="D3142" s="15" t="n"/>
      <c r="E3142" s="15" t="n"/>
      <c r="F3142" s="15" t="n"/>
      <c r="G3142" s="15" t="n"/>
      <c r="H3142" s="16">
        <f>IF($A3142="","",$D3142+IF($E3142="",0,$E3142)+IF($F3142="",0,$F3142)-IF($G3142="",0,$G3142))</f>
        <v/>
      </c>
      <c r="I3142" s="12" t="n"/>
      <c r="J3142" s="12" t="n"/>
      <c r="K3142" s="12" t="n"/>
      <c r="L3142" s="14" t="n"/>
      <c r="M3142" s="12" t="n"/>
      <c r="N3142" s="12" t="n"/>
      <c r="O3142" s="12" t="n"/>
    </row>
    <row r="3143">
      <c r="A3143" s="12" t="n"/>
      <c r="B3143" s="13">
        <f>IF($A3143="","",IFERROR(INDEX(Emp_Names,MATCH($A3143,Emp_Codes,0)),"NOT FOUND"))</f>
        <v/>
      </c>
      <c r="C3143" s="14" t="n"/>
      <c r="D3143" s="15" t="n"/>
      <c r="E3143" s="15" t="n"/>
      <c r="F3143" s="15" t="n"/>
      <c r="G3143" s="15" t="n"/>
      <c r="H3143" s="16">
        <f>IF($A3143="","",$D3143+IF($E3143="",0,$E3143)+IF($F3143="",0,$F3143)-IF($G3143="",0,$G3143))</f>
        <v/>
      </c>
      <c r="I3143" s="12" t="n"/>
      <c r="J3143" s="12" t="n"/>
      <c r="K3143" s="12" t="n"/>
      <c r="L3143" s="14" t="n"/>
      <c r="M3143" s="12" t="n"/>
      <c r="N3143" s="12" t="n"/>
      <c r="O3143" s="12" t="n"/>
    </row>
    <row r="3144">
      <c r="A3144" s="12" t="n"/>
      <c r="B3144" s="13">
        <f>IF($A3144="","",IFERROR(INDEX(Emp_Names,MATCH($A3144,Emp_Codes,0)),"NOT FOUND"))</f>
        <v/>
      </c>
      <c r="C3144" s="14" t="n"/>
      <c r="D3144" s="15" t="n"/>
      <c r="E3144" s="15" t="n"/>
      <c r="F3144" s="15" t="n"/>
      <c r="G3144" s="15" t="n"/>
      <c r="H3144" s="16">
        <f>IF($A3144="","",$D3144+IF($E3144="",0,$E3144)+IF($F3144="",0,$F3144)-IF($G3144="",0,$G3144))</f>
        <v/>
      </c>
      <c r="I3144" s="12" t="n"/>
      <c r="J3144" s="12" t="n"/>
      <c r="K3144" s="12" t="n"/>
      <c r="L3144" s="14" t="n"/>
      <c r="M3144" s="12" t="n"/>
      <c r="N3144" s="12" t="n"/>
      <c r="O3144" s="12" t="n"/>
    </row>
    <row r="3145">
      <c r="A3145" s="12" t="n"/>
      <c r="B3145" s="13">
        <f>IF($A3145="","",IFERROR(INDEX(Emp_Names,MATCH($A3145,Emp_Codes,0)),"NOT FOUND"))</f>
        <v/>
      </c>
      <c r="C3145" s="14" t="n"/>
      <c r="D3145" s="15" t="n"/>
      <c r="E3145" s="15" t="n"/>
      <c r="F3145" s="15" t="n"/>
      <c r="G3145" s="15" t="n"/>
      <c r="H3145" s="16">
        <f>IF($A3145="","",$D3145+IF($E3145="",0,$E3145)+IF($F3145="",0,$F3145)-IF($G3145="",0,$G3145))</f>
        <v/>
      </c>
      <c r="I3145" s="12" t="n"/>
      <c r="J3145" s="12" t="n"/>
      <c r="K3145" s="12" t="n"/>
      <c r="L3145" s="14" t="n"/>
      <c r="M3145" s="12" t="n"/>
      <c r="N3145" s="12" t="n"/>
      <c r="O3145" s="12" t="n"/>
    </row>
    <row r="3146">
      <c r="A3146" s="12" t="n"/>
      <c r="B3146" s="13">
        <f>IF($A3146="","",IFERROR(INDEX(Emp_Names,MATCH($A3146,Emp_Codes,0)),"NOT FOUND"))</f>
        <v/>
      </c>
      <c r="C3146" s="14" t="n"/>
      <c r="D3146" s="15" t="n"/>
      <c r="E3146" s="15" t="n"/>
      <c r="F3146" s="15" t="n"/>
      <c r="G3146" s="15" t="n"/>
      <c r="H3146" s="16">
        <f>IF($A3146="","",$D3146+IF($E3146="",0,$E3146)+IF($F3146="",0,$F3146)-IF($G3146="",0,$G3146))</f>
        <v/>
      </c>
      <c r="I3146" s="12" t="n"/>
      <c r="J3146" s="12" t="n"/>
      <c r="K3146" s="12" t="n"/>
      <c r="L3146" s="14" t="n"/>
      <c r="M3146" s="12" t="n"/>
      <c r="N3146" s="12" t="n"/>
      <c r="O3146" s="12" t="n"/>
    </row>
    <row r="3147">
      <c r="A3147" s="12" t="n"/>
      <c r="B3147" s="13">
        <f>IF($A3147="","",IFERROR(INDEX(Emp_Names,MATCH($A3147,Emp_Codes,0)),"NOT FOUND"))</f>
        <v/>
      </c>
      <c r="C3147" s="14" t="n"/>
      <c r="D3147" s="15" t="n"/>
      <c r="E3147" s="15" t="n"/>
      <c r="F3147" s="15" t="n"/>
      <c r="G3147" s="15" t="n"/>
      <c r="H3147" s="16">
        <f>IF($A3147="","",$D3147+IF($E3147="",0,$E3147)+IF($F3147="",0,$F3147)-IF($G3147="",0,$G3147))</f>
        <v/>
      </c>
      <c r="I3147" s="12" t="n"/>
      <c r="J3147" s="12" t="n"/>
      <c r="K3147" s="12" t="n"/>
      <c r="L3147" s="14" t="n"/>
      <c r="M3147" s="12" t="n"/>
      <c r="N3147" s="12" t="n"/>
      <c r="O3147" s="12" t="n"/>
    </row>
    <row r="3148">
      <c r="A3148" s="12" t="n"/>
      <c r="B3148" s="13">
        <f>IF($A3148="","",IFERROR(INDEX(Emp_Names,MATCH($A3148,Emp_Codes,0)),"NOT FOUND"))</f>
        <v/>
      </c>
      <c r="C3148" s="14" t="n"/>
      <c r="D3148" s="15" t="n"/>
      <c r="E3148" s="15" t="n"/>
      <c r="F3148" s="15" t="n"/>
      <c r="G3148" s="15" t="n"/>
      <c r="H3148" s="16">
        <f>IF($A3148="","",$D3148+IF($E3148="",0,$E3148)+IF($F3148="",0,$F3148)-IF($G3148="",0,$G3148))</f>
        <v/>
      </c>
      <c r="I3148" s="12" t="n"/>
      <c r="J3148" s="12" t="n"/>
      <c r="K3148" s="12" t="n"/>
      <c r="L3148" s="14" t="n"/>
      <c r="M3148" s="12" t="n"/>
      <c r="N3148" s="12" t="n"/>
      <c r="O3148" s="12" t="n"/>
    </row>
    <row r="3149">
      <c r="A3149" s="12" t="n"/>
      <c r="B3149" s="13">
        <f>IF($A3149="","",IFERROR(INDEX(Emp_Names,MATCH($A3149,Emp_Codes,0)),"NOT FOUND"))</f>
        <v/>
      </c>
      <c r="C3149" s="14" t="n"/>
      <c r="D3149" s="15" t="n"/>
      <c r="E3149" s="15" t="n"/>
      <c r="F3149" s="15" t="n"/>
      <c r="G3149" s="15" t="n"/>
      <c r="H3149" s="16">
        <f>IF($A3149="","",$D3149+IF($E3149="",0,$E3149)+IF($F3149="",0,$F3149)-IF($G3149="",0,$G3149))</f>
        <v/>
      </c>
      <c r="I3149" s="12" t="n"/>
      <c r="J3149" s="12" t="n"/>
      <c r="K3149" s="12" t="n"/>
      <c r="L3149" s="14" t="n"/>
      <c r="M3149" s="12" t="n"/>
      <c r="N3149" s="12" t="n"/>
      <c r="O3149" s="12" t="n"/>
    </row>
    <row r="3150">
      <c r="A3150" s="12" t="n"/>
      <c r="B3150" s="13">
        <f>IF($A3150="","",IFERROR(INDEX(Emp_Names,MATCH($A3150,Emp_Codes,0)),"NOT FOUND"))</f>
        <v/>
      </c>
      <c r="C3150" s="14" t="n"/>
      <c r="D3150" s="15" t="n"/>
      <c r="E3150" s="15" t="n"/>
      <c r="F3150" s="15" t="n"/>
      <c r="G3150" s="15" t="n"/>
      <c r="H3150" s="16">
        <f>IF($A3150="","",$D3150+IF($E3150="",0,$E3150)+IF($F3150="",0,$F3150)-IF($G3150="",0,$G3150))</f>
        <v/>
      </c>
      <c r="I3150" s="12" t="n"/>
      <c r="J3150" s="12" t="n"/>
      <c r="K3150" s="12" t="n"/>
      <c r="L3150" s="14" t="n"/>
      <c r="M3150" s="12" t="n"/>
      <c r="N3150" s="12" t="n"/>
      <c r="O3150" s="12" t="n"/>
    </row>
    <row r="3151">
      <c r="A3151" s="12" t="n"/>
      <c r="B3151" s="13">
        <f>IF($A3151="","",IFERROR(INDEX(Emp_Names,MATCH($A3151,Emp_Codes,0)),"NOT FOUND"))</f>
        <v/>
      </c>
      <c r="C3151" s="14" t="n"/>
      <c r="D3151" s="15" t="n"/>
      <c r="E3151" s="15" t="n"/>
      <c r="F3151" s="15" t="n"/>
      <c r="G3151" s="15" t="n"/>
      <c r="H3151" s="16">
        <f>IF($A3151="","",$D3151+IF($E3151="",0,$E3151)+IF($F3151="",0,$F3151)-IF($G3151="",0,$G3151))</f>
        <v/>
      </c>
      <c r="I3151" s="12" t="n"/>
      <c r="J3151" s="12" t="n"/>
      <c r="K3151" s="12" t="n"/>
      <c r="L3151" s="14" t="n"/>
      <c r="M3151" s="12" t="n"/>
      <c r="N3151" s="12" t="n"/>
      <c r="O3151" s="12" t="n"/>
    </row>
    <row r="3152">
      <c r="A3152" s="12" t="n"/>
      <c r="B3152" s="13">
        <f>IF($A3152="","",IFERROR(INDEX(Emp_Names,MATCH($A3152,Emp_Codes,0)),"NOT FOUND"))</f>
        <v/>
      </c>
      <c r="C3152" s="14" t="n"/>
      <c r="D3152" s="15" t="n"/>
      <c r="E3152" s="15" t="n"/>
      <c r="F3152" s="15" t="n"/>
      <c r="G3152" s="15" t="n"/>
      <c r="H3152" s="16">
        <f>IF($A3152="","",$D3152+IF($E3152="",0,$E3152)+IF($F3152="",0,$F3152)-IF($G3152="",0,$G3152))</f>
        <v/>
      </c>
      <c r="I3152" s="12" t="n"/>
      <c r="J3152" s="12" t="n"/>
      <c r="K3152" s="12" t="n"/>
      <c r="L3152" s="14" t="n"/>
      <c r="M3152" s="12" t="n"/>
      <c r="N3152" s="12" t="n"/>
      <c r="O3152" s="12" t="n"/>
    </row>
    <row r="3153">
      <c r="A3153" s="12" t="n"/>
      <c r="B3153" s="13">
        <f>IF($A3153="","",IFERROR(INDEX(Emp_Names,MATCH($A3153,Emp_Codes,0)),"NOT FOUND"))</f>
        <v/>
      </c>
      <c r="C3153" s="14" t="n"/>
      <c r="D3153" s="15" t="n"/>
      <c r="E3153" s="15" t="n"/>
      <c r="F3153" s="15" t="n"/>
      <c r="G3153" s="15" t="n"/>
      <c r="H3153" s="16">
        <f>IF($A3153="","",$D3153+IF($E3153="",0,$E3153)+IF($F3153="",0,$F3153)-IF($G3153="",0,$G3153))</f>
        <v/>
      </c>
      <c r="I3153" s="12" t="n"/>
      <c r="J3153" s="12" t="n"/>
      <c r="K3153" s="12" t="n"/>
      <c r="L3153" s="14" t="n"/>
      <c r="M3153" s="12" t="n"/>
      <c r="N3153" s="12" t="n"/>
      <c r="O3153" s="12" t="n"/>
    </row>
    <row r="3154">
      <c r="A3154" s="12" t="n"/>
      <c r="B3154" s="13">
        <f>IF($A3154="","",IFERROR(INDEX(Emp_Names,MATCH($A3154,Emp_Codes,0)),"NOT FOUND"))</f>
        <v/>
      </c>
      <c r="C3154" s="14" t="n"/>
      <c r="D3154" s="15" t="n"/>
      <c r="E3154" s="15" t="n"/>
      <c r="F3154" s="15" t="n"/>
      <c r="G3154" s="15" t="n"/>
      <c r="H3154" s="16">
        <f>IF($A3154="","",$D3154+IF($E3154="",0,$E3154)+IF($F3154="",0,$F3154)-IF($G3154="",0,$G3154))</f>
        <v/>
      </c>
      <c r="I3154" s="12" t="n"/>
      <c r="J3154" s="12" t="n"/>
      <c r="K3154" s="12" t="n"/>
      <c r="L3154" s="14" t="n"/>
      <c r="M3154" s="12" t="n"/>
      <c r="N3154" s="12" t="n"/>
      <c r="O3154" s="12" t="n"/>
    </row>
    <row r="3155">
      <c r="A3155" s="12" t="n"/>
      <c r="B3155" s="13">
        <f>IF($A3155="","",IFERROR(INDEX(Emp_Names,MATCH($A3155,Emp_Codes,0)),"NOT FOUND"))</f>
        <v/>
      </c>
      <c r="C3155" s="14" t="n"/>
      <c r="D3155" s="15" t="n"/>
      <c r="E3155" s="15" t="n"/>
      <c r="F3155" s="15" t="n"/>
      <c r="G3155" s="15" t="n"/>
      <c r="H3155" s="16">
        <f>IF($A3155="","",$D3155+IF($E3155="",0,$E3155)+IF($F3155="",0,$F3155)-IF($G3155="",0,$G3155))</f>
        <v/>
      </c>
      <c r="I3155" s="12" t="n"/>
      <c r="J3155" s="12" t="n"/>
      <c r="K3155" s="12" t="n"/>
      <c r="L3155" s="14" t="n"/>
      <c r="M3155" s="12" t="n"/>
      <c r="N3155" s="12" t="n"/>
      <c r="O3155" s="12" t="n"/>
    </row>
    <row r="3156">
      <c r="A3156" s="12" t="n"/>
      <c r="B3156" s="13">
        <f>IF($A3156="","",IFERROR(INDEX(Emp_Names,MATCH($A3156,Emp_Codes,0)),"NOT FOUND"))</f>
        <v/>
      </c>
      <c r="C3156" s="14" t="n"/>
      <c r="D3156" s="15" t="n"/>
      <c r="E3156" s="15" t="n"/>
      <c r="F3156" s="15" t="n"/>
      <c r="G3156" s="15" t="n"/>
      <c r="H3156" s="16">
        <f>IF($A3156="","",$D3156+IF($E3156="",0,$E3156)+IF($F3156="",0,$F3156)-IF($G3156="",0,$G3156))</f>
        <v/>
      </c>
      <c r="I3156" s="12" t="n"/>
      <c r="J3156" s="12" t="n"/>
      <c r="K3156" s="12" t="n"/>
      <c r="L3156" s="14" t="n"/>
      <c r="M3156" s="12" t="n"/>
      <c r="N3156" s="12" t="n"/>
      <c r="O3156" s="12" t="n"/>
    </row>
    <row r="3157">
      <c r="A3157" s="12" t="n"/>
      <c r="B3157" s="13">
        <f>IF($A3157="","",IFERROR(INDEX(Emp_Names,MATCH($A3157,Emp_Codes,0)),"NOT FOUND"))</f>
        <v/>
      </c>
      <c r="C3157" s="14" t="n"/>
      <c r="D3157" s="15" t="n"/>
      <c r="E3157" s="15" t="n"/>
      <c r="F3157" s="15" t="n"/>
      <c r="G3157" s="15" t="n"/>
      <c r="H3157" s="16">
        <f>IF($A3157="","",$D3157+IF($E3157="",0,$E3157)+IF($F3157="",0,$F3157)-IF($G3157="",0,$G3157))</f>
        <v/>
      </c>
      <c r="I3157" s="12" t="n"/>
      <c r="J3157" s="12" t="n"/>
      <c r="K3157" s="12" t="n"/>
      <c r="L3157" s="14" t="n"/>
      <c r="M3157" s="12" t="n"/>
      <c r="N3157" s="12" t="n"/>
      <c r="O3157" s="12" t="n"/>
    </row>
    <row r="3158">
      <c r="A3158" s="12" t="n"/>
      <c r="B3158" s="13">
        <f>IF($A3158="","",IFERROR(INDEX(Emp_Names,MATCH($A3158,Emp_Codes,0)),"NOT FOUND"))</f>
        <v/>
      </c>
      <c r="C3158" s="14" t="n"/>
      <c r="D3158" s="15" t="n"/>
      <c r="E3158" s="15" t="n"/>
      <c r="F3158" s="15" t="n"/>
      <c r="G3158" s="15" t="n"/>
      <c r="H3158" s="16">
        <f>IF($A3158="","",$D3158+IF($E3158="",0,$E3158)+IF($F3158="",0,$F3158)-IF($G3158="",0,$G3158))</f>
        <v/>
      </c>
      <c r="I3158" s="12" t="n"/>
      <c r="J3158" s="12" t="n"/>
      <c r="K3158" s="12" t="n"/>
      <c r="L3158" s="14" t="n"/>
      <c r="M3158" s="12" t="n"/>
      <c r="N3158" s="12" t="n"/>
      <c r="O3158" s="12" t="n"/>
    </row>
    <row r="3159">
      <c r="A3159" s="12" t="n"/>
      <c r="B3159" s="13">
        <f>IF($A3159="","",IFERROR(INDEX(Emp_Names,MATCH($A3159,Emp_Codes,0)),"NOT FOUND"))</f>
        <v/>
      </c>
      <c r="C3159" s="14" t="n"/>
      <c r="D3159" s="15" t="n"/>
      <c r="E3159" s="15" t="n"/>
      <c r="F3159" s="15" t="n"/>
      <c r="G3159" s="15" t="n"/>
      <c r="H3159" s="16">
        <f>IF($A3159="","",$D3159+IF($E3159="",0,$E3159)+IF($F3159="",0,$F3159)-IF($G3159="",0,$G3159))</f>
        <v/>
      </c>
      <c r="I3159" s="12" t="n"/>
      <c r="J3159" s="12" t="n"/>
      <c r="K3159" s="12" t="n"/>
      <c r="L3159" s="14" t="n"/>
      <c r="M3159" s="12" t="n"/>
      <c r="N3159" s="12" t="n"/>
      <c r="O3159" s="12" t="n"/>
    </row>
    <row r="3160">
      <c r="A3160" s="12" t="n"/>
      <c r="B3160" s="13">
        <f>IF($A3160="","",IFERROR(INDEX(Emp_Names,MATCH($A3160,Emp_Codes,0)),"NOT FOUND"))</f>
        <v/>
      </c>
      <c r="C3160" s="14" t="n"/>
      <c r="D3160" s="15" t="n"/>
      <c r="E3160" s="15" t="n"/>
      <c r="F3160" s="15" t="n"/>
      <c r="G3160" s="15" t="n"/>
      <c r="H3160" s="16">
        <f>IF($A3160="","",$D3160+IF($E3160="",0,$E3160)+IF($F3160="",0,$F3160)-IF($G3160="",0,$G3160))</f>
        <v/>
      </c>
      <c r="I3160" s="12" t="n"/>
      <c r="J3160" s="12" t="n"/>
      <c r="K3160" s="12" t="n"/>
      <c r="L3160" s="14" t="n"/>
      <c r="M3160" s="12" t="n"/>
      <c r="N3160" s="12" t="n"/>
      <c r="O3160" s="12" t="n"/>
    </row>
    <row r="3161">
      <c r="A3161" s="12" t="n"/>
      <c r="B3161" s="13">
        <f>IF($A3161="","",IFERROR(INDEX(Emp_Names,MATCH($A3161,Emp_Codes,0)),"NOT FOUND"))</f>
        <v/>
      </c>
      <c r="C3161" s="14" t="n"/>
      <c r="D3161" s="15" t="n"/>
      <c r="E3161" s="15" t="n"/>
      <c r="F3161" s="15" t="n"/>
      <c r="G3161" s="15" t="n"/>
      <c r="H3161" s="16">
        <f>IF($A3161="","",$D3161+IF($E3161="",0,$E3161)+IF($F3161="",0,$F3161)-IF($G3161="",0,$G3161))</f>
        <v/>
      </c>
      <c r="I3161" s="12" t="n"/>
      <c r="J3161" s="12" t="n"/>
      <c r="K3161" s="12" t="n"/>
      <c r="L3161" s="14" t="n"/>
      <c r="M3161" s="12" t="n"/>
      <c r="N3161" s="12" t="n"/>
      <c r="O3161" s="12" t="n"/>
    </row>
    <row r="3162">
      <c r="A3162" s="12" t="n"/>
      <c r="B3162" s="13">
        <f>IF($A3162="","",IFERROR(INDEX(Emp_Names,MATCH($A3162,Emp_Codes,0)),"NOT FOUND"))</f>
        <v/>
      </c>
      <c r="C3162" s="14" t="n"/>
      <c r="D3162" s="15" t="n"/>
      <c r="E3162" s="15" t="n"/>
      <c r="F3162" s="15" t="n"/>
      <c r="G3162" s="15" t="n"/>
      <c r="H3162" s="16">
        <f>IF($A3162="","",$D3162+IF($E3162="",0,$E3162)+IF($F3162="",0,$F3162)-IF($G3162="",0,$G3162))</f>
        <v/>
      </c>
      <c r="I3162" s="12" t="n"/>
      <c r="J3162" s="12" t="n"/>
      <c r="K3162" s="12" t="n"/>
      <c r="L3162" s="14" t="n"/>
      <c r="M3162" s="12" t="n"/>
      <c r="N3162" s="12" t="n"/>
      <c r="O3162" s="12" t="n"/>
    </row>
    <row r="3163">
      <c r="A3163" s="12" t="n"/>
      <c r="B3163" s="13">
        <f>IF($A3163="","",IFERROR(INDEX(Emp_Names,MATCH($A3163,Emp_Codes,0)),"NOT FOUND"))</f>
        <v/>
      </c>
      <c r="C3163" s="14" t="n"/>
      <c r="D3163" s="15" t="n"/>
      <c r="E3163" s="15" t="n"/>
      <c r="F3163" s="15" t="n"/>
      <c r="G3163" s="15" t="n"/>
      <c r="H3163" s="16">
        <f>IF($A3163="","",$D3163+IF($E3163="",0,$E3163)+IF($F3163="",0,$F3163)-IF($G3163="",0,$G3163))</f>
        <v/>
      </c>
      <c r="I3163" s="12" t="n"/>
      <c r="J3163" s="12" t="n"/>
      <c r="K3163" s="12" t="n"/>
      <c r="L3163" s="14" t="n"/>
      <c r="M3163" s="12" t="n"/>
      <c r="N3163" s="12" t="n"/>
      <c r="O3163" s="12" t="n"/>
    </row>
    <row r="3164">
      <c r="A3164" s="12" t="n"/>
      <c r="B3164" s="13">
        <f>IF($A3164="","",IFERROR(INDEX(Emp_Names,MATCH($A3164,Emp_Codes,0)),"NOT FOUND"))</f>
        <v/>
      </c>
      <c r="C3164" s="14" t="n"/>
      <c r="D3164" s="15" t="n"/>
      <c r="E3164" s="15" t="n"/>
      <c r="F3164" s="15" t="n"/>
      <c r="G3164" s="15" t="n"/>
      <c r="H3164" s="16">
        <f>IF($A3164="","",$D3164+IF($E3164="",0,$E3164)+IF($F3164="",0,$F3164)-IF($G3164="",0,$G3164))</f>
        <v/>
      </c>
      <c r="I3164" s="12" t="n"/>
      <c r="J3164" s="12" t="n"/>
      <c r="K3164" s="12" t="n"/>
      <c r="L3164" s="14" t="n"/>
      <c r="M3164" s="12" t="n"/>
      <c r="N3164" s="12" t="n"/>
      <c r="O3164" s="12" t="n"/>
    </row>
    <row r="3165">
      <c r="A3165" s="12" t="n"/>
      <c r="B3165" s="13">
        <f>IF($A3165="","",IFERROR(INDEX(Emp_Names,MATCH($A3165,Emp_Codes,0)),"NOT FOUND"))</f>
        <v/>
      </c>
      <c r="C3165" s="14" t="n"/>
      <c r="D3165" s="15" t="n"/>
      <c r="E3165" s="15" t="n"/>
      <c r="F3165" s="15" t="n"/>
      <c r="G3165" s="15" t="n"/>
      <c r="H3165" s="16">
        <f>IF($A3165="","",$D3165+IF($E3165="",0,$E3165)+IF($F3165="",0,$F3165)-IF($G3165="",0,$G3165))</f>
        <v/>
      </c>
      <c r="I3165" s="12" t="n"/>
      <c r="J3165" s="12" t="n"/>
      <c r="K3165" s="12" t="n"/>
      <c r="L3165" s="14" t="n"/>
      <c r="M3165" s="12" t="n"/>
      <c r="N3165" s="12" t="n"/>
      <c r="O3165" s="12" t="n"/>
    </row>
    <row r="3166">
      <c r="A3166" s="12" t="n"/>
      <c r="B3166" s="13">
        <f>IF($A3166="","",IFERROR(INDEX(Emp_Names,MATCH($A3166,Emp_Codes,0)),"NOT FOUND"))</f>
        <v/>
      </c>
      <c r="C3166" s="14" t="n"/>
      <c r="D3166" s="15" t="n"/>
      <c r="E3166" s="15" t="n"/>
      <c r="F3166" s="15" t="n"/>
      <c r="G3166" s="15" t="n"/>
      <c r="H3166" s="16">
        <f>IF($A3166="","",$D3166+IF($E3166="",0,$E3166)+IF($F3166="",0,$F3166)-IF($G3166="",0,$G3166))</f>
        <v/>
      </c>
      <c r="I3166" s="12" t="n"/>
      <c r="J3166" s="12" t="n"/>
      <c r="K3166" s="12" t="n"/>
      <c r="L3166" s="14" t="n"/>
      <c r="M3166" s="12" t="n"/>
      <c r="N3166" s="12" t="n"/>
      <c r="O3166" s="12" t="n"/>
    </row>
    <row r="3167">
      <c r="A3167" s="12" t="n"/>
      <c r="B3167" s="13">
        <f>IF($A3167="","",IFERROR(INDEX(Emp_Names,MATCH($A3167,Emp_Codes,0)),"NOT FOUND"))</f>
        <v/>
      </c>
      <c r="C3167" s="14" t="n"/>
      <c r="D3167" s="15" t="n"/>
      <c r="E3167" s="15" t="n"/>
      <c r="F3167" s="15" t="n"/>
      <c r="G3167" s="15" t="n"/>
      <c r="H3167" s="16">
        <f>IF($A3167="","",$D3167+IF($E3167="",0,$E3167)+IF($F3167="",0,$F3167)-IF($G3167="",0,$G3167))</f>
        <v/>
      </c>
      <c r="I3167" s="12" t="n"/>
      <c r="J3167" s="12" t="n"/>
      <c r="K3167" s="12" t="n"/>
      <c r="L3167" s="14" t="n"/>
      <c r="M3167" s="12" t="n"/>
      <c r="N3167" s="12" t="n"/>
      <c r="O3167" s="12" t="n"/>
    </row>
    <row r="3168">
      <c r="A3168" s="12" t="n"/>
      <c r="B3168" s="13">
        <f>IF($A3168="","",IFERROR(INDEX(Emp_Names,MATCH($A3168,Emp_Codes,0)),"NOT FOUND"))</f>
        <v/>
      </c>
      <c r="C3168" s="14" t="n"/>
      <c r="D3168" s="15" t="n"/>
      <c r="E3168" s="15" t="n"/>
      <c r="F3168" s="15" t="n"/>
      <c r="G3168" s="15" t="n"/>
      <c r="H3168" s="16">
        <f>IF($A3168="","",$D3168+IF($E3168="",0,$E3168)+IF($F3168="",0,$F3168)-IF($G3168="",0,$G3168))</f>
        <v/>
      </c>
      <c r="I3168" s="12" t="n"/>
      <c r="J3168" s="12" t="n"/>
      <c r="K3168" s="12" t="n"/>
      <c r="L3168" s="14" t="n"/>
      <c r="M3168" s="12" t="n"/>
      <c r="N3168" s="12" t="n"/>
      <c r="O3168" s="12" t="n"/>
    </row>
    <row r="3169">
      <c r="A3169" s="12" t="n"/>
      <c r="B3169" s="13">
        <f>IF($A3169="","",IFERROR(INDEX(Emp_Names,MATCH($A3169,Emp_Codes,0)),"NOT FOUND"))</f>
        <v/>
      </c>
      <c r="C3169" s="14" t="n"/>
      <c r="D3169" s="15" t="n"/>
      <c r="E3169" s="15" t="n"/>
      <c r="F3169" s="15" t="n"/>
      <c r="G3169" s="15" t="n"/>
      <c r="H3169" s="16">
        <f>IF($A3169="","",$D3169+IF($E3169="",0,$E3169)+IF($F3169="",0,$F3169)-IF($G3169="",0,$G3169))</f>
        <v/>
      </c>
      <c r="I3169" s="12" t="n"/>
      <c r="J3169" s="12" t="n"/>
      <c r="K3169" s="12" t="n"/>
      <c r="L3169" s="14" t="n"/>
      <c r="M3169" s="12" t="n"/>
      <c r="N3169" s="12" t="n"/>
      <c r="O3169" s="12" t="n"/>
    </row>
    <row r="3170">
      <c r="A3170" s="12" t="n"/>
      <c r="B3170" s="13">
        <f>IF($A3170="","",IFERROR(INDEX(Emp_Names,MATCH($A3170,Emp_Codes,0)),"NOT FOUND"))</f>
        <v/>
      </c>
      <c r="C3170" s="14" t="n"/>
      <c r="D3170" s="15" t="n"/>
      <c r="E3170" s="15" t="n"/>
      <c r="F3170" s="15" t="n"/>
      <c r="G3170" s="15" t="n"/>
      <c r="H3170" s="16">
        <f>IF($A3170="","",$D3170+IF($E3170="",0,$E3170)+IF($F3170="",0,$F3170)-IF($G3170="",0,$G3170))</f>
        <v/>
      </c>
      <c r="I3170" s="12" t="n"/>
      <c r="J3170" s="12" t="n"/>
      <c r="K3170" s="12" t="n"/>
      <c r="L3170" s="14" t="n"/>
      <c r="M3170" s="12" t="n"/>
      <c r="N3170" s="12" t="n"/>
      <c r="O3170" s="12" t="n"/>
    </row>
    <row r="3171">
      <c r="A3171" s="12" t="n"/>
      <c r="B3171" s="13">
        <f>IF($A3171="","",IFERROR(INDEX(Emp_Names,MATCH($A3171,Emp_Codes,0)),"NOT FOUND"))</f>
        <v/>
      </c>
      <c r="C3171" s="14" t="n"/>
      <c r="D3171" s="15" t="n"/>
      <c r="E3171" s="15" t="n"/>
      <c r="F3171" s="15" t="n"/>
      <c r="G3171" s="15" t="n"/>
      <c r="H3171" s="16">
        <f>IF($A3171="","",$D3171+IF($E3171="",0,$E3171)+IF($F3171="",0,$F3171)-IF($G3171="",0,$G3171))</f>
        <v/>
      </c>
      <c r="I3171" s="12" t="n"/>
      <c r="J3171" s="12" t="n"/>
      <c r="K3171" s="12" t="n"/>
      <c r="L3171" s="14" t="n"/>
      <c r="M3171" s="12" t="n"/>
      <c r="N3171" s="12" t="n"/>
      <c r="O3171" s="12" t="n"/>
    </row>
    <row r="3172">
      <c r="A3172" s="12" t="n"/>
      <c r="B3172" s="13">
        <f>IF($A3172="","",IFERROR(INDEX(Emp_Names,MATCH($A3172,Emp_Codes,0)),"NOT FOUND"))</f>
        <v/>
      </c>
      <c r="C3172" s="14" t="n"/>
      <c r="D3172" s="15" t="n"/>
      <c r="E3172" s="15" t="n"/>
      <c r="F3172" s="15" t="n"/>
      <c r="G3172" s="15" t="n"/>
      <c r="H3172" s="16">
        <f>IF($A3172="","",$D3172+IF($E3172="",0,$E3172)+IF($F3172="",0,$F3172)-IF($G3172="",0,$G3172))</f>
        <v/>
      </c>
      <c r="I3172" s="12" t="n"/>
      <c r="J3172" s="12" t="n"/>
      <c r="K3172" s="12" t="n"/>
      <c r="L3172" s="14" t="n"/>
      <c r="M3172" s="12" t="n"/>
      <c r="N3172" s="12" t="n"/>
      <c r="O3172" s="12" t="n"/>
    </row>
    <row r="3173">
      <c r="A3173" s="12" t="n"/>
      <c r="B3173" s="13">
        <f>IF($A3173="","",IFERROR(INDEX(Emp_Names,MATCH($A3173,Emp_Codes,0)),"NOT FOUND"))</f>
        <v/>
      </c>
      <c r="C3173" s="14" t="n"/>
      <c r="D3173" s="15" t="n"/>
      <c r="E3173" s="15" t="n"/>
      <c r="F3173" s="15" t="n"/>
      <c r="G3173" s="15" t="n"/>
      <c r="H3173" s="16">
        <f>IF($A3173="","",$D3173+IF($E3173="",0,$E3173)+IF($F3173="",0,$F3173)-IF($G3173="",0,$G3173))</f>
        <v/>
      </c>
      <c r="I3173" s="12" t="n"/>
      <c r="J3173" s="12" t="n"/>
      <c r="K3173" s="12" t="n"/>
      <c r="L3173" s="14" t="n"/>
      <c r="M3173" s="12" t="n"/>
      <c r="N3173" s="12" t="n"/>
      <c r="O3173" s="12" t="n"/>
    </row>
    <row r="3174">
      <c r="A3174" s="12" t="n"/>
      <c r="B3174" s="13">
        <f>IF($A3174="","",IFERROR(INDEX(Emp_Names,MATCH($A3174,Emp_Codes,0)),"NOT FOUND"))</f>
        <v/>
      </c>
      <c r="C3174" s="14" t="n"/>
      <c r="D3174" s="15" t="n"/>
      <c r="E3174" s="15" t="n"/>
      <c r="F3174" s="15" t="n"/>
      <c r="G3174" s="15" t="n"/>
      <c r="H3174" s="16">
        <f>IF($A3174="","",$D3174+IF($E3174="",0,$E3174)+IF($F3174="",0,$F3174)-IF($G3174="",0,$G3174))</f>
        <v/>
      </c>
      <c r="I3174" s="12" t="n"/>
      <c r="J3174" s="12" t="n"/>
      <c r="K3174" s="12" t="n"/>
      <c r="L3174" s="14" t="n"/>
      <c r="M3174" s="12" t="n"/>
      <c r="N3174" s="12" t="n"/>
      <c r="O3174" s="12" t="n"/>
    </row>
    <row r="3175">
      <c r="A3175" s="12" t="n"/>
      <c r="B3175" s="13">
        <f>IF($A3175="","",IFERROR(INDEX(Emp_Names,MATCH($A3175,Emp_Codes,0)),"NOT FOUND"))</f>
        <v/>
      </c>
      <c r="C3175" s="14" t="n"/>
      <c r="D3175" s="15" t="n"/>
      <c r="E3175" s="15" t="n"/>
      <c r="F3175" s="15" t="n"/>
      <c r="G3175" s="15" t="n"/>
      <c r="H3175" s="16">
        <f>IF($A3175="","",$D3175+IF($E3175="",0,$E3175)+IF($F3175="",0,$F3175)-IF($G3175="",0,$G3175))</f>
        <v/>
      </c>
      <c r="I3175" s="12" t="n"/>
      <c r="J3175" s="12" t="n"/>
      <c r="K3175" s="12" t="n"/>
      <c r="L3175" s="14" t="n"/>
      <c r="M3175" s="12" t="n"/>
      <c r="N3175" s="12" t="n"/>
      <c r="O3175" s="12" t="n"/>
    </row>
    <row r="3176">
      <c r="A3176" s="12" t="n"/>
      <c r="B3176" s="13">
        <f>IF($A3176="","",IFERROR(INDEX(Emp_Names,MATCH($A3176,Emp_Codes,0)),"NOT FOUND"))</f>
        <v/>
      </c>
      <c r="C3176" s="14" t="n"/>
      <c r="D3176" s="15" t="n"/>
      <c r="E3176" s="15" t="n"/>
      <c r="F3176" s="15" t="n"/>
      <c r="G3176" s="15" t="n"/>
      <c r="H3176" s="16">
        <f>IF($A3176="","",$D3176+IF($E3176="",0,$E3176)+IF($F3176="",0,$F3176)-IF($G3176="",0,$G3176))</f>
        <v/>
      </c>
      <c r="I3176" s="12" t="n"/>
      <c r="J3176" s="12" t="n"/>
      <c r="K3176" s="12" t="n"/>
      <c r="L3176" s="14" t="n"/>
      <c r="M3176" s="12" t="n"/>
      <c r="N3176" s="12" t="n"/>
      <c r="O3176" s="12" t="n"/>
    </row>
    <row r="3177">
      <c r="A3177" s="12" t="n"/>
      <c r="B3177" s="13">
        <f>IF($A3177="","",IFERROR(INDEX(Emp_Names,MATCH($A3177,Emp_Codes,0)),"NOT FOUND"))</f>
        <v/>
      </c>
      <c r="C3177" s="14" t="n"/>
      <c r="D3177" s="15" t="n"/>
      <c r="E3177" s="15" t="n"/>
      <c r="F3177" s="15" t="n"/>
      <c r="G3177" s="15" t="n"/>
      <c r="H3177" s="16">
        <f>IF($A3177="","",$D3177+IF($E3177="",0,$E3177)+IF($F3177="",0,$F3177)-IF($G3177="",0,$G3177))</f>
        <v/>
      </c>
      <c r="I3177" s="12" t="n"/>
      <c r="J3177" s="12" t="n"/>
      <c r="K3177" s="12" t="n"/>
      <c r="L3177" s="14" t="n"/>
      <c r="M3177" s="12" t="n"/>
      <c r="N3177" s="12" t="n"/>
      <c r="O3177" s="12" t="n"/>
    </row>
    <row r="3178">
      <c r="A3178" s="12" t="n"/>
      <c r="B3178" s="13">
        <f>IF($A3178="","",IFERROR(INDEX(Emp_Names,MATCH($A3178,Emp_Codes,0)),"NOT FOUND"))</f>
        <v/>
      </c>
      <c r="C3178" s="14" t="n"/>
      <c r="D3178" s="15" t="n"/>
      <c r="E3178" s="15" t="n"/>
      <c r="F3178" s="15" t="n"/>
      <c r="G3178" s="15" t="n"/>
      <c r="H3178" s="16">
        <f>IF($A3178="","",$D3178+IF($E3178="",0,$E3178)+IF($F3178="",0,$F3178)-IF($G3178="",0,$G3178))</f>
        <v/>
      </c>
      <c r="I3178" s="12" t="n"/>
      <c r="J3178" s="12" t="n"/>
      <c r="K3178" s="12" t="n"/>
      <c r="L3178" s="14" t="n"/>
      <c r="M3178" s="12" t="n"/>
      <c r="N3178" s="12" t="n"/>
      <c r="O3178" s="12" t="n"/>
    </row>
    <row r="3179">
      <c r="A3179" s="12" t="n"/>
      <c r="B3179" s="13">
        <f>IF($A3179="","",IFERROR(INDEX(Emp_Names,MATCH($A3179,Emp_Codes,0)),"NOT FOUND"))</f>
        <v/>
      </c>
      <c r="C3179" s="14" t="n"/>
      <c r="D3179" s="15" t="n"/>
      <c r="E3179" s="15" t="n"/>
      <c r="F3179" s="15" t="n"/>
      <c r="G3179" s="15" t="n"/>
      <c r="H3179" s="16">
        <f>IF($A3179="","",$D3179+IF($E3179="",0,$E3179)+IF($F3179="",0,$F3179)-IF($G3179="",0,$G3179))</f>
        <v/>
      </c>
      <c r="I3179" s="12" t="n"/>
      <c r="J3179" s="12" t="n"/>
      <c r="K3179" s="12" t="n"/>
      <c r="L3179" s="14" t="n"/>
      <c r="M3179" s="12" t="n"/>
      <c r="N3179" s="12" t="n"/>
      <c r="O3179" s="12" t="n"/>
    </row>
    <row r="3180">
      <c r="A3180" s="12" t="n"/>
      <c r="B3180" s="13">
        <f>IF($A3180="","",IFERROR(INDEX(Emp_Names,MATCH($A3180,Emp_Codes,0)),"NOT FOUND"))</f>
        <v/>
      </c>
      <c r="C3180" s="14" t="n"/>
      <c r="D3180" s="15" t="n"/>
      <c r="E3180" s="15" t="n"/>
      <c r="F3180" s="15" t="n"/>
      <c r="G3180" s="15" t="n"/>
      <c r="H3180" s="16">
        <f>IF($A3180="","",$D3180+IF($E3180="",0,$E3180)+IF($F3180="",0,$F3180)-IF($G3180="",0,$G3180))</f>
        <v/>
      </c>
      <c r="I3180" s="12" t="n"/>
      <c r="J3180" s="12" t="n"/>
      <c r="K3180" s="12" t="n"/>
      <c r="L3180" s="14" t="n"/>
      <c r="M3180" s="12" t="n"/>
      <c r="N3180" s="12" t="n"/>
      <c r="O3180" s="12" t="n"/>
    </row>
    <row r="3181">
      <c r="A3181" s="12" t="n"/>
      <c r="B3181" s="13">
        <f>IF($A3181="","",IFERROR(INDEX(Emp_Names,MATCH($A3181,Emp_Codes,0)),"NOT FOUND"))</f>
        <v/>
      </c>
      <c r="C3181" s="14" t="n"/>
      <c r="D3181" s="15" t="n"/>
      <c r="E3181" s="15" t="n"/>
      <c r="F3181" s="15" t="n"/>
      <c r="G3181" s="15" t="n"/>
      <c r="H3181" s="16">
        <f>IF($A3181="","",$D3181+IF($E3181="",0,$E3181)+IF($F3181="",0,$F3181)-IF($G3181="",0,$G3181))</f>
        <v/>
      </c>
      <c r="I3181" s="12" t="n"/>
      <c r="J3181" s="12" t="n"/>
      <c r="K3181" s="12" t="n"/>
      <c r="L3181" s="14" t="n"/>
      <c r="M3181" s="12" t="n"/>
      <c r="N3181" s="12" t="n"/>
      <c r="O3181" s="12" t="n"/>
    </row>
    <row r="3182">
      <c r="A3182" s="12" t="n"/>
      <c r="B3182" s="13">
        <f>IF($A3182="","",IFERROR(INDEX(Emp_Names,MATCH($A3182,Emp_Codes,0)),"NOT FOUND"))</f>
        <v/>
      </c>
      <c r="C3182" s="14" t="n"/>
      <c r="D3182" s="15" t="n"/>
      <c r="E3182" s="15" t="n"/>
      <c r="F3182" s="15" t="n"/>
      <c r="G3182" s="15" t="n"/>
      <c r="H3182" s="16">
        <f>IF($A3182="","",$D3182+IF($E3182="",0,$E3182)+IF($F3182="",0,$F3182)-IF($G3182="",0,$G3182))</f>
        <v/>
      </c>
      <c r="I3182" s="12" t="n"/>
      <c r="J3182" s="12" t="n"/>
      <c r="K3182" s="12" t="n"/>
      <c r="L3182" s="14" t="n"/>
      <c r="M3182" s="12" t="n"/>
      <c r="N3182" s="12" t="n"/>
      <c r="O3182" s="12" t="n"/>
    </row>
    <row r="3183">
      <c r="A3183" s="12" t="n"/>
      <c r="B3183" s="13">
        <f>IF($A3183="","",IFERROR(INDEX(Emp_Names,MATCH($A3183,Emp_Codes,0)),"NOT FOUND"))</f>
        <v/>
      </c>
      <c r="C3183" s="14" t="n"/>
      <c r="D3183" s="15" t="n"/>
      <c r="E3183" s="15" t="n"/>
      <c r="F3183" s="15" t="n"/>
      <c r="G3183" s="15" t="n"/>
      <c r="H3183" s="16">
        <f>IF($A3183="","",$D3183+IF($E3183="",0,$E3183)+IF($F3183="",0,$F3183)-IF($G3183="",0,$G3183))</f>
        <v/>
      </c>
      <c r="I3183" s="12" t="n"/>
      <c r="J3183" s="12" t="n"/>
      <c r="K3183" s="12" t="n"/>
      <c r="L3183" s="14" t="n"/>
      <c r="M3183" s="12" t="n"/>
      <c r="N3183" s="12" t="n"/>
      <c r="O3183" s="12" t="n"/>
    </row>
    <row r="3184">
      <c r="A3184" s="12" t="n"/>
      <c r="B3184" s="13">
        <f>IF($A3184="","",IFERROR(INDEX(Emp_Names,MATCH($A3184,Emp_Codes,0)),"NOT FOUND"))</f>
        <v/>
      </c>
      <c r="C3184" s="14" t="n"/>
      <c r="D3184" s="15" t="n"/>
      <c r="E3184" s="15" t="n"/>
      <c r="F3184" s="15" t="n"/>
      <c r="G3184" s="15" t="n"/>
      <c r="H3184" s="16">
        <f>IF($A3184="","",$D3184+IF($E3184="",0,$E3184)+IF($F3184="",0,$F3184)-IF($G3184="",0,$G3184))</f>
        <v/>
      </c>
      <c r="I3184" s="12" t="n"/>
      <c r="J3184" s="12" t="n"/>
      <c r="K3184" s="12" t="n"/>
      <c r="L3184" s="14" t="n"/>
      <c r="M3184" s="12" t="n"/>
      <c r="N3184" s="12" t="n"/>
      <c r="O3184" s="12" t="n"/>
    </row>
    <row r="3185">
      <c r="A3185" s="12" t="n"/>
      <c r="B3185" s="13">
        <f>IF($A3185="","",IFERROR(INDEX(Emp_Names,MATCH($A3185,Emp_Codes,0)),"NOT FOUND"))</f>
        <v/>
      </c>
      <c r="C3185" s="14" t="n"/>
      <c r="D3185" s="15" t="n"/>
      <c r="E3185" s="15" t="n"/>
      <c r="F3185" s="15" t="n"/>
      <c r="G3185" s="15" t="n"/>
      <c r="H3185" s="16">
        <f>IF($A3185="","",$D3185+IF($E3185="",0,$E3185)+IF($F3185="",0,$F3185)-IF($G3185="",0,$G3185))</f>
        <v/>
      </c>
      <c r="I3185" s="12" t="n"/>
      <c r="J3185" s="12" t="n"/>
      <c r="K3185" s="12" t="n"/>
      <c r="L3185" s="14" t="n"/>
      <c r="M3185" s="12" t="n"/>
      <c r="N3185" s="12" t="n"/>
      <c r="O3185" s="12" t="n"/>
    </row>
    <row r="3186">
      <c r="A3186" s="12" t="n"/>
      <c r="B3186" s="13">
        <f>IF($A3186="","",IFERROR(INDEX(Emp_Names,MATCH($A3186,Emp_Codes,0)),"NOT FOUND"))</f>
        <v/>
      </c>
      <c r="C3186" s="14" t="n"/>
      <c r="D3186" s="15" t="n"/>
      <c r="E3186" s="15" t="n"/>
      <c r="F3186" s="15" t="n"/>
      <c r="G3186" s="15" t="n"/>
      <c r="H3186" s="16">
        <f>IF($A3186="","",$D3186+IF($E3186="",0,$E3186)+IF($F3186="",0,$F3186)-IF($G3186="",0,$G3186))</f>
        <v/>
      </c>
      <c r="I3186" s="12" t="n"/>
      <c r="J3186" s="12" t="n"/>
      <c r="K3186" s="12" t="n"/>
      <c r="L3186" s="14" t="n"/>
      <c r="M3186" s="12" t="n"/>
      <c r="N3186" s="12" t="n"/>
      <c r="O3186" s="12" t="n"/>
    </row>
    <row r="3187">
      <c r="A3187" s="12" t="n"/>
      <c r="B3187" s="13">
        <f>IF($A3187="","",IFERROR(INDEX(Emp_Names,MATCH($A3187,Emp_Codes,0)),"NOT FOUND"))</f>
        <v/>
      </c>
      <c r="C3187" s="14" t="n"/>
      <c r="D3187" s="15" t="n"/>
      <c r="E3187" s="15" t="n"/>
      <c r="F3187" s="15" t="n"/>
      <c r="G3187" s="15" t="n"/>
      <c r="H3187" s="16">
        <f>IF($A3187="","",$D3187+IF($E3187="",0,$E3187)+IF($F3187="",0,$F3187)-IF($G3187="",0,$G3187))</f>
        <v/>
      </c>
      <c r="I3187" s="12" t="n"/>
      <c r="J3187" s="12" t="n"/>
      <c r="K3187" s="12" t="n"/>
      <c r="L3187" s="14" t="n"/>
      <c r="M3187" s="12" t="n"/>
      <c r="N3187" s="12" t="n"/>
      <c r="O3187" s="12" t="n"/>
    </row>
    <row r="3188">
      <c r="A3188" s="12" t="n"/>
      <c r="B3188" s="13">
        <f>IF($A3188="","",IFERROR(INDEX(Emp_Names,MATCH($A3188,Emp_Codes,0)),"NOT FOUND"))</f>
        <v/>
      </c>
      <c r="C3188" s="14" t="n"/>
      <c r="D3188" s="15" t="n"/>
      <c r="E3188" s="15" t="n"/>
      <c r="F3188" s="15" t="n"/>
      <c r="G3188" s="15" t="n"/>
      <c r="H3188" s="16">
        <f>IF($A3188="","",$D3188+IF($E3188="",0,$E3188)+IF($F3188="",0,$F3188)-IF($G3188="",0,$G3188))</f>
        <v/>
      </c>
      <c r="I3188" s="12" t="n"/>
      <c r="J3188" s="12" t="n"/>
      <c r="K3188" s="12" t="n"/>
      <c r="L3188" s="14" t="n"/>
      <c r="M3188" s="12" t="n"/>
      <c r="N3188" s="12" t="n"/>
      <c r="O3188" s="12" t="n"/>
    </row>
    <row r="3189">
      <c r="A3189" s="12" t="n"/>
      <c r="B3189" s="13">
        <f>IF($A3189="","",IFERROR(INDEX(Emp_Names,MATCH($A3189,Emp_Codes,0)),"NOT FOUND"))</f>
        <v/>
      </c>
      <c r="C3189" s="14" t="n"/>
      <c r="D3189" s="15" t="n"/>
      <c r="E3189" s="15" t="n"/>
      <c r="F3189" s="15" t="n"/>
      <c r="G3189" s="15" t="n"/>
      <c r="H3189" s="16">
        <f>IF($A3189="","",$D3189+IF($E3189="",0,$E3189)+IF($F3189="",0,$F3189)-IF($G3189="",0,$G3189))</f>
        <v/>
      </c>
      <c r="I3189" s="12" t="n"/>
      <c r="J3189" s="12" t="n"/>
      <c r="K3189" s="12" t="n"/>
      <c r="L3189" s="14" t="n"/>
      <c r="M3189" s="12" t="n"/>
      <c r="N3189" s="12" t="n"/>
      <c r="O3189" s="12" t="n"/>
    </row>
    <row r="3190">
      <c r="A3190" s="12" t="n"/>
      <c r="B3190" s="13">
        <f>IF($A3190="","",IFERROR(INDEX(Emp_Names,MATCH($A3190,Emp_Codes,0)),"NOT FOUND"))</f>
        <v/>
      </c>
      <c r="C3190" s="14" t="n"/>
      <c r="D3190" s="15" t="n"/>
      <c r="E3190" s="15" t="n"/>
      <c r="F3190" s="15" t="n"/>
      <c r="G3190" s="15" t="n"/>
      <c r="H3190" s="16">
        <f>IF($A3190="","",$D3190+IF($E3190="",0,$E3190)+IF($F3190="",0,$F3190)-IF($G3190="",0,$G3190))</f>
        <v/>
      </c>
      <c r="I3190" s="12" t="n"/>
      <c r="J3190" s="12" t="n"/>
      <c r="K3190" s="12" t="n"/>
      <c r="L3190" s="14" t="n"/>
      <c r="M3190" s="12" t="n"/>
      <c r="N3190" s="12" t="n"/>
      <c r="O3190" s="12" t="n"/>
    </row>
    <row r="3191">
      <c r="A3191" s="12" t="n"/>
      <c r="B3191" s="13">
        <f>IF($A3191="","",IFERROR(INDEX(Emp_Names,MATCH($A3191,Emp_Codes,0)),"NOT FOUND"))</f>
        <v/>
      </c>
      <c r="C3191" s="14" t="n"/>
      <c r="D3191" s="15" t="n"/>
      <c r="E3191" s="15" t="n"/>
      <c r="F3191" s="15" t="n"/>
      <c r="G3191" s="15" t="n"/>
      <c r="H3191" s="16">
        <f>IF($A3191="","",$D3191+IF($E3191="",0,$E3191)+IF($F3191="",0,$F3191)-IF($G3191="",0,$G3191))</f>
        <v/>
      </c>
      <c r="I3191" s="12" t="n"/>
      <c r="J3191" s="12" t="n"/>
      <c r="K3191" s="12" t="n"/>
      <c r="L3191" s="14" t="n"/>
      <c r="M3191" s="12" t="n"/>
      <c r="N3191" s="12" t="n"/>
      <c r="O3191" s="12" t="n"/>
    </row>
    <row r="3192">
      <c r="A3192" s="12" t="n"/>
      <c r="B3192" s="13">
        <f>IF($A3192="","",IFERROR(INDEX(Emp_Names,MATCH($A3192,Emp_Codes,0)),"NOT FOUND"))</f>
        <v/>
      </c>
      <c r="C3192" s="14" t="n"/>
      <c r="D3192" s="15" t="n"/>
      <c r="E3192" s="15" t="n"/>
      <c r="F3192" s="15" t="n"/>
      <c r="G3192" s="15" t="n"/>
      <c r="H3192" s="16">
        <f>IF($A3192="","",$D3192+IF($E3192="",0,$E3192)+IF($F3192="",0,$F3192)-IF($G3192="",0,$G3192))</f>
        <v/>
      </c>
      <c r="I3192" s="12" t="n"/>
      <c r="J3192" s="12" t="n"/>
      <c r="K3192" s="12" t="n"/>
      <c r="L3192" s="14" t="n"/>
      <c r="M3192" s="12" t="n"/>
      <c r="N3192" s="12" t="n"/>
      <c r="O3192" s="12" t="n"/>
    </row>
    <row r="3193">
      <c r="A3193" s="12" t="n"/>
      <c r="B3193" s="13">
        <f>IF($A3193="","",IFERROR(INDEX(Emp_Names,MATCH($A3193,Emp_Codes,0)),"NOT FOUND"))</f>
        <v/>
      </c>
      <c r="C3193" s="14" t="n"/>
      <c r="D3193" s="15" t="n"/>
      <c r="E3193" s="15" t="n"/>
      <c r="F3193" s="15" t="n"/>
      <c r="G3193" s="15" t="n"/>
      <c r="H3193" s="16">
        <f>IF($A3193="","",$D3193+IF($E3193="",0,$E3193)+IF($F3193="",0,$F3193)-IF($G3193="",0,$G3193))</f>
        <v/>
      </c>
      <c r="I3193" s="12" t="n"/>
      <c r="J3193" s="12" t="n"/>
      <c r="K3193" s="12" t="n"/>
      <c r="L3193" s="14" t="n"/>
      <c r="M3193" s="12" t="n"/>
      <c r="N3193" s="12" t="n"/>
      <c r="O3193" s="12" t="n"/>
    </row>
    <row r="3194">
      <c r="A3194" s="12" t="n"/>
      <c r="B3194" s="13">
        <f>IF($A3194="","",IFERROR(INDEX(Emp_Names,MATCH($A3194,Emp_Codes,0)),"NOT FOUND"))</f>
        <v/>
      </c>
      <c r="C3194" s="14" t="n"/>
      <c r="D3194" s="15" t="n"/>
      <c r="E3194" s="15" t="n"/>
      <c r="F3194" s="15" t="n"/>
      <c r="G3194" s="15" t="n"/>
      <c r="H3194" s="16">
        <f>IF($A3194="","",$D3194+IF($E3194="",0,$E3194)+IF($F3194="",0,$F3194)-IF($G3194="",0,$G3194))</f>
        <v/>
      </c>
      <c r="I3194" s="12" t="n"/>
      <c r="J3194" s="12" t="n"/>
      <c r="K3194" s="12" t="n"/>
      <c r="L3194" s="14" t="n"/>
      <c r="M3194" s="12" t="n"/>
      <c r="N3194" s="12" t="n"/>
      <c r="O3194" s="12" t="n"/>
    </row>
    <row r="3195">
      <c r="A3195" s="12" t="n"/>
      <c r="B3195" s="13">
        <f>IF($A3195="","",IFERROR(INDEX(Emp_Names,MATCH($A3195,Emp_Codes,0)),"NOT FOUND"))</f>
        <v/>
      </c>
      <c r="C3195" s="14" t="n"/>
      <c r="D3195" s="15" t="n"/>
      <c r="E3195" s="15" t="n"/>
      <c r="F3195" s="15" t="n"/>
      <c r="G3195" s="15" t="n"/>
      <c r="H3195" s="16">
        <f>IF($A3195="","",$D3195+IF($E3195="",0,$E3195)+IF($F3195="",0,$F3195)-IF($G3195="",0,$G3195))</f>
        <v/>
      </c>
      <c r="I3195" s="12" t="n"/>
      <c r="J3195" s="12" t="n"/>
      <c r="K3195" s="12" t="n"/>
      <c r="L3195" s="14" t="n"/>
      <c r="M3195" s="12" t="n"/>
      <c r="N3195" s="12" t="n"/>
      <c r="O3195" s="12" t="n"/>
    </row>
    <row r="3196">
      <c r="A3196" s="12" t="n"/>
      <c r="B3196" s="13">
        <f>IF($A3196="","",IFERROR(INDEX(Emp_Names,MATCH($A3196,Emp_Codes,0)),"NOT FOUND"))</f>
        <v/>
      </c>
      <c r="C3196" s="14" t="n"/>
      <c r="D3196" s="15" t="n"/>
      <c r="E3196" s="15" t="n"/>
      <c r="F3196" s="15" t="n"/>
      <c r="G3196" s="15" t="n"/>
      <c r="H3196" s="16">
        <f>IF($A3196="","",$D3196+IF($E3196="",0,$E3196)+IF($F3196="",0,$F3196)-IF($G3196="",0,$G3196))</f>
        <v/>
      </c>
      <c r="I3196" s="12" t="n"/>
      <c r="J3196" s="12" t="n"/>
      <c r="K3196" s="12" t="n"/>
      <c r="L3196" s="14" t="n"/>
      <c r="M3196" s="12" t="n"/>
      <c r="N3196" s="12" t="n"/>
      <c r="O3196" s="12" t="n"/>
    </row>
    <row r="3197">
      <c r="A3197" s="12" t="n"/>
      <c r="B3197" s="13">
        <f>IF($A3197="","",IFERROR(INDEX(Emp_Names,MATCH($A3197,Emp_Codes,0)),"NOT FOUND"))</f>
        <v/>
      </c>
      <c r="C3197" s="14" t="n"/>
      <c r="D3197" s="15" t="n"/>
      <c r="E3197" s="15" t="n"/>
      <c r="F3197" s="15" t="n"/>
      <c r="G3197" s="15" t="n"/>
      <c r="H3197" s="16">
        <f>IF($A3197="","",$D3197+IF($E3197="",0,$E3197)+IF($F3197="",0,$F3197)-IF($G3197="",0,$G3197))</f>
        <v/>
      </c>
      <c r="I3197" s="12" t="n"/>
      <c r="J3197" s="12" t="n"/>
      <c r="K3197" s="12" t="n"/>
      <c r="L3197" s="14" t="n"/>
      <c r="M3197" s="12" t="n"/>
      <c r="N3197" s="12" t="n"/>
      <c r="O3197" s="12" t="n"/>
    </row>
    <row r="3198">
      <c r="A3198" s="12" t="n"/>
      <c r="B3198" s="13">
        <f>IF($A3198="","",IFERROR(INDEX(Emp_Names,MATCH($A3198,Emp_Codes,0)),"NOT FOUND"))</f>
        <v/>
      </c>
      <c r="C3198" s="14" t="n"/>
      <c r="D3198" s="15" t="n"/>
      <c r="E3198" s="15" t="n"/>
      <c r="F3198" s="15" t="n"/>
      <c r="G3198" s="15" t="n"/>
      <c r="H3198" s="16">
        <f>IF($A3198="","",$D3198+IF($E3198="",0,$E3198)+IF($F3198="",0,$F3198)-IF($G3198="",0,$G3198))</f>
        <v/>
      </c>
      <c r="I3198" s="12" t="n"/>
      <c r="J3198" s="12" t="n"/>
      <c r="K3198" s="12" t="n"/>
      <c r="L3198" s="14" t="n"/>
      <c r="M3198" s="12" t="n"/>
      <c r="N3198" s="12" t="n"/>
      <c r="O3198" s="12" t="n"/>
    </row>
    <row r="3199">
      <c r="A3199" s="12" t="n"/>
      <c r="B3199" s="13">
        <f>IF($A3199="","",IFERROR(INDEX(Emp_Names,MATCH($A3199,Emp_Codes,0)),"NOT FOUND"))</f>
        <v/>
      </c>
      <c r="C3199" s="14" t="n"/>
      <c r="D3199" s="15" t="n"/>
      <c r="E3199" s="15" t="n"/>
      <c r="F3199" s="15" t="n"/>
      <c r="G3199" s="15" t="n"/>
      <c r="H3199" s="16">
        <f>IF($A3199="","",$D3199+IF($E3199="",0,$E3199)+IF($F3199="",0,$F3199)-IF($G3199="",0,$G3199))</f>
        <v/>
      </c>
      <c r="I3199" s="12" t="n"/>
      <c r="J3199" s="12" t="n"/>
      <c r="K3199" s="12" t="n"/>
      <c r="L3199" s="14" t="n"/>
      <c r="M3199" s="12" t="n"/>
      <c r="N3199" s="12" t="n"/>
      <c r="O3199" s="12" t="n"/>
    </row>
    <row r="3200">
      <c r="A3200" s="12" t="n"/>
      <c r="B3200" s="13">
        <f>IF($A3200="","",IFERROR(INDEX(Emp_Names,MATCH($A3200,Emp_Codes,0)),"NOT FOUND"))</f>
        <v/>
      </c>
      <c r="C3200" s="14" t="n"/>
      <c r="D3200" s="15" t="n"/>
      <c r="E3200" s="15" t="n"/>
      <c r="F3200" s="15" t="n"/>
      <c r="G3200" s="15" t="n"/>
      <c r="H3200" s="16">
        <f>IF($A3200="","",$D3200+IF($E3200="",0,$E3200)+IF($F3200="",0,$F3200)-IF($G3200="",0,$G3200))</f>
        <v/>
      </c>
      <c r="I3200" s="12" t="n"/>
      <c r="J3200" s="12" t="n"/>
      <c r="K3200" s="12" t="n"/>
      <c r="L3200" s="14" t="n"/>
      <c r="M3200" s="12" t="n"/>
      <c r="N3200" s="12" t="n"/>
      <c r="O3200" s="12" t="n"/>
    </row>
    <row r="3201">
      <c r="A3201" s="12" t="n"/>
      <c r="B3201" s="13">
        <f>IF($A3201="","",IFERROR(INDEX(Emp_Names,MATCH($A3201,Emp_Codes,0)),"NOT FOUND"))</f>
        <v/>
      </c>
      <c r="C3201" s="14" t="n"/>
      <c r="D3201" s="15" t="n"/>
      <c r="E3201" s="15" t="n"/>
      <c r="F3201" s="15" t="n"/>
      <c r="G3201" s="15" t="n"/>
      <c r="H3201" s="16">
        <f>IF($A3201="","",$D3201+IF($E3201="",0,$E3201)+IF($F3201="",0,$F3201)-IF($G3201="",0,$G3201))</f>
        <v/>
      </c>
      <c r="I3201" s="12" t="n"/>
      <c r="J3201" s="12" t="n"/>
      <c r="K3201" s="12" t="n"/>
      <c r="L3201" s="14" t="n"/>
      <c r="M3201" s="12" t="n"/>
      <c r="N3201" s="12" t="n"/>
      <c r="O3201" s="12" t="n"/>
    </row>
    <row r="3202">
      <c r="A3202" s="12" t="n"/>
      <c r="B3202" s="13">
        <f>IF($A3202="","",IFERROR(INDEX(Emp_Names,MATCH($A3202,Emp_Codes,0)),"NOT FOUND"))</f>
        <v/>
      </c>
      <c r="C3202" s="14" t="n"/>
      <c r="D3202" s="15" t="n"/>
      <c r="E3202" s="15" t="n"/>
      <c r="F3202" s="15" t="n"/>
      <c r="G3202" s="15" t="n"/>
      <c r="H3202" s="16">
        <f>IF($A3202="","",$D3202+IF($E3202="",0,$E3202)+IF($F3202="",0,$F3202)-IF($G3202="",0,$G3202))</f>
        <v/>
      </c>
      <c r="I3202" s="12" t="n"/>
      <c r="J3202" s="12" t="n"/>
      <c r="K3202" s="12" t="n"/>
      <c r="L3202" s="14" t="n"/>
      <c r="M3202" s="12" t="n"/>
      <c r="N3202" s="12" t="n"/>
      <c r="O3202" s="12" t="n"/>
    </row>
    <row r="3203">
      <c r="A3203" s="12" t="n"/>
      <c r="B3203" s="13">
        <f>IF($A3203="","",IFERROR(INDEX(Emp_Names,MATCH($A3203,Emp_Codes,0)),"NOT FOUND"))</f>
        <v/>
      </c>
      <c r="C3203" s="14" t="n"/>
      <c r="D3203" s="15" t="n"/>
      <c r="E3203" s="15" t="n"/>
      <c r="F3203" s="15" t="n"/>
      <c r="G3203" s="15" t="n"/>
      <c r="H3203" s="16">
        <f>IF($A3203="","",$D3203+IF($E3203="",0,$E3203)+IF($F3203="",0,$F3203)-IF($G3203="",0,$G3203))</f>
        <v/>
      </c>
      <c r="I3203" s="12" t="n"/>
      <c r="J3203" s="12" t="n"/>
      <c r="K3203" s="12" t="n"/>
      <c r="L3203" s="14" t="n"/>
      <c r="M3203" s="12" t="n"/>
      <c r="N3203" s="12" t="n"/>
      <c r="O3203" s="12" t="n"/>
    </row>
    <row r="3204">
      <c r="A3204" s="12" t="n"/>
      <c r="B3204" s="13">
        <f>IF($A3204="","",IFERROR(INDEX(Emp_Names,MATCH($A3204,Emp_Codes,0)),"NOT FOUND"))</f>
        <v/>
      </c>
      <c r="C3204" s="14" t="n"/>
      <c r="D3204" s="15" t="n"/>
      <c r="E3204" s="15" t="n"/>
      <c r="F3204" s="15" t="n"/>
      <c r="G3204" s="15" t="n"/>
      <c r="H3204" s="16">
        <f>IF($A3204="","",$D3204+IF($E3204="",0,$E3204)+IF($F3204="",0,$F3204)-IF($G3204="",0,$G3204))</f>
        <v/>
      </c>
      <c r="I3204" s="12" t="n"/>
      <c r="J3204" s="12" t="n"/>
      <c r="K3204" s="12" t="n"/>
      <c r="L3204" s="14" t="n"/>
      <c r="M3204" s="12" t="n"/>
      <c r="N3204" s="12" t="n"/>
      <c r="O3204" s="12" t="n"/>
    </row>
    <row r="3205">
      <c r="A3205" s="12" t="n"/>
      <c r="B3205" s="13">
        <f>IF($A3205="","",IFERROR(INDEX(Emp_Names,MATCH($A3205,Emp_Codes,0)),"NOT FOUND"))</f>
        <v/>
      </c>
      <c r="C3205" s="14" t="n"/>
      <c r="D3205" s="15" t="n"/>
      <c r="E3205" s="15" t="n"/>
      <c r="F3205" s="15" t="n"/>
      <c r="G3205" s="15" t="n"/>
      <c r="H3205" s="16">
        <f>IF($A3205="","",$D3205+IF($E3205="",0,$E3205)+IF($F3205="",0,$F3205)-IF($G3205="",0,$G3205))</f>
        <v/>
      </c>
      <c r="I3205" s="12" t="n"/>
      <c r="J3205" s="12" t="n"/>
      <c r="K3205" s="12" t="n"/>
      <c r="L3205" s="14" t="n"/>
      <c r="M3205" s="12" t="n"/>
      <c r="N3205" s="12" t="n"/>
      <c r="O3205" s="12" t="n"/>
    </row>
    <row r="3206">
      <c r="A3206" s="12" t="n"/>
      <c r="B3206" s="13">
        <f>IF($A3206="","",IFERROR(INDEX(Emp_Names,MATCH($A3206,Emp_Codes,0)),"NOT FOUND"))</f>
        <v/>
      </c>
      <c r="C3206" s="14" t="n"/>
      <c r="D3206" s="15" t="n"/>
      <c r="E3206" s="15" t="n"/>
      <c r="F3206" s="15" t="n"/>
      <c r="G3206" s="15" t="n"/>
      <c r="H3206" s="16">
        <f>IF($A3206="","",$D3206+IF($E3206="",0,$E3206)+IF($F3206="",0,$F3206)-IF($G3206="",0,$G3206))</f>
        <v/>
      </c>
      <c r="I3206" s="12" t="n"/>
      <c r="J3206" s="12" t="n"/>
      <c r="K3206" s="12" t="n"/>
      <c r="L3206" s="14" t="n"/>
      <c r="M3206" s="12" t="n"/>
      <c r="N3206" s="12" t="n"/>
      <c r="O3206" s="12" t="n"/>
    </row>
    <row r="3207">
      <c r="A3207" s="12" t="n"/>
      <c r="B3207" s="13">
        <f>IF($A3207="","",IFERROR(INDEX(Emp_Names,MATCH($A3207,Emp_Codes,0)),"NOT FOUND"))</f>
        <v/>
      </c>
      <c r="C3207" s="14" t="n"/>
      <c r="D3207" s="15" t="n"/>
      <c r="E3207" s="15" t="n"/>
      <c r="F3207" s="15" t="n"/>
      <c r="G3207" s="15" t="n"/>
      <c r="H3207" s="16">
        <f>IF($A3207="","",$D3207+IF($E3207="",0,$E3207)+IF($F3207="",0,$F3207)-IF($G3207="",0,$G3207))</f>
        <v/>
      </c>
      <c r="I3207" s="12" t="n"/>
      <c r="J3207" s="12" t="n"/>
      <c r="K3207" s="12" t="n"/>
      <c r="L3207" s="14" t="n"/>
      <c r="M3207" s="12" t="n"/>
      <c r="N3207" s="12" t="n"/>
      <c r="O3207" s="12" t="n"/>
    </row>
    <row r="3208">
      <c r="A3208" s="12" t="n"/>
      <c r="B3208" s="13">
        <f>IF($A3208="","",IFERROR(INDEX(Emp_Names,MATCH($A3208,Emp_Codes,0)),"NOT FOUND"))</f>
        <v/>
      </c>
      <c r="C3208" s="14" t="n"/>
      <c r="D3208" s="15" t="n"/>
      <c r="E3208" s="15" t="n"/>
      <c r="F3208" s="15" t="n"/>
      <c r="G3208" s="15" t="n"/>
      <c r="H3208" s="16">
        <f>IF($A3208="","",$D3208+IF($E3208="",0,$E3208)+IF($F3208="",0,$F3208)-IF($G3208="",0,$G3208))</f>
        <v/>
      </c>
      <c r="I3208" s="12" t="n"/>
      <c r="J3208" s="12" t="n"/>
      <c r="K3208" s="12" t="n"/>
      <c r="L3208" s="14" t="n"/>
      <c r="M3208" s="12" t="n"/>
      <c r="N3208" s="12" t="n"/>
      <c r="O3208" s="12" t="n"/>
    </row>
    <row r="3209">
      <c r="A3209" s="12" t="n"/>
      <c r="B3209" s="13">
        <f>IF($A3209="","",IFERROR(INDEX(Emp_Names,MATCH($A3209,Emp_Codes,0)),"NOT FOUND"))</f>
        <v/>
      </c>
      <c r="C3209" s="14" t="n"/>
      <c r="D3209" s="15" t="n"/>
      <c r="E3209" s="15" t="n"/>
      <c r="F3209" s="15" t="n"/>
      <c r="G3209" s="15" t="n"/>
      <c r="H3209" s="16">
        <f>IF($A3209="","",$D3209+IF($E3209="",0,$E3209)+IF($F3209="",0,$F3209)-IF($G3209="",0,$G3209))</f>
        <v/>
      </c>
      <c r="I3209" s="12" t="n"/>
      <c r="J3209" s="12" t="n"/>
      <c r="K3209" s="12" t="n"/>
      <c r="L3209" s="14" t="n"/>
      <c r="M3209" s="12" t="n"/>
      <c r="N3209" s="12" t="n"/>
      <c r="O3209" s="12" t="n"/>
    </row>
    <row r="3210">
      <c r="A3210" s="12" t="n"/>
      <c r="B3210" s="13">
        <f>IF($A3210="","",IFERROR(INDEX(Emp_Names,MATCH($A3210,Emp_Codes,0)),"NOT FOUND"))</f>
        <v/>
      </c>
      <c r="C3210" s="14" t="n"/>
      <c r="D3210" s="15" t="n"/>
      <c r="E3210" s="15" t="n"/>
      <c r="F3210" s="15" t="n"/>
      <c r="G3210" s="15" t="n"/>
      <c r="H3210" s="16">
        <f>IF($A3210="","",$D3210+IF($E3210="",0,$E3210)+IF($F3210="",0,$F3210)-IF($G3210="",0,$G3210))</f>
        <v/>
      </c>
      <c r="I3210" s="12" t="n"/>
      <c r="J3210" s="12" t="n"/>
      <c r="K3210" s="12" t="n"/>
      <c r="L3210" s="14" t="n"/>
      <c r="M3210" s="12" t="n"/>
      <c r="N3210" s="12" t="n"/>
      <c r="O3210" s="12" t="n"/>
    </row>
    <row r="3211">
      <c r="A3211" s="12" t="n"/>
      <c r="B3211" s="13">
        <f>IF($A3211="","",IFERROR(INDEX(Emp_Names,MATCH($A3211,Emp_Codes,0)),"NOT FOUND"))</f>
        <v/>
      </c>
      <c r="C3211" s="14" t="n"/>
      <c r="D3211" s="15" t="n"/>
      <c r="E3211" s="15" t="n"/>
      <c r="F3211" s="15" t="n"/>
      <c r="G3211" s="15" t="n"/>
      <c r="H3211" s="16">
        <f>IF($A3211="","",$D3211+IF($E3211="",0,$E3211)+IF($F3211="",0,$F3211)-IF($G3211="",0,$G3211))</f>
        <v/>
      </c>
      <c r="I3211" s="12" t="n"/>
      <c r="J3211" s="12" t="n"/>
      <c r="K3211" s="12" t="n"/>
      <c r="L3211" s="14" t="n"/>
      <c r="M3211" s="12" t="n"/>
      <c r="N3211" s="12" t="n"/>
      <c r="O3211" s="12" t="n"/>
    </row>
    <row r="3212">
      <c r="A3212" s="12" t="n"/>
      <c r="B3212" s="13">
        <f>IF($A3212="","",IFERROR(INDEX(Emp_Names,MATCH($A3212,Emp_Codes,0)),"NOT FOUND"))</f>
        <v/>
      </c>
      <c r="C3212" s="14" t="n"/>
      <c r="D3212" s="15" t="n"/>
      <c r="E3212" s="15" t="n"/>
      <c r="F3212" s="15" t="n"/>
      <c r="G3212" s="15" t="n"/>
      <c r="H3212" s="16">
        <f>IF($A3212="","",$D3212+IF($E3212="",0,$E3212)+IF($F3212="",0,$F3212)-IF($G3212="",0,$G3212))</f>
        <v/>
      </c>
      <c r="I3212" s="12" t="n"/>
      <c r="J3212" s="12" t="n"/>
      <c r="K3212" s="12" t="n"/>
      <c r="L3212" s="14" t="n"/>
      <c r="M3212" s="12" t="n"/>
      <c r="N3212" s="12" t="n"/>
      <c r="O3212" s="12" t="n"/>
    </row>
    <row r="3213">
      <c r="A3213" s="12" t="n"/>
      <c r="B3213" s="13">
        <f>IF($A3213="","",IFERROR(INDEX(Emp_Names,MATCH($A3213,Emp_Codes,0)),"NOT FOUND"))</f>
        <v/>
      </c>
      <c r="C3213" s="14" t="n"/>
      <c r="D3213" s="15" t="n"/>
      <c r="E3213" s="15" t="n"/>
      <c r="F3213" s="15" t="n"/>
      <c r="G3213" s="15" t="n"/>
      <c r="H3213" s="16">
        <f>IF($A3213="","",$D3213+IF($E3213="",0,$E3213)+IF($F3213="",0,$F3213)-IF($G3213="",0,$G3213))</f>
        <v/>
      </c>
      <c r="I3213" s="12" t="n"/>
      <c r="J3213" s="12" t="n"/>
      <c r="K3213" s="12" t="n"/>
      <c r="L3213" s="14" t="n"/>
      <c r="M3213" s="12" t="n"/>
      <c r="N3213" s="12" t="n"/>
      <c r="O3213" s="12" t="n"/>
    </row>
    <row r="3214">
      <c r="A3214" s="12" t="n"/>
      <c r="B3214" s="13">
        <f>IF($A3214="","",IFERROR(INDEX(Emp_Names,MATCH($A3214,Emp_Codes,0)),"NOT FOUND"))</f>
        <v/>
      </c>
      <c r="C3214" s="14" t="n"/>
      <c r="D3214" s="15" t="n"/>
      <c r="E3214" s="15" t="n"/>
      <c r="F3214" s="15" t="n"/>
      <c r="G3214" s="15" t="n"/>
      <c r="H3214" s="16">
        <f>IF($A3214="","",$D3214+IF($E3214="",0,$E3214)+IF($F3214="",0,$F3214)-IF($G3214="",0,$G3214))</f>
        <v/>
      </c>
      <c r="I3214" s="12" t="n"/>
      <c r="J3214" s="12" t="n"/>
      <c r="K3214" s="12" t="n"/>
      <c r="L3214" s="14" t="n"/>
      <c r="M3214" s="12" t="n"/>
      <c r="N3214" s="12" t="n"/>
      <c r="O3214" s="12" t="n"/>
    </row>
    <row r="3215">
      <c r="A3215" s="12" t="n"/>
      <c r="B3215" s="13">
        <f>IF($A3215="","",IFERROR(INDEX(Emp_Names,MATCH($A3215,Emp_Codes,0)),"NOT FOUND"))</f>
        <v/>
      </c>
      <c r="C3215" s="14" t="n"/>
      <c r="D3215" s="15" t="n"/>
      <c r="E3215" s="15" t="n"/>
      <c r="F3215" s="15" t="n"/>
      <c r="G3215" s="15" t="n"/>
      <c r="H3215" s="16">
        <f>IF($A3215="","",$D3215+IF($E3215="",0,$E3215)+IF($F3215="",0,$F3215)-IF($G3215="",0,$G3215))</f>
        <v/>
      </c>
      <c r="I3215" s="12" t="n"/>
      <c r="J3215" s="12" t="n"/>
      <c r="K3215" s="12" t="n"/>
      <c r="L3215" s="14" t="n"/>
      <c r="M3215" s="12" t="n"/>
      <c r="N3215" s="12" t="n"/>
      <c r="O3215" s="12" t="n"/>
    </row>
    <row r="3216">
      <c r="A3216" s="12" t="n"/>
      <c r="B3216" s="13">
        <f>IF($A3216="","",IFERROR(INDEX(Emp_Names,MATCH($A3216,Emp_Codes,0)),"NOT FOUND"))</f>
        <v/>
      </c>
      <c r="C3216" s="14" t="n"/>
      <c r="D3216" s="15" t="n"/>
      <c r="E3216" s="15" t="n"/>
      <c r="F3216" s="15" t="n"/>
      <c r="G3216" s="15" t="n"/>
      <c r="H3216" s="16">
        <f>IF($A3216="","",$D3216+IF($E3216="",0,$E3216)+IF($F3216="",0,$F3216)-IF($G3216="",0,$G3216))</f>
        <v/>
      </c>
      <c r="I3216" s="12" t="n"/>
      <c r="J3216" s="12" t="n"/>
      <c r="K3216" s="12" t="n"/>
      <c r="L3216" s="14" t="n"/>
      <c r="M3216" s="12" t="n"/>
      <c r="N3216" s="12" t="n"/>
      <c r="O3216" s="12" t="n"/>
    </row>
    <row r="3217">
      <c r="A3217" s="12" t="n"/>
      <c r="B3217" s="13">
        <f>IF($A3217="","",IFERROR(INDEX(Emp_Names,MATCH($A3217,Emp_Codes,0)),"NOT FOUND"))</f>
        <v/>
      </c>
      <c r="C3217" s="14" t="n"/>
      <c r="D3217" s="15" t="n"/>
      <c r="E3217" s="15" t="n"/>
      <c r="F3217" s="15" t="n"/>
      <c r="G3217" s="15" t="n"/>
      <c r="H3217" s="16">
        <f>IF($A3217="","",$D3217+IF($E3217="",0,$E3217)+IF($F3217="",0,$F3217)-IF($G3217="",0,$G3217))</f>
        <v/>
      </c>
      <c r="I3217" s="12" t="n"/>
      <c r="J3217" s="12" t="n"/>
      <c r="K3217" s="12" t="n"/>
      <c r="L3217" s="14" t="n"/>
      <c r="M3217" s="12" t="n"/>
      <c r="N3217" s="12" t="n"/>
      <c r="O3217" s="12" t="n"/>
    </row>
    <row r="3218">
      <c r="A3218" s="12" t="n"/>
      <c r="B3218" s="13">
        <f>IF($A3218="","",IFERROR(INDEX(Emp_Names,MATCH($A3218,Emp_Codes,0)),"NOT FOUND"))</f>
        <v/>
      </c>
      <c r="C3218" s="14" t="n"/>
      <c r="D3218" s="15" t="n"/>
      <c r="E3218" s="15" t="n"/>
      <c r="F3218" s="15" t="n"/>
      <c r="G3218" s="15" t="n"/>
      <c r="H3218" s="16">
        <f>IF($A3218="","",$D3218+IF($E3218="",0,$E3218)+IF($F3218="",0,$F3218)-IF($G3218="",0,$G3218))</f>
        <v/>
      </c>
      <c r="I3218" s="12" t="n"/>
      <c r="J3218" s="12" t="n"/>
      <c r="K3218" s="12" t="n"/>
      <c r="L3218" s="14" t="n"/>
      <c r="M3218" s="12" t="n"/>
      <c r="N3218" s="12" t="n"/>
      <c r="O3218" s="12" t="n"/>
    </row>
    <row r="3219">
      <c r="A3219" s="12" t="n"/>
      <c r="B3219" s="13">
        <f>IF($A3219="","",IFERROR(INDEX(Emp_Names,MATCH($A3219,Emp_Codes,0)),"NOT FOUND"))</f>
        <v/>
      </c>
      <c r="C3219" s="14" t="n"/>
      <c r="D3219" s="15" t="n"/>
      <c r="E3219" s="15" t="n"/>
      <c r="F3219" s="15" t="n"/>
      <c r="G3219" s="15" t="n"/>
      <c r="H3219" s="16">
        <f>IF($A3219="","",$D3219+IF($E3219="",0,$E3219)+IF($F3219="",0,$F3219)-IF($G3219="",0,$G3219))</f>
        <v/>
      </c>
      <c r="I3219" s="12" t="n"/>
      <c r="J3219" s="12" t="n"/>
      <c r="K3219" s="12" t="n"/>
      <c r="L3219" s="14" t="n"/>
      <c r="M3219" s="12" t="n"/>
      <c r="N3219" s="12" t="n"/>
      <c r="O3219" s="12" t="n"/>
    </row>
    <row r="3220">
      <c r="A3220" s="12" t="n"/>
      <c r="B3220" s="13">
        <f>IF($A3220="","",IFERROR(INDEX(Emp_Names,MATCH($A3220,Emp_Codes,0)),"NOT FOUND"))</f>
        <v/>
      </c>
      <c r="C3220" s="14" t="n"/>
      <c r="D3220" s="15" t="n"/>
      <c r="E3220" s="15" t="n"/>
      <c r="F3220" s="15" t="n"/>
      <c r="G3220" s="15" t="n"/>
      <c r="H3220" s="16">
        <f>IF($A3220="","",$D3220+IF($E3220="",0,$E3220)+IF($F3220="",0,$F3220)-IF($G3220="",0,$G3220))</f>
        <v/>
      </c>
      <c r="I3220" s="12" t="n"/>
      <c r="J3220" s="12" t="n"/>
      <c r="K3220" s="12" t="n"/>
      <c r="L3220" s="14" t="n"/>
      <c r="M3220" s="12" t="n"/>
      <c r="N3220" s="12" t="n"/>
      <c r="O3220" s="12" t="n"/>
    </row>
    <row r="3221">
      <c r="A3221" s="12" t="n"/>
      <c r="B3221" s="13">
        <f>IF($A3221="","",IFERROR(INDEX(Emp_Names,MATCH($A3221,Emp_Codes,0)),"NOT FOUND"))</f>
        <v/>
      </c>
      <c r="C3221" s="14" t="n"/>
      <c r="D3221" s="15" t="n"/>
      <c r="E3221" s="15" t="n"/>
      <c r="F3221" s="15" t="n"/>
      <c r="G3221" s="15" t="n"/>
      <c r="H3221" s="16">
        <f>IF($A3221="","",$D3221+IF($E3221="",0,$E3221)+IF($F3221="",0,$F3221)-IF($G3221="",0,$G3221))</f>
        <v/>
      </c>
      <c r="I3221" s="12" t="n"/>
      <c r="J3221" s="12" t="n"/>
      <c r="K3221" s="12" t="n"/>
      <c r="L3221" s="14" t="n"/>
      <c r="M3221" s="12" t="n"/>
      <c r="N3221" s="12" t="n"/>
      <c r="O3221" s="12" t="n"/>
    </row>
    <row r="3222">
      <c r="A3222" s="12" t="n"/>
      <c r="B3222" s="13">
        <f>IF($A3222="","",IFERROR(INDEX(Emp_Names,MATCH($A3222,Emp_Codes,0)),"NOT FOUND"))</f>
        <v/>
      </c>
      <c r="C3222" s="14" t="n"/>
      <c r="D3222" s="15" t="n"/>
      <c r="E3222" s="15" t="n"/>
      <c r="F3222" s="15" t="n"/>
      <c r="G3222" s="15" t="n"/>
      <c r="H3222" s="16">
        <f>IF($A3222="","",$D3222+IF($E3222="",0,$E3222)+IF($F3222="",0,$F3222)-IF($G3222="",0,$G3222))</f>
        <v/>
      </c>
      <c r="I3222" s="12" t="n"/>
      <c r="J3222" s="12" t="n"/>
      <c r="K3222" s="12" t="n"/>
      <c r="L3222" s="14" t="n"/>
      <c r="M3222" s="12" t="n"/>
      <c r="N3222" s="12" t="n"/>
      <c r="O3222" s="12" t="n"/>
    </row>
    <row r="3223">
      <c r="A3223" s="12" t="n"/>
      <c r="B3223" s="13">
        <f>IF($A3223="","",IFERROR(INDEX(Emp_Names,MATCH($A3223,Emp_Codes,0)),"NOT FOUND"))</f>
        <v/>
      </c>
      <c r="C3223" s="14" t="n"/>
      <c r="D3223" s="15" t="n"/>
      <c r="E3223" s="15" t="n"/>
      <c r="F3223" s="15" t="n"/>
      <c r="G3223" s="15" t="n"/>
      <c r="H3223" s="16">
        <f>IF($A3223="","",$D3223+IF($E3223="",0,$E3223)+IF($F3223="",0,$F3223)-IF($G3223="",0,$G3223))</f>
        <v/>
      </c>
      <c r="I3223" s="12" t="n"/>
      <c r="J3223" s="12" t="n"/>
      <c r="K3223" s="12" t="n"/>
      <c r="L3223" s="14" t="n"/>
      <c r="M3223" s="12" t="n"/>
      <c r="N3223" s="12" t="n"/>
      <c r="O3223" s="12" t="n"/>
    </row>
    <row r="3224">
      <c r="A3224" s="12" t="n"/>
      <c r="B3224" s="13">
        <f>IF($A3224="","",IFERROR(INDEX(Emp_Names,MATCH($A3224,Emp_Codes,0)),"NOT FOUND"))</f>
        <v/>
      </c>
      <c r="C3224" s="14" t="n"/>
      <c r="D3224" s="15" t="n"/>
      <c r="E3224" s="15" t="n"/>
      <c r="F3224" s="15" t="n"/>
      <c r="G3224" s="15" t="n"/>
      <c r="H3224" s="16">
        <f>IF($A3224="","",$D3224+IF($E3224="",0,$E3224)+IF($F3224="",0,$F3224)-IF($G3224="",0,$G3224))</f>
        <v/>
      </c>
      <c r="I3224" s="12" t="n"/>
      <c r="J3224" s="12" t="n"/>
      <c r="K3224" s="12" t="n"/>
      <c r="L3224" s="14" t="n"/>
      <c r="M3224" s="12" t="n"/>
      <c r="N3224" s="12" t="n"/>
      <c r="O3224" s="12" t="n"/>
    </row>
    <row r="3225">
      <c r="A3225" s="12" t="n"/>
      <c r="B3225" s="13">
        <f>IF($A3225="","",IFERROR(INDEX(Emp_Names,MATCH($A3225,Emp_Codes,0)),"NOT FOUND"))</f>
        <v/>
      </c>
      <c r="C3225" s="14" t="n"/>
      <c r="D3225" s="15" t="n"/>
      <c r="E3225" s="15" t="n"/>
      <c r="F3225" s="15" t="n"/>
      <c r="G3225" s="15" t="n"/>
      <c r="H3225" s="16">
        <f>IF($A3225="","",$D3225+IF($E3225="",0,$E3225)+IF($F3225="",0,$F3225)-IF($G3225="",0,$G3225))</f>
        <v/>
      </c>
      <c r="I3225" s="12" t="n"/>
      <c r="J3225" s="12" t="n"/>
      <c r="K3225" s="12" t="n"/>
      <c r="L3225" s="14" t="n"/>
      <c r="M3225" s="12" t="n"/>
      <c r="N3225" s="12" t="n"/>
      <c r="O3225" s="12" t="n"/>
    </row>
    <row r="3226">
      <c r="A3226" s="12" t="n"/>
      <c r="B3226" s="13">
        <f>IF($A3226="","",IFERROR(INDEX(Emp_Names,MATCH($A3226,Emp_Codes,0)),"NOT FOUND"))</f>
        <v/>
      </c>
      <c r="C3226" s="14" t="n"/>
      <c r="D3226" s="15" t="n"/>
      <c r="E3226" s="15" t="n"/>
      <c r="F3226" s="15" t="n"/>
      <c r="G3226" s="15" t="n"/>
      <c r="H3226" s="16">
        <f>IF($A3226="","",$D3226+IF($E3226="",0,$E3226)+IF($F3226="",0,$F3226)-IF($G3226="",0,$G3226))</f>
        <v/>
      </c>
      <c r="I3226" s="12" t="n"/>
      <c r="J3226" s="12" t="n"/>
      <c r="K3226" s="12" t="n"/>
      <c r="L3226" s="14" t="n"/>
      <c r="M3226" s="12" t="n"/>
      <c r="N3226" s="12" t="n"/>
      <c r="O3226" s="12" t="n"/>
    </row>
    <row r="3227">
      <c r="A3227" s="12" t="n"/>
      <c r="B3227" s="13">
        <f>IF($A3227="","",IFERROR(INDEX(Emp_Names,MATCH($A3227,Emp_Codes,0)),"NOT FOUND"))</f>
        <v/>
      </c>
      <c r="C3227" s="14" t="n"/>
      <c r="D3227" s="15" t="n"/>
      <c r="E3227" s="15" t="n"/>
      <c r="F3227" s="15" t="n"/>
      <c r="G3227" s="15" t="n"/>
      <c r="H3227" s="16">
        <f>IF($A3227="","",$D3227+IF($E3227="",0,$E3227)+IF($F3227="",0,$F3227)-IF($G3227="",0,$G3227))</f>
        <v/>
      </c>
      <c r="I3227" s="12" t="n"/>
      <c r="J3227" s="12" t="n"/>
      <c r="K3227" s="12" t="n"/>
      <c r="L3227" s="14" t="n"/>
      <c r="M3227" s="12" t="n"/>
      <c r="N3227" s="12" t="n"/>
      <c r="O3227" s="12" t="n"/>
    </row>
    <row r="3228">
      <c r="A3228" s="12" t="n"/>
      <c r="B3228" s="13">
        <f>IF($A3228="","",IFERROR(INDEX(Emp_Names,MATCH($A3228,Emp_Codes,0)),"NOT FOUND"))</f>
        <v/>
      </c>
      <c r="C3228" s="14" t="n"/>
      <c r="D3228" s="15" t="n"/>
      <c r="E3228" s="15" t="n"/>
      <c r="F3228" s="15" t="n"/>
      <c r="G3228" s="15" t="n"/>
      <c r="H3228" s="16">
        <f>IF($A3228="","",$D3228+IF($E3228="",0,$E3228)+IF($F3228="",0,$F3228)-IF($G3228="",0,$G3228))</f>
        <v/>
      </c>
      <c r="I3228" s="12" t="n"/>
      <c r="J3228" s="12" t="n"/>
      <c r="K3228" s="12" t="n"/>
      <c r="L3228" s="14" t="n"/>
      <c r="M3228" s="12" t="n"/>
      <c r="N3228" s="12" t="n"/>
      <c r="O3228" s="12" t="n"/>
    </row>
    <row r="3229">
      <c r="A3229" s="12" t="n"/>
      <c r="B3229" s="13">
        <f>IF($A3229="","",IFERROR(INDEX(Emp_Names,MATCH($A3229,Emp_Codes,0)),"NOT FOUND"))</f>
        <v/>
      </c>
      <c r="C3229" s="14" t="n"/>
      <c r="D3229" s="15" t="n"/>
      <c r="E3229" s="15" t="n"/>
      <c r="F3229" s="15" t="n"/>
      <c r="G3229" s="15" t="n"/>
      <c r="H3229" s="16">
        <f>IF($A3229="","",$D3229+IF($E3229="",0,$E3229)+IF($F3229="",0,$F3229)-IF($G3229="",0,$G3229))</f>
        <v/>
      </c>
      <c r="I3229" s="12" t="n"/>
      <c r="J3229" s="12" t="n"/>
      <c r="K3229" s="12" t="n"/>
      <c r="L3229" s="14" t="n"/>
      <c r="M3229" s="12" t="n"/>
      <c r="N3229" s="12" t="n"/>
      <c r="O3229" s="12" t="n"/>
    </row>
    <row r="3230">
      <c r="A3230" s="12" t="n"/>
      <c r="B3230" s="13">
        <f>IF($A3230="","",IFERROR(INDEX(Emp_Names,MATCH($A3230,Emp_Codes,0)),"NOT FOUND"))</f>
        <v/>
      </c>
      <c r="C3230" s="14" t="n"/>
      <c r="D3230" s="15" t="n"/>
      <c r="E3230" s="15" t="n"/>
      <c r="F3230" s="15" t="n"/>
      <c r="G3230" s="15" t="n"/>
      <c r="H3230" s="16">
        <f>IF($A3230="","",$D3230+IF($E3230="",0,$E3230)+IF($F3230="",0,$F3230)-IF($G3230="",0,$G3230))</f>
        <v/>
      </c>
      <c r="I3230" s="12" t="n"/>
      <c r="J3230" s="12" t="n"/>
      <c r="K3230" s="12" t="n"/>
      <c r="L3230" s="14" t="n"/>
      <c r="M3230" s="12" t="n"/>
      <c r="N3230" s="12" t="n"/>
      <c r="O3230" s="12" t="n"/>
    </row>
    <row r="3231">
      <c r="A3231" s="12" t="n"/>
      <c r="B3231" s="13">
        <f>IF($A3231="","",IFERROR(INDEX(Emp_Names,MATCH($A3231,Emp_Codes,0)),"NOT FOUND"))</f>
        <v/>
      </c>
      <c r="C3231" s="14" t="n"/>
      <c r="D3231" s="15" t="n"/>
      <c r="E3231" s="15" t="n"/>
      <c r="F3231" s="15" t="n"/>
      <c r="G3231" s="15" t="n"/>
      <c r="H3231" s="16">
        <f>IF($A3231="","",$D3231+IF($E3231="",0,$E3231)+IF($F3231="",0,$F3231)-IF($G3231="",0,$G3231))</f>
        <v/>
      </c>
      <c r="I3231" s="12" t="n"/>
      <c r="J3231" s="12" t="n"/>
      <c r="K3231" s="12" t="n"/>
      <c r="L3231" s="14" t="n"/>
      <c r="M3231" s="12" t="n"/>
      <c r="N3231" s="12" t="n"/>
      <c r="O3231" s="12" t="n"/>
    </row>
    <row r="3232">
      <c r="A3232" s="12" t="n"/>
      <c r="B3232" s="13">
        <f>IF($A3232="","",IFERROR(INDEX(Emp_Names,MATCH($A3232,Emp_Codes,0)),"NOT FOUND"))</f>
        <v/>
      </c>
      <c r="C3232" s="14" t="n"/>
      <c r="D3232" s="15" t="n"/>
      <c r="E3232" s="15" t="n"/>
      <c r="F3232" s="15" t="n"/>
      <c r="G3232" s="15" t="n"/>
      <c r="H3232" s="16">
        <f>IF($A3232="","",$D3232+IF($E3232="",0,$E3232)+IF($F3232="",0,$F3232)-IF($G3232="",0,$G3232))</f>
        <v/>
      </c>
      <c r="I3232" s="12" t="n"/>
      <c r="J3232" s="12" t="n"/>
      <c r="K3232" s="12" t="n"/>
      <c r="L3232" s="14" t="n"/>
      <c r="M3232" s="12" t="n"/>
      <c r="N3232" s="12" t="n"/>
      <c r="O3232" s="12" t="n"/>
    </row>
    <row r="3233">
      <c r="A3233" s="12" t="n"/>
      <c r="B3233" s="13">
        <f>IF($A3233="","",IFERROR(INDEX(Emp_Names,MATCH($A3233,Emp_Codes,0)),"NOT FOUND"))</f>
        <v/>
      </c>
      <c r="C3233" s="14" t="n"/>
      <c r="D3233" s="15" t="n"/>
      <c r="E3233" s="15" t="n"/>
      <c r="F3233" s="15" t="n"/>
      <c r="G3233" s="15" t="n"/>
      <c r="H3233" s="16">
        <f>IF($A3233="","",$D3233+IF($E3233="",0,$E3233)+IF($F3233="",0,$F3233)-IF($G3233="",0,$G3233))</f>
        <v/>
      </c>
      <c r="I3233" s="12" t="n"/>
      <c r="J3233" s="12" t="n"/>
      <c r="K3233" s="12" t="n"/>
      <c r="L3233" s="14" t="n"/>
      <c r="M3233" s="12" t="n"/>
      <c r="N3233" s="12" t="n"/>
      <c r="O3233" s="12" t="n"/>
    </row>
    <row r="3234">
      <c r="A3234" s="12" t="n"/>
      <c r="B3234" s="13">
        <f>IF($A3234="","",IFERROR(INDEX(Emp_Names,MATCH($A3234,Emp_Codes,0)),"NOT FOUND"))</f>
        <v/>
      </c>
      <c r="C3234" s="14" t="n"/>
      <c r="D3234" s="15" t="n"/>
      <c r="E3234" s="15" t="n"/>
      <c r="F3234" s="15" t="n"/>
      <c r="G3234" s="15" t="n"/>
      <c r="H3234" s="16">
        <f>IF($A3234="","",$D3234+IF($E3234="",0,$E3234)+IF($F3234="",0,$F3234)-IF($G3234="",0,$G3234))</f>
        <v/>
      </c>
      <c r="I3234" s="12" t="n"/>
      <c r="J3234" s="12" t="n"/>
      <c r="K3234" s="12" t="n"/>
      <c r="L3234" s="14" t="n"/>
      <c r="M3234" s="12" t="n"/>
      <c r="N3234" s="12" t="n"/>
      <c r="O3234" s="12" t="n"/>
    </row>
    <row r="3235">
      <c r="A3235" s="12" t="n"/>
      <c r="B3235" s="13">
        <f>IF($A3235="","",IFERROR(INDEX(Emp_Names,MATCH($A3235,Emp_Codes,0)),"NOT FOUND"))</f>
        <v/>
      </c>
      <c r="C3235" s="14" t="n"/>
      <c r="D3235" s="15" t="n"/>
      <c r="E3235" s="15" t="n"/>
      <c r="F3235" s="15" t="n"/>
      <c r="G3235" s="15" t="n"/>
      <c r="H3235" s="16">
        <f>IF($A3235="","",$D3235+IF($E3235="",0,$E3235)+IF($F3235="",0,$F3235)-IF($G3235="",0,$G3235))</f>
        <v/>
      </c>
      <c r="I3235" s="12" t="n"/>
      <c r="J3235" s="12" t="n"/>
      <c r="K3235" s="12" t="n"/>
      <c r="L3235" s="14" t="n"/>
      <c r="M3235" s="12" t="n"/>
      <c r="N3235" s="12" t="n"/>
      <c r="O3235" s="12" t="n"/>
    </row>
    <row r="3236">
      <c r="A3236" s="12" t="n"/>
      <c r="B3236" s="13">
        <f>IF($A3236="","",IFERROR(INDEX(Emp_Names,MATCH($A3236,Emp_Codes,0)),"NOT FOUND"))</f>
        <v/>
      </c>
      <c r="C3236" s="14" t="n"/>
      <c r="D3236" s="15" t="n"/>
      <c r="E3236" s="15" t="n"/>
      <c r="F3236" s="15" t="n"/>
      <c r="G3236" s="15" t="n"/>
      <c r="H3236" s="16">
        <f>IF($A3236="","",$D3236+IF($E3236="",0,$E3236)+IF($F3236="",0,$F3236)-IF($G3236="",0,$G3236))</f>
        <v/>
      </c>
      <c r="I3236" s="12" t="n"/>
      <c r="J3236" s="12" t="n"/>
      <c r="K3236" s="12" t="n"/>
      <c r="L3236" s="14" t="n"/>
      <c r="M3236" s="12" t="n"/>
      <c r="N3236" s="12" t="n"/>
      <c r="O3236" s="12" t="n"/>
    </row>
    <row r="3237">
      <c r="A3237" s="12" t="n"/>
      <c r="B3237" s="13">
        <f>IF($A3237="","",IFERROR(INDEX(Emp_Names,MATCH($A3237,Emp_Codes,0)),"NOT FOUND"))</f>
        <v/>
      </c>
      <c r="C3237" s="14" t="n"/>
      <c r="D3237" s="15" t="n"/>
      <c r="E3237" s="15" t="n"/>
      <c r="F3237" s="15" t="n"/>
      <c r="G3237" s="15" t="n"/>
      <c r="H3237" s="16">
        <f>IF($A3237="","",$D3237+IF($E3237="",0,$E3237)+IF($F3237="",0,$F3237)-IF($G3237="",0,$G3237))</f>
        <v/>
      </c>
      <c r="I3237" s="12" t="n"/>
      <c r="J3237" s="12" t="n"/>
      <c r="K3237" s="12" t="n"/>
      <c r="L3237" s="14" t="n"/>
      <c r="M3237" s="12" t="n"/>
      <c r="N3237" s="12" t="n"/>
      <c r="O3237" s="12" t="n"/>
    </row>
    <row r="3238">
      <c r="A3238" s="12" t="n"/>
      <c r="B3238" s="13">
        <f>IF($A3238="","",IFERROR(INDEX(Emp_Names,MATCH($A3238,Emp_Codes,0)),"NOT FOUND"))</f>
        <v/>
      </c>
      <c r="C3238" s="14" t="n"/>
      <c r="D3238" s="15" t="n"/>
      <c r="E3238" s="15" t="n"/>
      <c r="F3238" s="15" t="n"/>
      <c r="G3238" s="15" t="n"/>
      <c r="H3238" s="16">
        <f>IF($A3238="","",$D3238+IF($E3238="",0,$E3238)+IF($F3238="",0,$F3238)-IF($G3238="",0,$G3238))</f>
        <v/>
      </c>
      <c r="I3238" s="12" t="n"/>
      <c r="J3238" s="12" t="n"/>
      <c r="K3238" s="12" t="n"/>
      <c r="L3238" s="14" t="n"/>
      <c r="M3238" s="12" t="n"/>
      <c r="N3238" s="12" t="n"/>
      <c r="O3238" s="12" t="n"/>
    </row>
    <row r="3239">
      <c r="A3239" s="12" t="n"/>
      <c r="B3239" s="13">
        <f>IF($A3239="","",IFERROR(INDEX(Emp_Names,MATCH($A3239,Emp_Codes,0)),"NOT FOUND"))</f>
        <v/>
      </c>
      <c r="C3239" s="14" t="n"/>
      <c r="D3239" s="15" t="n"/>
      <c r="E3239" s="15" t="n"/>
      <c r="F3239" s="15" t="n"/>
      <c r="G3239" s="15" t="n"/>
      <c r="H3239" s="16">
        <f>IF($A3239="","",$D3239+IF($E3239="",0,$E3239)+IF($F3239="",0,$F3239)-IF($G3239="",0,$G3239))</f>
        <v/>
      </c>
      <c r="I3239" s="12" t="n"/>
      <c r="J3239" s="12" t="n"/>
      <c r="K3239" s="12" t="n"/>
      <c r="L3239" s="14" t="n"/>
      <c r="M3239" s="12" t="n"/>
      <c r="N3239" s="12" t="n"/>
      <c r="O3239" s="12" t="n"/>
    </row>
    <row r="3240">
      <c r="A3240" s="12" t="n"/>
      <c r="B3240" s="13">
        <f>IF($A3240="","",IFERROR(INDEX(Emp_Names,MATCH($A3240,Emp_Codes,0)),"NOT FOUND"))</f>
        <v/>
      </c>
      <c r="C3240" s="14" t="n"/>
      <c r="D3240" s="15" t="n"/>
      <c r="E3240" s="15" t="n"/>
      <c r="F3240" s="15" t="n"/>
      <c r="G3240" s="15" t="n"/>
      <c r="H3240" s="16">
        <f>IF($A3240="","",$D3240+IF($E3240="",0,$E3240)+IF($F3240="",0,$F3240)-IF($G3240="",0,$G3240))</f>
        <v/>
      </c>
      <c r="I3240" s="12" t="n"/>
      <c r="J3240" s="12" t="n"/>
      <c r="K3240" s="12" t="n"/>
      <c r="L3240" s="14" t="n"/>
      <c r="M3240" s="12" t="n"/>
      <c r="N3240" s="12" t="n"/>
      <c r="O3240" s="12" t="n"/>
    </row>
    <row r="3241">
      <c r="A3241" s="12" t="n"/>
      <c r="B3241" s="13">
        <f>IF($A3241="","",IFERROR(INDEX(Emp_Names,MATCH($A3241,Emp_Codes,0)),"NOT FOUND"))</f>
        <v/>
      </c>
      <c r="C3241" s="14" t="n"/>
      <c r="D3241" s="15" t="n"/>
      <c r="E3241" s="15" t="n"/>
      <c r="F3241" s="15" t="n"/>
      <c r="G3241" s="15" t="n"/>
      <c r="H3241" s="16">
        <f>IF($A3241="","",$D3241+IF($E3241="",0,$E3241)+IF($F3241="",0,$F3241)-IF($G3241="",0,$G3241))</f>
        <v/>
      </c>
      <c r="I3241" s="12" t="n"/>
      <c r="J3241" s="12" t="n"/>
      <c r="K3241" s="12" t="n"/>
      <c r="L3241" s="14" t="n"/>
      <c r="M3241" s="12" t="n"/>
      <c r="N3241" s="12" t="n"/>
      <c r="O3241" s="12" t="n"/>
    </row>
    <row r="3242">
      <c r="A3242" s="12" t="n"/>
      <c r="B3242" s="13">
        <f>IF($A3242="","",IFERROR(INDEX(Emp_Names,MATCH($A3242,Emp_Codes,0)),"NOT FOUND"))</f>
        <v/>
      </c>
      <c r="C3242" s="14" t="n"/>
      <c r="D3242" s="15" t="n"/>
      <c r="E3242" s="15" t="n"/>
      <c r="F3242" s="15" t="n"/>
      <c r="G3242" s="15" t="n"/>
      <c r="H3242" s="16">
        <f>IF($A3242="","",$D3242+IF($E3242="",0,$E3242)+IF($F3242="",0,$F3242)-IF($G3242="",0,$G3242))</f>
        <v/>
      </c>
      <c r="I3242" s="12" t="n"/>
      <c r="J3242" s="12" t="n"/>
      <c r="K3242" s="12" t="n"/>
      <c r="L3242" s="14" t="n"/>
      <c r="M3242" s="12" t="n"/>
      <c r="N3242" s="12" t="n"/>
      <c r="O3242" s="12" t="n"/>
    </row>
    <row r="3243">
      <c r="A3243" s="12" t="n"/>
      <c r="B3243" s="13">
        <f>IF($A3243="","",IFERROR(INDEX(Emp_Names,MATCH($A3243,Emp_Codes,0)),"NOT FOUND"))</f>
        <v/>
      </c>
      <c r="C3243" s="14" t="n"/>
      <c r="D3243" s="15" t="n"/>
      <c r="E3243" s="15" t="n"/>
      <c r="F3243" s="15" t="n"/>
      <c r="G3243" s="15" t="n"/>
      <c r="H3243" s="16">
        <f>IF($A3243="","",$D3243+IF($E3243="",0,$E3243)+IF($F3243="",0,$F3243)-IF($G3243="",0,$G3243))</f>
        <v/>
      </c>
      <c r="I3243" s="12" t="n"/>
      <c r="J3243" s="12" t="n"/>
      <c r="K3243" s="12" t="n"/>
      <c r="L3243" s="14" t="n"/>
      <c r="M3243" s="12" t="n"/>
      <c r="N3243" s="12" t="n"/>
      <c r="O3243" s="12" t="n"/>
    </row>
    <row r="3244">
      <c r="A3244" s="12" t="n"/>
      <c r="B3244" s="13">
        <f>IF($A3244="","",IFERROR(INDEX(Emp_Names,MATCH($A3244,Emp_Codes,0)),"NOT FOUND"))</f>
        <v/>
      </c>
      <c r="C3244" s="14" t="n"/>
      <c r="D3244" s="15" t="n"/>
      <c r="E3244" s="15" t="n"/>
      <c r="F3244" s="15" t="n"/>
      <c r="G3244" s="15" t="n"/>
      <c r="H3244" s="16">
        <f>IF($A3244="","",$D3244+IF($E3244="",0,$E3244)+IF($F3244="",0,$F3244)-IF($G3244="",0,$G3244))</f>
        <v/>
      </c>
      <c r="I3244" s="12" t="n"/>
      <c r="J3244" s="12" t="n"/>
      <c r="K3244" s="12" t="n"/>
      <c r="L3244" s="14" t="n"/>
      <c r="M3244" s="12" t="n"/>
      <c r="N3244" s="12" t="n"/>
      <c r="O3244" s="12" t="n"/>
    </row>
    <row r="3245">
      <c r="A3245" s="12" t="n"/>
      <c r="B3245" s="13">
        <f>IF($A3245="","",IFERROR(INDEX(Emp_Names,MATCH($A3245,Emp_Codes,0)),"NOT FOUND"))</f>
        <v/>
      </c>
      <c r="C3245" s="14" t="n"/>
      <c r="D3245" s="15" t="n"/>
      <c r="E3245" s="15" t="n"/>
      <c r="F3245" s="15" t="n"/>
      <c r="G3245" s="15" t="n"/>
      <c r="H3245" s="16">
        <f>IF($A3245="","",$D3245+IF($E3245="",0,$E3245)+IF($F3245="",0,$F3245)-IF($G3245="",0,$G3245))</f>
        <v/>
      </c>
      <c r="I3245" s="12" t="n"/>
      <c r="J3245" s="12" t="n"/>
      <c r="K3245" s="12" t="n"/>
      <c r="L3245" s="14" t="n"/>
      <c r="M3245" s="12" t="n"/>
      <c r="N3245" s="12" t="n"/>
      <c r="O3245" s="12" t="n"/>
    </row>
    <row r="3246">
      <c r="A3246" s="12" t="n"/>
      <c r="B3246" s="13">
        <f>IF($A3246="","",IFERROR(INDEX(Emp_Names,MATCH($A3246,Emp_Codes,0)),"NOT FOUND"))</f>
        <v/>
      </c>
      <c r="C3246" s="14" t="n"/>
      <c r="D3246" s="15" t="n"/>
      <c r="E3246" s="15" t="n"/>
      <c r="F3246" s="15" t="n"/>
      <c r="G3246" s="15" t="n"/>
      <c r="H3246" s="16">
        <f>IF($A3246="","",$D3246+IF($E3246="",0,$E3246)+IF($F3246="",0,$F3246)-IF($G3246="",0,$G3246))</f>
        <v/>
      </c>
      <c r="I3246" s="12" t="n"/>
      <c r="J3246" s="12" t="n"/>
      <c r="K3246" s="12" t="n"/>
      <c r="L3246" s="14" t="n"/>
      <c r="M3246" s="12" t="n"/>
      <c r="N3246" s="12" t="n"/>
      <c r="O3246" s="12" t="n"/>
    </row>
    <row r="3247">
      <c r="A3247" s="12" t="n"/>
      <c r="B3247" s="13">
        <f>IF($A3247="","",IFERROR(INDEX(Emp_Names,MATCH($A3247,Emp_Codes,0)),"NOT FOUND"))</f>
        <v/>
      </c>
      <c r="C3247" s="14" t="n"/>
      <c r="D3247" s="15" t="n"/>
      <c r="E3247" s="15" t="n"/>
      <c r="F3247" s="15" t="n"/>
      <c r="G3247" s="15" t="n"/>
      <c r="H3247" s="16">
        <f>IF($A3247="","",$D3247+IF($E3247="",0,$E3247)+IF($F3247="",0,$F3247)-IF($G3247="",0,$G3247))</f>
        <v/>
      </c>
      <c r="I3247" s="12" t="n"/>
      <c r="J3247" s="12" t="n"/>
      <c r="K3247" s="12" t="n"/>
      <c r="L3247" s="14" t="n"/>
      <c r="M3247" s="12" t="n"/>
      <c r="N3247" s="12" t="n"/>
      <c r="O3247" s="12" t="n"/>
    </row>
    <row r="3248">
      <c r="A3248" s="12" t="n"/>
      <c r="B3248" s="13">
        <f>IF($A3248="","",IFERROR(INDEX(Emp_Names,MATCH($A3248,Emp_Codes,0)),"NOT FOUND"))</f>
        <v/>
      </c>
      <c r="C3248" s="14" t="n"/>
      <c r="D3248" s="15" t="n"/>
      <c r="E3248" s="15" t="n"/>
      <c r="F3248" s="15" t="n"/>
      <c r="G3248" s="15" t="n"/>
      <c r="H3248" s="16">
        <f>IF($A3248="","",$D3248+IF($E3248="",0,$E3248)+IF($F3248="",0,$F3248)-IF($G3248="",0,$G3248))</f>
        <v/>
      </c>
      <c r="I3248" s="12" t="n"/>
      <c r="J3248" s="12" t="n"/>
      <c r="K3248" s="12" t="n"/>
      <c r="L3248" s="14" t="n"/>
      <c r="M3248" s="12" t="n"/>
      <c r="N3248" s="12" t="n"/>
      <c r="O3248" s="12" t="n"/>
    </row>
    <row r="3249">
      <c r="A3249" s="12" t="n"/>
      <c r="B3249" s="13">
        <f>IF($A3249="","",IFERROR(INDEX(Emp_Names,MATCH($A3249,Emp_Codes,0)),"NOT FOUND"))</f>
        <v/>
      </c>
      <c r="C3249" s="14" t="n"/>
      <c r="D3249" s="15" t="n"/>
      <c r="E3249" s="15" t="n"/>
      <c r="F3249" s="15" t="n"/>
      <c r="G3249" s="15" t="n"/>
      <c r="H3249" s="16">
        <f>IF($A3249="","",$D3249+IF($E3249="",0,$E3249)+IF($F3249="",0,$F3249)-IF($G3249="",0,$G3249))</f>
        <v/>
      </c>
      <c r="I3249" s="12" t="n"/>
      <c r="J3249" s="12" t="n"/>
      <c r="K3249" s="12" t="n"/>
      <c r="L3249" s="14" t="n"/>
      <c r="M3249" s="12" t="n"/>
      <c r="N3249" s="12" t="n"/>
      <c r="O3249" s="12" t="n"/>
    </row>
    <row r="3250">
      <c r="A3250" s="12" t="n"/>
      <c r="B3250" s="13">
        <f>IF($A3250="","",IFERROR(INDEX(Emp_Names,MATCH($A3250,Emp_Codes,0)),"NOT FOUND"))</f>
        <v/>
      </c>
      <c r="C3250" s="14" t="n"/>
      <c r="D3250" s="15" t="n"/>
      <c r="E3250" s="15" t="n"/>
      <c r="F3250" s="15" t="n"/>
      <c r="G3250" s="15" t="n"/>
      <c r="H3250" s="16">
        <f>IF($A3250="","",$D3250+IF($E3250="",0,$E3250)+IF($F3250="",0,$F3250)-IF($G3250="",0,$G3250))</f>
        <v/>
      </c>
      <c r="I3250" s="12" t="n"/>
      <c r="J3250" s="12" t="n"/>
      <c r="K3250" s="12" t="n"/>
      <c r="L3250" s="14" t="n"/>
      <c r="M3250" s="12" t="n"/>
      <c r="N3250" s="12" t="n"/>
      <c r="O3250" s="12" t="n"/>
    </row>
    <row r="3251">
      <c r="A3251" s="12" t="n"/>
      <c r="B3251" s="13">
        <f>IF($A3251="","",IFERROR(INDEX(Emp_Names,MATCH($A3251,Emp_Codes,0)),"NOT FOUND"))</f>
        <v/>
      </c>
      <c r="C3251" s="14" t="n"/>
      <c r="D3251" s="15" t="n"/>
      <c r="E3251" s="15" t="n"/>
      <c r="F3251" s="15" t="n"/>
      <c r="G3251" s="15" t="n"/>
      <c r="H3251" s="16">
        <f>IF($A3251="","",$D3251+IF($E3251="",0,$E3251)+IF($F3251="",0,$F3251)-IF($G3251="",0,$G3251))</f>
        <v/>
      </c>
      <c r="I3251" s="12" t="n"/>
      <c r="J3251" s="12" t="n"/>
      <c r="K3251" s="12" t="n"/>
      <c r="L3251" s="14" t="n"/>
      <c r="M3251" s="12" t="n"/>
      <c r="N3251" s="12" t="n"/>
      <c r="O3251" s="12" t="n"/>
    </row>
    <row r="3252">
      <c r="A3252" s="12" t="n"/>
      <c r="B3252" s="13">
        <f>IF($A3252="","",IFERROR(INDEX(Emp_Names,MATCH($A3252,Emp_Codes,0)),"NOT FOUND"))</f>
        <v/>
      </c>
      <c r="C3252" s="14" t="n"/>
      <c r="D3252" s="15" t="n"/>
      <c r="E3252" s="15" t="n"/>
      <c r="F3252" s="15" t="n"/>
      <c r="G3252" s="15" t="n"/>
      <c r="H3252" s="16">
        <f>IF($A3252="","",$D3252+IF($E3252="",0,$E3252)+IF($F3252="",0,$F3252)-IF($G3252="",0,$G3252))</f>
        <v/>
      </c>
      <c r="I3252" s="12" t="n"/>
      <c r="J3252" s="12" t="n"/>
      <c r="K3252" s="12" t="n"/>
      <c r="L3252" s="14" t="n"/>
      <c r="M3252" s="12" t="n"/>
      <c r="N3252" s="12" t="n"/>
      <c r="O3252" s="12" t="n"/>
    </row>
    <row r="3253">
      <c r="A3253" s="12" t="n"/>
      <c r="B3253" s="13">
        <f>IF($A3253="","",IFERROR(INDEX(Emp_Names,MATCH($A3253,Emp_Codes,0)),"NOT FOUND"))</f>
        <v/>
      </c>
      <c r="C3253" s="14" t="n"/>
      <c r="D3253" s="15" t="n"/>
      <c r="E3253" s="15" t="n"/>
      <c r="F3253" s="15" t="n"/>
      <c r="G3253" s="15" t="n"/>
      <c r="H3253" s="16">
        <f>IF($A3253="","",$D3253+IF($E3253="",0,$E3253)+IF($F3253="",0,$F3253)-IF($G3253="",0,$G3253))</f>
        <v/>
      </c>
      <c r="I3253" s="12" t="n"/>
      <c r="J3253" s="12" t="n"/>
      <c r="K3253" s="12" t="n"/>
      <c r="L3253" s="14" t="n"/>
      <c r="M3253" s="12" t="n"/>
      <c r="N3253" s="12" t="n"/>
      <c r="O3253" s="12" t="n"/>
    </row>
    <row r="3254">
      <c r="A3254" s="12" t="n"/>
      <c r="B3254" s="13">
        <f>IF($A3254="","",IFERROR(INDEX(Emp_Names,MATCH($A3254,Emp_Codes,0)),"NOT FOUND"))</f>
        <v/>
      </c>
      <c r="C3254" s="14" t="n"/>
      <c r="D3254" s="15" t="n"/>
      <c r="E3254" s="15" t="n"/>
      <c r="F3254" s="15" t="n"/>
      <c r="G3254" s="15" t="n"/>
      <c r="H3254" s="16">
        <f>IF($A3254="","",$D3254+IF($E3254="",0,$E3254)+IF($F3254="",0,$F3254)-IF($G3254="",0,$G3254))</f>
        <v/>
      </c>
      <c r="I3254" s="12" t="n"/>
      <c r="J3254" s="12" t="n"/>
      <c r="K3254" s="12" t="n"/>
      <c r="L3254" s="14" t="n"/>
      <c r="M3254" s="12" t="n"/>
      <c r="N3254" s="12" t="n"/>
      <c r="O3254" s="12" t="n"/>
    </row>
    <row r="3255">
      <c r="A3255" s="12" t="n"/>
      <c r="B3255" s="13">
        <f>IF($A3255="","",IFERROR(INDEX(Emp_Names,MATCH($A3255,Emp_Codes,0)),"NOT FOUND"))</f>
        <v/>
      </c>
      <c r="C3255" s="14" t="n"/>
      <c r="D3255" s="15" t="n"/>
      <c r="E3255" s="15" t="n"/>
      <c r="F3255" s="15" t="n"/>
      <c r="G3255" s="15" t="n"/>
      <c r="H3255" s="16">
        <f>IF($A3255="","",$D3255+IF($E3255="",0,$E3255)+IF($F3255="",0,$F3255)-IF($G3255="",0,$G3255))</f>
        <v/>
      </c>
      <c r="I3255" s="12" t="n"/>
      <c r="J3255" s="12" t="n"/>
      <c r="K3255" s="12" t="n"/>
      <c r="L3255" s="14" t="n"/>
      <c r="M3255" s="12" t="n"/>
      <c r="N3255" s="12" t="n"/>
      <c r="O3255" s="12" t="n"/>
    </row>
    <row r="3256">
      <c r="A3256" s="12" t="n"/>
      <c r="B3256" s="13">
        <f>IF($A3256="","",IFERROR(INDEX(Emp_Names,MATCH($A3256,Emp_Codes,0)),"NOT FOUND"))</f>
        <v/>
      </c>
      <c r="C3256" s="14" t="n"/>
      <c r="D3256" s="15" t="n"/>
      <c r="E3256" s="15" t="n"/>
      <c r="F3256" s="15" t="n"/>
      <c r="G3256" s="15" t="n"/>
      <c r="H3256" s="16">
        <f>IF($A3256="","",$D3256+IF($E3256="",0,$E3256)+IF($F3256="",0,$F3256)-IF($G3256="",0,$G3256))</f>
        <v/>
      </c>
      <c r="I3256" s="12" t="n"/>
      <c r="J3256" s="12" t="n"/>
      <c r="K3256" s="12" t="n"/>
      <c r="L3256" s="14" t="n"/>
      <c r="M3256" s="12" t="n"/>
      <c r="N3256" s="12" t="n"/>
      <c r="O3256" s="12" t="n"/>
    </row>
    <row r="3257">
      <c r="A3257" s="12" t="n"/>
      <c r="B3257" s="13">
        <f>IF($A3257="","",IFERROR(INDEX(Emp_Names,MATCH($A3257,Emp_Codes,0)),"NOT FOUND"))</f>
        <v/>
      </c>
      <c r="C3257" s="14" t="n"/>
      <c r="D3257" s="15" t="n"/>
      <c r="E3257" s="15" t="n"/>
      <c r="F3257" s="15" t="n"/>
      <c r="G3257" s="15" t="n"/>
      <c r="H3257" s="16">
        <f>IF($A3257="","",$D3257+IF($E3257="",0,$E3257)+IF($F3257="",0,$F3257)-IF($G3257="",0,$G3257))</f>
        <v/>
      </c>
      <c r="I3257" s="12" t="n"/>
      <c r="J3257" s="12" t="n"/>
      <c r="K3257" s="12" t="n"/>
      <c r="L3257" s="14" t="n"/>
      <c r="M3257" s="12" t="n"/>
      <c r="N3257" s="12" t="n"/>
      <c r="O3257" s="12" t="n"/>
    </row>
    <row r="3258">
      <c r="A3258" s="12" t="n"/>
      <c r="B3258" s="13">
        <f>IF($A3258="","",IFERROR(INDEX(Emp_Names,MATCH($A3258,Emp_Codes,0)),"NOT FOUND"))</f>
        <v/>
      </c>
      <c r="C3258" s="14" t="n"/>
      <c r="D3258" s="15" t="n"/>
      <c r="E3258" s="15" t="n"/>
      <c r="F3258" s="15" t="n"/>
      <c r="G3258" s="15" t="n"/>
      <c r="H3258" s="16">
        <f>IF($A3258="","",$D3258+IF($E3258="",0,$E3258)+IF($F3258="",0,$F3258)-IF($G3258="",0,$G3258))</f>
        <v/>
      </c>
      <c r="I3258" s="12" t="n"/>
      <c r="J3258" s="12" t="n"/>
      <c r="K3258" s="12" t="n"/>
      <c r="L3258" s="14" t="n"/>
      <c r="M3258" s="12" t="n"/>
      <c r="N3258" s="12" t="n"/>
      <c r="O3258" s="12" t="n"/>
    </row>
    <row r="3259">
      <c r="A3259" s="12" t="n"/>
      <c r="B3259" s="13">
        <f>IF($A3259="","",IFERROR(INDEX(Emp_Names,MATCH($A3259,Emp_Codes,0)),"NOT FOUND"))</f>
        <v/>
      </c>
      <c r="C3259" s="14" t="n"/>
      <c r="D3259" s="15" t="n"/>
      <c r="E3259" s="15" t="n"/>
      <c r="F3259" s="15" t="n"/>
      <c r="G3259" s="15" t="n"/>
      <c r="H3259" s="16">
        <f>IF($A3259="","",$D3259+IF($E3259="",0,$E3259)+IF($F3259="",0,$F3259)-IF($G3259="",0,$G3259))</f>
        <v/>
      </c>
      <c r="I3259" s="12" t="n"/>
      <c r="J3259" s="12" t="n"/>
      <c r="K3259" s="12" t="n"/>
      <c r="L3259" s="14" t="n"/>
      <c r="M3259" s="12" t="n"/>
      <c r="N3259" s="12" t="n"/>
      <c r="O3259" s="12" t="n"/>
    </row>
    <row r="3260">
      <c r="A3260" s="12" t="n"/>
      <c r="B3260" s="13">
        <f>IF($A3260="","",IFERROR(INDEX(Emp_Names,MATCH($A3260,Emp_Codes,0)),"NOT FOUND"))</f>
        <v/>
      </c>
      <c r="C3260" s="14" t="n"/>
      <c r="D3260" s="15" t="n"/>
      <c r="E3260" s="15" t="n"/>
      <c r="F3260" s="15" t="n"/>
      <c r="G3260" s="15" t="n"/>
      <c r="H3260" s="16">
        <f>IF($A3260="","",$D3260+IF($E3260="",0,$E3260)+IF($F3260="",0,$F3260)-IF($G3260="",0,$G3260))</f>
        <v/>
      </c>
      <c r="I3260" s="12" t="n"/>
      <c r="J3260" s="12" t="n"/>
      <c r="K3260" s="12" t="n"/>
      <c r="L3260" s="14" t="n"/>
      <c r="M3260" s="12" t="n"/>
      <c r="N3260" s="12" t="n"/>
      <c r="O3260" s="12" t="n"/>
    </row>
    <row r="3261">
      <c r="A3261" s="12" t="n"/>
      <c r="B3261" s="13">
        <f>IF($A3261="","",IFERROR(INDEX(Emp_Names,MATCH($A3261,Emp_Codes,0)),"NOT FOUND"))</f>
        <v/>
      </c>
      <c r="C3261" s="14" t="n"/>
      <c r="D3261" s="15" t="n"/>
      <c r="E3261" s="15" t="n"/>
      <c r="F3261" s="15" t="n"/>
      <c r="G3261" s="15" t="n"/>
      <c r="H3261" s="16">
        <f>IF($A3261="","",$D3261+IF($E3261="",0,$E3261)+IF($F3261="",0,$F3261)-IF($G3261="",0,$G3261))</f>
        <v/>
      </c>
      <c r="I3261" s="12" t="n"/>
      <c r="J3261" s="12" t="n"/>
      <c r="K3261" s="12" t="n"/>
      <c r="L3261" s="14" t="n"/>
      <c r="M3261" s="12" t="n"/>
      <c r="N3261" s="12" t="n"/>
      <c r="O3261" s="12" t="n"/>
    </row>
    <row r="3262">
      <c r="A3262" s="12" t="n"/>
      <c r="B3262" s="13">
        <f>IF($A3262="","",IFERROR(INDEX(Emp_Names,MATCH($A3262,Emp_Codes,0)),"NOT FOUND"))</f>
        <v/>
      </c>
      <c r="C3262" s="14" t="n"/>
      <c r="D3262" s="15" t="n"/>
      <c r="E3262" s="15" t="n"/>
      <c r="F3262" s="15" t="n"/>
      <c r="G3262" s="15" t="n"/>
      <c r="H3262" s="16">
        <f>IF($A3262="","",$D3262+IF($E3262="",0,$E3262)+IF($F3262="",0,$F3262)-IF($G3262="",0,$G3262))</f>
        <v/>
      </c>
      <c r="I3262" s="12" t="n"/>
      <c r="J3262" s="12" t="n"/>
      <c r="K3262" s="12" t="n"/>
      <c r="L3262" s="14" t="n"/>
      <c r="M3262" s="12" t="n"/>
      <c r="N3262" s="12" t="n"/>
      <c r="O3262" s="12" t="n"/>
    </row>
    <row r="3263">
      <c r="A3263" s="12" t="n"/>
      <c r="B3263" s="13">
        <f>IF($A3263="","",IFERROR(INDEX(Emp_Names,MATCH($A3263,Emp_Codes,0)),"NOT FOUND"))</f>
        <v/>
      </c>
      <c r="C3263" s="14" t="n"/>
      <c r="D3263" s="15" t="n"/>
      <c r="E3263" s="15" t="n"/>
      <c r="F3263" s="15" t="n"/>
      <c r="G3263" s="15" t="n"/>
      <c r="H3263" s="16">
        <f>IF($A3263="","",$D3263+IF($E3263="",0,$E3263)+IF($F3263="",0,$F3263)-IF($G3263="",0,$G3263))</f>
        <v/>
      </c>
      <c r="I3263" s="12" t="n"/>
      <c r="J3263" s="12" t="n"/>
      <c r="K3263" s="12" t="n"/>
      <c r="L3263" s="14" t="n"/>
      <c r="M3263" s="12" t="n"/>
      <c r="N3263" s="12" t="n"/>
      <c r="O3263" s="12" t="n"/>
    </row>
    <row r="3264">
      <c r="A3264" s="12" t="n"/>
      <c r="B3264" s="13">
        <f>IF($A3264="","",IFERROR(INDEX(Emp_Names,MATCH($A3264,Emp_Codes,0)),"NOT FOUND"))</f>
        <v/>
      </c>
      <c r="C3264" s="14" t="n"/>
      <c r="D3264" s="15" t="n"/>
      <c r="E3264" s="15" t="n"/>
      <c r="F3264" s="15" t="n"/>
      <c r="G3264" s="15" t="n"/>
      <c r="H3264" s="16">
        <f>IF($A3264="","",$D3264+IF($E3264="",0,$E3264)+IF($F3264="",0,$F3264)-IF($G3264="",0,$G3264))</f>
        <v/>
      </c>
      <c r="I3264" s="12" t="n"/>
      <c r="J3264" s="12" t="n"/>
      <c r="K3264" s="12" t="n"/>
      <c r="L3264" s="14" t="n"/>
      <c r="M3264" s="12" t="n"/>
      <c r="N3264" s="12" t="n"/>
      <c r="O3264" s="12" t="n"/>
    </row>
    <row r="3265">
      <c r="A3265" s="12" t="n"/>
      <c r="B3265" s="13">
        <f>IF($A3265="","",IFERROR(INDEX(Emp_Names,MATCH($A3265,Emp_Codes,0)),"NOT FOUND"))</f>
        <v/>
      </c>
      <c r="C3265" s="14" t="n"/>
      <c r="D3265" s="15" t="n"/>
      <c r="E3265" s="15" t="n"/>
      <c r="F3265" s="15" t="n"/>
      <c r="G3265" s="15" t="n"/>
      <c r="H3265" s="16">
        <f>IF($A3265="","",$D3265+IF($E3265="",0,$E3265)+IF($F3265="",0,$F3265)-IF($G3265="",0,$G3265))</f>
        <v/>
      </c>
      <c r="I3265" s="12" t="n"/>
      <c r="J3265" s="12" t="n"/>
      <c r="K3265" s="12" t="n"/>
      <c r="L3265" s="14" t="n"/>
      <c r="M3265" s="12" t="n"/>
      <c r="N3265" s="12" t="n"/>
      <c r="O3265" s="12" t="n"/>
    </row>
    <row r="3266">
      <c r="A3266" s="12" t="n"/>
      <c r="B3266" s="13">
        <f>IF($A3266="","",IFERROR(INDEX(Emp_Names,MATCH($A3266,Emp_Codes,0)),"NOT FOUND"))</f>
        <v/>
      </c>
      <c r="C3266" s="14" t="n"/>
      <c r="D3266" s="15" t="n"/>
      <c r="E3266" s="15" t="n"/>
      <c r="F3266" s="15" t="n"/>
      <c r="G3266" s="15" t="n"/>
      <c r="H3266" s="16">
        <f>IF($A3266="","",$D3266+IF($E3266="",0,$E3266)+IF($F3266="",0,$F3266)-IF($G3266="",0,$G3266))</f>
        <v/>
      </c>
      <c r="I3266" s="12" t="n"/>
      <c r="J3266" s="12" t="n"/>
      <c r="K3266" s="12" t="n"/>
      <c r="L3266" s="14" t="n"/>
      <c r="M3266" s="12" t="n"/>
      <c r="N3266" s="12" t="n"/>
      <c r="O3266" s="12" t="n"/>
    </row>
    <row r="3267">
      <c r="A3267" s="12" t="n"/>
      <c r="B3267" s="13">
        <f>IF($A3267="","",IFERROR(INDEX(Emp_Names,MATCH($A3267,Emp_Codes,0)),"NOT FOUND"))</f>
        <v/>
      </c>
      <c r="C3267" s="14" t="n"/>
      <c r="D3267" s="15" t="n"/>
      <c r="E3267" s="15" t="n"/>
      <c r="F3267" s="15" t="n"/>
      <c r="G3267" s="15" t="n"/>
      <c r="H3267" s="16">
        <f>IF($A3267="","",$D3267+IF($E3267="",0,$E3267)+IF($F3267="",0,$F3267)-IF($G3267="",0,$G3267))</f>
        <v/>
      </c>
      <c r="I3267" s="12" t="n"/>
      <c r="J3267" s="12" t="n"/>
      <c r="K3267" s="12" t="n"/>
      <c r="L3267" s="14" t="n"/>
      <c r="M3267" s="12" t="n"/>
      <c r="N3267" s="12" t="n"/>
      <c r="O3267" s="12" t="n"/>
    </row>
    <row r="3268">
      <c r="A3268" s="12" t="n"/>
      <c r="B3268" s="13">
        <f>IF($A3268="","",IFERROR(INDEX(Emp_Names,MATCH($A3268,Emp_Codes,0)),"NOT FOUND"))</f>
        <v/>
      </c>
      <c r="C3268" s="14" t="n"/>
      <c r="D3268" s="15" t="n"/>
      <c r="E3268" s="15" t="n"/>
      <c r="F3268" s="15" t="n"/>
      <c r="G3268" s="15" t="n"/>
      <c r="H3268" s="16">
        <f>IF($A3268="","",$D3268+IF($E3268="",0,$E3268)+IF($F3268="",0,$F3268)-IF($G3268="",0,$G3268))</f>
        <v/>
      </c>
      <c r="I3268" s="12" t="n"/>
      <c r="J3268" s="12" t="n"/>
      <c r="K3268" s="12" t="n"/>
      <c r="L3268" s="14" t="n"/>
      <c r="M3268" s="12" t="n"/>
      <c r="N3268" s="12" t="n"/>
      <c r="O3268" s="12" t="n"/>
    </row>
    <row r="3269">
      <c r="A3269" s="12" t="n"/>
      <c r="B3269" s="13">
        <f>IF($A3269="","",IFERROR(INDEX(Emp_Names,MATCH($A3269,Emp_Codes,0)),"NOT FOUND"))</f>
        <v/>
      </c>
      <c r="C3269" s="14" t="n"/>
      <c r="D3269" s="15" t="n"/>
      <c r="E3269" s="15" t="n"/>
      <c r="F3269" s="15" t="n"/>
      <c r="G3269" s="15" t="n"/>
      <c r="H3269" s="16">
        <f>IF($A3269="","",$D3269+IF($E3269="",0,$E3269)+IF($F3269="",0,$F3269)-IF($G3269="",0,$G3269))</f>
        <v/>
      </c>
      <c r="I3269" s="12" t="n"/>
      <c r="J3269" s="12" t="n"/>
      <c r="K3269" s="12" t="n"/>
      <c r="L3269" s="14" t="n"/>
      <c r="M3269" s="12" t="n"/>
      <c r="N3269" s="12" t="n"/>
      <c r="O3269" s="12" t="n"/>
    </row>
    <row r="3270">
      <c r="A3270" s="12" t="n"/>
      <c r="B3270" s="13">
        <f>IF($A3270="","",IFERROR(INDEX(Emp_Names,MATCH($A3270,Emp_Codes,0)),"NOT FOUND"))</f>
        <v/>
      </c>
      <c r="C3270" s="14" t="n"/>
      <c r="D3270" s="15" t="n"/>
      <c r="E3270" s="15" t="n"/>
      <c r="F3270" s="15" t="n"/>
      <c r="G3270" s="15" t="n"/>
      <c r="H3270" s="16">
        <f>IF($A3270="","",$D3270+IF($E3270="",0,$E3270)+IF($F3270="",0,$F3270)-IF($G3270="",0,$G3270))</f>
        <v/>
      </c>
      <c r="I3270" s="12" t="n"/>
      <c r="J3270" s="12" t="n"/>
      <c r="K3270" s="12" t="n"/>
      <c r="L3270" s="14" t="n"/>
      <c r="M3270" s="12" t="n"/>
      <c r="N3270" s="12" t="n"/>
      <c r="O3270" s="12" t="n"/>
    </row>
    <row r="3271">
      <c r="A3271" s="12" t="n"/>
      <c r="B3271" s="13">
        <f>IF($A3271="","",IFERROR(INDEX(Emp_Names,MATCH($A3271,Emp_Codes,0)),"NOT FOUND"))</f>
        <v/>
      </c>
      <c r="C3271" s="14" t="n"/>
      <c r="D3271" s="15" t="n"/>
      <c r="E3271" s="15" t="n"/>
      <c r="F3271" s="15" t="n"/>
      <c r="G3271" s="15" t="n"/>
      <c r="H3271" s="16">
        <f>IF($A3271="","",$D3271+IF($E3271="",0,$E3271)+IF($F3271="",0,$F3271)-IF($G3271="",0,$G3271))</f>
        <v/>
      </c>
      <c r="I3271" s="12" t="n"/>
      <c r="J3271" s="12" t="n"/>
      <c r="K3271" s="12" t="n"/>
      <c r="L3271" s="14" t="n"/>
      <c r="M3271" s="12" t="n"/>
      <c r="N3271" s="12" t="n"/>
      <c r="O3271" s="12" t="n"/>
    </row>
    <row r="3272">
      <c r="A3272" s="12" t="n"/>
      <c r="B3272" s="13">
        <f>IF($A3272="","",IFERROR(INDEX(Emp_Names,MATCH($A3272,Emp_Codes,0)),"NOT FOUND"))</f>
        <v/>
      </c>
      <c r="C3272" s="14" t="n"/>
      <c r="D3272" s="15" t="n"/>
      <c r="E3272" s="15" t="n"/>
      <c r="F3272" s="15" t="n"/>
      <c r="G3272" s="15" t="n"/>
      <c r="H3272" s="16">
        <f>IF($A3272="","",$D3272+IF($E3272="",0,$E3272)+IF($F3272="",0,$F3272)-IF($G3272="",0,$G3272))</f>
        <v/>
      </c>
      <c r="I3272" s="12" t="n"/>
      <c r="J3272" s="12" t="n"/>
      <c r="K3272" s="12" t="n"/>
      <c r="L3272" s="14" t="n"/>
      <c r="M3272" s="12" t="n"/>
      <c r="N3272" s="12" t="n"/>
      <c r="O3272" s="12" t="n"/>
    </row>
    <row r="3273">
      <c r="A3273" s="12" t="n"/>
      <c r="B3273" s="13">
        <f>IF($A3273="","",IFERROR(INDEX(Emp_Names,MATCH($A3273,Emp_Codes,0)),"NOT FOUND"))</f>
        <v/>
      </c>
      <c r="C3273" s="14" t="n"/>
      <c r="D3273" s="15" t="n"/>
      <c r="E3273" s="15" t="n"/>
      <c r="F3273" s="15" t="n"/>
      <c r="G3273" s="15" t="n"/>
      <c r="H3273" s="16">
        <f>IF($A3273="","",$D3273+IF($E3273="",0,$E3273)+IF($F3273="",0,$F3273)-IF($G3273="",0,$G3273))</f>
        <v/>
      </c>
      <c r="I3273" s="12" t="n"/>
      <c r="J3273" s="12" t="n"/>
      <c r="K3273" s="12" t="n"/>
      <c r="L3273" s="14" t="n"/>
      <c r="M3273" s="12" t="n"/>
      <c r="N3273" s="12" t="n"/>
      <c r="O3273" s="12" t="n"/>
    </row>
    <row r="3274">
      <c r="A3274" s="12" t="n"/>
      <c r="B3274" s="13">
        <f>IF($A3274="","",IFERROR(INDEX(Emp_Names,MATCH($A3274,Emp_Codes,0)),"NOT FOUND"))</f>
        <v/>
      </c>
      <c r="C3274" s="14" t="n"/>
      <c r="D3274" s="15" t="n"/>
      <c r="E3274" s="15" t="n"/>
      <c r="F3274" s="15" t="n"/>
      <c r="G3274" s="15" t="n"/>
      <c r="H3274" s="16">
        <f>IF($A3274="","",$D3274+IF($E3274="",0,$E3274)+IF($F3274="",0,$F3274)-IF($G3274="",0,$G3274))</f>
        <v/>
      </c>
      <c r="I3274" s="12" t="n"/>
      <c r="J3274" s="12" t="n"/>
      <c r="K3274" s="12" t="n"/>
      <c r="L3274" s="14" t="n"/>
      <c r="M3274" s="12" t="n"/>
      <c r="N3274" s="12" t="n"/>
      <c r="O3274" s="12" t="n"/>
    </row>
    <row r="3275">
      <c r="A3275" s="12" t="n"/>
      <c r="B3275" s="13">
        <f>IF($A3275="","",IFERROR(INDEX(Emp_Names,MATCH($A3275,Emp_Codes,0)),"NOT FOUND"))</f>
        <v/>
      </c>
      <c r="C3275" s="14" t="n"/>
      <c r="D3275" s="15" t="n"/>
      <c r="E3275" s="15" t="n"/>
      <c r="F3275" s="15" t="n"/>
      <c r="G3275" s="15" t="n"/>
      <c r="H3275" s="16">
        <f>IF($A3275="","",$D3275+IF($E3275="",0,$E3275)+IF($F3275="",0,$F3275)-IF($G3275="",0,$G3275))</f>
        <v/>
      </c>
      <c r="I3275" s="12" t="n"/>
      <c r="J3275" s="12" t="n"/>
      <c r="K3275" s="12" t="n"/>
      <c r="L3275" s="14" t="n"/>
      <c r="M3275" s="12" t="n"/>
      <c r="N3275" s="12" t="n"/>
      <c r="O3275" s="12" t="n"/>
    </row>
    <row r="3276">
      <c r="A3276" s="12" t="n"/>
      <c r="B3276" s="13">
        <f>IF($A3276="","",IFERROR(INDEX(Emp_Names,MATCH($A3276,Emp_Codes,0)),"NOT FOUND"))</f>
        <v/>
      </c>
      <c r="C3276" s="14" t="n"/>
      <c r="D3276" s="15" t="n"/>
      <c r="E3276" s="15" t="n"/>
      <c r="F3276" s="15" t="n"/>
      <c r="G3276" s="15" t="n"/>
      <c r="H3276" s="16">
        <f>IF($A3276="","",$D3276+IF($E3276="",0,$E3276)+IF($F3276="",0,$F3276)-IF($G3276="",0,$G3276))</f>
        <v/>
      </c>
      <c r="I3276" s="12" t="n"/>
      <c r="J3276" s="12" t="n"/>
      <c r="K3276" s="12" t="n"/>
      <c r="L3276" s="14" t="n"/>
      <c r="M3276" s="12" t="n"/>
      <c r="N3276" s="12" t="n"/>
      <c r="O3276" s="12" t="n"/>
    </row>
    <row r="3277">
      <c r="A3277" s="12" t="n"/>
      <c r="B3277" s="13">
        <f>IF($A3277="","",IFERROR(INDEX(Emp_Names,MATCH($A3277,Emp_Codes,0)),"NOT FOUND"))</f>
        <v/>
      </c>
      <c r="C3277" s="14" t="n"/>
      <c r="D3277" s="15" t="n"/>
      <c r="E3277" s="15" t="n"/>
      <c r="F3277" s="15" t="n"/>
      <c r="G3277" s="15" t="n"/>
      <c r="H3277" s="16">
        <f>IF($A3277="","",$D3277+IF($E3277="",0,$E3277)+IF($F3277="",0,$F3277)-IF($G3277="",0,$G3277))</f>
        <v/>
      </c>
      <c r="I3277" s="12" t="n"/>
      <c r="J3277" s="12" t="n"/>
      <c r="K3277" s="12" t="n"/>
      <c r="L3277" s="14" t="n"/>
      <c r="M3277" s="12" t="n"/>
      <c r="N3277" s="12" t="n"/>
      <c r="O3277" s="12" t="n"/>
    </row>
    <row r="3278">
      <c r="A3278" s="12" t="n"/>
      <c r="B3278" s="13">
        <f>IF($A3278="","",IFERROR(INDEX(Emp_Names,MATCH($A3278,Emp_Codes,0)),"NOT FOUND"))</f>
        <v/>
      </c>
      <c r="C3278" s="14" t="n"/>
      <c r="D3278" s="15" t="n"/>
      <c r="E3278" s="15" t="n"/>
      <c r="F3278" s="15" t="n"/>
      <c r="G3278" s="15" t="n"/>
      <c r="H3278" s="16">
        <f>IF($A3278="","",$D3278+IF($E3278="",0,$E3278)+IF($F3278="",0,$F3278)-IF($G3278="",0,$G3278))</f>
        <v/>
      </c>
      <c r="I3278" s="12" t="n"/>
      <c r="J3278" s="12" t="n"/>
      <c r="K3278" s="12" t="n"/>
      <c r="L3278" s="14" t="n"/>
      <c r="M3278" s="12" t="n"/>
      <c r="N3278" s="12" t="n"/>
      <c r="O3278" s="12" t="n"/>
    </row>
    <row r="3279">
      <c r="A3279" s="12" t="n"/>
      <c r="B3279" s="13">
        <f>IF($A3279="","",IFERROR(INDEX(Emp_Names,MATCH($A3279,Emp_Codes,0)),"NOT FOUND"))</f>
        <v/>
      </c>
      <c r="C3279" s="14" t="n"/>
      <c r="D3279" s="15" t="n"/>
      <c r="E3279" s="15" t="n"/>
      <c r="F3279" s="15" t="n"/>
      <c r="G3279" s="15" t="n"/>
      <c r="H3279" s="16">
        <f>IF($A3279="","",$D3279+IF($E3279="",0,$E3279)+IF($F3279="",0,$F3279)-IF($G3279="",0,$G3279))</f>
        <v/>
      </c>
      <c r="I3279" s="12" t="n"/>
      <c r="J3279" s="12" t="n"/>
      <c r="K3279" s="12" t="n"/>
      <c r="L3279" s="14" t="n"/>
      <c r="M3279" s="12" t="n"/>
      <c r="N3279" s="12" t="n"/>
      <c r="O3279" s="12" t="n"/>
    </row>
    <row r="3280">
      <c r="A3280" s="12" t="n"/>
      <c r="B3280" s="13">
        <f>IF($A3280="","",IFERROR(INDEX(Emp_Names,MATCH($A3280,Emp_Codes,0)),"NOT FOUND"))</f>
        <v/>
      </c>
      <c r="C3280" s="14" t="n"/>
      <c r="D3280" s="15" t="n"/>
      <c r="E3280" s="15" t="n"/>
      <c r="F3280" s="15" t="n"/>
      <c r="G3280" s="15" t="n"/>
      <c r="H3280" s="16">
        <f>IF($A3280="","",$D3280+IF($E3280="",0,$E3280)+IF($F3280="",0,$F3280)-IF($G3280="",0,$G3280))</f>
        <v/>
      </c>
      <c r="I3280" s="12" t="n"/>
      <c r="J3280" s="12" t="n"/>
      <c r="K3280" s="12" t="n"/>
      <c r="L3280" s="14" t="n"/>
      <c r="M3280" s="12" t="n"/>
      <c r="N3280" s="12" t="n"/>
      <c r="O3280" s="12" t="n"/>
    </row>
    <row r="3281">
      <c r="A3281" s="12" t="n"/>
      <c r="B3281" s="13">
        <f>IF($A3281="","",IFERROR(INDEX(Emp_Names,MATCH($A3281,Emp_Codes,0)),"NOT FOUND"))</f>
        <v/>
      </c>
      <c r="C3281" s="14" t="n"/>
      <c r="D3281" s="15" t="n"/>
      <c r="E3281" s="15" t="n"/>
      <c r="F3281" s="15" t="n"/>
      <c r="G3281" s="15" t="n"/>
      <c r="H3281" s="16">
        <f>IF($A3281="","",$D3281+IF($E3281="",0,$E3281)+IF($F3281="",0,$F3281)-IF($G3281="",0,$G3281))</f>
        <v/>
      </c>
      <c r="I3281" s="12" t="n"/>
      <c r="J3281" s="12" t="n"/>
      <c r="K3281" s="12" t="n"/>
      <c r="L3281" s="14" t="n"/>
      <c r="M3281" s="12" t="n"/>
      <c r="N3281" s="12" t="n"/>
      <c r="O3281" s="12" t="n"/>
    </row>
    <row r="3282">
      <c r="A3282" s="12" t="n"/>
      <c r="B3282" s="13">
        <f>IF($A3282="","",IFERROR(INDEX(Emp_Names,MATCH($A3282,Emp_Codes,0)),"NOT FOUND"))</f>
        <v/>
      </c>
      <c r="C3282" s="14" t="n"/>
      <c r="D3282" s="15" t="n"/>
      <c r="E3282" s="15" t="n"/>
      <c r="F3282" s="15" t="n"/>
      <c r="G3282" s="15" t="n"/>
      <c r="H3282" s="16">
        <f>IF($A3282="","",$D3282+IF($E3282="",0,$E3282)+IF($F3282="",0,$F3282)-IF($G3282="",0,$G3282))</f>
        <v/>
      </c>
      <c r="I3282" s="12" t="n"/>
      <c r="J3282" s="12" t="n"/>
      <c r="K3282" s="12" t="n"/>
      <c r="L3282" s="14" t="n"/>
      <c r="M3282" s="12" t="n"/>
      <c r="N3282" s="12" t="n"/>
      <c r="O3282" s="12" t="n"/>
    </row>
    <row r="3283">
      <c r="A3283" s="12" t="n"/>
      <c r="B3283" s="13">
        <f>IF($A3283="","",IFERROR(INDEX(Emp_Names,MATCH($A3283,Emp_Codes,0)),"NOT FOUND"))</f>
        <v/>
      </c>
      <c r="C3283" s="14" t="n"/>
      <c r="D3283" s="15" t="n"/>
      <c r="E3283" s="15" t="n"/>
      <c r="F3283" s="15" t="n"/>
      <c r="G3283" s="15" t="n"/>
      <c r="H3283" s="16">
        <f>IF($A3283="","",$D3283+IF($E3283="",0,$E3283)+IF($F3283="",0,$F3283)-IF($G3283="",0,$G3283))</f>
        <v/>
      </c>
      <c r="I3283" s="12" t="n"/>
      <c r="J3283" s="12" t="n"/>
      <c r="K3283" s="12" t="n"/>
      <c r="L3283" s="14" t="n"/>
      <c r="M3283" s="12" t="n"/>
      <c r="N3283" s="12" t="n"/>
      <c r="O3283" s="12" t="n"/>
    </row>
    <row r="3284">
      <c r="A3284" s="12" t="n"/>
      <c r="B3284" s="13">
        <f>IF($A3284="","",IFERROR(INDEX(Emp_Names,MATCH($A3284,Emp_Codes,0)),"NOT FOUND"))</f>
        <v/>
      </c>
      <c r="C3284" s="14" t="n"/>
      <c r="D3284" s="15" t="n"/>
      <c r="E3284" s="15" t="n"/>
      <c r="F3284" s="15" t="n"/>
      <c r="G3284" s="15" t="n"/>
      <c r="H3284" s="16">
        <f>IF($A3284="","",$D3284+IF($E3284="",0,$E3284)+IF($F3284="",0,$F3284)-IF($G3284="",0,$G3284))</f>
        <v/>
      </c>
      <c r="I3284" s="12" t="n"/>
      <c r="J3284" s="12" t="n"/>
      <c r="K3284" s="12" t="n"/>
      <c r="L3284" s="14" t="n"/>
      <c r="M3284" s="12" t="n"/>
      <c r="N3284" s="12" t="n"/>
      <c r="O3284" s="12" t="n"/>
    </row>
    <row r="3285">
      <c r="A3285" s="12" t="n"/>
      <c r="B3285" s="13">
        <f>IF($A3285="","",IFERROR(INDEX(Emp_Names,MATCH($A3285,Emp_Codes,0)),"NOT FOUND"))</f>
        <v/>
      </c>
      <c r="C3285" s="14" t="n"/>
      <c r="D3285" s="15" t="n"/>
      <c r="E3285" s="15" t="n"/>
      <c r="F3285" s="15" t="n"/>
      <c r="G3285" s="15" t="n"/>
      <c r="H3285" s="16">
        <f>IF($A3285="","",$D3285+IF($E3285="",0,$E3285)+IF($F3285="",0,$F3285)-IF($G3285="",0,$G3285))</f>
        <v/>
      </c>
      <c r="I3285" s="12" t="n"/>
      <c r="J3285" s="12" t="n"/>
      <c r="K3285" s="12" t="n"/>
      <c r="L3285" s="14" t="n"/>
      <c r="M3285" s="12" t="n"/>
      <c r="N3285" s="12" t="n"/>
      <c r="O3285" s="12" t="n"/>
    </row>
    <row r="3286">
      <c r="A3286" s="12" t="n"/>
      <c r="B3286" s="13">
        <f>IF($A3286="","",IFERROR(INDEX(Emp_Names,MATCH($A3286,Emp_Codes,0)),"NOT FOUND"))</f>
        <v/>
      </c>
      <c r="C3286" s="14" t="n"/>
      <c r="D3286" s="15" t="n"/>
      <c r="E3286" s="15" t="n"/>
      <c r="F3286" s="15" t="n"/>
      <c r="G3286" s="15" t="n"/>
      <c r="H3286" s="16">
        <f>IF($A3286="","",$D3286+IF($E3286="",0,$E3286)+IF($F3286="",0,$F3286)-IF($G3286="",0,$G3286))</f>
        <v/>
      </c>
      <c r="I3286" s="12" t="n"/>
      <c r="J3286" s="12" t="n"/>
      <c r="K3286" s="12" t="n"/>
      <c r="L3286" s="14" t="n"/>
      <c r="M3286" s="12" t="n"/>
      <c r="N3286" s="12" t="n"/>
      <c r="O3286" s="12" t="n"/>
    </row>
    <row r="3287">
      <c r="A3287" s="12" t="n"/>
      <c r="B3287" s="13">
        <f>IF($A3287="","",IFERROR(INDEX(Emp_Names,MATCH($A3287,Emp_Codes,0)),"NOT FOUND"))</f>
        <v/>
      </c>
      <c r="C3287" s="14" t="n"/>
      <c r="D3287" s="15" t="n"/>
      <c r="E3287" s="15" t="n"/>
      <c r="F3287" s="15" t="n"/>
      <c r="G3287" s="15" t="n"/>
      <c r="H3287" s="16">
        <f>IF($A3287="","",$D3287+IF($E3287="",0,$E3287)+IF($F3287="",0,$F3287)-IF($G3287="",0,$G3287))</f>
        <v/>
      </c>
      <c r="I3287" s="12" t="n"/>
      <c r="J3287" s="12" t="n"/>
      <c r="K3287" s="12" t="n"/>
      <c r="L3287" s="14" t="n"/>
      <c r="M3287" s="12" t="n"/>
      <c r="N3287" s="12" t="n"/>
      <c r="O3287" s="12" t="n"/>
    </row>
    <row r="3288">
      <c r="A3288" s="12" t="n"/>
      <c r="B3288" s="13">
        <f>IF($A3288="","",IFERROR(INDEX(Emp_Names,MATCH($A3288,Emp_Codes,0)),"NOT FOUND"))</f>
        <v/>
      </c>
      <c r="C3288" s="14" t="n"/>
      <c r="D3288" s="15" t="n"/>
      <c r="E3288" s="15" t="n"/>
      <c r="F3288" s="15" t="n"/>
      <c r="G3288" s="15" t="n"/>
      <c r="H3288" s="16">
        <f>IF($A3288="","",$D3288+IF($E3288="",0,$E3288)+IF($F3288="",0,$F3288)-IF($G3288="",0,$G3288))</f>
        <v/>
      </c>
      <c r="I3288" s="12" t="n"/>
      <c r="J3288" s="12" t="n"/>
      <c r="K3288" s="12" t="n"/>
      <c r="L3288" s="14" t="n"/>
      <c r="M3288" s="12" t="n"/>
      <c r="N3288" s="12" t="n"/>
      <c r="O3288" s="12" t="n"/>
    </row>
    <row r="3289">
      <c r="A3289" s="12" t="n"/>
      <c r="B3289" s="13">
        <f>IF($A3289="","",IFERROR(INDEX(Emp_Names,MATCH($A3289,Emp_Codes,0)),"NOT FOUND"))</f>
        <v/>
      </c>
      <c r="C3289" s="14" t="n"/>
      <c r="D3289" s="15" t="n"/>
      <c r="E3289" s="15" t="n"/>
      <c r="F3289" s="15" t="n"/>
      <c r="G3289" s="15" t="n"/>
      <c r="H3289" s="16">
        <f>IF($A3289="","",$D3289+IF($E3289="",0,$E3289)+IF($F3289="",0,$F3289)-IF($G3289="",0,$G3289))</f>
        <v/>
      </c>
      <c r="I3289" s="12" t="n"/>
      <c r="J3289" s="12" t="n"/>
      <c r="K3289" s="12" t="n"/>
      <c r="L3289" s="14" t="n"/>
      <c r="M3289" s="12" t="n"/>
      <c r="N3289" s="12" t="n"/>
      <c r="O3289" s="12" t="n"/>
    </row>
    <row r="3290">
      <c r="A3290" s="12" t="n"/>
      <c r="B3290" s="13">
        <f>IF($A3290="","",IFERROR(INDEX(Emp_Names,MATCH($A3290,Emp_Codes,0)),"NOT FOUND"))</f>
        <v/>
      </c>
      <c r="C3290" s="14" t="n"/>
      <c r="D3290" s="15" t="n"/>
      <c r="E3290" s="15" t="n"/>
      <c r="F3290" s="15" t="n"/>
      <c r="G3290" s="15" t="n"/>
      <c r="H3290" s="16">
        <f>IF($A3290="","",$D3290+IF($E3290="",0,$E3290)+IF($F3290="",0,$F3290)-IF($G3290="",0,$G3290))</f>
        <v/>
      </c>
      <c r="I3290" s="12" t="n"/>
      <c r="J3290" s="12" t="n"/>
      <c r="K3290" s="12" t="n"/>
      <c r="L3290" s="14" t="n"/>
      <c r="M3290" s="12" t="n"/>
      <c r="N3290" s="12" t="n"/>
      <c r="O3290" s="12" t="n"/>
    </row>
    <row r="3291">
      <c r="A3291" s="12" t="n"/>
      <c r="B3291" s="13">
        <f>IF($A3291="","",IFERROR(INDEX(Emp_Names,MATCH($A3291,Emp_Codes,0)),"NOT FOUND"))</f>
        <v/>
      </c>
      <c r="C3291" s="14" t="n"/>
      <c r="D3291" s="15" t="n"/>
      <c r="E3291" s="15" t="n"/>
      <c r="F3291" s="15" t="n"/>
      <c r="G3291" s="15" t="n"/>
      <c r="H3291" s="16">
        <f>IF($A3291="","",$D3291+IF($E3291="",0,$E3291)+IF($F3291="",0,$F3291)-IF($G3291="",0,$G3291))</f>
        <v/>
      </c>
      <c r="I3291" s="12" t="n"/>
      <c r="J3291" s="12" t="n"/>
      <c r="K3291" s="12" t="n"/>
      <c r="L3291" s="14" t="n"/>
      <c r="M3291" s="12" t="n"/>
      <c r="N3291" s="12" t="n"/>
      <c r="O3291" s="12" t="n"/>
    </row>
    <row r="3292">
      <c r="A3292" s="12" t="n"/>
      <c r="B3292" s="13">
        <f>IF($A3292="","",IFERROR(INDEX(Emp_Names,MATCH($A3292,Emp_Codes,0)),"NOT FOUND"))</f>
        <v/>
      </c>
      <c r="C3292" s="14" t="n"/>
      <c r="D3292" s="15" t="n"/>
      <c r="E3292" s="15" t="n"/>
      <c r="F3292" s="15" t="n"/>
      <c r="G3292" s="15" t="n"/>
      <c r="H3292" s="16">
        <f>IF($A3292="","",$D3292+IF($E3292="",0,$E3292)+IF($F3292="",0,$F3292)-IF($G3292="",0,$G3292))</f>
        <v/>
      </c>
      <c r="I3292" s="12" t="n"/>
      <c r="J3292" s="12" t="n"/>
      <c r="K3292" s="12" t="n"/>
      <c r="L3292" s="14" t="n"/>
      <c r="M3292" s="12" t="n"/>
      <c r="N3292" s="12" t="n"/>
      <c r="O3292" s="12" t="n"/>
    </row>
    <row r="3293">
      <c r="A3293" s="12" t="n"/>
      <c r="B3293" s="13">
        <f>IF($A3293="","",IFERROR(INDEX(Emp_Names,MATCH($A3293,Emp_Codes,0)),"NOT FOUND"))</f>
        <v/>
      </c>
      <c r="C3293" s="14" t="n"/>
      <c r="D3293" s="15" t="n"/>
      <c r="E3293" s="15" t="n"/>
      <c r="F3293" s="15" t="n"/>
      <c r="G3293" s="15" t="n"/>
      <c r="H3293" s="16">
        <f>IF($A3293="","",$D3293+IF($E3293="",0,$E3293)+IF($F3293="",0,$F3293)-IF($G3293="",0,$G3293))</f>
        <v/>
      </c>
      <c r="I3293" s="12" t="n"/>
      <c r="J3293" s="12" t="n"/>
      <c r="K3293" s="12" t="n"/>
      <c r="L3293" s="14" t="n"/>
      <c r="M3293" s="12" t="n"/>
      <c r="N3293" s="12" t="n"/>
      <c r="O3293" s="12" t="n"/>
    </row>
    <row r="3294">
      <c r="A3294" s="12" t="n"/>
      <c r="B3294" s="13">
        <f>IF($A3294="","",IFERROR(INDEX(Emp_Names,MATCH($A3294,Emp_Codes,0)),"NOT FOUND"))</f>
        <v/>
      </c>
      <c r="C3294" s="14" t="n"/>
      <c r="D3294" s="15" t="n"/>
      <c r="E3294" s="15" t="n"/>
      <c r="F3294" s="15" t="n"/>
      <c r="G3294" s="15" t="n"/>
      <c r="H3294" s="16">
        <f>IF($A3294="","",$D3294+IF($E3294="",0,$E3294)+IF($F3294="",0,$F3294)-IF($G3294="",0,$G3294))</f>
        <v/>
      </c>
      <c r="I3294" s="12" t="n"/>
      <c r="J3294" s="12" t="n"/>
      <c r="K3294" s="12" t="n"/>
      <c r="L3294" s="14" t="n"/>
      <c r="M3294" s="12" t="n"/>
      <c r="N3294" s="12" t="n"/>
      <c r="O3294" s="12" t="n"/>
    </row>
    <row r="3295">
      <c r="A3295" s="12" t="n"/>
      <c r="B3295" s="13">
        <f>IF($A3295="","",IFERROR(INDEX(Emp_Names,MATCH($A3295,Emp_Codes,0)),"NOT FOUND"))</f>
        <v/>
      </c>
      <c r="C3295" s="14" t="n"/>
      <c r="D3295" s="15" t="n"/>
      <c r="E3295" s="15" t="n"/>
      <c r="F3295" s="15" t="n"/>
      <c r="G3295" s="15" t="n"/>
      <c r="H3295" s="16">
        <f>IF($A3295="","",$D3295+IF($E3295="",0,$E3295)+IF($F3295="",0,$F3295)-IF($G3295="",0,$G3295))</f>
        <v/>
      </c>
      <c r="I3295" s="12" t="n"/>
      <c r="J3295" s="12" t="n"/>
      <c r="K3295" s="12" t="n"/>
      <c r="L3295" s="14" t="n"/>
      <c r="M3295" s="12" t="n"/>
      <c r="N3295" s="12" t="n"/>
      <c r="O3295" s="12" t="n"/>
    </row>
    <row r="3296">
      <c r="A3296" s="12" t="n"/>
      <c r="B3296" s="13">
        <f>IF($A3296="","",IFERROR(INDEX(Emp_Names,MATCH($A3296,Emp_Codes,0)),"NOT FOUND"))</f>
        <v/>
      </c>
      <c r="C3296" s="14" t="n"/>
      <c r="D3296" s="15" t="n"/>
      <c r="E3296" s="15" t="n"/>
      <c r="F3296" s="15" t="n"/>
      <c r="G3296" s="15" t="n"/>
      <c r="H3296" s="16">
        <f>IF($A3296="","",$D3296+IF($E3296="",0,$E3296)+IF($F3296="",0,$F3296)-IF($G3296="",0,$G3296))</f>
        <v/>
      </c>
      <c r="I3296" s="12" t="n"/>
      <c r="J3296" s="12" t="n"/>
      <c r="K3296" s="12" t="n"/>
      <c r="L3296" s="14" t="n"/>
      <c r="M3296" s="12" t="n"/>
      <c r="N3296" s="12" t="n"/>
      <c r="O3296" s="12" t="n"/>
    </row>
    <row r="3297">
      <c r="A3297" s="12" t="n"/>
      <c r="B3297" s="13">
        <f>IF($A3297="","",IFERROR(INDEX(Emp_Names,MATCH($A3297,Emp_Codes,0)),"NOT FOUND"))</f>
        <v/>
      </c>
      <c r="C3297" s="14" t="n"/>
      <c r="D3297" s="15" t="n"/>
      <c r="E3297" s="15" t="n"/>
      <c r="F3297" s="15" t="n"/>
      <c r="G3297" s="15" t="n"/>
      <c r="H3297" s="16">
        <f>IF($A3297="","",$D3297+IF($E3297="",0,$E3297)+IF($F3297="",0,$F3297)-IF($G3297="",0,$G3297))</f>
        <v/>
      </c>
      <c r="I3297" s="12" t="n"/>
      <c r="J3297" s="12" t="n"/>
      <c r="K3297" s="12" t="n"/>
      <c r="L3297" s="14" t="n"/>
      <c r="M3297" s="12" t="n"/>
      <c r="N3297" s="12" t="n"/>
      <c r="O3297" s="12" t="n"/>
    </row>
    <row r="3298">
      <c r="A3298" s="12" t="n"/>
      <c r="B3298" s="13">
        <f>IF($A3298="","",IFERROR(INDEX(Emp_Names,MATCH($A3298,Emp_Codes,0)),"NOT FOUND"))</f>
        <v/>
      </c>
      <c r="C3298" s="14" t="n"/>
      <c r="D3298" s="15" t="n"/>
      <c r="E3298" s="15" t="n"/>
      <c r="F3298" s="15" t="n"/>
      <c r="G3298" s="15" t="n"/>
      <c r="H3298" s="16">
        <f>IF($A3298="","",$D3298+IF($E3298="",0,$E3298)+IF($F3298="",0,$F3298)-IF($G3298="",0,$G3298))</f>
        <v/>
      </c>
      <c r="I3298" s="12" t="n"/>
      <c r="J3298" s="12" t="n"/>
      <c r="K3298" s="12" t="n"/>
      <c r="L3298" s="14" t="n"/>
      <c r="M3298" s="12" t="n"/>
      <c r="N3298" s="12" t="n"/>
      <c r="O3298" s="12" t="n"/>
    </row>
    <row r="3299">
      <c r="A3299" s="12" t="n"/>
      <c r="B3299" s="13">
        <f>IF($A3299="","",IFERROR(INDEX(Emp_Names,MATCH($A3299,Emp_Codes,0)),"NOT FOUND"))</f>
        <v/>
      </c>
      <c r="C3299" s="14" t="n"/>
      <c r="D3299" s="15" t="n"/>
      <c r="E3299" s="15" t="n"/>
      <c r="F3299" s="15" t="n"/>
      <c r="G3299" s="15" t="n"/>
      <c r="H3299" s="16">
        <f>IF($A3299="","",$D3299+IF($E3299="",0,$E3299)+IF($F3299="",0,$F3299)-IF($G3299="",0,$G3299))</f>
        <v/>
      </c>
      <c r="I3299" s="12" t="n"/>
      <c r="J3299" s="12" t="n"/>
      <c r="K3299" s="12" t="n"/>
      <c r="L3299" s="14" t="n"/>
      <c r="M3299" s="12" t="n"/>
      <c r="N3299" s="12" t="n"/>
      <c r="O3299" s="12" t="n"/>
    </row>
    <row r="3300">
      <c r="A3300" s="12" t="n"/>
      <c r="B3300" s="13">
        <f>IF($A3300="","",IFERROR(INDEX(Emp_Names,MATCH($A3300,Emp_Codes,0)),"NOT FOUND"))</f>
        <v/>
      </c>
      <c r="C3300" s="14" t="n"/>
      <c r="D3300" s="15" t="n"/>
      <c r="E3300" s="15" t="n"/>
      <c r="F3300" s="15" t="n"/>
      <c r="G3300" s="15" t="n"/>
      <c r="H3300" s="16">
        <f>IF($A3300="","",$D3300+IF($E3300="",0,$E3300)+IF($F3300="",0,$F3300)-IF($G3300="",0,$G3300))</f>
        <v/>
      </c>
      <c r="I3300" s="12" t="n"/>
      <c r="J3300" s="12" t="n"/>
      <c r="K3300" s="12" t="n"/>
      <c r="L3300" s="14" t="n"/>
      <c r="M3300" s="12" t="n"/>
      <c r="N3300" s="12" t="n"/>
      <c r="O3300" s="12" t="n"/>
    </row>
    <row r="3301">
      <c r="A3301" s="12" t="n"/>
      <c r="B3301" s="13">
        <f>IF($A3301="","",IFERROR(INDEX(Emp_Names,MATCH($A3301,Emp_Codes,0)),"NOT FOUND"))</f>
        <v/>
      </c>
      <c r="C3301" s="14" t="n"/>
      <c r="D3301" s="15" t="n"/>
      <c r="E3301" s="15" t="n"/>
      <c r="F3301" s="15" t="n"/>
      <c r="G3301" s="15" t="n"/>
      <c r="H3301" s="16">
        <f>IF($A3301="","",$D3301+IF($E3301="",0,$E3301)+IF($F3301="",0,$F3301)-IF($G3301="",0,$G3301))</f>
        <v/>
      </c>
      <c r="I3301" s="12" t="n"/>
      <c r="J3301" s="12" t="n"/>
      <c r="K3301" s="12" t="n"/>
      <c r="L3301" s="14" t="n"/>
      <c r="M3301" s="12" t="n"/>
      <c r="N3301" s="12" t="n"/>
      <c r="O3301" s="12" t="n"/>
    </row>
    <row r="3302">
      <c r="A3302" s="12" t="n"/>
      <c r="B3302" s="13">
        <f>IF($A3302="","",IFERROR(INDEX(Emp_Names,MATCH($A3302,Emp_Codes,0)),"NOT FOUND"))</f>
        <v/>
      </c>
      <c r="C3302" s="14" t="n"/>
      <c r="D3302" s="15" t="n"/>
      <c r="E3302" s="15" t="n"/>
      <c r="F3302" s="15" t="n"/>
      <c r="G3302" s="15" t="n"/>
      <c r="H3302" s="16">
        <f>IF($A3302="","",$D3302+IF($E3302="",0,$E3302)+IF($F3302="",0,$F3302)-IF($G3302="",0,$G3302))</f>
        <v/>
      </c>
      <c r="I3302" s="12" t="n"/>
      <c r="J3302" s="12" t="n"/>
      <c r="K3302" s="12" t="n"/>
      <c r="L3302" s="14" t="n"/>
      <c r="M3302" s="12" t="n"/>
      <c r="N3302" s="12" t="n"/>
      <c r="O3302" s="12" t="n"/>
    </row>
    <row r="3303">
      <c r="A3303" s="12" t="n"/>
      <c r="B3303" s="13">
        <f>IF($A3303="","",IFERROR(INDEX(Emp_Names,MATCH($A3303,Emp_Codes,0)),"NOT FOUND"))</f>
        <v/>
      </c>
      <c r="C3303" s="14" t="n"/>
      <c r="D3303" s="15" t="n"/>
      <c r="E3303" s="15" t="n"/>
      <c r="F3303" s="15" t="n"/>
      <c r="G3303" s="15" t="n"/>
      <c r="H3303" s="16">
        <f>IF($A3303="","",$D3303+IF($E3303="",0,$E3303)+IF($F3303="",0,$F3303)-IF($G3303="",0,$G3303))</f>
        <v/>
      </c>
      <c r="I3303" s="12" t="n"/>
      <c r="J3303" s="12" t="n"/>
      <c r="K3303" s="12" t="n"/>
      <c r="L3303" s="14" t="n"/>
      <c r="M3303" s="12" t="n"/>
      <c r="N3303" s="12" t="n"/>
      <c r="O3303" s="12" t="n"/>
    </row>
    <row r="3304">
      <c r="A3304" s="12" t="n"/>
      <c r="B3304" s="13">
        <f>IF($A3304="","",IFERROR(INDEX(Emp_Names,MATCH($A3304,Emp_Codes,0)),"NOT FOUND"))</f>
        <v/>
      </c>
      <c r="C3304" s="14" t="n"/>
      <c r="D3304" s="15" t="n"/>
      <c r="E3304" s="15" t="n"/>
      <c r="F3304" s="15" t="n"/>
      <c r="G3304" s="15" t="n"/>
      <c r="H3304" s="16">
        <f>IF($A3304="","",$D3304+IF($E3304="",0,$E3304)+IF($F3304="",0,$F3304)-IF($G3304="",0,$G3304))</f>
        <v/>
      </c>
      <c r="I3304" s="12" t="n"/>
      <c r="J3304" s="12" t="n"/>
      <c r="K3304" s="12" t="n"/>
      <c r="L3304" s="14" t="n"/>
      <c r="M3304" s="12" t="n"/>
      <c r="N3304" s="12" t="n"/>
      <c r="O3304" s="12" t="n"/>
    </row>
    <row r="3305">
      <c r="A3305" s="12" t="n"/>
      <c r="B3305" s="13">
        <f>IF($A3305="","",IFERROR(INDEX(Emp_Names,MATCH($A3305,Emp_Codes,0)),"NOT FOUND"))</f>
        <v/>
      </c>
      <c r="C3305" s="14" t="n"/>
      <c r="D3305" s="15" t="n"/>
      <c r="E3305" s="15" t="n"/>
      <c r="F3305" s="15" t="n"/>
      <c r="G3305" s="15" t="n"/>
      <c r="H3305" s="16">
        <f>IF($A3305="","",$D3305+IF($E3305="",0,$E3305)+IF($F3305="",0,$F3305)-IF($G3305="",0,$G3305))</f>
        <v/>
      </c>
      <c r="I3305" s="12" t="n"/>
      <c r="J3305" s="12" t="n"/>
      <c r="K3305" s="12" t="n"/>
      <c r="L3305" s="14" t="n"/>
      <c r="M3305" s="12" t="n"/>
      <c r="N3305" s="12" t="n"/>
      <c r="O3305" s="12" t="n"/>
    </row>
    <row r="3306">
      <c r="A3306" s="12" t="n"/>
      <c r="B3306" s="13">
        <f>IF($A3306="","",IFERROR(INDEX(Emp_Names,MATCH($A3306,Emp_Codes,0)),"NOT FOUND"))</f>
        <v/>
      </c>
      <c r="C3306" s="14" t="n"/>
      <c r="D3306" s="15" t="n"/>
      <c r="E3306" s="15" t="n"/>
      <c r="F3306" s="15" t="n"/>
      <c r="G3306" s="15" t="n"/>
      <c r="H3306" s="16">
        <f>IF($A3306="","",$D3306+IF($E3306="",0,$E3306)+IF($F3306="",0,$F3306)-IF($G3306="",0,$G3306))</f>
        <v/>
      </c>
      <c r="I3306" s="12" t="n"/>
      <c r="J3306" s="12" t="n"/>
      <c r="K3306" s="12" t="n"/>
      <c r="L3306" s="14" t="n"/>
      <c r="M3306" s="12" t="n"/>
      <c r="N3306" s="12" t="n"/>
      <c r="O3306" s="12" t="n"/>
    </row>
    <row r="3307">
      <c r="A3307" s="12" t="n"/>
      <c r="B3307" s="13">
        <f>IF($A3307="","",IFERROR(INDEX(Emp_Names,MATCH($A3307,Emp_Codes,0)),"NOT FOUND"))</f>
        <v/>
      </c>
      <c r="C3307" s="14" t="n"/>
      <c r="D3307" s="15" t="n"/>
      <c r="E3307" s="15" t="n"/>
      <c r="F3307" s="15" t="n"/>
      <c r="G3307" s="15" t="n"/>
      <c r="H3307" s="16">
        <f>IF($A3307="","",$D3307+IF($E3307="",0,$E3307)+IF($F3307="",0,$F3307)-IF($G3307="",0,$G3307))</f>
        <v/>
      </c>
      <c r="I3307" s="12" t="n"/>
      <c r="J3307" s="12" t="n"/>
      <c r="K3307" s="12" t="n"/>
      <c r="L3307" s="14" t="n"/>
      <c r="M3307" s="12" t="n"/>
      <c r="N3307" s="12" t="n"/>
      <c r="O3307" s="12" t="n"/>
    </row>
    <row r="3308">
      <c r="A3308" s="12" t="n"/>
      <c r="B3308" s="13">
        <f>IF($A3308="","",IFERROR(INDEX(Emp_Names,MATCH($A3308,Emp_Codes,0)),"NOT FOUND"))</f>
        <v/>
      </c>
      <c r="C3308" s="14" t="n"/>
      <c r="D3308" s="15" t="n"/>
      <c r="E3308" s="15" t="n"/>
      <c r="F3308" s="15" t="n"/>
      <c r="G3308" s="15" t="n"/>
      <c r="H3308" s="16">
        <f>IF($A3308="","",$D3308+IF($E3308="",0,$E3308)+IF($F3308="",0,$F3308)-IF($G3308="",0,$G3308))</f>
        <v/>
      </c>
      <c r="I3308" s="12" t="n"/>
      <c r="J3308" s="12" t="n"/>
      <c r="K3308" s="12" t="n"/>
      <c r="L3308" s="14" t="n"/>
      <c r="M3308" s="12" t="n"/>
      <c r="N3308" s="12" t="n"/>
      <c r="O3308" s="12" t="n"/>
    </row>
    <row r="3309">
      <c r="A3309" s="12" t="n"/>
      <c r="B3309" s="13">
        <f>IF($A3309="","",IFERROR(INDEX(Emp_Names,MATCH($A3309,Emp_Codes,0)),"NOT FOUND"))</f>
        <v/>
      </c>
      <c r="C3309" s="14" t="n"/>
      <c r="D3309" s="15" t="n"/>
      <c r="E3309" s="15" t="n"/>
      <c r="F3309" s="15" t="n"/>
      <c r="G3309" s="15" t="n"/>
      <c r="H3309" s="16">
        <f>IF($A3309="","",$D3309+IF($E3309="",0,$E3309)+IF($F3309="",0,$F3309)-IF($G3309="",0,$G3309))</f>
        <v/>
      </c>
      <c r="I3309" s="12" t="n"/>
      <c r="J3309" s="12" t="n"/>
      <c r="K3309" s="12" t="n"/>
      <c r="L3309" s="14" t="n"/>
      <c r="M3309" s="12" t="n"/>
      <c r="N3309" s="12" t="n"/>
      <c r="O3309" s="12" t="n"/>
    </row>
    <row r="3310">
      <c r="A3310" s="12" t="n"/>
      <c r="B3310" s="13">
        <f>IF($A3310="","",IFERROR(INDEX(Emp_Names,MATCH($A3310,Emp_Codes,0)),"NOT FOUND"))</f>
        <v/>
      </c>
      <c r="C3310" s="14" t="n"/>
      <c r="D3310" s="15" t="n"/>
      <c r="E3310" s="15" t="n"/>
      <c r="F3310" s="15" t="n"/>
      <c r="G3310" s="15" t="n"/>
      <c r="H3310" s="16">
        <f>IF($A3310="","",$D3310+IF($E3310="",0,$E3310)+IF($F3310="",0,$F3310)-IF($G3310="",0,$G3310))</f>
        <v/>
      </c>
      <c r="I3310" s="12" t="n"/>
      <c r="J3310" s="12" t="n"/>
      <c r="K3310" s="12" t="n"/>
      <c r="L3310" s="14" t="n"/>
      <c r="M3310" s="12" t="n"/>
      <c r="N3310" s="12" t="n"/>
      <c r="O3310" s="12" t="n"/>
    </row>
    <row r="3311">
      <c r="A3311" s="12" t="n"/>
      <c r="B3311" s="13">
        <f>IF($A3311="","",IFERROR(INDEX(Emp_Names,MATCH($A3311,Emp_Codes,0)),"NOT FOUND"))</f>
        <v/>
      </c>
      <c r="C3311" s="14" t="n"/>
      <c r="D3311" s="15" t="n"/>
      <c r="E3311" s="15" t="n"/>
      <c r="F3311" s="15" t="n"/>
      <c r="G3311" s="15" t="n"/>
      <c r="H3311" s="16">
        <f>IF($A3311="","",$D3311+IF($E3311="",0,$E3311)+IF($F3311="",0,$F3311)-IF($G3311="",0,$G3311))</f>
        <v/>
      </c>
      <c r="I3311" s="12" t="n"/>
      <c r="J3311" s="12" t="n"/>
      <c r="K3311" s="12" t="n"/>
      <c r="L3311" s="14" t="n"/>
      <c r="M3311" s="12" t="n"/>
      <c r="N3311" s="12" t="n"/>
      <c r="O3311" s="12" t="n"/>
    </row>
    <row r="3312">
      <c r="A3312" s="12" t="n"/>
      <c r="B3312" s="13">
        <f>IF($A3312="","",IFERROR(INDEX(Emp_Names,MATCH($A3312,Emp_Codes,0)),"NOT FOUND"))</f>
        <v/>
      </c>
      <c r="C3312" s="14" t="n"/>
      <c r="D3312" s="15" t="n"/>
      <c r="E3312" s="15" t="n"/>
      <c r="F3312" s="15" t="n"/>
      <c r="G3312" s="15" t="n"/>
      <c r="H3312" s="16">
        <f>IF($A3312="","",$D3312+IF($E3312="",0,$E3312)+IF($F3312="",0,$F3312)-IF($G3312="",0,$G3312))</f>
        <v/>
      </c>
      <c r="I3312" s="12" t="n"/>
      <c r="J3312" s="12" t="n"/>
      <c r="K3312" s="12" t="n"/>
      <c r="L3312" s="14" t="n"/>
      <c r="M3312" s="12" t="n"/>
      <c r="N3312" s="12" t="n"/>
      <c r="O3312" s="12" t="n"/>
    </row>
    <row r="3313">
      <c r="A3313" s="12" t="n"/>
      <c r="B3313" s="13">
        <f>IF($A3313="","",IFERROR(INDEX(Emp_Names,MATCH($A3313,Emp_Codes,0)),"NOT FOUND"))</f>
        <v/>
      </c>
      <c r="C3313" s="14" t="n"/>
      <c r="D3313" s="15" t="n"/>
      <c r="E3313" s="15" t="n"/>
      <c r="F3313" s="15" t="n"/>
      <c r="G3313" s="15" t="n"/>
      <c r="H3313" s="16">
        <f>IF($A3313="","",$D3313+IF($E3313="",0,$E3313)+IF($F3313="",0,$F3313)-IF($G3313="",0,$G3313))</f>
        <v/>
      </c>
      <c r="I3313" s="12" t="n"/>
      <c r="J3313" s="12" t="n"/>
      <c r="K3313" s="12" t="n"/>
      <c r="L3313" s="14" t="n"/>
      <c r="M3313" s="12" t="n"/>
      <c r="N3313" s="12" t="n"/>
      <c r="O3313" s="12" t="n"/>
    </row>
    <row r="3314">
      <c r="A3314" s="12" t="n"/>
      <c r="B3314" s="13">
        <f>IF($A3314="","",IFERROR(INDEX(Emp_Names,MATCH($A3314,Emp_Codes,0)),"NOT FOUND"))</f>
        <v/>
      </c>
      <c r="C3314" s="14" t="n"/>
      <c r="D3314" s="15" t="n"/>
      <c r="E3314" s="15" t="n"/>
      <c r="F3314" s="15" t="n"/>
      <c r="G3314" s="15" t="n"/>
      <c r="H3314" s="16">
        <f>IF($A3314="","",$D3314+IF($E3314="",0,$E3314)+IF($F3314="",0,$F3314)-IF($G3314="",0,$G3314))</f>
        <v/>
      </c>
      <c r="I3314" s="12" t="n"/>
      <c r="J3314" s="12" t="n"/>
      <c r="K3314" s="12" t="n"/>
      <c r="L3314" s="14" t="n"/>
      <c r="M3314" s="12" t="n"/>
      <c r="N3314" s="12" t="n"/>
      <c r="O3314" s="12" t="n"/>
    </row>
    <row r="3315">
      <c r="A3315" s="12" t="n"/>
      <c r="B3315" s="13">
        <f>IF($A3315="","",IFERROR(INDEX(Emp_Names,MATCH($A3315,Emp_Codes,0)),"NOT FOUND"))</f>
        <v/>
      </c>
      <c r="C3315" s="14" t="n"/>
      <c r="D3315" s="15" t="n"/>
      <c r="E3315" s="15" t="n"/>
      <c r="F3315" s="15" t="n"/>
      <c r="G3315" s="15" t="n"/>
      <c r="H3315" s="16">
        <f>IF($A3315="","",$D3315+IF($E3315="",0,$E3315)+IF($F3315="",0,$F3315)-IF($G3315="",0,$G3315))</f>
        <v/>
      </c>
      <c r="I3315" s="12" t="n"/>
      <c r="J3315" s="12" t="n"/>
      <c r="K3315" s="12" t="n"/>
      <c r="L3315" s="14" t="n"/>
      <c r="M3315" s="12" t="n"/>
      <c r="N3315" s="12" t="n"/>
      <c r="O3315" s="12" t="n"/>
    </row>
    <row r="3316">
      <c r="A3316" s="12" t="n"/>
      <c r="B3316" s="13">
        <f>IF($A3316="","",IFERROR(INDEX(Emp_Names,MATCH($A3316,Emp_Codes,0)),"NOT FOUND"))</f>
        <v/>
      </c>
      <c r="C3316" s="14" t="n"/>
      <c r="D3316" s="15" t="n"/>
      <c r="E3316" s="15" t="n"/>
      <c r="F3316" s="15" t="n"/>
      <c r="G3316" s="15" t="n"/>
      <c r="H3316" s="16">
        <f>IF($A3316="","",$D3316+IF($E3316="",0,$E3316)+IF($F3316="",0,$F3316)-IF($G3316="",0,$G3316))</f>
        <v/>
      </c>
      <c r="I3316" s="12" t="n"/>
      <c r="J3316" s="12" t="n"/>
      <c r="K3316" s="12" t="n"/>
      <c r="L3316" s="14" t="n"/>
      <c r="M3316" s="12" t="n"/>
      <c r="N3316" s="12" t="n"/>
      <c r="O3316" s="12" t="n"/>
    </row>
    <row r="3317">
      <c r="A3317" s="12" t="n"/>
      <c r="B3317" s="13">
        <f>IF($A3317="","",IFERROR(INDEX(Emp_Names,MATCH($A3317,Emp_Codes,0)),"NOT FOUND"))</f>
        <v/>
      </c>
      <c r="C3317" s="14" t="n"/>
      <c r="D3317" s="15" t="n"/>
      <c r="E3317" s="15" t="n"/>
      <c r="F3317" s="15" t="n"/>
      <c r="G3317" s="15" t="n"/>
      <c r="H3317" s="16">
        <f>IF($A3317="","",$D3317+IF($E3317="",0,$E3317)+IF($F3317="",0,$F3317)-IF($G3317="",0,$G3317))</f>
        <v/>
      </c>
      <c r="I3317" s="12" t="n"/>
      <c r="J3317" s="12" t="n"/>
      <c r="K3317" s="12" t="n"/>
      <c r="L3317" s="14" t="n"/>
      <c r="M3317" s="12" t="n"/>
      <c r="N3317" s="12" t="n"/>
      <c r="O3317" s="12" t="n"/>
    </row>
    <row r="3318">
      <c r="A3318" s="12" t="n"/>
      <c r="B3318" s="13">
        <f>IF($A3318="","",IFERROR(INDEX(Emp_Names,MATCH($A3318,Emp_Codes,0)),"NOT FOUND"))</f>
        <v/>
      </c>
      <c r="C3318" s="14" t="n"/>
      <c r="D3318" s="15" t="n"/>
      <c r="E3318" s="15" t="n"/>
      <c r="F3318" s="15" t="n"/>
      <c r="G3318" s="15" t="n"/>
      <c r="H3318" s="16">
        <f>IF($A3318="","",$D3318+IF($E3318="",0,$E3318)+IF($F3318="",0,$F3318)-IF($G3318="",0,$G3318))</f>
        <v/>
      </c>
      <c r="I3318" s="12" t="n"/>
      <c r="J3318" s="12" t="n"/>
      <c r="K3318" s="12" t="n"/>
      <c r="L3318" s="14" t="n"/>
      <c r="M3318" s="12" t="n"/>
      <c r="N3318" s="12" t="n"/>
      <c r="O3318" s="12" t="n"/>
    </row>
    <row r="3319">
      <c r="A3319" s="12" t="n"/>
      <c r="B3319" s="13">
        <f>IF($A3319="","",IFERROR(INDEX(Emp_Names,MATCH($A3319,Emp_Codes,0)),"NOT FOUND"))</f>
        <v/>
      </c>
      <c r="C3319" s="14" t="n"/>
      <c r="D3319" s="15" t="n"/>
      <c r="E3319" s="15" t="n"/>
      <c r="F3319" s="15" t="n"/>
      <c r="G3319" s="15" t="n"/>
      <c r="H3319" s="16">
        <f>IF($A3319="","",$D3319+IF($E3319="",0,$E3319)+IF($F3319="",0,$F3319)-IF($G3319="",0,$G3319))</f>
        <v/>
      </c>
      <c r="I3319" s="12" t="n"/>
      <c r="J3319" s="12" t="n"/>
      <c r="K3319" s="12" t="n"/>
      <c r="L3319" s="14" t="n"/>
      <c r="M3319" s="12" t="n"/>
      <c r="N3319" s="12" t="n"/>
      <c r="O3319" s="12" t="n"/>
    </row>
    <row r="3320">
      <c r="A3320" s="12" t="n"/>
      <c r="B3320" s="13">
        <f>IF($A3320="","",IFERROR(INDEX(Emp_Names,MATCH($A3320,Emp_Codes,0)),"NOT FOUND"))</f>
        <v/>
      </c>
      <c r="C3320" s="14" t="n"/>
      <c r="D3320" s="15" t="n"/>
      <c r="E3320" s="15" t="n"/>
      <c r="F3320" s="15" t="n"/>
      <c r="G3320" s="15" t="n"/>
      <c r="H3320" s="16">
        <f>IF($A3320="","",$D3320+IF($E3320="",0,$E3320)+IF($F3320="",0,$F3320)-IF($G3320="",0,$G3320))</f>
        <v/>
      </c>
      <c r="I3320" s="12" t="n"/>
      <c r="J3320" s="12" t="n"/>
      <c r="K3320" s="12" t="n"/>
      <c r="L3320" s="14" t="n"/>
      <c r="M3320" s="12" t="n"/>
      <c r="N3320" s="12" t="n"/>
      <c r="O3320" s="12" t="n"/>
    </row>
    <row r="3321">
      <c r="A3321" s="12" t="n"/>
      <c r="B3321" s="13">
        <f>IF($A3321="","",IFERROR(INDEX(Emp_Names,MATCH($A3321,Emp_Codes,0)),"NOT FOUND"))</f>
        <v/>
      </c>
      <c r="C3321" s="14" t="n"/>
      <c r="D3321" s="15" t="n"/>
      <c r="E3321" s="15" t="n"/>
      <c r="F3321" s="15" t="n"/>
      <c r="G3321" s="15" t="n"/>
      <c r="H3321" s="16">
        <f>IF($A3321="","",$D3321+IF($E3321="",0,$E3321)+IF($F3321="",0,$F3321)-IF($G3321="",0,$G3321))</f>
        <v/>
      </c>
      <c r="I3321" s="12" t="n"/>
      <c r="J3321" s="12" t="n"/>
      <c r="K3321" s="12" t="n"/>
      <c r="L3321" s="14" t="n"/>
      <c r="M3321" s="12" t="n"/>
      <c r="N3321" s="12" t="n"/>
      <c r="O3321" s="12" t="n"/>
    </row>
    <row r="3322">
      <c r="A3322" s="12" t="n"/>
      <c r="B3322" s="13">
        <f>IF($A3322="","",IFERROR(INDEX(Emp_Names,MATCH($A3322,Emp_Codes,0)),"NOT FOUND"))</f>
        <v/>
      </c>
      <c r="C3322" s="14" t="n"/>
      <c r="D3322" s="15" t="n"/>
      <c r="E3322" s="15" t="n"/>
      <c r="F3322" s="15" t="n"/>
      <c r="G3322" s="15" t="n"/>
      <c r="H3322" s="16">
        <f>IF($A3322="","",$D3322+IF($E3322="",0,$E3322)+IF($F3322="",0,$F3322)-IF($G3322="",0,$G3322))</f>
        <v/>
      </c>
      <c r="I3322" s="12" t="n"/>
      <c r="J3322" s="12" t="n"/>
      <c r="K3322" s="12" t="n"/>
      <c r="L3322" s="14" t="n"/>
      <c r="M3322" s="12" t="n"/>
      <c r="N3322" s="12" t="n"/>
      <c r="O3322" s="12" t="n"/>
    </row>
    <row r="3323">
      <c r="A3323" s="12" t="n"/>
      <c r="B3323" s="13">
        <f>IF($A3323="","",IFERROR(INDEX(Emp_Names,MATCH($A3323,Emp_Codes,0)),"NOT FOUND"))</f>
        <v/>
      </c>
      <c r="C3323" s="14" t="n"/>
      <c r="D3323" s="15" t="n"/>
      <c r="E3323" s="15" t="n"/>
      <c r="F3323" s="15" t="n"/>
      <c r="G3323" s="15" t="n"/>
      <c r="H3323" s="16">
        <f>IF($A3323="","",$D3323+IF($E3323="",0,$E3323)+IF($F3323="",0,$F3323)-IF($G3323="",0,$G3323))</f>
        <v/>
      </c>
      <c r="I3323" s="12" t="n"/>
      <c r="J3323" s="12" t="n"/>
      <c r="K3323" s="12" t="n"/>
      <c r="L3323" s="14" t="n"/>
      <c r="M3323" s="12" t="n"/>
      <c r="N3323" s="12" t="n"/>
      <c r="O3323" s="12" t="n"/>
    </row>
    <row r="3324">
      <c r="A3324" s="12" t="n"/>
      <c r="B3324" s="13">
        <f>IF($A3324="","",IFERROR(INDEX(Emp_Names,MATCH($A3324,Emp_Codes,0)),"NOT FOUND"))</f>
        <v/>
      </c>
      <c r="C3324" s="14" t="n"/>
      <c r="D3324" s="15" t="n"/>
      <c r="E3324" s="15" t="n"/>
      <c r="F3324" s="15" t="n"/>
      <c r="G3324" s="15" t="n"/>
      <c r="H3324" s="16">
        <f>IF($A3324="","",$D3324+IF($E3324="",0,$E3324)+IF($F3324="",0,$F3324)-IF($G3324="",0,$G3324))</f>
        <v/>
      </c>
      <c r="I3324" s="12" t="n"/>
      <c r="J3324" s="12" t="n"/>
      <c r="K3324" s="12" t="n"/>
      <c r="L3324" s="14" t="n"/>
      <c r="M3324" s="12" t="n"/>
      <c r="N3324" s="12" t="n"/>
      <c r="O3324" s="12" t="n"/>
    </row>
    <row r="3325">
      <c r="A3325" s="12" t="n"/>
      <c r="B3325" s="13">
        <f>IF($A3325="","",IFERROR(INDEX(Emp_Names,MATCH($A3325,Emp_Codes,0)),"NOT FOUND"))</f>
        <v/>
      </c>
      <c r="C3325" s="14" t="n"/>
      <c r="D3325" s="15" t="n"/>
      <c r="E3325" s="15" t="n"/>
      <c r="F3325" s="15" t="n"/>
      <c r="G3325" s="15" t="n"/>
      <c r="H3325" s="16">
        <f>IF($A3325="","",$D3325+IF($E3325="",0,$E3325)+IF($F3325="",0,$F3325)-IF($G3325="",0,$G3325))</f>
        <v/>
      </c>
      <c r="I3325" s="12" t="n"/>
      <c r="J3325" s="12" t="n"/>
      <c r="K3325" s="12" t="n"/>
      <c r="L3325" s="14" t="n"/>
      <c r="M3325" s="12" t="n"/>
      <c r="N3325" s="12" t="n"/>
      <c r="O3325" s="12" t="n"/>
    </row>
    <row r="3326">
      <c r="A3326" s="12" t="n"/>
      <c r="B3326" s="13">
        <f>IF($A3326="","",IFERROR(INDEX(Emp_Names,MATCH($A3326,Emp_Codes,0)),"NOT FOUND"))</f>
        <v/>
      </c>
      <c r="C3326" s="14" t="n"/>
      <c r="D3326" s="15" t="n"/>
      <c r="E3326" s="15" t="n"/>
      <c r="F3326" s="15" t="n"/>
      <c r="G3326" s="15" t="n"/>
      <c r="H3326" s="16">
        <f>IF($A3326="","",$D3326+IF($E3326="",0,$E3326)+IF($F3326="",0,$F3326)-IF($G3326="",0,$G3326))</f>
        <v/>
      </c>
      <c r="I3326" s="12" t="n"/>
      <c r="J3326" s="12" t="n"/>
      <c r="K3326" s="12" t="n"/>
      <c r="L3326" s="14" t="n"/>
      <c r="M3326" s="12" t="n"/>
      <c r="N3326" s="12" t="n"/>
      <c r="O3326" s="12" t="n"/>
    </row>
    <row r="3327">
      <c r="A3327" s="12" t="n"/>
      <c r="B3327" s="13">
        <f>IF($A3327="","",IFERROR(INDEX(Emp_Names,MATCH($A3327,Emp_Codes,0)),"NOT FOUND"))</f>
        <v/>
      </c>
      <c r="C3327" s="14" t="n"/>
      <c r="D3327" s="15" t="n"/>
      <c r="E3327" s="15" t="n"/>
      <c r="F3327" s="15" t="n"/>
      <c r="G3327" s="15" t="n"/>
      <c r="H3327" s="16">
        <f>IF($A3327="","",$D3327+IF($E3327="",0,$E3327)+IF($F3327="",0,$F3327)-IF($G3327="",0,$G3327))</f>
        <v/>
      </c>
      <c r="I3327" s="12" t="n"/>
      <c r="J3327" s="12" t="n"/>
      <c r="K3327" s="12" t="n"/>
      <c r="L3327" s="14" t="n"/>
      <c r="M3327" s="12" t="n"/>
      <c r="N3327" s="12" t="n"/>
      <c r="O3327" s="12" t="n"/>
    </row>
    <row r="3328">
      <c r="A3328" s="12" t="n"/>
      <c r="B3328" s="13">
        <f>IF($A3328="","",IFERROR(INDEX(Emp_Names,MATCH($A3328,Emp_Codes,0)),"NOT FOUND"))</f>
        <v/>
      </c>
      <c r="C3328" s="14" t="n"/>
      <c r="D3328" s="15" t="n"/>
      <c r="E3328" s="15" t="n"/>
      <c r="F3328" s="15" t="n"/>
      <c r="G3328" s="15" t="n"/>
      <c r="H3328" s="16">
        <f>IF($A3328="","",$D3328+IF($E3328="",0,$E3328)+IF($F3328="",0,$F3328)-IF($G3328="",0,$G3328))</f>
        <v/>
      </c>
      <c r="I3328" s="12" t="n"/>
      <c r="J3328" s="12" t="n"/>
      <c r="K3328" s="12" t="n"/>
      <c r="L3328" s="14" t="n"/>
      <c r="M3328" s="12" t="n"/>
      <c r="N3328" s="12" t="n"/>
      <c r="O3328" s="12" t="n"/>
    </row>
    <row r="3329">
      <c r="A3329" s="12" t="n"/>
      <c r="B3329" s="13">
        <f>IF($A3329="","",IFERROR(INDEX(Emp_Names,MATCH($A3329,Emp_Codes,0)),"NOT FOUND"))</f>
        <v/>
      </c>
      <c r="C3329" s="14" t="n"/>
      <c r="D3329" s="15" t="n"/>
      <c r="E3329" s="15" t="n"/>
      <c r="F3329" s="15" t="n"/>
      <c r="G3329" s="15" t="n"/>
      <c r="H3329" s="16">
        <f>IF($A3329="","",$D3329+IF($E3329="",0,$E3329)+IF($F3329="",0,$F3329)-IF($G3329="",0,$G3329))</f>
        <v/>
      </c>
      <c r="I3329" s="12" t="n"/>
      <c r="J3329" s="12" t="n"/>
      <c r="K3329" s="12" t="n"/>
      <c r="L3329" s="14" t="n"/>
      <c r="M3329" s="12" t="n"/>
      <c r="N3329" s="12" t="n"/>
      <c r="O3329" s="12" t="n"/>
    </row>
    <row r="3330">
      <c r="A3330" s="12" t="n"/>
      <c r="B3330" s="13">
        <f>IF($A3330="","",IFERROR(INDEX(Emp_Names,MATCH($A3330,Emp_Codes,0)),"NOT FOUND"))</f>
        <v/>
      </c>
      <c r="C3330" s="14" t="n"/>
      <c r="D3330" s="15" t="n"/>
      <c r="E3330" s="15" t="n"/>
      <c r="F3330" s="15" t="n"/>
      <c r="G3330" s="15" t="n"/>
      <c r="H3330" s="16">
        <f>IF($A3330="","",$D3330+IF($E3330="",0,$E3330)+IF($F3330="",0,$F3330)-IF($G3330="",0,$G3330))</f>
        <v/>
      </c>
      <c r="I3330" s="12" t="n"/>
      <c r="J3330" s="12" t="n"/>
      <c r="K3330" s="12" t="n"/>
      <c r="L3330" s="14" t="n"/>
      <c r="M3330" s="12" t="n"/>
      <c r="N3330" s="12" t="n"/>
      <c r="O3330" s="12" t="n"/>
    </row>
    <row r="3331">
      <c r="A3331" s="12" t="n"/>
      <c r="B3331" s="13">
        <f>IF($A3331="","",IFERROR(INDEX(Emp_Names,MATCH($A3331,Emp_Codes,0)),"NOT FOUND"))</f>
        <v/>
      </c>
      <c r="C3331" s="14" t="n"/>
      <c r="D3331" s="15" t="n"/>
      <c r="E3331" s="15" t="n"/>
      <c r="F3331" s="15" t="n"/>
      <c r="G3331" s="15" t="n"/>
      <c r="H3331" s="16">
        <f>IF($A3331="","",$D3331+IF($E3331="",0,$E3331)+IF($F3331="",0,$F3331)-IF($G3331="",0,$G3331))</f>
        <v/>
      </c>
      <c r="I3331" s="12" t="n"/>
      <c r="J3331" s="12" t="n"/>
      <c r="K3331" s="12" t="n"/>
      <c r="L3331" s="14" t="n"/>
      <c r="M3331" s="12" t="n"/>
      <c r="N3331" s="12" t="n"/>
      <c r="O3331" s="12" t="n"/>
    </row>
    <row r="3332">
      <c r="A3332" s="12" t="n"/>
      <c r="B3332" s="13">
        <f>IF($A3332="","",IFERROR(INDEX(Emp_Names,MATCH($A3332,Emp_Codes,0)),"NOT FOUND"))</f>
        <v/>
      </c>
      <c r="C3332" s="14" t="n"/>
      <c r="D3332" s="15" t="n"/>
      <c r="E3332" s="15" t="n"/>
      <c r="F3332" s="15" t="n"/>
      <c r="G3332" s="15" t="n"/>
      <c r="H3332" s="16">
        <f>IF($A3332="","",$D3332+IF($E3332="",0,$E3332)+IF($F3332="",0,$F3332)-IF($G3332="",0,$G3332))</f>
        <v/>
      </c>
      <c r="I3332" s="12" t="n"/>
      <c r="J3332" s="12" t="n"/>
      <c r="K3332" s="12" t="n"/>
      <c r="L3332" s="14" t="n"/>
      <c r="M3332" s="12" t="n"/>
      <c r="N3332" s="12" t="n"/>
      <c r="O3332" s="12" t="n"/>
    </row>
    <row r="3333">
      <c r="A3333" s="12" t="n"/>
      <c r="B3333" s="13">
        <f>IF($A3333="","",IFERROR(INDEX(Emp_Names,MATCH($A3333,Emp_Codes,0)),"NOT FOUND"))</f>
        <v/>
      </c>
      <c r="C3333" s="14" t="n"/>
      <c r="D3333" s="15" t="n"/>
      <c r="E3333" s="15" t="n"/>
      <c r="F3333" s="15" t="n"/>
      <c r="G3333" s="15" t="n"/>
      <c r="H3333" s="16">
        <f>IF($A3333="","",$D3333+IF($E3333="",0,$E3333)+IF($F3333="",0,$F3333)-IF($G3333="",0,$G3333))</f>
        <v/>
      </c>
      <c r="I3333" s="12" t="n"/>
      <c r="J3333" s="12" t="n"/>
      <c r="K3333" s="12" t="n"/>
      <c r="L3333" s="14" t="n"/>
      <c r="M3333" s="12" t="n"/>
      <c r="N3333" s="12" t="n"/>
      <c r="O3333" s="12" t="n"/>
    </row>
    <row r="3334">
      <c r="A3334" s="12" t="n"/>
      <c r="B3334" s="13">
        <f>IF($A3334="","",IFERROR(INDEX(Emp_Names,MATCH($A3334,Emp_Codes,0)),"NOT FOUND"))</f>
        <v/>
      </c>
      <c r="C3334" s="14" t="n"/>
      <c r="D3334" s="15" t="n"/>
      <c r="E3334" s="15" t="n"/>
      <c r="F3334" s="15" t="n"/>
      <c r="G3334" s="15" t="n"/>
      <c r="H3334" s="16">
        <f>IF($A3334="","",$D3334+IF($E3334="",0,$E3334)+IF($F3334="",0,$F3334)-IF($G3334="",0,$G3334))</f>
        <v/>
      </c>
      <c r="I3334" s="12" t="n"/>
      <c r="J3334" s="12" t="n"/>
      <c r="K3334" s="12" t="n"/>
      <c r="L3334" s="14" t="n"/>
      <c r="M3334" s="12" t="n"/>
      <c r="N3334" s="12" t="n"/>
      <c r="O3334" s="12" t="n"/>
    </row>
    <row r="3335">
      <c r="A3335" s="12" t="n"/>
      <c r="B3335" s="13">
        <f>IF($A3335="","",IFERROR(INDEX(Emp_Names,MATCH($A3335,Emp_Codes,0)),"NOT FOUND"))</f>
        <v/>
      </c>
      <c r="C3335" s="14" t="n"/>
      <c r="D3335" s="15" t="n"/>
      <c r="E3335" s="15" t="n"/>
      <c r="F3335" s="15" t="n"/>
      <c r="G3335" s="15" t="n"/>
      <c r="H3335" s="16">
        <f>IF($A3335="","",$D3335+IF($E3335="",0,$E3335)+IF($F3335="",0,$F3335)-IF($G3335="",0,$G3335))</f>
        <v/>
      </c>
      <c r="I3335" s="12" t="n"/>
      <c r="J3335" s="12" t="n"/>
      <c r="K3335" s="12" t="n"/>
      <c r="L3335" s="14" t="n"/>
      <c r="M3335" s="12" t="n"/>
      <c r="N3335" s="12" t="n"/>
      <c r="O3335" s="12" t="n"/>
    </row>
    <row r="3336">
      <c r="A3336" s="12" t="n"/>
      <c r="B3336" s="13">
        <f>IF($A3336="","",IFERROR(INDEX(Emp_Names,MATCH($A3336,Emp_Codes,0)),"NOT FOUND"))</f>
        <v/>
      </c>
      <c r="C3336" s="14" t="n"/>
      <c r="D3336" s="15" t="n"/>
      <c r="E3336" s="15" t="n"/>
      <c r="F3336" s="15" t="n"/>
      <c r="G3336" s="15" t="n"/>
      <c r="H3336" s="16">
        <f>IF($A3336="","",$D3336+IF($E3336="",0,$E3336)+IF($F3336="",0,$F3336)-IF($G3336="",0,$G3336))</f>
        <v/>
      </c>
      <c r="I3336" s="12" t="n"/>
      <c r="J3336" s="12" t="n"/>
      <c r="K3336" s="12" t="n"/>
      <c r="L3336" s="14" t="n"/>
      <c r="M3336" s="12" t="n"/>
      <c r="N3336" s="12" t="n"/>
      <c r="O3336" s="12" t="n"/>
    </row>
    <row r="3337">
      <c r="A3337" s="12" t="n"/>
      <c r="B3337" s="13">
        <f>IF($A3337="","",IFERROR(INDEX(Emp_Names,MATCH($A3337,Emp_Codes,0)),"NOT FOUND"))</f>
        <v/>
      </c>
      <c r="C3337" s="14" t="n"/>
      <c r="D3337" s="15" t="n"/>
      <c r="E3337" s="15" t="n"/>
      <c r="F3337" s="15" t="n"/>
      <c r="G3337" s="15" t="n"/>
      <c r="H3337" s="16">
        <f>IF($A3337="","",$D3337+IF($E3337="",0,$E3337)+IF($F3337="",0,$F3337)-IF($G3337="",0,$G3337))</f>
        <v/>
      </c>
      <c r="I3337" s="12" t="n"/>
      <c r="J3337" s="12" t="n"/>
      <c r="K3337" s="12" t="n"/>
      <c r="L3337" s="14" t="n"/>
      <c r="M3337" s="12" t="n"/>
      <c r="N3337" s="12" t="n"/>
      <c r="O3337" s="12" t="n"/>
    </row>
    <row r="3338">
      <c r="A3338" s="12" t="n"/>
      <c r="B3338" s="13">
        <f>IF($A3338="","",IFERROR(INDEX(Emp_Names,MATCH($A3338,Emp_Codes,0)),"NOT FOUND"))</f>
        <v/>
      </c>
      <c r="C3338" s="14" t="n"/>
      <c r="D3338" s="15" t="n"/>
      <c r="E3338" s="15" t="n"/>
      <c r="F3338" s="15" t="n"/>
      <c r="G3338" s="15" t="n"/>
      <c r="H3338" s="16">
        <f>IF($A3338="","",$D3338+IF($E3338="",0,$E3338)+IF($F3338="",0,$F3338)-IF($G3338="",0,$G3338))</f>
        <v/>
      </c>
      <c r="I3338" s="12" t="n"/>
      <c r="J3338" s="12" t="n"/>
      <c r="K3338" s="12" t="n"/>
      <c r="L3338" s="14" t="n"/>
      <c r="M3338" s="12" t="n"/>
      <c r="N3338" s="12" t="n"/>
      <c r="O3338" s="12" t="n"/>
    </row>
    <row r="3339">
      <c r="A3339" s="12" t="n"/>
      <c r="B3339" s="13">
        <f>IF($A3339="","",IFERROR(INDEX(Emp_Names,MATCH($A3339,Emp_Codes,0)),"NOT FOUND"))</f>
        <v/>
      </c>
      <c r="C3339" s="14" t="n"/>
      <c r="D3339" s="15" t="n"/>
      <c r="E3339" s="15" t="n"/>
      <c r="F3339" s="15" t="n"/>
      <c r="G3339" s="15" t="n"/>
      <c r="H3339" s="16">
        <f>IF($A3339="","",$D3339+IF($E3339="",0,$E3339)+IF($F3339="",0,$F3339)-IF($G3339="",0,$G3339))</f>
        <v/>
      </c>
      <c r="I3339" s="12" t="n"/>
      <c r="J3339" s="12" t="n"/>
      <c r="K3339" s="12" t="n"/>
      <c r="L3339" s="14" t="n"/>
      <c r="M3339" s="12" t="n"/>
      <c r="N3339" s="12" t="n"/>
      <c r="O3339" s="12" t="n"/>
    </row>
    <row r="3340">
      <c r="A3340" s="12" t="n"/>
      <c r="B3340" s="13">
        <f>IF($A3340="","",IFERROR(INDEX(Emp_Names,MATCH($A3340,Emp_Codes,0)),"NOT FOUND"))</f>
        <v/>
      </c>
      <c r="C3340" s="14" t="n"/>
      <c r="D3340" s="15" t="n"/>
      <c r="E3340" s="15" t="n"/>
      <c r="F3340" s="15" t="n"/>
      <c r="G3340" s="15" t="n"/>
      <c r="H3340" s="16">
        <f>IF($A3340="","",$D3340+IF($E3340="",0,$E3340)+IF($F3340="",0,$F3340)-IF($G3340="",0,$G3340))</f>
        <v/>
      </c>
      <c r="I3340" s="12" t="n"/>
      <c r="J3340" s="12" t="n"/>
      <c r="K3340" s="12" t="n"/>
      <c r="L3340" s="14" t="n"/>
      <c r="M3340" s="12" t="n"/>
      <c r="N3340" s="12" t="n"/>
      <c r="O3340" s="12" t="n"/>
    </row>
    <row r="3341">
      <c r="A3341" s="12" t="n"/>
      <c r="B3341" s="13">
        <f>IF($A3341="","",IFERROR(INDEX(Emp_Names,MATCH($A3341,Emp_Codes,0)),"NOT FOUND"))</f>
        <v/>
      </c>
      <c r="C3341" s="14" t="n"/>
      <c r="D3341" s="15" t="n"/>
      <c r="E3341" s="15" t="n"/>
      <c r="F3341" s="15" t="n"/>
      <c r="G3341" s="15" t="n"/>
      <c r="H3341" s="16">
        <f>IF($A3341="","",$D3341+IF($E3341="",0,$E3341)+IF($F3341="",0,$F3341)-IF($G3341="",0,$G3341))</f>
        <v/>
      </c>
      <c r="I3341" s="12" t="n"/>
      <c r="J3341" s="12" t="n"/>
      <c r="K3341" s="12" t="n"/>
      <c r="L3341" s="14" t="n"/>
      <c r="M3341" s="12" t="n"/>
      <c r="N3341" s="12" t="n"/>
      <c r="O3341" s="12" t="n"/>
    </row>
    <row r="3342">
      <c r="A3342" s="12" t="n"/>
      <c r="B3342" s="13">
        <f>IF($A3342="","",IFERROR(INDEX(Emp_Names,MATCH($A3342,Emp_Codes,0)),"NOT FOUND"))</f>
        <v/>
      </c>
      <c r="C3342" s="14" t="n"/>
      <c r="D3342" s="15" t="n"/>
      <c r="E3342" s="15" t="n"/>
      <c r="F3342" s="15" t="n"/>
      <c r="G3342" s="15" t="n"/>
      <c r="H3342" s="16">
        <f>IF($A3342="","",$D3342+IF($E3342="",0,$E3342)+IF($F3342="",0,$F3342)-IF($G3342="",0,$G3342))</f>
        <v/>
      </c>
      <c r="I3342" s="12" t="n"/>
      <c r="J3342" s="12" t="n"/>
      <c r="K3342" s="12" t="n"/>
      <c r="L3342" s="14" t="n"/>
      <c r="M3342" s="12" t="n"/>
      <c r="N3342" s="12" t="n"/>
      <c r="O3342" s="12" t="n"/>
    </row>
    <row r="3343">
      <c r="A3343" s="12" t="n"/>
      <c r="B3343" s="13">
        <f>IF($A3343="","",IFERROR(INDEX(Emp_Names,MATCH($A3343,Emp_Codes,0)),"NOT FOUND"))</f>
        <v/>
      </c>
      <c r="C3343" s="14" t="n"/>
      <c r="D3343" s="15" t="n"/>
      <c r="E3343" s="15" t="n"/>
      <c r="F3343" s="15" t="n"/>
      <c r="G3343" s="15" t="n"/>
      <c r="H3343" s="16">
        <f>IF($A3343="","",$D3343+IF($E3343="",0,$E3343)+IF($F3343="",0,$F3343)-IF($G3343="",0,$G3343))</f>
        <v/>
      </c>
      <c r="I3343" s="12" t="n"/>
      <c r="J3343" s="12" t="n"/>
      <c r="K3343" s="12" t="n"/>
      <c r="L3343" s="14" t="n"/>
      <c r="M3343" s="12" t="n"/>
      <c r="N3343" s="12" t="n"/>
      <c r="O3343" s="12" t="n"/>
    </row>
    <row r="3344">
      <c r="A3344" s="12" t="n"/>
      <c r="B3344" s="13">
        <f>IF($A3344="","",IFERROR(INDEX(Emp_Names,MATCH($A3344,Emp_Codes,0)),"NOT FOUND"))</f>
        <v/>
      </c>
      <c r="C3344" s="14" t="n"/>
      <c r="D3344" s="15" t="n"/>
      <c r="E3344" s="15" t="n"/>
      <c r="F3344" s="15" t="n"/>
      <c r="G3344" s="15" t="n"/>
      <c r="H3344" s="16">
        <f>IF($A3344="","",$D3344+IF($E3344="",0,$E3344)+IF($F3344="",0,$F3344)-IF($G3344="",0,$G3344))</f>
        <v/>
      </c>
      <c r="I3344" s="12" t="n"/>
      <c r="J3344" s="12" t="n"/>
      <c r="K3344" s="12" t="n"/>
      <c r="L3344" s="14" t="n"/>
      <c r="M3344" s="12" t="n"/>
      <c r="N3344" s="12" t="n"/>
      <c r="O3344" s="12" t="n"/>
    </row>
    <row r="3345">
      <c r="A3345" s="12" t="n"/>
      <c r="B3345" s="13">
        <f>IF($A3345="","",IFERROR(INDEX(Emp_Names,MATCH($A3345,Emp_Codes,0)),"NOT FOUND"))</f>
        <v/>
      </c>
      <c r="C3345" s="14" t="n"/>
      <c r="D3345" s="15" t="n"/>
      <c r="E3345" s="15" t="n"/>
      <c r="F3345" s="15" t="n"/>
      <c r="G3345" s="15" t="n"/>
      <c r="H3345" s="16">
        <f>IF($A3345="","",$D3345+IF($E3345="",0,$E3345)+IF($F3345="",0,$F3345)-IF($G3345="",0,$G3345))</f>
        <v/>
      </c>
      <c r="I3345" s="12" t="n"/>
      <c r="J3345" s="12" t="n"/>
      <c r="K3345" s="12" t="n"/>
      <c r="L3345" s="14" t="n"/>
      <c r="M3345" s="12" t="n"/>
      <c r="N3345" s="12" t="n"/>
      <c r="O3345" s="12" t="n"/>
    </row>
    <row r="3346">
      <c r="A3346" s="12" t="n"/>
      <c r="B3346" s="13">
        <f>IF($A3346="","",IFERROR(INDEX(Emp_Names,MATCH($A3346,Emp_Codes,0)),"NOT FOUND"))</f>
        <v/>
      </c>
      <c r="C3346" s="14" t="n"/>
      <c r="D3346" s="15" t="n"/>
      <c r="E3346" s="15" t="n"/>
      <c r="F3346" s="15" t="n"/>
      <c r="G3346" s="15" t="n"/>
      <c r="H3346" s="16">
        <f>IF($A3346="","",$D3346+IF($E3346="",0,$E3346)+IF($F3346="",0,$F3346)-IF($G3346="",0,$G3346))</f>
        <v/>
      </c>
      <c r="I3346" s="12" t="n"/>
      <c r="J3346" s="12" t="n"/>
      <c r="K3346" s="12" t="n"/>
      <c r="L3346" s="14" t="n"/>
      <c r="M3346" s="12" t="n"/>
      <c r="N3346" s="12" t="n"/>
      <c r="O3346" s="12" t="n"/>
    </row>
    <row r="3347">
      <c r="A3347" s="12" t="n"/>
      <c r="B3347" s="13">
        <f>IF($A3347="","",IFERROR(INDEX(Emp_Names,MATCH($A3347,Emp_Codes,0)),"NOT FOUND"))</f>
        <v/>
      </c>
      <c r="C3347" s="14" t="n"/>
      <c r="D3347" s="15" t="n"/>
      <c r="E3347" s="15" t="n"/>
      <c r="F3347" s="15" t="n"/>
      <c r="G3347" s="15" t="n"/>
      <c r="H3347" s="16">
        <f>IF($A3347="","",$D3347+IF($E3347="",0,$E3347)+IF($F3347="",0,$F3347)-IF($G3347="",0,$G3347))</f>
        <v/>
      </c>
      <c r="I3347" s="12" t="n"/>
      <c r="J3347" s="12" t="n"/>
      <c r="K3347" s="12" t="n"/>
      <c r="L3347" s="14" t="n"/>
      <c r="M3347" s="12" t="n"/>
      <c r="N3347" s="12" t="n"/>
      <c r="O3347" s="12" t="n"/>
    </row>
    <row r="3348">
      <c r="A3348" s="12" t="n"/>
      <c r="B3348" s="13">
        <f>IF($A3348="","",IFERROR(INDEX(Emp_Names,MATCH($A3348,Emp_Codes,0)),"NOT FOUND"))</f>
        <v/>
      </c>
      <c r="C3348" s="14" t="n"/>
      <c r="D3348" s="15" t="n"/>
      <c r="E3348" s="15" t="n"/>
      <c r="F3348" s="15" t="n"/>
      <c r="G3348" s="15" t="n"/>
      <c r="H3348" s="16">
        <f>IF($A3348="","",$D3348+IF($E3348="",0,$E3348)+IF($F3348="",0,$F3348)-IF($G3348="",0,$G3348))</f>
        <v/>
      </c>
      <c r="I3348" s="12" t="n"/>
      <c r="J3348" s="12" t="n"/>
      <c r="K3348" s="12" t="n"/>
      <c r="L3348" s="14" t="n"/>
      <c r="M3348" s="12" t="n"/>
      <c r="N3348" s="12" t="n"/>
      <c r="O3348" s="12" t="n"/>
    </row>
    <row r="3349">
      <c r="A3349" s="12" t="n"/>
      <c r="B3349" s="13">
        <f>IF($A3349="","",IFERROR(INDEX(Emp_Names,MATCH($A3349,Emp_Codes,0)),"NOT FOUND"))</f>
        <v/>
      </c>
      <c r="C3349" s="14" t="n"/>
      <c r="D3349" s="15" t="n"/>
      <c r="E3349" s="15" t="n"/>
      <c r="F3349" s="15" t="n"/>
      <c r="G3349" s="15" t="n"/>
      <c r="H3349" s="16">
        <f>IF($A3349="","",$D3349+IF($E3349="",0,$E3349)+IF($F3349="",0,$F3349)-IF($G3349="",0,$G3349))</f>
        <v/>
      </c>
      <c r="I3349" s="12" t="n"/>
      <c r="J3349" s="12" t="n"/>
      <c r="K3349" s="12" t="n"/>
      <c r="L3349" s="14" t="n"/>
      <c r="M3349" s="12" t="n"/>
      <c r="N3349" s="12" t="n"/>
      <c r="O3349" s="12" t="n"/>
    </row>
    <row r="3350">
      <c r="A3350" s="12" t="n"/>
      <c r="B3350" s="13">
        <f>IF($A3350="","",IFERROR(INDEX(Emp_Names,MATCH($A3350,Emp_Codes,0)),"NOT FOUND"))</f>
        <v/>
      </c>
      <c r="C3350" s="14" t="n"/>
      <c r="D3350" s="15" t="n"/>
      <c r="E3350" s="15" t="n"/>
      <c r="F3350" s="15" t="n"/>
      <c r="G3350" s="15" t="n"/>
      <c r="H3350" s="16">
        <f>IF($A3350="","",$D3350+IF($E3350="",0,$E3350)+IF($F3350="",0,$F3350)-IF($G3350="",0,$G3350))</f>
        <v/>
      </c>
      <c r="I3350" s="12" t="n"/>
      <c r="J3350" s="12" t="n"/>
      <c r="K3350" s="12" t="n"/>
      <c r="L3350" s="14" t="n"/>
      <c r="M3350" s="12" t="n"/>
      <c r="N3350" s="12" t="n"/>
      <c r="O3350" s="12" t="n"/>
    </row>
    <row r="3351">
      <c r="A3351" s="12" t="n"/>
      <c r="B3351" s="13">
        <f>IF($A3351="","",IFERROR(INDEX(Emp_Names,MATCH($A3351,Emp_Codes,0)),"NOT FOUND"))</f>
        <v/>
      </c>
      <c r="C3351" s="14" t="n"/>
      <c r="D3351" s="15" t="n"/>
      <c r="E3351" s="15" t="n"/>
      <c r="F3351" s="15" t="n"/>
      <c r="G3351" s="15" t="n"/>
      <c r="H3351" s="16">
        <f>IF($A3351="","",$D3351+IF($E3351="",0,$E3351)+IF($F3351="",0,$F3351)-IF($G3351="",0,$G3351))</f>
        <v/>
      </c>
      <c r="I3351" s="12" t="n"/>
      <c r="J3351" s="12" t="n"/>
      <c r="K3351" s="12" t="n"/>
      <c r="L3351" s="14" t="n"/>
      <c r="M3351" s="12" t="n"/>
      <c r="N3351" s="12" t="n"/>
      <c r="O3351" s="12" t="n"/>
    </row>
    <row r="3352">
      <c r="A3352" s="12" t="n"/>
      <c r="B3352" s="13">
        <f>IF($A3352="","",IFERROR(INDEX(Emp_Names,MATCH($A3352,Emp_Codes,0)),"NOT FOUND"))</f>
        <v/>
      </c>
      <c r="C3352" s="14" t="n"/>
      <c r="D3352" s="15" t="n"/>
      <c r="E3352" s="15" t="n"/>
      <c r="F3352" s="15" t="n"/>
      <c r="G3352" s="15" t="n"/>
      <c r="H3352" s="16">
        <f>IF($A3352="","",$D3352+IF($E3352="",0,$E3352)+IF($F3352="",0,$F3352)-IF($G3352="",0,$G3352))</f>
        <v/>
      </c>
      <c r="I3352" s="12" t="n"/>
      <c r="J3352" s="12" t="n"/>
      <c r="K3352" s="12" t="n"/>
      <c r="L3352" s="14" t="n"/>
      <c r="M3352" s="12" t="n"/>
      <c r="N3352" s="12" t="n"/>
      <c r="O3352" s="12" t="n"/>
    </row>
    <row r="3353">
      <c r="A3353" s="12" t="n"/>
      <c r="B3353" s="13">
        <f>IF($A3353="","",IFERROR(INDEX(Emp_Names,MATCH($A3353,Emp_Codes,0)),"NOT FOUND"))</f>
        <v/>
      </c>
      <c r="C3353" s="14" t="n"/>
      <c r="D3353" s="15" t="n"/>
      <c r="E3353" s="15" t="n"/>
      <c r="F3353" s="15" t="n"/>
      <c r="G3353" s="15" t="n"/>
      <c r="H3353" s="16">
        <f>IF($A3353="","",$D3353+IF($E3353="",0,$E3353)+IF($F3353="",0,$F3353)-IF($G3353="",0,$G3353))</f>
        <v/>
      </c>
      <c r="I3353" s="12" t="n"/>
      <c r="J3353" s="12" t="n"/>
      <c r="K3353" s="12" t="n"/>
      <c r="L3353" s="14" t="n"/>
      <c r="M3353" s="12" t="n"/>
      <c r="N3353" s="12" t="n"/>
      <c r="O3353" s="12" t="n"/>
    </row>
    <row r="3354">
      <c r="A3354" s="12" t="n"/>
      <c r="B3354" s="13">
        <f>IF($A3354="","",IFERROR(INDEX(Emp_Names,MATCH($A3354,Emp_Codes,0)),"NOT FOUND"))</f>
        <v/>
      </c>
      <c r="C3354" s="14" t="n"/>
      <c r="D3354" s="15" t="n"/>
      <c r="E3354" s="15" t="n"/>
      <c r="F3354" s="15" t="n"/>
      <c r="G3354" s="15" t="n"/>
      <c r="H3354" s="16">
        <f>IF($A3354="","",$D3354+IF($E3354="",0,$E3354)+IF($F3354="",0,$F3354)-IF($G3354="",0,$G3354))</f>
        <v/>
      </c>
      <c r="I3354" s="12" t="n"/>
      <c r="J3354" s="12" t="n"/>
      <c r="K3354" s="12" t="n"/>
      <c r="L3354" s="14" t="n"/>
      <c r="M3354" s="12" t="n"/>
      <c r="N3354" s="12" t="n"/>
      <c r="O3354" s="12" t="n"/>
    </row>
    <row r="3355">
      <c r="A3355" s="12" t="n"/>
      <c r="B3355" s="13">
        <f>IF($A3355="","",IFERROR(INDEX(Emp_Names,MATCH($A3355,Emp_Codes,0)),"NOT FOUND"))</f>
        <v/>
      </c>
      <c r="C3355" s="14" t="n"/>
      <c r="D3355" s="15" t="n"/>
      <c r="E3355" s="15" t="n"/>
      <c r="F3355" s="15" t="n"/>
      <c r="G3355" s="15" t="n"/>
      <c r="H3355" s="16">
        <f>IF($A3355="","",$D3355+IF($E3355="",0,$E3355)+IF($F3355="",0,$F3355)-IF($G3355="",0,$G3355))</f>
        <v/>
      </c>
      <c r="I3355" s="12" t="n"/>
      <c r="J3355" s="12" t="n"/>
      <c r="K3355" s="12" t="n"/>
      <c r="L3355" s="14" t="n"/>
      <c r="M3355" s="12" t="n"/>
      <c r="N3355" s="12" t="n"/>
      <c r="O3355" s="12" t="n"/>
    </row>
    <row r="3356">
      <c r="A3356" s="12" t="n"/>
      <c r="B3356" s="13">
        <f>IF($A3356="","",IFERROR(INDEX(Emp_Names,MATCH($A3356,Emp_Codes,0)),"NOT FOUND"))</f>
        <v/>
      </c>
      <c r="C3356" s="14" t="n"/>
      <c r="D3356" s="15" t="n"/>
      <c r="E3356" s="15" t="n"/>
      <c r="F3356" s="15" t="n"/>
      <c r="G3356" s="15" t="n"/>
      <c r="H3356" s="16">
        <f>IF($A3356="","",$D3356+IF($E3356="",0,$E3356)+IF($F3356="",0,$F3356)-IF($G3356="",0,$G3356))</f>
        <v/>
      </c>
      <c r="I3356" s="12" t="n"/>
      <c r="J3356" s="12" t="n"/>
      <c r="K3356" s="12" t="n"/>
      <c r="L3356" s="14" t="n"/>
      <c r="M3356" s="12" t="n"/>
      <c r="N3356" s="12" t="n"/>
      <c r="O3356" s="12" t="n"/>
    </row>
    <row r="3357">
      <c r="A3357" s="12" t="n"/>
      <c r="B3357" s="13">
        <f>IF($A3357="","",IFERROR(INDEX(Emp_Names,MATCH($A3357,Emp_Codes,0)),"NOT FOUND"))</f>
        <v/>
      </c>
      <c r="C3357" s="14" t="n"/>
      <c r="D3357" s="15" t="n"/>
      <c r="E3357" s="15" t="n"/>
      <c r="F3357" s="15" t="n"/>
      <c r="G3357" s="15" t="n"/>
      <c r="H3357" s="16">
        <f>IF($A3357="","",$D3357+IF($E3357="",0,$E3357)+IF($F3357="",0,$F3357)-IF($G3357="",0,$G3357))</f>
        <v/>
      </c>
      <c r="I3357" s="12" t="n"/>
      <c r="J3357" s="12" t="n"/>
      <c r="K3357" s="12" t="n"/>
      <c r="L3357" s="14" t="n"/>
      <c r="M3357" s="12" t="n"/>
      <c r="N3357" s="12" t="n"/>
      <c r="O3357" s="12" t="n"/>
    </row>
    <row r="3358">
      <c r="A3358" s="12" t="n"/>
      <c r="B3358" s="13">
        <f>IF($A3358="","",IFERROR(INDEX(Emp_Names,MATCH($A3358,Emp_Codes,0)),"NOT FOUND"))</f>
        <v/>
      </c>
      <c r="C3358" s="14" t="n"/>
      <c r="D3358" s="15" t="n"/>
      <c r="E3358" s="15" t="n"/>
      <c r="F3358" s="15" t="n"/>
      <c r="G3358" s="15" t="n"/>
      <c r="H3358" s="16">
        <f>IF($A3358="","",$D3358+IF($E3358="",0,$E3358)+IF($F3358="",0,$F3358)-IF($G3358="",0,$G3358))</f>
        <v/>
      </c>
      <c r="I3358" s="12" t="n"/>
      <c r="J3358" s="12" t="n"/>
      <c r="K3358" s="12" t="n"/>
      <c r="L3358" s="14" t="n"/>
      <c r="M3358" s="12" t="n"/>
      <c r="N3358" s="12" t="n"/>
      <c r="O3358" s="12" t="n"/>
    </row>
    <row r="3359">
      <c r="A3359" s="12" t="n"/>
      <c r="B3359" s="13">
        <f>IF($A3359="","",IFERROR(INDEX(Emp_Names,MATCH($A3359,Emp_Codes,0)),"NOT FOUND"))</f>
        <v/>
      </c>
      <c r="C3359" s="14" t="n"/>
      <c r="D3359" s="15" t="n"/>
      <c r="E3359" s="15" t="n"/>
      <c r="F3359" s="15" t="n"/>
      <c r="G3359" s="15" t="n"/>
      <c r="H3359" s="16">
        <f>IF($A3359="","",$D3359+IF($E3359="",0,$E3359)+IF($F3359="",0,$F3359)-IF($G3359="",0,$G3359))</f>
        <v/>
      </c>
      <c r="I3359" s="12" t="n"/>
      <c r="J3359" s="12" t="n"/>
      <c r="K3359" s="12" t="n"/>
      <c r="L3359" s="14" t="n"/>
      <c r="M3359" s="12" t="n"/>
      <c r="N3359" s="12" t="n"/>
      <c r="O3359" s="12" t="n"/>
    </row>
    <row r="3360">
      <c r="A3360" s="12" t="n"/>
      <c r="B3360" s="13">
        <f>IF($A3360="","",IFERROR(INDEX(Emp_Names,MATCH($A3360,Emp_Codes,0)),"NOT FOUND"))</f>
        <v/>
      </c>
      <c r="C3360" s="14" t="n"/>
      <c r="D3360" s="15" t="n"/>
      <c r="E3360" s="15" t="n"/>
      <c r="F3360" s="15" t="n"/>
      <c r="G3360" s="15" t="n"/>
      <c r="H3360" s="16">
        <f>IF($A3360="","",$D3360+IF($E3360="",0,$E3360)+IF($F3360="",0,$F3360)-IF($G3360="",0,$G3360))</f>
        <v/>
      </c>
      <c r="I3360" s="12" t="n"/>
      <c r="J3360" s="12" t="n"/>
      <c r="K3360" s="12" t="n"/>
      <c r="L3360" s="14" t="n"/>
      <c r="M3360" s="12" t="n"/>
      <c r="N3360" s="12" t="n"/>
      <c r="O3360" s="12" t="n"/>
    </row>
    <row r="3361">
      <c r="A3361" s="12" t="n"/>
      <c r="B3361" s="13">
        <f>IF($A3361="","",IFERROR(INDEX(Emp_Names,MATCH($A3361,Emp_Codes,0)),"NOT FOUND"))</f>
        <v/>
      </c>
      <c r="C3361" s="14" t="n"/>
      <c r="D3361" s="15" t="n"/>
      <c r="E3361" s="15" t="n"/>
      <c r="F3361" s="15" t="n"/>
      <c r="G3361" s="15" t="n"/>
      <c r="H3361" s="16">
        <f>IF($A3361="","",$D3361+IF($E3361="",0,$E3361)+IF($F3361="",0,$F3361)-IF($G3361="",0,$G3361))</f>
        <v/>
      </c>
      <c r="I3361" s="12" t="n"/>
      <c r="J3361" s="12" t="n"/>
      <c r="K3361" s="12" t="n"/>
      <c r="L3361" s="14" t="n"/>
      <c r="M3361" s="12" t="n"/>
      <c r="N3361" s="12" t="n"/>
      <c r="O3361" s="12" t="n"/>
    </row>
    <row r="3362">
      <c r="A3362" s="12" t="n"/>
      <c r="B3362" s="13">
        <f>IF($A3362="","",IFERROR(INDEX(Emp_Names,MATCH($A3362,Emp_Codes,0)),"NOT FOUND"))</f>
        <v/>
      </c>
      <c r="C3362" s="14" t="n"/>
      <c r="D3362" s="15" t="n"/>
      <c r="E3362" s="15" t="n"/>
      <c r="F3362" s="15" t="n"/>
      <c r="G3362" s="15" t="n"/>
      <c r="H3362" s="16">
        <f>IF($A3362="","",$D3362+IF($E3362="",0,$E3362)+IF($F3362="",0,$F3362)-IF($G3362="",0,$G3362))</f>
        <v/>
      </c>
      <c r="I3362" s="12" t="n"/>
      <c r="J3362" s="12" t="n"/>
      <c r="K3362" s="12" t="n"/>
      <c r="L3362" s="14" t="n"/>
      <c r="M3362" s="12" t="n"/>
      <c r="N3362" s="12" t="n"/>
      <c r="O3362" s="12" t="n"/>
    </row>
    <row r="3363">
      <c r="A3363" s="12" t="n"/>
      <c r="B3363" s="13">
        <f>IF($A3363="","",IFERROR(INDEX(Emp_Names,MATCH($A3363,Emp_Codes,0)),"NOT FOUND"))</f>
        <v/>
      </c>
      <c r="C3363" s="14" t="n"/>
      <c r="D3363" s="15" t="n"/>
      <c r="E3363" s="15" t="n"/>
      <c r="F3363" s="15" t="n"/>
      <c r="G3363" s="15" t="n"/>
      <c r="H3363" s="16">
        <f>IF($A3363="","",$D3363+IF($E3363="",0,$E3363)+IF($F3363="",0,$F3363)-IF($G3363="",0,$G3363))</f>
        <v/>
      </c>
      <c r="I3363" s="12" t="n"/>
      <c r="J3363" s="12" t="n"/>
      <c r="K3363" s="12" t="n"/>
      <c r="L3363" s="14" t="n"/>
      <c r="M3363" s="12" t="n"/>
      <c r="N3363" s="12" t="n"/>
      <c r="O3363" s="12" t="n"/>
    </row>
    <row r="3364">
      <c r="A3364" s="12" t="n"/>
      <c r="B3364" s="13">
        <f>IF($A3364="","",IFERROR(INDEX(Emp_Names,MATCH($A3364,Emp_Codes,0)),"NOT FOUND"))</f>
        <v/>
      </c>
      <c r="C3364" s="14" t="n"/>
      <c r="D3364" s="15" t="n"/>
      <c r="E3364" s="15" t="n"/>
      <c r="F3364" s="15" t="n"/>
      <c r="G3364" s="15" t="n"/>
      <c r="H3364" s="16">
        <f>IF($A3364="","",$D3364+IF($E3364="",0,$E3364)+IF($F3364="",0,$F3364)-IF($G3364="",0,$G3364))</f>
        <v/>
      </c>
      <c r="I3364" s="12" t="n"/>
      <c r="J3364" s="12" t="n"/>
      <c r="K3364" s="12" t="n"/>
      <c r="L3364" s="14" t="n"/>
      <c r="M3364" s="12" t="n"/>
      <c r="N3364" s="12" t="n"/>
      <c r="O3364" s="12" t="n"/>
    </row>
    <row r="3365">
      <c r="A3365" s="12" t="n"/>
      <c r="B3365" s="13">
        <f>IF($A3365="","",IFERROR(INDEX(Emp_Names,MATCH($A3365,Emp_Codes,0)),"NOT FOUND"))</f>
        <v/>
      </c>
      <c r="C3365" s="14" t="n"/>
      <c r="D3365" s="15" t="n"/>
      <c r="E3365" s="15" t="n"/>
      <c r="F3365" s="15" t="n"/>
      <c r="G3365" s="15" t="n"/>
      <c r="H3365" s="16">
        <f>IF($A3365="","",$D3365+IF($E3365="",0,$E3365)+IF($F3365="",0,$F3365)-IF($G3365="",0,$G3365))</f>
        <v/>
      </c>
      <c r="I3365" s="12" t="n"/>
      <c r="J3365" s="12" t="n"/>
      <c r="K3365" s="12" t="n"/>
      <c r="L3365" s="14" t="n"/>
      <c r="M3365" s="12" t="n"/>
      <c r="N3365" s="12" t="n"/>
      <c r="O3365" s="12" t="n"/>
    </row>
    <row r="3366">
      <c r="A3366" s="12" t="n"/>
      <c r="B3366" s="13">
        <f>IF($A3366="","",IFERROR(INDEX(Emp_Names,MATCH($A3366,Emp_Codes,0)),"NOT FOUND"))</f>
        <v/>
      </c>
      <c r="C3366" s="14" t="n"/>
      <c r="D3366" s="15" t="n"/>
      <c r="E3366" s="15" t="n"/>
      <c r="F3366" s="15" t="n"/>
      <c r="G3366" s="15" t="n"/>
      <c r="H3366" s="16">
        <f>IF($A3366="","",$D3366+IF($E3366="",0,$E3366)+IF($F3366="",0,$F3366)-IF($G3366="",0,$G3366))</f>
        <v/>
      </c>
      <c r="I3366" s="12" t="n"/>
      <c r="J3366" s="12" t="n"/>
      <c r="K3366" s="12" t="n"/>
      <c r="L3366" s="14" t="n"/>
      <c r="M3366" s="12" t="n"/>
      <c r="N3366" s="12" t="n"/>
      <c r="O3366" s="12" t="n"/>
    </row>
    <row r="3367">
      <c r="A3367" s="12" t="n"/>
      <c r="B3367" s="13">
        <f>IF($A3367="","",IFERROR(INDEX(Emp_Names,MATCH($A3367,Emp_Codes,0)),"NOT FOUND"))</f>
        <v/>
      </c>
      <c r="C3367" s="14" t="n"/>
      <c r="D3367" s="15" t="n"/>
      <c r="E3367" s="15" t="n"/>
      <c r="F3367" s="15" t="n"/>
      <c r="G3367" s="15" t="n"/>
      <c r="H3367" s="16">
        <f>IF($A3367="","",$D3367+IF($E3367="",0,$E3367)+IF($F3367="",0,$F3367)-IF($G3367="",0,$G3367))</f>
        <v/>
      </c>
      <c r="I3367" s="12" t="n"/>
      <c r="J3367" s="12" t="n"/>
      <c r="K3367" s="12" t="n"/>
      <c r="L3367" s="14" t="n"/>
      <c r="M3367" s="12" t="n"/>
      <c r="N3367" s="12" t="n"/>
      <c r="O3367" s="12" t="n"/>
    </row>
    <row r="3368">
      <c r="A3368" s="12" t="n"/>
      <c r="B3368" s="13">
        <f>IF($A3368="","",IFERROR(INDEX(Emp_Names,MATCH($A3368,Emp_Codes,0)),"NOT FOUND"))</f>
        <v/>
      </c>
      <c r="C3368" s="14" t="n"/>
      <c r="D3368" s="15" t="n"/>
      <c r="E3368" s="15" t="n"/>
      <c r="F3368" s="15" t="n"/>
      <c r="G3368" s="15" t="n"/>
      <c r="H3368" s="16">
        <f>IF($A3368="","",$D3368+IF($E3368="",0,$E3368)+IF($F3368="",0,$F3368)-IF($G3368="",0,$G3368))</f>
        <v/>
      </c>
      <c r="I3368" s="12" t="n"/>
      <c r="J3368" s="12" t="n"/>
      <c r="K3368" s="12" t="n"/>
      <c r="L3368" s="14" t="n"/>
      <c r="M3368" s="12" t="n"/>
      <c r="N3368" s="12" t="n"/>
      <c r="O3368" s="12" t="n"/>
    </row>
    <row r="3369">
      <c r="A3369" s="12" t="n"/>
      <c r="B3369" s="13">
        <f>IF($A3369="","",IFERROR(INDEX(Emp_Names,MATCH($A3369,Emp_Codes,0)),"NOT FOUND"))</f>
        <v/>
      </c>
      <c r="C3369" s="14" t="n"/>
      <c r="D3369" s="15" t="n"/>
      <c r="E3369" s="15" t="n"/>
      <c r="F3369" s="15" t="n"/>
      <c r="G3369" s="15" t="n"/>
      <c r="H3369" s="16">
        <f>IF($A3369="","",$D3369+IF($E3369="",0,$E3369)+IF($F3369="",0,$F3369)-IF($G3369="",0,$G3369))</f>
        <v/>
      </c>
      <c r="I3369" s="12" t="n"/>
      <c r="J3369" s="12" t="n"/>
      <c r="K3369" s="12" t="n"/>
      <c r="L3369" s="14" t="n"/>
      <c r="M3369" s="12" t="n"/>
      <c r="N3369" s="12" t="n"/>
      <c r="O3369" s="12" t="n"/>
    </row>
    <row r="3370">
      <c r="A3370" s="12" t="n"/>
      <c r="B3370" s="13">
        <f>IF($A3370="","",IFERROR(INDEX(Emp_Names,MATCH($A3370,Emp_Codes,0)),"NOT FOUND"))</f>
        <v/>
      </c>
      <c r="C3370" s="14" t="n"/>
      <c r="D3370" s="15" t="n"/>
      <c r="E3370" s="15" t="n"/>
      <c r="F3370" s="15" t="n"/>
      <c r="G3370" s="15" t="n"/>
      <c r="H3370" s="16">
        <f>IF($A3370="","",$D3370+IF($E3370="",0,$E3370)+IF($F3370="",0,$F3370)-IF($G3370="",0,$G3370))</f>
        <v/>
      </c>
      <c r="I3370" s="12" t="n"/>
      <c r="J3370" s="12" t="n"/>
      <c r="K3370" s="12" t="n"/>
      <c r="L3370" s="14" t="n"/>
      <c r="M3370" s="12" t="n"/>
      <c r="N3370" s="12" t="n"/>
      <c r="O3370" s="12" t="n"/>
    </row>
    <row r="3371">
      <c r="A3371" s="12" t="n"/>
      <c r="B3371" s="13">
        <f>IF($A3371="","",IFERROR(INDEX(Emp_Names,MATCH($A3371,Emp_Codes,0)),"NOT FOUND"))</f>
        <v/>
      </c>
      <c r="C3371" s="14" t="n"/>
      <c r="D3371" s="15" t="n"/>
      <c r="E3371" s="15" t="n"/>
      <c r="F3371" s="15" t="n"/>
      <c r="G3371" s="15" t="n"/>
      <c r="H3371" s="16">
        <f>IF($A3371="","",$D3371+IF($E3371="",0,$E3371)+IF($F3371="",0,$F3371)-IF($G3371="",0,$G3371))</f>
        <v/>
      </c>
      <c r="I3371" s="12" t="n"/>
      <c r="J3371" s="12" t="n"/>
      <c r="K3371" s="12" t="n"/>
      <c r="L3371" s="14" t="n"/>
      <c r="M3371" s="12" t="n"/>
      <c r="N3371" s="12" t="n"/>
      <c r="O3371" s="12" t="n"/>
    </row>
    <row r="3372">
      <c r="A3372" s="12" t="n"/>
      <c r="B3372" s="13">
        <f>IF($A3372="","",IFERROR(INDEX(Emp_Names,MATCH($A3372,Emp_Codes,0)),"NOT FOUND"))</f>
        <v/>
      </c>
      <c r="C3372" s="14" t="n"/>
      <c r="D3372" s="15" t="n"/>
      <c r="E3372" s="15" t="n"/>
      <c r="F3372" s="15" t="n"/>
      <c r="G3372" s="15" t="n"/>
      <c r="H3372" s="16">
        <f>IF($A3372="","",$D3372+IF($E3372="",0,$E3372)+IF($F3372="",0,$F3372)-IF($G3372="",0,$G3372))</f>
        <v/>
      </c>
      <c r="I3372" s="12" t="n"/>
      <c r="J3372" s="12" t="n"/>
      <c r="K3372" s="12" t="n"/>
      <c r="L3372" s="14" t="n"/>
      <c r="M3372" s="12" t="n"/>
      <c r="N3372" s="12" t="n"/>
      <c r="O3372" s="12" t="n"/>
    </row>
    <row r="3373">
      <c r="A3373" s="12" t="n"/>
      <c r="B3373" s="13">
        <f>IF($A3373="","",IFERROR(INDEX(Emp_Names,MATCH($A3373,Emp_Codes,0)),"NOT FOUND"))</f>
        <v/>
      </c>
      <c r="C3373" s="14" t="n"/>
      <c r="D3373" s="15" t="n"/>
      <c r="E3373" s="15" t="n"/>
      <c r="F3373" s="15" t="n"/>
      <c r="G3373" s="15" t="n"/>
      <c r="H3373" s="16">
        <f>IF($A3373="","",$D3373+IF($E3373="",0,$E3373)+IF($F3373="",0,$F3373)-IF($G3373="",0,$G3373))</f>
        <v/>
      </c>
      <c r="I3373" s="12" t="n"/>
      <c r="J3373" s="12" t="n"/>
      <c r="K3373" s="12" t="n"/>
      <c r="L3373" s="14" t="n"/>
      <c r="M3373" s="12" t="n"/>
      <c r="N3373" s="12" t="n"/>
      <c r="O3373" s="12" t="n"/>
    </row>
    <row r="3374">
      <c r="A3374" s="12" t="n"/>
      <c r="B3374" s="13">
        <f>IF($A3374="","",IFERROR(INDEX(Emp_Names,MATCH($A3374,Emp_Codes,0)),"NOT FOUND"))</f>
        <v/>
      </c>
      <c r="C3374" s="14" t="n"/>
      <c r="D3374" s="15" t="n"/>
      <c r="E3374" s="15" t="n"/>
      <c r="F3374" s="15" t="n"/>
      <c r="G3374" s="15" t="n"/>
      <c r="H3374" s="16">
        <f>IF($A3374="","",$D3374+IF($E3374="",0,$E3374)+IF($F3374="",0,$F3374)-IF($G3374="",0,$G3374))</f>
        <v/>
      </c>
      <c r="I3374" s="12" t="n"/>
      <c r="J3374" s="12" t="n"/>
      <c r="K3374" s="12" t="n"/>
      <c r="L3374" s="14" t="n"/>
      <c r="M3374" s="12" t="n"/>
      <c r="N3374" s="12" t="n"/>
      <c r="O3374" s="12" t="n"/>
    </row>
    <row r="3375">
      <c r="A3375" s="12" t="n"/>
      <c r="B3375" s="13">
        <f>IF($A3375="","",IFERROR(INDEX(Emp_Names,MATCH($A3375,Emp_Codes,0)),"NOT FOUND"))</f>
        <v/>
      </c>
      <c r="C3375" s="14" t="n"/>
      <c r="D3375" s="15" t="n"/>
      <c r="E3375" s="15" t="n"/>
      <c r="F3375" s="15" t="n"/>
      <c r="G3375" s="15" t="n"/>
      <c r="H3375" s="16">
        <f>IF($A3375="","",$D3375+IF($E3375="",0,$E3375)+IF($F3375="",0,$F3375)-IF($G3375="",0,$G3375))</f>
        <v/>
      </c>
      <c r="I3375" s="12" t="n"/>
      <c r="J3375" s="12" t="n"/>
      <c r="K3375" s="12" t="n"/>
      <c r="L3375" s="14" t="n"/>
      <c r="M3375" s="12" t="n"/>
      <c r="N3375" s="12" t="n"/>
      <c r="O3375" s="12" t="n"/>
    </row>
    <row r="3376">
      <c r="A3376" s="12" t="n"/>
      <c r="B3376" s="13">
        <f>IF($A3376="","",IFERROR(INDEX(Emp_Names,MATCH($A3376,Emp_Codes,0)),"NOT FOUND"))</f>
        <v/>
      </c>
      <c r="C3376" s="14" t="n"/>
      <c r="D3376" s="15" t="n"/>
      <c r="E3376" s="15" t="n"/>
      <c r="F3376" s="15" t="n"/>
      <c r="G3376" s="15" t="n"/>
      <c r="H3376" s="16">
        <f>IF($A3376="","",$D3376+IF($E3376="",0,$E3376)+IF($F3376="",0,$F3376)-IF($G3376="",0,$G3376))</f>
        <v/>
      </c>
      <c r="I3376" s="12" t="n"/>
      <c r="J3376" s="12" t="n"/>
      <c r="K3376" s="12" t="n"/>
      <c r="L3376" s="14" t="n"/>
      <c r="M3376" s="12" t="n"/>
      <c r="N3376" s="12" t="n"/>
      <c r="O3376" s="12" t="n"/>
    </row>
    <row r="3377">
      <c r="A3377" s="12" t="n"/>
      <c r="B3377" s="13">
        <f>IF($A3377="","",IFERROR(INDEX(Emp_Names,MATCH($A3377,Emp_Codes,0)),"NOT FOUND"))</f>
        <v/>
      </c>
      <c r="C3377" s="14" t="n"/>
      <c r="D3377" s="15" t="n"/>
      <c r="E3377" s="15" t="n"/>
      <c r="F3377" s="15" t="n"/>
      <c r="G3377" s="15" t="n"/>
      <c r="H3377" s="16">
        <f>IF($A3377="","",$D3377+IF($E3377="",0,$E3377)+IF($F3377="",0,$F3377)-IF($G3377="",0,$G3377))</f>
        <v/>
      </c>
      <c r="I3377" s="12" t="n"/>
      <c r="J3377" s="12" t="n"/>
      <c r="K3377" s="12" t="n"/>
      <c r="L3377" s="14" t="n"/>
      <c r="M3377" s="12" t="n"/>
      <c r="N3377" s="12" t="n"/>
      <c r="O3377" s="12" t="n"/>
    </row>
    <row r="3378">
      <c r="A3378" s="12" t="n"/>
      <c r="B3378" s="13">
        <f>IF($A3378="","",IFERROR(INDEX(Emp_Names,MATCH($A3378,Emp_Codes,0)),"NOT FOUND"))</f>
        <v/>
      </c>
      <c r="C3378" s="14" t="n"/>
      <c r="D3378" s="15" t="n"/>
      <c r="E3378" s="15" t="n"/>
      <c r="F3378" s="15" t="n"/>
      <c r="G3378" s="15" t="n"/>
      <c r="H3378" s="16">
        <f>IF($A3378="","",$D3378+IF($E3378="",0,$E3378)+IF($F3378="",0,$F3378)-IF($G3378="",0,$G3378))</f>
        <v/>
      </c>
      <c r="I3378" s="12" t="n"/>
      <c r="J3378" s="12" t="n"/>
      <c r="K3378" s="12" t="n"/>
      <c r="L3378" s="14" t="n"/>
      <c r="M3378" s="12" t="n"/>
      <c r="N3378" s="12" t="n"/>
      <c r="O3378" s="12" t="n"/>
    </row>
    <row r="3379">
      <c r="A3379" s="12" t="n"/>
      <c r="B3379" s="13">
        <f>IF($A3379="","",IFERROR(INDEX(Emp_Names,MATCH($A3379,Emp_Codes,0)),"NOT FOUND"))</f>
        <v/>
      </c>
      <c r="C3379" s="14" t="n"/>
      <c r="D3379" s="15" t="n"/>
      <c r="E3379" s="15" t="n"/>
      <c r="F3379" s="15" t="n"/>
      <c r="G3379" s="15" t="n"/>
      <c r="H3379" s="16">
        <f>IF($A3379="","",$D3379+IF($E3379="",0,$E3379)+IF($F3379="",0,$F3379)-IF($G3379="",0,$G3379))</f>
        <v/>
      </c>
      <c r="I3379" s="12" t="n"/>
      <c r="J3379" s="12" t="n"/>
      <c r="K3379" s="12" t="n"/>
      <c r="L3379" s="14" t="n"/>
      <c r="M3379" s="12" t="n"/>
      <c r="N3379" s="12" t="n"/>
      <c r="O3379" s="12" t="n"/>
    </row>
    <row r="3380">
      <c r="A3380" s="12" t="n"/>
      <c r="B3380" s="13">
        <f>IF($A3380="","",IFERROR(INDEX(Emp_Names,MATCH($A3380,Emp_Codes,0)),"NOT FOUND"))</f>
        <v/>
      </c>
      <c r="C3380" s="14" t="n"/>
      <c r="D3380" s="15" t="n"/>
      <c r="E3380" s="15" t="n"/>
      <c r="F3380" s="15" t="n"/>
      <c r="G3380" s="15" t="n"/>
      <c r="H3380" s="16">
        <f>IF($A3380="","",$D3380+IF($E3380="",0,$E3380)+IF($F3380="",0,$F3380)-IF($G3380="",0,$G3380))</f>
        <v/>
      </c>
      <c r="I3380" s="12" t="n"/>
      <c r="J3380" s="12" t="n"/>
      <c r="K3380" s="12" t="n"/>
      <c r="L3380" s="14" t="n"/>
      <c r="M3380" s="12" t="n"/>
      <c r="N3380" s="12" t="n"/>
      <c r="O3380" s="12" t="n"/>
    </row>
    <row r="3381">
      <c r="A3381" s="12" t="n"/>
      <c r="B3381" s="13">
        <f>IF($A3381="","",IFERROR(INDEX(Emp_Names,MATCH($A3381,Emp_Codes,0)),"NOT FOUND"))</f>
        <v/>
      </c>
      <c r="C3381" s="14" t="n"/>
      <c r="D3381" s="15" t="n"/>
      <c r="E3381" s="15" t="n"/>
      <c r="F3381" s="15" t="n"/>
      <c r="G3381" s="15" t="n"/>
      <c r="H3381" s="16">
        <f>IF($A3381="","",$D3381+IF($E3381="",0,$E3381)+IF($F3381="",0,$F3381)-IF($G3381="",0,$G3381))</f>
        <v/>
      </c>
      <c r="I3381" s="12" t="n"/>
      <c r="J3381" s="12" t="n"/>
      <c r="K3381" s="12" t="n"/>
      <c r="L3381" s="14" t="n"/>
      <c r="M3381" s="12" t="n"/>
      <c r="N3381" s="12" t="n"/>
      <c r="O3381" s="12" t="n"/>
    </row>
    <row r="3382">
      <c r="A3382" s="12" t="n"/>
      <c r="B3382" s="13">
        <f>IF($A3382="","",IFERROR(INDEX(Emp_Names,MATCH($A3382,Emp_Codes,0)),"NOT FOUND"))</f>
        <v/>
      </c>
      <c r="C3382" s="14" t="n"/>
      <c r="D3382" s="15" t="n"/>
      <c r="E3382" s="15" t="n"/>
      <c r="F3382" s="15" t="n"/>
      <c r="G3382" s="15" t="n"/>
      <c r="H3382" s="16">
        <f>IF($A3382="","",$D3382+IF($E3382="",0,$E3382)+IF($F3382="",0,$F3382)-IF($G3382="",0,$G3382))</f>
        <v/>
      </c>
      <c r="I3382" s="12" t="n"/>
      <c r="J3382" s="12" t="n"/>
      <c r="K3382" s="12" t="n"/>
      <c r="L3382" s="14" t="n"/>
      <c r="M3382" s="12" t="n"/>
      <c r="N3382" s="12" t="n"/>
      <c r="O3382" s="12" t="n"/>
    </row>
    <row r="3383">
      <c r="A3383" s="12" t="n"/>
      <c r="B3383" s="13">
        <f>IF($A3383="","",IFERROR(INDEX(Emp_Names,MATCH($A3383,Emp_Codes,0)),"NOT FOUND"))</f>
        <v/>
      </c>
      <c r="C3383" s="14" t="n"/>
      <c r="D3383" s="15" t="n"/>
      <c r="E3383" s="15" t="n"/>
      <c r="F3383" s="15" t="n"/>
      <c r="G3383" s="15" t="n"/>
      <c r="H3383" s="16">
        <f>IF($A3383="","",$D3383+IF($E3383="",0,$E3383)+IF($F3383="",0,$F3383)-IF($G3383="",0,$G3383))</f>
        <v/>
      </c>
      <c r="I3383" s="12" t="n"/>
      <c r="J3383" s="12" t="n"/>
      <c r="K3383" s="12" t="n"/>
      <c r="L3383" s="14" t="n"/>
      <c r="M3383" s="12" t="n"/>
      <c r="N3383" s="12" t="n"/>
      <c r="O3383" s="12" t="n"/>
    </row>
    <row r="3384">
      <c r="A3384" s="12" t="n"/>
      <c r="B3384" s="13">
        <f>IF($A3384="","",IFERROR(INDEX(Emp_Names,MATCH($A3384,Emp_Codes,0)),"NOT FOUND"))</f>
        <v/>
      </c>
      <c r="C3384" s="14" t="n"/>
      <c r="D3384" s="15" t="n"/>
      <c r="E3384" s="15" t="n"/>
      <c r="F3384" s="15" t="n"/>
      <c r="G3384" s="15" t="n"/>
      <c r="H3384" s="16">
        <f>IF($A3384="","",$D3384+IF($E3384="",0,$E3384)+IF($F3384="",0,$F3384)-IF($G3384="",0,$G3384))</f>
        <v/>
      </c>
      <c r="I3384" s="12" t="n"/>
      <c r="J3384" s="12" t="n"/>
      <c r="K3384" s="12" t="n"/>
      <c r="L3384" s="14" t="n"/>
      <c r="M3384" s="12" t="n"/>
      <c r="N3384" s="12" t="n"/>
      <c r="O3384" s="12" t="n"/>
    </row>
    <row r="3385">
      <c r="A3385" s="12" t="n"/>
      <c r="B3385" s="13">
        <f>IF($A3385="","",IFERROR(INDEX(Emp_Names,MATCH($A3385,Emp_Codes,0)),"NOT FOUND"))</f>
        <v/>
      </c>
      <c r="C3385" s="14" t="n"/>
      <c r="D3385" s="15" t="n"/>
      <c r="E3385" s="15" t="n"/>
      <c r="F3385" s="15" t="n"/>
      <c r="G3385" s="15" t="n"/>
      <c r="H3385" s="16">
        <f>IF($A3385="","",$D3385+IF($E3385="",0,$E3385)+IF($F3385="",0,$F3385)-IF($G3385="",0,$G3385))</f>
        <v/>
      </c>
      <c r="I3385" s="12" t="n"/>
      <c r="J3385" s="12" t="n"/>
      <c r="K3385" s="12" t="n"/>
      <c r="L3385" s="14" t="n"/>
      <c r="M3385" s="12" t="n"/>
      <c r="N3385" s="12" t="n"/>
      <c r="O3385" s="12" t="n"/>
    </row>
    <row r="3386">
      <c r="A3386" s="12" t="n"/>
      <c r="B3386" s="13">
        <f>IF($A3386="","",IFERROR(INDEX(Emp_Names,MATCH($A3386,Emp_Codes,0)),"NOT FOUND"))</f>
        <v/>
      </c>
      <c r="C3386" s="14" t="n"/>
      <c r="D3386" s="15" t="n"/>
      <c r="E3386" s="15" t="n"/>
      <c r="F3386" s="15" t="n"/>
      <c r="G3386" s="15" t="n"/>
      <c r="H3386" s="16">
        <f>IF($A3386="","",$D3386+IF($E3386="",0,$E3386)+IF($F3386="",0,$F3386)-IF($G3386="",0,$G3386))</f>
        <v/>
      </c>
      <c r="I3386" s="12" t="n"/>
      <c r="J3386" s="12" t="n"/>
      <c r="K3386" s="12" t="n"/>
      <c r="L3386" s="14" t="n"/>
      <c r="M3386" s="12" t="n"/>
      <c r="N3386" s="12" t="n"/>
      <c r="O3386" s="12" t="n"/>
    </row>
    <row r="3387">
      <c r="A3387" s="12" t="n"/>
      <c r="B3387" s="13">
        <f>IF($A3387="","",IFERROR(INDEX(Emp_Names,MATCH($A3387,Emp_Codes,0)),"NOT FOUND"))</f>
        <v/>
      </c>
      <c r="C3387" s="14" t="n"/>
      <c r="D3387" s="15" t="n"/>
      <c r="E3387" s="15" t="n"/>
      <c r="F3387" s="15" t="n"/>
      <c r="G3387" s="15" t="n"/>
      <c r="H3387" s="16">
        <f>IF($A3387="","",$D3387+IF($E3387="",0,$E3387)+IF($F3387="",0,$F3387)-IF($G3387="",0,$G3387))</f>
        <v/>
      </c>
      <c r="I3387" s="12" t="n"/>
      <c r="J3387" s="12" t="n"/>
      <c r="K3387" s="12" t="n"/>
      <c r="L3387" s="14" t="n"/>
      <c r="M3387" s="12" t="n"/>
      <c r="N3387" s="12" t="n"/>
      <c r="O3387" s="12" t="n"/>
    </row>
    <row r="3388">
      <c r="A3388" s="12" t="n"/>
      <c r="B3388" s="13">
        <f>IF($A3388="","",IFERROR(INDEX(Emp_Names,MATCH($A3388,Emp_Codes,0)),"NOT FOUND"))</f>
        <v/>
      </c>
      <c r="C3388" s="14" t="n"/>
      <c r="D3388" s="15" t="n"/>
      <c r="E3388" s="15" t="n"/>
      <c r="F3388" s="15" t="n"/>
      <c r="G3388" s="15" t="n"/>
      <c r="H3388" s="16">
        <f>IF($A3388="","",$D3388+IF($E3388="",0,$E3388)+IF($F3388="",0,$F3388)-IF($G3388="",0,$G3388))</f>
        <v/>
      </c>
      <c r="I3388" s="12" t="n"/>
      <c r="J3388" s="12" t="n"/>
      <c r="K3388" s="12" t="n"/>
      <c r="L3388" s="14" t="n"/>
      <c r="M3388" s="12" t="n"/>
      <c r="N3388" s="12" t="n"/>
      <c r="O3388" s="12" t="n"/>
    </row>
    <row r="3389">
      <c r="A3389" s="12" t="n"/>
      <c r="B3389" s="13">
        <f>IF($A3389="","",IFERROR(INDEX(Emp_Names,MATCH($A3389,Emp_Codes,0)),"NOT FOUND"))</f>
        <v/>
      </c>
      <c r="C3389" s="14" t="n"/>
      <c r="D3389" s="15" t="n"/>
      <c r="E3389" s="15" t="n"/>
      <c r="F3389" s="15" t="n"/>
      <c r="G3389" s="15" t="n"/>
      <c r="H3389" s="16">
        <f>IF($A3389="","",$D3389+IF($E3389="",0,$E3389)+IF($F3389="",0,$F3389)-IF($G3389="",0,$G3389))</f>
        <v/>
      </c>
      <c r="I3389" s="12" t="n"/>
      <c r="J3389" s="12" t="n"/>
      <c r="K3389" s="12" t="n"/>
      <c r="L3389" s="14" t="n"/>
      <c r="M3389" s="12" t="n"/>
      <c r="N3389" s="12" t="n"/>
      <c r="O3389" s="12" t="n"/>
    </row>
    <row r="3390">
      <c r="A3390" s="12" t="n"/>
      <c r="B3390" s="13">
        <f>IF($A3390="","",IFERROR(INDEX(Emp_Names,MATCH($A3390,Emp_Codes,0)),"NOT FOUND"))</f>
        <v/>
      </c>
      <c r="C3390" s="14" t="n"/>
      <c r="D3390" s="15" t="n"/>
      <c r="E3390" s="15" t="n"/>
      <c r="F3390" s="15" t="n"/>
      <c r="G3390" s="15" t="n"/>
      <c r="H3390" s="16">
        <f>IF($A3390="","",$D3390+IF($E3390="",0,$E3390)+IF($F3390="",0,$F3390)-IF($G3390="",0,$G3390))</f>
        <v/>
      </c>
      <c r="I3390" s="12" t="n"/>
      <c r="J3390" s="12" t="n"/>
      <c r="K3390" s="12" t="n"/>
      <c r="L3390" s="14" t="n"/>
      <c r="M3390" s="12" t="n"/>
      <c r="N3390" s="12" t="n"/>
      <c r="O3390" s="12" t="n"/>
    </row>
    <row r="3391">
      <c r="A3391" s="12" t="n"/>
      <c r="B3391" s="13">
        <f>IF($A3391="","",IFERROR(INDEX(Emp_Names,MATCH($A3391,Emp_Codes,0)),"NOT FOUND"))</f>
        <v/>
      </c>
      <c r="C3391" s="14" t="n"/>
      <c r="D3391" s="15" t="n"/>
      <c r="E3391" s="15" t="n"/>
      <c r="F3391" s="15" t="n"/>
      <c r="G3391" s="15" t="n"/>
      <c r="H3391" s="16">
        <f>IF($A3391="","",$D3391+IF($E3391="",0,$E3391)+IF($F3391="",0,$F3391)-IF($G3391="",0,$G3391))</f>
        <v/>
      </c>
      <c r="I3391" s="12" t="n"/>
      <c r="J3391" s="12" t="n"/>
      <c r="K3391" s="12" t="n"/>
      <c r="L3391" s="14" t="n"/>
      <c r="M3391" s="12" t="n"/>
      <c r="N3391" s="12" t="n"/>
      <c r="O3391" s="12" t="n"/>
    </row>
    <row r="3392">
      <c r="A3392" s="12" t="n"/>
      <c r="B3392" s="13">
        <f>IF($A3392="","",IFERROR(INDEX(Emp_Names,MATCH($A3392,Emp_Codes,0)),"NOT FOUND"))</f>
        <v/>
      </c>
      <c r="C3392" s="14" t="n"/>
      <c r="D3392" s="15" t="n"/>
      <c r="E3392" s="15" t="n"/>
      <c r="F3392" s="15" t="n"/>
      <c r="G3392" s="15" t="n"/>
      <c r="H3392" s="16">
        <f>IF($A3392="","",$D3392+IF($E3392="",0,$E3392)+IF($F3392="",0,$F3392)-IF($G3392="",0,$G3392))</f>
        <v/>
      </c>
      <c r="I3392" s="12" t="n"/>
      <c r="J3392" s="12" t="n"/>
      <c r="K3392" s="12" t="n"/>
      <c r="L3392" s="14" t="n"/>
      <c r="M3392" s="12" t="n"/>
      <c r="N3392" s="12" t="n"/>
      <c r="O3392" s="12" t="n"/>
    </row>
    <row r="3393">
      <c r="A3393" s="12" t="n"/>
      <c r="B3393" s="13">
        <f>IF($A3393="","",IFERROR(INDEX(Emp_Names,MATCH($A3393,Emp_Codes,0)),"NOT FOUND"))</f>
        <v/>
      </c>
      <c r="C3393" s="14" t="n"/>
      <c r="D3393" s="15" t="n"/>
      <c r="E3393" s="15" t="n"/>
      <c r="F3393" s="15" t="n"/>
      <c r="G3393" s="15" t="n"/>
      <c r="H3393" s="16">
        <f>IF($A3393="","",$D3393+IF($E3393="",0,$E3393)+IF($F3393="",0,$F3393)-IF($G3393="",0,$G3393))</f>
        <v/>
      </c>
      <c r="I3393" s="12" t="n"/>
      <c r="J3393" s="12" t="n"/>
      <c r="K3393" s="12" t="n"/>
      <c r="L3393" s="14" t="n"/>
      <c r="M3393" s="12" t="n"/>
      <c r="N3393" s="12" t="n"/>
      <c r="O3393" s="12" t="n"/>
    </row>
    <row r="3394">
      <c r="A3394" s="12" t="n"/>
      <c r="B3394" s="13">
        <f>IF($A3394="","",IFERROR(INDEX(Emp_Names,MATCH($A3394,Emp_Codes,0)),"NOT FOUND"))</f>
        <v/>
      </c>
      <c r="C3394" s="14" t="n"/>
      <c r="D3394" s="15" t="n"/>
      <c r="E3394" s="15" t="n"/>
      <c r="F3394" s="15" t="n"/>
      <c r="G3394" s="15" t="n"/>
      <c r="H3394" s="16">
        <f>IF($A3394="","",$D3394+IF($E3394="",0,$E3394)+IF($F3394="",0,$F3394)-IF($G3394="",0,$G3394))</f>
        <v/>
      </c>
      <c r="I3394" s="12" t="n"/>
      <c r="J3394" s="12" t="n"/>
      <c r="K3394" s="12" t="n"/>
      <c r="L3394" s="14" t="n"/>
      <c r="M3394" s="12" t="n"/>
      <c r="N3394" s="12" t="n"/>
      <c r="O3394" s="12" t="n"/>
    </row>
    <row r="3395">
      <c r="A3395" s="12" t="n"/>
      <c r="B3395" s="13">
        <f>IF($A3395="","",IFERROR(INDEX(Emp_Names,MATCH($A3395,Emp_Codes,0)),"NOT FOUND"))</f>
        <v/>
      </c>
      <c r="C3395" s="14" t="n"/>
      <c r="D3395" s="15" t="n"/>
      <c r="E3395" s="15" t="n"/>
      <c r="F3395" s="15" t="n"/>
      <c r="G3395" s="15" t="n"/>
      <c r="H3395" s="16">
        <f>IF($A3395="","",$D3395+IF($E3395="",0,$E3395)+IF($F3395="",0,$F3395)-IF($G3395="",0,$G3395))</f>
        <v/>
      </c>
      <c r="I3395" s="12" t="n"/>
      <c r="J3395" s="12" t="n"/>
      <c r="K3395" s="12" t="n"/>
      <c r="L3395" s="14" t="n"/>
      <c r="M3395" s="12" t="n"/>
      <c r="N3395" s="12" t="n"/>
      <c r="O3395" s="12" t="n"/>
    </row>
    <row r="3396">
      <c r="A3396" s="12" t="n"/>
      <c r="B3396" s="13">
        <f>IF($A3396="","",IFERROR(INDEX(Emp_Names,MATCH($A3396,Emp_Codes,0)),"NOT FOUND"))</f>
        <v/>
      </c>
      <c r="C3396" s="14" t="n"/>
      <c r="D3396" s="15" t="n"/>
      <c r="E3396" s="15" t="n"/>
      <c r="F3396" s="15" t="n"/>
      <c r="G3396" s="15" t="n"/>
      <c r="H3396" s="16">
        <f>IF($A3396="","",$D3396+IF($E3396="",0,$E3396)+IF($F3396="",0,$F3396)-IF($G3396="",0,$G3396))</f>
        <v/>
      </c>
      <c r="I3396" s="12" t="n"/>
      <c r="J3396" s="12" t="n"/>
      <c r="K3396" s="12" t="n"/>
      <c r="L3396" s="14" t="n"/>
      <c r="M3396" s="12" t="n"/>
      <c r="N3396" s="12" t="n"/>
      <c r="O3396" s="12" t="n"/>
    </row>
    <row r="3397">
      <c r="A3397" s="12" t="n"/>
      <c r="B3397" s="13">
        <f>IF($A3397="","",IFERROR(INDEX(Emp_Names,MATCH($A3397,Emp_Codes,0)),"NOT FOUND"))</f>
        <v/>
      </c>
      <c r="C3397" s="14" t="n"/>
      <c r="D3397" s="15" t="n"/>
      <c r="E3397" s="15" t="n"/>
      <c r="F3397" s="15" t="n"/>
      <c r="G3397" s="15" t="n"/>
      <c r="H3397" s="16">
        <f>IF($A3397="","",$D3397+IF($E3397="",0,$E3397)+IF($F3397="",0,$F3397)-IF($G3397="",0,$G3397))</f>
        <v/>
      </c>
      <c r="I3397" s="12" t="n"/>
      <c r="J3397" s="12" t="n"/>
      <c r="K3397" s="12" t="n"/>
      <c r="L3397" s="14" t="n"/>
      <c r="M3397" s="12" t="n"/>
      <c r="N3397" s="12" t="n"/>
      <c r="O3397" s="12" t="n"/>
    </row>
    <row r="3398">
      <c r="A3398" s="12" t="n"/>
      <c r="B3398" s="13">
        <f>IF($A3398="","",IFERROR(INDEX(Emp_Names,MATCH($A3398,Emp_Codes,0)),"NOT FOUND"))</f>
        <v/>
      </c>
      <c r="C3398" s="14" t="n"/>
      <c r="D3398" s="15" t="n"/>
      <c r="E3398" s="15" t="n"/>
      <c r="F3398" s="15" t="n"/>
      <c r="G3398" s="15" t="n"/>
      <c r="H3398" s="16">
        <f>IF($A3398="","",$D3398+IF($E3398="",0,$E3398)+IF($F3398="",0,$F3398)-IF($G3398="",0,$G3398))</f>
        <v/>
      </c>
      <c r="I3398" s="12" t="n"/>
      <c r="J3398" s="12" t="n"/>
      <c r="K3398" s="12" t="n"/>
      <c r="L3398" s="14" t="n"/>
      <c r="M3398" s="12" t="n"/>
      <c r="N3398" s="12" t="n"/>
      <c r="O3398" s="12" t="n"/>
    </row>
    <row r="3399">
      <c r="A3399" s="12" t="n"/>
      <c r="B3399" s="13">
        <f>IF($A3399="","",IFERROR(INDEX(Emp_Names,MATCH($A3399,Emp_Codes,0)),"NOT FOUND"))</f>
        <v/>
      </c>
      <c r="C3399" s="14" t="n"/>
      <c r="D3399" s="15" t="n"/>
      <c r="E3399" s="15" t="n"/>
      <c r="F3399" s="15" t="n"/>
      <c r="G3399" s="15" t="n"/>
      <c r="H3399" s="16">
        <f>IF($A3399="","",$D3399+IF($E3399="",0,$E3399)+IF($F3399="",0,$F3399)-IF($G3399="",0,$G3399))</f>
        <v/>
      </c>
      <c r="I3399" s="12" t="n"/>
      <c r="J3399" s="12" t="n"/>
      <c r="K3399" s="12" t="n"/>
      <c r="L3399" s="14" t="n"/>
      <c r="M3399" s="12" t="n"/>
      <c r="N3399" s="12" t="n"/>
      <c r="O3399" s="12" t="n"/>
    </row>
    <row r="3400">
      <c r="A3400" s="12" t="n"/>
      <c r="B3400" s="13">
        <f>IF($A3400="","",IFERROR(INDEX(Emp_Names,MATCH($A3400,Emp_Codes,0)),"NOT FOUND"))</f>
        <v/>
      </c>
      <c r="C3400" s="14" t="n"/>
      <c r="D3400" s="15" t="n"/>
      <c r="E3400" s="15" t="n"/>
      <c r="F3400" s="15" t="n"/>
      <c r="G3400" s="15" t="n"/>
      <c r="H3400" s="16">
        <f>IF($A3400="","",$D3400+IF($E3400="",0,$E3400)+IF($F3400="",0,$F3400)-IF($G3400="",0,$G3400))</f>
        <v/>
      </c>
      <c r="I3400" s="12" t="n"/>
      <c r="J3400" s="12" t="n"/>
      <c r="K3400" s="12" t="n"/>
      <c r="L3400" s="14" t="n"/>
      <c r="M3400" s="12" t="n"/>
      <c r="N3400" s="12" t="n"/>
      <c r="O3400" s="12" t="n"/>
    </row>
    <row r="3401">
      <c r="A3401" s="12" t="n"/>
      <c r="B3401" s="13">
        <f>IF($A3401="","",IFERROR(INDEX(Emp_Names,MATCH($A3401,Emp_Codes,0)),"NOT FOUND"))</f>
        <v/>
      </c>
      <c r="C3401" s="14" t="n"/>
      <c r="D3401" s="15" t="n"/>
      <c r="E3401" s="15" t="n"/>
      <c r="F3401" s="15" t="n"/>
      <c r="G3401" s="15" t="n"/>
      <c r="H3401" s="16">
        <f>IF($A3401="","",$D3401+IF($E3401="",0,$E3401)+IF($F3401="",0,$F3401)-IF($G3401="",0,$G3401))</f>
        <v/>
      </c>
      <c r="I3401" s="12" t="n"/>
      <c r="J3401" s="12" t="n"/>
      <c r="K3401" s="12" t="n"/>
      <c r="L3401" s="14" t="n"/>
      <c r="M3401" s="12" t="n"/>
      <c r="N3401" s="12" t="n"/>
      <c r="O3401" s="12" t="n"/>
    </row>
    <row r="3402">
      <c r="A3402" s="12" t="n"/>
      <c r="B3402" s="13">
        <f>IF($A3402="","",IFERROR(INDEX(Emp_Names,MATCH($A3402,Emp_Codes,0)),"NOT FOUND"))</f>
        <v/>
      </c>
      <c r="C3402" s="14" t="n"/>
      <c r="D3402" s="15" t="n"/>
      <c r="E3402" s="15" t="n"/>
      <c r="F3402" s="15" t="n"/>
      <c r="G3402" s="15" t="n"/>
      <c r="H3402" s="16">
        <f>IF($A3402="","",$D3402+IF($E3402="",0,$E3402)+IF($F3402="",0,$F3402)-IF($G3402="",0,$G3402))</f>
        <v/>
      </c>
      <c r="I3402" s="12" t="n"/>
      <c r="J3402" s="12" t="n"/>
      <c r="K3402" s="12" t="n"/>
      <c r="L3402" s="14" t="n"/>
      <c r="M3402" s="12" t="n"/>
      <c r="N3402" s="12" t="n"/>
      <c r="O3402" s="12" t="n"/>
    </row>
    <row r="3403">
      <c r="A3403" s="12" t="n"/>
      <c r="B3403" s="13">
        <f>IF($A3403="","",IFERROR(INDEX(Emp_Names,MATCH($A3403,Emp_Codes,0)),"NOT FOUND"))</f>
        <v/>
      </c>
      <c r="C3403" s="14" t="n"/>
      <c r="D3403" s="15" t="n"/>
      <c r="E3403" s="15" t="n"/>
      <c r="F3403" s="15" t="n"/>
      <c r="G3403" s="15" t="n"/>
      <c r="H3403" s="16">
        <f>IF($A3403="","",$D3403+IF($E3403="",0,$E3403)+IF($F3403="",0,$F3403)-IF($G3403="",0,$G3403))</f>
        <v/>
      </c>
      <c r="I3403" s="12" t="n"/>
      <c r="J3403" s="12" t="n"/>
      <c r="K3403" s="12" t="n"/>
      <c r="L3403" s="14" t="n"/>
      <c r="M3403" s="12" t="n"/>
      <c r="N3403" s="12" t="n"/>
      <c r="O3403" s="12" t="n"/>
    </row>
    <row r="3404">
      <c r="A3404" s="12" t="n"/>
      <c r="B3404" s="13">
        <f>IF($A3404="","",IFERROR(INDEX(Emp_Names,MATCH($A3404,Emp_Codes,0)),"NOT FOUND"))</f>
        <v/>
      </c>
      <c r="C3404" s="14" t="n"/>
      <c r="D3404" s="15" t="n"/>
      <c r="E3404" s="15" t="n"/>
      <c r="F3404" s="15" t="n"/>
      <c r="G3404" s="15" t="n"/>
      <c r="H3404" s="16">
        <f>IF($A3404="","",$D3404+IF($E3404="",0,$E3404)+IF($F3404="",0,$F3404)-IF($G3404="",0,$G3404))</f>
        <v/>
      </c>
      <c r="I3404" s="12" t="n"/>
      <c r="J3404" s="12" t="n"/>
      <c r="K3404" s="12" t="n"/>
      <c r="L3404" s="14" t="n"/>
      <c r="M3404" s="12" t="n"/>
      <c r="N3404" s="12" t="n"/>
      <c r="O3404" s="12" t="n"/>
    </row>
    <row r="3405">
      <c r="A3405" s="12" t="n"/>
      <c r="B3405" s="13">
        <f>IF($A3405="","",IFERROR(INDEX(Emp_Names,MATCH($A3405,Emp_Codes,0)),"NOT FOUND"))</f>
        <v/>
      </c>
      <c r="C3405" s="14" t="n"/>
      <c r="D3405" s="15" t="n"/>
      <c r="E3405" s="15" t="n"/>
      <c r="F3405" s="15" t="n"/>
      <c r="G3405" s="15" t="n"/>
      <c r="H3405" s="16">
        <f>IF($A3405="","",$D3405+IF($E3405="",0,$E3405)+IF($F3405="",0,$F3405)-IF($G3405="",0,$G3405))</f>
        <v/>
      </c>
      <c r="I3405" s="12" t="n"/>
      <c r="J3405" s="12" t="n"/>
      <c r="K3405" s="12" t="n"/>
      <c r="L3405" s="14" t="n"/>
      <c r="M3405" s="12" t="n"/>
      <c r="N3405" s="12" t="n"/>
      <c r="O3405" s="12" t="n"/>
    </row>
    <row r="3406">
      <c r="A3406" s="12" t="n"/>
      <c r="B3406" s="13">
        <f>IF($A3406="","",IFERROR(INDEX(Emp_Names,MATCH($A3406,Emp_Codes,0)),"NOT FOUND"))</f>
        <v/>
      </c>
      <c r="C3406" s="14" t="n"/>
      <c r="D3406" s="15" t="n"/>
      <c r="E3406" s="15" t="n"/>
      <c r="F3406" s="15" t="n"/>
      <c r="G3406" s="15" t="n"/>
      <c r="H3406" s="16">
        <f>IF($A3406="","",$D3406+IF($E3406="",0,$E3406)+IF($F3406="",0,$F3406)-IF($G3406="",0,$G3406))</f>
        <v/>
      </c>
      <c r="I3406" s="12" t="n"/>
      <c r="J3406" s="12" t="n"/>
      <c r="K3406" s="12" t="n"/>
      <c r="L3406" s="14" t="n"/>
      <c r="M3406" s="12" t="n"/>
      <c r="N3406" s="12" t="n"/>
      <c r="O3406" s="12" t="n"/>
    </row>
    <row r="3407">
      <c r="A3407" s="12" t="n"/>
      <c r="B3407" s="13">
        <f>IF($A3407="","",IFERROR(INDEX(Emp_Names,MATCH($A3407,Emp_Codes,0)),"NOT FOUND"))</f>
        <v/>
      </c>
      <c r="C3407" s="14" t="n"/>
      <c r="D3407" s="15" t="n"/>
      <c r="E3407" s="15" t="n"/>
      <c r="F3407" s="15" t="n"/>
      <c r="G3407" s="15" t="n"/>
      <c r="H3407" s="16">
        <f>IF($A3407="","",$D3407+IF($E3407="",0,$E3407)+IF($F3407="",0,$F3407)-IF($G3407="",0,$G3407))</f>
        <v/>
      </c>
      <c r="I3407" s="12" t="n"/>
      <c r="J3407" s="12" t="n"/>
      <c r="K3407" s="12" t="n"/>
      <c r="L3407" s="14" t="n"/>
      <c r="M3407" s="12" t="n"/>
      <c r="N3407" s="12" t="n"/>
      <c r="O3407" s="12" t="n"/>
    </row>
    <row r="3408">
      <c r="A3408" s="12" t="n"/>
      <c r="B3408" s="13">
        <f>IF($A3408="","",IFERROR(INDEX(Emp_Names,MATCH($A3408,Emp_Codes,0)),"NOT FOUND"))</f>
        <v/>
      </c>
      <c r="C3408" s="14" t="n"/>
      <c r="D3408" s="15" t="n"/>
      <c r="E3408" s="15" t="n"/>
      <c r="F3408" s="15" t="n"/>
      <c r="G3408" s="15" t="n"/>
      <c r="H3408" s="16">
        <f>IF($A3408="","",$D3408+IF($E3408="",0,$E3408)+IF($F3408="",0,$F3408)-IF($G3408="",0,$G3408))</f>
        <v/>
      </c>
      <c r="I3408" s="12" t="n"/>
      <c r="J3408" s="12" t="n"/>
      <c r="K3408" s="12" t="n"/>
      <c r="L3408" s="14" t="n"/>
      <c r="M3408" s="12" t="n"/>
      <c r="N3408" s="12" t="n"/>
      <c r="O3408" s="12" t="n"/>
    </row>
    <row r="3409">
      <c r="A3409" s="12" t="n"/>
      <c r="B3409" s="13">
        <f>IF($A3409="","",IFERROR(INDEX(Emp_Names,MATCH($A3409,Emp_Codes,0)),"NOT FOUND"))</f>
        <v/>
      </c>
      <c r="C3409" s="14" t="n"/>
      <c r="D3409" s="15" t="n"/>
      <c r="E3409" s="15" t="n"/>
      <c r="F3409" s="15" t="n"/>
      <c r="G3409" s="15" t="n"/>
      <c r="H3409" s="16">
        <f>IF($A3409="","",$D3409+IF($E3409="",0,$E3409)+IF($F3409="",0,$F3409)-IF($G3409="",0,$G3409))</f>
        <v/>
      </c>
      <c r="I3409" s="12" t="n"/>
      <c r="J3409" s="12" t="n"/>
      <c r="K3409" s="12" t="n"/>
      <c r="L3409" s="14" t="n"/>
      <c r="M3409" s="12" t="n"/>
      <c r="N3409" s="12" t="n"/>
      <c r="O3409" s="12" t="n"/>
    </row>
    <row r="3410">
      <c r="A3410" s="12" t="n"/>
      <c r="B3410" s="13">
        <f>IF($A3410="","",IFERROR(INDEX(Emp_Names,MATCH($A3410,Emp_Codes,0)),"NOT FOUND"))</f>
        <v/>
      </c>
      <c r="C3410" s="14" t="n"/>
      <c r="D3410" s="15" t="n"/>
      <c r="E3410" s="15" t="n"/>
      <c r="F3410" s="15" t="n"/>
      <c r="G3410" s="15" t="n"/>
      <c r="H3410" s="16">
        <f>IF($A3410="","",$D3410+IF($E3410="",0,$E3410)+IF($F3410="",0,$F3410)-IF($G3410="",0,$G3410))</f>
        <v/>
      </c>
      <c r="I3410" s="12" t="n"/>
      <c r="J3410" s="12" t="n"/>
      <c r="K3410" s="12" t="n"/>
      <c r="L3410" s="14" t="n"/>
      <c r="M3410" s="12" t="n"/>
      <c r="N3410" s="12" t="n"/>
      <c r="O3410" s="12" t="n"/>
    </row>
    <row r="3411">
      <c r="A3411" s="12" t="n"/>
      <c r="B3411" s="13">
        <f>IF($A3411="","",IFERROR(INDEX(Emp_Names,MATCH($A3411,Emp_Codes,0)),"NOT FOUND"))</f>
        <v/>
      </c>
      <c r="C3411" s="14" t="n"/>
      <c r="D3411" s="15" t="n"/>
      <c r="E3411" s="15" t="n"/>
      <c r="F3411" s="15" t="n"/>
      <c r="G3411" s="15" t="n"/>
      <c r="H3411" s="16">
        <f>IF($A3411="","",$D3411+IF($E3411="",0,$E3411)+IF($F3411="",0,$F3411)-IF($G3411="",0,$G3411))</f>
        <v/>
      </c>
      <c r="I3411" s="12" t="n"/>
      <c r="J3411" s="12" t="n"/>
      <c r="K3411" s="12" t="n"/>
      <c r="L3411" s="14" t="n"/>
      <c r="M3411" s="12" t="n"/>
      <c r="N3411" s="12" t="n"/>
      <c r="O3411" s="12" t="n"/>
    </row>
    <row r="3412">
      <c r="A3412" s="12" t="n"/>
      <c r="B3412" s="13">
        <f>IF($A3412="","",IFERROR(INDEX(Emp_Names,MATCH($A3412,Emp_Codes,0)),"NOT FOUND"))</f>
        <v/>
      </c>
      <c r="C3412" s="14" t="n"/>
      <c r="D3412" s="15" t="n"/>
      <c r="E3412" s="15" t="n"/>
      <c r="F3412" s="15" t="n"/>
      <c r="G3412" s="15" t="n"/>
      <c r="H3412" s="16">
        <f>IF($A3412="","",$D3412+IF($E3412="",0,$E3412)+IF($F3412="",0,$F3412)-IF($G3412="",0,$G3412))</f>
        <v/>
      </c>
      <c r="I3412" s="12" t="n"/>
      <c r="J3412" s="12" t="n"/>
      <c r="K3412" s="12" t="n"/>
      <c r="L3412" s="14" t="n"/>
      <c r="M3412" s="12" t="n"/>
      <c r="N3412" s="12" t="n"/>
      <c r="O3412" s="12" t="n"/>
    </row>
    <row r="3413">
      <c r="A3413" s="12" t="n"/>
      <c r="B3413" s="13">
        <f>IF($A3413="","",IFERROR(INDEX(Emp_Names,MATCH($A3413,Emp_Codes,0)),"NOT FOUND"))</f>
        <v/>
      </c>
      <c r="C3413" s="14" t="n"/>
      <c r="D3413" s="15" t="n"/>
      <c r="E3413" s="15" t="n"/>
      <c r="F3413" s="15" t="n"/>
      <c r="G3413" s="15" t="n"/>
      <c r="H3413" s="16">
        <f>IF($A3413="","",$D3413+IF($E3413="",0,$E3413)+IF($F3413="",0,$F3413)-IF($G3413="",0,$G3413))</f>
        <v/>
      </c>
      <c r="I3413" s="12" t="n"/>
      <c r="J3413" s="12" t="n"/>
      <c r="K3413" s="12" t="n"/>
      <c r="L3413" s="14" t="n"/>
      <c r="M3413" s="12" t="n"/>
      <c r="N3413" s="12" t="n"/>
      <c r="O3413" s="12" t="n"/>
    </row>
    <row r="3414">
      <c r="A3414" s="12" t="n"/>
      <c r="B3414" s="13">
        <f>IF($A3414="","",IFERROR(INDEX(Emp_Names,MATCH($A3414,Emp_Codes,0)),"NOT FOUND"))</f>
        <v/>
      </c>
      <c r="C3414" s="14" t="n"/>
      <c r="D3414" s="15" t="n"/>
      <c r="E3414" s="15" t="n"/>
      <c r="F3414" s="15" t="n"/>
      <c r="G3414" s="15" t="n"/>
      <c r="H3414" s="16">
        <f>IF($A3414="","",$D3414+IF($E3414="",0,$E3414)+IF($F3414="",0,$F3414)-IF($G3414="",0,$G3414))</f>
        <v/>
      </c>
      <c r="I3414" s="12" t="n"/>
      <c r="J3414" s="12" t="n"/>
      <c r="K3414" s="12" t="n"/>
      <c r="L3414" s="14" t="n"/>
      <c r="M3414" s="12" t="n"/>
      <c r="N3414" s="12" t="n"/>
      <c r="O3414" s="12" t="n"/>
    </row>
    <row r="3415">
      <c r="A3415" s="12" t="n"/>
      <c r="B3415" s="13">
        <f>IF($A3415="","",IFERROR(INDEX(Emp_Names,MATCH($A3415,Emp_Codes,0)),"NOT FOUND"))</f>
        <v/>
      </c>
      <c r="C3415" s="14" t="n"/>
      <c r="D3415" s="15" t="n"/>
      <c r="E3415" s="15" t="n"/>
      <c r="F3415" s="15" t="n"/>
      <c r="G3415" s="15" t="n"/>
      <c r="H3415" s="16">
        <f>IF($A3415="","",$D3415+IF($E3415="",0,$E3415)+IF($F3415="",0,$F3415)-IF($G3415="",0,$G3415))</f>
        <v/>
      </c>
      <c r="I3415" s="12" t="n"/>
      <c r="J3415" s="12" t="n"/>
      <c r="K3415" s="12" t="n"/>
      <c r="L3415" s="14" t="n"/>
      <c r="M3415" s="12" t="n"/>
      <c r="N3415" s="12" t="n"/>
      <c r="O3415" s="12" t="n"/>
    </row>
    <row r="3416">
      <c r="A3416" s="12" t="n"/>
      <c r="B3416" s="13">
        <f>IF($A3416="","",IFERROR(INDEX(Emp_Names,MATCH($A3416,Emp_Codes,0)),"NOT FOUND"))</f>
        <v/>
      </c>
      <c r="C3416" s="14" t="n"/>
      <c r="D3416" s="15" t="n"/>
      <c r="E3416" s="15" t="n"/>
      <c r="F3416" s="15" t="n"/>
      <c r="G3416" s="15" t="n"/>
      <c r="H3416" s="16">
        <f>IF($A3416="","",$D3416+IF($E3416="",0,$E3416)+IF($F3416="",0,$F3416)-IF($G3416="",0,$G3416))</f>
        <v/>
      </c>
      <c r="I3416" s="12" t="n"/>
      <c r="J3416" s="12" t="n"/>
      <c r="K3416" s="12" t="n"/>
      <c r="L3416" s="14" t="n"/>
      <c r="M3416" s="12" t="n"/>
      <c r="N3416" s="12" t="n"/>
      <c r="O3416" s="12" t="n"/>
    </row>
    <row r="3417">
      <c r="A3417" s="12" t="n"/>
      <c r="B3417" s="13">
        <f>IF($A3417="","",IFERROR(INDEX(Emp_Names,MATCH($A3417,Emp_Codes,0)),"NOT FOUND"))</f>
        <v/>
      </c>
      <c r="C3417" s="14" t="n"/>
      <c r="D3417" s="15" t="n"/>
      <c r="E3417" s="15" t="n"/>
      <c r="F3417" s="15" t="n"/>
      <c r="G3417" s="15" t="n"/>
      <c r="H3417" s="16">
        <f>IF($A3417="","",$D3417+IF($E3417="",0,$E3417)+IF($F3417="",0,$F3417)-IF($G3417="",0,$G3417))</f>
        <v/>
      </c>
      <c r="I3417" s="12" t="n"/>
      <c r="J3417" s="12" t="n"/>
      <c r="K3417" s="12" t="n"/>
      <c r="L3417" s="14" t="n"/>
      <c r="M3417" s="12" t="n"/>
      <c r="N3417" s="12" t="n"/>
      <c r="O3417" s="12" t="n"/>
    </row>
    <row r="3418">
      <c r="A3418" s="12" t="n"/>
      <c r="B3418" s="13">
        <f>IF($A3418="","",IFERROR(INDEX(Emp_Names,MATCH($A3418,Emp_Codes,0)),"NOT FOUND"))</f>
        <v/>
      </c>
      <c r="C3418" s="14" t="n"/>
      <c r="D3418" s="15" t="n"/>
      <c r="E3418" s="15" t="n"/>
      <c r="F3418" s="15" t="n"/>
      <c r="G3418" s="15" t="n"/>
      <c r="H3418" s="16">
        <f>IF($A3418="","",$D3418+IF($E3418="",0,$E3418)+IF($F3418="",0,$F3418)-IF($G3418="",0,$G3418))</f>
        <v/>
      </c>
      <c r="I3418" s="12" t="n"/>
      <c r="J3418" s="12" t="n"/>
      <c r="K3418" s="12" t="n"/>
      <c r="L3418" s="14" t="n"/>
      <c r="M3418" s="12" t="n"/>
      <c r="N3418" s="12" t="n"/>
      <c r="O3418" s="12" t="n"/>
    </row>
    <row r="3419">
      <c r="A3419" s="12" t="n"/>
      <c r="B3419" s="13">
        <f>IF($A3419="","",IFERROR(INDEX(Emp_Names,MATCH($A3419,Emp_Codes,0)),"NOT FOUND"))</f>
        <v/>
      </c>
      <c r="C3419" s="14" t="n"/>
      <c r="D3419" s="15" t="n"/>
      <c r="E3419" s="15" t="n"/>
      <c r="F3419" s="15" t="n"/>
      <c r="G3419" s="15" t="n"/>
      <c r="H3419" s="16">
        <f>IF($A3419="","",$D3419+IF($E3419="",0,$E3419)+IF($F3419="",0,$F3419)-IF($G3419="",0,$G3419))</f>
        <v/>
      </c>
      <c r="I3419" s="12" t="n"/>
      <c r="J3419" s="12" t="n"/>
      <c r="K3419" s="12" t="n"/>
      <c r="L3419" s="14" t="n"/>
      <c r="M3419" s="12" t="n"/>
      <c r="N3419" s="12" t="n"/>
      <c r="O3419" s="12" t="n"/>
    </row>
    <row r="3420">
      <c r="A3420" s="12" t="n"/>
      <c r="B3420" s="13">
        <f>IF($A3420="","",IFERROR(INDEX(Emp_Names,MATCH($A3420,Emp_Codes,0)),"NOT FOUND"))</f>
        <v/>
      </c>
      <c r="C3420" s="14" t="n"/>
      <c r="D3420" s="15" t="n"/>
      <c r="E3420" s="15" t="n"/>
      <c r="F3420" s="15" t="n"/>
      <c r="G3420" s="15" t="n"/>
      <c r="H3420" s="16">
        <f>IF($A3420="","",$D3420+IF($E3420="",0,$E3420)+IF($F3420="",0,$F3420)-IF($G3420="",0,$G3420))</f>
        <v/>
      </c>
      <c r="I3420" s="12" t="n"/>
      <c r="J3420" s="12" t="n"/>
      <c r="K3420" s="12" t="n"/>
      <c r="L3420" s="14" t="n"/>
      <c r="M3420" s="12" t="n"/>
      <c r="N3420" s="12" t="n"/>
      <c r="O3420" s="12" t="n"/>
    </row>
    <row r="3421">
      <c r="A3421" s="12" t="n"/>
      <c r="B3421" s="13">
        <f>IF($A3421="","",IFERROR(INDEX(Emp_Names,MATCH($A3421,Emp_Codes,0)),"NOT FOUND"))</f>
        <v/>
      </c>
      <c r="C3421" s="14" t="n"/>
      <c r="D3421" s="15" t="n"/>
      <c r="E3421" s="15" t="n"/>
      <c r="F3421" s="15" t="n"/>
      <c r="G3421" s="15" t="n"/>
      <c r="H3421" s="16">
        <f>IF($A3421="","",$D3421+IF($E3421="",0,$E3421)+IF($F3421="",0,$F3421)-IF($G3421="",0,$G3421))</f>
        <v/>
      </c>
      <c r="I3421" s="12" t="n"/>
      <c r="J3421" s="12" t="n"/>
      <c r="K3421" s="12" t="n"/>
      <c r="L3421" s="14" t="n"/>
      <c r="M3421" s="12" t="n"/>
      <c r="N3421" s="12" t="n"/>
      <c r="O3421" s="12" t="n"/>
    </row>
    <row r="3422">
      <c r="A3422" s="12" t="n"/>
      <c r="B3422" s="13">
        <f>IF($A3422="","",IFERROR(INDEX(Emp_Names,MATCH($A3422,Emp_Codes,0)),"NOT FOUND"))</f>
        <v/>
      </c>
      <c r="C3422" s="14" t="n"/>
      <c r="D3422" s="15" t="n"/>
      <c r="E3422" s="15" t="n"/>
      <c r="F3422" s="15" t="n"/>
      <c r="G3422" s="15" t="n"/>
      <c r="H3422" s="16">
        <f>IF($A3422="","",$D3422+IF($E3422="",0,$E3422)+IF($F3422="",0,$F3422)-IF($G3422="",0,$G3422))</f>
        <v/>
      </c>
      <c r="I3422" s="12" t="n"/>
      <c r="J3422" s="12" t="n"/>
      <c r="K3422" s="12" t="n"/>
      <c r="L3422" s="14" t="n"/>
      <c r="M3422" s="12" t="n"/>
      <c r="N3422" s="12" t="n"/>
      <c r="O3422" s="12" t="n"/>
    </row>
    <row r="3423">
      <c r="A3423" s="12" t="n"/>
      <c r="B3423" s="13">
        <f>IF($A3423="","",IFERROR(INDEX(Emp_Names,MATCH($A3423,Emp_Codes,0)),"NOT FOUND"))</f>
        <v/>
      </c>
      <c r="C3423" s="14" t="n"/>
      <c r="D3423" s="15" t="n"/>
      <c r="E3423" s="15" t="n"/>
      <c r="F3423" s="15" t="n"/>
      <c r="G3423" s="15" t="n"/>
      <c r="H3423" s="16">
        <f>IF($A3423="","",$D3423+IF($E3423="",0,$E3423)+IF($F3423="",0,$F3423)-IF($G3423="",0,$G3423))</f>
        <v/>
      </c>
      <c r="I3423" s="12" t="n"/>
      <c r="J3423" s="12" t="n"/>
      <c r="K3423" s="12" t="n"/>
      <c r="L3423" s="14" t="n"/>
      <c r="M3423" s="12" t="n"/>
      <c r="N3423" s="12" t="n"/>
      <c r="O3423" s="12" t="n"/>
    </row>
    <row r="3424">
      <c r="A3424" s="12" t="n"/>
      <c r="B3424" s="13">
        <f>IF($A3424="","",IFERROR(INDEX(Emp_Names,MATCH($A3424,Emp_Codes,0)),"NOT FOUND"))</f>
        <v/>
      </c>
      <c r="C3424" s="14" t="n"/>
      <c r="D3424" s="15" t="n"/>
      <c r="E3424" s="15" t="n"/>
      <c r="F3424" s="15" t="n"/>
      <c r="G3424" s="15" t="n"/>
      <c r="H3424" s="16">
        <f>IF($A3424="","",$D3424+IF($E3424="",0,$E3424)+IF($F3424="",0,$F3424)-IF($G3424="",0,$G3424))</f>
        <v/>
      </c>
      <c r="I3424" s="12" t="n"/>
      <c r="J3424" s="12" t="n"/>
      <c r="K3424" s="12" t="n"/>
      <c r="L3424" s="14" t="n"/>
      <c r="M3424" s="12" t="n"/>
      <c r="N3424" s="12" t="n"/>
      <c r="O3424" s="12" t="n"/>
    </row>
    <row r="3425">
      <c r="A3425" s="12" t="n"/>
      <c r="B3425" s="13">
        <f>IF($A3425="","",IFERROR(INDEX(Emp_Names,MATCH($A3425,Emp_Codes,0)),"NOT FOUND"))</f>
        <v/>
      </c>
      <c r="C3425" s="14" t="n"/>
      <c r="D3425" s="15" t="n"/>
      <c r="E3425" s="15" t="n"/>
      <c r="F3425" s="15" t="n"/>
      <c r="G3425" s="15" t="n"/>
      <c r="H3425" s="16">
        <f>IF($A3425="","",$D3425+IF($E3425="",0,$E3425)+IF($F3425="",0,$F3425)-IF($G3425="",0,$G3425))</f>
        <v/>
      </c>
      <c r="I3425" s="12" t="n"/>
      <c r="J3425" s="12" t="n"/>
      <c r="K3425" s="12" t="n"/>
      <c r="L3425" s="14" t="n"/>
      <c r="M3425" s="12" t="n"/>
      <c r="N3425" s="12" t="n"/>
      <c r="O3425" s="12" t="n"/>
    </row>
    <row r="3426">
      <c r="A3426" s="12" t="n"/>
      <c r="B3426" s="13">
        <f>IF($A3426="","",IFERROR(INDEX(Emp_Names,MATCH($A3426,Emp_Codes,0)),"NOT FOUND"))</f>
        <v/>
      </c>
      <c r="C3426" s="14" t="n"/>
      <c r="D3426" s="15" t="n"/>
      <c r="E3426" s="15" t="n"/>
      <c r="F3426" s="15" t="n"/>
      <c r="G3426" s="15" t="n"/>
      <c r="H3426" s="16">
        <f>IF($A3426="","",$D3426+IF($E3426="",0,$E3426)+IF($F3426="",0,$F3426)-IF($G3426="",0,$G3426))</f>
        <v/>
      </c>
      <c r="I3426" s="12" t="n"/>
      <c r="J3426" s="12" t="n"/>
      <c r="K3426" s="12" t="n"/>
      <c r="L3426" s="14" t="n"/>
      <c r="M3426" s="12" t="n"/>
      <c r="N3426" s="12" t="n"/>
      <c r="O3426" s="12" t="n"/>
    </row>
    <row r="3427">
      <c r="A3427" s="12" t="n"/>
      <c r="B3427" s="13">
        <f>IF($A3427="","",IFERROR(INDEX(Emp_Names,MATCH($A3427,Emp_Codes,0)),"NOT FOUND"))</f>
        <v/>
      </c>
      <c r="C3427" s="14" t="n"/>
      <c r="D3427" s="15" t="n"/>
      <c r="E3427" s="15" t="n"/>
      <c r="F3427" s="15" t="n"/>
      <c r="G3427" s="15" t="n"/>
      <c r="H3427" s="16">
        <f>IF($A3427="","",$D3427+IF($E3427="",0,$E3427)+IF($F3427="",0,$F3427)-IF($G3427="",0,$G3427))</f>
        <v/>
      </c>
      <c r="I3427" s="12" t="n"/>
      <c r="J3427" s="12" t="n"/>
      <c r="K3427" s="12" t="n"/>
      <c r="L3427" s="14" t="n"/>
      <c r="M3427" s="12" t="n"/>
      <c r="N3427" s="12" t="n"/>
      <c r="O3427" s="12" t="n"/>
    </row>
    <row r="3428">
      <c r="A3428" s="12" t="n"/>
      <c r="B3428" s="13">
        <f>IF($A3428="","",IFERROR(INDEX(Emp_Names,MATCH($A3428,Emp_Codes,0)),"NOT FOUND"))</f>
        <v/>
      </c>
      <c r="C3428" s="14" t="n"/>
      <c r="D3428" s="15" t="n"/>
      <c r="E3428" s="15" t="n"/>
      <c r="F3428" s="15" t="n"/>
      <c r="G3428" s="15" t="n"/>
      <c r="H3428" s="16">
        <f>IF($A3428="","",$D3428+IF($E3428="",0,$E3428)+IF($F3428="",0,$F3428)-IF($G3428="",0,$G3428))</f>
        <v/>
      </c>
      <c r="I3428" s="12" t="n"/>
      <c r="J3428" s="12" t="n"/>
      <c r="K3428" s="12" t="n"/>
      <c r="L3428" s="14" t="n"/>
      <c r="M3428" s="12" t="n"/>
      <c r="N3428" s="12" t="n"/>
      <c r="O3428" s="12" t="n"/>
    </row>
    <row r="3429">
      <c r="A3429" s="12" t="n"/>
      <c r="B3429" s="13">
        <f>IF($A3429="","",IFERROR(INDEX(Emp_Names,MATCH($A3429,Emp_Codes,0)),"NOT FOUND"))</f>
        <v/>
      </c>
      <c r="C3429" s="14" t="n"/>
      <c r="D3429" s="15" t="n"/>
      <c r="E3429" s="15" t="n"/>
      <c r="F3429" s="15" t="n"/>
      <c r="G3429" s="15" t="n"/>
      <c r="H3429" s="16">
        <f>IF($A3429="","",$D3429+IF($E3429="",0,$E3429)+IF($F3429="",0,$F3429)-IF($G3429="",0,$G3429))</f>
        <v/>
      </c>
      <c r="I3429" s="12" t="n"/>
      <c r="J3429" s="12" t="n"/>
      <c r="K3429" s="12" t="n"/>
      <c r="L3429" s="14" t="n"/>
      <c r="M3429" s="12" t="n"/>
      <c r="N3429" s="12" t="n"/>
      <c r="O3429" s="12" t="n"/>
    </row>
    <row r="3430">
      <c r="A3430" s="12" t="n"/>
      <c r="B3430" s="13">
        <f>IF($A3430="","",IFERROR(INDEX(Emp_Names,MATCH($A3430,Emp_Codes,0)),"NOT FOUND"))</f>
        <v/>
      </c>
      <c r="C3430" s="14" t="n"/>
      <c r="D3430" s="15" t="n"/>
      <c r="E3430" s="15" t="n"/>
      <c r="F3430" s="15" t="n"/>
      <c r="G3430" s="15" t="n"/>
      <c r="H3430" s="16">
        <f>IF($A3430="","",$D3430+IF($E3430="",0,$E3430)+IF($F3430="",0,$F3430)-IF($G3430="",0,$G3430))</f>
        <v/>
      </c>
      <c r="I3430" s="12" t="n"/>
      <c r="J3430" s="12" t="n"/>
      <c r="K3430" s="12" t="n"/>
      <c r="L3430" s="14" t="n"/>
      <c r="M3430" s="12" t="n"/>
      <c r="N3430" s="12" t="n"/>
      <c r="O3430" s="12" t="n"/>
    </row>
    <row r="3431">
      <c r="A3431" s="12" t="n"/>
      <c r="B3431" s="13">
        <f>IF($A3431="","",IFERROR(INDEX(Emp_Names,MATCH($A3431,Emp_Codes,0)),"NOT FOUND"))</f>
        <v/>
      </c>
      <c r="C3431" s="14" t="n"/>
      <c r="D3431" s="15" t="n"/>
      <c r="E3431" s="15" t="n"/>
      <c r="F3431" s="15" t="n"/>
      <c r="G3431" s="15" t="n"/>
      <c r="H3431" s="16">
        <f>IF($A3431="","",$D3431+IF($E3431="",0,$E3431)+IF($F3431="",0,$F3431)-IF($G3431="",0,$G3431))</f>
        <v/>
      </c>
      <c r="I3431" s="12" t="n"/>
      <c r="J3431" s="12" t="n"/>
      <c r="K3431" s="12" t="n"/>
      <c r="L3431" s="14" t="n"/>
      <c r="M3431" s="12" t="n"/>
      <c r="N3431" s="12" t="n"/>
      <c r="O3431" s="12" t="n"/>
    </row>
    <row r="3432">
      <c r="A3432" s="12" t="n"/>
      <c r="B3432" s="13">
        <f>IF($A3432="","",IFERROR(INDEX(Emp_Names,MATCH($A3432,Emp_Codes,0)),"NOT FOUND"))</f>
        <v/>
      </c>
      <c r="C3432" s="14" t="n"/>
      <c r="D3432" s="15" t="n"/>
      <c r="E3432" s="15" t="n"/>
      <c r="F3432" s="15" t="n"/>
      <c r="G3432" s="15" t="n"/>
      <c r="H3432" s="16">
        <f>IF($A3432="","",$D3432+IF($E3432="",0,$E3432)+IF($F3432="",0,$F3432)-IF($G3432="",0,$G3432))</f>
        <v/>
      </c>
      <c r="I3432" s="12" t="n"/>
      <c r="J3432" s="12" t="n"/>
      <c r="K3432" s="12" t="n"/>
      <c r="L3432" s="14" t="n"/>
      <c r="M3432" s="12" t="n"/>
      <c r="N3432" s="12" t="n"/>
      <c r="O3432" s="12" t="n"/>
    </row>
    <row r="3433">
      <c r="A3433" s="12" t="n"/>
      <c r="B3433" s="13">
        <f>IF($A3433="","",IFERROR(INDEX(Emp_Names,MATCH($A3433,Emp_Codes,0)),"NOT FOUND"))</f>
        <v/>
      </c>
      <c r="C3433" s="14" t="n"/>
      <c r="D3433" s="15" t="n"/>
      <c r="E3433" s="15" t="n"/>
      <c r="F3433" s="15" t="n"/>
      <c r="G3433" s="15" t="n"/>
      <c r="H3433" s="16">
        <f>IF($A3433="","",$D3433+IF($E3433="",0,$E3433)+IF($F3433="",0,$F3433)-IF($G3433="",0,$G3433))</f>
        <v/>
      </c>
      <c r="I3433" s="12" t="n"/>
      <c r="J3433" s="12" t="n"/>
      <c r="K3433" s="12" t="n"/>
      <c r="L3433" s="14" t="n"/>
      <c r="M3433" s="12" t="n"/>
      <c r="N3433" s="12" t="n"/>
      <c r="O3433" s="12" t="n"/>
    </row>
    <row r="3434">
      <c r="A3434" s="12" t="n"/>
      <c r="B3434" s="13">
        <f>IF($A3434="","",IFERROR(INDEX(Emp_Names,MATCH($A3434,Emp_Codes,0)),"NOT FOUND"))</f>
        <v/>
      </c>
      <c r="C3434" s="14" t="n"/>
      <c r="D3434" s="15" t="n"/>
      <c r="E3434" s="15" t="n"/>
      <c r="F3434" s="15" t="n"/>
      <c r="G3434" s="15" t="n"/>
      <c r="H3434" s="16">
        <f>IF($A3434="","",$D3434+IF($E3434="",0,$E3434)+IF($F3434="",0,$F3434)-IF($G3434="",0,$G3434))</f>
        <v/>
      </c>
      <c r="I3434" s="12" t="n"/>
      <c r="J3434" s="12" t="n"/>
      <c r="K3434" s="12" t="n"/>
      <c r="L3434" s="14" t="n"/>
      <c r="M3434" s="12" t="n"/>
      <c r="N3434" s="12" t="n"/>
      <c r="O3434" s="12" t="n"/>
    </row>
    <row r="3435">
      <c r="A3435" s="12" t="n"/>
      <c r="B3435" s="13">
        <f>IF($A3435="","",IFERROR(INDEX(Emp_Names,MATCH($A3435,Emp_Codes,0)),"NOT FOUND"))</f>
        <v/>
      </c>
      <c r="C3435" s="14" t="n"/>
      <c r="D3435" s="15" t="n"/>
      <c r="E3435" s="15" t="n"/>
      <c r="F3435" s="15" t="n"/>
      <c r="G3435" s="15" t="n"/>
      <c r="H3435" s="16">
        <f>IF($A3435="","",$D3435+IF($E3435="",0,$E3435)+IF($F3435="",0,$F3435)-IF($G3435="",0,$G3435))</f>
        <v/>
      </c>
      <c r="I3435" s="12" t="n"/>
      <c r="J3435" s="12" t="n"/>
      <c r="K3435" s="12" t="n"/>
      <c r="L3435" s="14" t="n"/>
      <c r="M3435" s="12" t="n"/>
      <c r="N3435" s="12" t="n"/>
      <c r="O3435" s="12" t="n"/>
    </row>
    <row r="3436">
      <c r="A3436" s="12" t="n"/>
      <c r="B3436" s="13">
        <f>IF($A3436="","",IFERROR(INDEX(Emp_Names,MATCH($A3436,Emp_Codes,0)),"NOT FOUND"))</f>
        <v/>
      </c>
      <c r="C3436" s="14" t="n"/>
      <c r="D3436" s="15" t="n"/>
      <c r="E3436" s="15" t="n"/>
      <c r="F3436" s="15" t="n"/>
      <c r="G3436" s="15" t="n"/>
      <c r="H3436" s="16">
        <f>IF($A3436="","",$D3436+IF($E3436="",0,$E3436)+IF($F3436="",0,$F3436)-IF($G3436="",0,$G3436))</f>
        <v/>
      </c>
      <c r="I3436" s="12" t="n"/>
      <c r="J3436" s="12" t="n"/>
      <c r="K3436" s="12" t="n"/>
      <c r="L3436" s="14" t="n"/>
      <c r="M3436" s="12" t="n"/>
      <c r="N3436" s="12" t="n"/>
      <c r="O3436" s="12" t="n"/>
    </row>
    <row r="3437">
      <c r="A3437" s="12" t="n"/>
      <c r="B3437" s="13">
        <f>IF($A3437="","",IFERROR(INDEX(Emp_Names,MATCH($A3437,Emp_Codes,0)),"NOT FOUND"))</f>
        <v/>
      </c>
      <c r="C3437" s="14" t="n"/>
      <c r="D3437" s="15" t="n"/>
      <c r="E3437" s="15" t="n"/>
      <c r="F3437" s="15" t="n"/>
      <c r="G3437" s="15" t="n"/>
      <c r="H3437" s="16">
        <f>IF($A3437="","",$D3437+IF($E3437="",0,$E3437)+IF($F3437="",0,$F3437)-IF($G3437="",0,$G3437))</f>
        <v/>
      </c>
      <c r="I3437" s="12" t="n"/>
      <c r="J3437" s="12" t="n"/>
      <c r="K3437" s="12" t="n"/>
      <c r="L3437" s="14" t="n"/>
      <c r="M3437" s="12" t="n"/>
      <c r="N3437" s="12" t="n"/>
      <c r="O3437" s="12" t="n"/>
    </row>
    <row r="3438">
      <c r="A3438" s="12" t="n"/>
      <c r="B3438" s="13">
        <f>IF($A3438="","",IFERROR(INDEX(Emp_Names,MATCH($A3438,Emp_Codes,0)),"NOT FOUND"))</f>
        <v/>
      </c>
      <c r="C3438" s="14" t="n"/>
      <c r="D3438" s="15" t="n"/>
      <c r="E3438" s="15" t="n"/>
      <c r="F3438" s="15" t="n"/>
      <c r="G3438" s="15" t="n"/>
      <c r="H3438" s="16">
        <f>IF($A3438="","",$D3438+IF($E3438="",0,$E3438)+IF($F3438="",0,$F3438)-IF($G3438="",0,$G3438))</f>
        <v/>
      </c>
      <c r="I3438" s="12" t="n"/>
      <c r="J3438" s="12" t="n"/>
      <c r="K3438" s="12" t="n"/>
      <c r="L3438" s="14" t="n"/>
      <c r="M3438" s="12" t="n"/>
      <c r="N3438" s="12" t="n"/>
      <c r="O3438" s="12" t="n"/>
    </row>
    <row r="3439">
      <c r="A3439" s="12" t="n"/>
      <c r="B3439" s="13">
        <f>IF($A3439="","",IFERROR(INDEX(Emp_Names,MATCH($A3439,Emp_Codes,0)),"NOT FOUND"))</f>
        <v/>
      </c>
      <c r="C3439" s="14" t="n"/>
      <c r="D3439" s="15" t="n"/>
      <c r="E3439" s="15" t="n"/>
      <c r="F3439" s="15" t="n"/>
      <c r="G3439" s="15" t="n"/>
      <c r="H3439" s="16">
        <f>IF($A3439="","",$D3439+IF($E3439="",0,$E3439)+IF($F3439="",0,$F3439)-IF($G3439="",0,$G3439))</f>
        <v/>
      </c>
      <c r="I3439" s="12" t="n"/>
      <c r="J3439" s="12" t="n"/>
      <c r="K3439" s="12" t="n"/>
      <c r="L3439" s="14" t="n"/>
      <c r="M3439" s="12" t="n"/>
      <c r="N3439" s="12" t="n"/>
      <c r="O3439" s="12" t="n"/>
    </row>
    <row r="3440">
      <c r="A3440" s="12" t="n"/>
      <c r="B3440" s="13">
        <f>IF($A3440="","",IFERROR(INDEX(Emp_Names,MATCH($A3440,Emp_Codes,0)),"NOT FOUND"))</f>
        <v/>
      </c>
      <c r="C3440" s="14" t="n"/>
      <c r="D3440" s="15" t="n"/>
      <c r="E3440" s="15" t="n"/>
      <c r="F3440" s="15" t="n"/>
      <c r="G3440" s="15" t="n"/>
      <c r="H3440" s="16">
        <f>IF($A3440="","",$D3440+IF($E3440="",0,$E3440)+IF($F3440="",0,$F3440)-IF($G3440="",0,$G3440))</f>
        <v/>
      </c>
      <c r="I3440" s="12" t="n"/>
      <c r="J3440" s="12" t="n"/>
      <c r="K3440" s="12" t="n"/>
      <c r="L3440" s="14" t="n"/>
      <c r="M3440" s="12" t="n"/>
      <c r="N3440" s="12" t="n"/>
      <c r="O3440" s="12" t="n"/>
    </row>
    <row r="3441">
      <c r="A3441" s="12" t="n"/>
      <c r="B3441" s="13">
        <f>IF($A3441="","",IFERROR(INDEX(Emp_Names,MATCH($A3441,Emp_Codes,0)),"NOT FOUND"))</f>
        <v/>
      </c>
      <c r="C3441" s="14" t="n"/>
      <c r="D3441" s="15" t="n"/>
      <c r="E3441" s="15" t="n"/>
      <c r="F3441" s="15" t="n"/>
      <c r="G3441" s="15" t="n"/>
      <c r="H3441" s="16">
        <f>IF($A3441="","",$D3441+IF($E3441="",0,$E3441)+IF($F3441="",0,$F3441)-IF($G3441="",0,$G3441))</f>
        <v/>
      </c>
      <c r="I3441" s="12" t="n"/>
      <c r="J3441" s="12" t="n"/>
      <c r="K3441" s="12" t="n"/>
      <c r="L3441" s="14" t="n"/>
      <c r="M3441" s="12" t="n"/>
      <c r="N3441" s="12" t="n"/>
      <c r="O3441" s="12" t="n"/>
    </row>
    <row r="3442">
      <c r="A3442" s="12" t="n"/>
      <c r="B3442" s="13">
        <f>IF($A3442="","",IFERROR(INDEX(Emp_Names,MATCH($A3442,Emp_Codes,0)),"NOT FOUND"))</f>
        <v/>
      </c>
      <c r="C3442" s="14" t="n"/>
      <c r="D3442" s="15" t="n"/>
      <c r="E3442" s="15" t="n"/>
      <c r="F3442" s="15" t="n"/>
      <c r="G3442" s="15" t="n"/>
      <c r="H3442" s="16">
        <f>IF($A3442="","",$D3442+IF($E3442="",0,$E3442)+IF($F3442="",0,$F3442)-IF($G3442="",0,$G3442))</f>
        <v/>
      </c>
      <c r="I3442" s="12" t="n"/>
      <c r="J3442" s="12" t="n"/>
      <c r="K3442" s="12" t="n"/>
      <c r="L3442" s="14" t="n"/>
      <c r="M3442" s="12" t="n"/>
      <c r="N3442" s="12" t="n"/>
      <c r="O3442" s="12" t="n"/>
    </row>
    <row r="3443">
      <c r="A3443" s="12" t="n"/>
      <c r="B3443" s="13">
        <f>IF($A3443="","",IFERROR(INDEX(Emp_Names,MATCH($A3443,Emp_Codes,0)),"NOT FOUND"))</f>
        <v/>
      </c>
      <c r="C3443" s="14" t="n"/>
      <c r="D3443" s="15" t="n"/>
      <c r="E3443" s="15" t="n"/>
      <c r="F3443" s="15" t="n"/>
      <c r="G3443" s="15" t="n"/>
      <c r="H3443" s="16">
        <f>IF($A3443="","",$D3443+IF($E3443="",0,$E3443)+IF($F3443="",0,$F3443)-IF($G3443="",0,$G3443))</f>
        <v/>
      </c>
      <c r="I3443" s="12" t="n"/>
      <c r="J3443" s="12" t="n"/>
      <c r="K3443" s="12" t="n"/>
      <c r="L3443" s="14" t="n"/>
      <c r="M3443" s="12" t="n"/>
      <c r="N3443" s="12" t="n"/>
      <c r="O3443" s="12" t="n"/>
    </row>
    <row r="3444">
      <c r="A3444" s="12" t="n"/>
      <c r="B3444" s="13">
        <f>IF($A3444="","",IFERROR(INDEX(Emp_Names,MATCH($A3444,Emp_Codes,0)),"NOT FOUND"))</f>
        <v/>
      </c>
      <c r="C3444" s="14" t="n"/>
      <c r="D3444" s="15" t="n"/>
      <c r="E3444" s="15" t="n"/>
      <c r="F3444" s="15" t="n"/>
      <c r="G3444" s="15" t="n"/>
      <c r="H3444" s="16">
        <f>IF($A3444="","",$D3444+IF($E3444="",0,$E3444)+IF($F3444="",0,$F3444)-IF($G3444="",0,$G3444))</f>
        <v/>
      </c>
      <c r="I3444" s="12" t="n"/>
      <c r="J3444" s="12" t="n"/>
      <c r="K3444" s="12" t="n"/>
      <c r="L3444" s="14" t="n"/>
      <c r="M3444" s="12" t="n"/>
      <c r="N3444" s="12" t="n"/>
      <c r="O3444" s="12" t="n"/>
    </row>
    <row r="3445">
      <c r="A3445" s="12" t="n"/>
      <c r="B3445" s="13">
        <f>IF($A3445="","",IFERROR(INDEX(Emp_Names,MATCH($A3445,Emp_Codes,0)),"NOT FOUND"))</f>
        <v/>
      </c>
      <c r="C3445" s="14" t="n"/>
      <c r="D3445" s="15" t="n"/>
      <c r="E3445" s="15" t="n"/>
      <c r="F3445" s="15" t="n"/>
      <c r="G3445" s="15" t="n"/>
      <c r="H3445" s="16">
        <f>IF($A3445="","",$D3445+IF($E3445="",0,$E3445)+IF($F3445="",0,$F3445)-IF($G3445="",0,$G3445))</f>
        <v/>
      </c>
      <c r="I3445" s="12" t="n"/>
      <c r="J3445" s="12" t="n"/>
      <c r="K3445" s="12" t="n"/>
      <c r="L3445" s="14" t="n"/>
      <c r="M3445" s="12" t="n"/>
      <c r="N3445" s="12" t="n"/>
      <c r="O3445" s="12" t="n"/>
    </row>
    <row r="3446">
      <c r="A3446" s="12" t="n"/>
      <c r="B3446" s="13">
        <f>IF($A3446="","",IFERROR(INDEX(Emp_Names,MATCH($A3446,Emp_Codes,0)),"NOT FOUND"))</f>
        <v/>
      </c>
      <c r="C3446" s="14" t="n"/>
      <c r="D3446" s="15" t="n"/>
      <c r="E3446" s="15" t="n"/>
      <c r="F3446" s="15" t="n"/>
      <c r="G3446" s="15" t="n"/>
      <c r="H3446" s="16">
        <f>IF($A3446="","",$D3446+IF($E3446="",0,$E3446)+IF($F3446="",0,$F3446)-IF($G3446="",0,$G3446))</f>
        <v/>
      </c>
      <c r="I3446" s="12" t="n"/>
      <c r="J3446" s="12" t="n"/>
      <c r="K3446" s="12" t="n"/>
      <c r="L3446" s="14" t="n"/>
      <c r="M3446" s="12" t="n"/>
      <c r="N3446" s="12" t="n"/>
      <c r="O3446" s="12" t="n"/>
    </row>
    <row r="3447">
      <c r="A3447" s="12" t="n"/>
      <c r="B3447" s="13">
        <f>IF($A3447="","",IFERROR(INDEX(Emp_Names,MATCH($A3447,Emp_Codes,0)),"NOT FOUND"))</f>
        <v/>
      </c>
      <c r="C3447" s="14" t="n"/>
      <c r="D3447" s="15" t="n"/>
      <c r="E3447" s="15" t="n"/>
      <c r="F3447" s="15" t="n"/>
      <c r="G3447" s="15" t="n"/>
      <c r="H3447" s="16">
        <f>IF($A3447="","",$D3447+IF($E3447="",0,$E3447)+IF($F3447="",0,$F3447)-IF($G3447="",0,$G3447))</f>
        <v/>
      </c>
      <c r="I3447" s="12" t="n"/>
      <c r="J3447" s="12" t="n"/>
      <c r="K3447" s="12" t="n"/>
      <c r="L3447" s="14" t="n"/>
      <c r="M3447" s="12" t="n"/>
      <c r="N3447" s="12" t="n"/>
      <c r="O3447" s="12" t="n"/>
    </row>
    <row r="3448">
      <c r="A3448" s="12" t="n"/>
      <c r="B3448" s="13">
        <f>IF($A3448="","",IFERROR(INDEX(Emp_Names,MATCH($A3448,Emp_Codes,0)),"NOT FOUND"))</f>
        <v/>
      </c>
      <c r="C3448" s="14" t="n"/>
      <c r="D3448" s="15" t="n"/>
      <c r="E3448" s="15" t="n"/>
      <c r="F3448" s="15" t="n"/>
      <c r="G3448" s="15" t="n"/>
      <c r="H3448" s="16">
        <f>IF($A3448="","",$D3448+IF($E3448="",0,$E3448)+IF($F3448="",0,$F3448)-IF($G3448="",0,$G3448))</f>
        <v/>
      </c>
      <c r="I3448" s="12" t="n"/>
      <c r="J3448" s="12" t="n"/>
      <c r="K3448" s="12" t="n"/>
      <c r="L3448" s="14" t="n"/>
      <c r="M3448" s="12" t="n"/>
      <c r="N3448" s="12" t="n"/>
      <c r="O3448" s="12" t="n"/>
    </row>
    <row r="3449">
      <c r="A3449" s="12" t="n"/>
      <c r="B3449" s="13">
        <f>IF($A3449="","",IFERROR(INDEX(Emp_Names,MATCH($A3449,Emp_Codes,0)),"NOT FOUND"))</f>
        <v/>
      </c>
      <c r="C3449" s="14" t="n"/>
      <c r="D3449" s="15" t="n"/>
      <c r="E3449" s="15" t="n"/>
      <c r="F3449" s="15" t="n"/>
      <c r="G3449" s="15" t="n"/>
      <c r="H3449" s="16">
        <f>IF($A3449="","",$D3449+IF($E3449="",0,$E3449)+IF($F3449="",0,$F3449)-IF($G3449="",0,$G3449))</f>
        <v/>
      </c>
      <c r="I3449" s="12" t="n"/>
      <c r="J3449" s="12" t="n"/>
      <c r="K3449" s="12" t="n"/>
      <c r="L3449" s="14" t="n"/>
      <c r="M3449" s="12" t="n"/>
      <c r="N3449" s="12" t="n"/>
      <c r="O3449" s="12" t="n"/>
    </row>
    <row r="3450">
      <c r="A3450" s="12" t="n"/>
      <c r="B3450" s="13">
        <f>IF($A3450="","",IFERROR(INDEX(Emp_Names,MATCH($A3450,Emp_Codes,0)),"NOT FOUND"))</f>
        <v/>
      </c>
      <c r="C3450" s="14" t="n"/>
      <c r="D3450" s="15" t="n"/>
      <c r="E3450" s="15" t="n"/>
      <c r="F3450" s="15" t="n"/>
      <c r="G3450" s="15" t="n"/>
      <c r="H3450" s="16">
        <f>IF($A3450="","",$D3450+IF($E3450="",0,$E3450)+IF($F3450="",0,$F3450)-IF($G3450="",0,$G3450))</f>
        <v/>
      </c>
      <c r="I3450" s="12" t="n"/>
      <c r="J3450" s="12" t="n"/>
      <c r="K3450" s="12" t="n"/>
      <c r="L3450" s="14" t="n"/>
      <c r="M3450" s="12" t="n"/>
      <c r="N3450" s="12" t="n"/>
      <c r="O3450" s="12" t="n"/>
    </row>
    <row r="3451">
      <c r="A3451" s="12" t="n"/>
      <c r="B3451" s="13">
        <f>IF($A3451="","",IFERROR(INDEX(Emp_Names,MATCH($A3451,Emp_Codes,0)),"NOT FOUND"))</f>
        <v/>
      </c>
      <c r="C3451" s="14" t="n"/>
      <c r="D3451" s="15" t="n"/>
      <c r="E3451" s="15" t="n"/>
      <c r="F3451" s="15" t="n"/>
      <c r="G3451" s="15" t="n"/>
      <c r="H3451" s="16">
        <f>IF($A3451="","",$D3451+IF($E3451="",0,$E3451)+IF($F3451="",0,$F3451)-IF($G3451="",0,$G3451))</f>
        <v/>
      </c>
      <c r="I3451" s="12" t="n"/>
      <c r="J3451" s="12" t="n"/>
      <c r="K3451" s="12" t="n"/>
      <c r="L3451" s="14" t="n"/>
      <c r="M3451" s="12" t="n"/>
      <c r="N3451" s="12" t="n"/>
      <c r="O3451" s="12" t="n"/>
    </row>
    <row r="3452">
      <c r="A3452" s="12" t="n"/>
      <c r="B3452" s="13">
        <f>IF($A3452="","",IFERROR(INDEX(Emp_Names,MATCH($A3452,Emp_Codes,0)),"NOT FOUND"))</f>
        <v/>
      </c>
      <c r="C3452" s="14" t="n"/>
      <c r="D3452" s="15" t="n"/>
      <c r="E3452" s="15" t="n"/>
      <c r="F3452" s="15" t="n"/>
      <c r="G3452" s="15" t="n"/>
      <c r="H3452" s="16">
        <f>IF($A3452="","",$D3452+IF($E3452="",0,$E3452)+IF($F3452="",0,$F3452)-IF($G3452="",0,$G3452))</f>
        <v/>
      </c>
      <c r="I3452" s="12" t="n"/>
      <c r="J3452" s="12" t="n"/>
      <c r="K3452" s="12" t="n"/>
      <c r="L3452" s="14" t="n"/>
      <c r="M3452" s="12" t="n"/>
      <c r="N3452" s="12" t="n"/>
      <c r="O3452" s="12" t="n"/>
    </row>
    <row r="3453">
      <c r="A3453" s="12" t="n"/>
      <c r="B3453" s="13">
        <f>IF($A3453="","",IFERROR(INDEX(Emp_Names,MATCH($A3453,Emp_Codes,0)),"NOT FOUND"))</f>
        <v/>
      </c>
      <c r="C3453" s="14" t="n"/>
      <c r="D3453" s="15" t="n"/>
      <c r="E3453" s="15" t="n"/>
      <c r="F3453" s="15" t="n"/>
      <c r="G3453" s="15" t="n"/>
      <c r="H3453" s="16">
        <f>IF($A3453="","",$D3453+IF($E3453="",0,$E3453)+IF($F3453="",0,$F3453)-IF($G3453="",0,$G3453))</f>
        <v/>
      </c>
      <c r="I3453" s="12" t="n"/>
      <c r="J3453" s="12" t="n"/>
      <c r="K3453" s="12" t="n"/>
      <c r="L3453" s="14" t="n"/>
      <c r="M3453" s="12" t="n"/>
      <c r="N3453" s="12" t="n"/>
      <c r="O3453" s="12" t="n"/>
    </row>
    <row r="3454">
      <c r="A3454" s="12" t="n"/>
      <c r="B3454" s="13">
        <f>IF($A3454="","",IFERROR(INDEX(Emp_Names,MATCH($A3454,Emp_Codes,0)),"NOT FOUND"))</f>
        <v/>
      </c>
      <c r="C3454" s="14" t="n"/>
      <c r="D3454" s="15" t="n"/>
      <c r="E3454" s="15" t="n"/>
      <c r="F3454" s="15" t="n"/>
      <c r="G3454" s="15" t="n"/>
      <c r="H3454" s="16">
        <f>IF($A3454="","",$D3454+IF($E3454="",0,$E3454)+IF($F3454="",0,$F3454)-IF($G3454="",0,$G3454))</f>
        <v/>
      </c>
      <c r="I3454" s="12" t="n"/>
      <c r="J3454" s="12" t="n"/>
      <c r="K3454" s="12" t="n"/>
      <c r="L3454" s="14" t="n"/>
      <c r="M3454" s="12" t="n"/>
      <c r="N3454" s="12" t="n"/>
      <c r="O3454" s="12" t="n"/>
    </row>
    <row r="3455">
      <c r="A3455" s="12" t="n"/>
      <c r="B3455" s="13">
        <f>IF($A3455="","",IFERROR(INDEX(Emp_Names,MATCH($A3455,Emp_Codes,0)),"NOT FOUND"))</f>
        <v/>
      </c>
      <c r="C3455" s="14" t="n"/>
      <c r="D3455" s="15" t="n"/>
      <c r="E3455" s="15" t="n"/>
      <c r="F3455" s="15" t="n"/>
      <c r="G3455" s="15" t="n"/>
      <c r="H3455" s="16">
        <f>IF($A3455="","",$D3455+IF($E3455="",0,$E3455)+IF($F3455="",0,$F3455)-IF($G3455="",0,$G3455))</f>
        <v/>
      </c>
      <c r="I3455" s="12" t="n"/>
      <c r="J3455" s="12" t="n"/>
      <c r="K3455" s="12" t="n"/>
      <c r="L3455" s="14" t="n"/>
      <c r="M3455" s="12" t="n"/>
      <c r="N3455" s="12" t="n"/>
      <c r="O3455" s="12" t="n"/>
    </row>
    <row r="3456">
      <c r="A3456" s="12" t="n"/>
      <c r="B3456" s="13">
        <f>IF($A3456="","",IFERROR(INDEX(Emp_Names,MATCH($A3456,Emp_Codes,0)),"NOT FOUND"))</f>
        <v/>
      </c>
      <c r="C3456" s="14" t="n"/>
      <c r="D3456" s="15" t="n"/>
      <c r="E3456" s="15" t="n"/>
      <c r="F3456" s="15" t="n"/>
      <c r="G3456" s="15" t="n"/>
      <c r="H3456" s="16">
        <f>IF($A3456="","",$D3456+IF($E3456="",0,$E3456)+IF($F3456="",0,$F3456)-IF($G3456="",0,$G3456))</f>
        <v/>
      </c>
      <c r="I3456" s="12" t="n"/>
      <c r="J3456" s="12" t="n"/>
      <c r="K3456" s="12" t="n"/>
      <c r="L3456" s="14" t="n"/>
      <c r="M3456" s="12" t="n"/>
      <c r="N3456" s="12" t="n"/>
      <c r="O3456" s="12" t="n"/>
    </row>
    <row r="3457">
      <c r="A3457" s="12" t="n"/>
      <c r="B3457" s="13">
        <f>IF($A3457="","",IFERROR(INDEX(Emp_Names,MATCH($A3457,Emp_Codes,0)),"NOT FOUND"))</f>
        <v/>
      </c>
      <c r="C3457" s="14" t="n"/>
      <c r="D3457" s="15" t="n"/>
      <c r="E3457" s="15" t="n"/>
      <c r="F3457" s="15" t="n"/>
      <c r="G3457" s="15" t="n"/>
      <c r="H3457" s="16">
        <f>IF($A3457="","",$D3457+IF($E3457="",0,$E3457)+IF($F3457="",0,$F3457)-IF($G3457="",0,$G3457))</f>
        <v/>
      </c>
      <c r="I3457" s="12" t="n"/>
      <c r="J3457" s="12" t="n"/>
      <c r="K3457" s="12" t="n"/>
      <c r="L3457" s="14" t="n"/>
      <c r="M3457" s="12" t="n"/>
      <c r="N3457" s="12" t="n"/>
      <c r="O3457" s="12" t="n"/>
    </row>
    <row r="3458">
      <c r="A3458" s="12" t="n"/>
      <c r="B3458" s="13">
        <f>IF($A3458="","",IFERROR(INDEX(Emp_Names,MATCH($A3458,Emp_Codes,0)),"NOT FOUND"))</f>
        <v/>
      </c>
      <c r="C3458" s="14" t="n"/>
      <c r="D3458" s="15" t="n"/>
      <c r="E3458" s="15" t="n"/>
      <c r="F3458" s="15" t="n"/>
      <c r="G3458" s="15" t="n"/>
      <c r="H3458" s="16">
        <f>IF($A3458="","",$D3458+IF($E3458="",0,$E3458)+IF($F3458="",0,$F3458)-IF($G3458="",0,$G3458))</f>
        <v/>
      </c>
      <c r="I3458" s="12" t="n"/>
      <c r="J3458" s="12" t="n"/>
      <c r="K3458" s="12" t="n"/>
      <c r="L3458" s="14" t="n"/>
      <c r="M3458" s="12" t="n"/>
      <c r="N3458" s="12" t="n"/>
      <c r="O3458" s="12" t="n"/>
    </row>
    <row r="3459">
      <c r="A3459" s="12" t="n"/>
      <c r="B3459" s="13">
        <f>IF($A3459="","",IFERROR(INDEX(Emp_Names,MATCH($A3459,Emp_Codes,0)),"NOT FOUND"))</f>
        <v/>
      </c>
      <c r="C3459" s="14" t="n"/>
      <c r="D3459" s="15" t="n"/>
      <c r="E3459" s="15" t="n"/>
      <c r="F3459" s="15" t="n"/>
      <c r="G3459" s="15" t="n"/>
      <c r="H3459" s="16">
        <f>IF($A3459="","",$D3459+IF($E3459="",0,$E3459)+IF($F3459="",0,$F3459)-IF($G3459="",0,$G3459))</f>
        <v/>
      </c>
      <c r="I3459" s="12" t="n"/>
      <c r="J3459" s="12" t="n"/>
      <c r="K3459" s="12" t="n"/>
      <c r="L3459" s="14" t="n"/>
      <c r="M3459" s="12" t="n"/>
      <c r="N3459" s="12" t="n"/>
      <c r="O3459" s="12" t="n"/>
    </row>
    <row r="3460">
      <c r="A3460" s="12" t="n"/>
      <c r="B3460" s="13">
        <f>IF($A3460="","",IFERROR(INDEX(Emp_Names,MATCH($A3460,Emp_Codes,0)),"NOT FOUND"))</f>
        <v/>
      </c>
      <c r="C3460" s="14" t="n"/>
      <c r="D3460" s="15" t="n"/>
      <c r="E3460" s="15" t="n"/>
      <c r="F3460" s="15" t="n"/>
      <c r="G3460" s="15" t="n"/>
      <c r="H3460" s="16">
        <f>IF($A3460="","",$D3460+IF($E3460="",0,$E3460)+IF($F3460="",0,$F3460)-IF($G3460="",0,$G3460))</f>
        <v/>
      </c>
      <c r="I3460" s="12" t="n"/>
      <c r="J3460" s="12" t="n"/>
      <c r="K3460" s="12" t="n"/>
      <c r="L3460" s="14" t="n"/>
      <c r="M3460" s="12" t="n"/>
      <c r="N3460" s="12" t="n"/>
      <c r="O3460" s="12" t="n"/>
    </row>
    <row r="3461">
      <c r="A3461" s="12" t="n"/>
      <c r="B3461" s="13">
        <f>IF($A3461="","",IFERROR(INDEX(Emp_Names,MATCH($A3461,Emp_Codes,0)),"NOT FOUND"))</f>
        <v/>
      </c>
      <c r="C3461" s="14" t="n"/>
      <c r="D3461" s="15" t="n"/>
      <c r="E3461" s="15" t="n"/>
      <c r="F3461" s="15" t="n"/>
      <c r="G3461" s="15" t="n"/>
      <c r="H3461" s="16">
        <f>IF($A3461="","",$D3461+IF($E3461="",0,$E3461)+IF($F3461="",0,$F3461)-IF($G3461="",0,$G3461))</f>
        <v/>
      </c>
      <c r="I3461" s="12" t="n"/>
      <c r="J3461" s="12" t="n"/>
      <c r="K3461" s="12" t="n"/>
      <c r="L3461" s="14" t="n"/>
      <c r="M3461" s="12" t="n"/>
      <c r="N3461" s="12" t="n"/>
      <c r="O3461" s="12" t="n"/>
    </row>
    <row r="3462">
      <c r="A3462" s="12" t="n"/>
      <c r="B3462" s="13">
        <f>IF($A3462="","",IFERROR(INDEX(Emp_Names,MATCH($A3462,Emp_Codes,0)),"NOT FOUND"))</f>
        <v/>
      </c>
      <c r="C3462" s="14" t="n"/>
      <c r="D3462" s="15" t="n"/>
      <c r="E3462" s="15" t="n"/>
      <c r="F3462" s="15" t="n"/>
      <c r="G3462" s="15" t="n"/>
      <c r="H3462" s="16">
        <f>IF($A3462="","",$D3462+IF($E3462="",0,$E3462)+IF($F3462="",0,$F3462)-IF($G3462="",0,$G3462))</f>
        <v/>
      </c>
      <c r="I3462" s="12" t="n"/>
      <c r="J3462" s="12" t="n"/>
      <c r="K3462" s="12" t="n"/>
      <c r="L3462" s="14" t="n"/>
      <c r="M3462" s="12" t="n"/>
      <c r="N3462" s="12" t="n"/>
      <c r="O3462" s="12" t="n"/>
    </row>
    <row r="3463">
      <c r="A3463" s="12" t="n"/>
      <c r="B3463" s="13">
        <f>IF($A3463="","",IFERROR(INDEX(Emp_Names,MATCH($A3463,Emp_Codes,0)),"NOT FOUND"))</f>
        <v/>
      </c>
      <c r="C3463" s="14" t="n"/>
      <c r="D3463" s="15" t="n"/>
      <c r="E3463" s="15" t="n"/>
      <c r="F3463" s="15" t="n"/>
      <c r="G3463" s="15" t="n"/>
      <c r="H3463" s="16">
        <f>IF($A3463="","",$D3463+IF($E3463="",0,$E3463)+IF($F3463="",0,$F3463)-IF($G3463="",0,$G3463))</f>
        <v/>
      </c>
      <c r="I3463" s="12" t="n"/>
      <c r="J3463" s="12" t="n"/>
      <c r="K3463" s="12" t="n"/>
      <c r="L3463" s="14" t="n"/>
      <c r="M3463" s="12" t="n"/>
      <c r="N3463" s="12" t="n"/>
      <c r="O3463" s="12" t="n"/>
    </row>
    <row r="3464">
      <c r="A3464" s="12" t="n"/>
      <c r="B3464" s="13">
        <f>IF($A3464="","",IFERROR(INDEX(Emp_Names,MATCH($A3464,Emp_Codes,0)),"NOT FOUND"))</f>
        <v/>
      </c>
      <c r="C3464" s="14" t="n"/>
      <c r="D3464" s="15" t="n"/>
      <c r="E3464" s="15" t="n"/>
      <c r="F3464" s="15" t="n"/>
      <c r="G3464" s="15" t="n"/>
      <c r="H3464" s="16">
        <f>IF($A3464="","",$D3464+IF($E3464="",0,$E3464)+IF($F3464="",0,$F3464)-IF($G3464="",0,$G3464))</f>
        <v/>
      </c>
      <c r="I3464" s="12" t="n"/>
      <c r="J3464" s="12" t="n"/>
      <c r="K3464" s="12" t="n"/>
      <c r="L3464" s="14" t="n"/>
      <c r="M3464" s="12" t="n"/>
      <c r="N3464" s="12" t="n"/>
      <c r="O3464" s="12" t="n"/>
    </row>
    <row r="3465">
      <c r="A3465" s="12" t="n"/>
      <c r="B3465" s="13">
        <f>IF($A3465="","",IFERROR(INDEX(Emp_Names,MATCH($A3465,Emp_Codes,0)),"NOT FOUND"))</f>
        <v/>
      </c>
      <c r="C3465" s="14" t="n"/>
      <c r="D3465" s="15" t="n"/>
      <c r="E3465" s="15" t="n"/>
      <c r="F3465" s="15" t="n"/>
      <c r="G3465" s="15" t="n"/>
      <c r="H3465" s="16">
        <f>IF($A3465="","",$D3465+IF($E3465="",0,$E3465)+IF($F3465="",0,$F3465)-IF($G3465="",0,$G3465))</f>
        <v/>
      </c>
      <c r="I3465" s="12" t="n"/>
      <c r="J3465" s="12" t="n"/>
      <c r="K3465" s="12" t="n"/>
      <c r="L3465" s="14" t="n"/>
      <c r="M3465" s="12" t="n"/>
      <c r="N3465" s="12" t="n"/>
      <c r="O3465" s="12" t="n"/>
    </row>
    <row r="3466">
      <c r="A3466" s="12" t="n"/>
      <c r="B3466" s="13">
        <f>IF($A3466="","",IFERROR(INDEX(Emp_Names,MATCH($A3466,Emp_Codes,0)),"NOT FOUND"))</f>
        <v/>
      </c>
      <c r="C3466" s="14" t="n"/>
      <c r="D3466" s="15" t="n"/>
      <c r="E3466" s="15" t="n"/>
      <c r="F3466" s="15" t="n"/>
      <c r="G3466" s="15" t="n"/>
      <c r="H3466" s="16">
        <f>IF($A3466="","",$D3466+IF($E3466="",0,$E3466)+IF($F3466="",0,$F3466)-IF($G3466="",0,$G3466))</f>
        <v/>
      </c>
      <c r="I3466" s="12" t="n"/>
      <c r="J3466" s="12" t="n"/>
      <c r="K3466" s="12" t="n"/>
      <c r="L3466" s="14" t="n"/>
      <c r="M3466" s="12" t="n"/>
      <c r="N3466" s="12" t="n"/>
      <c r="O3466" s="12" t="n"/>
    </row>
    <row r="3467">
      <c r="A3467" s="12" t="n"/>
      <c r="B3467" s="13">
        <f>IF($A3467="","",IFERROR(INDEX(Emp_Names,MATCH($A3467,Emp_Codes,0)),"NOT FOUND"))</f>
        <v/>
      </c>
      <c r="C3467" s="14" t="n"/>
      <c r="D3467" s="15" t="n"/>
      <c r="E3467" s="15" t="n"/>
      <c r="F3467" s="15" t="n"/>
      <c r="G3467" s="15" t="n"/>
      <c r="H3467" s="16">
        <f>IF($A3467="","",$D3467+IF($E3467="",0,$E3467)+IF($F3467="",0,$F3467)-IF($G3467="",0,$G3467))</f>
        <v/>
      </c>
      <c r="I3467" s="12" t="n"/>
      <c r="J3467" s="12" t="n"/>
      <c r="K3467" s="12" t="n"/>
      <c r="L3467" s="14" t="n"/>
      <c r="M3467" s="12" t="n"/>
      <c r="N3467" s="12" t="n"/>
      <c r="O3467" s="12" t="n"/>
    </row>
    <row r="3468">
      <c r="A3468" s="12" t="n"/>
      <c r="B3468" s="13">
        <f>IF($A3468="","",IFERROR(INDEX(Emp_Names,MATCH($A3468,Emp_Codes,0)),"NOT FOUND"))</f>
        <v/>
      </c>
      <c r="C3468" s="14" t="n"/>
      <c r="D3468" s="15" t="n"/>
      <c r="E3468" s="15" t="n"/>
      <c r="F3468" s="15" t="n"/>
      <c r="G3468" s="15" t="n"/>
      <c r="H3468" s="16">
        <f>IF($A3468="","",$D3468+IF($E3468="",0,$E3468)+IF($F3468="",0,$F3468)-IF($G3468="",0,$G3468))</f>
        <v/>
      </c>
      <c r="I3468" s="12" t="n"/>
      <c r="J3468" s="12" t="n"/>
      <c r="K3468" s="12" t="n"/>
      <c r="L3468" s="14" t="n"/>
      <c r="M3468" s="12" t="n"/>
      <c r="N3468" s="12" t="n"/>
      <c r="O3468" s="12" t="n"/>
    </row>
    <row r="3469">
      <c r="A3469" s="12" t="n"/>
      <c r="B3469" s="13">
        <f>IF($A3469="","",IFERROR(INDEX(Emp_Names,MATCH($A3469,Emp_Codes,0)),"NOT FOUND"))</f>
        <v/>
      </c>
      <c r="C3469" s="14" t="n"/>
      <c r="D3469" s="15" t="n"/>
      <c r="E3469" s="15" t="n"/>
      <c r="F3469" s="15" t="n"/>
      <c r="G3469" s="15" t="n"/>
      <c r="H3469" s="16">
        <f>IF($A3469="","",$D3469+IF($E3469="",0,$E3469)+IF($F3469="",0,$F3469)-IF($G3469="",0,$G3469))</f>
        <v/>
      </c>
      <c r="I3469" s="12" t="n"/>
      <c r="J3469" s="12" t="n"/>
      <c r="K3469" s="12" t="n"/>
      <c r="L3469" s="14" t="n"/>
      <c r="M3469" s="12" t="n"/>
      <c r="N3469" s="12" t="n"/>
      <c r="O3469" s="12" t="n"/>
    </row>
    <row r="3470">
      <c r="A3470" s="12" t="n"/>
      <c r="B3470" s="13">
        <f>IF($A3470="","",IFERROR(INDEX(Emp_Names,MATCH($A3470,Emp_Codes,0)),"NOT FOUND"))</f>
        <v/>
      </c>
      <c r="C3470" s="14" t="n"/>
      <c r="D3470" s="15" t="n"/>
      <c r="E3470" s="15" t="n"/>
      <c r="F3470" s="15" t="n"/>
      <c r="G3470" s="15" t="n"/>
      <c r="H3470" s="16">
        <f>IF($A3470="","",$D3470+IF($E3470="",0,$E3470)+IF($F3470="",0,$F3470)-IF($G3470="",0,$G3470))</f>
        <v/>
      </c>
      <c r="I3470" s="12" t="n"/>
      <c r="J3470" s="12" t="n"/>
      <c r="K3470" s="12" t="n"/>
      <c r="L3470" s="14" t="n"/>
      <c r="M3470" s="12" t="n"/>
      <c r="N3470" s="12" t="n"/>
      <c r="O3470" s="12" t="n"/>
    </row>
    <row r="3471">
      <c r="A3471" s="12" t="n"/>
      <c r="B3471" s="13">
        <f>IF($A3471="","",IFERROR(INDEX(Emp_Names,MATCH($A3471,Emp_Codes,0)),"NOT FOUND"))</f>
        <v/>
      </c>
      <c r="C3471" s="14" t="n"/>
      <c r="D3471" s="15" t="n"/>
      <c r="E3471" s="15" t="n"/>
      <c r="F3471" s="15" t="n"/>
      <c r="G3471" s="15" t="n"/>
      <c r="H3471" s="16">
        <f>IF($A3471="","",$D3471+IF($E3471="",0,$E3471)+IF($F3471="",0,$F3471)-IF($G3471="",0,$G3471))</f>
        <v/>
      </c>
      <c r="I3471" s="12" t="n"/>
      <c r="J3471" s="12" t="n"/>
      <c r="K3471" s="12" t="n"/>
      <c r="L3471" s="14" t="n"/>
      <c r="M3471" s="12" t="n"/>
      <c r="N3471" s="12" t="n"/>
      <c r="O3471" s="12" t="n"/>
    </row>
    <row r="3472">
      <c r="A3472" s="12" t="n"/>
      <c r="B3472" s="13">
        <f>IF($A3472="","",IFERROR(INDEX(Emp_Names,MATCH($A3472,Emp_Codes,0)),"NOT FOUND"))</f>
        <v/>
      </c>
      <c r="C3472" s="14" t="n"/>
      <c r="D3472" s="15" t="n"/>
      <c r="E3472" s="15" t="n"/>
      <c r="F3472" s="15" t="n"/>
      <c r="G3472" s="15" t="n"/>
      <c r="H3472" s="16">
        <f>IF($A3472="","",$D3472+IF($E3472="",0,$E3472)+IF($F3472="",0,$F3472)-IF($G3472="",0,$G3472))</f>
        <v/>
      </c>
      <c r="I3472" s="12" t="n"/>
      <c r="J3472" s="12" t="n"/>
      <c r="K3472" s="12" t="n"/>
      <c r="L3472" s="14" t="n"/>
      <c r="M3472" s="12" t="n"/>
      <c r="N3472" s="12" t="n"/>
      <c r="O3472" s="12" t="n"/>
    </row>
    <row r="3473">
      <c r="A3473" s="12" t="n"/>
      <c r="B3473" s="13">
        <f>IF($A3473="","",IFERROR(INDEX(Emp_Names,MATCH($A3473,Emp_Codes,0)),"NOT FOUND"))</f>
        <v/>
      </c>
      <c r="C3473" s="14" t="n"/>
      <c r="D3473" s="15" t="n"/>
      <c r="E3473" s="15" t="n"/>
      <c r="F3473" s="15" t="n"/>
      <c r="G3473" s="15" t="n"/>
      <c r="H3473" s="16">
        <f>IF($A3473="","",$D3473+IF($E3473="",0,$E3473)+IF($F3473="",0,$F3473)-IF($G3473="",0,$G3473))</f>
        <v/>
      </c>
      <c r="I3473" s="12" t="n"/>
      <c r="J3473" s="12" t="n"/>
      <c r="K3473" s="12" t="n"/>
      <c r="L3473" s="14" t="n"/>
      <c r="M3473" s="12" t="n"/>
      <c r="N3473" s="12" t="n"/>
      <c r="O3473" s="12" t="n"/>
    </row>
    <row r="3474">
      <c r="A3474" s="12" t="n"/>
      <c r="B3474" s="13">
        <f>IF($A3474="","",IFERROR(INDEX(Emp_Names,MATCH($A3474,Emp_Codes,0)),"NOT FOUND"))</f>
        <v/>
      </c>
      <c r="C3474" s="14" t="n"/>
      <c r="D3474" s="15" t="n"/>
      <c r="E3474" s="15" t="n"/>
      <c r="F3474" s="15" t="n"/>
      <c r="G3474" s="15" t="n"/>
      <c r="H3474" s="16">
        <f>IF($A3474="","",$D3474+IF($E3474="",0,$E3474)+IF($F3474="",0,$F3474)-IF($G3474="",0,$G3474))</f>
        <v/>
      </c>
      <c r="I3474" s="12" t="n"/>
      <c r="J3474" s="12" t="n"/>
      <c r="K3474" s="12" t="n"/>
      <c r="L3474" s="14" t="n"/>
      <c r="M3474" s="12" t="n"/>
      <c r="N3474" s="12" t="n"/>
      <c r="O3474" s="12" t="n"/>
    </row>
    <row r="3475">
      <c r="A3475" s="12" t="n"/>
      <c r="B3475" s="13">
        <f>IF($A3475="","",IFERROR(INDEX(Emp_Names,MATCH($A3475,Emp_Codes,0)),"NOT FOUND"))</f>
        <v/>
      </c>
      <c r="C3475" s="14" t="n"/>
      <c r="D3475" s="15" t="n"/>
      <c r="E3475" s="15" t="n"/>
      <c r="F3475" s="15" t="n"/>
      <c r="G3475" s="15" t="n"/>
      <c r="H3475" s="16">
        <f>IF($A3475="","",$D3475+IF($E3475="",0,$E3475)+IF($F3475="",0,$F3475)-IF($G3475="",0,$G3475))</f>
        <v/>
      </c>
      <c r="I3475" s="12" t="n"/>
      <c r="J3475" s="12" t="n"/>
      <c r="K3475" s="12" t="n"/>
      <c r="L3475" s="14" t="n"/>
      <c r="M3475" s="12" t="n"/>
      <c r="N3475" s="12" t="n"/>
      <c r="O3475" s="12" t="n"/>
    </row>
    <row r="3476">
      <c r="A3476" s="12" t="n"/>
      <c r="B3476" s="13">
        <f>IF($A3476="","",IFERROR(INDEX(Emp_Names,MATCH($A3476,Emp_Codes,0)),"NOT FOUND"))</f>
        <v/>
      </c>
      <c r="C3476" s="14" t="n"/>
      <c r="D3476" s="15" t="n"/>
      <c r="E3476" s="15" t="n"/>
      <c r="F3476" s="15" t="n"/>
      <c r="G3476" s="15" t="n"/>
      <c r="H3476" s="16">
        <f>IF($A3476="","",$D3476+IF($E3476="",0,$E3476)+IF($F3476="",0,$F3476)-IF($G3476="",0,$G3476))</f>
        <v/>
      </c>
      <c r="I3476" s="12" t="n"/>
      <c r="J3476" s="12" t="n"/>
      <c r="K3476" s="12" t="n"/>
      <c r="L3476" s="14" t="n"/>
      <c r="M3476" s="12" t="n"/>
      <c r="N3476" s="12" t="n"/>
      <c r="O3476" s="12" t="n"/>
    </row>
    <row r="3477">
      <c r="A3477" s="12" t="n"/>
      <c r="B3477" s="13">
        <f>IF($A3477="","",IFERROR(INDEX(Emp_Names,MATCH($A3477,Emp_Codes,0)),"NOT FOUND"))</f>
        <v/>
      </c>
      <c r="C3477" s="14" t="n"/>
      <c r="D3477" s="15" t="n"/>
      <c r="E3477" s="15" t="n"/>
      <c r="F3477" s="15" t="n"/>
      <c r="G3477" s="15" t="n"/>
      <c r="H3477" s="16">
        <f>IF($A3477="","",$D3477+IF($E3477="",0,$E3477)+IF($F3477="",0,$F3477)-IF($G3477="",0,$G3477))</f>
        <v/>
      </c>
      <c r="I3477" s="12" t="n"/>
      <c r="J3477" s="12" t="n"/>
      <c r="K3477" s="12" t="n"/>
      <c r="L3477" s="14" t="n"/>
      <c r="M3477" s="12" t="n"/>
      <c r="N3477" s="12" t="n"/>
      <c r="O3477" s="12" t="n"/>
    </row>
    <row r="3478">
      <c r="A3478" s="12" t="n"/>
      <c r="B3478" s="13">
        <f>IF($A3478="","",IFERROR(INDEX(Emp_Names,MATCH($A3478,Emp_Codes,0)),"NOT FOUND"))</f>
        <v/>
      </c>
      <c r="C3478" s="14" t="n"/>
      <c r="D3478" s="15" t="n"/>
      <c r="E3478" s="15" t="n"/>
      <c r="F3478" s="15" t="n"/>
      <c r="G3478" s="15" t="n"/>
      <c r="H3478" s="16">
        <f>IF($A3478="","",$D3478+IF($E3478="",0,$E3478)+IF($F3478="",0,$F3478)-IF($G3478="",0,$G3478))</f>
        <v/>
      </c>
      <c r="I3478" s="12" t="n"/>
      <c r="J3478" s="12" t="n"/>
      <c r="K3478" s="12" t="n"/>
      <c r="L3478" s="14" t="n"/>
      <c r="M3478" s="12" t="n"/>
      <c r="N3478" s="12" t="n"/>
      <c r="O3478" s="12" t="n"/>
    </row>
    <row r="3479">
      <c r="A3479" s="12" t="n"/>
      <c r="B3479" s="13">
        <f>IF($A3479="","",IFERROR(INDEX(Emp_Names,MATCH($A3479,Emp_Codes,0)),"NOT FOUND"))</f>
        <v/>
      </c>
      <c r="C3479" s="14" t="n"/>
      <c r="D3479" s="15" t="n"/>
      <c r="E3479" s="15" t="n"/>
      <c r="F3479" s="15" t="n"/>
      <c r="G3479" s="15" t="n"/>
      <c r="H3479" s="16">
        <f>IF($A3479="","",$D3479+IF($E3479="",0,$E3479)+IF($F3479="",0,$F3479)-IF($G3479="",0,$G3479))</f>
        <v/>
      </c>
      <c r="I3479" s="12" t="n"/>
      <c r="J3479" s="12" t="n"/>
      <c r="K3479" s="12" t="n"/>
      <c r="L3479" s="14" t="n"/>
      <c r="M3479" s="12" t="n"/>
      <c r="N3479" s="12" t="n"/>
      <c r="O3479" s="12" t="n"/>
    </row>
    <row r="3480">
      <c r="A3480" s="12" t="n"/>
      <c r="B3480" s="13">
        <f>IF($A3480="","",IFERROR(INDEX(Emp_Names,MATCH($A3480,Emp_Codes,0)),"NOT FOUND"))</f>
        <v/>
      </c>
      <c r="C3480" s="14" t="n"/>
      <c r="D3480" s="15" t="n"/>
      <c r="E3480" s="15" t="n"/>
      <c r="F3480" s="15" t="n"/>
      <c r="G3480" s="15" t="n"/>
      <c r="H3480" s="16">
        <f>IF($A3480="","",$D3480+IF($E3480="",0,$E3480)+IF($F3480="",0,$F3480)-IF($G3480="",0,$G3480))</f>
        <v/>
      </c>
      <c r="I3480" s="12" t="n"/>
      <c r="J3480" s="12" t="n"/>
      <c r="K3480" s="12" t="n"/>
      <c r="L3480" s="14" t="n"/>
      <c r="M3480" s="12" t="n"/>
      <c r="N3480" s="12" t="n"/>
      <c r="O3480" s="12" t="n"/>
    </row>
    <row r="3481">
      <c r="A3481" s="12" t="n"/>
      <c r="B3481" s="13">
        <f>IF($A3481="","",IFERROR(INDEX(Emp_Names,MATCH($A3481,Emp_Codes,0)),"NOT FOUND"))</f>
        <v/>
      </c>
      <c r="C3481" s="14" t="n"/>
      <c r="D3481" s="15" t="n"/>
      <c r="E3481" s="15" t="n"/>
      <c r="F3481" s="15" t="n"/>
      <c r="G3481" s="15" t="n"/>
      <c r="H3481" s="16">
        <f>IF($A3481="","",$D3481+IF($E3481="",0,$E3481)+IF($F3481="",0,$F3481)-IF($G3481="",0,$G3481))</f>
        <v/>
      </c>
      <c r="I3481" s="12" t="n"/>
      <c r="J3481" s="12" t="n"/>
      <c r="K3481" s="12" t="n"/>
      <c r="L3481" s="14" t="n"/>
      <c r="M3481" s="12" t="n"/>
      <c r="N3481" s="12" t="n"/>
      <c r="O3481" s="12" t="n"/>
    </row>
    <row r="3482">
      <c r="A3482" s="12" t="n"/>
      <c r="B3482" s="13">
        <f>IF($A3482="","",IFERROR(INDEX(Emp_Names,MATCH($A3482,Emp_Codes,0)),"NOT FOUND"))</f>
        <v/>
      </c>
      <c r="C3482" s="14" t="n"/>
      <c r="D3482" s="15" t="n"/>
      <c r="E3482" s="15" t="n"/>
      <c r="F3482" s="15" t="n"/>
      <c r="G3482" s="15" t="n"/>
      <c r="H3482" s="16">
        <f>IF($A3482="","",$D3482+IF($E3482="",0,$E3482)+IF($F3482="",0,$F3482)-IF($G3482="",0,$G3482))</f>
        <v/>
      </c>
      <c r="I3482" s="12" t="n"/>
      <c r="J3482" s="12" t="n"/>
      <c r="K3482" s="12" t="n"/>
      <c r="L3482" s="14" t="n"/>
      <c r="M3482" s="12" t="n"/>
      <c r="N3482" s="12" t="n"/>
      <c r="O3482" s="12" t="n"/>
    </row>
    <row r="3483">
      <c r="A3483" s="12" t="n"/>
      <c r="B3483" s="13">
        <f>IF($A3483="","",IFERROR(INDEX(Emp_Names,MATCH($A3483,Emp_Codes,0)),"NOT FOUND"))</f>
        <v/>
      </c>
      <c r="C3483" s="14" t="n"/>
      <c r="D3483" s="15" t="n"/>
      <c r="E3483" s="15" t="n"/>
      <c r="F3483" s="15" t="n"/>
      <c r="G3483" s="15" t="n"/>
      <c r="H3483" s="16">
        <f>IF($A3483="","",$D3483+IF($E3483="",0,$E3483)+IF($F3483="",0,$F3483)-IF($G3483="",0,$G3483))</f>
        <v/>
      </c>
      <c r="I3483" s="12" t="n"/>
      <c r="J3483" s="12" t="n"/>
      <c r="K3483" s="12" t="n"/>
      <c r="L3483" s="14" t="n"/>
      <c r="M3483" s="12" t="n"/>
      <c r="N3483" s="12" t="n"/>
      <c r="O3483" s="12" t="n"/>
    </row>
    <row r="3484">
      <c r="A3484" s="12" t="n"/>
      <c r="B3484" s="13">
        <f>IF($A3484="","",IFERROR(INDEX(Emp_Names,MATCH($A3484,Emp_Codes,0)),"NOT FOUND"))</f>
        <v/>
      </c>
      <c r="C3484" s="14" t="n"/>
      <c r="D3484" s="15" t="n"/>
      <c r="E3484" s="15" t="n"/>
      <c r="F3484" s="15" t="n"/>
      <c r="G3484" s="15" t="n"/>
      <c r="H3484" s="16">
        <f>IF($A3484="","",$D3484+IF($E3484="",0,$E3484)+IF($F3484="",0,$F3484)-IF($G3484="",0,$G3484))</f>
        <v/>
      </c>
      <c r="I3484" s="12" t="n"/>
      <c r="J3484" s="12" t="n"/>
      <c r="K3484" s="12" t="n"/>
      <c r="L3484" s="14" t="n"/>
      <c r="M3484" s="12" t="n"/>
      <c r="N3484" s="12" t="n"/>
      <c r="O3484" s="12" t="n"/>
    </row>
    <row r="3485">
      <c r="A3485" s="12" t="n"/>
      <c r="B3485" s="13">
        <f>IF($A3485="","",IFERROR(INDEX(Emp_Names,MATCH($A3485,Emp_Codes,0)),"NOT FOUND"))</f>
        <v/>
      </c>
      <c r="C3485" s="14" t="n"/>
      <c r="D3485" s="15" t="n"/>
      <c r="E3485" s="15" t="n"/>
      <c r="F3485" s="15" t="n"/>
      <c r="G3485" s="15" t="n"/>
      <c r="H3485" s="16">
        <f>IF($A3485="","",$D3485+IF($E3485="",0,$E3485)+IF($F3485="",0,$F3485)-IF($G3485="",0,$G3485))</f>
        <v/>
      </c>
      <c r="I3485" s="12" t="n"/>
      <c r="J3485" s="12" t="n"/>
      <c r="K3485" s="12" t="n"/>
      <c r="L3485" s="14" t="n"/>
      <c r="M3485" s="12" t="n"/>
      <c r="N3485" s="12" t="n"/>
      <c r="O3485" s="12" t="n"/>
    </row>
    <row r="3486">
      <c r="A3486" s="12" t="n"/>
      <c r="B3486" s="13">
        <f>IF($A3486="","",IFERROR(INDEX(Emp_Names,MATCH($A3486,Emp_Codes,0)),"NOT FOUND"))</f>
        <v/>
      </c>
      <c r="C3486" s="14" t="n"/>
      <c r="D3486" s="15" t="n"/>
      <c r="E3486" s="15" t="n"/>
      <c r="F3486" s="15" t="n"/>
      <c r="G3486" s="15" t="n"/>
      <c r="H3486" s="16">
        <f>IF($A3486="","",$D3486+IF($E3486="",0,$E3486)+IF($F3486="",0,$F3486)-IF($G3486="",0,$G3486))</f>
        <v/>
      </c>
      <c r="I3486" s="12" t="n"/>
      <c r="J3486" s="12" t="n"/>
      <c r="K3486" s="12" t="n"/>
      <c r="L3486" s="14" t="n"/>
      <c r="M3486" s="12" t="n"/>
      <c r="N3486" s="12" t="n"/>
      <c r="O3486" s="12" t="n"/>
    </row>
    <row r="3487">
      <c r="A3487" s="12" t="n"/>
      <c r="B3487" s="13">
        <f>IF($A3487="","",IFERROR(INDEX(Emp_Names,MATCH($A3487,Emp_Codes,0)),"NOT FOUND"))</f>
        <v/>
      </c>
      <c r="C3487" s="14" t="n"/>
      <c r="D3487" s="15" t="n"/>
      <c r="E3487" s="15" t="n"/>
      <c r="F3487" s="15" t="n"/>
      <c r="G3487" s="15" t="n"/>
      <c r="H3487" s="16">
        <f>IF($A3487="","",$D3487+IF($E3487="",0,$E3487)+IF($F3487="",0,$F3487)-IF($G3487="",0,$G3487))</f>
        <v/>
      </c>
      <c r="I3487" s="12" t="n"/>
      <c r="J3487" s="12" t="n"/>
      <c r="K3487" s="12" t="n"/>
      <c r="L3487" s="14" t="n"/>
      <c r="M3487" s="12" t="n"/>
      <c r="N3487" s="12" t="n"/>
      <c r="O3487" s="12" t="n"/>
    </row>
    <row r="3488">
      <c r="A3488" s="12" t="n"/>
      <c r="B3488" s="13">
        <f>IF($A3488="","",IFERROR(INDEX(Emp_Names,MATCH($A3488,Emp_Codes,0)),"NOT FOUND"))</f>
        <v/>
      </c>
      <c r="C3488" s="14" t="n"/>
      <c r="D3488" s="15" t="n"/>
      <c r="E3488" s="15" t="n"/>
      <c r="F3488" s="15" t="n"/>
      <c r="G3488" s="15" t="n"/>
      <c r="H3488" s="16">
        <f>IF($A3488="","",$D3488+IF($E3488="",0,$E3488)+IF($F3488="",0,$F3488)-IF($G3488="",0,$G3488))</f>
        <v/>
      </c>
      <c r="I3488" s="12" t="n"/>
      <c r="J3488" s="12" t="n"/>
      <c r="K3488" s="12" t="n"/>
      <c r="L3488" s="14" t="n"/>
      <c r="M3488" s="12" t="n"/>
      <c r="N3488" s="12" t="n"/>
      <c r="O3488" s="12" t="n"/>
    </row>
    <row r="3489">
      <c r="A3489" s="12" t="n"/>
      <c r="B3489" s="13">
        <f>IF($A3489="","",IFERROR(INDEX(Emp_Names,MATCH($A3489,Emp_Codes,0)),"NOT FOUND"))</f>
        <v/>
      </c>
      <c r="C3489" s="14" t="n"/>
      <c r="D3489" s="15" t="n"/>
      <c r="E3489" s="15" t="n"/>
      <c r="F3489" s="15" t="n"/>
      <c r="G3489" s="15" t="n"/>
      <c r="H3489" s="16">
        <f>IF($A3489="","",$D3489+IF($E3489="",0,$E3489)+IF($F3489="",0,$F3489)-IF($G3489="",0,$G3489))</f>
        <v/>
      </c>
      <c r="I3489" s="12" t="n"/>
      <c r="J3489" s="12" t="n"/>
      <c r="K3489" s="12" t="n"/>
      <c r="L3489" s="14" t="n"/>
      <c r="M3489" s="12" t="n"/>
      <c r="N3489" s="12" t="n"/>
      <c r="O3489" s="12" t="n"/>
    </row>
    <row r="3490">
      <c r="A3490" s="12" t="n"/>
      <c r="B3490" s="13">
        <f>IF($A3490="","",IFERROR(INDEX(Emp_Names,MATCH($A3490,Emp_Codes,0)),"NOT FOUND"))</f>
        <v/>
      </c>
      <c r="C3490" s="14" t="n"/>
      <c r="D3490" s="15" t="n"/>
      <c r="E3490" s="15" t="n"/>
      <c r="F3490" s="15" t="n"/>
      <c r="G3490" s="15" t="n"/>
      <c r="H3490" s="16">
        <f>IF($A3490="","",$D3490+IF($E3490="",0,$E3490)+IF($F3490="",0,$F3490)-IF($G3490="",0,$G3490))</f>
        <v/>
      </c>
      <c r="I3490" s="12" t="n"/>
      <c r="J3490" s="12" t="n"/>
      <c r="K3490" s="12" t="n"/>
      <c r="L3490" s="14" t="n"/>
      <c r="M3490" s="12" t="n"/>
      <c r="N3490" s="12" t="n"/>
      <c r="O3490" s="12" t="n"/>
    </row>
    <row r="3491">
      <c r="A3491" s="12" t="n"/>
      <c r="B3491" s="13">
        <f>IF($A3491="","",IFERROR(INDEX(Emp_Names,MATCH($A3491,Emp_Codes,0)),"NOT FOUND"))</f>
        <v/>
      </c>
      <c r="C3491" s="14" t="n"/>
      <c r="D3491" s="15" t="n"/>
      <c r="E3491" s="15" t="n"/>
      <c r="F3491" s="15" t="n"/>
      <c r="G3491" s="15" t="n"/>
      <c r="H3491" s="16">
        <f>IF($A3491="","",$D3491+IF($E3491="",0,$E3491)+IF($F3491="",0,$F3491)-IF($G3491="",0,$G3491))</f>
        <v/>
      </c>
      <c r="I3491" s="12" t="n"/>
      <c r="J3491" s="12" t="n"/>
      <c r="K3491" s="12" t="n"/>
      <c r="L3491" s="14" t="n"/>
      <c r="M3491" s="12" t="n"/>
      <c r="N3491" s="12" t="n"/>
      <c r="O3491" s="12" t="n"/>
    </row>
    <row r="3492">
      <c r="A3492" s="12" t="n"/>
      <c r="B3492" s="13">
        <f>IF($A3492="","",IFERROR(INDEX(Emp_Names,MATCH($A3492,Emp_Codes,0)),"NOT FOUND"))</f>
        <v/>
      </c>
      <c r="C3492" s="14" t="n"/>
      <c r="D3492" s="15" t="n"/>
      <c r="E3492" s="15" t="n"/>
      <c r="F3492" s="15" t="n"/>
      <c r="G3492" s="15" t="n"/>
      <c r="H3492" s="16">
        <f>IF($A3492="","",$D3492+IF($E3492="",0,$E3492)+IF($F3492="",0,$F3492)-IF($G3492="",0,$G3492))</f>
        <v/>
      </c>
      <c r="I3492" s="12" t="n"/>
      <c r="J3492" s="12" t="n"/>
      <c r="K3492" s="12" t="n"/>
      <c r="L3492" s="14" t="n"/>
      <c r="M3492" s="12" t="n"/>
      <c r="N3492" s="12" t="n"/>
      <c r="O3492" s="12" t="n"/>
    </row>
    <row r="3493">
      <c r="A3493" s="12" t="n"/>
      <c r="B3493" s="13">
        <f>IF($A3493="","",IFERROR(INDEX(Emp_Names,MATCH($A3493,Emp_Codes,0)),"NOT FOUND"))</f>
        <v/>
      </c>
      <c r="C3493" s="14" t="n"/>
      <c r="D3493" s="15" t="n"/>
      <c r="E3493" s="15" t="n"/>
      <c r="F3493" s="15" t="n"/>
      <c r="G3493" s="15" t="n"/>
      <c r="H3493" s="16">
        <f>IF($A3493="","",$D3493+IF($E3493="",0,$E3493)+IF($F3493="",0,$F3493)-IF($G3493="",0,$G3493))</f>
        <v/>
      </c>
      <c r="I3493" s="12" t="n"/>
      <c r="J3493" s="12" t="n"/>
      <c r="K3493" s="12" t="n"/>
      <c r="L3493" s="14" t="n"/>
      <c r="M3493" s="12" t="n"/>
      <c r="N3493" s="12" t="n"/>
      <c r="O3493" s="12" t="n"/>
    </row>
    <row r="3494">
      <c r="A3494" s="12" t="n"/>
      <c r="B3494" s="13">
        <f>IF($A3494="","",IFERROR(INDEX(Emp_Names,MATCH($A3494,Emp_Codes,0)),"NOT FOUND"))</f>
        <v/>
      </c>
      <c r="C3494" s="14" t="n"/>
      <c r="D3494" s="15" t="n"/>
      <c r="E3494" s="15" t="n"/>
      <c r="F3494" s="15" t="n"/>
      <c r="G3494" s="15" t="n"/>
      <c r="H3494" s="16">
        <f>IF($A3494="","",$D3494+IF($E3494="",0,$E3494)+IF($F3494="",0,$F3494)-IF($G3494="",0,$G3494))</f>
        <v/>
      </c>
      <c r="I3494" s="12" t="n"/>
      <c r="J3494" s="12" t="n"/>
      <c r="K3494" s="12" t="n"/>
      <c r="L3494" s="14" t="n"/>
      <c r="M3494" s="12" t="n"/>
      <c r="N3494" s="12" t="n"/>
      <c r="O3494" s="12" t="n"/>
    </row>
    <row r="3495">
      <c r="A3495" s="12" t="n"/>
      <c r="B3495" s="13">
        <f>IF($A3495="","",IFERROR(INDEX(Emp_Names,MATCH($A3495,Emp_Codes,0)),"NOT FOUND"))</f>
        <v/>
      </c>
      <c r="C3495" s="14" t="n"/>
      <c r="D3495" s="15" t="n"/>
      <c r="E3495" s="15" t="n"/>
      <c r="F3495" s="15" t="n"/>
      <c r="G3495" s="15" t="n"/>
      <c r="H3495" s="16">
        <f>IF($A3495="","",$D3495+IF($E3495="",0,$E3495)+IF($F3495="",0,$F3495)-IF($G3495="",0,$G3495))</f>
        <v/>
      </c>
      <c r="I3495" s="12" t="n"/>
      <c r="J3495" s="12" t="n"/>
      <c r="K3495" s="12" t="n"/>
      <c r="L3495" s="14" t="n"/>
      <c r="M3495" s="12" t="n"/>
      <c r="N3495" s="12" t="n"/>
      <c r="O3495" s="12" t="n"/>
    </row>
    <row r="3496">
      <c r="A3496" s="12" t="n"/>
      <c r="B3496" s="13">
        <f>IF($A3496="","",IFERROR(INDEX(Emp_Names,MATCH($A3496,Emp_Codes,0)),"NOT FOUND"))</f>
        <v/>
      </c>
      <c r="C3496" s="14" t="n"/>
      <c r="D3496" s="15" t="n"/>
      <c r="E3496" s="15" t="n"/>
      <c r="F3496" s="15" t="n"/>
      <c r="G3496" s="15" t="n"/>
      <c r="H3496" s="16">
        <f>IF($A3496="","",$D3496+IF($E3496="",0,$E3496)+IF($F3496="",0,$F3496)-IF($G3496="",0,$G3496))</f>
        <v/>
      </c>
      <c r="I3496" s="12" t="n"/>
      <c r="J3496" s="12" t="n"/>
      <c r="K3496" s="12" t="n"/>
      <c r="L3496" s="14" t="n"/>
      <c r="M3496" s="12" t="n"/>
      <c r="N3496" s="12" t="n"/>
      <c r="O3496" s="12" t="n"/>
    </row>
    <row r="3497">
      <c r="A3497" s="12" t="n"/>
      <c r="B3497" s="13">
        <f>IF($A3497="","",IFERROR(INDEX(Emp_Names,MATCH($A3497,Emp_Codes,0)),"NOT FOUND"))</f>
        <v/>
      </c>
      <c r="C3497" s="14" t="n"/>
      <c r="D3497" s="15" t="n"/>
      <c r="E3497" s="15" t="n"/>
      <c r="F3497" s="15" t="n"/>
      <c r="G3497" s="15" t="n"/>
      <c r="H3497" s="16">
        <f>IF($A3497="","",$D3497+IF($E3497="",0,$E3497)+IF($F3497="",0,$F3497)-IF($G3497="",0,$G3497))</f>
        <v/>
      </c>
      <c r="I3497" s="12" t="n"/>
      <c r="J3497" s="12" t="n"/>
      <c r="K3497" s="12" t="n"/>
      <c r="L3497" s="14" t="n"/>
      <c r="M3497" s="12" t="n"/>
      <c r="N3497" s="12" t="n"/>
      <c r="O3497" s="12" t="n"/>
    </row>
    <row r="3498">
      <c r="A3498" s="12" t="n"/>
      <c r="B3498" s="13">
        <f>IF($A3498="","",IFERROR(INDEX(Emp_Names,MATCH($A3498,Emp_Codes,0)),"NOT FOUND"))</f>
        <v/>
      </c>
      <c r="C3498" s="14" t="n"/>
      <c r="D3498" s="15" t="n"/>
      <c r="E3498" s="15" t="n"/>
      <c r="F3498" s="15" t="n"/>
      <c r="G3498" s="15" t="n"/>
      <c r="H3498" s="16">
        <f>IF($A3498="","",$D3498+IF($E3498="",0,$E3498)+IF($F3498="",0,$F3498)-IF($G3498="",0,$G3498))</f>
        <v/>
      </c>
      <c r="I3498" s="12" t="n"/>
      <c r="J3498" s="12" t="n"/>
      <c r="K3498" s="12" t="n"/>
      <c r="L3498" s="14" t="n"/>
      <c r="M3498" s="12" t="n"/>
      <c r="N3498" s="12" t="n"/>
      <c r="O3498" s="12" t="n"/>
    </row>
    <row r="3499">
      <c r="A3499" s="12" t="n"/>
      <c r="B3499" s="13">
        <f>IF($A3499="","",IFERROR(INDEX(Emp_Names,MATCH($A3499,Emp_Codes,0)),"NOT FOUND"))</f>
        <v/>
      </c>
      <c r="C3499" s="14" t="n"/>
      <c r="D3499" s="15" t="n"/>
      <c r="E3499" s="15" t="n"/>
      <c r="F3499" s="15" t="n"/>
      <c r="G3499" s="15" t="n"/>
      <c r="H3499" s="16">
        <f>IF($A3499="","",$D3499+IF($E3499="",0,$E3499)+IF($F3499="",0,$F3499)-IF($G3499="",0,$G3499))</f>
        <v/>
      </c>
      <c r="I3499" s="12" t="n"/>
      <c r="J3499" s="12" t="n"/>
      <c r="K3499" s="12" t="n"/>
      <c r="L3499" s="14" t="n"/>
      <c r="M3499" s="12" t="n"/>
      <c r="N3499" s="12" t="n"/>
      <c r="O3499" s="12" t="n"/>
    </row>
    <row r="3500">
      <c r="A3500" s="12" t="n"/>
      <c r="B3500" s="13">
        <f>IF($A3500="","",IFERROR(INDEX(Emp_Names,MATCH($A3500,Emp_Codes,0)),"NOT FOUND"))</f>
        <v/>
      </c>
      <c r="C3500" s="14" t="n"/>
      <c r="D3500" s="15" t="n"/>
      <c r="E3500" s="15" t="n"/>
      <c r="F3500" s="15" t="n"/>
      <c r="G3500" s="15" t="n"/>
      <c r="H3500" s="16">
        <f>IF($A3500="","",$D3500+IF($E3500="",0,$E3500)+IF($F3500="",0,$F3500)-IF($G3500="",0,$G3500))</f>
        <v/>
      </c>
      <c r="I3500" s="12" t="n"/>
      <c r="J3500" s="12" t="n"/>
      <c r="K3500" s="12" t="n"/>
      <c r="L3500" s="14" t="n"/>
      <c r="M3500" s="12" t="n"/>
      <c r="N3500" s="12" t="n"/>
      <c r="O3500" s="12" t="n"/>
    </row>
    <row r="3501">
      <c r="A3501" s="12" t="n"/>
      <c r="B3501" s="13">
        <f>IF($A3501="","",IFERROR(INDEX(Emp_Names,MATCH($A3501,Emp_Codes,0)),"NOT FOUND"))</f>
        <v/>
      </c>
      <c r="C3501" s="14" t="n"/>
      <c r="D3501" s="15" t="n"/>
      <c r="E3501" s="15" t="n"/>
      <c r="F3501" s="15" t="n"/>
      <c r="G3501" s="15" t="n"/>
      <c r="H3501" s="16">
        <f>IF($A3501="","",$D3501+IF($E3501="",0,$E3501)+IF($F3501="",0,$F3501)-IF($G3501="",0,$G3501))</f>
        <v/>
      </c>
      <c r="I3501" s="12" t="n"/>
      <c r="J3501" s="12" t="n"/>
      <c r="K3501" s="12" t="n"/>
      <c r="L3501" s="14" t="n"/>
      <c r="M3501" s="12" t="n"/>
      <c r="N3501" s="12" t="n"/>
      <c r="O3501" s="12" t="n"/>
    </row>
    <row r="3502">
      <c r="A3502" s="12" t="n"/>
      <c r="B3502" s="13">
        <f>IF($A3502="","",IFERROR(INDEX(Emp_Names,MATCH($A3502,Emp_Codes,0)),"NOT FOUND"))</f>
        <v/>
      </c>
      <c r="C3502" s="14" t="n"/>
      <c r="D3502" s="15" t="n"/>
      <c r="E3502" s="15" t="n"/>
      <c r="F3502" s="15" t="n"/>
      <c r="G3502" s="15" t="n"/>
      <c r="H3502" s="16">
        <f>IF($A3502="","",$D3502+IF($E3502="",0,$E3502)+IF($F3502="",0,$F3502)-IF($G3502="",0,$G3502))</f>
        <v/>
      </c>
      <c r="I3502" s="12" t="n"/>
      <c r="J3502" s="12" t="n"/>
      <c r="K3502" s="12" t="n"/>
      <c r="L3502" s="14" t="n"/>
      <c r="M3502" s="12" t="n"/>
      <c r="N3502" s="12" t="n"/>
      <c r="O3502" s="12" t="n"/>
    </row>
    <row r="3503">
      <c r="A3503" s="12" t="n"/>
      <c r="B3503" s="13">
        <f>IF($A3503="","",IFERROR(INDEX(Emp_Names,MATCH($A3503,Emp_Codes,0)),"NOT FOUND"))</f>
        <v/>
      </c>
      <c r="C3503" s="14" t="n"/>
      <c r="D3503" s="15" t="n"/>
      <c r="E3503" s="15" t="n"/>
      <c r="F3503" s="15" t="n"/>
      <c r="G3503" s="15" t="n"/>
      <c r="H3503" s="16">
        <f>IF($A3503="","",$D3503+IF($E3503="",0,$E3503)+IF($F3503="",0,$F3503)-IF($G3503="",0,$G3503))</f>
        <v/>
      </c>
      <c r="I3503" s="12" t="n"/>
      <c r="J3503" s="12" t="n"/>
      <c r="K3503" s="12" t="n"/>
      <c r="L3503" s="14" t="n"/>
      <c r="M3503" s="12" t="n"/>
      <c r="N3503" s="12" t="n"/>
      <c r="O3503" s="12" t="n"/>
    </row>
    <row r="3504">
      <c r="A3504" s="12" t="n"/>
      <c r="B3504" s="13">
        <f>IF($A3504="","",IFERROR(INDEX(Emp_Names,MATCH($A3504,Emp_Codes,0)),"NOT FOUND"))</f>
        <v/>
      </c>
      <c r="C3504" s="14" t="n"/>
      <c r="D3504" s="15" t="n"/>
      <c r="E3504" s="15" t="n"/>
      <c r="F3504" s="15" t="n"/>
      <c r="G3504" s="15" t="n"/>
      <c r="H3504" s="16">
        <f>IF($A3504="","",$D3504+IF($E3504="",0,$E3504)+IF($F3504="",0,$F3504)-IF($G3504="",0,$G3504))</f>
        <v/>
      </c>
      <c r="I3504" s="12" t="n"/>
      <c r="J3504" s="12" t="n"/>
      <c r="K3504" s="12" t="n"/>
      <c r="L3504" s="14" t="n"/>
      <c r="M3504" s="12" t="n"/>
      <c r="N3504" s="12" t="n"/>
      <c r="O3504" s="12" t="n"/>
    </row>
    <row r="3505">
      <c r="A3505" s="12" t="n"/>
      <c r="B3505" s="13">
        <f>IF($A3505="","",IFERROR(INDEX(Emp_Names,MATCH($A3505,Emp_Codes,0)),"NOT FOUND"))</f>
        <v/>
      </c>
      <c r="C3505" s="14" t="n"/>
      <c r="D3505" s="15" t="n"/>
      <c r="E3505" s="15" t="n"/>
      <c r="F3505" s="15" t="n"/>
      <c r="G3505" s="15" t="n"/>
      <c r="H3505" s="16">
        <f>IF($A3505="","",$D3505+IF($E3505="",0,$E3505)+IF($F3505="",0,$F3505)-IF($G3505="",0,$G3505))</f>
        <v/>
      </c>
      <c r="I3505" s="12" t="n"/>
      <c r="J3505" s="12" t="n"/>
      <c r="K3505" s="12" t="n"/>
      <c r="L3505" s="14" t="n"/>
      <c r="M3505" s="12" t="n"/>
      <c r="N3505" s="12" t="n"/>
      <c r="O3505" s="12" t="n"/>
    </row>
    <row r="3506">
      <c r="A3506" s="12" t="n"/>
      <c r="B3506" s="13">
        <f>IF($A3506="","",IFERROR(INDEX(Emp_Names,MATCH($A3506,Emp_Codes,0)),"NOT FOUND"))</f>
        <v/>
      </c>
      <c r="C3506" s="14" t="n"/>
      <c r="D3506" s="15" t="n"/>
      <c r="E3506" s="15" t="n"/>
      <c r="F3506" s="15" t="n"/>
      <c r="G3506" s="15" t="n"/>
      <c r="H3506" s="16">
        <f>IF($A3506="","",$D3506+IF($E3506="",0,$E3506)+IF($F3506="",0,$F3506)-IF($G3506="",0,$G3506))</f>
        <v/>
      </c>
      <c r="I3506" s="12" t="n"/>
      <c r="J3506" s="12" t="n"/>
      <c r="K3506" s="12" t="n"/>
      <c r="L3506" s="14" t="n"/>
      <c r="M3506" s="12" t="n"/>
      <c r="N3506" s="12" t="n"/>
      <c r="O3506" s="12" t="n"/>
    </row>
    <row r="3507">
      <c r="A3507" s="12" t="n"/>
      <c r="B3507" s="13">
        <f>IF($A3507="","",IFERROR(INDEX(Emp_Names,MATCH($A3507,Emp_Codes,0)),"NOT FOUND"))</f>
        <v/>
      </c>
      <c r="C3507" s="14" t="n"/>
      <c r="D3507" s="15" t="n"/>
      <c r="E3507" s="15" t="n"/>
      <c r="F3507" s="15" t="n"/>
      <c r="G3507" s="15" t="n"/>
      <c r="H3507" s="16">
        <f>IF($A3507="","",$D3507+IF($E3507="",0,$E3507)+IF($F3507="",0,$F3507)-IF($G3507="",0,$G3507))</f>
        <v/>
      </c>
      <c r="I3507" s="12" t="n"/>
      <c r="J3507" s="12" t="n"/>
      <c r="K3507" s="12" t="n"/>
      <c r="L3507" s="14" t="n"/>
      <c r="M3507" s="12" t="n"/>
      <c r="N3507" s="12" t="n"/>
      <c r="O3507" s="12" t="n"/>
    </row>
    <row r="3508">
      <c r="A3508" s="12" t="n"/>
      <c r="B3508" s="13">
        <f>IF($A3508="","",IFERROR(INDEX(Emp_Names,MATCH($A3508,Emp_Codes,0)),"NOT FOUND"))</f>
        <v/>
      </c>
      <c r="C3508" s="14" t="n"/>
      <c r="D3508" s="15" t="n"/>
      <c r="E3508" s="15" t="n"/>
      <c r="F3508" s="15" t="n"/>
      <c r="G3508" s="15" t="n"/>
      <c r="H3508" s="16">
        <f>IF($A3508="","",$D3508+IF($E3508="",0,$E3508)+IF($F3508="",0,$F3508)-IF($G3508="",0,$G3508))</f>
        <v/>
      </c>
      <c r="I3508" s="12" t="n"/>
      <c r="J3508" s="12" t="n"/>
      <c r="K3508" s="12" t="n"/>
      <c r="L3508" s="14" t="n"/>
      <c r="M3508" s="12" t="n"/>
      <c r="N3508" s="12" t="n"/>
      <c r="O3508" s="12" t="n"/>
    </row>
    <row r="3509">
      <c r="A3509" s="12" t="n"/>
      <c r="B3509" s="13">
        <f>IF($A3509="","",IFERROR(INDEX(Emp_Names,MATCH($A3509,Emp_Codes,0)),"NOT FOUND"))</f>
        <v/>
      </c>
      <c r="C3509" s="14" t="n"/>
      <c r="D3509" s="15" t="n"/>
      <c r="E3509" s="15" t="n"/>
      <c r="F3509" s="15" t="n"/>
      <c r="G3509" s="15" t="n"/>
      <c r="H3509" s="16">
        <f>IF($A3509="","",$D3509+IF($E3509="",0,$E3509)+IF($F3509="",0,$F3509)-IF($G3509="",0,$G3509))</f>
        <v/>
      </c>
      <c r="I3509" s="12" t="n"/>
      <c r="J3509" s="12" t="n"/>
      <c r="K3509" s="12" t="n"/>
      <c r="L3509" s="14" t="n"/>
      <c r="M3509" s="12" t="n"/>
      <c r="N3509" s="12" t="n"/>
      <c r="O3509" s="12" t="n"/>
    </row>
    <row r="3510">
      <c r="A3510" s="12" t="n"/>
      <c r="B3510" s="13">
        <f>IF($A3510="","",IFERROR(INDEX(Emp_Names,MATCH($A3510,Emp_Codes,0)),"NOT FOUND"))</f>
        <v/>
      </c>
      <c r="C3510" s="14" t="n"/>
      <c r="D3510" s="15" t="n"/>
      <c r="E3510" s="15" t="n"/>
      <c r="F3510" s="15" t="n"/>
      <c r="G3510" s="15" t="n"/>
      <c r="H3510" s="16">
        <f>IF($A3510="","",$D3510+IF($E3510="",0,$E3510)+IF($F3510="",0,$F3510)-IF($G3510="",0,$G3510))</f>
        <v/>
      </c>
      <c r="I3510" s="12" t="n"/>
      <c r="J3510" s="12" t="n"/>
      <c r="K3510" s="12" t="n"/>
      <c r="L3510" s="14" t="n"/>
      <c r="M3510" s="12" t="n"/>
      <c r="N3510" s="12" t="n"/>
      <c r="O3510" s="12" t="n"/>
    </row>
    <row r="3511">
      <c r="A3511" s="12" t="n"/>
      <c r="B3511" s="13">
        <f>IF($A3511="","",IFERROR(INDEX(Emp_Names,MATCH($A3511,Emp_Codes,0)),"NOT FOUND"))</f>
        <v/>
      </c>
      <c r="C3511" s="14" t="n"/>
      <c r="D3511" s="15" t="n"/>
      <c r="E3511" s="15" t="n"/>
      <c r="F3511" s="15" t="n"/>
      <c r="G3511" s="15" t="n"/>
      <c r="H3511" s="16">
        <f>IF($A3511="","",$D3511+IF($E3511="",0,$E3511)+IF($F3511="",0,$F3511)-IF($G3511="",0,$G3511))</f>
        <v/>
      </c>
      <c r="I3511" s="12" t="n"/>
      <c r="J3511" s="12" t="n"/>
      <c r="K3511" s="12" t="n"/>
      <c r="L3511" s="14" t="n"/>
      <c r="M3511" s="12" t="n"/>
      <c r="N3511" s="12" t="n"/>
      <c r="O3511" s="12" t="n"/>
    </row>
    <row r="3512">
      <c r="A3512" s="12" t="n"/>
      <c r="B3512" s="13">
        <f>IF($A3512="","",IFERROR(INDEX(Emp_Names,MATCH($A3512,Emp_Codes,0)),"NOT FOUND"))</f>
        <v/>
      </c>
      <c r="C3512" s="14" t="n"/>
      <c r="D3512" s="15" t="n"/>
      <c r="E3512" s="15" t="n"/>
      <c r="F3512" s="15" t="n"/>
      <c r="G3512" s="15" t="n"/>
      <c r="H3512" s="16">
        <f>IF($A3512="","",$D3512+IF($E3512="",0,$E3512)+IF($F3512="",0,$F3512)-IF($G3512="",0,$G3512))</f>
        <v/>
      </c>
      <c r="I3512" s="12" t="n"/>
      <c r="J3512" s="12" t="n"/>
      <c r="K3512" s="12" t="n"/>
      <c r="L3512" s="14" t="n"/>
      <c r="M3512" s="12" t="n"/>
      <c r="N3512" s="12" t="n"/>
      <c r="O3512" s="12" t="n"/>
    </row>
    <row r="3513">
      <c r="A3513" s="12" t="n"/>
      <c r="B3513" s="13">
        <f>IF($A3513="","",IFERROR(INDEX(Emp_Names,MATCH($A3513,Emp_Codes,0)),"NOT FOUND"))</f>
        <v/>
      </c>
      <c r="C3513" s="14" t="n"/>
      <c r="D3513" s="15" t="n"/>
      <c r="E3513" s="15" t="n"/>
      <c r="F3513" s="15" t="n"/>
      <c r="G3513" s="15" t="n"/>
      <c r="H3513" s="16">
        <f>IF($A3513="","",$D3513+IF($E3513="",0,$E3513)+IF($F3513="",0,$F3513)-IF($G3513="",0,$G3513))</f>
        <v/>
      </c>
      <c r="I3513" s="12" t="n"/>
      <c r="J3513" s="12" t="n"/>
      <c r="K3513" s="12" t="n"/>
      <c r="L3513" s="14" t="n"/>
      <c r="M3513" s="12" t="n"/>
      <c r="N3513" s="12" t="n"/>
      <c r="O3513" s="12" t="n"/>
    </row>
    <row r="3514">
      <c r="A3514" s="12" t="n"/>
      <c r="B3514" s="13">
        <f>IF($A3514="","",IFERROR(INDEX(Emp_Names,MATCH($A3514,Emp_Codes,0)),"NOT FOUND"))</f>
        <v/>
      </c>
      <c r="C3514" s="14" t="n"/>
      <c r="D3514" s="15" t="n"/>
      <c r="E3514" s="15" t="n"/>
      <c r="F3514" s="15" t="n"/>
      <c r="G3514" s="15" t="n"/>
      <c r="H3514" s="16">
        <f>IF($A3514="","",$D3514+IF($E3514="",0,$E3514)+IF($F3514="",0,$F3514)-IF($G3514="",0,$G3514))</f>
        <v/>
      </c>
      <c r="I3514" s="12" t="n"/>
      <c r="J3514" s="12" t="n"/>
      <c r="K3514" s="12" t="n"/>
      <c r="L3514" s="14" t="n"/>
      <c r="M3514" s="12" t="n"/>
      <c r="N3514" s="12" t="n"/>
      <c r="O3514" s="12" t="n"/>
    </row>
    <row r="3515">
      <c r="A3515" s="12" t="n"/>
      <c r="B3515" s="13">
        <f>IF($A3515="","",IFERROR(INDEX(Emp_Names,MATCH($A3515,Emp_Codes,0)),"NOT FOUND"))</f>
        <v/>
      </c>
      <c r="C3515" s="14" t="n"/>
      <c r="D3515" s="15" t="n"/>
      <c r="E3515" s="15" t="n"/>
      <c r="F3515" s="15" t="n"/>
      <c r="G3515" s="15" t="n"/>
      <c r="H3515" s="16">
        <f>IF($A3515="","",$D3515+IF($E3515="",0,$E3515)+IF($F3515="",0,$F3515)-IF($G3515="",0,$G3515))</f>
        <v/>
      </c>
      <c r="I3515" s="12" t="n"/>
      <c r="J3515" s="12" t="n"/>
      <c r="K3515" s="12" t="n"/>
      <c r="L3515" s="14" t="n"/>
      <c r="M3515" s="12" t="n"/>
      <c r="N3515" s="12" t="n"/>
      <c r="O3515" s="12" t="n"/>
    </row>
    <row r="3516">
      <c r="A3516" s="12" t="n"/>
      <c r="B3516" s="13">
        <f>IF($A3516="","",IFERROR(INDEX(Emp_Names,MATCH($A3516,Emp_Codes,0)),"NOT FOUND"))</f>
        <v/>
      </c>
      <c r="C3516" s="14" t="n"/>
      <c r="D3516" s="15" t="n"/>
      <c r="E3516" s="15" t="n"/>
      <c r="F3516" s="15" t="n"/>
      <c r="G3516" s="15" t="n"/>
      <c r="H3516" s="16">
        <f>IF($A3516="","",$D3516+IF($E3516="",0,$E3516)+IF($F3516="",0,$F3516)-IF($G3516="",0,$G3516))</f>
        <v/>
      </c>
      <c r="I3516" s="12" t="n"/>
      <c r="J3516" s="12" t="n"/>
      <c r="K3516" s="12" t="n"/>
      <c r="L3516" s="14" t="n"/>
      <c r="M3516" s="12" t="n"/>
      <c r="N3516" s="12" t="n"/>
      <c r="O3516" s="12" t="n"/>
    </row>
    <row r="3517">
      <c r="A3517" s="12" t="n"/>
      <c r="B3517" s="13">
        <f>IF($A3517="","",IFERROR(INDEX(Emp_Names,MATCH($A3517,Emp_Codes,0)),"NOT FOUND"))</f>
        <v/>
      </c>
      <c r="C3517" s="14" t="n"/>
      <c r="D3517" s="15" t="n"/>
      <c r="E3517" s="15" t="n"/>
      <c r="F3517" s="15" t="n"/>
      <c r="G3517" s="15" t="n"/>
      <c r="H3517" s="16">
        <f>IF($A3517="","",$D3517+IF($E3517="",0,$E3517)+IF($F3517="",0,$F3517)-IF($G3517="",0,$G3517))</f>
        <v/>
      </c>
      <c r="I3517" s="12" t="n"/>
      <c r="J3517" s="12" t="n"/>
      <c r="K3517" s="12" t="n"/>
      <c r="L3517" s="14" t="n"/>
      <c r="M3517" s="12" t="n"/>
      <c r="N3517" s="12" t="n"/>
      <c r="O3517" s="12" t="n"/>
    </row>
    <row r="3518">
      <c r="A3518" s="12" t="n"/>
      <c r="B3518" s="13">
        <f>IF($A3518="","",IFERROR(INDEX(Emp_Names,MATCH($A3518,Emp_Codes,0)),"NOT FOUND"))</f>
        <v/>
      </c>
      <c r="C3518" s="14" t="n"/>
      <c r="D3518" s="15" t="n"/>
      <c r="E3518" s="15" t="n"/>
      <c r="F3518" s="15" t="n"/>
      <c r="G3518" s="15" t="n"/>
      <c r="H3518" s="16">
        <f>IF($A3518="","",$D3518+IF($E3518="",0,$E3518)+IF($F3518="",0,$F3518)-IF($G3518="",0,$G3518))</f>
        <v/>
      </c>
      <c r="I3518" s="12" t="n"/>
      <c r="J3518" s="12" t="n"/>
      <c r="K3518" s="12" t="n"/>
      <c r="L3518" s="14" t="n"/>
      <c r="M3518" s="12" t="n"/>
      <c r="N3518" s="12" t="n"/>
      <c r="O3518" s="12" t="n"/>
    </row>
    <row r="3519">
      <c r="A3519" s="12" t="n"/>
      <c r="B3519" s="13">
        <f>IF($A3519="","",IFERROR(INDEX(Emp_Names,MATCH($A3519,Emp_Codes,0)),"NOT FOUND"))</f>
        <v/>
      </c>
      <c r="C3519" s="14" t="n"/>
      <c r="D3519" s="15" t="n"/>
      <c r="E3519" s="15" t="n"/>
      <c r="F3519" s="15" t="n"/>
      <c r="G3519" s="15" t="n"/>
      <c r="H3519" s="16">
        <f>IF($A3519="","",$D3519+IF($E3519="",0,$E3519)+IF($F3519="",0,$F3519)-IF($G3519="",0,$G3519))</f>
        <v/>
      </c>
      <c r="I3519" s="12" t="n"/>
      <c r="J3519" s="12" t="n"/>
      <c r="K3519" s="12" t="n"/>
      <c r="L3519" s="14" t="n"/>
      <c r="M3519" s="12" t="n"/>
      <c r="N3519" s="12" t="n"/>
      <c r="O3519" s="12" t="n"/>
    </row>
    <row r="3520">
      <c r="A3520" s="12" t="n"/>
      <c r="B3520" s="13">
        <f>IF($A3520="","",IFERROR(INDEX(Emp_Names,MATCH($A3520,Emp_Codes,0)),"NOT FOUND"))</f>
        <v/>
      </c>
      <c r="C3520" s="14" t="n"/>
      <c r="D3520" s="15" t="n"/>
      <c r="E3520" s="15" t="n"/>
      <c r="F3520" s="15" t="n"/>
      <c r="G3520" s="15" t="n"/>
      <c r="H3520" s="16">
        <f>IF($A3520="","",$D3520+IF($E3520="",0,$E3520)+IF($F3520="",0,$F3520)-IF($G3520="",0,$G3520))</f>
        <v/>
      </c>
      <c r="I3520" s="12" t="n"/>
      <c r="J3520" s="12" t="n"/>
      <c r="K3520" s="12" t="n"/>
      <c r="L3520" s="14" t="n"/>
      <c r="M3520" s="12" t="n"/>
      <c r="N3520" s="12" t="n"/>
      <c r="O3520" s="12" t="n"/>
    </row>
    <row r="3521">
      <c r="A3521" s="12" t="n"/>
      <c r="B3521" s="13">
        <f>IF($A3521="","",IFERROR(INDEX(Emp_Names,MATCH($A3521,Emp_Codes,0)),"NOT FOUND"))</f>
        <v/>
      </c>
      <c r="C3521" s="14" t="n"/>
      <c r="D3521" s="15" t="n"/>
      <c r="E3521" s="15" t="n"/>
      <c r="F3521" s="15" t="n"/>
      <c r="G3521" s="15" t="n"/>
      <c r="H3521" s="16">
        <f>IF($A3521="","",$D3521+IF($E3521="",0,$E3521)+IF($F3521="",0,$F3521)-IF($G3521="",0,$G3521))</f>
        <v/>
      </c>
      <c r="I3521" s="12" t="n"/>
      <c r="J3521" s="12" t="n"/>
      <c r="K3521" s="12" t="n"/>
      <c r="L3521" s="14" t="n"/>
      <c r="M3521" s="12" t="n"/>
      <c r="N3521" s="12" t="n"/>
      <c r="O3521" s="12" t="n"/>
    </row>
    <row r="3522">
      <c r="A3522" s="12" t="n"/>
      <c r="B3522" s="13">
        <f>IF($A3522="","",IFERROR(INDEX(Emp_Names,MATCH($A3522,Emp_Codes,0)),"NOT FOUND"))</f>
        <v/>
      </c>
      <c r="C3522" s="14" t="n"/>
      <c r="D3522" s="15" t="n"/>
      <c r="E3522" s="15" t="n"/>
      <c r="F3522" s="15" t="n"/>
      <c r="G3522" s="15" t="n"/>
      <c r="H3522" s="16">
        <f>IF($A3522="","",$D3522+IF($E3522="",0,$E3522)+IF($F3522="",0,$F3522)-IF($G3522="",0,$G3522))</f>
        <v/>
      </c>
      <c r="I3522" s="12" t="n"/>
      <c r="J3522" s="12" t="n"/>
      <c r="K3522" s="12" t="n"/>
      <c r="L3522" s="14" t="n"/>
      <c r="M3522" s="12" t="n"/>
      <c r="N3522" s="12" t="n"/>
      <c r="O3522" s="12" t="n"/>
    </row>
    <row r="3523">
      <c r="A3523" s="12" t="n"/>
      <c r="B3523" s="13">
        <f>IF($A3523="","",IFERROR(INDEX(Emp_Names,MATCH($A3523,Emp_Codes,0)),"NOT FOUND"))</f>
        <v/>
      </c>
      <c r="C3523" s="14" t="n"/>
      <c r="D3523" s="15" t="n"/>
      <c r="E3523" s="15" t="n"/>
      <c r="F3523" s="15" t="n"/>
      <c r="G3523" s="15" t="n"/>
      <c r="H3523" s="16">
        <f>IF($A3523="","",$D3523+IF($E3523="",0,$E3523)+IF($F3523="",0,$F3523)-IF($G3523="",0,$G3523))</f>
        <v/>
      </c>
      <c r="I3523" s="12" t="n"/>
      <c r="J3523" s="12" t="n"/>
      <c r="K3523" s="12" t="n"/>
      <c r="L3523" s="14" t="n"/>
      <c r="M3523" s="12" t="n"/>
      <c r="N3523" s="12" t="n"/>
      <c r="O3523" s="12" t="n"/>
    </row>
    <row r="3524">
      <c r="A3524" s="12" t="n"/>
      <c r="B3524" s="13">
        <f>IF($A3524="","",IFERROR(INDEX(Emp_Names,MATCH($A3524,Emp_Codes,0)),"NOT FOUND"))</f>
        <v/>
      </c>
      <c r="C3524" s="14" t="n"/>
      <c r="D3524" s="15" t="n"/>
      <c r="E3524" s="15" t="n"/>
      <c r="F3524" s="15" t="n"/>
      <c r="G3524" s="15" t="n"/>
      <c r="H3524" s="16">
        <f>IF($A3524="","",$D3524+IF($E3524="",0,$E3524)+IF($F3524="",0,$F3524)-IF($G3524="",0,$G3524))</f>
        <v/>
      </c>
      <c r="I3524" s="12" t="n"/>
      <c r="J3524" s="12" t="n"/>
      <c r="K3524" s="12" t="n"/>
      <c r="L3524" s="14" t="n"/>
      <c r="M3524" s="12" t="n"/>
      <c r="N3524" s="12" t="n"/>
      <c r="O3524" s="12" t="n"/>
    </row>
    <row r="3525">
      <c r="A3525" s="12" t="n"/>
      <c r="B3525" s="13">
        <f>IF($A3525="","",IFERROR(INDEX(Emp_Names,MATCH($A3525,Emp_Codes,0)),"NOT FOUND"))</f>
        <v/>
      </c>
      <c r="C3525" s="14" t="n"/>
      <c r="D3525" s="15" t="n"/>
      <c r="E3525" s="15" t="n"/>
      <c r="F3525" s="15" t="n"/>
      <c r="G3525" s="15" t="n"/>
      <c r="H3525" s="16">
        <f>IF($A3525="","",$D3525+IF($E3525="",0,$E3525)+IF($F3525="",0,$F3525)-IF($G3525="",0,$G3525))</f>
        <v/>
      </c>
      <c r="I3525" s="12" t="n"/>
      <c r="J3525" s="12" t="n"/>
      <c r="K3525" s="12" t="n"/>
      <c r="L3525" s="14" t="n"/>
      <c r="M3525" s="12" t="n"/>
      <c r="N3525" s="12" t="n"/>
      <c r="O3525" s="12" t="n"/>
    </row>
    <row r="3526">
      <c r="A3526" s="12" t="n"/>
      <c r="B3526" s="13">
        <f>IF($A3526="","",IFERROR(INDEX(Emp_Names,MATCH($A3526,Emp_Codes,0)),"NOT FOUND"))</f>
        <v/>
      </c>
      <c r="C3526" s="14" t="n"/>
      <c r="D3526" s="15" t="n"/>
      <c r="E3526" s="15" t="n"/>
      <c r="F3526" s="15" t="n"/>
      <c r="G3526" s="15" t="n"/>
      <c r="H3526" s="16">
        <f>IF($A3526="","",$D3526+IF($E3526="",0,$E3526)+IF($F3526="",0,$F3526)-IF($G3526="",0,$G3526))</f>
        <v/>
      </c>
      <c r="I3526" s="12" t="n"/>
      <c r="J3526" s="12" t="n"/>
      <c r="K3526" s="12" t="n"/>
      <c r="L3526" s="14" t="n"/>
      <c r="M3526" s="12" t="n"/>
      <c r="N3526" s="12" t="n"/>
      <c r="O3526" s="12" t="n"/>
    </row>
    <row r="3527">
      <c r="A3527" s="12" t="n"/>
      <c r="B3527" s="13">
        <f>IF($A3527="","",IFERROR(INDEX(Emp_Names,MATCH($A3527,Emp_Codes,0)),"NOT FOUND"))</f>
        <v/>
      </c>
      <c r="C3527" s="14" t="n"/>
      <c r="D3527" s="15" t="n"/>
      <c r="E3527" s="15" t="n"/>
      <c r="F3527" s="15" t="n"/>
      <c r="G3527" s="15" t="n"/>
      <c r="H3527" s="16">
        <f>IF($A3527="","",$D3527+IF($E3527="",0,$E3527)+IF($F3527="",0,$F3527)-IF($G3527="",0,$G3527))</f>
        <v/>
      </c>
      <c r="I3527" s="12" t="n"/>
      <c r="J3527" s="12" t="n"/>
      <c r="K3527" s="12" t="n"/>
      <c r="L3527" s="14" t="n"/>
      <c r="M3527" s="12" t="n"/>
      <c r="N3527" s="12" t="n"/>
      <c r="O3527" s="12" t="n"/>
    </row>
    <row r="3528">
      <c r="A3528" s="12" t="n"/>
      <c r="B3528" s="13">
        <f>IF($A3528="","",IFERROR(INDEX(Emp_Names,MATCH($A3528,Emp_Codes,0)),"NOT FOUND"))</f>
        <v/>
      </c>
      <c r="C3528" s="14" t="n"/>
      <c r="D3528" s="15" t="n"/>
      <c r="E3528" s="15" t="n"/>
      <c r="F3528" s="15" t="n"/>
      <c r="G3528" s="15" t="n"/>
      <c r="H3528" s="16">
        <f>IF($A3528="","",$D3528+IF($E3528="",0,$E3528)+IF($F3528="",0,$F3528)-IF($G3528="",0,$G3528))</f>
        <v/>
      </c>
      <c r="I3528" s="12" t="n"/>
      <c r="J3528" s="12" t="n"/>
      <c r="K3528" s="12" t="n"/>
      <c r="L3528" s="14" t="n"/>
      <c r="M3528" s="12" t="n"/>
      <c r="N3528" s="12" t="n"/>
      <c r="O3528" s="12" t="n"/>
    </row>
    <row r="3529">
      <c r="A3529" s="12" t="n"/>
      <c r="B3529" s="13">
        <f>IF($A3529="","",IFERROR(INDEX(Emp_Names,MATCH($A3529,Emp_Codes,0)),"NOT FOUND"))</f>
        <v/>
      </c>
      <c r="C3529" s="14" t="n"/>
      <c r="D3529" s="15" t="n"/>
      <c r="E3529" s="15" t="n"/>
      <c r="F3529" s="15" t="n"/>
      <c r="G3529" s="15" t="n"/>
      <c r="H3529" s="16">
        <f>IF($A3529="","",$D3529+IF($E3529="",0,$E3529)+IF($F3529="",0,$F3529)-IF($G3529="",0,$G3529))</f>
        <v/>
      </c>
      <c r="I3529" s="12" t="n"/>
      <c r="J3529" s="12" t="n"/>
      <c r="K3529" s="12" t="n"/>
      <c r="L3529" s="14" t="n"/>
      <c r="M3529" s="12" t="n"/>
      <c r="N3529" s="12" t="n"/>
      <c r="O3529" s="12" t="n"/>
    </row>
    <row r="3530">
      <c r="A3530" s="12" t="n"/>
      <c r="B3530" s="13">
        <f>IF($A3530="","",IFERROR(INDEX(Emp_Names,MATCH($A3530,Emp_Codes,0)),"NOT FOUND"))</f>
        <v/>
      </c>
      <c r="C3530" s="14" t="n"/>
      <c r="D3530" s="15" t="n"/>
      <c r="E3530" s="15" t="n"/>
      <c r="F3530" s="15" t="n"/>
      <c r="G3530" s="15" t="n"/>
      <c r="H3530" s="16">
        <f>IF($A3530="","",$D3530+IF($E3530="",0,$E3530)+IF($F3530="",0,$F3530)-IF($G3530="",0,$G3530))</f>
        <v/>
      </c>
      <c r="I3530" s="12" t="n"/>
      <c r="J3530" s="12" t="n"/>
      <c r="K3530" s="12" t="n"/>
      <c r="L3530" s="14" t="n"/>
      <c r="M3530" s="12" t="n"/>
      <c r="N3530" s="12" t="n"/>
      <c r="O3530" s="12" t="n"/>
    </row>
    <row r="3531">
      <c r="A3531" s="12" t="n"/>
      <c r="B3531" s="13">
        <f>IF($A3531="","",IFERROR(INDEX(Emp_Names,MATCH($A3531,Emp_Codes,0)),"NOT FOUND"))</f>
        <v/>
      </c>
      <c r="C3531" s="14" t="n"/>
      <c r="D3531" s="15" t="n"/>
      <c r="E3531" s="15" t="n"/>
      <c r="F3531" s="15" t="n"/>
      <c r="G3531" s="15" t="n"/>
      <c r="H3531" s="16">
        <f>IF($A3531="","",$D3531+IF($E3531="",0,$E3531)+IF($F3531="",0,$F3531)-IF($G3531="",0,$G3531))</f>
        <v/>
      </c>
      <c r="I3531" s="12" t="n"/>
      <c r="J3531" s="12" t="n"/>
      <c r="K3531" s="12" t="n"/>
      <c r="L3531" s="14" t="n"/>
      <c r="M3531" s="12" t="n"/>
      <c r="N3531" s="12" t="n"/>
      <c r="O3531" s="12" t="n"/>
    </row>
    <row r="3532">
      <c r="A3532" s="12" t="n"/>
      <c r="B3532" s="13">
        <f>IF($A3532="","",IFERROR(INDEX(Emp_Names,MATCH($A3532,Emp_Codes,0)),"NOT FOUND"))</f>
        <v/>
      </c>
      <c r="C3532" s="14" t="n"/>
      <c r="D3532" s="15" t="n"/>
      <c r="E3532" s="15" t="n"/>
      <c r="F3532" s="15" t="n"/>
      <c r="G3532" s="15" t="n"/>
      <c r="H3532" s="16">
        <f>IF($A3532="","",$D3532+IF($E3532="",0,$E3532)+IF($F3532="",0,$F3532)-IF($G3532="",0,$G3532))</f>
        <v/>
      </c>
      <c r="I3532" s="12" t="n"/>
      <c r="J3532" s="12" t="n"/>
      <c r="K3532" s="12" t="n"/>
      <c r="L3532" s="14" t="n"/>
      <c r="M3532" s="12" t="n"/>
      <c r="N3532" s="12" t="n"/>
      <c r="O3532" s="12" t="n"/>
    </row>
    <row r="3533">
      <c r="A3533" s="12" t="n"/>
      <c r="B3533" s="13">
        <f>IF($A3533="","",IFERROR(INDEX(Emp_Names,MATCH($A3533,Emp_Codes,0)),"NOT FOUND"))</f>
        <v/>
      </c>
      <c r="C3533" s="14" t="n"/>
      <c r="D3533" s="15" t="n"/>
      <c r="E3533" s="15" t="n"/>
      <c r="F3533" s="15" t="n"/>
      <c r="G3533" s="15" t="n"/>
      <c r="H3533" s="16">
        <f>IF($A3533="","",$D3533+IF($E3533="",0,$E3533)+IF($F3533="",0,$F3533)-IF($G3533="",0,$G3533))</f>
        <v/>
      </c>
      <c r="I3533" s="12" t="n"/>
      <c r="J3533" s="12" t="n"/>
      <c r="K3533" s="12" t="n"/>
      <c r="L3533" s="14" t="n"/>
      <c r="M3533" s="12" t="n"/>
      <c r="N3533" s="12" t="n"/>
      <c r="O3533" s="12" t="n"/>
    </row>
    <row r="3534">
      <c r="A3534" s="12" t="n"/>
      <c r="B3534" s="13">
        <f>IF($A3534="","",IFERROR(INDEX(Emp_Names,MATCH($A3534,Emp_Codes,0)),"NOT FOUND"))</f>
        <v/>
      </c>
      <c r="C3534" s="14" t="n"/>
      <c r="D3534" s="15" t="n"/>
      <c r="E3534" s="15" t="n"/>
      <c r="F3534" s="15" t="n"/>
      <c r="G3534" s="15" t="n"/>
      <c r="H3534" s="16">
        <f>IF($A3534="","",$D3534+IF($E3534="",0,$E3534)+IF($F3534="",0,$F3534)-IF($G3534="",0,$G3534))</f>
        <v/>
      </c>
      <c r="I3534" s="12" t="n"/>
      <c r="J3534" s="12" t="n"/>
      <c r="K3534" s="12" t="n"/>
      <c r="L3534" s="14" t="n"/>
      <c r="M3534" s="12" t="n"/>
      <c r="N3534" s="12" t="n"/>
      <c r="O3534" s="12" t="n"/>
    </row>
    <row r="3535">
      <c r="A3535" s="12" t="n"/>
      <c r="B3535" s="13">
        <f>IF($A3535="","",IFERROR(INDEX(Emp_Names,MATCH($A3535,Emp_Codes,0)),"NOT FOUND"))</f>
        <v/>
      </c>
      <c r="C3535" s="14" t="n"/>
      <c r="D3535" s="15" t="n"/>
      <c r="E3535" s="15" t="n"/>
      <c r="F3535" s="15" t="n"/>
      <c r="G3535" s="15" t="n"/>
      <c r="H3535" s="16">
        <f>IF($A3535="","",$D3535+IF($E3535="",0,$E3535)+IF($F3535="",0,$F3535)-IF($G3535="",0,$G3535))</f>
        <v/>
      </c>
      <c r="I3535" s="12" t="n"/>
      <c r="J3535" s="12" t="n"/>
      <c r="K3535" s="12" t="n"/>
      <c r="L3535" s="14" t="n"/>
      <c r="M3535" s="12" t="n"/>
      <c r="N3535" s="12" t="n"/>
      <c r="O3535" s="12" t="n"/>
    </row>
    <row r="3536">
      <c r="A3536" s="12" t="n"/>
      <c r="B3536" s="13">
        <f>IF($A3536="","",IFERROR(INDEX(Emp_Names,MATCH($A3536,Emp_Codes,0)),"NOT FOUND"))</f>
        <v/>
      </c>
      <c r="C3536" s="14" t="n"/>
      <c r="D3536" s="15" t="n"/>
      <c r="E3536" s="15" t="n"/>
      <c r="F3536" s="15" t="n"/>
      <c r="G3536" s="15" t="n"/>
      <c r="H3536" s="16">
        <f>IF($A3536="","",$D3536+IF($E3536="",0,$E3536)+IF($F3536="",0,$F3536)-IF($G3536="",0,$G3536))</f>
        <v/>
      </c>
      <c r="I3536" s="12" t="n"/>
      <c r="J3536" s="12" t="n"/>
      <c r="K3536" s="12" t="n"/>
      <c r="L3536" s="14" t="n"/>
      <c r="M3536" s="12" t="n"/>
      <c r="N3536" s="12" t="n"/>
      <c r="O3536" s="12" t="n"/>
    </row>
    <row r="3537">
      <c r="A3537" s="12" t="n"/>
      <c r="B3537" s="13">
        <f>IF($A3537="","",IFERROR(INDEX(Emp_Names,MATCH($A3537,Emp_Codes,0)),"NOT FOUND"))</f>
        <v/>
      </c>
      <c r="C3537" s="14" t="n"/>
      <c r="D3537" s="15" t="n"/>
      <c r="E3537" s="15" t="n"/>
      <c r="F3537" s="15" t="n"/>
      <c r="G3537" s="15" t="n"/>
      <c r="H3537" s="16">
        <f>IF($A3537="","",$D3537+IF($E3537="",0,$E3537)+IF($F3537="",0,$F3537)-IF($G3537="",0,$G3537))</f>
        <v/>
      </c>
      <c r="I3537" s="12" t="n"/>
      <c r="J3537" s="12" t="n"/>
      <c r="K3537" s="12" t="n"/>
      <c r="L3537" s="14" t="n"/>
      <c r="M3537" s="12" t="n"/>
      <c r="N3537" s="12" t="n"/>
      <c r="O3537" s="12" t="n"/>
    </row>
    <row r="3538">
      <c r="A3538" s="12" t="n"/>
      <c r="B3538" s="13">
        <f>IF($A3538="","",IFERROR(INDEX(Emp_Names,MATCH($A3538,Emp_Codes,0)),"NOT FOUND"))</f>
        <v/>
      </c>
      <c r="C3538" s="14" t="n"/>
      <c r="D3538" s="15" t="n"/>
      <c r="E3538" s="15" t="n"/>
      <c r="F3538" s="15" t="n"/>
      <c r="G3538" s="15" t="n"/>
      <c r="H3538" s="16">
        <f>IF($A3538="","",$D3538+IF($E3538="",0,$E3538)+IF($F3538="",0,$F3538)-IF($G3538="",0,$G3538))</f>
        <v/>
      </c>
      <c r="I3538" s="12" t="n"/>
      <c r="J3538" s="12" t="n"/>
      <c r="K3538" s="12" t="n"/>
      <c r="L3538" s="14" t="n"/>
      <c r="M3538" s="12" t="n"/>
      <c r="N3538" s="12" t="n"/>
      <c r="O3538" s="12" t="n"/>
    </row>
    <row r="3539">
      <c r="A3539" s="12" t="n"/>
      <c r="B3539" s="13">
        <f>IF($A3539="","",IFERROR(INDEX(Emp_Names,MATCH($A3539,Emp_Codes,0)),"NOT FOUND"))</f>
        <v/>
      </c>
      <c r="C3539" s="14" t="n"/>
      <c r="D3539" s="15" t="n"/>
      <c r="E3539" s="15" t="n"/>
      <c r="F3539" s="15" t="n"/>
      <c r="G3539" s="15" t="n"/>
      <c r="H3539" s="16">
        <f>IF($A3539="","",$D3539+IF($E3539="",0,$E3539)+IF($F3539="",0,$F3539)-IF($G3539="",0,$G3539))</f>
        <v/>
      </c>
      <c r="I3539" s="12" t="n"/>
      <c r="J3539" s="12" t="n"/>
      <c r="K3539" s="12" t="n"/>
      <c r="L3539" s="14" t="n"/>
      <c r="M3539" s="12" t="n"/>
      <c r="N3539" s="12" t="n"/>
      <c r="O3539" s="12" t="n"/>
    </row>
    <row r="3540">
      <c r="A3540" s="12" t="n"/>
      <c r="B3540" s="13">
        <f>IF($A3540="","",IFERROR(INDEX(Emp_Names,MATCH($A3540,Emp_Codes,0)),"NOT FOUND"))</f>
        <v/>
      </c>
      <c r="C3540" s="14" t="n"/>
      <c r="D3540" s="15" t="n"/>
      <c r="E3540" s="15" t="n"/>
      <c r="F3540" s="15" t="n"/>
      <c r="G3540" s="15" t="n"/>
      <c r="H3540" s="16">
        <f>IF($A3540="","",$D3540+IF($E3540="",0,$E3540)+IF($F3540="",0,$F3540)-IF($G3540="",0,$G3540))</f>
        <v/>
      </c>
      <c r="I3540" s="12" t="n"/>
      <c r="J3540" s="12" t="n"/>
      <c r="K3540" s="12" t="n"/>
      <c r="L3540" s="14" t="n"/>
      <c r="M3540" s="12" t="n"/>
      <c r="N3540" s="12" t="n"/>
      <c r="O3540" s="12" t="n"/>
    </row>
    <row r="3541">
      <c r="A3541" s="12" t="n"/>
      <c r="B3541" s="13">
        <f>IF($A3541="","",IFERROR(INDEX(Emp_Names,MATCH($A3541,Emp_Codes,0)),"NOT FOUND"))</f>
        <v/>
      </c>
      <c r="C3541" s="14" t="n"/>
      <c r="D3541" s="15" t="n"/>
      <c r="E3541" s="15" t="n"/>
      <c r="F3541" s="15" t="n"/>
      <c r="G3541" s="15" t="n"/>
      <c r="H3541" s="16">
        <f>IF($A3541="","",$D3541+IF($E3541="",0,$E3541)+IF($F3541="",0,$F3541)-IF($G3541="",0,$G3541))</f>
        <v/>
      </c>
      <c r="I3541" s="12" t="n"/>
      <c r="J3541" s="12" t="n"/>
      <c r="K3541" s="12" t="n"/>
      <c r="L3541" s="14" t="n"/>
      <c r="M3541" s="12" t="n"/>
      <c r="N3541" s="12" t="n"/>
      <c r="O3541" s="12" t="n"/>
    </row>
    <row r="3542">
      <c r="A3542" s="12" t="n"/>
      <c r="B3542" s="13">
        <f>IF($A3542="","",IFERROR(INDEX(Emp_Names,MATCH($A3542,Emp_Codes,0)),"NOT FOUND"))</f>
        <v/>
      </c>
      <c r="C3542" s="14" t="n"/>
      <c r="D3542" s="15" t="n"/>
      <c r="E3542" s="15" t="n"/>
      <c r="F3542" s="15" t="n"/>
      <c r="G3542" s="15" t="n"/>
      <c r="H3542" s="16">
        <f>IF($A3542="","",$D3542+IF($E3542="",0,$E3542)+IF($F3542="",0,$F3542)-IF($G3542="",0,$G3542))</f>
        <v/>
      </c>
      <c r="I3542" s="12" t="n"/>
      <c r="J3542" s="12" t="n"/>
      <c r="K3542" s="12" t="n"/>
      <c r="L3542" s="14" t="n"/>
      <c r="M3542" s="12" t="n"/>
      <c r="N3542" s="12" t="n"/>
      <c r="O3542" s="12" t="n"/>
    </row>
    <row r="3543">
      <c r="A3543" s="12" t="n"/>
      <c r="B3543" s="13">
        <f>IF($A3543="","",IFERROR(INDEX(Emp_Names,MATCH($A3543,Emp_Codes,0)),"NOT FOUND"))</f>
        <v/>
      </c>
      <c r="C3543" s="14" t="n"/>
      <c r="D3543" s="15" t="n"/>
      <c r="E3543" s="15" t="n"/>
      <c r="F3543" s="15" t="n"/>
      <c r="G3543" s="15" t="n"/>
      <c r="H3543" s="16">
        <f>IF($A3543="","",$D3543+IF($E3543="",0,$E3543)+IF($F3543="",0,$F3543)-IF($G3543="",0,$G3543))</f>
        <v/>
      </c>
      <c r="I3543" s="12" t="n"/>
      <c r="J3543" s="12" t="n"/>
      <c r="K3543" s="12" t="n"/>
      <c r="L3543" s="14" t="n"/>
      <c r="M3543" s="12" t="n"/>
      <c r="N3543" s="12" t="n"/>
      <c r="O3543" s="12" t="n"/>
    </row>
    <row r="3544">
      <c r="A3544" s="12" t="n"/>
      <c r="B3544" s="13">
        <f>IF($A3544="","",IFERROR(INDEX(Emp_Names,MATCH($A3544,Emp_Codes,0)),"NOT FOUND"))</f>
        <v/>
      </c>
      <c r="C3544" s="14" t="n"/>
      <c r="D3544" s="15" t="n"/>
      <c r="E3544" s="15" t="n"/>
      <c r="F3544" s="15" t="n"/>
      <c r="G3544" s="15" t="n"/>
      <c r="H3544" s="16">
        <f>IF($A3544="","",$D3544+IF($E3544="",0,$E3544)+IF($F3544="",0,$F3544)-IF($G3544="",0,$G3544))</f>
        <v/>
      </c>
      <c r="I3544" s="12" t="n"/>
      <c r="J3544" s="12" t="n"/>
      <c r="K3544" s="12" t="n"/>
      <c r="L3544" s="14" t="n"/>
      <c r="M3544" s="12" t="n"/>
      <c r="N3544" s="12" t="n"/>
      <c r="O3544" s="12" t="n"/>
    </row>
    <row r="3545">
      <c r="A3545" s="12" t="n"/>
      <c r="B3545" s="13">
        <f>IF($A3545="","",IFERROR(INDEX(Emp_Names,MATCH($A3545,Emp_Codes,0)),"NOT FOUND"))</f>
        <v/>
      </c>
      <c r="C3545" s="14" t="n"/>
      <c r="D3545" s="15" t="n"/>
      <c r="E3545" s="15" t="n"/>
      <c r="F3545" s="15" t="n"/>
      <c r="G3545" s="15" t="n"/>
      <c r="H3545" s="16">
        <f>IF($A3545="","",$D3545+IF($E3545="",0,$E3545)+IF($F3545="",0,$F3545)-IF($G3545="",0,$G3545))</f>
        <v/>
      </c>
      <c r="I3545" s="12" t="n"/>
      <c r="J3545" s="12" t="n"/>
      <c r="K3545" s="12" t="n"/>
      <c r="L3545" s="14" t="n"/>
      <c r="M3545" s="12" t="n"/>
      <c r="N3545" s="12" t="n"/>
      <c r="O3545" s="12" t="n"/>
    </row>
    <row r="3546">
      <c r="A3546" s="12" t="n"/>
      <c r="B3546" s="13">
        <f>IF($A3546="","",IFERROR(INDEX(Emp_Names,MATCH($A3546,Emp_Codes,0)),"NOT FOUND"))</f>
        <v/>
      </c>
      <c r="C3546" s="14" t="n"/>
      <c r="D3546" s="15" t="n"/>
      <c r="E3546" s="15" t="n"/>
      <c r="F3546" s="15" t="n"/>
      <c r="G3546" s="15" t="n"/>
      <c r="H3546" s="16">
        <f>IF($A3546="","",$D3546+IF($E3546="",0,$E3546)+IF($F3546="",0,$F3546)-IF($G3546="",0,$G3546))</f>
        <v/>
      </c>
      <c r="I3546" s="12" t="n"/>
      <c r="J3546" s="12" t="n"/>
      <c r="K3546" s="12" t="n"/>
      <c r="L3546" s="14" t="n"/>
      <c r="M3546" s="12" t="n"/>
      <c r="N3546" s="12" t="n"/>
      <c r="O3546" s="12" t="n"/>
    </row>
    <row r="3547">
      <c r="A3547" s="12" t="n"/>
      <c r="B3547" s="13">
        <f>IF($A3547="","",IFERROR(INDEX(Emp_Names,MATCH($A3547,Emp_Codes,0)),"NOT FOUND"))</f>
        <v/>
      </c>
      <c r="C3547" s="14" t="n"/>
      <c r="D3547" s="15" t="n"/>
      <c r="E3547" s="15" t="n"/>
      <c r="F3547" s="15" t="n"/>
      <c r="G3547" s="15" t="n"/>
      <c r="H3547" s="16">
        <f>IF($A3547="","",$D3547+IF($E3547="",0,$E3547)+IF($F3547="",0,$F3547)-IF($G3547="",0,$G3547))</f>
        <v/>
      </c>
      <c r="I3547" s="12" t="n"/>
      <c r="J3547" s="12" t="n"/>
      <c r="K3547" s="12" t="n"/>
      <c r="L3547" s="14" t="n"/>
      <c r="M3547" s="12" t="n"/>
      <c r="N3547" s="12" t="n"/>
      <c r="O3547" s="12" t="n"/>
    </row>
    <row r="3548">
      <c r="A3548" s="12" t="n"/>
      <c r="B3548" s="13">
        <f>IF($A3548="","",IFERROR(INDEX(Emp_Names,MATCH($A3548,Emp_Codes,0)),"NOT FOUND"))</f>
        <v/>
      </c>
      <c r="C3548" s="14" t="n"/>
      <c r="D3548" s="15" t="n"/>
      <c r="E3548" s="15" t="n"/>
      <c r="F3548" s="15" t="n"/>
      <c r="G3548" s="15" t="n"/>
      <c r="H3548" s="16">
        <f>IF($A3548="","",$D3548+IF($E3548="",0,$E3548)+IF($F3548="",0,$F3548)-IF($G3548="",0,$G3548))</f>
        <v/>
      </c>
      <c r="I3548" s="12" t="n"/>
      <c r="J3548" s="12" t="n"/>
      <c r="K3548" s="12" t="n"/>
      <c r="L3548" s="14" t="n"/>
      <c r="M3548" s="12" t="n"/>
      <c r="N3548" s="12" t="n"/>
      <c r="O3548" s="12" t="n"/>
    </row>
    <row r="3549">
      <c r="A3549" s="12" t="n"/>
      <c r="B3549" s="13">
        <f>IF($A3549="","",IFERROR(INDEX(Emp_Names,MATCH($A3549,Emp_Codes,0)),"NOT FOUND"))</f>
        <v/>
      </c>
      <c r="C3549" s="14" t="n"/>
      <c r="D3549" s="15" t="n"/>
      <c r="E3549" s="15" t="n"/>
      <c r="F3549" s="15" t="n"/>
      <c r="G3549" s="15" t="n"/>
      <c r="H3549" s="16">
        <f>IF($A3549="","",$D3549+IF($E3549="",0,$E3549)+IF($F3549="",0,$F3549)-IF($G3549="",0,$G3549))</f>
        <v/>
      </c>
      <c r="I3549" s="12" t="n"/>
      <c r="J3549" s="12" t="n"/>
      <c r="K3549" s="12" t="n"/>
      <c r="L3549" s="14" t="n"/>
      <c r="M3549" s="12" t="n"/>
      <c r="N3549" s="12" t="n"/>
      <c r="O3549" s="12" t="n"/>
    </row>
    <row r="3550">
      <c r="A3550" s="12" t="n"/>
      <c r="B3550" s="13">
        <f>IF($A3550="","",IFERROR(INDEX(Emp_Names,MATCH($A3550,Emp_Codes,0)),"NOT FOUND"))</f>
        <v/>
      </c>
      <c r="C3550" s="14" t="n"/>
      <c r="D3550" s="15" t="n"/>
      <c r="E3550" s="15" t="n"/>
      <c r="F3550" s="15" t="n"/>
      <c r="G3550" s="15" t="n"/>
      <c r="H3550" s="16">
        <f>IF($A3550="","",$D3550+IF($E3550="",0,$E3550)+IF($F3550="",0,$F3550)-IF($G3550="",0,$G3550))</f>
        <v/>
      </c>
      <c r="I3550" s="12" t="n"/>
      <c r="J3550" s="12" t="n"/>
      <c r="K3550" s="12" t="n"/>
      <c r="L3550" s="14" t="n"/>
      <c r="M3550" s="12" t="n"/>
      <c r="N3550" s="12" t="n"/>
      <c r="O3550" s="12" t="n"/>
    </row>
    <row r="3551">
      <c r="A3551" s="12" t="n"/>
      <c r="B3551" s="13">
        <f>IF($A3551="","",IFERROR(INDEX(Emp_Names,MATCH($A3551,Emp_Codes,0)),"NOT FOUND"))</f>
        <v/>
      </c>
      <c r="C3551" s="14" t="n"/>
      <c r="D3551" s="15" t="n"/>
      <c r="E3551" s="15" t="n"/>
      <c r="F3551" s="15" t="n"/>
      <c r="G3551" s="15" t="n"/>
      <c r="H3551" s="16">
        <f>IF($A3551="","",$D3551+IF($E3551="",0,$E3551)+IF($F3551="",0,$F3551)-IF($G3551="",0,$G3551))</f>
        <v/>
      </c>
      <c r="I3551" s="12" t="n"/>
      <c r="J3551" s="12" t="n"/>
      <c r="K3551" s="12" t="n"/>
      <c r="L3551" s="14" t="n"/>
      <c r="M3551" s="12" t="n"/>
      <c r="N3551" s="12" t="n"/>
      <c r="O3551" s="12" t="n"/>
    </row>
    <row r="3552">
      <c r="A3552" s="12" t="n"/>
      <c r="B3552" s="13">
        <f>IF($A3552="","",IFERROR(INDEX(Emp_Names,MATCH($A3552,Emp_Codes,0)),"NOT FOUND"))</f>
        <v/>
      </c>
      <c r="C3552" s="14" t="n"/>
      <c r="D3552" s="15" t="n"/>
      <c r="E3552" s="15" t="n"/>
      <c r="F3552" s="15" t="n"/>
      <c r="G3552" s="15" t="n"/>
      <c r="H3552" s="16">
        <f>IF($A3552="","",$D3552+IF($E3552="",0,$E3552)+IF($F3552="",0,$F3552)-IF($G3552="",0,$G3552))</f>
        <v/>
      </c>
      <c r="I3552" s="12" t="n"/>
      <c r="J3552" s="12" t="n"/>
      <c r="K3552" s="12" t="n"/>
      <c r="L3552" s="14" t="n"/>
      <c r="M3552" s="12" t="n"/>
      <c r="N3552" s="12" t="n"/>
      <c r="O3552" s="12" t="n"/>
    </row>
    <row r="3553">
      <c r="A3553" s="12" t="n"/>
      <c r="B3553" s="13">
        <f>IF($A3553="","",IFERROR(INDEX(Emp_Names,MATCH($A3553,Emp_Codes,0)),"NOT FOUND"))</f>
        <v/>
      </c>
      <c r="C3553" s="14" t="n"/>
      <c r="D3553" s="15" t="n"/>
      <c r="E3553" s="15" t="n"/>
      <c r="F3553" s="15" t="n"/>
      <c r="G3553" s="15" t="n"/>
      <c r="H3553" s="16">
        <f>IF($A3553="","",$D3553+IF($E3553="",0,$E3553)+IF($F3553="",0,$F3553)-IF($G3553="",0,$G3553))</f>
        <v/>
      </c>
      <c r="I3553" s="12" t="n"/>
      <c r="J3553" s="12" t="n"/>
      <c r="K3553" s="12" t="n"/>
      <c r="L3553" s="14" t="n"/>
      <c r="M3553" s="12" t="n"/>
      <c r="N3553" s="12" t="n"/>
      <c r="O3553" s="12" t="n"/>
    </row>
    <row r="3554">
      <c r="A3554" s="12" t="n"/>
      <c r="B3554" s="13">
        <f>IF($A3554="","",IFERROR(INDEX(Emp_Names,MATCH($A3554,Emp_Codes,0)),"NOT FOUND"))</f>
        <v/>
      </c>
      <c r="C3554" s="14" t="n"/>
      <c r="D3554" s="15" t="n"/>
      <c r="E3554" s="15" t="n"/>
      <c r="F3554" s="15" t="n"/>
      <c r="G3554" s="15" t="n"/>
      <c r="H3554" s="16">
        <f>IF($A3554="","",$D3554+IF($E3554="",0,$E3554)+IF($F3554="",0,$F3554)-IF($G3554="",0,$G3554))</f>
        <v/>
      </c>
      <c r="I3554" s="12" t="n"/>
      <c r="J3554" s="12" t="n"/>
      <c r="K3554" s="12" t="n"/>
      <c r="L3554" s="14" t="n"/>
      <c r="M3554" s="12" t="n"/>
      <c r="N3554" s="12" t="n"/>
      <c r="O3554" s="12" t="n"/>
    </row>
    <row r="3555">
      <c r="A3555" s="12" t="n"/>
      <c r="B3555" s="13">
        <f>IF($A3555="","",IFERROR(INDEX(Emp_Names,MATCH($A3555,Emp_Codes,0)),"NOT FOUND"))</f>
        <v/>
      </c>
      <c r="C3555" s="14" t="n"/>
      <c r="D3555" s="15" t="n"/>
      <c r="E3555" s="15" t="n"/>
      <c r="F3555" s="15" t="n"/>
      <c r="G3555" s="15" t="n"/>
      <c r="H3555" s="16">
        <f>IF($A3555="","",$D3555+IF($E3555="",0,$E3555)+IF($F3555="",0,$F3555)-IF($G3555="",0,$G3555))</f>
        <v/>
      </c>
      <c r="I3555" s="12" t="n"/>
      <c r="J3555" s="12" t="n"/>
      <c r="K3555" s="12" t="n"/>
      <c r="L3555" s="14" t="n"/>
      <c r="M3555" s="12" t="n"/>
      <c r="N3555" s="12" t="n"/>
      <c r="O3555" s="12" t="n"/>
    </row>
    <row r="3556">
      <c r="A3556" s="12" t="n"/>
      <c r="B3556" s="13">
        <f>IF($A3556="","",IFERROR(INDEX(Emp_Names,MATCH($A3556,Emp_Codes,0)),"NOT FOUND"))</f>
        <v/>
      </c>
      <c r="C3556" s="14" t="n"/>
      <c r="D3556" s="15" t="n"/>
      <c r="E3556" s="15" t="n"/>
      <c r="F3556" s="15" t="n"/>
      <c r="G3556" s="15" t="n"/>
      <c r="H3556" s="16">
        <f>IF($A3556="","",$D3556+IF($E3556="",0,$E3556)+IF($F3556="",0,$F3556)-IF($G3556="",0,$G3556))</f>
        <v/>
      </c>
      <c r="I3556" s="12" t="n"/>
      <c r="J3556" s="12" t="n"/>
      <c r="K3556" s="12" t="n"/>
      <c r="L3556" s="14" t="n"/>
      <c r="M3556" s="12" t="n"/>
      <c r="N3556" s="12" t="n"/>
      <c r="O3556" s="12" t="n"/>
    </row>
    <row r="3557">
      <c r="A3557" s="12" t="n"/>
      <c r="B3557" s="13">
        <f>IF($A3557="","",IFERROR(INDEX(Emp_Names,MATCH($A3557,Emp_Codes,0)),"NOT FOUND"))</f>
        <v/>
      </c>
      <c r="C3557" s="14" t="n"/>
      <c r="D3557" s="15" t="n"/>
      <c r="E3557" s="15" t="n"/>
      <c r="F3557" s="15" t="n"/>
      <c r="G3557" s="15" t="n"/>
      <c r="H3557" s="16">
        <f>IF($A3557="","",$D3557+IF($E3557="",0,$E3557)+IF($F3557="",0,$F3557)-IF($G3557="",0,$G3557))</f>
        <v/>
      </c>
      <c r="I3557" s="12" t="n"/>
      <c r="J3557" s="12" t="n"/>
      <c r="K3557" s="12" t="n"/>
      <c r="L3557" s="14" t="n"/>
      <c r="M3557" s="12" t="n"/>
      <c r="N3557" s="12" t="n"/>
      <c r="O3557" s="12" t="n"/>
    </row>
    <row r="3558">
      <c r="A3558" s="12" t="n"/>
      <c r="B3558" s="13">
        <f>IF($A3558="","",IFERROR(INDEX(Emp_Names,MATCH($A3558,Emp_Codes,0)),"NOT FOUND"))</f>
        <v/>
      </c>
      <c r="C3558" s="14" t="n"/>
      <c r="D3558" s="15" t="n"/>
      <c r="E3558" s="15" t="n"/>
      <c r="F3558" s="15" t="n"/>
      <c r="G3558" s="15" t="n"/>
      <c r="H3558" s="16">
        <f>IF($A3558="","",$D3558+IF($E3558="",0,$E3558)+IF($F3558="",0,$F3558)-IF($G3558="",0,$G3558))</f>
        <v/>
      </c>
      <c r="I3558" s="12" t="n"/>
      <c r="J3558" s="12" t="n"/>
      <c r="K3558" s="12" t="n"/>
      <c r="L3558" s="14" t="n"/>
      <c r="M3558" s="12" t="n"/>
      <c r="N3558" s="12" t="n"/>
      <c r="O3558" s="12" t="n"/>
    </row>
    <row r="3559">
      <c r="A3559" s="12" t="n"/>
      <c r="B3559" s="13">
        <f>IF($A3559="","",IFERROR(INDEX(Emp_Names,MATCH($A3559,Emp_Codes,0)),"NOT FOUND"))</f>
        <v/>
      </c>
      <c r="C3559" s="14" t="n"/>
      <c r="D3559" s="15" t="n"/>
      <c r="E3559" s="15" t="n"/>
      <c r="F3559" s="15" t="n"/>
      <c r="G3559" s="15" t="n"/>
      <c r="H3559" s="16">
        <f>IF($A3559="","",$D3559+IF($E3559="",0,$E3559)+IF($F3559="",0,$F3559)-IF($G3559="",0,$G3559))</f>
        <v/>
      </c>
      <c r="I3559" s="12" t="n"/>
      <c r="J3559" s="12" t="n"/>
      <c r="K3559" s="12" t="n"/>
      <c r="L3559" s="14" t="n"/>
      <c r="M3559" s="12" t="n"/>
      <c r="N3559" s="12" t="n"/>
      <c r="O3559" s="12" t="n"/>
    </row>
    <row r="3560">
      <c r="A3560" s="12" t="n"/>
      <c r="B3560" s="13">
        <f>IF($A3560="","",IFERROR(INDEX(Emp_Names,MATCH($A3560,Emp_Codes,0)),"NOT FOUND"))</f>
        <v/>
      </c>
      <c r="C3560" s="14" t="n"/>
      <c r="D3560" s="15" t="n"/>
      <c r="E3560" s="15" t="n"/>
      <c r="F3560" s="15" t="n"/>
      <c r="G3560" s="15" t="n"/>
      <c r="H3560" s="16">
        <f>IF($A3560="","",$D3560+IF($E3560="",0,$E3560)+IF($F3560="",0,$F3560)-IF($G3560="",0,$G3560))</f>
        <v/>
      </c>
      <c r="I3560" s="12" t="n"/>
      <c r="J3560" s="12" t="n"/>
      <c r="K3560" s="12" t="n"/>
      <c r="L3560" s="14" t="n"/>
      <c r="M3560" s="12" t="n"/>
      <c r="N3560" s="12" t="n"/>
      <c r="O3560" s="12" t="n"/>
    </row>
    <row r="3561">
      <c r="A3561" s="12" t="n"/>
      <c r="B3561" s="13">
        <f>IF($A3561="","",IFERROR(INDEX(Emp_Names,MATCH($A3561,Emp_Codes,0)),"NOT FOUND"))</f>
        <v/>
      </c>
      <c r="C3561" s="14" t="n"/>
      <c r="D3561" s="15" t="n"/>
      <c r="E3561" s="15" t="n"/>
      <c r="F3561" s="15" t="n"/>
      <c r="G3561" s="15" t="n"/>
      <c r="H3561" s="16">
        <f>IF($A3561="","",$D3561+IF($E3561="",0,$E3561)+IF($F3561="",0,$F3561)-IF($G3561="",0,$G3561))</f>
        <v/>
      </c>
      <c r="I3561" s="12" t="n"/>
      <c r="J3561" s="12" t="n"/>
      <c r="K3561" s="12" t="n"/>
      <c r="L3561" s="14" t="n"/>
      <c r="M3561" s="12" t="n"/>
      <c r="N3561" s="12" t="n"/>
      <c r="O3561" s="12" t="n"/>
    </row>
    <row r="3562">
      <c r="A3562" s="12" t="n"/>
      <c r="B3562" s="13">
        <f>IF($A3562="","",IFERROR(INDEX(Emp_Names,MATCH($A3562,Emp_Codes,0)),"NOT FOUND"))</f>
        <v/>
      </c>
      <c r="C3562" s="14" t="n"/>
      <c r="D3562" s="15" t="n"/>
      <c r="E3562" s="15" t="n"/>
      <c r="F3562" s="15" t="n"/>
      <c r="G3562" s="15" t="n"/>
      <c r="H3562" s="16">
        <f>IF($A3562="","",$D3562+IF($E3562="",0,$E3562)+IF($F3562="",0,$F3562)-IF($G3562="",0,$G3562))</f>
        <v/>
      </c>
      <c r="I3562" s="12" t="n"/>
      <c r="J3562" s="12" t="n"/>
      <c r="K3562" s="12" t="n"/>
      <c r="L3562" s="14" t="n"/>
      <c r="M3562" s="12" t="n"/>
      <c r="N3562" s="12" t="n"/>
      <c r="O3562" s="12" t="n"/>
    </row>
    <row r="3563">
      <c r="A3563" s="12" t="n"/>
      <c r="B3563" s="13">
        <f>IF($A3563="","",IFERROR(INDEX(Emp_Names,MATCH($A3563,Emp_Codes,0)),"NOT FOUND"))</f>
        <v/>
      </c>
      <c r="C3563" s="14" t="n"/>
      <c r="D3563" s="15" t="n"/>
      <c r="E3563" s="15" t="n"/>
      <c r="F3563" s="15" t="n"/>
      <c r="G3563" s="15" t="n"/>
      <c r="H3563" s="16">
        <f>IF($A3563="","",$D3563+IF($E3563="",0,$E3563)+IF($F3563="",0,$F3563)-IF($G3563="",0,$G3563))</f>
        <v/>
      </c>
      <c r="I3563" s="12" t="n"/>
      <c r="J3563" s="12" t="n"/>
      <c r="K3563" s="12" t="n"/>
      <c r="L3563" s="14" t="n"/>
      <c r="M3563" s="12" t="n"/>
      <c r="N3563" s="12" t="n"/>
      <c r="O3563" s="12" t="n"/>
    </row>
    <row r="3564">
      <c r="A3564" s="12" t="n"/>
      <c r="B3564" s="13">
        <f>IF($A3564="","",IFERROR(INDEX(Emp_Names,MATCH($A3564,Emp_Codes,0)),"NOT FOUND"))</f>
        <v/>
      </c>
      <c r="C3564" s="14" t="n"/>
      <c r="D3564" s="15" t="n"/>
      <c r="E3564" s="15" t="n"/>
      <c r="F3564" s="15" t="n"/>
      <c r="G3564" s="15" t="n"/>
      <c r="H3564" s="16">
        <f>IF($A3564="","",$D3564+IF($E3564="",0,$E3564)+IF($F3564="",0,$F3564)-IF($G3564="",0,$G3564))</f>
        <v/>
      </c>
      <c r="I3564" s="12" t="n"/>
      <c r="J3564" s="12" t="n"/>
      <c r="K3564" s="12" t="n"/>
      <c r="L3564" s="14" t="n"/>
      <c r="M3564" s="12" t="n"/>
      <c r="N3564" s="12" t="n"/>
      <c r="O3564" s="12" t="n"/>
    </row>
    <row r="3565">
      <c r="A3565" s="12" t="n"/>
      <c r="B3565" s="13">
        <f>IF($A3565="","",IFERROR(INDEX(Emp_Names,MATCH($A3565,Emp_Codes,0)),"NOT FOUND"))</f>
        <v/>
      </c>
      <c r="C3565" s="14" t="n"/>
      <c r="D3565" s="15" t="n"/>
      <c r="E3565" s="15" t="n"/>
      <c r="F3565" s="15" t="n"/>
      <c r="G3565" s="15" t="n"/>
      <c r="H3565" s="16">
        <f>IF($A3565="","",$D3565+IF($E3565="",0,$E3565)+IF($F3565="",0,$F3565)-IF($G3565="",0,$G3565))</f>
        <v/>
      </c>
      <c r="I3565" s="12" t="n"/>
      <c r="J3565" s="12" t="n"/>
      <c r="K3565" s="12" t="n"/>
      <c r="L3565" s="14" t="n"/>
      <c r="M3565" s="12" t="n"/>
      <c r="N3565" s="12" t="n"/>
      <c r="O3565" s="12" t="n"/>
    </row>
    <row r="3566">
      <c r="A3566" s="12" t="n"/>
      <c r="B3566" s="13">
        <f>IF($A3566="","",IFERROR(INDEX(Emp_Names,MATCH($A3566,Emp_Codes,0)),"NOT FOUND"))</f>
        <v/>
      </c>
      <c r="C3566" s="14" t="n"/>
      <c r="D3566" s="15" t="n"/>
      <c r="E3566" s="15" t="n"/>
      <c r="F3566" s="15" t="n"/>
      <c r="G3566" s="15" t="n"/>
      <c r="H3566" s="16">
        <f>IF($A3566="","",$D3566+IF($E3566="",0,$E3566)+IF($F3566="",0,$F3566)-IF($G3566="",0,$G3566))</f>
        <v/>
      </c>
      <c r="I3566" s="12" t="n"/>
      <c r="J3566" s="12" t="n"/>
      <c r="K3566" s="12" t="n"/>
      <c r="L3566" s="14" t="n"/>
      <c r="M3566" s="12" t="n"/>
      <c r="N3566" s="12" t="n"/>
      <c r="O3566" s="12" t="n"/>
    </row>
    <row r="3567">
      <c r="A3567" s="12" t="n"/>
      <c r="B3567" s="13">
        <f>IF($A3567="","",IFERROR(INDEX(Emp_Names,MATCH($A3567,Emp_Codes,0)),"NOT FOUND"))</f>
        <v/>
      </c>
      <c r="C3567" s="14" t="n"/>
      <c r="D3567" s="15" t="n"/>
      <c r="E3567" s="15" t="n"/>
      <c r="F3567" s="15" t="n"/>
      <c r="G3567" s="15" t="n"/>
      <c r="H3567" s="16">
        <f>IF($A3567="","",$D3567+IF($E3567="",0,$E3567)+IF($F3567="",0,$F3567)-IF($G3567="",0,$G3567))</f>
        <v/>
      </c>
      <c r="I3567" s="12" t="n"/>
      <c r="J3567" s="12" t="n"/>
      <c r="K3567" s="12" t="n"/>
      <c r="L3567" s="14" t="n"/>
      <c r="M3567" s="12" t="n"/>
      <c r="N3567" s="12" t="n"/>
      <c r="O3567" s="12" t="n"/>
    </row>
    <row r="3568">
      <c r="A3568" s="12" t="n"/>
      <c r="B3568" s="13">
        <f>IF($A3568="","",IFERROR(INDEX(Emp_Names,MATCH($A3568,Emp_Codes,0)),"NOT FOUND"))</f>
        <v/>
      </c>
      <c r="C3568" s="14" t="n"/>
      <c r="D3568" s="15" t="n"/>
      <c r="E3568" s="15" t="n"/>
      <c r="F3568" s="15" t="n"/>
      <c r="G3568" s="15" t="n"/>
      <c r="H3568" s="16">
        <f>IF($A3568="","",$D3568+IF($E3568="",0,$E3568)+IF($F3568="",0,$F3568)-IF($G3568="",0,$G3568))</f>
        <v/>
      </c>
      <c r="I3568" s="12" t="n"/>
      <c r="J3568" s="12" t="n"/>
      <c r="K3568" s="12" t="n"/>
      <c r="L3568" s="14" t="n"/>
      <c r="M3568" s="12" t="n"/>
      <c r="N3568" s="12" t="n"/>
      <c r="O3568" s="12" t="n"/>
    </row>
    <row r="3569">
      <c r="A3569" s="12" t="n"/>
      <c r="B3569" s="13">
        <f>IF($A3569="","",IFERROR(INDEX(Emp_Names,MATCH($A3569,Emp_Codes,0)),"NOT FOUND"))</f>
        <v/>
      </c>
      <c r="C3569" s="14" t="n"/>
      <c r="D3569" s="15" t="n"/>
      <c r="E3569" s="15" t="n"/>
      <c r="F3569" s="15" t="n"/>
      <c r="G3569" s="15" t="n"/>
      <c r="H3569" s="16">
        <f>IF($A3569="","",$D3569+IF($E3569="",0,$E3569)+IF($F3569="",0,$F3569)-IF($G3569="",0,$G3569))</f>
        <v/>
      </c>
      <c r="I3569" s="12" t="n"/>
      <c r="J3569" s="12" t="n"/>
      <c r="K3569" s="12" t="n"/>
      <c r="L3569" s="14" t="n"/>
      <c r="M3569" s="12" t="n"/>
      <c r="N3569" s="12" t="n"/>
      <c r="O3569" s="12" t="n"/>
    </row>
    <row r="3570">
      <c r="A3570" s="12" t="n"/>
      <c r="B3570" s="13">
        <f>IF($A3570="","",IFERROR(INDEX(Emp_Names,MATCH($A3570,Emp_Codes,0)),"NOT FOUND"))</f>
        <v/>
      </c>
      <c r="C3570" s="14" t="n"/>
      <c r="D3570" s="15" t="n"/>
      <c r="E3570" s="15" t="n"/>
      <c r="F3570" s="15" t="n"/>
      <c r="G3570" s="15" t="n"/>
      <c r="H3570" s="16">
        <f>IF($A3570="","",$D3570+IF($E3570="",0,$E3570)+IF($F3570="",0,$F3570)-IF($G3570="",0,$G3570))</f>
        <v/>
      </c>
      <c r="I3570" s="12" t="n"/>
      <c r="J3570" s="12" t="n"/>
      <c r="K3570" s="12" t="n"/>
      <c r="L3570" s="14" t="n"/>
      <c r="M3570" s="12" t="n"/>
      <c r="N3570" s="12" t="n"/>
      <c r="O3570" s="12" t="n"/>
    </row>
    <row r="3571">
      <c r="A3571" s="12" t="n"/>
      <c r="B3571" s="13">
        <f>IF($A3571="","",IFERROR(INDEX(Emp_Names,MATCH($A3571,Emp_Codes,0)),"NOT FOUND"))</f>
        <v/>
      </c>
      <c r="C3571" s="14" t="n"/>
      <c r="D3571" s="15" t="n"/>
      <c r="E3571" s="15" t="n"/>
      <c r="F3571" s="15" t="n"/>
      <c r="G3571" s="15" t="n"/>
      <c r="H3571" s="16">
        <f>IF($A3571="","",$D3571+IF($E3571="",0,$E3571)+IF($F3571="",0,$F3571)-IF($G3571="",0,$G3571))</f>
        <v/>
      </c>
      <c r="I3571" s="12" t="n"/>
      <c r="J3571" s="12" t="n"/>
      <c r="K3571" s="12" t="n"/>
      <c r="L3571" s="14" t="n"/>
      <c r="M3571" s="12" t="n"/>
      <c r="N3571" s="12" t="n"/>
      <c r="O3571" s="12" t="n"/>
    </row>
    <row r="3572">
      <c r="A3572" s="12" t="n"/>
      <c r="B3572" s="13">
        <f>IF($A3572="","",IFERROR(INDEX(Emp_Names,MATCH($A3572,Emp_Codes,0)),"NOT FOUND"))</f>
        <v/>
      </c>
      <c r="C3572" s="14" t="n"/>
      <c r="D3572" s="15" t="n"/>
      <c r="E3572" s="15" t="n"/>
      <c r="F3572" s="15" t="n"/>
      <c r="G3572" s="15" t="n"/>
      <c r="H3572" s="16">
        <f>IF($A3572="","",$D3572+IF($E3572="",0,$E3572)+IF($F3572="",0,$F3572)-IF($G3572="",0,$G3572))</f>
        <v/>
      </c>
      <c r="I3572" s="12" t="n"/>
      <c r="J3572" s="12" t="n"/>
      <c r="K3572" s="12" t="n"/>
      <c r="L3572" s="14" t="n"/>
      <c r="M3572" s="12" t="n"/>
      <c r="N3572" s="12" t="n"/>
      <c r="O3572" s="12" t="n"/>
    </row>
    <row r="3573">
      <c r="A3573" s="12" t="n"/>
      <c r="B3573" s="13">
        <f>IF($A3573="","",IFERROR(INDEX(Emp_Names,MATCH($A3573,Emp_Codes,0)),"NOT FOUND"))</f>
        <v/>
      </c>
      <c r="C3573" s="14" t="n"/>
      <c r="D3573" s="15" t="n"/>
      <c r="E3573" s="15" t="n"/>
      <c r="F3573" s="15" t="n"/>
      <c r="G3573" s="15" t="n"/>
      <c r="H3573" s="16">
        <f>IF($A3573="","",$D3573+IF($E3573="",0,$E3573)+IF($F3573="",0,$F3573)-IF($G3573="",0,$G3573))</f>
        <v/>
      </c>
      <c r="I3573" s="12" t="n"/>
      <c r="J3573" s="12" t="n"/>
      <c r="K3573" s="12" t="n"/>
      <c r="L3573" s="14" t="n"/>
      <c r="M3573" s="12" t="n"/>
      <c r="N3573" s="12" t="n"/>
      <c r="O3573" s="12" t="n"/>
    </row>
    <row r="3574">
      <c r="A3574" s="12" t="n"/>
      <c r="B3574" s="13">
        <f>IF($A3574="","",IFERROR(INDEX(Emp_Names,MATCH($A3574,Emp_Codes,0)),"NOT FOUND"))</f>
        <v/>
      </c>
      <c r="C3574" s="14" t="n"/>
      <c r="D3574" s="15" t="n"/>
      <c r="E3574" s="15" t="n"/>
      <c r="F3574" s="15" t="n"/>
      <c r="G3574" s="15" t="n"/>
      <c r="H3574" s="16">
        <f>IF($A3574="","",$D3574+IF($E3574="",0,$E3574)+IF($F3574="",0,$F3574)-IF($G3574="",0,$G3574))</f>
        <v/>
      </c>
      <c r="I3574" s="12" t="n"/>
      <c r="J3574" s="12" t="n"/>
      <c r="K3574" s="12" t="n"/>
      <c r="L3574" s="14" t="n"/>
      <c r="M3574" s="12" t="n"/>
      <c r="N3574" s="12" t="n"/>
      <c r="O3574" s="12" t="n"/>
    </row>
    <row r="3575">
      <c r="A3575" s="12" t="n"/>
      <c r="B3575" s="13">
        <f>IF($A3575="","",IFERROR(INDEX(Emp_Names,MATCH($A3575,Emp_Codes,0)),"NOT FOUND"))</f>
        <v/>
      </c>
      <c r="C3575" s="14" t="n"/>
      <c r="D3575" s="15" t="n"/>
      <c r="E3575" s="15" t="n"/>
      <c r="F3575" s="15" t="n"/>
      <c r="G3575" s="15" t="n"/>
      <c r="H3575" s="16">
        <f>IF($A3575="","",$D3575+IF($E3575="",0,$E3575)+IF($F3575="",0,$F3575)-IF($G3575="",0,$G3575))</f>
        <v/>
      </c>
      <c r="I3575" s="12" t="n"/>
      <c r="J3575" s="12" t="n"/>
      <c r="K3575" s="12" t="n"/>
      <c r="L3575" s="14" t="n"/>
      <c r="M3575" s="12" t="n"/>
      <c r="N3575" s="12" t="n"/>
      <c r="O3575" s="12" t="n"/>
    </row>
    <row r="3576">
      <c r="A3576" s="12" t="n"/>
      <c r="B3576" s="13">
        <f>IF($A3576="","",IFERROR(INDEX(Emp_Names,MATCH($A3576,Emp_Codes,0)),"NOT FOUND"))</f>
        <v/>
      </c>
      <c r="C3576" s="14" t="n"/>
      <c r="D3576" s="15" t="n"/>
      <c r="E3576" s="15" t="n"/>
      <c r="F3576" s="15" t="n"/>
      <c r="G3576" s="15" t="n"/>
      <c r="H3576" s="16">
        <f>IF($A3576="","",$D3576+IF($E3576="",0,$E3576)+IF($F3576="",0,$F3576)-IF($G3576="",0,$G3576))</f>
        <v/>
      </c>
      <c r="I3576" s="12" t="n"/>
      <c r="J3576" s="12" t="n"/>
      <c r="K3576" s="12" t="n"/>
      <c r="L3576" s="14" t="n"/>
      <c r="M3576" s="12" t="n"/>
      <c r="N3576" s="12" t="n"/>
      <c r="O3576" s="12" t="n"/>
    </row>
    <row r="3577">
      <c r="A3577" s="12" t="n"/>
      <c r="B3577" s="13">
        <f>IF($A3577="","",IFERROR(INDEX(Emp_Names,MATCH($A3577,Emp_Codes,0)),"NOT FOUND"))</f>
        <v/>
      </c>
      <c r="C3577" s="14" t="n"/>
      <c r="D3577" s="15" t="n"/>
      <c r="E3577" s="15" t="n"/>
      <c r="F3577" s="15" t="n"/>
      <c r="G3577" s="15" t="n"/>
      <c r="H3577" s="16">
        <f>IF($A3577="","",$D3577+IF($E3577="",0,$E3577)+IF($F3577="",0,$F3577)-IF($G3577="",0,$G3577))</f>
        <v/>
      </c>
      <c r="I3577" s="12" t="n"/>
      <c r="J3577" s="12" t="n"/>
      <c r="K3577" s="12" t="n"/>
      <c r="L3577" s="14" t="n"/>
      <c r="M3577" s="12" t="n"/>
      <c r="N3577" s="12" t="n"/>
      <c r="O3577" s="12" t="n"/>
    </row>
    <row r="3578">
      <c r="A3578" s="12" t="n"/>
      <c r="B3578" s="13">
        <f>IF($A3578="","",IFERROR(INDEX(Emp_Names,MATCH($A3578,Emp_Codes,0)),"NOT FOUND"))</f>
        <v/>
      </c>
      <c r="C3578" s="14" t="n"/>
      <c r="D3578" s="15" t="n"/>
      <c r="E3578" s="15" t="n"/>
      <c r="F3578" s="15" t="n"/>
      <c r="G3578" s="15" t="n"/>
      <c r="H3578" s="16">
        <f>IF($A3578="","",$D3578+IF($E3578="",0,$E3578)+IF($F3578="",0,$F3578)-IF($G3578="",0,$G3578))</f>
        <v/>
      </c>
      <c r="I3578" s="12" t="n"/>
      <c r="J3578" s="12" t="n"/>
      <c r="K3578" s="12" t="n"/>
      <c r="L3578" s="14" t="n"/>
      <c r="M3578" s="12" t="n"/>
      <c r="N3578" s="12" t="n"/>
      <c r="O3578" s="12" t="n"/>
    </row>
    <row r="3579">
      <c r="A3579" s="12" t="n"/>
      <c r="B3579" s="13">
        <f>IF($A3579="","",IFERROR(INDEX(Emp_Names,MATCH($A3579,Emp_Codes,0)),"NOT FOUND"))</f>
        <v/>
      </c>
      <c r="C3579" s="14" t="n"/>
      <c r="D3579" s="15" t="n"/>
      <c r="E3579" s="15" t="n"/>
      <c r="F3579" s="15" t="n"/>
      <c r="G3579" s="15" t="n"/>
      <c r="H3579" s="16">
        <f>IF($A3579="","",$D3579+IF($E3579="",0,$E3579)+IF($F3579="",0,$F3579)-IF($G3579="",0,$G3579))</f>
        <v/>
      </c>
      <c r="I3579" s="12" t="n"/>
      <c r="J3579" s="12" t="n"/>
      <c r="K3579" s="12" t="n"/>
      <c r="L3579" s="14" t="n"/>
      <c r="M3579" s="12" t="n"/>
      <c r="N3579" s="12" t="n"/>
      <c r="O3579" s="12" t="n"/>
    </row>
    <row r="3580">
      <c r="A3580" s="12" t="n"/>
      <c r="B3580" s="13">
        <f>IF($A3580="","",IFERROR(INDEX(Emp_Names,MATCH($A3580,Emp_Codes,0)),"NOT FOUND"))</f>
        <v/>
      </c>
      <c r="C3580" s="14" t="n"/>
      <c r="D3580" s="15" t="n"/>
      <c r="E3580" s="15" t="n"/>
      <c r="F3580" s="15" t="n"/>
      <c r="G3580" s="15" t="n"/>
      <c r="H3580" s="16">
        <f>IF($A3580="","",$D3580+IF($E3580="",0,$E3580)+IF($F3580="",0,$F3580)-IF($G3580="",0,$G3580))</f>
        <v/>
      </c>
      <c r="I3580" s="12" t="n"/>
      <c r="J3580" s="12" t="n"/>
      <c r="K3580" s="12" t="n"/>
      <c r="L3580" s="14" t="n"/>
      <c r="M3580" s="12" t="n"/>
      <c r="N3580" s="12" t="n"/>
      <c r="O3580" s="12" t="n"/>
    </row>
    <row r="3581">
      <c r="A3581" s="12" t="n"/>
      <c r="B3581" s="13">
        <f>IF($A3581="","",IFERROR(INDEX(Emp_Names,MATCH($A3581,Emp_Codes,0)),"NOT FOUND"))</f>
        <v/>
      </c>
      <c r="C3581" s="14" t="n"/>
      <c r="D3581" s="15" t="n"/>
      <c r="E3581" s="15" t="n"/>
      <c r="F3581" s="15" t="n"/>
      <c r="G3581" s="15" t="n"/>
      <c r="H3581" s="16">
        <f>IF($A3581="","",$D3581+IF($E3581="",0,$E3581)+IF($F3581="",0,$F3581)-IF($G3581="",0,$G3581))</f>
        <v/>
      </c>
      <c r="I3581" s="12" t="n"/>
      <c r="J3581" s="12" t="n"/>
      <c r="K3581" s="12" t="n"/>
      <c r="L3581" s="14" t="n"/>
      <c r="M3581" s="12" t="n"/>
      <c r="N3581" s="12" t="n"/>
      <c r="O3581" s="12" t="n"/>
    </row>
    <row r="3582">
      <c r="A3582" s="12" t="n"/>
      <c r="B3582" s="13">
        <f>IF($A3582="","",IFERROR(INDEX(Emp_Names,MATCH($A3582,Emp_Codes,0)),"NOT FOUND"))</f>
        <v/>
      </c>
      <c r="C3582" s="14" t="n"/>
      <c r="D3582" s="15" t="n"/>
      <c r="E3582" s="15" t="n"/>
      <c r="F3582" s="15" t="n"/>
      <c r="G3582" s="15" t="n"/>
      <c r="H3582" s="16">
        <f>IF($A3582="","",$D3582+IF($E3582="",0,$E3582)+IF($F3582="",0,$F3582)-IF($G3582="",0,$G3582))</f>
        <v/>
      </c>
      <c r="I3582" s="12" t="n"/>
      <c r="J3582" s="12" t="n"/>
      <c r="K3582" s="12" t="n"/>
      <c r="L3582" s="14" t="n"/>
      <c r="M3582" s="12" t="n"/>
      <c r="N3582" s="12" t="n"/>
      <c r="O3582" s="12" t="n"/>
    </row>
    <row r="3583">
      <c r="A3583" s="12" t="n"/>
      <c r="B3583" s="13">
        <f>IF($A3583="","",IFERROR(INDEX(Emp_Names,MATCH($A3583,Emp_Codes,0)),"NOT FOUND"))</f>
        <v/>
      </c>
      <c r="C3583" s="14" t="n"/>
      <c r="D3583" s="15" t="n"/>
      <c r="E3583" s="15" t="n"/>
      <c r="F3583" s="15" t="n"/>
      <c r="G3583" s="15" t="n"/>
      <c r="H3583" s="16">
        <f>IF($A3583="","",$D3583+IF($E3583="",0,$E3583)+IF($F3583="",0,$F3583)-IF($G3583="",0,$G3583))</f>
        <v/>
      </c>
      <c r="I3583" s="12" t="n"/>
      <c r="J3583" s="12" t="n"/>
      <c r="K3583" s="12" t="n"/>
      <c r="L3583" s="14" t="n"/>
      <c r="M3583" s="12" t="n"/>
      <c r="N3583" s="12" t="n"/>
      <c r="O3583" s="12" t="n"/>
    </row>
    <row r="3584">
      <c r="A3584" s="12" t="n"/>
      <c r="B3584" s="13">
        <f>IF($A3584="","",IFERROR(INDEX(Emp_Names,MATCH($A3584,Emp_Codes,0)),"NOT FOUND"))</f>
        <v/>
      </c>
      <c r="C3584" s="14" t="n"/>
      <c r="D3584" s="15" t="n"/>
      <c r="E3584" s="15" t="n"/>
      <c r="F3584" s="15" t="n"/>
      <c r="G3584" s="15" t="n"/>
      <c r="H3584" s="16">
        <f>IF($A3584="","",$D3584+IF($E3584="",0,$E3584)+IF($F3584="",0,$F3584)-IF($G3584="",0,$G3584))</f>
        <v/>
      </c>
      <c r="I3584" s="12" t="n"/>
      <c r="J3584" s="12" t="n"/>
      <c r="K3584" s="12" t="n"/>
      <c r="L3584" s="14" t="n"/>
      <c r="M3584" s="12" t="n"/>
      <c r="N3584" s="12" t="n"/>
      <c r="O3584" s="12" t="n"/>
    </row>
    <row r="3585">
      <c r="A3585" s="12" t="n"/>
      <c r="B3585" s="13">
        <f>IF($A3585="","",IFERROR(INDEX(Emp_Names,MATCH($A3585,Emp_Codes,0)),"NOT FOUND"))</f>
        <v/>
      </c>
      <c r="C3585" s="14" t="n"/>
      <c r="D3585" s="15" t="n"/>
      <c r="E3585" s="15" t="n"/>
      <c r="F3585" s="15" t="n"/>
      <c r="G3585" s="15" t="n"/>
      <c r="H3585" s="16">
        <f>IF($A3585="","",$D3585+IF($E3585="",0,$E3585)+IF($F3585="",0,$F3585)-IF($G3585="",0,$G3585))</f>
        <v/>
      </c>
      <c r="I3585" s="12" t="n"/>
      <c r="J3585" s="12" t="n"/>
      <c r="K3585" s="12" t="n"/>
      <c r="L3585" s="14" t="n"/>
      <c r="M3585" s="12" t="n"/>
      <c r="N3585" s="12" t="n"/>
      <c r="O3585" s="12" t="n"/>
    </row>
    <row r="3586">
      <c r="A3586" s="12" t="n"/>
      <c r="B3586" s="13">
        <f>IF($A3586="","",IFERROR(INDEX(Emp_Names,MATCH($A3586,Emp_Codes,0)),"NOT FOUND"))</f>
        <v/>
      </c>
      <c r="C3586" s="14" t="n"/>
      <c r="D3586" s="15" t="n"/>
      <c r="E3586" s="15" t="n"/>
      <c r="F3586" s="15" t="n"/>
      <c r="G3586" s="15" t="n"/>
      <c r="H3586" s="16">
        <f>IF($A3586="","",$D3586+IF($E3586="",0,$E3586)+IF($F3586="",0,$F3586)-IF($G3586="",0,$G3586))</f>
        <v/>
      </c>
      <c r="I3586" s="12" t="n"/>
      <c r="J3586" s="12" t="n"/>
      <c r="K3586" s="12" t="n"/>
      <c r="L3586" s="14" t="n"/>
      <c r="M3586" s="12" t="n"/>
      <c r="N3586" s="12" t="n"/>
      <c r="O3586" s="12" t="n"/>
    </row>
    <row r="3587">
      <c r="A3587" s="12" t="n"/>
      <c r="B3587" s="13">
        <f>IF($A3587="","",IFERROR(INDEX(Emp_Names,MATCH($A3587,Emp_Codes,0)),"NOT FOUND"))</f>
        <v/>
      </c>
      <c r="C3587" s="14" t="n"/>
      <c r="D3587" s="15" t="n"/>
      <c r="E3587" s="15" t="n"/>
      <c r="F3587" s="15" t="n"/>
      <c r="G3587" s="15" t="n"/>
      <c r="H3587" s="16">
        <f>IF($A3587="","",$D3587+IF($E3587="",0,$E3587)+IF($F3587="",0,$F3587)-IF($G3587="",0,$G3587))</f>
        <v/>
      </c>
      <c r="I3587" s="12" t="n"/>
      <c r="J3587" s="12" t="n"/>
      <c r="K3587" s="12" t="n"/>
      <c r="L3587" s="14" t="n"/>
      <c r="M3587" s="12" t="n"/>
      <c r="N3587" s="12" t="n"/>
      <c r="O3587" s="12" t="n"/>
    </row>
    <row r="3588">
      <c r="A3588" s="12" t="n"/>
      <c r="B3588" s="13">
        <f>IF($A3588="","",IFERROR(INDEX(Emp_Names,MATCH($A3588,Emp_Codes,0)),"NOT FOUND"))</f>
        <v/>
      </c>
      <c r="C3588" s="14" t="n"/>
      <c r="D3588" s="15" t="n"/>
      <c r="E3588" s="15" t="n"/>
      <c r="F3588" s="15" t="n"/>
      <c r="G3588" s="15" t="n"/>
      <c r="H3588" s="16">
        <f>IF($A3588="","",$D3588+IF($E3588="",0,$E3588)+IF($F3588="",0,$F3588)-IF($G3588="",0,$G3588))</f>
        <v/>
      </c>
      <c r="I3588" s="12" t="n"/>
      <c r="J3588" s="12" t="n"/>
      <c r="K3588" s="12" t="n"/>
      <c r="L3588" s="14" t="n"/>
      <c r="M3588" s="12" t="n"/>
      <c r="N3588" s="12" t="n"/>
      <c r="O3588" s="12" t="n"/>
    </row>
    <row r="3589">
      <c r="A3589" s="12" t="n"/>
      <c r="B3589" s="13">
        <f>IF($A3589="","",IFERROR(INDEX(Emp_Names,MATCH($A3589,Emp_Codes,0)),"NOT FOUND"))</f>
        <v/>
      </c>
      <c r="C3589" s="14" t="n"/>
      <c r="D3589" s="15" t="n"/>
      <c r="E3589" s="15" t="n"/>
      <c r="F3589" s="15" t="n"/>
      <c r="G3589" s="15" t="n"/>
      <c r="H3589" s="16">
        <f>IF($A3589="","",$D3589+IF($E3589="",0,$E3589)+IF($F3589="",0,$F3589)-IF($G3589="",0,$G3589))</f>
        <v/>
      </c>
      <c r="I3589" s="12" t="n"/>
      <c r="J3589" s="12" t="n"/>
      <c r="K3589" s="12" t="n"/>
      <c r="L3589" s="14" t="n"/>
      <c r="M3589" s="12" t="n"/>
      <c r="N3589" s="12" t="n"/>
      <c r="O3589" s="12" t="n"/>
    </row>
    <row r="3590">
      <c r="A3590" s="12" t="n"/>
      <c r="B3590" s="13">
        <f>IF($A3590="","",IFERROR(INDEX(Emp_Names,MATCH($A3590,Emp_Codes,0)),"NOT FOUND"))</f>
        <v/>
      </c>
      <c r="C3590" s="14" t="n"/>
      <c r="D3590" s="15" t="n"/>
      <c r="E3590" s="15" t="n"/>
      <c r="F3590" s="15" t="n"/>
      <c r="G3590" s="15" t="n"/>
      <c r="H3590" s="16">
        <f>IF($A3590="","",$D3590+IF($E3590="",0,$E3590)+IF($F3590="",0,$F3590)-IF($G3590="",0,$G3590))</f>
        <v/>
      </c>
      <c r="I3590" s="12" t="n"/>
      <c r="J3590" s="12" t="n"/>
      <c r="K3590" s="12" t="n"/>
      <c r="L3590" s="14" t="n"/>
      <c r="M3590" s="12" t="n"/>
      <c r="N3590" s="12" t="n"/>
      <c r="O3590" s="12" t="n"/>
    </row>
    <row r="3591">
      <c r="A3591" s="12" t="n"/>
      <c r="B3591" s="13">
        <f>IF($A3591="","",IFERROR(INDEX(Emp_Names,MATCH($A3591,Emp_Codes,0)),"NOT FOUND"))</f>
        <v/>
      </c>
      <c r="C3591" s="14" t="n"/>
      <c r="D3591" s="15" t="n"/>
      <c r="E3591" s="15" t="n"/>
      <c r="F3591" s="15" t="n"/>
      <c r="G3591" s="15" t="n"/>
      <c r="H3591" s="16">
        <f>IF($A3591="","",$D3591+IF($E3591="",0,$E3591)+IF($F3591="",0,$F3591)-IF($G3591="",0,$G3591))</f>
        <v/>
      </c>
      <c r="I3591" s="12" t="n"/>
      <c r="J3591" s="12" t="n"/>
      <c r="K3591" s="12" t="n"/>
      <c r="L3591" s="14" t="n"/>
      <c r="M3591" s="12" t="n"/>
      <c r="N3591" s="12" t="n"/>
      <c r="O3591" s="12" t="n"/>
    </row>
    <row r="3592">
      <c r="A3592" s="12" t="n"/>
      <c r="B3592" s="13">
        <f>IF($A3592="","",IFERROR(INDEX(Emp_Names,MATCH($A3592,Emp_Codes,0)),"NOT FOUND"))</f>
        <v/>
      </c>
      <c r="C3592" s="14" t="n"/>
      <c r="D3592" s="15" t="n"/>
      <c r="E3592" s="15" t="n"/>
      <c r="F3592" s="15" t="n"/>
      <c r="G3592" s="15" t="n"/>
      <c r="H3592" s="16">
        <f>IF($A3592="","",$D3592+IF($E3592="",0,$E3592)+IF($F3592="",0,$F3592)-IF($G3592="",0,$G3592))</f>
        <v/>
      </c>
      <c r="I3592" s="12" t="n"/>
      <c r="J3592" s="12" t="n"/>
      <c r="K3592" s="12" t="n"/>
      <c r="L3592" s="14" t="n"/>
      <c r="M3592" s="12" t="n"/>
      <c r="N3592" s="12" t="n"/>
      <c r="O3592" s="12" t="n"/>
    </row>
    <row r="3593">
      <c r="A3593" s="12" t="n"/>
      <c r="B3593" s="13">
        <f>IF($A3593="","",IFERROR(INDEX(Emp_Names,MATCH($A3593,Emp_Codes,0)),"NOT FOUND"))</f>
        <v/>
      </c>
      <c r="C3593" s="14" t="n"/>
      <c r="D3593" s="15" t="n"/>
      <c r="E3593" s="15" t="n"/>
      <c r="F3593" s="15" t="n"/>
      <c r="G3593" s="15" t="n"/>
      <c r="H3593" s="16">
        <f>IF($A3593="","",$D3593+IF($E3593="",0,$E3593)+IF($F3593="",0,$F3593)-IF($G3593="",0,$G3593))</f>
        <v/>
      </c>
      <c r="I3593" s="12" t="n"/>
      <c r="J3593" s="12" t="n"/>
      <c r="K3593" s="12" t="n"/>
      <c r="L3593" s="14" t="n"/>
      <c r="M3593" s="12" t="n"/>
      <c r="N3593" s="12" t="n"/>
      <c r="O3593" s="12" t="n"/>
    </row>
    <row r="3594">
      <c r="A3594" s="12" t="n"/>
      <c r="B3594" s="13">
        <f>IF($A3594="","",IFERROR(INDEX(Emp_Names,MATCH($A3594,Emp_Codes,0)),"NOT FOUND"))</f>
        <v/>
      </c>
      <c r="C3594" s="14" t="n"/>
      <c r="D3594" s="15" t="n"/>
      <c r="E3594" s="15" t="n"/>
      <c r="F3594" s="15" t="n"/>
      <c r="G3594" s="15" t="n"/>
      <c r="H3594" s="16">
        <f>IF($A3594="","",$D3594+IF($E3594="",0,$E3594)+IF($F3594="",0,$F3594)-IF($G3594="",0,$G3594))</f>
        <v/>
      </c>
      <c r="I3594" s="12" t="n"/>
      <c r="J3594" s="12" t="n"/>
      <c r="K3594" s="12" t="n"/>
      <c r="L3594" s="14" t="n"/>
      <c r="M3594" s="12" t="n"/>
      <c r="N3594" s="12" t="n"/>
      <c r="O3594" s="12" t="n"/>
    </row>
    <row r="3595">
      <c r="A3595" s="12" t="n"/>
      <c r="B3595" s="13">
        <f>IF($A3595="","",IFERROR(INDEX(Emp_Names,MATCH($A3595,Emp_Codes,0)),"NOT FOUND"))</f>
        <v/>
      </c>
      <c r="C3595" s="14" t="n"/>
      <c r="D3595" s="15" t="n"/>
      <c r="E3595" s="15" t="n"/>
      <c r="F3595" s="15" t="n"/>
      <c r="G3595" s="15" t="n"/>
      <c r="H3595" s="16">
        <f>IF($A3595="","",$D3595+IF($E3595="",0,$E3595)+IF($F3595="",0,$F3595)-IF($G3595="",0,$G3595))</f>
        <v/>
      </c>
      <c r="I3595" s="12" t="n"/>
      <c r="J3595" s="12" t="n"/>
      <c r="K3595" s="12" t="n"/>
      <c r="L3595" s="14" t="n"/>
      <c r="M3595" s="12" t="n"/>
      <c r="N3595" s="12" t="n"/>
      <c r="O3595" s="12" t="n"/>
    </row>
    <row r="3596">
      <c r="A3596" s="12" t="n"/>
      <c r="B3596" s="13">
        <f>IF($A3596="","",IFERROR(INDEX(Emp_Names,MATCH($A3596,Emp_Codes,0)),"NOT FOUND"))</f>
        <v/>
      </c>
      <c r="C3596" s="14" t="n"/>
      <c r="D3596" s="15" t="n"/>
      <c r="E3596" s="15" t="n"/>
      <c r="F3596" s="15" t="n"/>
      <c r="G3596" s="15" t="n"/>
      <c r="H3596" s="16">
        <f>IF($A3596="","",$D3596+IF($E3596="",0,$E3596)+IF($F3596="",0,$F3596)-IF($G3596="",0,$G3596))</f>
        <v/>
      </c>
      <c r="I3596" s="12" t="n"/>
      <c r="J3596" s="12" t="n"/>
      <c r="K3596" s="12" t="n"/>
      <c r="L3596" s="14" t="n"/>
      <c r="M3596" s="12" t="n"/>
      <c r="N3596" s="12" t="n"/>
      <c r="O3596" s="12" t="n"/>
    </row>
    <row r="3597">
      <c r="A3597" s="12" t="n"/>
      <c r="B3597" s="13">
        <f>IF($A3597="","",IFERROR(INDEX(Emp_Names,MATCH($A3597,Emp_Codes,0)),"NOT FOUND"))</f>
        <v/>
      </c>
      <c r="C3597" s="14" t="n"/>
      <c r="D3597" s="15" t="n"/>
      <c r="E3597" s="15" t="n"/>
      <c r="F3597" s="15" t="n"/>
      <c r="G3597" s="15" t="n"/>
      <c r="H3597" s="16">
        <f>IF($A3597="","",$D3597+IF($E3597="",0,$E3597)+IF($F3597="",0,$F3597)-IF($G3597="",0,$G3597))</f>
        <v/>
      </c>
      <c r="I3597" s="12" t="n"/>
      <c r="J3597" s="12" t="n"/>
      <c r="K3597" s="12" t="n"/>
      <c r="L3597" s="14" t="n"/>
      <c r="M3597" s="12" t="n"/>
      <c r="N3597" s="12" t="n"/>
      <c r="O3597" s="12" t="n"/>
    </row>
    <row r="3598">
      <c r="A3598" s="12" t="n"/>
      <c r="B3598" s="13">
        <f>IF($A3598="","",IFERROR(INDEX(Emp_Names,MATCH($A3598,Emp_Codes,0)),"NOT FOUND"))</f>
        <v/>
      </c>
      <c r="C3598" s="14" t="n"/>
      <c r="D3598" s="15" t="n"/>
      <c r="E3598" s="15" t="n"/>
      <c r="F3598" s="15" t="n"/>
      <c r="G3598" s="15" t="n"/>
      <c r="H3598" s="16">
        <f>IF($A3598="","",$D3598+IF($E3598="",0,$E3598)+IF($F3598="",0,$F3598)-IF($G3598="",0,$G3598))</f>
        <v/>
      </c>
      <c r="I3598" s="12" t="n"/>
      <c r="J3598" s="12" t="n"/>
      <c r="K3598" s="12" t="n"/>
      <c r="L3598" s="14" t="n"/>
      <c r="M3598" s="12" t="n"/>
      <c r="N3598" s="12" t="n"/>
      <c r="O3598" s="12" t="n"/>
    </row>
    <row r="3599">
      <c r="A3599" s="12" t="n"/>
      <c r="B3599" s="13">
        <f>IF($A3599="","",IFERROR(INDEX(Emp_Names,MATCH($A3599,Emp_Codes,0)),"NOT FOUND"))</f>
        <v/>
      </c>
      <c r="C3599" s="14" t="n"/>
      <c r="D3599" s="15" t="n"/>
      <c r="E3599" s="15" t="n"/>
      <c r="F3599" s="15" t="n"/>
      <c r="G3599" s="15" t="n"/>
      <c r="H3599" s="16">
        <f>IF($A3599="","",$D3599+IF($E3599="",0,$E3599)+IF($F3599="",0,$F3599)-IF($G3599="",0,$G3599))</f>
        <v/>
      </c>
      <c r="I3599" s="12" t="n"/>
      <c r="J3599" s="12" t="n"/>
      <c r="K3599" s="12" t="n"/>
      <c r="L3599" s="14" t="n"/>
      <c r="M3599" s="12" t="n"/>
      <c r="N3599" s="12" t="n"/>
      <c r="O3599" s="12" t="n"/>
    </row>
    <row r="3600">
      <c r="A3600" s="12" t="n"/>
      <c r="B3600" s="13">
        <f>IF($A3600="","",IFERROR(INDEX(Emp_Names,MATCH($A3600,Emp_Codes,0)),"NOT FOUND"))</f>
        <v/>
      </c>
      <c r="C3600" s="14" t="n"/>
      <c r="D3600" s="15" t="n"/>
      <c r="E3600" s="15" t="n"/>
      <c r="F3600" s="15" t="n"/>
      <c r="G3600" s="15" t="n"/>
      <c r="H3600" s="16">
        <f>IF($A3600="","",$D3600+IF($E3600="",0,$E3600)+IF($F3600="",0,$F3600)-IF($G3600="",0,$G3600))</f>
        <v/>
      </c>
      <c r="I3600" s="12" t="n"/>
      <c r="J3600" s="12" t="n"/>
      <c r="K3600" s="12" t="n"/>
      <c r="L3600" s="14" t="n"/>
      <c r="M3600" s="12" t="n"/>
      <c r="N3600" s="12" t="n"/>
      <c r="O3600" s="12" t="n"/>
    </row>
    <row r="3601">
      <c r="A3601" s="12" t="n"/>
      <c r="B3601" s="13">
        <f>IF($A3601="","",IFERROR(INDEX(Emp_Names,MATCH($A3601,Emp_Codes,0)),"NOT FOUND"))</f>
        <v/>
      </c>
      <c r="C3601" s="14" t="n"/>
      <c r="D3601" s="15" t="n"/>
      <c r="E3601" s="15" t="n"/>
      <c r="F3601" s="15" t="n"/>
      <c r="G3601" s="15" t="n"/>
      <c r="H3601" s="16">
        <f>IF($A3601="","",$D3601+IF($E3601="",0,$E3601)+IF($F3601="",0,$F3601)-IF($G3601="",0,$G3601))</f>
        <v/>
      </c>
      <c r="I3601" s="12" t="n"/>
      <c r="J3601" s="12" t="n"/>
      <c r="K3601" s="12" t="n"/>
      <c r="L3601" s="14" t="n"/>
      <c r="M3601" s="12" t="n"/>
      <c r="N3601" s="12" t="n"/>
      <c r="O3601" s="12" t="n"/>
    </row>
    <row r="3602">
      <c r="A3602" s="12" t="n"/>
      <c r="B3602" s="13">
        <f>IF($A3602="","",IFERROR(INDEX(Emp_Names,MATCH($A3602,Emp_Codes,0)),"NOT FOUND"))</f>
        <v/>
      </c>
      <c r="C3602" s="14" t="n"/>
      <c r="D3602" s="15" t="n"/>
      <c r="E3602" s="15" t="n"/>
      <c r="F3602" s="15" t="n"/>
      <c r="G3602" s="15" t="n"/>
      <c r="H3602" s="16">
        <f>IF($A3602="","",$D3602+IF($E3602="",0,$E3602)+IF($F3602="",0,$F3602)-IF($G3602="",0,$G3602))</f>
        <v/>
      </c>
      <c r="I3602" s="12" t="n"/>
      <c r="J3602" s="12" t="n"/>
      <c r="K3602" s="12" t="n"/>
      <c r="L3602" s="14" t="n"/>
      <c r="M3602" s="12" t="n"/>
      <c r="N3602" s="12" t="n"/>
      <c r="O3602" s="12" t="n"/>
    </row>
    <row r="3603">
      <c r="A3603" s="12" t="n"/>
      <c r="B3603" s="13">
        <f>IF($A3603="","",IFERROR(INDEX(Emp_Names,MATCH($A3603,Emp_Codes,0)),"NOT FOUND"))</f>
        <v/>
      </c>
      <c r="C3603" s="14" t="n"/>
      <c r="D3603" s="15" t="n"/>
      <c r="E3603" s="15" t="n"/>
      <c r="F3603" s="15" t="n"/>
      <c r="G3603" s="15" t="n"/>
      <c r="H3603" s="16">
        <f>IF($A3603="","",$D3603+IF($E3603="",0,$E3603)+IF($F3603="",0,$F3603)-IF($G3603="",0,$G3603))</f>
        <v/>
      </c>
      <c r="I3603" s="12" t="n"/>
      <c r="J3603" s="12" t="n"/>
      <c r="K3603" s="12" t="n"/>
      <c r="L3603" s="14" t="n"/>
      <c r="M3603" s="12" t="n"/>
      <c r="N3603" s="12" t="n"/>
      <c r="O3603" s="12" t="n"/>
    </row>
    <row r="3604">
      <c r="A3604" s="12" t="n"/>
      <c r="B3604" s="13">
        <f>IF($A3604="","",IFERROR(INDEX(Emp_Names,MATCH($A3604,Emp_Codes,0)),"NOT FOUND"))</f>
        <v/>
      </c>
      <c r="C3604" s="14" t="n"/>
      <c r="D3604" s="15" t="n"/>
      <c r="E3604" s="15" t="n"/>
      <c r="F3604" s="15" t="n"/>
      <c r="G3604" s="15" t="n"/>
      <c r="H3604" s="16">
        <f>IF($A3604="","",$D3604+IF($E3604="",0,$E3604)+IF($F3604="",0,$F3604)-IF($G3604="",0,$G3604))</f>
        <v/>
      </c>
      <c r="I3604" s="12" t="n"/>
      <c r="J3604" s="12" t="n"/>
      <c r="K3604" s="12" t="n"/>
      <c r="L3604" s="14" t="n"/>
      <c r="M3604" s="12" t="n"/>
      <c r="N3604" s="12" t="n"/>
      <c r="O3604" s="12" t="n"/>
    </row>
    <row r="3605">
      <c r="A3605" s="12" t="n"/>
      <c r="B3605" s="13">
        <f>IF($A3605="","",IFERROR(INDEX(Emp_Names,MATCH($A3605,Emp_Codes,0)),"NOT FOUND"))</f>
        <v/>
      </c>
      <c r="C3605" s="14" t="n"/>
      <c r="D3605" s="15" t="n"/>
      <c r="E3605" s="15" t="n"/>
      <c r="F3605" s="15" t="n"/>
      <c r="G3605" s="15" t="n"/>
      <c r="H3605" s="16">
        <f>IF($A3605="","",$D3605+IF($E3605="",0,$E3605)+IF($F3605="",0,$F3605)-IF($G3605="",0,$G3605))</f>
        <v/>
      </c>
      <c r="I3605" s="12" t="n"/>
      <c r="J3605" s="12" t="n"/>
      <c r="K3605" s="12" t="n"/>
      <c r="L3605" s="14" t="n"/>
      <c r="M3605" s="12" t="n"/>
      <c r="N3605" s="12" t="n"/>
      <c r="O3605" s="12" t="n"/>
    </row>
    <row r="3606">
      <c r="A3606" s="12" t="n"/>
      <c r="B3606" s="13">
        <f>IF($A3606="","",IFERROR(INDEX(Emp_Names,MATCH($A3606,Emp_Codes,0)),"NOT FOUND"))</f>
        <v/>
      </c>
      <c r="C3606" s="14" t="n"/>
      <c r="D3606" s="15" t="n"/>
      <c r="E3606" s="15" t="n"/>
      <c r="F3606" s="15" t="n"/>
      <c r="G3606" s="15" t="n"/>
      <c r="H3606" s="16">
        <f>IF($A3606="","",$D3606+IF($E3606="",0,$E3606)+IF($F3606="",0,$F3606)-IF($G3606="",0,$G3606))</f>
        <v/>
      </c>
      <c r="I3606" s="12" t="n"/>
      <c r="J3606" s="12" t="n"/>
      <c r="K3606" s="12" t="n"/>
      <c r="L3606" s="14" t="n"/>
      <c r="M3606" s="12" t="n"/>
      <c r="N3606" s="12" t="n"/>
      <c r="O3606" s="12" t="n"/>
    </row>
    <row r="3607">
      <c r="A3607" s="12" t="n"/>
      <c r="B3607" s="13">
        <f>IF($A3607="","",IFERROR(INDEX(Emp_Names,MATCH($A3607,Emp_Codes,0)),"NOT FOUND"))</f>
        <v/>
      </c>
      <c r="C3607" s="14" t="n"/>
      <c r="D3607" s="15" t="n"/>
      <c r="E3607" s="15" t="n"/>
      <c r="F3607" s="15" t="n"/>
      <c r="G3607" s="15" t="n"/>
      <c r="H3607" s="16">
        <f>IF($A3607="","",$D3607+IF($E3607="",0,$E3607)+IF($F3607="",0,$F3607)-IF($G3607="",0,$G3607))</f>
        <v/>
      </c>
      <c r="I3607" s="12" t="n"/>
      <c r="J3607" s="12" t="n"/>
      <c r="K3607" s="12" t="n"/>
      <c r="L3607" s="14" t="n"/>
      <c r="M3607" s="12" t="n"/>
      <c r="N3607" s="12" t="n"/>
      <c r="O3607" s="12" t="n"/>
    </row>
    <row r="3608">
      <c r="A3608" s="12" t="n"/>
      <c r="B3608" s="13">
        <f>IF($A3608="","",IFERROR(INDEX(Emp_Names,MATCH($A3608,Emp_Codes,0)),"NOT FOUND"))</f>
        <v/>
      </c>
      <c r="C3608" s="14" t="n"/>
      <c r="D3608" s="15" t="n"/>
      <c r="E3608" s="15" t="n"/>
      <c r="F3608" s="15" t="n"/>
      <c r="G3608" s="15" t="n"/>
      <c r="H3608" s="16">
        <f>IF($A3608="","",$D3608+IF($E3608="",0,$E3608)+IF($F3608="",0,$F3608)-IF($G3608="",0,$G3608))</f>
        <v/>
      </c>
      <c r="I3608" s="12" t="n"/>
      <c r="J3608" s="12" t="n"/>
      <c r="K3608" s="12" t="n"/>
      <c r="L3608" s="14" t="n"/>
      <c r="M3608" s="12" t="n"/>
      <c r="N3608" s="12" t="n"/>
      <c r="O3608" s="12" t="n"/>
    </row>
    <row r="3609">
      <c r="A3609" s="12" t="n"/>
      <c r="B3609" s="13">
        <f>IF($A3609="","",IFERROR(INDEX(Emp_Names,MATCH($A3609,Emp_Codes,0)),"NOT FOUND"))</f>
        <v/>
      </c>
      <c r="C3609" s="14" t="n"/>
      <c r="D3609" s="15" t="n"/>
      <c r="E3609" s="15" t="n"/>
      <c r="F3609" s="15" t="n"/>
      <c r="G3609" s="15" t="n"/>
      <c r="H3609" s="16">
        <f>IF($A3609="","",$D3609+IF($E3609="",0,$E3609)+IF($F3609="",0,$F3609)-IF($G3609="",0,$G3609))</f>
        <v/>
      </c>
      <c r="I3609" s="12" t="n"/>
      <c r="J3609" s="12" t="n"/>
      <c r="K3609" s="12" t="n"/>
      <c r="L3609" s="14" t="n"/>
      <c r="M3609" s="12" t="n"/>
      <c r="N3609" s="12" t="n"/>
      <c r="O3609" s="12" t="n"/>
    </row>
    <row r="3610">
      <c r="A3610" s="12" t="n"/>
      <c r="B3610" s="13">
        <f>IF($A3610="","",IFERROR(INDEX(Emp_Names,MATCH($A3610,Emp_Codes,0)),"NOT FOUND"))</f>
        <v/>
      </c>
      <c r="C3610" s="14" t="n"/>
      <c r="D3610" s="15" t="n"/>
      <c r="E3610" s="15" t="n"/>
      <c r="F3610" s="15" t="n"/>
      <c r="G3610" s="15" t="n"/>
      <c r="H3610" s="16">
        <f>IF($A3610="","",$D3610+IF($E3610="",0,$E3610)+IF($F3610="",0,$F3610)-IF($G3610="",0,$G3610))</f>
        <v/>
      </c>
      <c r="I3610" s="12" t="n"/>
      <c r="J3610" s="12" t="n"/>
      <c r="K3610" s="12" t="n"/>
      <c r="L3610" s="14" t="n"/>
      <c r="M3610" s="12" t="n"/>
      <c r="N3610" s="12" t="n"/>
      <c r="O3610" s="12" t="n"/>
    </row>
    <row r="3611">
      <c r="A3611" s="12" t="n"/>
      <c r="B3611" s="13">
        <f>IF($A3611="","",IFERROR(INDEX(Emp_Names,MATCH($A3611,Emp_Codes,0)),"NOT FOUND"))</f>
        <v/>
      </c>
      <c r="C3611" s="14" t="n"/>
      <c r="D3611" s="15" t="n"/>
      <c r="E3611" s="15" t="n"/>
      <c r="F3611" s="15" t="n"/>
      <c r="G3611" s="15" t="n"/>
      <c r="H3611" s="16">
        <f>IF($A3611="","",$D3611+IF($E3611="",0,$E3611)+IF($F3611="",0,$F3611)-IF($G3611="",0,$G3611))</f>
        <v/>
      </c>
      <c r="I3611" s="12" t="n"/>
      <c r="J3611" s="12" t="n"/>
      <c r="K3611" s="12" t="n"/>
      <c r="L3611" s="14" t="n"/>
      <c r="M3611" s="12" t="n"/>
      <c r="N3611" s="12" t="n"/>
      <c r="O3611" s="12" t="n"/>
    </row>
    <row r="3612">
      <c r="A3612" s="12" t="n"/>
      <c r="B3612" s="13">
        <f>IF($A3612="","",IFERROR(INDEX(Emp_Names,MATCH($A3612,Emp_Codes,0)),"NOT FOUND"))</f>
        <v/>
      </c>
      <c r="C3612" s="14" t="n"/>
      <c r="D3612" s="15" t="n"/>
      <c r="E3612" s="15" t="n"/>
      <c r="F3612" s="15" t="n"/>
      <c r="G3612" s="15" t="n"/>
      <c r="H3612" s="16">
        <f>IF($A3612="","",$D3612+IF($E3612="",0,$E3612)+IF($F3612="",0,$F3612)-IF($G3612="",0,$G3612))</f>
        <v/>
      </c>
      <c r="I3612" s="12" t="n"/>
      <c r="J3612" s="12" t="n"/>
      <c r="K3612" s="12" t="n"/>
      <c r="L3612" s="14" t="n"/>
      <c r="M3612" s="12" t="n"/>
      <c r="N3612" s="12" t="n"/>
      <c r="O3612" s="12" t="n"/>
    </row>
    <row r="3613">
      <c r="A3613" s="12" t="n"/>
      <c r="B3613" s="13">
        <f>IF($A3613="","",IFERROR(INDEX(Emp_Names,MATCH($A3613,Emp_Codes,0)),"NOT FOUND"))</f>
        <v/>
      </c>
      <c r="C3613" s="14" t="n"/>
      <c r="D3613" s="15" t="n"/>
      <c r="E3613" s="15" t="n"/>
      <c r="F3613" s="15" t="n"/>
      <c r="G3613" s="15" t="n"/>
      <c r="H3613" s="16">
        <f>IF($A3613="","",$D3613+IF($E3613="",0,$E3613)+IF($F3613="",0,$F3613)-IF($G3613="",0,$G3613))</f>
        <v/>
      </c>
      <c r="I3613" s="12" t="n"/>
      <c r="J3613" s="12" t="n"/>
      <c r="K3613" s="12" t="n"/>
      <c r="L3613" s="14" t="n"/>
      <c r="M3613" s="12" t="n"/>
      <c r="N3613" s="12" t="n"/>
      <c r="O3613" s="12" t="n"/>
    </row>
    <row r="3614">
      <c r="A3614" s="12" t="n"/>
      <c r="B3614" s="13">
        <f>IF($A3614="","",IFERROR(INDEX(Emp_Names,MATCH($A3614,Emp_Codes,0)),"NOT FOUND"))</f>
        <v/>
      </c>
      <c r="C3614" s="14" t="n"/>
      <c r="D3614" s="15" t="n"/>
      <c r="E3614" s="15" t="n"/>
      <c r="F3614" s="15" t="n"/>
      <c r="G3614" s="15" t="n"/>
      <c r="H3614" s="16">
        <f>IF($A3614="","",$D3614+IF($E3614="",0,$E3614)+IF($F3614="",0,$F3614)-IF($G3614="",0,$G3614))</f>
        <v/>
      </c>
      <c r="I3614" s="12" t="n"/>
      <c r="J3614" s="12" t="n"/>
      <c r="K3614" s="12" t="n"/>
      <c r="L3614" s="14" t="n"/>
      <c r="M3614" s="12" t="n"/>
      <c r="N3614" s="12" t="n"/>
      <c r="O3614" s="12" t="n"/>
    </row>
    <row r="3615">
      <c r="A3615" s="12" t="n"/>
      <c r="B3615" s="13">
        <f>IF($A3615="","",IFERROR(INDEX(Emp_Names,MATCH($A3615,Emp_Codes,0)),"NOT FOUND"))</f>
        <v/>
      </c>
      <c r="C3615" s="14" t="n"/>
      <c r="D3615" s="15" t="n"/>
      <c r="E3615" s="15" t="n"/>
      <c r="F3615" s="15" t="n"/>
      <c r="G3615" s="15" t="n"/>
      <c r="H3615" s="16">
        <f>IF($A3615="","",$D3615+IF($E3615="",0,$E3615)+IF($F3615="",0,$F3615)-IF($G3615="",0,$G3615))</f>
        <v/>
      </c>
      <c r="I3615" s="12" t="n"/>
      <c r="J3615" s="12" t="n"/>
      <c r="K3615" s="12" t="n"/>
      <c r="L3615" s="14" t="n"/>
      <c r="M3615" s="12" t="n"/>
      <c r="N3615" s="12" t="n"/>
      <c r="O3615" s="12" t="n"/>
    </row>
    <row r="3616">
      <c r="A3616" s="12" t="n"/>
      <c r="B3616" s="13">
        <f>IF($A3616="","",IFERROR(INDEX(Emp_Names,MATCH($A3616,Emp_Codes,0)),"NOT FOUND"))</f>
        <v/>
      </c>
      <c r="C3616" s="14" t="n"/>
      <c r="D3616" s="15" t="n"/>
      <c r="E3616" s="15" t="n"/>
      <c r="F3616" s="15" t="n"/>
      <c r="G3616" s="15" t="n"/>
      <c r="H3616" s="16">
        <f>IF($A3616="","",$D3616+IF($E3616="",0,$E3616)+IF($F3616="",0,$F3616)-IF($G3616="",0,$G3616))</f>
        <v/>
      </c>
      <c r="I3616" s="12" t="n"/>
      <c r="J3616" s="12" t="n"/>
      <c r="K3616" s="12" t="n"/>
      <c r="L3616" s="14" t="n"/>
      <c r="M3616" s="12" t="n"/>
      <c r="N3616" s="12" t="n"/>
      <c r="O3616" s="12" t="n"/>
    </row>
    <row r="3617">
      <c r="A3617" s="12" t="n"/>
      <c r="B3617" s="13">
        <f>IF($A3617="","",IFERROR(INDEX(Emp_Names,MATCH($A3617,Emp_Codes,0)),"NOT FOUND"))</f>
        <v/>
      </c>
      <c r="C3617" s="14" t="n"/>
      <c r="D3617" s="15" t="n"/>
      <c r="E3617" s="15" t="n"/>
      <c r="F3617" s="15" t="n"/>
      <c r="G3617" s="15" t="n"/>
      <c r="H3617" s="16">
        <f>IF($A3617="","",$D3617+IF($E3617="",0,$E3617)+IF($F3617="",0,$F3617)-IF($G3617="",0,$G3617))</f>
        <v/>
      </c>
      <c r="I3617" s="12" t="n"/>
      <c r="J3617" s="12" t="n"/>
      <c r="K3617" s="12" t="n"/>
      <c r="L3617" s="14" t="n"/>
      <c r="M3617" s="12" t="n"/>
      <c r="N3617" s="12" t="n"/>
      <c r="O3617" s="12" t="n"/>
    </row>
    <row r="3618">
      <c r="A3618" s="12" t="n"/>
      <c r="B3618" s="13">
        <f>IF($A3618="","",IFERROR(INDEX(Emp_Names,MATCH($A3618,Emp_Codes,0)),"NOT FOUND"))</f>
        <v/>
      </c>
      <c r="C3618" s="14" t="n"/>
      <c r="D3618" s="15" t="n"/>
      <c r="E3618" s="15" t="n"/>
      <c r="F3618" s="15" t="n"/>
      <c r="G3618" s="15" t="n"/>
      <c r="H3618" s="16">
        <f>IF($A3618="","",$D3618+IF($E3618="",0,$E3618)+IF($F3618="",0,$F3618)-IF($G3618="",0,$G3618))</f>
        <v/>
      </c>
      <c r="I3618" s="12" t="n"/>
      <c r="J3618" s="12" t="n"/>
      <c r="K3618" s="12" t="n"/>
      <c r="L3618" s="14" t="n"/>
      <c r="M3618" s="12" t="n"/>
      <c r="N3618" s="12" t="n"/>
      <c r="O3618" s="12" t="n"/>
    </row>
    <row r="3619">
      <c r="A3619" s="12" t="n"/>
      <c r="B3619" s="13">
        <f>IF($A3619="","",IFERROR(INDEX(Emp_Names,MATCH($A3619,Emp_Codes,0)),"NOT FOUND"))</f>
        <v/>
      </c>
      <c r="C3619" s="14" t="n"/>
      <c r="D3619" s="15" t="n"/>
      <c r="E3619" s="15" t="n"/>
      <c r="F3619" s="15" t="n"/>
      <c r="G3619" s="15" t="n"/>
      <c r="H3619" s="16">
        <f>IF($A3619="","",$D3619+IF($E3619="",0,$E3619)+IF($F3619="",0,$F3619)-IF($G3619="",0,$G3619))</f>
        <v/>
      </c>
      <c r="I3619" s="12" t="n"/>
      <c r="J3619" s="12" t="n"/>
      <c r="K3619" s="12" t="n"/>
      <c r="L3619" s="14" t="n"/>
      <c r="M3619" s="12" t="n"/>
      <c r="N3619" s="12" t="n"/>
      <c r="O3619" s="12" t="n"/>
    </row>
    <row r="3620">
      <c r="A3620" s="12" t="n"/>
      <c r="B3620" s="13">
        <f>IF($A3620="","",IFERROR(INDEX(Emp_Names,MATCH($A3620,Emp_Codes,0)),"NOT FOUND"))</f>
        <v/>
      </c>
      <c r="C3620" s="14" t="n"/>
      <c r="D3620" s="15" t="n"/>
      <c r="E3620" s="15" t="n"/>
      <c r="F3620" s="15" t="n"/>
      <c r="G3620" s="15" t="n"/>
      <c r="H3620" s="16">
        <f>IF($A3620="","",$D3620+IF($E3620="",0,$E3620)+IF($F3620="",0,$F3620)-IF($G3620="",0,$G3620))</f>
        <v/>
      </c>
      <c r="I3620" s="12" t="n"/>
      <c r="J3620" s="12" t="n"/>
      <c r="K3620" s="12" t="n"/>
      <c r="L3620" s="14" t="n"/>
      <c r="M3620" s="12" t="n"/>
      <c r="N3620" s="12" t="n"/>
      <c r="O3620" s="12" t="n"/>
    </row>
    <row r="3621">
      <c r="A3621" s="12" t="n"/>
      <c r="B3621" s="13">
        <f>IF($A3621="","",IFERROR(INDEX(Emp_Names,MATCH($A3621,Emp_Codes,0)),"NOT FOUND"))</f>
        <v/>
      </c>
      <c r="C3621" s="14" t="n"/>
      <c r="D3621" s="15" t="n"/>
      <c r="E3621" s="15" t="n"/>
      <c r="F3621" s="15" t="n"/>
      <c r="G3621" s="15" t="n"/>
      <c r="H3621" s="16">
        <f>IF($A3621="","",$D3621+IF($E3621="",0,$E3621)+IF($F3621="",0,$F3621)-IF($G3621="",0,$G3621))</f>
        <v/>
      </c>
      <c r="I3621" s="12" t="n"/>
      <c r="J3621" s="12" t="n"/>
      <c r="K3621" s="12" t="n"/>
      <c r="L3621" s="14" t="n"/>
      <c r="M3621" s="12" t="n"/>
      <c r="N3621" s="12" t="n"/>
      <c r="O3621" s="12" t="n"/>
    </row>
    <row r="3622">
      <c r="A3622" s="12" t="n"/>
      <c r="B3622" s="13">
        <f>IF($A3622="","",IFERROR(INDEX(Emp_Names,MATCH($A3622,Emp_Codes,0)),"NOT FOUND"))</f>
        <v/>
      </c>
      <c r="C3622" s="14" t="n"/>
      <c r="D3622" s="15" t="n"/>
      <c r="E3622" s="15" t="n"/>
      <c r="F3622" s="15" t="n"/>
      <c r="G3622" s="15" t="n"/>
      <c r="H3622" s="16">
        <f>IF($A3622="","",$D3622+IF($E3622="",0,$E3622)+IF($F3622="",0,$F3622)-IF($G3622="",0,$G3622))</f>
        <v/>
      </c>
      <c r="I3622" s="12" t="n"/>
      <c r="J3622" s="12" t="n"/>
      <c r="K3622" s="12" t="n"/>
      <c r="L3622" s="14" t="n"/>
      <c r="M3622" s="12" t="n"/>
      <c r="N3622" s="12" t="n"/>
      <c r="O3622" s="12" t="n"/>
    </row>
    <row r="3623">
      <c r="A3623" s="12" t="n"/>
      <c r="B3623" s="13">
        <f>IF($A3623="","",IFERROR(INDEX(Emp_Names,MATCH($A3623,Emp_Codes,0)),"NOT FOUND"))</f>
        <v/>
      </c>
      <c r="C3623" s="14" t="n"/>
      <c r="D3623" s="15" t="n"/>
      <c r="E3623" s="15" t="n"/>
      <c r="F3623" s="15" t="n"/>
      <c r="G3623" s="15" t="n"/>
      <c r="H3623" s="16">
        <f>IF($A3623="","",$D3623+IF($E3623="",0,$E3623)+IF($F3623="",0,$F3623)-IF($G3623="",0,$G3623))</f>
        <v/>
      </c>
      <c r="I3623" s="12" t="n"/>
      <c r="J3623" s="12" t="n"/>
      <c r="K3623" s="12" t="n"/>
      <c r="L3623" s="14" t="n"/>
      <c r="M3623" s="12" t="n"/>
      <c r="N3623" s="12" t="n"/>
      <c r="O3623" s="12" t="n"/>
    </row>
    <row r="3624">
      <c r="A3624" s="12" t="n"/>
      <c r="B3624" s="13">
        <f>IF($A3624="","",IFERROR(INDEX(Emp_Names,MATCH($A3624,Emp_Codes,0)),"NOT FOUND"))</f>
        <v/>
      </c>
      <c r="C3624" s="14" t="n"/>
      <c r="D3624" s="15" t="n"/>
      <c r="E3624" s="15" t="n"/>
      <c r="F3624" s="15" t="n"/>
      <c r="G3624" s="15" t="n"/>
      <c r="H3624" s="16">
        <f>IF($A3624="","",$D3624+IF($E3624="",0,$E3624)+IF($F3624="",0,$F3624)-IF($G3624="",0,$G3624))</f>
        <v/>
      </c>
      <c r="I3624" s="12" t="n"/>
      <c r="J3624" s="12" t="n"/>
      <c r="K3624" s="12" t="n"/>
      <c r="L3624" s="14" t="n"/>
      <c r="M3624" s="12" t="n"/>
      <c r="N3624" s="12" t="n"/>
      <c r="O3624" s="12" t="n"/>
    </row>
    <row r="3625">
      <c r="A3625" s="12" t="n"/>
      <c r="B3625" s="13">
        <f>IF($A3625="","",IFERROR(INDEX(Emp_Names,MATCH($A3625,Emp_Codes,0)),"NOT FOUND"))</f>
        <v/>
      </c>
      <c r="C3625" s="14" t="n"/>
      <c r="D3625" s="15" t="n"/>
      <c r="E3625" s="15" t="n"/>
      <c r="F3625" s="15" t="n"/>
      <c r="G3625" s="15" t="n"/>
      <c r="H3625" s="16">
        <f>IF($A3625="","",$D3625+IF($E3625="",0,$E3625)+IF($F3625="",0,$F3625)-IF($G3625="",0,$G3625))</f>
        <v/>
      </c>
      <c r="I3625" s="12" t="n"/>
      <c r="J3625" s="12" t="n"/>
      <c r="K3625" s="12" t="n"/>
      <c r="L3625" s="14" t="n"/>
      <c r="M3625" s="12" t="n"/>
      <c r="N3625" s="12" t="n"/>
      <c r="O3625" s="12" t="n"/>
    </row>
    <row r="3626">
      <c r="A3626" s="12" t="n"/>
      <c r="B3626" s="13">
        <f>IF($A3626="","",IFERROR(INDEX(Emp_Names,MATCH($A3626,Emp_Codes,0)),"NOT FOUND"))</f>
        <v/>
      </c>
      <c r="C3626" s="14" t="n"/>
      <c r="D3626" s="15" t="n"/>
      <c r="E3626" s="15" t="n"/>
      <c r="F3626" s="15" t="n"/>
      <c r="G3626" s="15" t="n"/>
      <c r="H3626" s="16">
        <f>IF($A3626="","",$D3626+IF($E3626="",0,$E3626)+IF($F3626="",0,$F3626)-IF($G3626="",0,$G3626))</f>
        <v/>
      </c>
      <c r="I3626" s="12" t="n"/>
      <c r="J3626" s="12" t="n"/>
      <c r="K3626" s="12" t="n"/>
      <c r="L3626" s="14" t="n"/>
      <c r="M3626" s="12" t="n"/>
      <c r="N3626" s="12" t="n"/>
      <c r="O3626" s="12" t="n"/>
    </row>
    <row r="3627">
      <c r="A3627" s="12" t="n"/>
      <c r="B3627" s="13">
        <f>IF($A3627="","",IFERROR(INDEX(Emp_Names,MATCH($A3627,Emp_Codes,0)),"NOT FOUND"))</f>
        <v/>
      </c>
      <c r="C3627" s="14" t="n"/>
      <c r="D3627" s="15" t="n"/>
      <c r="E3627" s="15" t="n"/>
      <c r="F3627" s="15" t="n"/>
      <c r="G3627" s="15" t="n"/>
      <c r="H3627" s="16">
        <f>IF($A3627="","",$D3627+IF($E3627="",0,$E3627)+IF($F3627="",0,$F3627)-IF($G3627="",0,$G3627))</f>
        <v/>
      </c>
      <c r="I3627" s="12" t="n"/>
      <c r="J3627" s="12" t="n"/>
      <c r="K3627" s="12" t="n"/>
      <c r="L3627" s="14" t="n"/>
      <c r="M3627" s="12" t="n"/>
      <c r="N3627" s="12" t="n"/>
      <c r="O3627" s="12" t="n"/>
    </row>
    <row r="3628">
      <c r="A3628" s="12" t="n"/>
      <c r="B3628" s="13">
        <f>IF($A3628="","",IFERROR(INDEX(Emp_Names,MATCH($A3628,Emp_Codes,0)),"NOT FOUND"))</f>
        <v/>
      </c>
      <c r="C3628" s="14" t="n"/>
      <c r="D3628" s="15" t="n"/>
      <c r="E3628" s="15" t="n"/>
      <c r="F3628" s="15" t="n"/>
      <c r="G3628" s="15" t="n"/>
      <c r="H3628" s="16">
        <f>IF($A3628="","",$D3628+IF($E3628="",0,$E3628)+IF($F3628="",0,$F3628)-IF($G3628="",0,$G3628))</f>
        <v/>
      </c>
      <c r="I3628" s="12" t="n"/>
      <c r="J3628" s="12" t="n"/>
      <c r="K3628" s="12" t="n"/>
      <c r="L3628" s="14" t="n"/>
      <c r="M3628" s="12" t="n"/>
      <c r="N3628" s="12" t="n"/>
      <c r="O3628" s="12" t="n"/>
    </row>
    <row r="3629">
      <c r="A3629" s="12" t="n"/>
      <c r="B3629" s="13">
        <f>IF($A3629="","",IFERROR(INDEX(Emp_Names,MATCH($A3629,Emp_Codes,0)),"NOT FOUND"))</f>
        <v/>
      </c>
      <c r="C3629" s="14" t="n"/>
      <c r="D3629" s="15" t="n"/>
      <c r="E3629" s="15" t="n"/>
      <c r="F3629" s="15" t="n"/>
      <c r="G3629" s="15" t="n"/>
      <c r="H3629" s="16">
        <f>IF($A3629="","",$D3629+IF($E3629="",0,$E3629)+IF($F3629="",0,$F3629)-IF($G3629="",0,$G3629))</f>
        <v/>
      </c>
      <c r="I3629" s="12" t="n"/>
      <c r="J3629" s="12" t="n"/>
      <c r="K3629" s="12" t="n"/>
      <c r="L3629" s="14" t="n"/>
      <c r="M3629" s="12" t="n"/>
      <c r="N3629" s="12" t="n"/>
      <c r="O3629" s="12" t="n"/>
    </row>
    <row r="3630">
      <c r="A3630" s="12" t="n"/>
      <c r="B3630" s="13">
        <f>IF($A3630="","",IFERROR(INDEX(Emp_Names,MATCH($A3630,Emp_Codes,0)),"NOT FOUND"))</f>
        <v/>
      </c>
      <c r="C3630" s="14" t="n"/>
      <c r="D3630" s="15" t="n"/>
      <c r="E3630" s="15" t="n"/>
      <c r="F3630" s="15" t="n"/>
      <c r="G3630" s="15" t="n"/>
      <c r="H3630" s="16">
        <f>IF($A3630="","",$D3630+IF($E3630="",0,$E3630)+IF($F3630="",0,$F3630)-IF($G3630="",0,$G3630))</f>
        <v/>
      </c>
      <c r="I3630" s="12" t="n"/>
      <c r="J3630" s="12" t="n"/>
      <c r="K3630" s="12" t="n"/>
      <c r="L3630" s="14" t="n"/>
      <c r="M3630" s="12" t="n"/>
      <c r="N3630" s="12" t="n"/>
      <c r="O3630" s="12" t="n"/>
    </row>
    <row r="3631">
      <c r="A3631" s="12" t="n"/>
      <c r="B3631" s="13">
        <f>IF($A3631="","",IFERROR(INDEX(Emp_Names,MATCH($A3631,Emp_Codes,0)),"NOT FOUND"))</f>
        <v/>
      </c>
      <c r="C3631" s="14" t="n"/>
      <c r="D3631" s="15" t="n"/>
      <c r="E3631" s="15" t="n"/>
      <c r="F3631" s="15" t="n"/>
      <c r="G3631" s="15" t="n"/>
      <c r="H3631" s="16">
        <f>IF($A3631="","",$D3631+IF($E3631="",0,$E3631)+IF($F3631="",0,$F3631)-IF($G3631="",0,$G3631))</f>
        <v/>
      </c>
      <c r="I3631" s="12" t="n"/>
      <c r="J3631" s="12" t="n"/>
      <c r="K3631" s="12" t="n"/>
      <c r="L3631" s="14" t="n"/>
      <c r="M3631" s="12" t="n"/>
      <c r="N3631" s="12" t="n"/>
      <c r="O3631" s="12" t="n"/>
    </row>
    <row r="3632">
      <c r="A3632" s="12" t="n"/>
      <c r="B3632" s="13">
        <f>IF($A3632="","",IFERROR(INDEX(Emp_Names,MATCH($A3632,Emp_Codes,0)),"NOT FOUND"))</f>
        <v/>
      </c>
      <c r="C3632" s="14" t="n"/>
      <c r="D3632" s="15" t="n"/>
      <c r="E3632" s="15" t="n"/>
      <c r="F3632" s="15" t="n"/>
      <c r="G3632" s="15" t="n"/>
      <c r="H3632" s="16">
        <f>IF($A3632="","",$D3632+IF($E3632="",0,$E3632)+IF($F3632="",0,$F3632)-IF($G3632="",0,$G3632))</f>
        <v/>
      </c>
      <c r="I3632" s="12" t="n"/>
      <c r="J3632" s="12" t="n"/>
      <c r="K3632" s="12" t="n"/>
      <c r="L3632" s="14" t="n"/>
      <c r="M3632" s="12" t="n"/>
      <c r="N3632" s="12" t="n"/>
      <c r="O3632" s="12" t="n"/>
    </row>
    <row r="3633">
      <c r="A3633" s="12" t="n"/>
      <c r="B3633" s="13">
        <f>IF($A3633="","",IFERROR(INDEX(Emp_Names,MATCH($A3633,Emp_Codes,0)),"NOT FOUND"))</f>
        <v/>
      </c>
      <c r="C3633" s="14" t="n"/>
      <c r="D3633" s="15" t="n"/>
      <c r="E3633" s="15" t="n"/>
      <c r="F3633" s="15" t="n"/>
      <c r="G3633" s="15" t="n"/>
      <c r="H3633" s="16">
        <f>IF($A3633="","",$D3633+IF($E3633="",0,$E3633)+IF($F3633="",0,$F3633)-IF($G3633="",0,$G3633))</f>
        <v/>
      </c>
      <c r="I3633" s="12" t="n"/>
      <c r="J3633" s="12" t="n"/>
      <c r="K3633" s="12" t="n"/>
      <c r="L3633" s="14" t="n"/>
      <c r="M3633" s="12" t="n"/>
      <c r="N3633" s="12" t="n"/>
      <c r="O3633" s="12" t="n"/>
    </row>
    <row r="3634">
      <c r="A3634" s="12" t="n"/>
      <c r="B3634" s="13">
        <f>IF($A3634="","",IFERROR(INDEX(Emp_Names,MATCH($A3634,Emp_Codes,0)),"NOT FOUND"))</f>
        <v/>
      </c>
      <c r="C3634" s="14" t="n"/>
      <c r="D3634" s="15" t="n"/>
      <c r="E3634" s="15" t="n"/>
      <c r="F3634" s="15" t="n"/>
      <c r="G3634" s="15" t="n"/>
      <c r="H3634" s="16">
        <f>IF($A3634="","",$D3634+IF($E3634="",0,$E3634)+IF($F3634="",0,$F3634)-IF($G3634="",0,$G3634))</f>
        <v/>
      </c>
      <c r="I3634" s="12" t="n"/>
      <c r="J3634" s="12" t="n"/>
      <c r="K3634" s="12" t="n"/>
      <c r="L3634" s="14" t="n"/>
      <c r="M3634" s="12" t="n"/>
      <c r="N3634" s="12" t="n"/>
      <c r="O3634" s="12" t="n"/>
    </row>
    <row r="3635">
      <c r="A3635" s="12" t="n"/>
      <c r="B3635" s="13">
        <f>IF($A3635="","",IFERROR(INDEX(Emp_Names,MATCH($A3635,Emp_Codes,0)),"NOT FOUND"))</f>
        <v/>
      </c>
      <c r="C3635" s="14" t="n"/>
      <c r="D3635" s="15" t="n"/>
      <c r="E3635" s="15" t="n"/>
      <c r="F3635" s="15" t="n"/>
      <c r="G3635" s="15" t="n"/>
      <c r="H3635" s="16">
        <f>IF($A3635="","",$D3635+IF($E3635="",0,$E3635)+IF($F3635="",0,$F3635)-IF($G3635="",0,$G3635))</f>
        <v/>
      </c>
      <c r="I3635" s="12" t="n"/>
      <c r="J3635" s="12" t="n"/>
      <c r="K3635" s="12" t="n"/>
      <c r="L3635" s="14" t="n"/>
      <c r="M3635" s="12" t="n"/>
      <c r="N3635" s="12" t="n"/>
      <c r="O3635" s="12" t="n"/>
    </row>
    <row r="3636">
      <c r="A3636" s="12" t="n"/>
      <c r="B3636" s="13">
        <f>IF($A3636="","",IFERROR(INDEX(Emp_Names,MATCH($A3636,Emp_Codes,0)),"NOT FOUND"))</f>
        <v/>
      </c>
      <c r="C3636" s="14" t="n"/>
      <c r="D3636" s="15" t="n"/>
      <c r="E3636" s="15" t="n"/>
      <c r="F3636" s="15" t="n"/>
      <c r="G3636" s="15" t="n"/>
      <c r="H3636" s="16">
        <f>IF($A3636="","",$D3636+IF($E3636="",0,$E3636)+IF($F3636="",0,$F3636)-IF($G3636="",0,$G3636))</f>
        <v/>
      </c>
      <c r="I3636" s="12" t="n"/>
      <c r="J3636" s="12" t="n"/>
      <c r="K3636" s="12" t="n"/>
      <c r="L3636" s="14" t="n"/>
      <c r="M3636" s="12" t="n"/>
      <c r="N3636" s="12" t="n"/>
      <c r="O3636" s="12" t="n"/>
    </row>
    <row r="3637">
      <c r="A3637" s="12" t="n"/>
      <c r="B3637" s="13">
        <f>IF($A3637="","",IFERROR(INDEX(Emp_Names,MATCH($A3637,Emp_Codes,0)),"NOT FOUND"))</f>
        <v/>
      </c>
      <c r="C3637" s="14" t="n"/>
      <c r="D3637" s="15" t="n"/>
      <c r="E3637" s="15" t="n"/>
      <c r="F3637" s="15" t="n"/>
      <c r="G3637" s="15" t="n"/>
      <c r="H3637" s="16">
        <f>IF($A3637="","",$D3637+IF($E3637="",0,$E3637)+IF($F3637="",0,$F3637)-IF($G3637="",0,$G3637))</f>
        <v/>
      </c>
      <c r="I3637" s="12" t="n"/>
      <c r="J3637" s="12" t="n"/>
      <c r="K3637" s="12" t="n"/>
      <c r="L3637" s="14" t="n"/>
      <c r="M3637" s="12" t="n"/>
      <c r="N3637" s="12" t="n"/>
      <c r="O3637" s="12" t="n"/>
    </row>
    <row r="3638">
      <c r="A3638" s="12" t="n"/>
      <c r="B3638" s="13">
        <f>IF($A3638="","",IFERROR(INDEX(Emp_Names,MATCH($A3638,Emp_Codes,0)),"NOT FOUND"))</f>
        <v/>
      </c>
      <c r="C3638" s="14" t="n"/>
      <c r="D3638" s="15" t="n"/>
      <c r="E3638" s="15" t="n"/>
      <c r="F3638" s="15" t="n"/>
      <c r="G3638" s="15" t="n"/>
      <c r="H3638" s="16">
        <f>IF($A3638="","",$D3638+IF($E3638="",0,$E3638)+IF($F3638="",0,$F3638)-IF($G3638="",0,$G3638))</f>
        <v/>
      </c>
      <c r="I3638" s="12" t="n"/>
      <c r="J3638" s="12" t="n"/>
      <c r="K3638" s="12" t="n"/>
      <c r="L3638" s="14" t="n"/>
      <c r="M3638" s="12" t="n"/>
      <c r="N3638" s="12" t="n"/>
      <c r="O3638" s="12" t="n"/>
    </row>
    <row r="3639">
      <c r="A3639" s="12" t="n"/>
      <c r="B3639" s="13">
        <f>IF($A3639="","",IFERROR(INDEX(Emp_Names,MATCH($A3639,Emp_Codes,0)),"NOT FOUND"))</f>
        <v/>
      </c>
      <c r="C3639" s="14" t="n"/>
      <c r="D3639" s="15" t="n"/>
      <c r="E3639" s="15" t="n"/>
      <c r="F3639" s="15" t="n"/>
      <c r="G3639" s="15" t="n"/>
      <c r="H3639" s="16">
        <f>IF($A3639="","",$D3639+IF($E3639="",0,$E3639)+IF($F3639="",0,$F3639)-IF($G3639="",0,$G3639))</f>
        <v/>
      </c>
      <c r="I3639" s="12" t="n"/>
      <c r="J3639" s="12" t="n"/>
      <c r="K3639" s="12" t="n"/>
      <c r="L3639" s="14" t="n"/>
      <c r="M3639" s="12" t="n"/>
      <c r="N3639" s="12" t="n"/>
      <c r="O3639" s="12" t="n"/>
    </row>
    <row r="3640">
      <c r="A3640" s="12" t="n"/>
      <c r="B3640" s="13">
        <f>IF($A3640="","",IFERROR(INDEX(Emp_Names,MATCH($A3640,Emp_Codes,0)),"NOT FOUND"))</f>
        <v/>
      </c>
      <c r="C3640" s="14" t="n"/>
      <c r="D3640" s="15" t="n"/>
      <c r="E3640" s="15" t="n"/>
      <c r="F3640" s="15" t="n"/>
      <c r="G3640" s="15" t="n"/>
      <c r="H3640" s="16">
        <f>IF($A3640="","",$D3640+IF($E3640="",0,$E3640)+IF($F3640="",0,$F3640)-IF($G3640="",0,$G3640))</f>
        <v/>
      </c>
      <c r="I3640" s="12" t="n"/>
      <c r="J3640" s="12" t="n"/>
      <c r="K3640" s="12" t="n"/>
      <c r="L3640" s="14" t="n"/>
      <c r="M3640" s="12" t="n"/>
      <c r="N3640" s="12" t="n"/>
      <c r="O3640" s="12" t="n"/>
    </row>
    <row r="3641">
      <c r="A3641" s="12" t="n"/>
      <c r="B3641" s="13">
        <f>IF($A3641="","",IFERROR(INDEX(Emp_Names,MATCH($A3641,Emp_Codes,0)),"NOT FOUND"))</f>
        <v/>
      </c>
      <c r="C3641" s="14" t="n"/>
      <c r="D3641" s="15" t="n"/>
      <c r="E3641" s="15" t="n"/>
      <c r="F3641" s="15" t="n"/>
      <c r="G3641" s="15" t="n"/>
      <c r="H3641" s="16">
        <f>IF($A3641="","",$D3641+IF($E3641="",0,$E3641)+IF($F3641="",0,$F3641)-IF($G3641="",0,$G3641))</f>
        <v/>
      </c>
      <c r="I3641" s="12" t="n"/>
      <c r="J3641" s="12" t="n"/>
      <c r="K3641" s="12" t="n"/>
      <c r="L3641" s="14" t="n"/>
      <c r="M3641" s="12" t="n"/>
      <c r="N3641" s="12" t="n"/>
      <c r="O3641" s="12" t="n"/>
    </row>
    <row r="3642">
      <c r="A3642" s="12" t="n"/>
      <c r="B3642" s="13">
        <f>IF($A3642="","",IFERROR(INDEX(Emp_Names,MATCH($A3642,Emp_Codes,0)),"NOT FOUND"))</f>
        <v/>
      </c>
      <c r="C3642" s="14" t="n"/>
      <c r="D3642" s="15" t="n"/>
      <c r="E3642" s="15" t="n"/>
      <c r="F3642" s="15" t="n"/>
      <c r="G3642" s="15" t="n"/>
      <c r="H3642" s="16">
        <f>IF($A3642="","",$D3642+IF($E3642="",0,$E3642)+IF($F3642="",0,$F3642)-IF($G3642="",0,$G3642))</f>
        <v/>
      </c>
      <c r="I3642" s="12" t="n"/>
      <c r="J3642" s="12" t="n"/>
      <c r="K3642" s="12" t="n"/>
      <c r="L3642" s="14" t="n"/>
      <c r="M3642" s="12" t="n"/>
      <c r="N3642" s="12" t="n"/>
      <c r="O3642" s="12" t="n"/>
    </row>
    <row r="3643">
      <c r="A3643" s="12" t="n"/>
      <c r="B3643" s="13">
        <f>IF($A3643="","",IFERROR(INDEX(Emp_Names,MATCH($A3643,Emp_Codes,0)),"NOT FOUND"))</f>
        <v/>
      </c>
      <c r="C3643" s="14" t="n"/>
      <c r="D3643" s="15" t="n"/>
      <c r="E3643" s="15" t="n"/>
      <c r="F3643" s="15" t="n"/>
      <c r="G3643" s="15" t="n"/>
      <c r="H3643" s="16">
        <f>IF($A3643="","",$D3643+IF($E3643="",0,$E3643)+IF($F3643="",0,$F3643)-IF($G3643="",0,$G3643))</f>
        <v/>
      </c>
      <c r="I3643" s="12" t="n"/>
      <c r="J3643" s="12" t="n"/>
      <c r="K3643" s="12" t="n"/>
      <c r="L3643" s="14" t="n"/>
      <c r="M3643" s="12" t="n"/>
      <c r="N3643" s="12" t="n"/>
      <c r="O3643" s="12" t="n"/>
    </row>
    <row r="3644">
      <c r="A3644" s="12" t="n"/>
      <c r="B3644" s="13">
        <f>IF($A3644="","",IFERROR(INDEX(Emp_Names,MATCH($A3644,Emp_Codes,0)),"NOT FOUND"))</f>
        <v/>
      </c>
      <c r="C3644" s="14" t="n"/>
      <c r="D3644" s="15" t="n"/>
      <c r="E3644" s="15" t="n"/>
      <c r="F3644" s="15" t="n"/>
      <c r="G3644" s="15" t="n"/>
      <c r="H3644" s="16">
        <f>IF($A3644="","",$D3644+IF($E3644="",0,$E3644)+IF($F3644="",0,$F3644)-IF($G3644="",0,$G3644))</f>
        <v/>
      </c>
      <c r="I3644" s="12" t="n"/>
      <c r="J3644" s="12" t="n"/>
      <c r="K3644" s="12" t="n"/>
      <c r="L3644" s="14" t="n"/>
      <c r="M3644" s="12" t="n"/>
      <c r="N3644" s="12" t="n"/>
      <c r="O3644" s="12" t="n"/>
    </row>
    <row r="3645">
      <c r="A3645" s="12" t="n"/>
      <c r="B3645" s="13">
        <f>IF($A3645="","",IFERROR(INDEX(Emp_Names,MATCH($A3645,Emp_Codes,0)),"NOT FOUND"))</f>
        <v/>
      </c>
      <c r="C3645" s="14" t="n"/>
      <c r="D3645" s="15" t="n"/>
      <c r="E3645" s="15" t="n"/>
      <c r="F3645" s="15" t="n"/>
      <c r="G3645" s="15" t="n"/>
      <c r="H3645" s="16">
        <f>IF($A3645="","",$D3645+IF($E3645="",0,$E3645)+IF($F3645="",0,$F3645)-IF($G3645="",0,$G3645))</f>
        <v/>
      </c>
      <c r="I3645" s="12" t="n"/>
      <c r="J3645" s="12" t="n"/>
      <c r="K3645" s="12" t="n"/>
      <c r="L3645" s="14" t="n"/>
      <c r="M3645" s="12" t="n"/>
      <c r="N3645" s="12" t="n"/>
      <c r="O3645" s="12" t="n"/>
    </row>
    <row r="3646">
      <c r="A3646" s="12" t="n"/>
      <c r="B3646" s="13">
        <f>IF($A3646="","",IFERROR(INDEX(Emp_Names,MATCH($A3646,Emp_Codes,0)),"NOT FOUND"))</f>
        <v/>
      </c>
      <c r="C3646" s="14" t="n"/>
      <c r="D3646" s="15" t="n"/>
      <c r="E3646" s="15" t="n"/>
      <c r="F3646" s="15" t="n"/>
      <c r="G3646" s="15" t="n"/>
      <c r="H3646" s="16">
        <f>IF($A3646="","",$D3646+IF($E3646="",0,$E3646)+IF($F3646="",0,$F3646)-IF($G3646="",0,$G3646))</f>
        <v/>
      </c>
      <c r="I3646" s="12" t="n"/>
      <c r="J3646" s="12" t="n"/>
      <c r="K3646" s="12" t="n"/>
      <c r="L3646" s="14" t="n"/>
      <c r="M3646" s="12" t="n"/>
      <c r="N3646" s="12" t="n"/>
      <c r="O3646" s="12" t="n"/>
    </row>
    <row r="3647">
      <c r="A3647" s="12" t="n"/>
      <c r="B3647" s="13">
        <f>IF($A3647="","",IFERROR(INDEX(Emp_Names,MATCH($A3647,Emp_Codes,0)),"NOT FOUND"))</f>
        <v/>
      </c>
      <c r="C3647" s="14" t="n"/>
      <c r="D3647" s="15" t="n"/>
      <c r="E3647" s="15" t="n"/>
      <c r="F3647" s="15" t="n"/>
      <c r="G3647" s="15" t="n"/>
      <c r="H3647" s="16">
        <f>IF($A3647="","",$D3647+IF($E3647="",0,$E3647)+IF($F3647="",0,$F3647)-IF($G3647="",0,$G3647))</f>
        <v/>
      </c>
      <c r="I3647" s="12" t="n"/>
      <c r="J3647" s="12" t="n"/>
      <c r="K3647" s="12" t="n"/>
      <c r="L3647" s="14" t="n"/>
      <c r="M3647" s="12" t="n"/>
      <c r="N3647" s="12" t="n"/>
      <c r="O3647" s="12" t="n"/>
    </row>
    <row r="3648">
      <c r="A3648" s="12" t="n"/>
      <c r="B3648" s="13">
        <f>IF($A3648="","",IFERROR(INDEX(Emp_Names,MATCH($A3648,Emp_Codes,0)),"NOT FOUND"))</f>
        <v/>
      </c>
      <c r="C3648" s="14" t="n"/>
      <c r="D3648" s="15" t="n"/>
      <c r="E3648" s="15" t="n"/>
      <c r="F3648" s="15" t="n"/>
      <c r="G3648" s="15" t="n"/>
      <c r="H3648" s="16">
        <f>IF($A3648="","",$D3648+IF($E3648="",0,$E3648)+IF($F3648="",0,$F3648)-IF($G3648="",0,$G3648))</f>
        <v/>
      </c>
      <c r="I3648" s="12" t="n"/>
      <c r="J3648" s="12" t="n"/>
      <c r="K3648" s="12" t="n"/>
      <c r="L3648" s="14" t="n"/>
      <c r="M3648" s="12" t="n"/>
      <c r="N3648" s="12" t="n"/>
      <c r="O3648" s="12" t="n"/>
    </row>
    <row r="3649">
      <c r="A3649" s="12" t="n"/>
      <c r="B3649" s="13">
        <f>IF($A3649="","",IFERROR(INDEX(Emp_Names,MATCH($A3649,Emp_Codes,0)),"NOT FOUND"))</f>
        <v/>
      </c>
      <c r="C3649" s="14" t="n"/>
      <c r="D3649" s="15" t="n"/>
      <c r="E3649" s="15" t="n"/>
      <c r="F3649" s="15" t="n"/>
      <c r="G3649" s="15" t="n"/>
      <c r="H3649" s="16">
        <f>IF($A3649="","",$D3649+IF($E3649="",0,$E3649)+IF($F3649="",0,$F3649)-IF($G3649="",0,$G3649))</f>
        <v/>
      </c>
      <c r="I3649" s="12" t="n"/>
      <c r="J3649" s="12" t="n"/>
      <c r="K3649" s="12" t="n"/>
      <c r="L3649" s="14" t="n"/>
      <c r="M3649" s="12" t="n"/>
      <c r="N3649" s="12" t="n"/>
      <c r="O3649" s="12" t="n"/>
    </row>
    <row r="3650">
      <c r="A3650" s="12" t="n"/>
      <c r="B3650" s="13">
        <f>IF($A3650="","",IFERROR(INDEX(Emp_Names,MATCH($A3650,Emp_Codes,0)),"NOT FOUND"))</f>
        <v/>
      </c>
      <c r="C3650" s="14" t="n"/>
      <c r="D3650" s="15" t="n"/>
      <c r="E3650" s="15" t="n"/>
      <c r="F3650" s="15" t="n"/>
      <c r="G3650" s="15" t="n"/>
      <c r="H3650" s="16">
        <f>IF($A3650="","",$D3650+IF($E3650="",0,$E3650)+IF($F3650="",0,$F3650)-IF($G3650="",0,$G3650))</f>
        <v/>
      </c>
      <c r="I3650" s="12" t="n"/>
      <c r="J3650" s="12" t="n"/>
      <c r="K3650" s="12" t="n"/>
      <c r="L3650" s="14" t="n"/>
      <c r="M3650" s="12" t="n"/>
      <c r="N3650" s="12" t="n"/>
      <c r="O3650" s="12" t="n"/>
    </row>
    <row r="3651">
      <c r="A3651" s="12" t="n"/>
      <c r="B3651" s="13">
        <f>IF($A3651="","",IFERROR(INDEX(Emp_Names,MATCH($A3651,Emp_Codes,0)),"NOT FOUND"))</f>
        <v/>
      </c>
      <c r="C3651" s="14" t="n"/>
      <c r="D3651" s="15" t="n"/>
      <c r="E3651" s="15" t="n"/>
      <c r="F3651" s="15" t="n"/>
      <c r="G3651" s="15" t="n"/>
      <c r="H3651" s="16">
        <f>IF($A3651="","",$D3651+IF($E3651="",0,$E3651)+IF($F3651="",0,$F3651)-IF($G3651="",0,$G3651))</f>
        <v/>
      </c>
      <c r="I3651" s="12" t="n"/>
      <c r="J3651" s="12" t="n"/>
      <c r="K3651" s="12" t="n"/>
      <c r="L3651" s="14" t="n"/>
      <c r="M3651" s="12" t="n"/>
      <c r="N3651" s="12" t="n"/>
      <c r="O3651" s="12" t="n"/>
    </row>
    <row r="3652">
      <c r="A3652" s="12" t="n"/>
      <c r="B3652" s="13">
        <f>IF($A3652="","",IFERROR(INDEX(Emp_Names,MATCH($A3652,Emp_Codes,0)),"NOT FOUND"))</f>
        <v/>
      </c>
      <c r="C3652" s="14" t="n"/>
      <c r="D3652" s="15" t="n"/>
      <c r="E3652" s="15" t="n"/>
      <c r="F3652" s="15" t="n"/>
      <c r="G3652" s="15" t="n"/>
      <c r="H3652" s="16">
        <f>IF($A3652="","",$D3652+IF($E3652="",0,$E3652)+IF($F3652="",0,$F3652)-IF($G3652="",0,$G3652))</f>
        <v/>
      </c>
      <c r="I3652" s="12" t="n"/>
      <c r="J3652" s="12" t="n"/>
      <c r="K3652" s="12" t="n"/>
      <c r="L3652" s="14" t="n"/>
      <c r="M3652" s="12" t="n"/>
      <c r="N3652" s="12" t="n"/>
      <c r="O3652" s="12" t="n"/>
    </row>
    <row r="3653">
      <c r="A3653" s="12" t="n"/>
      <c r="B3653" s="13">
        <f>IF($A3653="","",IFERROR(INDEX(Emp_Names,MATCH($A3653,Emp_Codes,0)),"NOT FOUND"))</f>
        <v/>
      </c>
      <c r="C3653" s="14" t="n"/>
      <c r="D3653" s="15" t="n"/>
      <c r="E3653" s="15" t="n"/>
      <c r="F3653" s="15" t="n"/>
      <c r="G3653" s="15" t="n"/>
      <c r="H3653" s="16">
        <f>IF($A3653="","",$D3653+IF($E3653="",0,$E3653)+IF($F3653="",0,$F3653)-IF($G3653="",0,$G3653))</f>
        <v/>
      </c>
      <c r="I3653" s="12" t="n"/>
      <c r="J3653" s="12" t="n"/>
      <c r="K3653" s="12" t="n"/>
      <c r="L3653" s="14" t="n"/>
      <c r="M3653" s="12" t="n"/>
      <c r="N3653" s="12" t="n"/>
      <c r="O3653" s="12" t="n"/>
    </row>
    <row r="3654">
      <c r="A3654" s="12" t="n"/>
      <c r="B3654" s="13">
        <f>IF($A3654="","",IFERROR(INDEX(Emp_Names,MATCH($A3654,Emp_Codes,0)),"NOT FOUND"))</f>
        <v/>
      </c>
      <c r="C3654" s="14" t="n"/>
      <c r="D3654" s="15" t="n"/>
      <c r="E3654" s="15" t="n"/>
      <c r="F3654" s="15" t="n"/>
      <c r="G3654" s="15" t="n"/>
      <c r="H3654" s="16">
        <f>IF($A3654="","",$D3654+IF($E3654="",0,$E3654)+IF($F3654="",0,$F3654)-IF($G3654="",0,$G3654))</f>
        <v/>
      </c>
      <c r="I3654" s="12" t="n"/>
      <c r="J3654" s="12" t="n"/>
      <c r="K3654" s="12" t="n"/>
      <c r="L3654" s="14" t="n"/>
      <c r="M3654" s="12" t="n"/>
      <c r="N3654" s="12" t="n"/>
      <c r="O3654" s="12" t="n"/>
    </row>
    <row r="3655">
      <c r="A3655" s="12" t="n"/>
      <c r="B3655" s="13">
        <f>IF($A3655="","",IFERROR(INDEX(Emp_Names,MATCH($A3655,Emp_Codes,0)),"NOT FOUND"))</f>
        <v/>
      </c>
      <c r="C3655" s="14" t="n"/>
      <c r="D3655" s="15" t="n"/>
      <c r="E3655" s="15" t="n"/>
      <c r="F3655" s="15" t="n"/>
      <c r="G3655" s="15" t="n"/>
      <c r="H3655" s="16">
        <f>IF($A3655="","",$D3655+IF($E3655="",0,$E3655)+IF($F3655="",0,$F3655)-IF($G3655="",0,$G3655))</f>
        <v/>
      </c>
      <c r="I3655" s="12" t="n"/>
      <c r="J3655" s="12" t="n"/>
      <c r="K3655" s="12" t="n"/>
      <c r="L3655" s="14" t="n"/>
      <c r="M3655" s="12" t="n"/>
      <c r="N3655" s="12" t="n"/>
      <c r="O3655" s="12" t="n"/>
    </row>
    <row r="3656">
      <c r="A3656" s="12" t="n"/>
      <c r="B3656" s="13">
        <f>IF($A3656="","",IFERROR(INDEX(Emp_Names,MATCH($A3656,Emp_Codes,0)),"NOT FOUND"))</f>
        <v/>
      </c>
      <c r="C3656" s="14" t="n"/>
      <c r="D3656" s="15" t="n"/>
      <c r="E3656" s="15" t="n"/>
      <c r="F3656" s="15" t="n"/>
      <c r="G3656" s="15" t="n"/>
      <c r="H3656" s="16">
        <f>IF($A3656="","",$D3656+IF($E3656="",0,$E3656)+IF($F3656="",0,$F3656)-IF($G3656="",0,$G3656))</f>
        <v/>
      </c>
      <c r="I3656" s="12" t="n"/>
      <c r="J3656" s="12" t="n"/>
      <c r="K3656" s="12" t="n"/>
      <c r="L3656" s="14" t="n"/>
      <c r="M3656" s="12" t="n"/>
      <c r="N3656" s="12" t="n"/>
      <c r="O3656" s="12" t="n"/>
    </row>
    <row r="3657">
      <c r="A3657" s="12" t="n"/>
      <c r="B3657" s="13">
        <f>IF($A3657="","",IFERROR(INDEX(Emp_Names,MATCH($A3657,Emp_Codes,0)),"NOT FOUND"))</f>
        <v/>
      </c>
      <c r="C3657" s="14" t="n"/>
      <c r="D3657" s="15" t="n"/>
      <c r="E3657" s="15" t="n"/>
      <c r="F3657" s="15" t="n"/>
      <c r="G3657" s="15" t="n"/>
      <c r="H3657" s="16">
        <f>IF($A3657="","",$D3657+IF($E3657="",0,$E3657)+IF($F3657="",0,$F3657)-IF($G3657="",0,$G3657))</f>
        <v/>
      </c>
      <c r="I3657" s="12" t="n"/>
      <c r="J3657" s="12" t="n"/>
      <c r="K3657" s="12" t="n"/>
      <c r="L3657" s="14" t="n"/>
      <c r="M3657" s="12" t="n"/>
      <c r="N3657" s="12" t="n"/>
      <c r="O3657" s="12" t="n"/>
    </row>
    <row r="3658">
      <c r="A3658" s="12" t="n"/>
      <c r="B3658" s="13">
        <f>IF($A3658="","",IFERROR(INDEX(Emp_Names,MATCH($A3658,Emp_Codes,0)),"NOT FOUND"))</f>
        <v/>
      </c>
      <c r="C3658" s="14" t="n"/>
      <c r="D3658" s="15" t="n"/>
      <c r="E3658" s="15" t="n"/>
      <c r="F3658" s="15" t="n"/>
      <c r="G3658" s="15" t="n"/>
      <c r="H3658" s="16">
        <f>IF($A3658="","",$D3658+IF($E3658="",0,$E3658)+IF($F3658="",0,$F3658)-IF($G3658="",0,$G3658))</f>
        <v/>
      </c>
      <c r="I3658" s="12" t="n"/>
      <c r="J3658" s="12" t="n"/>
      <c r="K3658" s="12" t="n"/>
      <c r="L3658" s="14" t="n"/>
      <c r="M3658" s="12" t="n"/>
      <c r="N3658" s="12" t="n"/>
      <c r="O3658" s="12" t="n"/>
    </row>
    <row r="3659">
      <c r="A3659" s="12" t="n"/>
      <c r="B3659" s="13">
        <f>IF($A3659="","",IFERROR(INDEX(Emp_Names,MATCH($A3659,Emp_Codes,0)),"NOT FOUND"))</f>
        <v/>
      </c>
      <c r="C3659" s="14" t="n"/>
      <c r="D3659" s="15" t="n"/>
      <c r="E3659" s="15" t="n"/>
      <c r="F3659" s="15" t="n"/>
      <c r="G3659" s="15" t="n"/>
      <c r="H3659" s="16">
        <f>IF($A3659="","",$D3659+IF($E3659="",0,$E3659)+IF($F3659="",0,$F3659)-IF($G3659="",0,$G3659))</f>
        <v/>
      </c>
      <c r="I3659" s="12" t="n"/>
      <c r="J3659" s="12" t="n"/>
      <c r="K3659" s="12" t="n"/>
      <c r="L3659" s="14" t="n"/>
      <c r="M3659" s="12" t="n"/>
      <c r="N3659" s="12" t="n"/>
      <c r="O3659" s="12" t="n"/>
    </row>
    <row r="3660">
      <c r="A3660" s="12" t="n"/>
      <c r="B3660" s="13">
        <f>IF($A3660="","",IFERROR(INDEX(Emp_Names,MATCH($A3660,Emp_Codes,0)),"NOT FOUND"))</f>
        <v/>
      </c>
      <c r="C3660" s="14" t="n"/>
      <c r="D3660" s="15" t="n"/>
      <c r="E3660" s="15" t="n"/>
      <c r="F3660" s="15" t="n"/>
      <c r="G3660" s="15" t="n"/>
      <c r="H3660" s="16">
        <f>IF($A3660="","",$D3660+IF($E3660="",0,$E3660)+IF($F3660="",0,$F3660)-IF($G3660="",0,$G3660))</f>
        <v/>
      </c>
      <c r="I3660" s="12" t="n"/>
      <c r="J3660" s="12" t="n"/>
      <c r="K3660" s="12" t="n"/>
      <c r="L3660" s="14" t="n"/>
      <c r="M3660" s="12" t="n"/>
      <c r="N3660" s="12" t="n"/>
      <c r="O3660" s="12" t="n"/>
    </row>
    <row r="3661">
      <c r="A3661" s="12" t="n"/>
      <c r="B3661" s="13">
        <f>IF($A3661="","",IFERROR(INDEX(Emp_Names,MATCH($A3661,Emp_Codes,0)),"NOT FOUND"))</f>
        <v/>
      </c>
      <c r="C3661" s="14" t="n"/>
      <c r="D3661" s="15" t="n"/>
      <c r="E3661" s="15" t="n"/>
      <c r="F3661" s="15" t="n"/>
      <c r="G3661" s="15" t="n"/>
      <c r="H3661" s="16">
        <f>IF($A3661="","",$D3661+IF($E3661="",0,$E3661)+IF($F3661="",0,$F3661)-IF($G3661="",0,$G3661))</f>
        <v/>
      </c>
      <c r="I3661" s="12" t="n"/>
      <c r="J3661" s="12" t="n"/>
      <c r="K3661" s="12" t="n"/>
      <c r="L3661" s="14" t="n"/>
      <c r="M3661" s="12" t="n"/>
      <c r="N3661" s="12" t="n"/>
      <c r="O3661" s="12" t="n"/>
    </row>
    <row r="3662">
      <c r="A3662" s="12" t="n"/>
      <c r="B3662" s="13">
        <f>IF($A3662="","",IFERROR(INDEX(Emp_Names,MATCH($A3662,Emp_Codes,0)),"NOT FOUND"))</f>
        <v/>
      </c>
      <c r="C3662" s="14" t="n"/>
      <c r="D3662" s="15" t="n"/>
      <c r="E3662" s="15" t="n"/>
      <c r="F3662" s="15" t="n"/>
      <c r="G3662" s="15" t="n"/>
      <c r="H3662" s="16">
        <f>IF($A3662="","",$D3662+IF($E3662="",0,$E3662)+IF($F3662="",0,$F3662)-IF($G3662="",0,$G3662))</f>
        <v/>
      </c>
      <c r="I3662" s="12" t="n"/>
      <c r="J3662" s="12" t="n"/>
      <c r="K3662" s="12" t="n"/>
      <c r="L3662" s="14" t="n"/>
      <c r="M3662" s="12" t="n"/>
      <c r="N3662" s="12" t="n"/>
      <c r="O3662" s="12" t="n"/>
    </row>
    <row r="3663">
      <c r="A3663" s="12" t="n"/>
      <c r="B3663" s="13">
        <f>IF($A3663="","",IFERROR(INDEX(Emp_Names,MATCH($A3663,Emp_Codes,0)),"NOT FOUND"))</f>
        <v/>
      </c>
      <c r="C3663" s="14" t="n"/>
      <c r="D3663" s="15" t="n"/>
      <c r="E3663" s="15" t="n"/>
      <c r="F3663" s="15" t="n"/>
      <c r="G3663" s="15" t="n"/>
      <c r="H3663" s="16">
        <f>IF($A3663="","",$D3663+IF($E3663="",0,$E3663)+IF($F3663="",0,$F3663)-IF($G3663="",0,$G3663))</f>
        <v/>
      </c>
      <c r="I3663" s="12" t="n"/>
      <c r="J3663" s="12" t="n"/>
      <c r="K3663" s="12" t="n"/>
      <c r="L3663" s="14" t="n"/>
      <c r="M3663" s="12" t="n"/>
      <c r="N3663" s="12" t="n"/>
      <c r="O3663" s="12" t="n"/>
    </row>
    <row r="3664">
      <c r="A3664" s="12" t="n"/>
      <c r="B3664" s="13">
        <f>IF($A3664="","",IFERROR(INDEX(Emp_Names,MATCH($A3664,Emp_Codes,0)),"NOT FOUND"))</f>
        <v/>
      </c>
      <c r="C3664" s="14" t="n"/>
      <c r="D3664" s="15" t="n"/>
      <c r="E3664" s="15" t="n"/>
      <c r="F3664" s="15" t="n"/>
      <c r="G3664" s="15" t="n"/>
      <c r="H3664" s="16">
        <f>IF($A3664="","",$D3664+IF($E3664="",0,$E3664)+IF($F3664="",0,$F3664)-IF($G3664="",0,$G3664))</f>
        <v/>
      </c>
      <c r="I3664" s="12" t="n"/>
      <c r="J3664" s="12" t="n"/>
      <c r="K3664" s="12" t="n"/>
      <c r="L3664" s="14" t="n"/>
      <c r="M3664" s="12" t="n"/>
      <c r="N3664" s="12" t="n"/>
      <c r="O3664" s="12" t="n"/>
    </row>
    <row r="3665">
      <c r="A3665" s="12" t="n"/>
      <c r="B3665" s="13">
        <f>IF($A3665="","",IFERROR(INDEX(Emp_Names,MATCH($A3665,Emp_Codes,0)),"NOT FOUND"))</f>
        <v/>
      </c>
      <c r="C3665" s="14" t="n"/>
      <c r="D3665" s="15" t="n"/>
      <c r="E3665" s="15" t="n"/>
      <c r="F3665" s="15" t="n"/>
      <c r="G3665" s="15" t="n"/>
      <c r="H3665" s="16">
        <f>IF($A3665="","",$D3665+IF($E3665="",0,$E3665)+IF($F3665="",0,$F3665)-IF($G3665="",0,$G3665))</f>
        <v/>
      </c>
      <c r="I3665" s="12" t="n"/>
      <c r="J3665" s="12" t="n"/>
      <c r="K3665" s="12" t="n"/>
      <c r="L3665" s="14" t="n"/>
      <c r="M3665" s="12" t="n"/>
      <c r="N3665" s="12" t="n"/>
      <c r="O3665" s="12" t="n"/>
    </row>
    <row r="3666">
      <c r="A3666" s="12" t="n"/>
      <c r="B3666" s="13">
        <f>IF($A3666="","",IFERROR(INDEX(Emp_Names,MATCH($A3666,Emp_Codes,0)),"NOT FOUND"))</f>
        <v/>
      </c>
      <c r="C3666" s="14" t="n"/>
      <c r="D3666" s="15" t="n"/>
      <c r="E3666" s="15" t="n"/>
      <c r="F3666" s="15" t="n"/>
      <c r="G3666" s="15" t="n"/>
      <c r="H3666" s="16">
        <f>IF($A3666="","",$D3666+IF($E3666="",0,$E3666)+IF($F3666="",0,$F3666)-IF($G3666="",0,$G3666))</f>
        <v/>
      </c>
      <c r="I3666" s="12" t="n"/>
      <c r="J3666" s="12" t="n"/>
      <c r="K3666" s="12" t="n"/>
      <c r="L3666" s="14" t="n"/>
      <c r="M3666" s="12" t="n"/>
      <c r="N3666" s="12" t="n"/>
      <c r="O3666" s="12" t="n"/>
    </row>
    <row r="3667">
      <c r="A3667" s="12" t="n"/>
      <c r="B3667" s="13">
        <f>IF($A3667="","",IFERROR(INDEX(Emp_Names,MATCH($A3667,Emp_Codes,0)),"NOT FOUND"))</f>
        <v/>
      </c>
      <c r="C3667" s="14" t="n"/>
      <c r="D3667" s="15" t="n"/>
      <c r="E3667" s="15" t="n"/>
      <c r="F3667" s="15" t="n"/>
      <c r="G3667" s="15" t="n"/>
      <c r="H3667" s="16">
        <f>IF($A3667="","",$D3667+IF($E3667="",0,$E3667)+IF($F3667="",0,$F3667)-IF($G3667="",0,$G3667))</f>
        <v/>
      </c>
      <c r="I3667" s="12" t="n"/>
      <c r="J3667" s="12" t="n"/>
      <c r="K3667" s="12" t="n"/>
      <c r="L3667" s="14" t="n"/>
      <c r="M3667" s="12" t="n"/>
      <c r="N3667" s="12" t="n"/>
      <c r="O3667" s="12" t="n"/>
    </row>
    <row r="3668">
      <c r="A3668" s="12" t="n"/>
      <c r="B3668" s="13">
        <f>IF($A3668="","",IFERROR(INDEX(Emp_Names,MATCH($A3668,Emp_Codes,0)),"NOT FOUND"))</f>
        <v/>
      </c>
      <c r="C3668" s="14" t="n"/>
      <c r="D3668" s="15" t="n"/>
      <c r="E3668" s="15" t="n"/>
      <c r="F3668" s="15" t="n"/>
      <c r="G3668" s="15" t="n"/>
      <c r="H3668" s="16">
        <f>IF($A3668="","",$D3668+IF($E3668="",0,$E3668)+IF($F3668="",0,$F3668)-IF($G3668="",0,$G3668))</f>
        <v/>
      </c>
      <c r="I3668" s="12" t="n"/>
      <c r="J3668" s="12" t="n"/>
      <c r="K3668" s="12" t="n"/>
      <c r="L3668" s="14" t="n"/>
      <c r="M3668" s="12" t="n"/>
      <c r="N3668" s="12" t="n"/>
      <c r="O3668" s="12" t="n"/>
    </row>
    <row r="3669">
      <c r="A3669" s="12" t="n"/>
      <c r="B3669" s="13">
        <f>IF($A3669="","",IFERROR(INDEX(Emp_Names,MATCH($A3669,Emp_Codes,0)),"NOT FOUND"))</f>
        <v/>
      </c>
      <c r="C3669" s="14" t="n"/>
      <c r="D3669" s="15" t="n"/>
      <c r="E3669" s="15" t="n"/>
      <c r="F3669" s="15" t="n"/>
      <c r="G3669" s="15" t="n"/>
      <c r="H3669" s="16">
        <f>IF($A3669="","",$D3669+IF($E3669="",0,$E3669)+IF($F3669="",0,$F3669)-IF($G3669="",0,$G3669))</f>
        <v/>
      </c>
      <c r="I3669" s="12" t="n"/>
      <c r="J3669" s="12" t="n"/>
      <c r="K3669" s="12" t="n"/>
      <c r="L3669" s="14" t="n"/>
      <c r="M3669" s="12" t="n"/>
      <c r="N3669" s="12" t="n"/>
      <c r="O3669" s="12" t="n"/>
    </row>
    <row r="3670">
      <c r="A3670" s="12" t="n"/>
      <c r="B3670" s="13">
        <f>IF($A3670="","",IFERROR(INDEX(Emp_Names,MATCH($A3670,Emp_Codes,0)),"NOT FOUND"))</f>
        <v/>
      </c>
      <c r="C3670" s="14" t="n"/>
      <c r="D3670" s="15" t="n"/>
      <c r="E3670" s="15" t="n"/>
      <c r="F3670" s="15" t="n"/>
      <c r="G3670" s="15" t="n"/>
      <c r="H3670" s="16">
        <f>IF($A3670="","",$D3670+IF($E3670="",0,$E3670)+IF($F3670="",0,$F3670)-IF($G3670="",0,$G3670))</f>
        <v/>
      </c>
      <c r="I3670" s="12" t="n"/>
      <c r="J3670" s="12" t="n"/>
      <c r="K3670" s="12" t="n"/>
      <c r="L3670" s="14" t="n"/>
      <c r="M3670" s="12" t="n"/>
      <c r="N3670" s="12" t="n"/>
      <c r="O3670" s="12" t="n"/>
    </row>
    <row r="3671">
      <c r="A3671" s="12" t="n"/>
      <c r="B3671" s="13">
        <f>IF($A3671="","",IFERROR(INDEX(Emp_Names,MATCH($A3671,Emp_Codes,0)),"NOT FOUND"))</f>
        <v/>
      </c>
      <c r="C3671" s="14" t="n"/>
      <c r="D3671" s="15" t="n"/>
      <c r="E3671" s="15" t="n"/>
      <c r="F3671" s="15" t="n"/>
      <c r="G3671" s="15" t="n"/>
      <c r="H3671" s="16">
        <f>IF($A3671="","",$D3671+IF($E3671="",0,$E3671)+IF($F3671="",0,$F3671)-IF($G3671="",0,$G3671))</f>
        <v/>
      </c>
      <c r="I3671" s="12" t="n"/>
      <c r="J3671" s="12" t="n"/>
      <c r="K3671" s="12" t="n"/>
      <c r="L3671" s="14" t="n"/>
      <c r="M3671" s="12" t="n"/>
      <c r="N3671" s="12" t="n"/>
      <c r="O3671" s="12" t="n"/>
    </row>
    <row r="3672">
      <c r="A3672" s="12" t="n"/>
      <c r="B3672" s="13">
        <f>IF($A3672="","",IFERROR(INDEX(Emp_Names,MATCH($A3672,Emp_Codes,0)),"NOT FOUND"))</f>
        <v/>
      </c>
      <c r="C3672" s="14" t="n"/>
      <c r="D3672" s="15" t="n"/>
      <c r="E3672" s="15" t="n"/>
      <c r="F3672" s="15" t="n"/>
      <c r="G3672" s="15" t="n"/>
      <c r="H3672" s="16">
        <f>IF($A3672="","",$D3672+IF($E3672="",0,$E3672)+IF($F3672="",0,$F3672)-IF($G3672="",0,$G3672))</f>
        <v/>
      </c>
      <c r="I3672" s="12" t="n"/>
      <c r="J3672" s="12" t="n"/>
      <c r="K3672" s="12" t="n"/>
      <c r="L3672" s="14" t="n"/>
      <c r="M3672" s="12" t="n"/>
      <c r="N3672" s="12" t="n"/>
      <c r="O3672" s="12" t="n"/>
    </row>
    <row r="3673">
      <c r="A3673" s="12" t="n"/>
      <c r="B3673" s="13">
        <f>IF($A3673="","",IFERROR(INDEX(Emp_Names,MATCH($A3673,Emp_Codes,0)),"NOT FOUND"))</f>
        <v/>
      </c>
      <c r="C3673" s="14" t="n"/>
      <c r="D3673" s="15" t="n"/>
      <c r="E3673" s="15" t="n"/>
      <c r="F3673" s="15" t="n"/>
      <c r="G3673" s="15" t="n"/>
      <c r="H3673" s="16">
        <f>IF($A3673="","",$D3673+IF($E3673="",0,$E3673)+IF($F3673="",0,$F3673)-IF($G3673="",0,$G3673))</f>
        <v/>
      </c>
      <c r="I3673" s="12" t="n"/>
      <c r="J3673" s="12" t="n"/>
      <c r="K3673" s="12" t="n"/>
      <c r="L3673" s="14" t="n"/>
      <c r="M3673" s="12" t="n"/>
      <c r="N3673" s="12" t="n"/>
      <c r="O3673" s="12" t="n"/>
    </row>
    <row r="3674">
      <c r="A3674" s="12" t="n"/>
      <c r="B3674" s="13">
        <f>IF($A3674="","",IFERROR(INDEX(Emp_Names,MATCH($A3674,Emp_Codes,0)),"NOT FOUND"))</f>
        <v/>
      </c>
      <c r="C3674" s="14" t="n"/>
      <c r="D3674" s="15" t="n"/>
      <c r="E3674" s="15" t="n"/>
      <c r="F3674" s="15" t="n"/>
      <c r="G3674" s="15" t="n"/>
      <c r="H3674" s="16">
        <f>IF($A3674="","",$D3674+IF($E3674="",0,$E3674)+IF($F3674="",0,$F3674)-IF($G3674="",0,$G3674))</f>
        <v/>
      </c>
      <c r="I3674" s="12" t="n"/>
      <c r="J3674" s="12" t="n"/>
      <c r="K3674" s="12" t="n"/>
      <c r="L3674" s="14" t="n"/>
      <c r="M3674" s="12" t="n"/>
      <c r="N3674" s="12" t="n"/>
      <c r="O3674" s="12" t="n"/>
    </row>
    <row r="3675">
      <c r="A3675" s="12" t="n"/>
      <c r="B3675" s="13">
        <f>IF($A3675="","",IFERROR(INDEX(Emp_Names,MATCH($A3675,Emp_Codes,0)),"NOT FOUND"))</f>
        <v/>
      </c>
      <c r="C3675" s="14" t="n"/>
      <c r="D3675" s="15" t="n"/>
      <c r="E3675" s="15" t="n"/>
      <c r="F3675" s="15" t="n"/>
      <c r="G3675" s="15" t="n"/>
      <c r="H3675" s="16">
        <f>IF($A3675="","",$D3675+IF($E3675="",0,$E3675)+IF($F3675="",0,$F3675)-IF($G3675="",0,$G3675))</f>
        <v/>
      </c>
      <c r="I3675" s="12" t="n"/>
      <c r="J3675" s="12" t="n"/>
      <c r="K3675" s="12" t="n"/>
      <c r="L3675" s="14" t="n"/>
      <c r="M3675" s="12" t="n"/>
      <c r="N3675" s="12" t="n"/>
      <c r="O3675" s="12" t="n"/>
    </row>
    <row r="3676">
      <c r="A3676" s="12" t="n"/>
      <c r="B3676" s="13">
        <f>IF($A3676="","",IFERROR(INDEX(Emp_Names,MATCH($A3676,Emp_Codes,0)),"NOT FOUND"))</f>
        <v/>
      </c>
      <c r="C3676" s="14" t="n"/>
      <c r="D3676" s="15" t="n"/>
      <c r="E3676" s="15" t="n"/>
      <c r="F3676" s="15" t="n"/>
      <c r="G3676" s="15" t="n"/>
      <c r="H3676" s="16">
        <f>IF($A3676="","",$D3676+IF($E3676="",0,$E3676)+IF($F3676="",0,$F3676)-IF($G3676="",0,$G3676))</f>
        <v/>
      </c>
      <c r="I3676" s="12" t="n"/>
      <c r="J3676" s="12" t="n"/>
      <c r="K3676" s="12" t="n"/>
      <c r="L3676" s="14" t="n"/>
      <c r="M3676" s="12" t="n"/>
      <c r="N3676" s="12" t="n"/>
      <c r="O3676" s="12" t="n"/>
    </row>
    <row r="3677">
      <c r="A3677" s="12" t="n"/>
      <c r="B3677" s="13">
        <f>IF($A3677="","",IFERROR(INDEX(Emp_Names,MATCH($A3677,Emp_Codes,0)),"NOT FOUND"))</f>
        <v/>
      </c>
      <c r="C3677" s="14" t="n"/>
      <c r="D3677" s="15" t="n"/>
      <c r="E3677" s="15" t="n"/>
      <c r="F3677" s="15" t="n"/>
      <c r="G3677" s="15" t="n"/>
      <c r="H3677" s="16">
        <f>IF($A3677="","",$D3677+IF($E3677="",0,$E3677)+IF($F3677="",0,$F3677)-IF($G3677="",0,$G3677))</f>
        <v/>
      </c>
      <c r="I3677" s="12" t="n"/>
      <c r="J3677" s="12" t="n"/>
      <c r="K3677" s="12" t="n"/>
      <c r="L3677" s="14" t="n"/>
      <c r="M3677" s="12" t="n"/>
      <c r="N3677" s="12" t="n"/>
      <c r="O3677" s="12" t="n"/>
    </row>
    <row r="3678">
      <c r="A3678" s="12" t="n"/>
      <c r="B3678" s="13">
        <f>IF($A3678="","",IFERROR(INDEX(Emp_Names,MATCH($A3678,Emp_Codes,0)),"NOT FOUND"))</f>
        <v/>
      </c>
      <c r="C3678" s="14" t="n"/>
      <c r="D3678" s="15" t="n"/>
      <c r="E3678" s="15" t="n"/>
      <c r="F3678" s="15" t="n"/>
      <c r="G3678" s="15" t="n"/>
      <c r="H3678" s="16">
        <f>IF($A3678="","",$D3678+IF($E3678="",0,$E3678)+IF($F3678="",0,$F3678)-IF($G3678="",0,$G3678))</f>
        <v/>
      </c>
      <c r="I3678" s="12" t="n"/>
      <c r="J3678" s="12" t="n"/>
      <c r="K3678" s="12" t="n"/>
      <c r="L3678" s="14" t="n"/>
      <c r="M3678" s="12" t="n"/>
      <c r="N3678" s="12" t="n"/>
      <c r="O3678" s="12" t="n"/>
    </row>
    <row r="3679">
      <c r="A3679" s="12" t="n"/>
      <c r="B3679" s="13">
        <f>IF($A3679="","",IFERROR(INDEX(Emp_Names,MATCH($A3679,Emp_Codes,0)),"NOT FOUND"))</f>
        <v/>
      </c>
      <c r="C3679" s="14" t="n"/>
      <c r="D3679" s="15" t="n"/>
      <c r="E3679" s="15" t="n"/>
      <c r="F3679" s="15" t="n"/>
      <c r="G3679" s="15" t="n"/>
      <c r="H3679" s="16">
        <f>IF($A3679="","",$D3679+IF($E3679="",0,$E3679)+IF($F3679="",0,$F3679)-IF($G3679="",0,$G3679))</f>
        <v/>
      </c>
      <c r="I3679" s="12" t="n"/>
      <c r="J3679" s="12" t="n"/>
      <c r="K3679" s="12" t="n"/>
      <c r="L3679" s="14" t="n"/>
      <c r="M3679" s="12" t="n"/>
      <c r="N3679" s="12" t="n"/>
      <c r="O3679" s="12" t="n"/>
    </row>
    <row r="3680">
      <c r="A3680" s="12" t="n"/>
      <c r="B3680" s="13">
        <f>IF($A3680="","",IFERROR(INDEX(Emp_Names,MATCH($A3680,Emp_Codes,0)),"NOT FOUND"))</f>
        <v/>
      </c>
      <c r="C3680" s="14" t="n"/>
      <c r="D3680" s="15" t="n"/>
      <c r="E3680" s="15" t="n"/>
      <c r="F3680" s="15" t="n"/>
      <c r="G3680" s="15" t="n"/>
      <c r="H3680" s="16">
        <f>IF($A3680="","",$D3680+IF($E3680="",0,$E3680)+IF($F3680="",0,$F3680)-IF($G3680="",0,$G3680))</f>
        <v/>
      </c>
      <c r="I3680" s="12" t="n"/>
      <c r="J3680" s="12" t="n"/>
      <c r="K3680" s="12" t="n"/>
      <c r="L3680" s="14" t="n"/>
      <c r="M3680" s="12" t="n"/>
      <c r="N3680" s="12" t="n"/>
      <c r="O3680" s="12" t="n"/>
    </row>
    <row r="3681">
      <c r="A3681" s="12" t="n"/>
      <c r="B3681" s="13">
        <f>IF($A3681="","",IFERROR(INDEX(Emp_Names,MATCH($A3681,Emp_Codes,0)),"NOT FOUND"))</f>
        <v/>
      </c>
      <c r="C3681" s="14" t="n"/>
      <c r="D3681" s="15" t="n"/>
      <c r="E3681" s="15" t="n"/>
      <c r="F3681" s="15" t="n"/>
      <c r="G3681" s="15" t="n"/>
      <c r="H3681" s="16">
        <f>IF($A3681="","",$D3681+IF($E3681="",0,$E3681)+IF($F3681="",0,$F3681)-IF($G3681="",0,$G3681))</f>
        <v/>
      </c>
      <c r="I3681" s="12" t="n"/>
      <c r="J3681" s="12" t="n"/>
      <c r="K3681" s="12" t="n"/>
      <c r="L3681" s="14" t="n"/>
      <c r="M3681" s="12" t="n"/>
      <c r="N3681" s="12" t="n"/>
      <c r="O3681" s="12" t="n"/>
    </row>
    <row r="3682">
      <c r="A3682" s="12" t="n"/>
      <c r="B3682" s="13">
        <f>IF($A3682="","",IFERROR(INDEX(Emp_Names,MATCH($A3682,Emp_Codes,0)),"NOT FOUND"))</f>
        <v/>
      </c>
      <c r="C3682" s="14" t="n"/>
      <c r="D3682" s="15" t="n"/>
      <c r="E3682" s="15" t="n"/>
      <c r="F3682" s="15" t="n"/>
      <c r="G3682" s="15" t="n"/>
      <c r="H3682" s="16">
        <f>IF($A3682="","",$D3682+IF($E3682="",0,$E3682)+IF($F3682="",0,$F3682)-IF($G3682="",0,$G3682))</f>
        <v/>
      </c>
      <c r="I3682" s="12" t="n"/>
      <c r="J3682" s="12" t="n"/>
      <c r="K3682" s="12" t="n"/>
      <c r="L3682" s="14" t="n"/>
      <c r="M3682" s="12" t="n"/>
      <c r="N3682" s="12" t="n"/>
      <c r="O3682" s="12" t="n"/>
    </row>
    <row r="3683">
      <c r="A3683" s="12" t="n"/>
      <c r="B3683" s="13">
        <f>IF($A3683="","",IFERROR(INDEX(Emp_Names,MATCH($A3683,Emp_Codes,0)),"NOT FOUND"))</f>
        <v/>
      </c>
      <c r="C3683" s="14" t="n"/>
      <c r="D3683" s="15" t="n"/>
      <c r="E3683" s="15" t="n"/>
      <c r="F3683" s="15" t="n"/>
      <c r="G3683" s="15" t="n"/>
      <c r="H3683" s="16">
        <f>IF($A3683="","",$D3683+IF($E3683="",0,$E3683)+IF($F3683="",0,$F3683)-IF($G3683="",0,$G3683))</f>
        <v/>
      </c>
      <c r="I3683" s="12" t="n"/>
      <c r="J3683" s="12" t="n"/>
      <c r="K3683" s="12" t="n"/>
      <c r="L3683" s="14" t="n"/>
      <c r="M3683" s="12" t="n"/>
      <c r="N3683" s="12" t="n"/>
      <c r="O3683" s="12" t="n"/>
    </row>
    <row r="3684">
      <c r="A3684" s="12" t="n"/>
      <c r="B3684" s="13">
        <f>IF($A3684="","",IFERROR(INDEX(Emp_Names,MATCH($A3684,Emp_Codes,0)),"NOT FOUND"))</f>
        <v/>
      </c>
      <c r="C3684" s="14" t="n"/>
      <c r="D3684" s="15" t="n"/>
      <c r="E3684" s="15" t="n"/>
      <c r="F3684" s="15" t="n"/>
      <c r="G3684" s="15" t="n"/>
      <c r="H3684" s="16">
        <f>IF($A3684="","",$D3684+IF($E3684="",0,$E3684)+IF($F3684="",0,$F3684)-IF($G3684="",0,$G3684))</f>
        <v/>
      </c>
      <c r="I3684" s="12" t="n"/>
      <c r="J3684" s="12" t="n"/>
      <c r="K3684" s="12" t="n"/>
      <c r="L3684" s="14" t="n"/>
      <c r="M3684" s="12" t="n"/>
      <c r="N3684" s="12" t="n"/>
      <c r="O3684" s="12" t="n"/>
    </row>
    <row r="3685">
      <c r="A3685" s="12" t="n"/>
      <c r="B3685" s="13">
        <f>IF($A3685="","",IFERROR(INDEX(Emp_Names,MATCH($A3685,Emp_Codes,0)),"NOT FOUND"))</f>
        <v/>
      </c>
      <c r="C3685" s="14" t="n"/>
      <c r="D3685" s="15" t="n"/>
      <c r="E3685" s="15" t="n"/>
      <c r="F3685" s="15" t="n"/>
      <c r="G3685" s="15" t="n"/>
      <c r="H3685" s="16">
        <f>IF($A3685="","",$D3685+IF($E3685="",0,$E3685)+IF($F3685="",0,$F3685)-IF($G3685="",0,$G3685))</f>
        <v/>
      </c>
      <c r="I3685" s="12" t="n"/>
      <c r="J3685" s="12" t="n"/>
      <c r="K3685" s="12" t="n"/>
      <c r="L3685" s="14" t="n"/>
      <c r="M3685" s="12" t="n"/>
      <c r="N3685" s="12" t="n"/>
      <c r="O3685" s="12" t="n"/>
    </row>
    <row r="3686">
      <c r="A3686" s="12" t="n"/>
      <c r="B3686" s="13">
        <f>IF($A3686="","",IFERROR(INDEX(Emp_Names,MATCH($A3686,Emp_Codes,0)),"NOT FOUND"))</f>
        <v/>
      </c>
      <c r="C3686" s="14" t="n"/>
      <c r="D3686" s="15" t="n"/>
      <c r="E3686" s="15" t="n"/>
      <c r="F3686" s="15" t="n"/>
      <c r="G3686" s="15" t="n"/>
      <c r="H3686" s="16">
        <f>IF($A3686="","",$D3686+IF($E3686="",0,$E3686)+IF($F3686="",0,$F3686)-IF($G3686="",0,$G3686))</f>
        <v/>
      </c>
      <c r="I3686" s="12" t="n"/>
      <c r="J3686" s="12" t="n"/>
      <c r="K3686" s="12" t="n"/>
      <c r="L3686" s="14" t="n"/>
      <c r="M3686" s="12" t="n"/>
      <c r="N3686" s="12" t="n"/>
      <c r="O3686" s="12" t="n"/>
    </row>
    <row r="3687">
      <c r="A3687" s="12" t="n"/>
      <c r="B3687" s="13">
        <f>IF($A3687="","",IFERROR(INDEX(Emp_Names,MATCH($A3687,Emp_Codes,0)),"NOT FOUND"))</f>
        <v/>
      </c>
      <c r="C3687" s="14" t="n"/>
      <c r="D3687" s="15" t="n"/>
      <c r="E3687" s="15" t="n"/>
      <c r="F3687" s="15" t="n"/>
      <c r="G3687" s="15" t="n"/>
      <c r="H3687" s="16">
        <f>IF($A3687="","",$D3687+IF($E3687="",0,$E3687)+IF($F3687="",0,$F3687)-IF($G3687="",0,$G3687))</f>
        <v/>
      </c>
      <c r="I3687" s="12" t="n"/>
      <c r="J3687" s="12" t="n"/>
      <c r="K3687" s="12" t="n"/>
      <c r="L3687" s="14" t="n"/>
      <c r="M3687" s="12" t="n"/>
      <c r="N3687" s="12" t="n"/>
      <c r="O3687" s="12" t="n"/>
    </row>
    <row r="3688">
      <c r="A3688" s="12" t="n"/>
      <c r="B3688" s="13">
        <f>IF($A3688="","",IFERROR(INDEX(Emp_Names,MATCH($A3688,Emp_Codes,0)),"NOT FOUND"))</f>
        <v/>
      </c>
      <c r="C3688" s="14" t="n"/>
      <c r="D3688" s="15" t="n"/>
      <c r="E3688" s="15" t="n"/>
      <c r="F3688" s="15" t="n"/>
      <c r="G3688" s="15" t="n"/>
      <c r="H3688" s="16">
        <f>IF($A3688="","",$D3688+IF($E3688="",0,$E3688)+IF($F3688="",0,$F3688)-IF($G3688="",0,$G3688))</f>
        <v/>
      </c>
      <c r="I3688" s="12" t="n"/>
      <c r="J3688" s="12" t="n"/>
      <c r="K3688" s="12" t="n"/>
      <c r="L3688" s="14" t="n"/>
      <c r="M3688" s="12" t="n"/>
      <c r="N3688" s="12" t="n"/>
      <c r="O3688" s="12" t="n"/>
    </row>
    <row r="3689">
      <c r="A3689" s="12" t="n"/>
      <c r="B3689" s="13">
        <f>IF($A3689="","",IFERROR(INDEX(Emp_Names,MATCH($A3689,Emp_Codes,0)),"NOT FOUND"))</f>
        <v/>
      </c>
      <c r="C3689" s="14" t="n"/>
      <c r="D3689" s="15" t="n"/>
      <c r="E3689" s="15" t="n"/>
      <c r="F3689" s="15" t="n"/>
      <c r="G3689" s="15" t="n"/>
      <c r="H3689" s="16">
        <f>IF($A3689="","",$D3689+IF($E3689="",0,$E3689)+IF($F3689="",0,$F3689)-IF($G3689="",0,$G3689))</f>
        <v/>
      </c>
      <c r="I3689" s="12" t="n"/>
      <c r="J3689" s="12" t="n"/>
      <c r="K3689" s="12" t="n"/>
      <c r="L3689" s="14" t="n"/>
      <c r="M3689" s="12" t="n"/>
      <c r="N3689" s="12" t="n"/>
      <c r="O3689" s="12" t="n"/>
    </row>
    <row r="3690">
      <c r="A3690" s="12" t="n"/>
      <c r="B3690" s="13">
        <f>IF($A3690="","",IFERROR(INDEX(Emp_Names,MATCH($A3690,Emp_Codes,0)),"NOT FOUND"))</f>
        <v/>
      </c>
      <c r="C3690" s="14" t="n"/>
      <c r="D3690" s="15" t="n"/>
      <c r="E3690" s="15" t="n"/>
      <c r="F3690" s="15" t="n"/>
      <c r="G3690" s="15" t="n"/>
      <c r="H3690" s="16">
        <f>IF($A3690="","",$D3690+IF($E3690="",0,$E3690)+IF($F3690="",0,$F3690)-IF($G3690="",0,$G3690))</f>
        <v/>
      </c>
      <c r="I3690" s="12" t="n"/>
      <c r="J3690" s="12" t="n"/>
      <c r="K3690" s="12" t="n"/>
      <c r="L3690" s="14" t="n"/>
      <c r="M3690" s="12" t="n"/>
      <c r="N3690" s="12" t="n"/>
      <c r="O3690" s="12" t="n"/>
    </row>
    <row r="3691">
      <c r="A3691" s="12" t="n"/>
      <c r="B3691" s="13">
        <f>IF($A3691="","",IFERROR(INDEX(Emp_Names,MATCH($A3691,Emp_Codes,0)),"NOT FOUND"))</f>
        <v/>
      </c>
      <c r="C3691" s="14" t="n"/>
      <c r="D3691" s="15" t="n"/>
      <c r="E3691" s="15" t="n"/>
      <c r="F3691" s="15" t="n"/>
      <c r="G3691" s="15" t="n"/>
      <c r="H3691" s="16">
        <f>IF($A3691="","",$D3691+IF($E3691="",0,$E3691)+IF($F3691="",0,$F3691)-IF($G3691="",0,$G3691))</f>
        <v/>
      </c>
      <c r="I3691" s="12" t="n"/>
      <c r="J3691" s="12" t="n"/>
      <c r="K3691" s="12" t="n"/>
      <c r="L3691" s="14" t="n"/>
      <c r="M3691" s="12" t="n"/>
      <c r="N3691" s="12" t="n"/>
      <c r="O3691" s="12" t="n"/>
    </row>
    <row r="3692">
      <c r="A3692" s="12" t="n"/>
      <c r="B3692" s="13">
        <f>IF($A3692="","",IFERROR(INDEX(Emp_Names,MATCH($A3692,Emp_Codes,0)),"NOT FOUND"))</f>
        <v/>
      </c>
      <c r="C3692" s="14" t="n"/>
      <c r="D3692" s="15" t="n"/>
      <c r="E3692" s="15" t="n"/>
      <c r="F3692" s="15" t="n"/>
      <c r="G3692" s="15" t="n"/>
      <c r="H3692" s="16">
        <f>IF($A3692="","",$D3692+IF($E3692="",0,$E3692)+IF($F3692="",0,$F3692)-IF($G3692="",0,$G3692))</f>
        <v/>
      </c>
      <c r="I3692" s="12" t="n"/>
      <c r="J3692" s="12" t="n"/>
      <c r="K3692" s="12" t="n"/>
      <c r="L3692" s="14" t="n"/>
      <c r="M3692" s="12" t="n"/>
      <c r="N3692" s="12" t="n"/>
      <c r="O3692" s="12" t="n"/>
    </row>
    <row r="3693">
      <c r="A3693" s="12" t="n"/>
      <c r="B3693" s="13">
        <f>IF($A3693="","",IFERROR(INDEX(Emp_Names,MATCH($A3693,Emp_Codes,0)),"NOT FOUND"))</f>
        <v/>
      </c>
      <c r="C3693" s="14" t="n"/>
      <c r="D3693" s="15" t="n"/>
      <c r="E3693" s="15" t="n"/>
      <c r="F3693" s="15" t="n"/>
      <c r="G3693" s="15" t="n"/>
      <c r="H3693" s="16">
        <f>IF($A3693="","",$D3693+IF($E3693="",0,$E3693)+IF($F3693="",0,$F3693)-IF($G3693="",0,$G3693))</f>
        <v/>
      </c>
      <c r="I3693" s="12" t="n"/>
      <c r="J3693" s="12" t="n"/>
      <c r="K3693" s="12" t="n"/>
      <c r="L3693" s="14" t="n"/>
      <c r="M3693" s="12" t="n"/>
      <c r="N3693" s="12" t="n"/>
      <c r="O3693" s="12" t="n"/>
    </row>
    <row r="3694">
      <c r="A3694" s="12" t="n"/>
      <c r="B3694" s="13">
        <f>IF($A3694="","",IFERROR(INDEX(Emp_Names,MATCH($A3694,Emp_Codes,0)),"NOT FOUND"))</f>
        <v/>
      </c>
      <c r="C3694" s="14" t="n"/>
      <c r="D3694" s="15" t="n"/>
      <c r="E3694" s="15" t="n"/>
      <c r="F3694" s="15" t="n"/>
      <c r="G3694" s="15" t="n"/>
      <c r="H3694" s="16">
        <f>IF($A3694="","",$D3694+IF($E3694="",0,$E3694)+IF($F3694="",0,$F3694)-IF($G3694="",0,$G3694))</f>
        <v/>
      </c>
      <c r="I3694" s="12" t="n"/>
      <c r="J3694" s="12" t="n"/>
      <c r="K3694" s="12" t="n"/>
      <c r="L3694" s="14" t="n"/>
      <c r="M3694" s="12" t="n"/>
      <c r="N3694" s="12" t="n"/>
      <c r="O3694" s="12" t="n"/>
    </row>
    <row r="3695">
      <c r="A3695" s="12" t="n"/>
      <c r="B3695" s="13">
        <f>IF($A3695="","",IFERROR(INDEX(Emp_Names,MATCH($A3695,Emp_Codes,0)),"NOT FOUND"))</f>
        <v/>
      </c>
      <c r="C3695" s="14" t="n"/>
      <c r="D3695" s="15" t="n"/>
      <c r="E3695" s="15" t="n"/>
      <c r="F3695" s="15" t="n"/>
      <c r="G3695" s="15" t="n"/>
      <c r="H3695" s="16">
        <f>IF($A3695="","",$D3695+IF($E3695="",0,$E3695)+IF($F3695="",0,$F3695)-IF($G3695="",0,$G3695))</f>
        <v/>
      </c>
      <c r="I3695" s="12" t="n"/>
      <c r="J3695" s="12" t="n"/>
      <c r="K3695" s="12" t="n"/>
      <c r="L3695" s="14" t="n"/>
      <c r="M3695" s="12" t="n"/>
      <c r="N3695" s="12" t="n"/>
      <c r="O3695" s="12" t="n"/>
    </row>
    <row r="3696">
      <c r="A3696" s="12" t="n"/>
      <c r="B3696" s="13">
        <f>IF($A3696="","",IFERROR(INDEX(Emp_Names,MATCH($A3696,Emp_Codes,0)),"NOT FOUND"))</f>
        <v/>
      </c>
      <c r="C3696" s="14" t="n"/>
      <c r="D3696" s="15" t="n"/>
      <c r="E3696" s="15" t="n"/>
      <c r="F3696" s="15" t="n"/>
      <c r="G3696" s="15" t="n"/>
      <c r="H3696" s="16">
        <f>IF($A3696="","",$D3696+IF($E3696="",0,$E3696)+IF($F3696="",0,$F3696)-IF($G3696="",0,$G3696))</f>
        <v/>
      </c>
      <c r="I3696" s="12" t="n"/>
      <c r="J3696" s="12" t="n"/>
      <c r="K3696" s="12" t="n"/>
      <c r="L3696" s="14" t="n"/>
      <c r="M3696" s="12" t="n"/>
      <c r="N3696" s="12" t="n"/>
      <c r="O3696" s="12" t="n"/>
    </row>
    <row r="3697">
      <c r="A3697" s="12" t="n"/>
      <c r="B3697" s="13">
        <f>IF($A3697="","",IFERROR(INDEX(Emp_Names,MATCH($A3697,Emp_Codes,0)),"NOT FOUND"))</f>
        <v/>
      </c>
      <c r="C3697" s="14" t="n"/>
      <c r="D3697" s="15" t="n"/>
      <c r="E3697" s="15" t="n"/>
      <c r="F3697" s="15" t="n"/>
      <c r="G3697" s="15" t="n"/>
      <c r="H3697" s="16">
        <f>IF($A3697="","",$D3697+IF($E3697="",0,$E3697)+IF($F3697="",0,$F3697)-IF($G3697="",0,$G3697))</f>
        <v/>
      </c>
      <c r="I3697" s="12" t="n"/>
      <c r="J3697" s="12" t="n"/>
      <c r="K3697" s="12" t="n"/>
      <c r="L3697" s="14" t="n"/>
      <c r="M3697" s="12" t="n"/>
      <c r="N3697" s="12" t="n"/>
      <c r="O3697" s="12" t="n"/>
    </row>
    <row r="3698">
      <c r="A3698" s="12" t="n"/>
      <c r="B3698" s="13">
        <f>IF($A3698="","",IFERROR(INDEX(Emp_Names,MATCH($A3698,Emp_Codes,0)),"NOT FOUND"))</f>
        <v/>
      </c>
      <c r="C3698" s="14" t="n"/>
      <c r="D3698" s="15" t="n"/>
      <c r="E3698" s="15" t="n"/>
      <c r="F3698" s="15" t="n"/>
      <c r="G3698" s="15" t="n"/>
      <c r="H3698" s="16">
        <f>IF($A3698="","",$D3698+IF($E3698="",0,$E3698)+IF($F3698="",0,$F3698)-IF($G3698="",0,$G3698))</f>
        <v/>
      </c>
      <c r="I3698" s="12" t="n"/>
      <c r="J3698" s="12" t="n"/>
      <c r="K3698" s="12" t="n"/>
      <c r="L3698" s="14" t="n"/>
      <c r="M3698" s="12" t="n"/>
      <c r="N3698" s="12" t="n"/>
      <c r="O3698" s="12" t="n"/>
    </row>
    <row r="3699">
      <c r="A3699" s="12" t="n"/>
      <c r="B3699" s="13">
        <f>IF($A3699="","",IFERROR(INDEX(Emp_Names,MATCH($A3699,Emp_Codes,0)),"NOT FOUND"))</f>
        <v/>
      </c>
      <c r="C3699" s="14" t="n"/>
      <c r="D3699" s="15" t="n"/>
      <c r="E3699" s="15" t="n"/>
      <c r="F3699" s="15" t="n"/>
      <c r="G3699" s="15" t="n"/>
      <c r="H3699" s="16">
        <f>IF($A3699="","",$D3699+IF($E3699="",0,$E3699)+IF($F3699="",0,$F3699)-IF($G3699="",0,$G3699))</f>
        <v/>
      </c>
      <c r="I3699" s="12" t="n"/>
      <c r="J3699" s="12" t="n"/>
      <c r="K3699" s="12" t="n"/>
      <c r="L3699" s="14" t="n"/>
      <c r="M3699" s="12" t="n"/>
      <c r="N3699" s="12" t="n"/>
      <c r="O3699" s="12" t="n"/>
    </row>
    <row r="3700">
      <c r="A3700" s="12" t="n"/>
      <c r="B3700" s="13">
        <f>IF($A3700="","",IFERROR(INDEX(Emp_Names,MATCH($A3700,Emp_Codes,0)),"NOT FOUND"))</f>
        <v/>
      </c>
      <c r="C3700" s="14" t="n"/>
      <c r="D3700" s="15" t="n"/>
      <c r="E3700" s="15" t="n"/>
      <c r="F3700" s="15" t="n"/>
      <c r="G3700" s="15" t="n"/>
      <c r="H3700" s="16">
        <f>IF($A3700="","",$D3700+IF($E3700="",0,$E3700)+IF($F3700="",0,$F3700)-IF($G3700="",0,$G3700))</f>
        <v/>
      </c>
      <c r="I3700" s="12" t="n"/>
      <c r="J3700" s="12" t="n"/>
      <c r="K3700" s="12" t="n"/>
      <c r="L3700" s="14" t="n"/>
      <c r="M3700" s="12" t="n"/>
      <c r="N3700" s="12" t="n"/>
      <c r="O3700" s="12" t="n"/>
    </row>
    <row r="3701">
      <c r="A3701" s="12" t="n"/>
      <c r="B3701" s="13">
        <f>IF($A3701="","",IFERROR(INDEX(Emp_Names,MATCH($A3701,Emp_Codes,0)),"NOT FOUND"))</f>
        <v/>
      </c>
      <c r="C3701" s="14" t="n"/>
      <c r="D3701" s="15" t="n"/>
      <c r="E3701" s="15" t="n"/>
      <c r="F3701" s="15" t="n"/>
      <c r="G3701" s="15" t="n"/>
      <c r="H3701" s="16">
        <f>IF($A3701="","",$D3701+IF($E3701="",0,$E3701)+IF($F3701="",0,$F3701)-IF($G3701="",0,$G3701))</f>
        <v/>
      </c>
      <c r="I3701" s="12" t="n"/>
      <c r="J3701" s="12" t="n"/>
      <c r="K3701" s="12" t="n"/>
      <c r="L3701" s="14" t="n"/>
      <c r="M3701" s="12" t="n"/>
      <c r="N3701" s="12" t="n"/>
      <c r="O3701" s="12" t="n"/>
    </row>
    <row r="3702">
      <c r="A3702" s="12" t="n"/>
      <c r="B3702" s="13">
        <f>IF($A3702="","",IFERROR(INDEX(Emp_Names,MATCH($A3702,Emp_Codes,0)),"NOT FOUND"))</f>
        <v/>
      </c>
      <c r="C3702" s="14" t="n"/>
      <c r="D3702" s="15" t="n"/>
      <c r="E3702" s="15" t="n"/>
      <c r="F3702" s="15" t="n"/>
      <c r="G3702" s="15" t="n"/>
      <c r="H3702" s="16">
        <f>IF($A3702="","",$D3702+IF($E3702="",0,$E3702)+IF($F3702="",0,$F3702)-IF($G3702="",0,$G3702))</f>
        <v/>
      </c>
      <c r="I3702" s="12" t="n"/>
      <c r="J3702" s="12" t="n"/>
      <c r="K3702" s="12" t="n"/>
      <c r="L3702" s="14" t="n"/>
      <c r="M3702" s="12" t="n"/>
      <c r="N3702" s="12" t="n"/>
      <c r="O3702" s="12" t="n"/>
    </row>
    <row r="3703">
      <c r="A3703" s="12" t="n"/>
      <c r="B3703" s="13">
        <f>IF($A3703="","",IFERROR(INDEX(Emp_Names,MATCH($A3703,Emp_Codes,0)),"NOT FOUND"))</f>
        <v/>
      </c>
      <c r="C3703" s="14" t="n"/>
      <c r="D3703" s="15" t="n"/>
      <c r="E3703" s="15" t="n"/>
      <c r="F3703" s="15" t="n"/>
      <c r="G3703" s="15" t="n"/>
      <c r="H3703" s="16">
        <f>IF($A3703="","",$D3703+IF($E3703="",0,$E3703)+IF($F3703="",0,$F3703)-IF($G3703="",0,$G3703))</f>
        <v/>
      </c>
      <c r="I3703" s="12" t="n"/>
      <c r="J3703" s="12" t="n"/>
      <c r="K3703" s="12" t="n"/>
      <c r="L3703" s="14" t="n"/>
      <c r="M3703" s="12" t="n"/>
      <c r="N3703" s="12" t="n"/>
      <c r="O3703" s="12" t="n"/>
    </row>
    <row r="3704">
      <c r="A3704" s="12" t="n"/>
      <c r="B3704" s="13">
        <f>IF($A3704="","",IFERROR(INDEX(Emp_Names,MATCH($A3704,Emp_Codes,0)),"NOT FOUND"))</f>
        <v/>
      </c>
      <c r="C3704" s="14" t="n"/>
      <c r="D3704" s="15" t="n"/>
      <c r="E3704" s="15" t="n"/>
      <c r="F3704" s="15" t="n"/>
      <c r="G3704" s="15" t="n"/>
      <c r="H3704" s="16">
        <f>IF($A3704="","",$D3704+IF($E3704="",0,$E3704)+IF($F3704="",0,$F3704)-IF($G3704="",0,$G3704))</f>
        <v/>
      </c>
      <c r="I3704" s="12" t="n"/>
      <c r="J3704" s="12" t="n"/>
      <c r="K3704" s="12" t="n"/>
      <c r="L3704" s="14" t="n"/>
      <c r="M3704" s="12" t="n"/>
      <c r="N3704" s="12" t="n"/>
      <c r="O3704" s="12" t="n"/>
    </row>
    <row r="3705">
      <c r="A3705" s="12" t="n"/>
      <c r="B3705" s="13">
        <f>IF($A3705="","",IFERROR(INDEX(Emp_Names,MATCH($A3705,Emp_Codes,0)),"NOT FOUND"))</f>
        <v/>
      </c>
      <c r="C3705" s="14" t="n"/>
      <c r="D3705" s="15" t="n"/>
      <c r="E3705" s="15" t="n"/>
      <c r="F3705" s="15" t="n"/>
      <c r="G3705" s="15" t="n"/>
      <c r="H3705" s="16">
        <f>IF($A3705="","",$D3705+IF($E3705="",0,$E3705)+IF($F3705="",0,$F3705)-IF($G3705="",0,$G3705))</f>
        <v/>
      </c>
      <c r="I3705" s="12" t="n"/>
      <c r="J3705" s="12" t="n"/>
      <c r="K3705" s="12" t="n"/>
      <c r="L3705" s="14" t="n"/>
      <c r="M3705" s="12" t="n"/>
      <c r="N3705" s="12" t="n"/>
      <c r="O3705" s="12" t="n"/>
    </row>
    <row r="3706">
      <c r="A3706" s="12" t="n"/>
      <c r="B3706" s="13">
        <f>IF($A3706="","",IFERROR(INDEX(Emp_Names,MATCH($A3706,Emp_Codes,0)),"NOT FOUND"))</f>
        <v/>
      </c>
      <c r="C3706" s="14" t="n"/>
      <c r="D3706" s="15" t="n"/>
      <c r="E3706" s="15" t="n"/>
      <c r="F3706" s="15" t="n"/>
      <c r="G3706" s="15" t="n"/>
      <c r="H3706" s="16">
        <f>IF($A3706="","",$D3706+IF($E3706="",0,$E3706)+IF($F3706="",0,$F3706)-IF($G3706="",0,$G3706))</f>
        <v/>
      </c>
      <c r="I3706" s="12" t="n"/>
      <c r="J3706" s="12" t="n"/>
      <c r="K3706" s="12" t="n"/>
      <c r="L3706" s="14" t="n"/>
      <c r="M3706" s="12" t="n"/>
      <c r="N3706" s="12" t="n"/>
      <c r="O3706" s="12" t="n"/>
    </row>
    <row r="3707">
      <c r="A3707" s="12" t="n"/>
      <c r="B3707" s="13">
        <f>IF($A3707="","",IFERROR(INDEX(Emp_Names,MATCH($A3707,Emp_Codes,0)),"NOT FOUND"))</f>
        <v/>
      </c>
      <c r="C3707" s="14" t="n"/>
      <c r="D3707" s="15" t="n"/>
      <c r="E3707" s="15" t="n"/>
      <c r="F3707" s="15" t="n"/>
      <c r="G3707" s="15" t="n"/>
      <c r="H3707" s="16">
        <f>IF($A3707="","",$D3707+IF($E3707="",0,$E3707)+IF($F3707="",0,$F3707)-IF($G3707="",0,$G3707))</f>
        <v/>
      </c>
      <c r="I3707" s="12" t="n"/>
      <c r="J3707" s="12" t="n"/>
      <c r="K3707" s="12" t="n"/>
      <c r="L3707" s="14" t="n"/>
      <c r="M3707" s="12" t="n"/>
      <c r="N3707" s="12" t="n"/>
      <c r="O3707" s="12" t="n"/>
    </row>
    <row r="3708">
      <c r="A3708" s="12" t="n"/>
      <c r="B3708" s="13">
        <f>IF($A3708="","",IFERROR(INDEX(Emp_Names,MATCH($A3708,Emp_Codes,0)),"NOT FOUND"))</f>
        <v/>
      </c>
      <c r="C3708" s="14" t="n"/>
      <c r="D3708" s="15" t="n"/>
      <c r="E3708" s="15" t="n"/>
      <c r="F3708" s="15" t="n"/>
      <c r="G3708" s="15" t="n"/>
      <c r="H3708" s="16">
        <f>IF($A3708="","",$D3708+IF($E3708="",0,$E3708)+IF($F3708="",0,$F3708)-IF($G3708="",0,$G3708))</f>
        <v/>
      </c>
      <c r="I3708" s="12" t="n"/>
      <c r="J3708" s="12" t="n"/>
      <c r="K3708" s="12" t="n"/>
      <c r="L3708" s="14" t="n"/>
      <c r="M3708" s="12" t="n"/>
      <c r="N3708" s="12" t="n"/>
      <c r="O3708" s="12" t="n"/>
    </row>
    <row r="3709">
      <c r="A3709" s="12" t="n"/>
      <c r="B3709" s="13">
        <f>IF($A3709="","",IFERROR(INDEX(Emp_Names,MATCH($A3709,Emp_Codes,0)),"NOT FOUND"))</f>
        <v/>
      </c>
      <c r="C3709" s="14" t="n"/>
      <c r="D3709" s="15" t="n"/>
      <c r="E3709" s="15" t="n"/>
      <c r="F3709" s="15" t="n"/>
      <c r="G3709" s="15" t="n"/>
      <c r="H3709" s="16">
        <f>IF($A3709="","",$D3709+IF($E3709="",0,$E3709)+IF($F3709="",0,$F3709)-IF($G3709="",0,$G3709))</f>
        <v/>
      </c>
      <c r="I3709" s="12" t="n"/>
      <c r="J3709" s="12" t="n"/>
      <c r="K3709" s="12" t="n"/>
      <c r="L3709" s="14" t="n"/>
      <c r="M3709" s="12" t="n"/>
      <c r="N3709" s="12" t="n"/>
      <c r="O3709" s="12" t="n"/>
    </row>
    <row r="3710">
      <c r="A3710" s="12" t="n"/>
      <c r="B3710" s="13">
        <f>IF($A3710="","",IFERROR(INDEX(Emp_Names,MATCH($A3710,Emp_Codes,0)),"NOT FOUND"))</f>
        <v/>
      </c>
      <c r="C3710" s="14" t="n"/>
      <c r="D3710" s="15" t="n"/>
      <c r="E3710" s="15" t="n"/>
      <c r="F3710" s="15" t="n"/>
      <c r="G3710" s="15" t="n"/>
      <c r="H3710" s="16">
        <f>IF($A3710="","",$D3710+IF($E3710="",0,$E3710)+IF($F3710="",0,$F3710)-IF($G3710="",0,$G3710))</f>
        <v/>
      </c>
      <c r="I3710" s="12" t="n"/>
      <c r="J3710" s="12" t="n"/>
      <c r="K3710" s="12" t="n"/>
      <c r="L3710" s="14" t="n"/>
      <c r="M3710" s="12" t="n"/>
      <c r="N3710" s="12" t="n"/>
      <c r="O3710" s="12" t="n"/>
    </row>
    <row r="3711">
      <c r="A3711" s="12" t="n"/>
      <c r="B3711" s="13">
        <f>IF($A3711="","",IFERROR(INDEX(Emp_Names,MATCH($A3711,Emp_Codes,0)),"NOT FOUND"))</f>
        <v/>
      </c>
      <c r="C3711" s="14" t="n"/>
      <c r="D3711" s="15" t="n"/>
      <c r="E3711" s="15" t="n"/>
      <c r="F3711" s="15" t="n"/>
      <c r="G3711" s="15" t="n"/>
      <c r="H3711" s="16">
        <f>IF($A3711="","",$D3711+IF($E3711="",0,$E3711)+IF($F3711="",0,$F3711)-IF($G3711="",0,$G3711))</f>
        <v/>
      </c>
      <c r="I3711" s="12" t="n"/>
      <c r="J3711" s="12" t="n"/>
      <c r="K3711" s="12" t="n"/>
      <c r="L3711" s="14" t="n"/>
      <c r="M3711" s="12" t="n"/>
      <c r="N3711" s="12" t="n"/>
      <c r="O3711" s="12" t="n"/>
    </row>
    <row r="3712">
      <c r="A3712" s="12" t="n"/>
      <c r="B3712" s="13">
        <f>IF($A3712="","",IFERROR(INDEX(Emp_Names,MATCH($A3712,Emp_Codes,0)),"NOT FOUND"))</f>
        <v/>
      </c>
      <c r="C3712" s="14" t="n"/>
      <c r="D3712" s="15" t="n"/>
      <c r="E3712" s="15" t="n"/>
      <c r="F3712" s="15" t="n"/>
      <c r="G3712" s="15" t="n"/>
      <c r="H3712" s="16">
        <f>IF($A3712="","",$D3712+IF($E3712="",0,$E3712)+IF($F3712="",0,$F3712)-IF($G3712="",0,$G3712))</f>
        <v/>
      </c>
      <c r="I3712" s="12" t="n"/>
      <c r="J3712" s="12" t="n"/>
      <c r="K3712" s="12" t="n"/>
      <c r="L3712" s="14" t="n"/>
      <c r="M3712" s="12" t="n"/>
      <c r="N3712" s="12" t="n"/>
      <c r="O3712" s="12" t="n"/>
    </row>
    <row r="3713">
      <c r="A3713" s="12" t="n"/>
      <c r="B3713" s="13">
        <f>IF($A3713="","",IFERROR(INDEX(Emp_Names,MATCH($A3713,Emp_Codes,0)),"NOT FOUND"))</f>
        <v/>
      </c>
      <c r="C3713" s="14" t="n"/>
      <c r="D3713" s="15" t="n"/>
      <c r="E3713" s="15" t="n"/>
      <c r="F3713" s="15" t="n"/>
      <c r="G3713" s="15" t="n"/>
      <c r="H3713" s="16">
        <f>IF($A3713="","",$D3713+IF($E3713="",0,$E3713)+IF($F3713="",0,$F3713)-IF($G3713="",0,$G3713))</f>
        <v/>
      </c>
      <c r="I3713" s="12" t="n"/>
      <c r="J3713" s="12" t="n"/>
      <c r="K3713" s="12" t="n"/>
      <c r="L3713" s="14" t="n"/>
      <c r="M3713" s="12" t="n"/>
      <c r="N3713" s="12" t="n"/>
      <c r="O3713" s="12" t="n"/>
    </row>
    <row r="3714">
      <c r="A3714" s="12" t="n"/>
      <c r="B3714" s="13">
        <f>IF($A3714="","",IFERROR(INDEX(Emp_Names,MATCH($A3714,Emp_Codes,0)),"NOT FOUND"))</f>
        <v/>
      </c>
      <c r="C3714" s="14" t="n"/>
      <c r="D3714" s="15" t="n"/>
      <c r="E3714" s="15" t="n"/>
      <c r="F3714" s="15" t="n"/>
      <c r="G3714" s="15" t="n"/>
      <c r="H3714" s="16">
        <f>IF($A3714="","",$D3714+IF($E3714="",0,$E3714)+IF($F3714="",0,$F3714)-IF($G3714="",0,$G3714))</f>
        <v/>
      </c>
      <c r="I3714" s="12" t="n"/>
      <c r="J3714" s="12" t="n"/>
      <c r="K3714" s="12" t="n"/>
      <c r="L3714" s="14" t="n"/>
      <c r="M3714" s="12" t="n"/>
      <c r="N3714" s="12" t="n"/>
      <c r="O3714" s="12" t="n"/>
    </row>
    <row r="3715">
      <c r="A3715" s="12" t="n"/>
      <c r="B3715" s="13">
        <f>IF($A3715="","",IFERROR(INDEX(Emp_Names,MATCH($A3715,Emp_Codes,0)),"NOT FOUND"))</f>
        <v/>
      </c>
      <c r="C3715" s="14" t="n"/>
      <c r="D3715" s="15" t="n"/>
      <c r="E3715" s="15" t="n"/>
      <c r="F3715" s="15" t="n"/>
      <c r="G3715" s="15" t="n"/>
      <c r="H3715" s="16">
        <f>IF($A3715="","",$D3715+IF($E3715="",0,$E3715)+IF($F3715="",0,$F3715)-IF($G3715="",0,$G3715))</f>
        <v/>
      </c>
      <c r="I3715" s="12" t="n"/>
      <c r="J3715" s="12" t="n"/>
      <c r="K3715" s="12" t="n"/>
      <c r="L3715" s="14" t="n"/>
      <c r="M3715" s="12" t="n"/>
      <c r="N3715" s="12" t="n"/>
      <c r="O3715" s="12" t="n"/>
    </row>
    <row r="3716">
      <c r="A3716" s="12" t="n"/>
      <c r="B3716" s="13">
        <f>IF($A3716="","",IFERROR(INDEX(Emp_Names,MATCH($A3716,Emp_Codes,0)),"NOT FOUND"))</f>
        <v/>
      </c>
      <c r="C3716" s="14" t="n"/>
      <c r="D3716" s="15" t="n"/>
      <c r="E3716" s="15" t="n"/>
      <c r="F3716" s="15" t="n"/>
      <c r="G3716" s="15" t="n"/>
      <c r="H3716" s="16">
        <f>IF($A3716="","",$D3716+IF($E3716="",0,$E3716)+IF($F3716="",0,$F3716)-IF($G3716="",0,$G3716))</f>
        <v/>
      </c>
      <c r="I3716" s="12" t="n"/>
      <c r="J3716" s="12" t="n"/>
      <c r="K3716" s="12" t="n"/>
      <c r="L3716" s="14" t="n"/>
      <c r="M3716" s="12" t="n"/>
      <c r="N3716" s="12" t="n"/>
      <c r="O3716" s="12" t="n"/>
    </row>
    <row r="3717">
      <c r="A3717" s="12" t="n"/>
      <c r="B3717" s="13">
        <f>IF($A3717="","",IFERROR(INDEX(Emp_Names,MATCH($A3717,Emp_Codes,0)),"NOT FOUND"))</f>
        <v/>
      </c>
      <c r="C3717" s="14" t="n"/>
      <c r="D3717" s="15" t="n"/>
      <c r="E3717" s="15" t="n"/>
      <c r="F3717" s="15" t="n"/>
      <c r="G3717" s="15" t="n"/>
      <c r="H3717" s="16">
        <f>IF($A3717="","",$D3717+IF($E3717="",0,$E3717)+IF($F3717="",0,$F3717)-IF($G3717="",0,$G3717))</f>
        <v/>
      </c>
      <c r="I3717" s="12" t="n"/>
      <c r="J3717" s="12" t="n"/>
      <c r="K3717" s="12" t="n"/>
      <c r="L3717" s="14" t="n"/>
      <c r="M3717" s="12" t="n"/>
      <c r="N3717" s="12" t="n"/>
      <c r="O3717" s="12" t="n"/>
    </row>
    <row r="3718">
      <c r="A3718" s="12" t="n"/>
      <c r="B3718" s="13">
        <f>IF($A3718="","",IFERROR(INDEX(Emp_Names,MATCH($A3718,Emp_Codes,0)),"NOT FOUND"))</f>
        <v/>
      </c>
      <c r="C3718" s="14" t="n"/>
      <c r="D3718" s="15" t="n"/>
      <c r="E3718" s="15" t="n"/>
      <c r="F3718" s="15" t="n"/>
      <c r="G3718" s="15" t="n"/>
      <c r="H3718" s="16">
        <f>IF($A3718="","",$D3718+IF($E3718="",0,$E3718)+IF($F3718="",0,$F3718)-IF($G3718="",0,$G3718))</f>
        <v/>
      </c>
      <c r="I3718" s="12" t="n"/>
      <c r="J3718" s="12" t="n"/>
      <c r="K3718" s="12" t="n"/>
      <c r="L3718" s="14" t="n"/>
      <c r="M3718" s="12" t="n"/>
      <c r="N3718" s="12" t="n"/>
      <c r="O3718" s="12" t="n"/>
    </row>
    <row r="3719">
      <c r="A3719" s="12" t="n"/>
      <c r="B3719" s="13">
        <f>IF($A3719="","",IFERROR(INDEX(Emp_Names,MATCH($A3719,Emp_Codes,0)),"NOT FOUND"))</f>
        <v/>
      </c>
      <c r="C3719" s="14" t="n"/>
      <c r="D3719" s="15" t="n"/>
      <c r="E3719" s="15" t="n"/>
      <c r="F3719" s="15" t="n"/>
      <c r="G3719" s="15" t="n"/>
      <c r="H3719" s="16">
        <f>IF($A3719="","",$D3719+IF($E3719="",0,$E3719)+IF($F3719="",0,$F3719)-IF($G3719="",0,$G3719))</f>
        <v/>
      </c>
      <c r="I3719" s="12" t="n"/>
      <c r="J3719" s="12" t="n"/>
      <c r="K3719" s="12" t="n"/>
      <c r="L3719" s="14" t="n"/>
      <c r="M3719" s="12" t="n"/>
      <c r="N3719" s="12" t="n"/>
      <c r="O3719" s="12" t="n"/>
    </row>
    <row r="3720">
      <c r="A3720" s="12" t="n"/>
      <c r="B3720" s="13">
        <f>IF($A3720="","",IFERROR(INDEX(Emp_Names,MATCH($A3720,Emp_Codes,0)),"NOT FOUND"))</f>
        <v/>
      </c>
      <c r="C3720" s="14" t="n"/>
      <c r="D3720" s="15" t="n"/>
      <c r="E3720" s="15" t="n"/>
      <c r="F3720" s="15" t="n"/>
      <c r="G3720" s="15" t="n"/>
      <c r="H3720" s="16">
        <f>IF($A3720="","",$D3720+IF($E3720="",0,$E3720)+IF($F3720="",0,$F3720)-IF($G3720="",0,$G3720))</f>
        <v/>
      </c>
      <c r="I3720" s="12" t="n"/>
      <c r="J3720" s="12" t="n"/>
      <c r="K3720" s="12" t="n"/>
      <c r="L3720" s="14" t="n"/>
      <c r="M3720" s="12" t="n"/>
      <c r="N3720" s="12" t="n"/>
      <c r="O3720" s="12" t="n"/>
    </row>
    <row r="3721">
      <c r="A3721" s="12" t="n"/>
      <c r="B3721" s="13">
        <f>IF($A3721="","",IFERROR(INDEX(Emp_Names,MATCH($A3721,Emp_Codes,0)),"NOT FOUND"))</f>
        <v/>
      </c>
      <c r="C3721" s="14" t="n"/>
      <c r="D3721" s="15" t="n"/>
      <c r="E3721" s="15" t="n"/>
      <c r="F3721" s="15" t="n"/>
      <c r="G3721" s="15" t="n"/>
      <c r="H3721" s="16">
        <f>IF($A3721="","",$D3721+IF($E3721="",0,$E3721)+IF($F3721="",0,$F3721)-IF($G3721="",0,$G3721))</f>
        <v/>
      </c>
      <c r="I3721" s="12" t="n"/>
      <c r="J3721" s="12" t="n"/>
      <c r="K3721" s="12" t="n"/>
      <c r="L3721" s="14" t="n"/>
      <c r="M3721" s="12" t="n"/>
      <c r="N3721" s="12" t="n"/>
      <c r="O3721" s="12" t="n"/>
    </row>
    <row r="3722">
      <c r="A3722" s="12" t="n"/>
      <c r="B3722" s="13">
        <f>IF($A3722="","",IFERROR(INDEX(Emp_Names,MATCH($A3722,Emp_Codes,0)),"NOT FOUND"))</f>
        <v/>
      </c>
      <c r="C3722" s="14" t="n"/>
      <c r="D3722" s="15" t="n"/>
      <c r="E3722" s="15" t="n"/>
      <c r="F3722" s="15" t="n"/>
      <c r="G3722" s="15" t="n"/>
      <c r="H3722" s="16">
        <f>IF($A3722="","",$D3722+IF($E3722="",0,$E3722)+IF($F3722="",0,$F3722)-IF($G3722="",0,$G3722))</f>
        <v/>
      </c>
      <c r="I3722" s="12" t="n"/>
      <c r="J3722" s="12" t="n"/>
      <c r="K3722" s="12" t="n"/>
      <c r="L3722" s="14" t="n"/>
      <c r="M3722" s="12" t="n"/>
      <c r="N3722" s="12" t="n"/>
      <c r="O3722" s="12" t="n"/>
    </row>
    <row r="3723">
      <c r="A3723" s="12" t="n"/>
      <c r="B3723" s="13">
        <f>IF($A3723="","",IFERROR(INDEX(Emp_Names,MATCH($A3723,Emp_Codes,0)),"NOT FOUND"))</f>
        <v/>
      </c>
      <c r="C3723" s="14" t="n"/>
      <c r="D3723" s="15" t="n"/>
      <c r="E3723" s="15" t="n"/>
      <c r="F3723" s="15" t="n"/>
      <c r="G3723" s="15" t="n"/>
      <c r="H3723" s="16">
        <f>IF($A3723="","",$D3723+IF($E3723="",0,$E3723)+IF($F3723="",0,$F3723)-IF($G3723="",0,$G3723))</f>
        <v/>
      </c>
      <c r="I3723" s="12" t="n"/>
      <c r="J3723" s="12" t="n"/>
      <c r="K3723" s="12" t="n"/>
      <c r="L3723" s="14" t="n"/>
      <c r="M3723" s="12" t="n"/>
      <c r="N3723" s="12" t="n"/>
      <c r="O3723" s="12" t="n"/>
    </row>
    <row r="3724">
      <c r="A3724" s="12" t="n"/>
      <c r="B3724" s="13">
        <f>IF($A3724="","",IFERROR(INDEX(Emp_Names,MATCH($A3724,Emp_Codes,0)),"NOT FOUND"))</f>
        <v/>
      </c>
      <c r="C3724" s="14" t="n"/>
      <c r="D3724" s="15" t="n"/>
      <c r="E3724" s="15" t="n"/>
      <c r="F3724" s="15" t="n"/>
      <c r="G3724" s="15" t="n"/>
      <c r="H3724" s="16">
        <f>IF($A3724="","",$D3724+IF($E3724="",0,$E3724)+IF($F3724="",0,$F3724)-IF($G3724="",0,$G3724))</f>
        <v/>
      </c>
      <c r="I3724" s="12" t="n"/>
      <c r="J3724" s="12" t="n"/>
      <c r="K3724" s="12" t="n"/>
      <c r="L3724" s="14" t="n"/>
      <c r="M3724" s="12" t="n"/>
      <c r="N3724" s="12" t="n"/>
      <c r="O3724" s="12" t="n"/>
    </row>
    <row r="3725">
      <c r="A3725" s="12" t="n"/>
      <c r="B3725" s="13">
        <f>IF($A3725="","",IFERROR(INDEX(Emp_Names,MATCH($A3725,Emp_Codes,0)),"NOT FOUND"))</f>
        <v/>
      </c>
      <c r="C3725" s="14" t="n"/>
      <c r="D3725" s="15" t="n"/>
      <c r="E3725" s="15" t="n"/>
      <c r="F3725" s="15" t="n"/>
      <c r="G3725" s="15" t="n"/>
      <c r="H3725" s="16">
        <f>IF($A3725="","",$D3725+IF($E3725="",0,$E3725)+IF($F3725="",0,$F3725)-IF($G3725="",0,$G3725))</f>
        <v/>
      </c>
      <c r="I3725" s="12" t="n"/>
      <c r="J3725" s="12" t="n"/>
      <c r="K3725" s="12" t="n"/>
      <c r="L3725" s="14" t="n"/>
      <c r="M3725" s="12" t="n"/>
      <c r="N3725" s="12" t="n"/>
      <c r="O3725" s="12" t="n"/>
    </row>
    <row r="3726">
      <c r="A3726" s="12" t="n"/>
      <c r="B3726" s="13">
        <f>IF($A3726="","",IFERROR(INDEX(Emp_Names,MATCH($A3726,Emp_Codes,0)),"NOT FOUND"))</f>
        <v/>
      </c>
      <c r="C3726" s="14" t="n"/>
      <c r="D3726" s="15" t="n"/>
      <c r="E3726" s="15" t="n"/>
      <c r="F3726" s="15" t="n"/>
      <c r="G3726" s="15" t="n"/>
      <c r="H3726" s="16">
        <f>IF($A3726="","",$D3726+IF($E3726="",0,$E3726)+IF($F3726="",0,$F3726)-IF($G3726="",0,$G3726))</f>
        <v/>
      </c>
      <c r="I3726" s="12" t="n"/>
      <c r="J3726" s="12" t="n"/>
      <c r="K3726" s="12" t="n"/>
      <c r="L3726" s="14" t="n"/>
      <c r="M3726" s="12" t="n"/>
      <c r="N3726" s="12" t="n"/>
      <c r="O3726" s="12" t="n"/>
    </row>
    <row r="3727">
      <c r="A3727" s="12" t="n"/>
      <c r="B3727" s="13">
        <f>IF($A3727="","",IFERROR(INDEX(Emp_Names,MATCH($A3727,Emp_Codes,0)),"NOT FOUND"))</f>
        <v/>
      </c>
      <c r="C3727" s="14" t="n"/>
      <c r="D3727" s="15" t="n"/>
      <c r="E3727" s="15" t="n"/>
      <c r="F3727" s="15" t="n"/>
      <c r="G3727" s="15" t="n"/>
      <c r="H3727" s="16">
        <f>IF($A3727="","",$D3727+IF($E3727="",0,$E3727)+IF($F3727="",0,$F3727)-IF($G3727="",0,$G3727))</f>
        <v/>
      </c>
      <c r="I3727" s="12" t="n"/>
      <c r="J3727" s="12" t="n"/>
      <c r="K3727" s="12" t="n"/>
      <c r="L3727" s="14" t="n"/>
      <c r="M3727" s="12" t="n"/>
      <c r="N3727" s="12" t="n"/>
      <c r="O3727" s="12" t="n"/>
    </row>
    <row r="3728">
      <c r="A3728" s="12" t="n"/>
      <c r="B3728" s="13">
        <f>IF($A3728="","",IFERROR(INDEX(Emp_Names,MATCH($A3728,Emp_Codes,0)),"NOT FOUND"))</f>
        <v/>
      </c>
      <c r="C3728" s="14" t="n"/>
      <c r="D3728" s="15" t="n"/>
      <c r="E3728" s="15" t="n"/>
      <c r="F3728" s="15" t="n"/>
      <c r="G3728" s="15" t="n"/>
      <c r="H3728" s="16">
        <f>IF($A3728="","",$D3728+IF($E3728="",0,$E3728)+IF($F3728="",0,$F3728)-IF($G3728="",0,$G3728))</f>
        <v/>
      </c>
      <c r="I3728" s="12" t="n"/>
      <c r="J3728" s="12" t="n"/>
      <c r="K3728" s="12" t="n"/>
      <c r="L3728" s="14" t="n"/>
      <c r="M3728" s="12" t="n"/>
      <c r="N3728" s="12" t="n"/>
      <c r="O3728" s="12" t="n"/>
    </row>
    <row r="3729">
      <c r="A3729" s="12" t="n"/>
      <c r="B3729" s="13">
        <f>IF($A3729="","",IFERROR(INDEX(Emp_Names,MATCH($A3729,Emp_Codes,0)),"NOT FOUND"))</f>
        <v/>
      </c>
      <c r="C3729" s="14" t="n"/>
      <c r="D3729" s="15" t="n"/>
      <c r="E3729" s="15" t="n"/>
      <c r="F3729" s="15" t="n"/>
      <c r="G3729" s="15" t="n"/>
      <c r="H3729" s="16">
        <f>IF($A3729="","",$D3729+IF($E3729="",0,$E3729)+IF($F3729="",0,$F3729)-IF($G3729="",0,$G3729))</f>
        <v/>
      </c>
      <c r="I3729" s="12" t="n"/>
      <c r="J3729" s="12" t="n"/>
      <c r="K3729" s="12" t="n"/>
      <c r="L3729" s="14" t="n"/>
      <c r="M3729" s="12" t="n"/>
      <c r="N3729" s="12" t="n"/>
      <c r="O3729" s="12" t="n"/>
    </row>
    <row r="3730">
      <c r="A3730" s="12" t="n"/>
      <c r="B3730" s="13">
        <f>IF($A3730="","",IFERROR(INDEX(Emp_Names,MATCH($A3730,Emp_Codes,0)),"NOT FOUND"))</f>
        <v/>
      </c>
      <c r="C3730" s="14" t="n"/>
      <c r="D3730" s="15" t="n"/>
      <c r="E3730" s="15" t="n"/>
      <c r="F3730" s="15" t="n"/>
      <c r="G3730" s="15" t="n"/>
      <c r="H3730" s="16">
        <f>IF($A3730="","",$D3730+IF($E3730="",0,$E3730)+IF($F3730="",0,$F3730)-IF($G3730="",0,$G3730))</f>
        <v/>
      </c>
      <c r="I3730" s="12" t="n"/>
      <c r="J3730" s="12" t="n"/>
      <c r="K3730" s="12" t="n"/>
      <c r="L3730" s="14" t="n"/>
      <c r="M3730" s="12" t="n"/>
      <c r="N3730" s="12" t="n"/>
      <c r="O3730" s="12" t="n"/>
    </row>
    <row r="3731">
      <c r="A3731" s="12" t="n"/>
      <c r="B3731" s="13">
        <f>IF($A3731="","",IFERROR(INDEX(Emp_Names,MATCH($A3731,Emp_Codes,0)),"NOT FOUND"))</f>
        <v/>
      </c>
      <c r="C3731" s="14" t="n"/>
      <c r="D3731" s="15" t="n"/>
      <c r="E3731" s="15" t="n"/>
      <c r="F3731" s="15" t="n"/>
      <c r="G3731" s="15" t="n"/>
      <c r="H3731" s="16">
        <f>IF($A3731="","",$D3731+IF($E3731="",0,$E3731)+IF($F3731="",0,$F3731)-IF($G3731="",0,$G3731))</f>
        <v/>
      </c>
      <c r="I3731" s="12" t="n"/>
      <c r="J3731" s="12" t="n"/>
      <c r="K3731" s="12" t="n"/>
      <c r="L3731" s="14" t="n"/>
      <c r="M3731" s="12" t="n"/>
      <c r="N3731" s="12" t="n"/>
      <c r="O3731" s="12" t="n"/>
    </row>
    <row r="3732">
      <c r="A3732" s="12" t="n"/>
      <c r="B3732" s="13">
        <f>IF($A3732="","",IFERROR(INDEX(Emp_Names,MATCH($A3732,Emp_Codes,0)),"NOT FOUND"))</f>
        <v/>
      </c>
      <c r="C3732" s="14" t="n"/>
      <c r="D3732" s="15" t="n"/>
      <c r="E3732" s="15" t="n"/>
      <c r="F3732" s="15" t="n"/>
      <c r="G3732" s="15" t="n"/>
      <c r="H3732" s="16">
        <f>IF($A3732="","",$D3732+IF($E3732="",0,$E3732)+IF($F3732="",0,$F3732)-IF($G3732="",0,$G3732))</f>
        <v/>
      </c>
      <c r="I3732" s="12" t="n"/>
      <c r="J3732" s="12" t="n"/>
      <c r="K3732" s="12" t="n"/>
      <c r="L3732" s="14" t="n"/>
      <c r="M3732" s="12" t="n"/>
      <c r="N3732" s="12" t="n"/>
      <c r="O3732" s="12" t="n"/>
    </row>
    <row r="3733">
      <c r="A3733" s="12" t="n"/>
      <c r="B3733" s="13">
        <f>IF($A3733="","",IFERROR(INDEX(Emp_Names,MATCH($A3733,Emp_Codes,0)),"NOT FOUND"))</f>
        <v/>
      </c>
      <c r="C3733" s="14" t="n"/>
      <c r="D3733" s="15" t="n"/>
      <c r="E3733" s="15" t="n"/>
      <c r="F3733" s="15" t="n"/>
      <c r="G3733" s="15" t="n"/>
      <c r="H3733" s="16">
        <f>IF($A3733="","",$D3733+IF($E3733="",0,$E3733)+IF($F3733="",0,$F3733)-IF($G3733="",0,$G3733))</f>
        <v/>
      </c>
      <c r="I3733" s="12" t="n"/>
      <c r="J3733" s="12" t="n"/>
      <c r="K3733" s="12" t="n"/>
      <c r="L3733" s="14" t="n"/>
      <c r="M3733" s="12" t="n"/>
      <c r="N3733" s="12" t="n"/>
      <c r="O3733" s="12" t="n"/>
    </row>
    <row r="3734">
      <c r="A3734" s="12" t="n"/>
      <c r="B3734" s="13">
        <f>IF($A3734="","",IFERROR(INDEX(Emp_Names,MATCH($A3734,Emp_Codes,0)),"NOT FOUND"))</f>
        <v/>
      </c>
      <c r="C3734" s="14" t="n"/>
      <c r="D3734" s="15" t="n"/>
      <c r="E3734" s="15" t="n"/>
      <c r="F3734" s="15" t="n"/>
      <c r="G3734" s="15" t="n"/>
      <c r="H3734" s="16">
        <f>IF($A3734="","",$D3734+IF($E3734="",0,$E3734)+IF($F3734="",0,$F3734)-IF($G3734="",0,$G3734))</f>
        <v/>
      </c>
      <c r="I3734" s="12" t="n"/>
      <c r="J3734" s="12" t="n"/>
      <c r="K3734" s="12" t="n"/>
      <c r="L3734" s="14" t="n"/>
      <c r="M3734" s="12" t="n"/>
      <c r="N3734" s="12" t="n"/>
      <c r="O3734" s="12" t="n"/>
    </row>
    <row r="3735">
      <c r="A3735" s="12" t="n"/>
      <c r="B3735" s="13">
        <f>IF($A3735="","",IFERROR(INDEX(Emp_Names,MATCH($A3735,Emp_Codes,0)),"NOT FOUND"))</f>
        <v/>
      </c>
      <c r="C3735" s="14" t="n"/>
      <c r="D3735" s="15" t="n"/>
      <c r="E3735" s="15" t="n"/>
      <c r="F3735" s="15" t="n"/>
      <c r="G3735" s="15" t="n"/>
      <c r="H3735" s="16">
        <f>IF($A3735="","",$D3735+IF($E3735="",0,$E3735)+IF($F3735="",0,$F3735)-IF($G3735="",0,$G3735))</f>
        <v/>
      </c>
      <c r="I3735" s="12" t="n"/>
      <c r="J3735" s="12" t="n"/>
      <c r="K3735" s="12" t="n"/>
      <c r="L3735" s="14" t="n"/>
      <c r="M3735" s="12" t="n"/>
      <c r="N3735" s="12" t="n"/>
      <c r="O3735" s="12" t="n"/>
    </row>
    <row r="3736">
      <c r="A3736" s="12" t="n"/>
      <c r="B3736" s="13">
        <f>IF($A3736="","",IFERROR(INDEX(Emp_Names,MATCH($A3736,Emp_Codes,0)),"NOT FOUND"))</f>
        <v/>
      </c>
      <c r="C3736" s="14" t="n"/>
      <c r="D3736" s="15" t="n"/>
      <c r="E3736" s="15" t="n"/>
      <c r="F3736" s="15" t="n"/>
      <c r="G3736" s="15" t="n"/>
      <c r="H3736" s="16">
        <f>IF($A3736="","",$D3736+IF($E3736="",0,$E3736)+IF($F3736="",0,$F3736)-IF($G3736="",0,$G3736))</f>
        <v/>
      </c>
      <c r="I3736" s="12" t="n"/>
      <c r="J3736" s="12" t="n"/>
      <c r="K3736" s="12" t="n"/>
      <c r="L3736" s="14" t="n"/>
      <c r="M3736" s="12" t="n"/>
      <c r="N3736" s="12" t="n"/>
      <c r="O3736" s="12" t="n"/>
    </row>
    <row r="3737">
      <c r="A3737" s="12" t="n"/>
      <c r="B3737" s="13">
        <f>IF($A3737="","",IFERROR(INDEX(Emp_Names,MATCH($A3737,Emp_Codes,0)),"NOT FOUND"))</f>
        <v/>
      </c>
      <c r="C3737" s="14" t="n"/>
      <c r="D3737" s="15" t="n"/>
      <c r="E3737" s="15" t="n"/>
      <c r="F3737" s="15" t="n"/>
      <c r="G3737" s="15" t="n"/>
      <c r="H3737" s="16">
        <f>IF($A3737="","",$D3737+IF($E3737="",0,$E3737)+IF($F3737="",0,$F3737)-IF($G3737="",0,$G3737))</f>
        <v/>
      </c>
      <c r="I3737" s="12" t="n"/>
      <c r="J3737" s="12" t="n"/>
      <c r="K3737" s="12" t="n"/>
      <c r="L3737" s="14" t="n"/>
      <c r="M3737" s="12" t="n"/>
      <c r="N3737" s="12" t="n"/>
      <c r="O3737" s="12" t="n"/>
    </row>
    <row r="3738">
      <c r="A3738" s="12" t="n"/>
      <c r="B3738" s="13">
        <f>IF($A3738="","",IFERROR(INDEX(Emp_Names,MATCH($A3738,Emp_Codes,0)),"NOT FOUND"))</f>
        <v/>
      </c>
      <c r="C3738" s="14" t="n"/>
      <c r="D3738" s="15" t="n"/>
      <c r="E3738" s="15" t="n"/>
      <c r="F3738" s="15" t="n"/>
      <c r="G3738" s="15" t="n"/>
      <c r="H3738" s="16">
        <f>IF($A3738="","",$D3738+IF($E3738="",0,$E3738)+IF($F3738="",0,$F3738)-IF($G3738="",0,$G3738))</f>
        <v/>
      </c>
      <c r="I3738" s="12" t="n"/>
      <c r="J3738" s="12" t="n"/>
      <c r="K3738" s="12" t="n"/>
      <c r="L3738" s="14" t="n"/>
      <c r="M3738" s="12" t="n"/>
      <c r="N3738" s="12" t="n"/>
      <c r="O3738" s="12" t="n"/>
    </row>
    <row r="3739">
      <c r="A3739" s="12" t="n"/>
      <c r="B3739" s="13">
        <f>IF($A3739="","",IFERROR(INDEX(Emp_Names,MATCH($A3739,Emp_Codes,0)),"NOT FOUND"))</f>
        <v/>
      </c>
      <c r="C3739" s="14" t="n"/>
      <c r="D3739" s="15" t="n"/>
      <c r="E3739" s="15" t="n"/>
      <c r="F3739" s="15" t="n"/>
      <c r="G3739" s="15" t="n"/>
      <c r="H3739" s="16">
        <f>IF($A3739="","",$D3739+IF($E3739="",0,$E3739)+IF($F3739="",0,$F3739)-IF($G3739="",0,$G3739))</f>
        <v/>
      </c>
      <c r="I3739" s="12" t="n"/>
      <c r="J3739" s="12" t="n"/>
      <c r="K3739" s="12" t="n"/>
      <c r="L3739" s="14" t="n"/>
      <c r="M3739" s="12" t="n"/>
      <c r="N3739" s="12" t="n"/>
      <c r="O3739" s="12" t="n"/>
    </row>
    <row r="3740">
      <c r="A3740" s="12" t="n"/>
      <c r="B3740" s="13">
        <f>IF($A3740="","",IFERROR(INDEX(Emp_Names,MATCH($A3740,Emp_Codes,0)),"NOT FOUND"))</f>
        <v/>
      </c>
      <c r="C3740" s="14" t="n"/>
      <c r="D3740" s="15" t="n"/>
      <c r="E3740" s="15" t="n"/>
      <c r="F3740" s="15" t="n"/>
      <c r="G3740" s="15" t="n"/>
      <c r="H3740" s="16">
        <f>IF($A3740="","",$D3740+IF($E3740="",0,$E3740)+IF($F3740="",0,$F3740)-IF($G3740="",0,$G3740))</f>
        <v/>
      </c>
      <c r="I3740" s="12" t="n"/>
      <c r="J3740" s="12" t="n"/>
      <c r="K3740" s="12" t="n"/>
      <c r="L3740" s="14" t="n"/>
      <c r="M3740" s="12" t="n"/>
      <c r="N3740" s="12" t="n"/>
      <c r="O3740" s="12" t="n"/>
    </row>
    <row r="3741">
      <c r="A3741" s="12" t="n"/>
      <c r="B3741" s="13">
        <f>IF($A3741="","",IFERROR(INDEX(Emp_Names,MATCH($A3741,Emp_Codes,0)),"NOT FOUND"))</f>
        <v/>
      </c>
      <c r="C3741" s="14" t="n"/>
      <c r="D3741" s="15" t="n"/>
      <c r="E3741" s="15" t="n"/>
      <c r="F3741" s="15" t="n"/>
      <c r="G3741" s="15" t="n"/>
      <c r="H3741" s="16">
        <f>IF($A3741="","",$D3741+IF($E3741="",0,$E3741)+IF($F3741="",0,$F3741)-IF($G3741="",0,$G3741))</f>
        <v/>
      </c>
      <c r="I3741" s="12" t="n"/>
      <c r="J3741" s="12" t="n"/>
      <c r="K3741" s="12" t="n"/>
      <c r="L3741" s="14" t="n"/>
      <c r="M3741" s="12" t="n"/>
      <c r="N3741" s="12" t="n"/>
      <c r="O3741" s="12" t="n"/>
    </row>
    <row r="3742">
      <c r="A3742" s="12" t="n"/>
      <c r="B3742" s="13">
        <f>IF($A3742="","",IFERROR(INDEX(Emp_Names,MATCH($A3742,Emp_Codes,0)),"NOT FOUND"))</f>
        <v/>
      </c>
      <c r="C3742" s="14" t="n"/>
      <c r="D3742" s="15" t="n"/>
      <c r="E3742" s="15" t="n"/>
      <c r="F3742" s="15" t="n"/>
      <c r="G3742" s="15" t="n"/>
      <c r="H3742" s="16">
        <f>IF($A3742="","",$D3742+IF($E3742="",0,$E3742)+IF($F3742="",0,$F3742)-IF($G3742="",0,$G3742))</f>
        <v/>
      </c>
      <c r="I3742" s="12" t="n"/>
      <c r="J3742" s="12" t="n"/>
      <c r="K3742" s="12" t="n"/>
      <c r="L3742" s="14" t="n"/>
      <c r="M3742" s="12" t="n"/>
      <c r="N3742" s="12" t="n"/>
      <c r="O3742" s="12" t="n"/>
    </row>
    <row r="3743">
      <c r="A3743" s="12" t="n"/>
      <c r="B3743" s="13">
        <f>IF($A3743="","",IFERROR(INDEX(Emp_Names,MATCH($A3743,Emp_Codes,0)),"NOT FOUND"))</f>
        <v/>
      </c>
      <c r="C3743" s="14" t="n"/>
      <c r="D3743" s="15" t="n"/>
      <c r="E3743" s="15" t="n"/>
      <c r="F3743" s="15" t="n"/>
      <c r="G3743" s="15" t="n"/>
      <c r="H3743" s="16">
        <f>IF($A3743="","",$D3743+IF($E3743="",0,$E3743)+IF($F3743="",0,$F3743)-IF($G3743="",0,$G3743))</f>
        <v/>
      </c>
      <c r="I3743" s="12" t="n"/>
      <c r="J3743" s="12" t="n"/>
      <c r="K3743" s="12" t="n"/>
      <c r="L3743" s="14" t="n"/>
      <c r="M3743" s="12" t="n"/>
      <c r="N3743" s="12" t="n"/>
      <c r="O3743" s="12" t="n"/>
    </row>
    <row r="3744">
      <c r="A3744" s="12" t="n"/>
      <c r="B3744" s="13">
        <f>IF($A3744="","",IFERROR(INDEX(Emp_Names,MATCH($A3744,Emp_Codes,0)),"NOT FOUND"))</f>
        <v/>
      </c>
      <c r="C3744" s="14" t="n"/>
      <c r="D3744" s="15" t="n"/>
      <c r="E3744" s="15" t="n"/>
      <c r="F3744" s="15" t="n"/>
      <c r="G3744" s="15" t="n"/>
      <c r="H3744" s="16">
        <f>IF($A3744="","",$D3744+IF($E3744="",0,$E3744)+IF($F3744="",0,$F3744)-IF($G3744="",0,$G3744))</f>
        <v/>
      </c>
      <c r="I3744" s="12" t="n"/>
      <c r="J3744" s="12" t="n"/>
      <c r="K3744" s="12" t="n"/>
      <c r="L3744" s="14" t="n"/>
      <c r="M3744" s="12" t="n"/>
      <c r="N3744" s="12" t="n"/>
      <c r="O3744" s="12" t="n"/>
    </row>
    <row r="3745">
      <c r="A3745" s="12" t="n"/>
      <c r="B3745" s="13">
        <f>IF($A3745="","",IFERROR(INDEX(Emp_Names,MATCH($A3745,Emp_Codes,0)),"NOT FOUND"))</f>
        <v/>
      </c>
      <c r="C3745" s="14" t="n"/>
      <c r="D3745" s="15" t="n"/>
      <c r="E3745" s="15" t="n"/>
      <c r="F3745" s="15" t="n"/>
      <c r="G3745" s="15" t="n"/>
      <c r="H3745" s="16">
        <f>IF($A3745="","",$D3745+IF($E3745="",0,$E3745)+IF($F3745="",0,$F3745)-IF($G3745="",0,$G3745))</f>
        <v/>
      </c>
      <c r="I3745" s="12" t="n"/>
      <c r="J3745" s="12" t="n"/>
      <c r="K3745" s="12" t="n"/>
      <c r="L3745" s="14" t="n"/>
      <c r="M3745" s="12" t="n"/>
      <c r="N3745" s="12" t="n"/>
      <c r="O3745" s="12" t="n"/>
    </row>
    <row r="3746">
      <c r="A3746" s="12" t="n"/>
      <c r="B3746" s="13">
        <f>IF($A3746="","",IFERROR(INDEX(Emp_Names,MATCH($A3746,Emp_Codes,0)),"NOT FOUND"))</f>
        <v/>
      </c>
      <c r="C3746" s="14" t="n"/>
      <c r="D3746" s="15" t="n"/>
      <c r="E3746" s="15" t="n"/>
      <c r="F3746" s="15" t="n"/>
      <c r="G3746" s="15" t="n"/>
      <c r="H3746" s="16">
        <f>IF($A3746="","",$D3746+IF($E3746="",0,$E3746)+IF($F3746="",0,$F3746)-IF($G3746="",0,$G3746))</f>
        <v/>
      </c>
      <c r="I3746" s="12" t="n"/>
      <c r="J3746" s="12" t="n"/>
      <c r="K3746" s="12" t="n"/>
      <c r="L3746" s="14" t="n"/>
      <c r="M3746" s="12" t="n"/>
      <c r="N3746" s="12" t="n"/>
      <c r="O3746" s="12" t="n"/>
    </row>
    <row r="3747">
      <c r="A3747" s="12" t="n"/>
      <c r="B3747" s="13">
        <f>IF($A3747="","",IFERROR(INDEX(Emp_Names,MATCH($A3747,Emp_Codes,0)),"NOT FOUND"))</f>
        <v/>
      </c>
      <c r="C3747" s="14" t="n"/>
      <c r="D3747" s="15" t="n"/>
      <c r="E3747" s="15" t="n"/>
      <c r="F3747" s="15" t="n"/>
      <c r="G3747" s="15" t="n"/>
      <c r="H3747" s="16">
        <f>IF($A3747="","",$D3747+IF($E3747="",0,$E3747)+IF($F3747="",0,$F3747)-IF($G3747="",0,$G3747))</f>
        <v/>
      </c>
      <c r="I3747" s="12" t="n"/>
      <c r="J3747" s="12" t="n"/>
      <c r="K3747" s="12" t="n"/>
      <c r="L3747" s="14" t="n"/>
      <c r="M3747" s="12" t="n"/>
      <c r="N3747" s="12" t="n"/>
      <c r="O3747" s="12" t="n"/>
    </row>
    <row r="3748">
      <c r="A3748" s="12" t="n"/>
      <c r="B3748" s="13">
        <f>IF($A3748="","",IFERROR(INDEX(Emp_Names,MATCH($A3748,Emp_Codes,0)),"NOT FOUND"))</f>
        <v/>
      </c>
      <c r="C3748" s="14" t="n"/>
      <c r="D3748" s="15" t="n"/>
      <c r="E3748" s="15" t="n"/>
      <c r="F3748" s="15" t="n"/>
      <c r="G3748" s="15" t="n"/>
      <c r="H3748" s="16">
        <f>IF($A3748="","",$D3748+IF($E3748="",0,$E3748)+IF($F3748="",0,$F3748)-IF($G3748="",0,$G3748))</f>
        <v/>
      </c>
      <c r="I3748" s="12" t="n"/>
      <c r="J3748" s="12" t="n"/>
      <c r="K3748" s="12" t="n"/>
      <c r="L3748" s="14" t="n"/>
      <c r="M3748" s="12" t="n"/>
      <c r="N3748" s="12" t="n"/>
      <c r="O3748" s="12" t="n"/>
    </row>
    <row r="3749">
      <c r="A3749" s="12" t="n"/>
      <c r="B3749" s="13">
        <f>IF($A3749="","",IFERROR(INDEX(Emp_Names,MATCH($A3749,Emp_Codes,0)),"NOT FOUND"))</f>
        <v/>
      </c>
      <c r="C3749" s="14" t="n"/>
      <c r="D3749" s="15" t="n"/>
      <c r="E3749" s="15" t="n"/>
      <c r="F3749" s="15" t="n"/>
      <c r="G3749" s="15" t="n"/>
      <c r="H3749" s="16">
        <f>IF($A3749="","",$D3749+IF($E3749="",0,$E3749)+IF($F3749="",0,$F3749)-IF($G3749="",0,$G3749))</f>
        <v/>
      </c>
      <c r="I3749" s="12" t="n"/>
      <c r="J3749" s="12" t="n"/>
      <c r="K3749" s="12" t="n"/>
      <c r="L3749" s="14" t="n"/>
      <c r="M3749" s="12" t="n"/>
      <c r="N3749" s="12" t="n"/>
      <c r="O3749" s="12" t="n"/>
    </row>
    <row r="3750">
      <c r="A3750" s="12" t="n"/>
      <c r="B3750" s="13">
        <f>IF($A3750="","",IFERROR(INDEX(Emp_Names,MATCH($A3750,Emp_Codes,0)),"NOT FOUND"))</f>
        <v/>
      </c>
      <c r="C3750" s="14" t="n"/>
      <c r="D3750" s="15" t="n"/>
      <c r="E3750" s="15" t="n"/>
      <c r="F3750" s="15" t="n"/>
      <c r="G3750" s="15" t="n"/>
      <c r="H3750" s="16">
        <f>IF($A3750="","",$D3750+IF($E3750="",0,$E3750)+IF($F3750="",0,$F3750)-IF($G3750="",0,$G3750))</f>
        <v/>
      </c>
      <c r="I3750" s="12" t="n"/>
      <c r="J3750" s="12" t="n"/>
      <c r="K3750" s="12" t="n"/>
      <c r="L3750" s="14" t="n"/>
      <c r="M3750" s="12" t="n"/>
      <c r="N3750" s="12" t="n"/>
      <c r="O3750" s="12" t="n"/>
    </row>
    <row r="3751">
      <c r="A3751" s="12" t="n"/>
      <c r="B3751" s="13">
        <f>IF($A3751="","",IFERROR(INDEX(Emp_Names,MATCH($A3751,Emp_Codes,0)),"NOT FOUND"))</f>
        <v/>
      </c>
      <c r="C3751" s="14" t="n"/>
      <c r="D3751" s="15" t="n"/>
      <c r="E3751" s="15" t="n"/>
      <c r="F3751" s="15" t="n"/>
      <c r="G3751" s="15" t="n"/>
      <c r="H3751" s="16">
        <f>IF($A3751="","",$D3751+IF($E3751="",0,$E3751)+IF($F3751="",0,$F3751)-IF($G3751="",0,$G3751))</f>
        <v/>
      </c>
      <c r="I3751" s="12" t="n"/>
      <c r="J3751" s="12" t="n"/>
      <c r="K3751" s="12" t="n"/>
      <c r="L3751" s="14" t="n"/>
      <c r="M3751" s="12" t="n"/>
      <c r="N3751" s="12" t="n"/>
      <c r="O3751" s="12" t="n"/>
    </row>
    <row r="3752">
      <c r="A3752" s="12" t="n"/>
      <c r="B3752" s="13">
        <f>IF($A3752="","",IFERROR(INDEX(Emp_Names,MATCH($A3752,Emp_Codes,0)),"NOT FOUND"))</f>
        <v/>
      </c>
      <c r="C3752" s="14" t="n"/>
      <c r="D3752" s="15" t="n"/>
      <c r="E3752" s="15" t="n"/>
      <c r="F3752" s="15" t="n"/>
      <c r="G3752" s="15" t="n"/>
      <c r="H3752" s="16">
        <f>IF($A3752="","",$D3752+IF($E3752="",0,$E3752)+IF($F3752="",0,$F3752)-IF($G3752="",0,$G3752))</f>
        <v/>
      </c>
      <c r="I3752" s="12" t="n"/>
      <c r="J3752" s="12" t="n"/>
      <c r="K3752" s="12" t="n"/>
      <c r="L3752" s="14" t="n"/>
      <c r="M3752" s="12" t="n"/>
      <c r="N3752" s="12" t="n"/>
      <c r="O3752" s="12" t="n"/>
    </row>
    <row r="3753">
      <c r="A3753" s="12" t="n"/>
      <c r="B3753" s="13">
        <f>IF($A3753="","",IFERROR(INDEX(Emp_Names,MATCH($A3753,Emp_Codes,0)),"NOT FOUND"))</f>
        <v/>
      </c>
      <c r="C3753" s="14" t="n"/>
      <c r="D3753" s="15" t="n"/>
      <c r="E3753" s="15" t="n"/>
      <c r="F3753" s="15" t="n"/>
      <c r="G3753" s="15" t="n"/>
      <c r="H3753" s="16">
        <f>IF($A3753="","",$D3753+IF($E3753="",0,$E3753)+IF($F3753="",0,$F3753)-IF($G3753="",0,$G3753))</f>
        <v/>
      </c>
      <c r="I3753" s="12" t="n"/>
      <c r="J3753" s="12" t="n"/>
      <c r="K3753" s="12" t="n"/>
      <c r="L3753" s="14" t="n"/>
      <c r="M3753" s="12" t="n"/>
      <c r="N3753" s="12" t="n"/>
      <c r="O3753" s="12" t="n"/>
    </row>
    <row r="3754">
      <c r="A3754" s="12" t="n"/>
      <c r="B3754" s="13">
        <f>IF($A3754="","",IFERROR(INDEX(Emp_Names,MATCH($A3754,Emp_Codes,0)),"NOT FOUND"))</f>
        <v/>
      </c>
      <c r="C3754" s="14" t="n"/>
      <c r="D3754" s="15" t="n"/>
      <c r="E3754" s="15" t="n"/>
      <c r="F3754" s="15" t="n"/>
      <c r="G3754" s="15" t="n"/>
      <c r="H3754" s="16">
        <f>IF($A3754="","",$D3754+IF($E3754="",0,$E3754)+IF($F3754="",0,$F3754)-IF($G3754="",0,$G3754))</f>
        <v/>
      </c>
      <c r="I3754" s="12" t="n"/>
      <c r="J3754" s="12" t="n"/>
      <c r="K3754" s="12" t="n"/>
      <c r="L3754" s="14" t="n"/>
      <c r="M3754" s="12" t="n"/>
      <c r="N3754" s="12" t="n"/>
      <c r="O3754" s="12" t="n"/>
    </row>
    <row r="3755">
      <c r="A3755" s="12" t="n"/>
      <c r="B3755" s="13">
        <f>IF($A3755="","",IFERROR(INDEX(Emp_Names,MATCH($A3755,Emp_Codes,0)),"NOT FOUND"))</f>
        <v/>
      </c>
      <c r="C3755" s="14" t="n"/>
      <c r="D3755" s="15" t="n"/>
      <c r="E3755" s="15" t="n"/>
      <c r="F3755" s="15" t="n"/>
      <c r="G3755" s="15" t="n"/>
      <c r="H3755" s="16">
        <f>IF($A3755="","",$D3755+IF($E3755="",0,$E3755)+IF($F3755="",0,$F3755)-IF($G3755="",0,$G3755))</f>
        <v/>
      </c>
      <c r="I3755" s="12" t="n"/>
      <c r="J3755" s="12" t="n"/>
      <c r="K3755" s="12" t="n"/>
      <c r="L3755" s="14" t="n"/>
      <c r="M3755" s="12" t="n"/>
      <c r="N3755" s="12" t="n"/>
      <c r="O3755" s="12" t="n"/>
    </row>
    <row r="3756">
      <c r="A3756" s="12" t="n"/>
      <c r="B3756" s="13">
        <f>IF($A3756="","",IFERROR(INDEX(Emp_Names,MATCH($A3756,Emp_Codes,0)),"NOT FOUND"))</f>
        <v/>
      </c>
      <c r="C3756" s="14" t="n"/>
      <c r="D3756" s="15" t="n"/>
      <c r="E3756" s="15" t="n"/>
      <c r="F3756" s="15" t="n"/>
      <c r="G3756" s="15" t="n"/>
      <c r="H3756" s="16">
        <f>IF($A3756="","",$D3756+IF($E3756="",0,$E3756)+IF($F3756="",0,$F3756)-IF($G3756="",0,$G3756))</f>
        <v/>
      </c>
      <c r="I3756" s="12" t="n"/>
      <c r="J3756" s="12" t="n"/>
      <c r="K3756" s="12" t="n"/>
      <c r="L3756" s="14" t="n"/>
      <c r="M3756" s="12" t="n"/>
      <c r="N3756" s="12" t="n"/>
      <c r="O3756" s="12" t="n"/>
    </row>
    <row r="3757">
      <c r="A3757" s="12" t="n"/>
      <c r="B3757" s="13">
        <f>IF($A3757="","",IFERROR(INDEX(Emp_Names,MATCH($A3757,Emp_Codes,0)),"NOT FOUND"))</f>
        <v/>
      </c>
      <c r="C3757" s="14" t="n"/>
      <c r="D3757" s="15" t="n"/>
      <c r="E3757" s="15" t="n"/>
      <c r="F3757" s="15" t="n"/>
      <c r="G3757" s="15" t="n"/>
      <c r="H3757" s="16">
        <f>IF($A3757="","",$D3757+IF($E3757="",0,$E3757)+IF($F3757="",0,$F3757)-IF($G3757="",0,$G3757))</f>
        <v/>
      </c>
      <c r="I3757" s="12" t="n"/>
      <c r="J3757" s="12" t="n"/>
      <c r="K3757" s="12" t="n"/>
      <c r="L3757" s="14" t="n"/>
      <c r="M3757" s="12" t="n"/>
      <c r="N3757" s="12" t="n"/>
      <c r="O3757" s="12" t="n"/>
    </row>
    <row r="3758">
      <c r="A3758" s="12" t="n"/>
      <c r="B3758" s="13">
        <f>IF($A3758="","",IFERROR(INDEX(Emp_Names,MATCH($A3758,Emp_Codes,0)),"NOT FOUND"))</f>
        <v/>
      </c>
      <c r="C3758" s="14" t="n"/>
      <c r="D3758" s="15" t="n"/>
      <c r="E3758" s="15" t="n"/>
      <c r="F3758" s="15" t="n"/>
      <c r="G3758" s="15" t="n"/>
      <c r="H3758" s="16">
        <f>IF($A3758="","",$D3758+IF($E3758="",0,$E3758)+IF($F3758="",0,$F3758)-IF($G3758="",0,$G3758))</f>
        <v/>
      </c>
      <c r="I3758" s="12" t="n"/>
      <c r="J3758" s="12" t="n"/>
      <c r="K3758" s="12" t="n"/>
      <c r="L3758" s="14" t="n"/>
      <c r="M3758" s="12" t="n"/>
      <c r="N3758" s="12" t="n"/>
      <c r="O3758" s="12" t="n"/>
    </row>
    <row r="3759">
      <c r="A3759" s="12" t="n"/>
      <c r="B3759" s="13">
        <f>IF($A3759="","",IFERROR(INDEX(Emp_Names,MATCH($A3759,Emp_Codes,0)),"NOT FOUND"))</f>
        <v/>
      </c>
      <c r="C3759" s="14" t="n"/>
      <c r="D3759" s="15" t="n"/>
      <c r="E3759" s="15" t="n"/>
      <c r="F3759" s="15" t="n"/>
      <c r="G3759" s="15" t="n"/>
      <c r="H3759" s="16">
        <f>IF($A3759="","",$D3759+IF($E3759="",0,$E3759)+IF($F3759="",0,$F3759)-IF($G3759="",0,$G3759))</f>
        <v/>
      </c>
      <c r="I3759" s="12" t="n"/>
      <c r="J3759" s="12" t="n"/>
      <c r="K3759" s="12" t="n"/>
      <c r="L3759" s="14" t="n"/>
      <c r="M3759" s="12" t="n"/>
      <c r="N3759" s="12" t="n"/>
      <c r="O3759" s="12" t="n"/>
    </row>
    <row r="3760">
      <c r="A3760" s="12" t="n"/>
      <c r="B3760" s="13">
        <f>IF($A3760="","",IFERROR(INDEX(Emp_Names,MATCH($A3760,Emp_Codes,0)),"NOT FOUND"))</f>
        <v/>
      </c>
      <c r="C3760" s="14" t="n"/>
      <c r="D3760" s="15" t="n"/>
      <c r="E3760" s="15" t="n"/>
      <c r="F3760" s="15" t="n"/>
      <c r="G3760" s="15" t="n"/>
      <c r="H3760" s="16">
        <f>IF($A3760="","",$D3760+IF($E3760="",0,$E3760)+IF($F3760="",0,$F3760)-IF($G3760="",0,$G3760))</f>
        <v/>
      </c>
      <c r="I3760" s="12" t="n"/>
      <c r="J3760" s="12" t="n"/>
      <c r="K3760" s="12" t="n"/>
      <c r="L3760" s="14" t="n"/>
      <c r="M3760" s="12" t="n"/>
      <c r="N3760" s="12" t="n"/>
      <c r="O3760" s="12" t="n"/>
    </row>
    <row r="3761">
      <c r="A3761" s="12" t="n"/>
      <c r="B3761" s="13">
        <f>IF($A3761="","",IFERROR(INDEX(Emp_Names,MATCH($A3761,Emp_Codes,0)),"NOT FOUND"))</f>
        <v/>
      </c>
      <c r="C3761" s="14" t="n"/>
      <c r="D3761" s="15" t="n"/>
      <c r="E3761" s="15" t="n"/>
      <c r="F3761" s="15" t="n"/>
      <c r="G3761" s="15" t="n"/>
      <c r="H3761" s="16">
        <f>IF($A3761="","",$D3761+IF($E3761="",0,$E3761)+IF($F3761="",0,$F3761)-IF($G3761="",0,$G3761))</f>
        <v/>
      </c>
      <c r="I3761" s="12" t="n"/>
      <c r="J3761" s="12" t="n"/>
      <c r="K3761" s="12" t="n"/>
      <c r="L3761" s="14" t="n"/>
      <c r="M3761" s="12" t="n"/>
      <c r="N3761" s="12" t="n"/>
      <c r="O3761" s="12" t="n"/>
    </row>
    <row r="3762">
      <c r="A3762" s="12" t="n"/>
      <c r="B3762" s="13">
        <f>IF($A3762="","",IFERROR(INDEX(Emp_Names,MATCH($A3762,Emp_Codes,0)),"NOT FOUND"))</f>
        <v/>
      </c>
      <c r="C3762" s="14" t="n"/>
      <c r="D3762" s="15" t="n"/>
      <c r="E3762" s="15" t="n"/>
      <c r="F3762" s="15" t="n"/>
      <c r="G3762" s="15" t="n"/>
      <c r="H3762" s="16">
        <f>IF($A3762="","",$D3762+IF($E3762="",0,$E3762)+IF($F3762="",0,$F3762)-IF($G3762="",0,$G3762))</f>
        <v/>
      </c>
      <c r="I3762" s="12" t="n"/>
      <c r="J3762" s="12" t="n"/>
      <c r="K3762" s="12" t="n"/>
      <c r="L3762" s="14" t="n"/>
      <c r="M3762" s="12" t="n"/>
      <c r="N3762" s="12" t="n"/>
      <c r="O3762" s="12" t="n"/>
    </row>
    <row r="3763">
      <c r="A3763" s="12" t="n"/>
      <c r="B3763" s="13">
        <f>IF($A3763="","",IFERROR(INDEX(Emp_Names,MATCH($A3763,Emp_Codes,0)),"NOT FOUND"))</f>
        <v/>
      </c>
      <c r="C3763" s="14" t="n"/>
      <c r="D3763" s="15" t="n"/>
      <c r="E3763" s="15" t="n"/>
      <c r="F3763" s="15" t="n"/>
      <c r="G3763" s="15" t="n"/>
      <c r="H3763" s="16">
        <f>IF($A3763="","",$D3763+IF($E3763="",0,$E3763)+IF($F3763="",0,$F3763)-IF($G3763="",0,$G3763))</f>
        <v/>
      </c>
      <c r="I3763" s="12" t="n"/>
      <c r="J3763" s="12" t="n"/>
      <c r="K3763" s="12" t="n"/>
      <c r="L3763" s="14" t="n"/>
      <c r="M3763" s="12" t="n"/>
      <c r="N3763" s="12" t="n"/>
      <c r="O3763" s="12" t="n"/>
    </row>
    <row r="3764">
      <c r="A3764" s="12" t="n"/>
      <c r="B3764" s="13">
        <f>IF($A3764="","",IFERROR(INDEX(Emp_Names,MATCH($A3764,Emp_Codes,0)),"NOT FOUND"))</f>
        <v/>
      </c>
      <c r="C3764" s="14" t="n"/>
      <c r="D3764" s="15" t="n"/>
      <c r="E3764" s="15" t="n"/>
      <c r="F3764" s="15" t="n"/>
      <c r="G3764" s="15" t="n"/>
      <c r="H3764" s="16">
        <f>IF($A3764="","",$D3764+IF($E3764="",0,$E3764)+IF($F3764="",0,$F3764)-IF($G3764="",0,$G3764))</f>
        <v/>
      </c>
      <c r="I3764" s="12" t="n"/>
      <c r="J3764" s="12" t="n"/>
      <c r="K3764" s="12" t="n"/>
      <c r="L3764" s="14" t="n"/>
      <c r="M3764" s="12" t="n"/>
      <c r="N3764" s="12" t="n"/>
      <c r="O3764" s="12" t="n"/>
    </row>
    <row r="3765">
      <c r="A3765" s="12" t="n"/>
      <c r="B3765" s="13">
        <f>IF($A3765="","",IFERROR(INDEX(Emp_Names,MATCH($A3765,Emp_Codes,0)),"NOT FOUND"))</f>
        <v/>
      </c>
      <c r="C3765" s="14" t="n"/>
      <c r="D3765" s="15" t="n"/>
      <c r="E3765" s="15" t="n"/>
      <c r="F3765" s="15" t="n"/>
      <c r="G3765" s="15" t="n"/>
      <c r="H3765" s="16">
        <f>IF($A3765="","",$D3765+IF($E3765="",0,$E3765)+IF($F3765="",0,$F3765)-IF($G3765="",0,$G3765))</f>
        <v/>
      </c>
      <c r="I3765" s="12" t="n"/>
      <c r="J3765" s="12" t="n"/>
      <c r="K3765" s="12" t="n"/>
      <c r="L3765" s="14" t="n"/>
      <c r="M3765" s="12" t="n"/>
      <c r="N3765" s="12" t="n"/>
      <c r="O3765" s="12" t="n"/>
    </row>
    <row r="3766">
      <c r="A3766" s="12" t="n"/>
      <c r="B3766" s="13">
        <f>IF($A3766="","",IFERROR(INDEX(Emp_Names,MATCH($A3766,Emp_Codes,0)),"NOT FOUND"))</f>
        <v/>
      </c>
      <c r="C3766" s="14" t="n"/>
      <c r="D3766" s="15" t="n"/>
      <c r="E3766" s="15" t="n"/>
      <c r="F3766" s="15" t="n"/>
      <c r="G3766" s="15" t="n"/>
      <c r="H3766" s="16">
        <f>IF($A3766="","",$D3766+IF($E3766="",0,$E3766)+IF($F3766="",0,$F3766)-IF($G3766="",0,$G3766))</f>
        <v/>
      </c>
      <c r="I3766" s="12" t="n"/>
      <c r="J3766" s="12" t="n"/>
      <c r="K3766" s="12" t="n"/>
      <c r="L3766" s="14" t="n"/>
      <c r="M3766" s="12" t="n"/>
      <c r="N3766" s="12" t="n"/>
      <c r="O3766" s="12" t="n"/>
    </row>
    <row r="3767">
      <c r="A3767" s="12" t="n"/>
      <c r="B3767" s="13">
        <f>IF($A3767="","",IFERROR(INDEX(Emp_Names,MATCH($A3767,Emp_Codes,0)),"NOT FOUND"))</f>
        <v/>
      </c>
      <c r="C3767" s="14" t="n"/>
      <c r="D3767" s="15" t="n"/>
      <c r="E3767" s="15" t="n"/>
      <c r="F3767" s="15" t="n"/>
      <c r="G3767" s="15" t="n"/>
      <c r="H3767" s="16">
        <f>IF($A3767="","",$D3767+IF($E3767="",0,$E3767)+IF($F3767="",0,$F3767)-IF($G3767="",0,$G3767))</f>
        <v/>
      </c>
      <c r="I3767" s="12" t="n"/>
      <c r="J3767" s="12" t="n"/>
      <c r="K3767" s="12" t="n"/>
      <c r="L3767" s="14" t="n"/>
      <c r="M3767" s="12" t="n"/>
      <c r="N3767" s="12" t="n"/>
      <c r="O3767" s="12" t="n"/>
    </row>
    <row r="3768">
      <c r="A3768" s="12" t="n"/>
      <c r="B3768" s="13">
        <f>IF($A3768="","",IFERROR(INDEX(Emp_Names,MATCH($A3768,Emp_Codes,0)),"NOT FOUND"))</f>
        <v/>
      </c>
      <c r="C3768" s="14" t="n"/>
      <c r="D3768" s="15" t="n"/>
      <c r="E3768" s="15" t="n"/>
      <c r="F3768" s="15" t="n"/>
      <c r="G3768" s="15" t="n"/>
      <c r="H3768" s="16">
        <f>IF($A3768="","",$D3768+IF($E3768="",0,$E3768)+IF($F3768="",0,$F3768)-IF($G3768="",0,$G3768))</f>
        <v/>
      </c>
      <c r="I3768" s="12" t="n"/>
      <c r="J3768" s="12" t="n"/>
      <c r="K3768" s="12" t="n"/>
      <c r="L3768" s="14" t="n"/>
      <c r="M3768" s="12" t="n"/>
      <c r="N3768" s="12" t="n"/>
      <c r="O3768" s="12" t="n"/>
    </row>
    <row r="3769">
      <c r="A3769" s="12" t="n"/>
      <c r="B3769" s="13">
        <f>IF($A3769="","",IFERROR(INDEX(Emp_Names,MATCH($A3769,Emp_Codes,0)),"NOT FOUND"))</f>
        <v/>
      </c>
      <c r="C3769" s="14" t="n"/>
      <c r="D3769" s="15" t="n"/>
      <c r="E3769" s="15" t="n"/>
      <c r="F3769" s="15" t="n"/>
      <c r="G3769" s="15" t="n"/>
      <c r="H3769" s="16">
        <f>IF($A3769="","",$D3769+IF($E3769="",0,$E3769)+IF($F3769="",0,$F3769)-IF($G3769="",0,$G3769))</f>
        <v/>
      </c>
      <c r="I3769" s="12" t="n"/>
      <c r="J3769" s="12" t="n"/>
      <c r="K3769" s="12" t="n"/>
      <c r="L3769" s="14" t="n"/>
      <c r="M3769" s="12" t="n"/>
      <c r="N3769" s="12" t="n"/>
      <c r="O3769" s="12" t="n"/>
    </row>
    <row r="3770">
      <c r="A3770" s="12" t="n"/>
      <c r="B3770" s="13">
        <f>IF($A3770="","",IFERROR(INDEX(Emp_Names,MATCH($A3770,Emp_Codes,0)),"NOT FOUND"))</f>
        <v/>
      </c>
      <c r="C3770" s="14" t="n"/>
      <c r="D3770" s="15" t="n"/>
      <c r="E3770" s="15" t="n"/>
      <c r="F3770" s="15" t="n"/>
      <c r="G3770" s="15" t="n"/>
      <c r="H3770" s="16">
        <f>IF($A3770="","",$D3770+IF($E3770="",0,$E3770)+IF($F3770="",0,$F3770)-IF($G3770="",0,$G3770))</f>
        <v/>
      </c>
      <c r="I3770" s="12" t="n"/>
      <c r="J3770" s="12" t="n"/>
      <c r="K3770" s="12" t="n"/>
      <c r="L3770" s="14" t="n"/>
      <c r="M3770" s="12" t="n"/>
      <c r="N3770" s="12" t="n"/>
      <c r="O3770" s="12" t="n"/>
    </row>
    <row r="3771">
      <c r="A3771" s="12" t="n"/>
      <c r="B3771" s="13">
        <f>IF($A3771="","",IFERROR(INDEX(Emp_Names,MATCH($A3771,Emp_Codes,0)),"NOT FOUND"))</f>
        <v/>
      </c>
      <c r="C3771" s="14" t="n"/>
      <c r="D3771" s="15" t="n"/>
      <c r="E3771" s="15" t="n"/>
      <c r="F3771" s="15" t="n"/>
      <c r="G3771" s="15" t="n"/>
      <c r="H3771" s="16">
        <f>IF($A3771="","",$D3771+IF($E3771="",0,$E3771)+IF($F3771="",0,$F3771)-IF($G3771="",0,$G3771))</f>
        <v/>
      </c>
      <c r="I3771" s="12" t="n"/>
      <c r="J3771" s="12" t="n"/>
      <c r="K3771" s="12" t="n"/>
      <c r="L3771" s="14" t="n"/>
      <c r="M3771" s="12" t="n"/>
      <c r="N3771" s="12" t="n"/>
      <c r="O3771" s="12" t="n"/>
    </row>
    <row r="3772">
      <c r="A3772" s="12" t="n"/>
      <c r="B3772" s="13">
        <f>IF($A3772="","",IFERROR(INDEX(Emp_Names,MATCH($A3772,Emp_Codes,0)),"NOT FOUND"))</f>
        <v/>
      </c>
      <c r="C3772" s="14" t="n"/>
      <c r="D3772" s="15" t="n"/>
      <c r="E3772" s="15" t="n"/>
      <c r="F3772" s="15" t="n"/>
      <c r="G3772" s="15" t="n"/>
      <c r="H3772" s="16">
        <f>IF($A3772="","",$D3772+IF($E3772="",0,$E3772)+IF($F3772="",0,$F3772)-IF($G3772="",0,$G3772))</f>
        <v/>
      </c>
      <c r="I3772" s="12" t="n"/>
      <c r="J3772" s="12" t="n"/>
      <c r="K3772" s="12" t="n"/>
      <c r="L3772" s="14" t="n"/>
      <c r="M3772" s="12" t="n"/>
      <c r="N3772" s="12" t="n"/>
      <c r="O3772" s="12" t="n"/>
    </row>
    <row r="3773">
      <c r="A3773" s="12" t="n"/>
      <c r="B3773" s="13">
        <f>IF($A3773="","",IFERROR(INDEX(Emp_Names,MATCH($A3773,Emp_Codes,0)),"NOT FOUND"))</f>
        <v/>
      </c>
      <c r="C3773" s="14" t="n"/>
      <c r="D3773" s="15" t="n"/>
      <c r="E3773" s="15" t="n"/>
      <c r="F3773" s="15" t="n"/>
      <c r="G3773" s="15" t="n"/>
      <c r="H3773" s="16">
        <f>IF($A3773="","",$D3773+IF($E3773="",0,$E3773)+IF($F3773="",0,$F3773)-IF($G3773="",0,$G3773))</f>
        <v/>
      </c>
      <c r="I3773" s="12" t="n"/>
      <c r="J3773" s="12" t="n"/>
      <c r="K3773" s="12" t="n"/>
      <c r="L3773" s="14" t="n"/>
      <c r="M3773" s="12" t="n"/>
      <c r="N3773" s="12" t="n"/>
      <c r="O3773" s="12" t="n"/>
    </row>
    <row r="3774">
      <c r="A3774" s="12" t="n"/>
      <c r="B3774" s="13">
        <f>IF($A3774="","",IFERROR(INDEX(Emp_Names,MATCH($A3774,Emp_Codes,0)),"NOT FOUND"))</f>
        <v/>
      </c>
      <c r="C3774" s="14" t="n"/>
      <c r="D3774" s="15" t="n"/>
      <c r="E3774" s="15" t="n"/>
      <c r="F3774" s="15" t="n"/>
      <c r="G3774" s="15" t="n"/>
      <c r="H3774" s="16">
        <f>IF($A3774="","",$D3774+IF($E3774="",0,$E3774)+IF($F3774="",0,$F3774)-IF($G3774="",0,$G3774))</f>
        <v/>
      </c>
      <c r="I3774" s="12" t="n"/>
      <c r="J3774" s="12" t="n"/>
      <c r="K3774" s="12" t="n"/>
      <c r="L3774" s="14" t="n"/>
      <c r="M3774" s="12" t="n"/>
      <c r="N3774" s="12" t="n"/>
      <c r="O3774" s="12" t="n"/>
    </row>
    <row r="3775">
      <c r="A3775" s="12" t="n"/>
      <c r="B3775" s="13">
        <f>IF($A3775="","",IFERROR(INDEX(Emp_Names,MATCH($A3775,Emp_Codes,0)),"NOT FOUND"))</f>
        <v/>
      </c>
      <c r="C3775" s="14" t="n"/>
      <c r="D3775" s="15" t="n"/>
      <c r="E3775" s="15" t="n"/>
      <c r="F3775" s="15" t="n"/>
      <c r="G3775" s="15" t="n"/>
      <c r="H3775" s="16">
        <f>IF($A3775="","",$D3775+IF($E3775="",0,$E3775)+IF($F3775="",0,$F3775)-IF($G3775="",0,$G3775))</f>
        <v/>
      </c>
      <c r="I3775" s="12" t="n"/>
      <c r="J3775" s="12" t="n"/>
      <c r="K3775" s="12" t="n"/>
      <c r="L3775" s="14" t="n"/>
      <c r="M3775" s="12" t="n"/>
      <c r="N3775" s="12" t="n"/>
      <c r="O3775" s="12" t="n"/>
    </row>
    <row r="3776">
      <c r="A3776" s="12" t="n"/>
      <c r="B3776" s="13">
        <f>IF($A3776="","",IFERROR(INDEX(Emp_Names,MATCH($A3776,Emp_Codes,0)),"NOT FOUND"))</f>
        <v/>
      </c>
      <c r="C3776" s="14" t="n"/>
      <c r="D3776" s="15" t="n"/>
      <c r="E3776" s="15" t="n"/>
      <c r="F3776" s="15" t="n"/>
      <c r="G3776" s="15" t="n"/>
      <c r="H3776" s="16">
        <f>IF($A3776="","",$D3776+IF($E3776="",0,$E3776)+IF($F3776="",0,$F3776)-IF($G3776="",0,$G3776))</f>
        <v/>
      </c>
      <c r="I3776" s="12" t="n"/>
      <c r="J3776" s="12" t="n"/>
      <c r="K3776" s="12" t="n"/>
      <c r="L3776" s="14" t="n"/>
      <c r="M3776" s="12" t="n"/>
      <c r="N3776" s="12" t="n"/>
      <c r="O3776" s="12" t="n"/>
    </row>
    <row r="3777">
      <c r="A3777" s="12" t="n"/>
      <c r="B3777" s="13">
        <f>IF($A3777="","",IFERROR(INDEX(Emp_Names,MATCH($A3777,Emp_Codes,0)),"NOT FOUND"))</f>
        <v/>
      </c>
      <c r="C3777" s="14" t="n"/>
      <c r="D3777" s="15" t="n"/>
      <c r="E3777" s="15" t="n"/>
      <c r="F3777" s="15" t="n"/>
      <c r="G3777" s="15" t="n"/>
      <c r="H3777" s="16">
        <f>IF($A3777="","",$D3777+IF($E3777="",0,$E3777)+IF($F3777="",0,$F3777)-IF($G3777="",0,$G3777))</f>
        <v/>
      </c>
      <c r="I3777" s="12" t="n"/>
      <c r="J3777" s="12" t="n"/>
      <c r="K3777" s="12" t="n"/>
      <c r="L3777" s="14" t="n"/>
      <c r="M3777" s="12" t="n"/>
      <c r="N3777" s="12" t="n"/>
      <c r="O3777" s="12" t="n"/>
    </row>
    <row r="3778">
      <c r="A3778" s="12" t="n"/>
      <c r="B3778" s="13">
        <f>IF($A3778="","",IFERROR(INDEX(Emp_Names,MATCH($A3778,Emp_Codes,0)),"NOT FOUND"))</f>
        <v/>
      </c>
      <c r="C3778" s="14" t="n"/>
      <c r="D3778" s="15" t="n"/>
      <c r="E3778" s="15" t="n"/>
      <c r="F3778" s="15" t="n"/>
      <c r="G3778" s="15" t="n"/>
      <c r="H3778" s="16">
        <f>IF($A3778="","",$D3778+IF($E3778="",0,$E3778)+IF($F3778="",0,$F3778)-IF($G3778="",0,$G3778))</f>
        <v/>
      </c>
      <c r="I3778" s="12" t="n"/>
      <c r="J3778" s="12" t="n"/>
      <c r="K3778" s="12" t="n"/>
      <c r="L3778" s="14" t="n"/>
      <c r="M3778" s="12" t="n"/>
      <c r="N3778" s="12" t="n"/>
      <c r="O3778" s="12" t="n"/>
    </row>
    <row r="3779">
      <c r="A3779" s="12" t="n"/>
      <c r="B3779" s="13">
        <f>IF($A3779="","",IFERROR(INDEX(Emp_Names,MATCH($A3779,Emp_Codes,0)),"NOT FOUND"))</f>
        <v/>
      </c>
      <c r="C3779" s="14" t="n"/>
      <c r="D3779" s="15" t="n"/>
      <c r="E3779" s="15" t="n"/>
      <c r="F3779" s="15" t="n"/>
      <c r="G3779" s="15" t="n"/>
      <c r="H3779" s="16">
        <f>IF($A3779="","",$D3779+IF($E3779="",0,$E3779)+IF($F3779="",0,$F3779)-IF($G3779="",0,$G3779))</f>
        <v/>
      </c>
      <c r="I3779" s="12" t="n"/>
      <c r="J3779" s="12" t="n"/>
      <c r="K3779" s="12" t="n"/>
      <c r="L3779" s="14" t="n"/>
      <c r="M3779" s="12" t="n"/>
      <c r="N3779" s="12" t="n"/>
      <c r="O3779" s="12" t="n"/>
    </row>
    <row r="3780">
      <c r="A3780" s="12" t="n"/>
      <c r="B3780" s="13">
        <f>IF($A3780="","",IFERROR(INDEX(Emp_Names,MATCH($A3780,Emp_Codes,0)),"NOT FOUND"))</f>
        <v/>
      </c>
      <c r="C3780" s="14" t="n"/>
      <c r="D3780" s="15" t="n"/>
      <c r="E3780" s="15" t="n"/>
      <c r="F3780" s="15" t="n"/>
      <c r="G3780" s="15" t="n"/>
      <c r="H3780" s="16">
        <f>IF($A3780="","",$D3780+IF($E3780="",0,$E3780)+IF($F3780="",0,$F3780)-IF($G3780="",0,$G3780))</f>
        <v/>
      </c>
      <c r="I3780" s="12" t="n"/>
      <c r="J3780" s="12" t="n"/>
      <c r="K3780" s="12" t="n"/>
      <c r="L3780" s="14" t="n"/>
      <c r="M3780" s="12" t="n"/>
      <c r="N3780" s="12" t="n"/>
      <c r="O3780" s="12" t="n"/>
    </row>
    <row r="3781">
      <c r="A3781" s="12" t="n"/>
      <c r="B3781" s="13">
        <f>IF($A3781="","",IFERROR(INDEX(Emp_Names,MATCH($A3781,Emp_Codes,0)),"NOT FOUND"))</f>
        <v/>
      </c>
      <c r="C3781" s="14" t="n"/>
      <c r="D3781" s="15" t="n"/>
      <c r="E3781" s="15" t="n"/>
      <c r="F3781" s="15" t="n"/>
      <c r="G3781" s="15" t="n"/>
      <c r="H3781" s="16">
        <f>IF($A3781="","",$D3781+IF($E3781="",0,$E3781)+IF($F3781="",0,$F3781)-IF($G3781="",0,$G3781))</f>
        <v/>
      </c>
      <c r="I3781" s="12" t="n"/>
      <c r="J3781" s="12" t="n"/>
      <c r="K3781" s="12" t="n"/>
      <c r="L3781" s="14" t="n"/>
      <c r="M3781" s="12" t="n"/>
      <c r="N3781" s="12" t="n"/>
      <c r="O3781" s="12" t="n"/>
    </row>
    <row r="3782">
      <c r="A3782" s="12" t="n"/>
      <c r="B3782" s="13">
        <f>IF($A3782="","",IFERROR(INDEX(Emp_Names,MATCH($A3782,Emp_Codes,0)),"NOT FOUND"))</f>
        <v/>
      </c>
      <c r="C3782" s="14" t="n"/>
      <c r="D3782" s="15" t="n"/>
      <c r="E3782" s="15" t="n"/>
      <c r="F3782" s="15" t="n"/>
      <c r="G3782" s="15" t="n"/>
      <c r="H3782" s="16">
        <f>IF($A3782="","",$D3782+IF($E3782="",0,$E3782)+IF($F3782="",0,$F3782)-IF($G3782="",0,$G3782))</f>
        <v/>
      </c>
      <c r="I3782" s="12" t="n"/>
      <c r="J3782" s="12" t="n"/>
      <c r="K3782" s="12" t="n"/>
      <c r="L3782" s="14" t="n"/>
      <c r="M3782" s="12" t="n"/>
      <c r="N3782" s="12" t="n"/>
      <c r="O3782" s="12" t="n"/>
    </row>
    <row r="3783">
      <c r="A3783" s="12" t="n"/>
      <c r="B3783" s="13">
        <f>IF($A3783="","",IFERROR(INDEX(Emp_Names,MATCH($A3783,Emp_Codes,0)),"NOT FOUND"))</f>
        <v/>
      </c>
      <c r="C3783" s="14" t="n"/>
      <c r="D3783" s="15" t="n"/>
      <c r="E3783" s="15" t="n"/>
      <c r="F3783" s="15" t="n"/>
      <c r="G3783" s="15" t="n"/>
      <c r="H3783" s="16">
        <f>IF($A3783="","",$D3783+IF($E3783="",0,$E3783)+IF($F3783="",0,$F3783)-IF($G3783="",0,$G3783))</f>
        <v/>
      </c>
      <c r="I3783" s="12" t="n"/>
      <c r="J3783" s="12" t="n"/>
      <c r="K3783" s="12" t="n"/>
      <c r="L3783" s="14" t="n"/>
      <c r="M3783" s="12" t="n"/>
      <c r="N3783" s="12" t="n"/>
      <c r="O3783" s="12" t="n"/>
    </row>
    <row r="3784">
      <c r="A3784" s="12" t="n"/>
      <c r="B3784" s="13">
        <f>IF($A3784="","",IFERROR(INDEX(Emp_Names,MATCH($A3784,Emp_Codes,0)),"NOT FOUND"))</f>
        <v/>
      </c>
      <c r="C3784" s="14" t="n"/>
      <c r="D3784" s="15" t="n"/>
      <c r="E3784" s="15" t="n"/>
      <c r="F3784" s="15" t="n"/>
      <c r="G3784" s="15" t="n"/>
      <c r="H3784" s="16">
        <f>IF($A3784="","",$D3784+IF($E3784="",0,$E3784)+IF($F3784="",0,$F3784)-IF($G3784="",0,$G3784))</f>
        <v/>
      </c>
      <c r="I3784" s="12" t="n"/>
      <c r="J3784" s="12" t="n"/>
      <c r="K3784" s="12" t="n"/>
      <c r="L3784" s="14" t="n"/>
      <c r="M3784" s="12" t="n"/>
      <c r="N3784" s="12" t="n"/>
      <c r="O3784" s="12" t="n"/>
    </row>
    <row r="3785">
      <c r="A3785" s="12" t="n"/>
      <c r="B3785" s="13">
        <f>IF($A3785="","",IFERROR(INDEX(Emp_Names,MATCH($A3785,Emp_Codes,0)),"NOT FOUND"))</f>
        <v/>
      </c>
      <c r="C3785" s="14" t="n"/>
      <c r="D3785" s="15" t="n"/>
      <c r="E3785" s="15" t="n"/>
      <c r="F3785" s="15" t="n"/>
      <c r="G3785" s="15" t="n"/>
      <c r="H3785" s="16">
        <f>IF($A3785="","",$D3785+IF($E3785="",0,$E3785)+IF($F3785="",0,$F3785)-IF($G3785="",0,$G3785))</f>
        <v/>
      </c>
      <c r="I3785" s="12" t="n"/>
      <c r="J3785" s="12" t="n"/>
      <c r="K3785" s="12" t="n"/>
      <c r="L3785" s="14" t="n"/>
      <c r="M3785" s="12" t="n"/>
      <c r="N3785" s="12" t="n"/>
      <c r="O3785" s="12" t="n"/>
    </row>
    <row r="3786">
      <c r="A3786" s="12" t="n"/>
      <c r="B3786" s="13">
        <f>IF($A3786="","",IFERROR(INDEX(Emp_Names,MATCH($A3786,Emp_Codes,0)),"NOT FOUND"))</f>
        <v/>
      </c>
      <c r="C3786" s="14" t="n"/>
      <c r="D3786" s="15" t="n"/>
      <c r="E3786" s="15" t="n"/>
      <c r="F3786" s="15" t="n"/>
      <c r="G3786" s="15" t="n"/>
      <c r="H3786" s="16">
        <f>IF($A3786="","",$D3786+IF($E3786="",0,$E3786)+IF($F3786="",0,$F3786)-IF($G3786="",0,$G3786))</f>
        <v/>
      </c>
      <c r="I3786" s="12" t="n"/>
      <c r="J3786" s="12" t="n"/>
      <c r="K3786" s="12" t="n"/>
      <c r="L3786" s="14" t="n"/>
      <c r="M3786" s="12" t="n"/>
      <c r="N3786" s="12" t="n"/>
      <c r="O3786" s="12" t="n"/>
    </row>
    <row r="3787">
      <c r="A3787" s="12" t="n"/>
      <c r="B3787" s="13">
        <f>IF($A3787="","",IFERROR(INDEX(Emp_Names,MATCH($A3787,Emp_Codes,0)),"NOT FOUND"))</f>
        <v/>
      </c>
      <c r="C3787" s="14" t="n"/>
      <c r="D3787" s="15" t="n"/>
      <c r="E3787" s="15" t="n"/>
      <c r="F3787" s="15" t="n"/>
      <c r="G3787" s="15" t="n"/>
      <c r="H3787" s="16">
        <f>IF($A3787="","",$D3787+IF($E3787="",0,$E3787)+IF($F3787="",0,$F3787)-IF($G3787="",0,$G3787))</f>
        <v/>
      </c>
      <c r="I3787" s="12" t="n"/>
      <c r="J3787" s="12" t="n"/>
      <c r="K3787" s="12" t="n"/>
      <c r="L3787" s="14" t="n"/>
      <c r="M3787" s="12" t="n"/>
      <c r="N3787" s="12" t="n"/>
      <c r="O3787" s="12" t="n"/>
    </row>
    <row r="3788">
      <c r="A3788" s="12" t="n"/>
      <c r="B3788" s="13">
        <f>IF($A3788="","",IFERROR(INDEX(Emp_Names,MATCH($A3788,Emp_Codes,0)),"NOT FOUND"))</f>
        <v/>
      </c>
      <c r="C3788" s="14" t="n"/>
      <c r="D3788" s="15" t="n"/>
      <c r="E3788" s="15" t="n"/>
      <c r="F3788" s="15" t="n"/>
      <c r="G3788" s="15" t="n"/>
      <c r="H3788" s="16">
        <f>IF($A3788="","",$D3788+IF($E3788="",0,$E3788)+IF($F3788="",0,$F3788)-IF($G3788="",0,$G3788))</f>
        <v/>
      </c>
      <c r="I3788" s="12" t="n"/>
      <c r="J3788" s="12" t="n"/>
      <c r="K3788" s="12" t="n"/>
      <c r="L3788" s="14" t="n"/>
      <c r="M3788" s="12" t="n"/>
      <c r="N3788" s="12" t="n"/>
      <c r="O3788" s="12" t="n"/>
    </row>
    <row r="3789">
      <c r="A3789" s="12" t="n"/>
      <c r="B3789" s="13">
        <f>IF($A3789="","",IFERROR(INDEX(Emp_Names,MATCH($A3789,Emp_Codes,0)),"NOT FOUND"))</f>
        <v/>
      </c>
      <c r="C3789" s="14" t="n"/>
      <c r="D3789" s="15" t="n"/>
      <c r="E3789" s="15" t="n"/>
      <c r="F3789" s="15" t="n"/>
      <c r="G3789" s="15" t="n"/>
      <c r="H3789" s="16">
        <f>IF($A3789="","",$D3789+IF($E3789="",0,$E3789)+IF($F3789="",0,$F3789)-IF($G3789="",0,$G3789))</f>
        <v/>
      </c>
      <c r="I3789" s="12" t="n"/>
      <c r="J3789" s="12" t="n"/>
      <c r="K3789" s="12" t="n"/>
      <c r="L3789" s="14" t="n"/>
      <c r="M3789" s="12" t="n"/>
      <c r="N3789" s="12" t="n"/>
      <c r="O3789" s="12" t="n"/>
    </row>
    <row r="3790">
      <c r="A3790" s="12" t="n"/>
      <c r="B3790" s="13">
        <f>IF($A3790="","",IFERROR(INDEX(Emp_Names,MATCH($A3790,Emp_Codes,0)),"NOT FOUND"))</f>
        <v/>
      </c>
      <c r="C3790" s="14" t="n"/>
      <c r="D3790" s="15" t="n"/>
      <c r="E3790" s="15" t="n"/>
      <c r="F3790" s="15" t="n"/>
      <c r="G3790" s="15" t="n"/>
      <c r="H3790" s="16">
        <f>IF($A3790="","",$D3790+IF($E3790="",0,$E3790)+IF($F3790="",0,$F3790)-IF($G3790="",0,$G3790))</f>
        <v/>
      </c>
      <c r="I3790" s="12" t="n"/>
      <c r="J3790" s="12" t="n"/>
      <c r="K3790" s="12" t="n"/>
      <c r="L3790" s="14" t="n"/>
      <c r="M3790" s="12" t="n"/>
      <c r="N3790" s="12" t="n"/>
      <c r="O3790" s="12" t="n"/>
    </row>
    <row r="3791">
      <c r="A3791" s="12" t="n"/>
      <c r="B3791" s="13">
        <f>IF($A3791="","",IFERROR(INDEX(Emp_Names,MATCH($A3791,Emp_Codes,0)),"NOT FOUND"))</f>
        <v/>
      </c>
      <c r="C3791" s="14" t="n"/>
      <c r="D3791" s="15" t="n"/>
      <c r="E3791" s="15" t="n"/>
      <c r="F3791" s="15" t="n"/>
      <c r="G3791" s="15" t="n"/>
      <c r="H3791" s="16">
        <f>IF($A3791="","",$D3791+IF($E3791="",0,$E3791)+IF($F3791="",0,$F3791)-IF($G3791="",0,$G3791))</f>
        <v/>
      </c>
      <c r="I3791" s="12" t="n"/>
      <c r="J3791" s="12" t="n"/>
      <c r="K3791" s="12" t="n"/>
      <c r="L3791" s="14" t="n"/>
      <c r="M3791" s="12" t="n"/>
      <c r="N3791" s="12" t="n"/>
      <c r="O3791" s="12" t="n"/>
    </row>
    <row r="3792">
      <c r="A3792" s="12" t="n"/>
      <c r="B3792" s="13">
        <f>IF($A3792="","",IFERROR(INDEX(Emp_Names,MATCH($A3792,Emp_Codes,0)),"NOT FOUND"))</f>
        <v/>
      </c>
      <c r="C3792" s="14" t="n"/>
      <c r="D3792" s="15" t="n"/>
      <c r="E3792" s="15" t="n"/>
      <c r="F3792" s="15" t="n"/>
      <c r="G3792" s="15" t="n"/>
      <c r="H3792" s="16">
        <f>IF($A3792="","",$D3792+IF($E3792="",0,$E3792)+IF($F3792="",0,$F3792)-IF($G3792="",0,$G3792))</f>
        <v/>
      </c>
      <c r="I3792" s="12" t="n"/>
      <c r="J3792" s="12" t="n"/>
      <c r="K3792" s="12" t="n"/>
      <c r="L3792" s="14" t="n"/>
      <c r="M3792" s="12" t="n"/>
      <c r="N3792" s="12" t="n"/>
      <c r="O3792" s="12" t="n"/>
    </row>
    <row r="3793">
      <c r="A3793" s="12" t="n"/>
      <c r="B3793" s="13">
        <f>IF($A3793="","",IFERROR(INDEX(Emp_Names,MATCH($A3793,Emp_Codes,0)),"NOT FOUND"))</f>
        <v/>
      </c>
      <c r="C3793" s="14" t="n"/>
      <c r="D3793" s="15" t="n"/>
      <c r="E3793" s="15" t="n"/>
      <c r="F3793" s="15" t="n"/>
      <c r="G3793" s="15" t="n"/>
      <c r="H3793" s="16">
        <f>IF($A3793="","",$D3793+IF($E3793="",0,$E3793)+IF($F3793="",0,$F3793)-IF($G3793="",0,$G3793))</f>
        <v/>
      </c>
      <c r="I3793" s="12" t="n"/>
      <c r="J3793" s="12" t="n"/>
      <c r="K3793" s="12" t="n"/>
      <c r="L3793" s="14" t="n"/>
      <c r="M3793" s="12" t="n"/>
      <c r="N3793" s="12" t="n"/>
      <c r="O3793" s="12" t="n"/>
    </row>
    <row r="3794">
      <c r="A3794" s="12" t="n"/>
      <c r="B3794" s="13">
        <f>IF($A3794="","",IFERROR(INDEX(Emp_Names,MATCH($A3794,Emp_Codes,0)),"NOT FOUND"))</f>
        <v/>
      </c>
      <c r="C3794" s="14" t="n"/>
      <c r="D3794" s="15" t="n"/>
      <c r="E3794" s="15" t="n"/>
      <c r="F3794" s="15" t="n"/>
      <c r="G3794" s="15" t="n"/>
      <c r="H3794" s="16">
        <f>IF($A3794="","",$D3794+IF($E3794="",0,$E3794)+IF($F3794="",0,$F3794)-IF($G3794="",0,$G3794))</f>
        <v/>
      </c>
      <c r="I3794" s="12" t="n"/>
      <c r="J3794" s="12" t="n"/>
      <c r="K3794" s="12" t="n"/>
      <c r="L3794" s="14" t="n"/>
      <c r="M3794" s="12" t="n"/>
      <c r="N3794" s="12" t="n"/>
      <c r="O3794" s="12" t="n"/>
    </row>
    <row r="3795">
      <c r="A3795" s="12" t="n"/>
      <c r="B3795" s="13">
        <f>IF($A3795="","",IFERROR(INDEX(Emp_Names,MATCH($A3795,Emp_Codes,0)),"NOT FOUND"))</f>
        <v/>
      </c>
      <c r="C3795" s="14" t="n"/>
      <c r="D3795" s="15" t="n"/>
      <c r="E3795" s="15" t="n"/>
      <c r="F3795" s="15" t="n"/>
      <c r="G3795" s="15" t="n"/>
      <c r="H3795" s="16">
        <f>IF($A3795="","",$D3795+IF($E3795="",0,$E3795)+IF($F3795="",0,$F3795)-IF($G3795="",0,$G3795))</f>
        <v/>
      </c>
      <c r="I3795" s="12" t="n"/>
      <c r="J3795" s="12" t="n"/>
      <c r="K3795" s="12" t="n"/>
      <c r="L3795" s="14" t="n"/>
      <c r="M3795" s="12" t="n"/>
      <c r="N3795" s="12" t="n"/>
      <c r="O3795" s="12" t="n"/>
    </row>
    <row r="3796">
      <c r="A3796" s="12" t="n"/>
      <c r="B3796" s="13">
        <f>IF($A3796="","",IFERROR(INDEX(Emp_Names,MATCH($A3796,Emp_Codes,0)),"NOT FOUND"))</f>
        <v/>
      </c>
      <c r="C3796" s="14" t="n"/>
      <c r="D3796" s="15" t="n"/>
      <c r="E3796" s="15" t="n"/>
      <c r="F3796" s="15" t="n"/>
      <c r="G3796" s="15" t="n"/>
      <c r="H3796" s="16">
        <f>IF($A3796="","",$D3796+IF($E3796="",0,$E3796)+IF($F3796="",0,$F3796)-IF($G3796="",0,$G3796))</f>
        <v/>
      </c>
      <c r="I3796" s="12" t="n"/>
      <c r="J3796" s="12" t="n"/>
      <c r="K3796" s="12" t="n"/>
      <c r="L3796" s="14" t="n"/>
      <c r="M3796" s="12" t="n"/>
      <c r="N3796" s="12" t="n"/>
      <c r="O3796" s="12" t="n"/>
    </row>
    <row r="3797">
      <c r="A3797" s="12" t="n"/>
      <c r="B3797" s="13">
        <f>IF($A3797="","",IFERROR(INDEX(Emp_Names,MATCH($A3797,Emp_Codes,0)),"NOT FOUND"))</f>
        <v/>
      </c>
      <c r="C3797" s="14" t="n"/>
      <c r="D3797" s="15" t="n"/>
      <c r="E3797" s="15" t="n"/>
      <c r="F3797" s="15" t="n"/>
      <c r="G3797" s="15" t="n"/>
      <c r="H3797" s="16">
        <f>IF($A3797="","",$D3797+IF($E3797="",0,$E3797)+IF($F3797="",0,$F3797)-IF($G3797="",0,$G3797))</f>
        <v/>
      </c>
      <c r="I3797" s="12" t="n"/>
      <c r="J3797" s="12" t="n"/>
      <c r="K3797" s="12" t="n"/>
      <c r="L3797" s="14" t="n"/>
      <c r="M3797" s="12" t="n"/>
      <c r="N3797" s="12" t="n"/>
      <c r="O3797" s="12" t="n"/>
    </row>
    <row r="3798">
      <c r="A3798" s="12" t="n"/>
      <c r="B3798" s="13">
        <f>IF($A3798="","",IFERROR(INDEX(Emp_Names,MATCH($A3798,Emp_Codes,0)),"NOT FOUND"))</f>
        <v/>
      </c>
      <c r="C3798" s="14" t="n"/>
      <c r="D3798" s="15" t="n"/>
      <c r="E3798" s="15" t="n"/>
      <c r="F3798" s="15" t="n"/>
      <c r="G3798" s="15" t="n"/>
      <c r="H3798" s="16">
        <f>IF($A3798="","",$D3798+IF($E3798="",0,$E3798)+IF($F3798="",0,$F3798)-IF($G3798="",0,$G3798))</f>
        <v/>
      </c>
      <c r="I3798" s="12" t="n"/>
      <c r="J3798" s="12" t="n"/>
      <c r="K3798" s="12" t="n"/>
      <c r="L3798" s="14" t="n"/>
      <c r="M3798" s="12" t="n"/>
      <c r="N3798" s="12" t="n"/>
      <c r="O3798" s="12" t="n"/>
    </row>
    <row r="3799">
      <c r="A3799" s="12" t="n"/>
      <c r="B3799" s="13">
        <f>IF($A3799="","",IFERROR(INDEX(Emp_Names,MATCH($A3799,Emp_Codes,0)),"NOT FOUND"))</f>
        <v/>
      </c>
      <c r="C3799" s="14" t="n"/>
      <c r="D3799" s="15" t="n"/>
      <c r="E3799" s="15" t="n"/>
      <c r="F3799" s="15" t="n"/>
      <c r="G3799" s="15" t="n"/>
      <c r="H3799" s="16">
        <f>IF($A3799="","",$D3799+IF($E3799="",0,$E3799)+IF($F3799="",0,$F3799)-IF($G3799="",0,$G3799))</f>
        <v/>
      </c>
      <c r="I3799" s="12" t="n"/>
      <c r="J3799" s="12" t="n"/>
      <c r="K3799" s="12" t="n"/>
      <c r="L3799" s="14" t="n"/>
      <c r="M3799" s="12" t="n"/>
      <c r="N3799" s="12" t="n"/>
      <c r="O3799" s="12" t="n"/>
    </row>
    <row r="3800">
      <c r="A3800" s="12" t="n"/>
      <c r="B3800" s="13">
        <f>IF($A3800="","",IFERROR(INDEX(Emp_Names,MATCH($A3800,Emp_Codes,0)),"NOT FOUND"))</f>
        <v/>
      </c>
      <c r="C3800" s="14" t="n"/>
      <c r="D3800" s="15" t="n"/>
      <c r="E3800" s="15" t="n"/>
      <c r="F3800" s="15" t="n"/>
      <c r="G3800" s="15" t="n"/>
      <c r="H3800" s="16">
        <f>IF($A3800="","",$D3800+IF($E3800="",0,$E3800)+IF($F3800="",0,$F3800)-IF($G3800="",0,$G3800))</f>
        <v/>
      </c>
      <c r="I3800" s="12" t="n"/>
      <c r="J3800" s="12" t="n"/>
      <c r="K3800" s="12" t="n"/>
      <c r="L3800" s="14" t="n"/>
      <c r="M3800" s="12" t="n"/>
      <c r="N3800" s="12" t="n"/>
      <c r="O3800" s="12" t="n"/>
    </row>
    <row r="3801">
      <c r="A3801" s="12" t="n"/>
      <c r="B3801" s="13">
        <f>IF($A3801="","",IFERROR(INDEX(Emp_Names,MATCH($A3801,Emp_Codes,0)),"NOT FOUND"))</f>
        <v/>
      </c>
      <c r="C3801" s="14" t="n"/>
      <c r="D3801" s="15" t="n"/>
      <c r="E3801" s="15" t="n"/>
      <c r="F3801" s="15" t="n"/>
      <c r="G3801" s="15" t="n"/>
      <c r="H3801" s="16">
        <f>IF($A3801="","",$D3801+IF($E3801="",0,$E3801)+IF($F3801="",0,$F3801)-IF($G3801="",0,$G3801))</f>
        <v/>
      </c>
      <c r="I3801" s="12" t="n"/>
      <c r="J3801" s="12" t="n"/>
      <c r="K3801" s="12" t="n"/>
      <c r="L3801" s="14" t="n"/>
      <c r="M3801" s="12" t="n"/>
      <c r="N3801" s="12" t="n"/>
      <c r="O3801" s="12" t="n"/>
    </row>
    <row r="3802">
      <c r="A3802" s="12" t="n"/>
      <c r="B3802" s="13">
        <f>IF($A3802="","",IFERROR(INDEX(Emp_Names,MATCH($A3802,Emp_Codes,0)),"NOT FOUND"))</f>
        <v/>
      </c>
      <c r="C3802" s="14" t="n"/>
      <c r="D3802" s="15" t="n"/>
      <c r="E3802" s="15" t="n"/>
      <c r="F3802" s="15" t="n"/>
      <c r="G3802" s="15" t="n"/>
      <c r="H3802" s="16">
        <f>IF($A3802="","",$D3802+IF($E3802="",0,$E3802)+IF($F3802="",0,$F3802)-IF($G3802="",0,$G3802))</f>
        <v/>
      </c>
      <c r="I3802" s="12" t="n"/>
      <c r="J3802" s="12" t="n"/>
      <c r="K3802" s="12" t="n"/>
      <c r="L3802" s="14" t="n"/>
      <c r="M3802" s="12" t="n"/>
      <c r="N3802" s="12" t="n"/>
      <c r="O3802" s="12" t="n"/>
    </row>
    <row r="3803">
      <c r="A3803" s="12" t="n"/>
      <c r="B3803" s="13">
        <f>IF($A3803="","",IFERROR(INDEX(Emp_Names,MATCH($A3803,Emp_Codes,0)),"NOT FOUND"))</f>
        <v/>
      </c>
      <c r="C3803" s="14" t="n"/>
      <c r="D3803" s="15" t="n"/>
      <c r="E3803" s="15" t="n"/>
      <c r="F3803" s="15" t="n"/>
      <c r="G3803" s="15" t="n"/>
      <c r="H3803" s="16">
        <f>IF($A3803="","",$D3803+IF($E3803="",0,$E3803)+IF($F3803="",0,$F3803)-IF($G3803="",0,$G3803))</f>
        <v/>
      </c>
      <c r="I3803" s="12" t="n"/>
      <c r="J3803" s="12" t="n"/>
      <c r="K3803" s="12" t="n"/>
      <c r="L3803" s="14" t="n"/>
      <c r="M3803" s="12" t="n"/>
      <c r="N3803" s="12" t="n"/>
      <c r="O3803" s="12" t="n"/>
    </row>
    <row r="3804">
      <c r="A3804" s="12" t="n"/>
      <c r="B3804" s="13">
        <f>IF($A3804="","",IFERROR(INDEX(Emp_Names,MATCH($A3804,Emp_Codes,0)),"NOT FOUND"))</f>
        <v/>
      </c>
      <c r="C3804" s="14" t="n"/>
      <c r="D3804" s="15" t="n"/>
      <c r="E3804" s="15" t="n"/>
      <c r="F3804" s="15" t="n"/>
      <c r="G3804" s="15" t="n"/>
      <c r="H3804" s="16">
        <f>IF($A3804="","",$D3804+IF($E3804="",0,$E3804)+IF($F3804="",0,$F3804)-IF($G3804="",0,$G3804))</f>
        <v/>
      </c>
      <c r="I3804" s="12" t="n"/>
      <c r="J3804" s="12" t="n"/>
      <c r="K3804" s="12" t="n"/>
      <c r="L3804" s="14" t="n"/>
      <c r="M3804" s="12" t="n"/>
      <c r="N3804" s="12" t="n"/>
      <c r="O3804" s="12" t="n"/>
    </row>
    <row r="3805">
      <c r="A3805" s="12" t="n"/>
      <c r="B3805" s="13">
        <f>IF($A3805="","",IFERROR(INDEX(Emp_Names,MATCH($A3805,Emp_Codes,0)),"NOT FOUND"))</f>
        <v/>
      </c>
      <c r="C3805" s="14" t="n"/>
      <c r="D3805" s="15" t="n"/>
      <c r="E3805" s="15" t="n"/>
      <c r="F3805" s="15" t="n"/>
      <c r="G3805" s="15" t="n"/>
      <c r="H3805" s="16">
        <f>IF($A3805="","",$D3805+IF($E3805="",0,$E3805)+IF($F3805="",0,$F3805)-IF($G3805="",0,$G3805))</f>
        <v/>
      </c>
      <c r="I3805" s="12" t="n"/>
      <c r="J3805" s="12" t="n"/>
      <c r="K3805" s="12" t="n"/>
      <c r="L3805" s="14" t="n"/>
      <c r="M3805" s="12" t="n"/>
      <c r="N3805" s="12" t="n"/>
      <c r="O3805" s="12" t="n"/>
    </row>
    <row r="3806">
      <c r="A3806" s="12" t="n"/>
      <c r="B3806" s="13">
        <f>IF($A3806="","",IFERROR(INDEX(Emp_Names,MATCH($A3806,Emp_Codes,0)),"NOT FOUND"))</f>
        <v/>
      </c>
      <c r="C3806" s="14" t="n"/>
      <c r="D3806" s="15" t="n"/>
      <c r="E3806" s="15" t="n"/>
      <c r="F3806" s="15" t="n"/>
      <c r="G3806" s="15" t="n"/>
      <c r="H3806" s="16">
        <f>IF($A3806="","",$D3806+IF($E3806="",0,$E3806)+IF($F3806="",0,$F3806)-IF($G3806="",0,$G3806))</f>
        <v/>
      </c>
      <c r="I3806" s="12" t="n"/>
      <c r="J3806" s="12" t="n"/>
      <c r="K3806" s="12" t="n"/>
      <c r="L3806" s="14" t="n"/>
      <c r="M3806" s="12" t="n"/>
      <c r="N3806" s="12" t="n"/>
      <c r="O3806" s="12" t="n"/>
    </row>
    <row r="3807">
      <c r="A3807" s="12" t="n"/>
      <c r="B3807" s="13">
        <f>IF($A3807="","",IFERROR(INDEX(Emp_Names,MATCH($A3807,Emp_Codes,0)),"NOT FOUND"))</f>
        <v/>
      </c>
      <c r="C3807" s="14" t="n"/>
      <c r="D3807" s="15" t="n"/>
      <c r="E3807" s="15" t="n"/>
      <c r="F3807" s="15" t="n"/>
      <c r="G3807" s="15" t="n"/>
      <c r="H3807" s="16">
        <f>IF($A3807="","",$D3807+IF($E3807="",0,$E3807)+IF($F3807="",0,$F3807)-IF($G3807="",0,$G3807))</f>
        <v/>
      </c>
      <c r="I3807" s="12" t="n"/>
      <c r="J3807" s="12" t="n"/>
      <c r="K3807" s="12" t="n"/>
      <c r="L3807" s="14" t="n"/>
      <c r="M3807" s="12" t="n"/>
      <c r="N3807" s="12" t="n"/>
      <c r="O3807" s="12" t="n"/>
    </row>
    <row r="3808">
      <c r="A3808" s="12" t="n"/>
      <c r="B3808" s="13">
        <f>IF($A3808="","",IFERROR(INDEX(Emp_Names,MATCH($A3808,Emp_Codes,0)),"NOT FOUND"))</f>
        <v/>
      </c>
      <c r="C3808" s="14" t="n"/>
      <c r="D3808" s="15" t="n"/>
      <c r="E3808" s="15" t="n"/>
      <c r="F3808" s="15" t="n"/>
      <c r="G3808" s="15" t="n"/>
      <c r="H3808" s="16">
        <f>IF($A3808="","",$D3808+IF($E3808="",0,$E3808)+IF($F3808="",0,$F3808)-IF($G3808="",0,$G3808))</f>
        <v/>
      </c>
      <c r="I3808" s="12" t="n"/>
      <c r="J3808" s="12" t="n"/>
      <c r="K3808" s="12" t="n"/>
      <c r="L3808" s="14" t="n"/>
      <c r="M3808" s="12" t="n"/>
      <c r="N3808" s="12" t="n"/>
      <c r="O3808" s="12" t="n"/>
    </row>
    <row r="3809">
      <c r="A3809" s="12" t="n"/>
      <c r="B3809" s="13">
        <f>IF($A3809="","",IFERROR(INDEX(Emp_Names,MATCH($A3809,Emp_Codes,0)),"NOT FOUND"))</f>
        <v/>
      </c>
      <c r="C3809" s="14" t="n"/>
      <c r="D3809" s="15" t="n"/>
      <c r="E3809" s="15" t="n"/>
      <c r="F3809" s="15" t="n"/>
      <c r="G3809" s="15" t="n"/>
      <c r="H3809" s="16">
        <f>IF($A3809="","",$D3809+IF($E3809="",0,$E3809)+IF($F3809="",0,$F3809)-IF($G3809="",0,$G3809))</f>
        <v/>
      </c>
      <c r="I3809" s="12" t="n"/>
      <c r="J3809" s="12" t="n"/>
      <c r="K3809" s="12" t="n"/>
      <c r="L3809" s="14" t="n"/>
      <c r="M3809" s="12" t="n"/>
      <c r="N3809" s="12" t="n"/>
      <c r="O3809" s="12" t="n"/>
    </row>
    <row r="3810">
      <c r="A3810" s="12" t="n"/>
      <c r="B3810" s="13">
        <f>IF($A3810="","",IFERROR(INDEX(Emp_Names,MATCH($A3810,Emp_Codes,0)),"NOT FOUND"))</f>
        <v/>
      </c>
      <c r="C3810" s="14" t="n"/>
      <c r="D3810" s="15" t="n"/>
      <c r="E3810" s="15" t="n"/>
      <c r="F3810" s="15" t="n"/>
      <c r="G3810" s="15" t="n"/>
      <c r="H3810" s="16">
        <f>IF($A3810="","",$D3810+IF($E3810="",0,$E3810)+IF($F3810="",0,$F3810)-IF($G3810="",0,$G3810))</f>
        <v/>
      </c>
      <c r="I3810" s="12" t="n"/>
      <c r="J3810" s="12" t="n"/>
      <c r="K3810" s="12" t="n"/>
      <c r="L3810" s="14" t="n"/>
      <c r="M3810" s="12" t="n"/>
      <c r="N3810" s="12" t="n"/>
      <c r="O3810" s="12" t="n"/>
    </row>
    <row r="3811">
      <c r="A3811" s="12" t="n"/>
      <c r="B3811" s="13">
        <f>IF($A3811="","",IFERROR(INDEX(Emp_Names,MATCH($A3811,Emp_Codes,0)),"NOT FOUND"))</f>
        <v/>
      </c>
      <c r="C3811" s="14" t="n"/>
      <c r="D3811" s="15" t="n"/>
      <c r="E3811" s="15" t="n"/>
      <c r="F3811" s="15" t="n"/>
      <c r="G3811" s="15" t="n"/>
      <c r="H3811" s="16">
        <f>IF($A3811="","",$D3811+IF($E3811="",0,$E3811)+IF($F3811="",0,$F3811)-IF($G3811="",0,$G3811))</f>
        <v/>
      </c>
      <c r="I3811" s="12" t="n"/>
      <c r="J3811" s="12" t="n"/>
      <c r="K3811" s="12" t="n"/>
      <c r="L3811" s="14" t="n"/>
      <c r="M3811" s="12" t="n"/>
      <c r="N3811" s="12" t="n"/>
      <c r="O3811" s="12" t="n"/>
    </row>
    <row r="3812">
      <c r="A3812" s="12" t="n"/>
      <c r="B3812" s="13">
        <f>IF($A3812="","",IFERROR(INDEX(Emp_Names,MATCH($A3812,Emp_Codes,0)),"NOT FOUND"))</f>
        <v/>
      </c>
      <c r="C3812" s="14" t="n"/>
      <c r="D3812" s="15" t="n"/>
      <c r="E3812" s="15" t="n"/>
      <c r="F3812" s="15" t="n"/>
      <c r="G3812" s="15" t="n"/>
      <c r="H3812" s="16">
        <f>IF($A3812="","",$D3812+IF($E3812="",0,$E3812)+IF($F3812="",0,$F3812)-IF($G3812="",0,$G3812))</f>
        <v/>
      </c>
      <c r="I3812" s="12" t="n"/>
      <c r="J3812" s="12" t="n"/>
      <c r="K3812" s="12" t="n"/>
      <c r="L3812" s="14" t="n"/>
      <c r="M3812" s="12" t="n"/>
      <c r="N3812" s="12" t="n"/>
      <c r="O3812" s="12" t="n"/>
    </row>
    <row r="3813">
      <c r="A3813" s="12" t="n"/>
      <c r="B3813" s="13">
        <f>IF($A3813="","",IFERROR(INDEX(Emp_Names,MATCH($A3813,Emp_Codes,0)),"NOT FOUND"))</f>
        <v/>
      </c>
      <c r="C3813" s="14" t="n"/>
      <c r="D3813" s="15" t="n"/>
      <c r="E3813" s="15" t="n"/>
      <c r="F3813" s="15" t="n"/>
      <c r="G3813" s="15" t="n"/>
      <c r="H3813" s="16">
        <f>IF($A3813="","",$D3813+IF($E3813="",0,$E3813)+IF($F3813="",0,$F3813)-IF($G3813="",0,$G3813))</f>
        <v/>
      </c>
      <c r="I3813" s="12" t="n"/>
      <c r="J3813" s="12" t="n"/>
      <c r="K3813" s="12" t="n"/>
      <c r="L3813" s="14" t="n"/>
      <c r="M3813" s="12" t="n"/>
      <c r="N3813" s="12" t="n"/>
      <c r="O3813" s="12" t="n"/>
    </row>
    <row r="3814">
      <c r="A3814" s="12" t="n"/>
      <c r="B3814" s="13">
        <f>IF($A3814="","",IFERROR(INDEX(Emp_Names,MATCH($A3814,Emp_Codes,0)),"NOT FOUND"))</f>
        <v/>
      </c>
      <c r="C3814" s="14" t="n"/>
      <c r="D3814" s="15" t="n"/>
      <c r="E3814" s="15" t="n"/>
      <c r="F3814" s="15" t="n"/>
      <c r="G3814" s="15" t="n"/>
      <c r="H3814" s="16">
        <f>IF($A3814="","",$D3814+IF($E3814="",0,$E3814)+IF($F3814="",0,$F3814)-IF($G3814="",0,$G3814))</f>
        <v/>
      </c>
      <c r="I3814" s="12" t="n"/>
      <c r="J3814" s="12" t="n"/>
      <c r="K3814" s="12" t="n"/>
      <c r="L3814" s="14" t="n"/>
      <c r="M3814" s="12" t="n"/>
      <c r="N3814" s="12" t="n"/>
      <c r="O3814" s="12" t="n"/>
    </row>
    <row r="3815">
      <c r="A3815" s="12" t="n"/>
      <c r="B3815" s="13">
        <f>IF($A3815="","",IFERROR(INDEX(Emp_Names,MATCH($A3815,Emp_Codes,0)),"NOT FOUND"))</f>
        <v/>
      </c>
      <c r="C3815" s="14" t="n"/>
      <c r="D3815" s="15" t="n"/>
      <c r="E3815" s="15" t="n"/>
      <c r="F3815" s="15" t="n"/>
      <c r="G3815" s="15" t="n"/>
      <c r="H3815" s="16">
        <f>IF($A3815="","",$D3815+IF($E3815="",0,$E3815)+IF($F3815="",0,$F3815)-IF($G3815="",0,$G3815))</f>
        <v/>
      </c>
      <c r="I3815" s="12" t="n"/>
      <c r="J3815" s="12" t="n"/>
      <c r="K3815" s="12" t="n"/>
      <c r="L3815" s="14" t="n"/>
      <c r="M3815" s="12" t="n"/>
      <c r="N3815" s="12" t="n"/>
      <c r="O3815" s="12" t="n"/>
    </row>
    <row r="3816">
      <c r="A3816" s="12" t="n"/>
      <c r="B3816" s="13">
        <f>IF($A3816="","",IFERROR(INDEX(Emp_Names,MATCH($A3816,Emp_Codes,0)),"NOT FOUND"))</f>
        <v/>
      </c>
      <c r="C3816" s="14" t="n"/>
      <c r="D3816" s="15" t="n"/>
      <c r="E3816" s="15" t="n"/>
      <c r="F3816" s="15" t="n"/>
      <c r="G3816" s="15" t="n"/>
      <c r="H3816" s="16">
        <f>IF($A3816="","",$D3816+IF($E3816="",0,$E3816)+IF($F3816="",0,$F3816)-IF($G3816="",0,$G3816))</f>
        <v/>
      </c>
      <c r="I3816" s="12" t="n"/>
      <c r="J3816" s="12" t="n"/>
      <c r="K3816" s="12" t="n"/>
      <c r="L3816" s="14" t="n"/>
      <c r="M3816" s="12" t="n"/>
      <c r="N3816" s="12" t="n"/>
      <c r="O3816" s="12" t="n"/>
    </row>
    <row r="3817">
      <c r="A3817" s="12" t="n"/>
      <c r="B3817" s="13">
        <f>IF($A3817="","",IFERROR(INDEX(Emp_Names,MATCH($A3817,Emp_Codes,0)),"NOT FOUND"))</f>
        <v/>
      </c>
      <c r="C3817" s="14" t="n"/>
      <c r="D3817" s="15" t="n"/>
      <c r="E3817" s="15" t="n"/>
      <c r="F3817" s="15" t="n"/>
      <c r="G3817" s="15" t="n"/>
      <c r="H3817" s="16">
        <f>IF($A3817="","",$D3817+IF($E3817="",0,$E3817)+IF($F3817="",0,$F3817)-IF($G3817="",0,$G3817))</f>
        <v/>
      </c>
      <c r="I3817" s="12" t="n"/>
      <c r="J3817" s="12" t="n"/>
      <c r="K3817" s="12" t="n"/>
      <c r="L3817" s="14" t="n"/>
      <c r="M3817" s="12" t="n"/>
      <c r="N3817" s="12" t="n"/>
      <c r="O3817" s="12" t="n"/>
    </row>
    <row r="3818">
      <c r="A3818" s="12" t="n"/>
      <c r="B3818" s="13">
        <f>IF($A3818="","",IFERROR(INDEX(Emp_Names,MATCH($A3818,Emp_Codes,0)),"NOT FOUND"))</f>
        <v/>
      </c>
      <c r="C3818" s="14" t="n"/>
      <c r="D3818" s="15" t="n"/>
      <c r="E3818" s="15" t="n"/>
      <c r="F3818" s="15" t="n"/>
      <c r="G3818" s="15" t="n"/>
      <c r="H3818" s="16">
        <f>IF($A3818="","",$D3818+IF($E3818="",0,$E3818)+IF($F3818="",0,$F3818)-IF($G3818="",0,$G3818))</f>
        <v/>
      </c>
      <c r="I3818" s="12" t="n"/>
      <c r="J3818" s="12" t="n"/>
      <c r="K3818" s="12" t="n"/>
      <c r="L3818" s="14" t="n"/>
      <c r="M3818" s="12" t="n"/>
      <c r="N3818" s="12" t="n"/>
      <c r="O3818" s="12" t="n"/>
    </row>
    <row r="3819">
      <c r="A3819" s="12" t="n"/>
      <c r="B3819" s="13">
        <f>IF($A3819="","",IFERROR(INDEX(Emp_Names,MATCH($A3819,Emp_Codes,0)),"NOT FOUND"))</f>
        <v/>
      </c>
      <c r="C3819" s="14" t="n"/>
      <c r="D3819" s="15" t="n"/>
      <c r="E3819" s="15" t="n"/>
      <c r="F3819" s="15" t="n"/>
      <c r="G3819" s="15" t="n"/>
      <c r="H3819" s="16">
        <f>IF($A3819="","",$D3819+IF($E3819="",0,$E3819)+IF($F3819="",0,$F3819)-IF($G3819="",0,$G3819))</f>
        <v/>
      </c>
      <c r="I3819" s="12" t="n"/>
      <c r="J3819" s="12" t="n"/>
      <c r="K3819" s="12" t="n"/>
      <c r="L3819" s="14" t="n"/>
      <c r="M3819" s="12" t="n"/>
      <c r="N3819" s="12" t="n"/>
      <c r="O3819" s="12" t="n"/>
    </row>
    <row r="3820">
      <c r="A3820" s="12" t="n"/>
      <c r="B3820" s="13">
        <f>IF($A3820="","",IFERROR(INDEX(Emp_Names,MATCH($A3820,Emp_Codes,0)),"NOT FOUND"))</f>
        <v/>
      </c>
      <c r="C3820" s="14" t="n"/>
      <c r="D3820" s="15" t="n"/>
      <c r="E3820" s="15" t="n"/>
      <c r="F3820" s="15" t="n"/>
      <c r="G3820" s="15" t="n"/>
      <c r="H3820" s="16">
        <f>IF($A3820="","",$D3820+IF($E3820="",0,$E3820)+IF($F3820="",0,$F3820)-IF($G3820="",0,$G3820))</f>
        <v/>
      </c>
      <c r="I3820" s="12" t="n"/>
      <c r="J3820" s="12" t="n"/>
      <c r="K3820" s="12" t="n"/>
      <c r="L3820" s="14" t="n"/>
      <c r="M3820" s="12" t="n"/>
      <c r="N3820" s="12" t="n"/>
      <c r="O3820" s="12" t="n"/>
    </row>
    <row r="3821">
      <c r="A3821" s="12" t="n"/>
      <c r="B3821" s="13">
        <f>IF($A3821="","",IFERROR(INDEX(Emp_Names,MATCH($A3821,Emp_Codes,0)),"NOT FOUND"))</f>
        <v/>
      </c>
      <c r="C3821" s="14" t="n"/>
      <c r="D3821" s="15" t="n"/>
      <c r="E3821" s="15" t="n"/>
      <c r="F3821" s="15" t="n"/>
      <c r="G3821" s="15" t="n"/>
      <c r="H3821" s="16">
        <f>IF($A3821="","",$D3821+IF($E3821="",0,$E3821)+IF($F3821="",0,$F3821)-IF($G3821="",0,$G3821))</f>
        <v/>
      </c>
      <c r="I3821" s="12" t="n"/>
      <c r="J3821" s="12" t="n"/>
      <c r="K3821" s="12" t="n"/>
      <c r="L3821" s="14" t="n"/>
      <c r="M3821" s="12" t="n"/>
      <c r="N3821" s="12" t="n"/>
      <c r="O3821" s="12" t="n"/>
    </row>
    <row r="3822">
      <c r="A3822" s="12" t="n"/>
      <c r="B3822" s="13">
        <f>IF($A3822="","",IFERROR(INDEX(Emp_Names,MATCH($A3822,Emp_Codes,0)),"NOT FOUND"))</f>
        <v/>
      </c>
      <c r="C3822" s="14" t="n"/>
      <c r="D3822" s="15" t="n"/>
      <c r="E3822" s="15" t="n"/>
      <c r="F3822" s="15" t="n"/>
      <c r="G3822" s="15" t="n"/>
      <c r="H3822" s="16">
        <f>IF($A3822="","",$D3822+IF($E3822="",0,$E3822)+IF($F3822="",0,$F3822)-IF($G3822="",0,$G3822))</f>
        <v/>
      </c>
      <c r="I3822" s="12" t="n"/>
      <c r="J3822" s="12" t="n"/>
      <c r="K3822" s="12" t="n"/>
      <c r="L3822" s="14" t="n"/>
      <c r="M3822" s="12" t="n"/>
      <c r="N3822" s="12" t="n"/>
      <c r="O3822" s="12" t="n"/>
    </row>
    <row r="3823">
      <c r="A3823" s="12" t="n"/>
      <c r="B3823" s="13">
        <f>IF($A3823="","",IFERROR(INDEX(Emp_Names,MATCH($A3823,Emp_Codes,0)),"NOT FOUND"))</f>
        <v/>
      </c>
      <c r="C3823" s="14" t="n"/>
      <c r="D3823" s="15" t="n"/>
      <c r="E3823" s="15" t="n"/>
      <c r="F3823" s="15" t="n"/>
      <c r="G3823" s="15" t="n"/>
      <c r="H3823" s="16">
        <f>IF($A3823="","",$D3823+IF($E3823="",0,$E3823)+IF($F3823="",0,$F3823)-IF($G3823="",0,$G3823))</f>
        <v/>
      </c>
      <c r="I3823" s="12" t="n"/>
      <c r="J3823" s="12" t="n"/>
      <c r="K3823" s="12" t="n"/>
      <c r="L3823" s="14" t="n"/>
      <c r="M3823" s="12" t="n"/>
      <c r="N3823" s="12" t="n"/>
      <c r="O3823" s="12" t="n"/>
    </row>
    <row r="3824">
      <c r="A3824" s="12" t="n"/>
      <c r="B3824" s="13">
        <f>IF($A3824="","",IFERROR(INDEX(Emp_Names,MATCH($A3824,Emp_Codes,0)),"NOT FOUND"))</f>
        <v/>
      </c>
      <c r="C3824" s="14" t="n"/>
      <c r="D3824" s="15" t="n"/>
      <c r="E3824" s="15" t="n"/>
      <c r="F3824" s="15" t="n"/>
      <c r="G3824" s="15" t="n"/>
      <c r="H3824" s="16">
        <f>IF($A3824="","",$D3824+IF($E3824="",0,$E3824)+IF($F3824="",0,$F3824)-IF($G3824="",0,$G3824))</f>
        <v/>
      </c>
      <c r="I3824" s="12" t="n"/>
      <c r="J3824" s="12" t="n"/>
      <c r="K3824" s="12" t="n"/>
      <c r="L3824" s="14" t="n"/>
      <c r="M3824" s="12" t="n"/>
      <c r="N3824" s="12" t="n"/>
      <c r="O3824" s="12" t="n"/>
    </row>
    <row r="3825">
      <c r="A3825" s="12" t="n"/>
      <c r="B3825" s="13">
        <f>IF($A3825="","",IFERROR(INDEX(Emp_Names,MATCH($A3825,Emp_Codes,0)),"NOT FOUND"))</f>
        <v/>
      </c>
      <c r="C3825" s="14" t="n"/>
      <c r="D3825" s="15" t="n"/>
      <c r="E3825" s="15" t="n"/>
      <c r="F3825" s="15" t="n"/>
      <c r="G3825" s="15" t="n"/>
      <c r="H3825" s="16">
        <f>IF($A3825="","",$D3825+IF($E3825="",0,$E3825)+IF($F3825="",0,$F3825)-IF($G3825="",0,$G3825))</f>
        <v/>
      </c>
      <c r="I3825" s="12" t="n"/>
      <c r="J3825" s="12" t="n"/>
      <c r="K3825" s="12" t="n"/>
      <c r="L3825" s="14" t="n"/>
      <c r="M3825" s="12" t="n"/>
      <c r="N3825" s="12" t="n"/>
      <c r="O3825" s="12" t="n"/>
    </row>
    <row r="3826">
      <c r="A3826" s="12" t="n"/>
      <c r="B3826" s="13">
        <f>IF($A3826="","",IFERROR(INDEX(Emp_Names,MATCH($A3826,Emp_Codes,0)),"NOT FOUND"))</f>
        <v/>
      </c>
      <c r="C3826" s="14" t="n"/>
      <c r="D3826" s="15" t="n"/>
      <c r="E3826" s="15" t="n"/>
      <c r="F3826" s="15" t="n"/>
      <c r="G3826" s="15" t="n"/>
      <c r="H3826" s="16">
        <f>IF($A3826="","",$D3826+IF($E3826="",0,$E3826)+IF($F3826="",0,$F3826)-IF($G3826="",0,$G3826))</f>
        <v/>
      </c>
      <c r="I3826" s="12" t="n"/>
      <c r="J3826" s="12" t="n"/>
      <c r="K3826" s="12" t="n"/>
      <c r="L3826" s="14" t="n"/>
      <c r="M3826" s="12" t="n"/>
      <c r="N3826" s="12" t="n"/>
      <c r="O3826" s="12" t="n"/>
    </row>
    <row r="3827">
      <c r="A3827" s="12" t="n"/>
      <c r="B3827" s="13">
        <f>IF($A3827="","",IFERROR(INDEX(Emp_Names,MATCH($A3827,Emp_Codes,0)),"NOT FOUND"))</f>
        <v/>
      </c>
      <c r="C3827" s="14" t="n"/>
      <c r="D3827" s="15" t="n"/>
      <c r="E3827" s="15" t="n"/>
      <c r="F3827" s="15" t="n"/>
      <c r="G3827" s="15" t="n"/>
      <c r="H3827" s="16">
        <f>IF($A3827="","",$D3827+IF($E3827="",0,$E3827)+IF($F3827="",0,$F3827)-IF($G3827="",0,$G3827))</f>
        <v/>
      </c>
      <c r="I3827" s="12" t="n"/>
      <c r="J3827" s="12" t="n"/>
      <c r="K3827" s="12" t="n"/>
      <c r="L3827" s="14" t="n"/>
      <c r="M3827" s="12" t="n"/>
      <c r="N3827" s="12" t="n"/>
      <c r="O3827" s="12" t="n"/>
    </row>
    <row r="3828">
      <c r="A3828" s="12" t="n"/>
      <c r="B3828" s="13">
        <f>IF($A3828="","",IFERROR(INDEX(Emp_Names,MATCH($A3828,Emp_Codes,0)),"NOT FOUND"))</f>
        <v/>
      </c>
      <c r="C3828" s="14" t="n"/>
      <c r="D3828" s="15" t="n"/>
      <c r="E3828" s="15" t="n"/>
      <c r="F3828" s="15" t="n"/>
      <c r="G3828" s="15" t="n"/>
      <c r="H3828" s="16">
        <f>IF($A3828="","",$D3828+IF($E3828="",0,$E3828)+IF($F3828="",0,$F3828)-IF($G3828="",0,$G3828))</f>
        <v/>
      </c>
      <c r="I3828" s="12" t="n"/>
      <c r="J3828" s="12" t="n"/>
      <c r="K3828" s="12" t="n"/>
      <c r="L3828" s="14" t="n"/>
      <c r="M3828" s="12" t="n"/>
      <c r="N3828" s="12" t="n"/>
      <c r="O3828" s="12" t="n"/>
    </row>
    <row r="3829">
      <c r="A3829" s="12" t="n"/>
      <c r="B3829" s="13">
        <f>IF($A3829="","",IFERROR(INDEX(Emp_Names,MATCH($A3829,Emp_Codes,0)),"NOT FOUND"))</f>
        <v/>
      </c>
      <c r="C3829" s="14" t="n"/>
      <c r="D3829" s="15" t="n"/>
      <c r="E3829" s="15" t="n"/>
      <c r="F3829" s="15" t="n"/>
      <c r="G3829" s="15" t="n"/>
      <c r="H3829" s="16">
        <f>IF($A3829="","",$D3829+IF($E3829="",0,$E3829)+IF($F3829="",0,$F3829)-IF($G3829="",0,$G3829))</f>
        <v/>
      </c>
      <c r="I3829" s="12" t="n"/>
      <c r="J3829" s="12" t="n"/>
      <c r="K3829" s="12" t="n"/>
      <c r="L3829" s="14" t="n"/>
      <c r="M3829" s="12" t="n"/>
      <c r="N3829" s="12" t="n"/>
      <c r="O3829" s="12" t="n"/>
    </row>
    <row r="3830">
      <c r="A3830" s="12" t="n"/>
      <c r="B3830" s="13">
        <f>IF($A3830="","",IFERROR(INDEX(Emp_Names,MATCH($A3830,Emp_Codes,0)),"NOT FOUND"))</f>
        <v/>
      </c>
      <c r="C3830" s="14" t="n"/>
      <c r="D3830" s="15" t="n"/>
      <c r="E3830" s="15" t="n"/>
      <c r="F3830" s="15" t="n"/>
      <c r="G3830" s="15" t="n"/>
      <c r="H3830" s="16">
        <f>IF($A3830="","",$D3830+IF($E3830="",0,$E3830)+IF($F3830="",0,$F3830)-IF($G3830="",0,$G3830))</f>
        <v/>
      </c>
      <c r="I3830" s="12" t="n"/>
      <c r="J3830" s="12" t="n"/>
      <c r="K3830" s="12" t="n"/>
      <c r="L3830" s="14" t="n"/>
      <c r="M3830" s="12" t="n"/>
      <c r="N3830" s="12" t="n"/>
      <c r="O3830" s="12" t="n"/>
    </row>
    <row r="3831">
      <c r="A3831" s="12" t="n"/>
      <c r="B3831" s="13">
        <f>IF($A3831="","",IFERROR(INDEX(Emp_Names,MATCH($A3831,Emp_Codes,0)),"NOT FOUND"))</f>
        <v/>
      </c>
      <c r="C3831" s="14" t="n"/>
      <c r="D3831" s="15" t="n"/>
      <c r="E3831" s="15" t="n"/>
      <c r="F3831" s="15" t="n"/>
      <c r="G3831" s="15" t="n"/>
      <c r="H3831" s="16">
        <f>IF($A3831="","",$D3831+IF($E3831="",0,$E3831)+IF($F3831="",0,$F3831)-IF($G3831="",0,$G3831))</f>
        <v/>
      </c>
      <c r="I3831" s="12" t="n"/>
      <c r="J3831" s="12" t="n"/>
      <c r="K3831" s="12" t="n"/>
      <c r="L3831" s="14" t="n"/>
      <c r="M3831" s="12" t="n"/>
      <c r="N3831" s="12" t="n"/>
      <c r="O3831" s="12" t="n"/>
    </row>
    <row r="3832">
      <c r="A3832" s="12" t="n"/>
      <c r="B3832" s="13">
        <f>IF($A3832="","",IFERROR(INDEX(Emp_Names,MATCH($A3832,Emp_Codes,0)),"NOT FOUND"))</f>
        <v/>
      </c>
      <c r="C3832" s="14" t="n"/>
      <c r="D3832" s="15" t="n"/>
      <c r="E3832" s="15" t="n"/>
      <c r="F3832" s="15" t="n"/>
      <c r="G3832" s="15" t="n"/>
      <c r="H3832" s="16">
        <f>IF($A3832="","",$D3832+IF($E3832="",0,$E3832)+IF($F3832="",0,$F3832)-IF($G3832="",0,$G3832))</f>
        <v/>
      </c>
      <c r="I3832" s="12" t="n"/>
      <c r="J3832" s="12" t="n"/>
      <c r="K3832" s="12" t="n"/>
      <c r="L3832" s="14" t="n"/>
      <c r="M3832" s="12" t="n"/>
      <c r="N3832" s="12" t="n"/>
      <c r="O3832" s="12" t="n"/>
    </row>
    <row r="3833">
      <c r="A3833" s="12" t="n"/>
      <c r="B3833" s="13">
        <f>IF($A3833="","",IFERROR(INDEX(Emp_Names,MATCH($A3833,Emp_Codes,0)),"NOT FOUND"))</f>
        <v/>
      </c>
      <c r="C3833" s="14" t="n"/>
      <c r="D3833" s="15" t="n"/>
      <c r="E3833" s="15" t="n"/>
      <c r="F3833" s="15" t="n"/>
      <c r="G3833" s="15" t="n"/>
      <c r="H3833" s="16">
        <f>IF($A3833="","",$D3833+IF($E3833="",0,$E3833)+IF($F3833="",0,$F3833)-IF($G3833="",0,$G3833))</f>
        <v/>
      </c>
      <c r="I3833" s="12" t="n"/>
      <c r="J3833" s="12" t="n"/>
      <c r="K3833" s="12" t="n"/>
      <c r="L3833" s="14" t="n"/>
      <c r="M3833" s="12" t="n"/>
      <c r="N3833" s="12" t="n"/>
      <c r="O3833" s="12" t="n"/>
    </row>
    <row r="3834">
      <c r="A3834" s="12" t="n"/>
      <c r="B3834" s="13">
        <f>IF($A3834="","",IFERROR(INDEX(Emp_Names,MATCH($A3834,Emp_Codes,0)),"NOT FOUND"))</f>
        <v/>
      </c>
      <c r="C3834" s="14" t="n"/>
      <c r="D3834" s="15" t="n"/>
      <c r="E3834" s="15" t="n"/>
      <c r="F3834" s="15" t="n"/>
      <c r="G3834" s="15" t="n"/>
      <c r="H3834" s="16">
        <f>IF($A3834="","",$D3834+IF($E3834="",0,$E3834)+IF($F3834="",0,$F3834)-IF($G3834="",0,$G3834))</f>
        <v/>
      </c>
      <c r="I3834" s="12" t="n"/>
      <c r="J3834" s="12" t="n"/>
      <c r="K3834" s="12" t="n"/>
      <c r="L3834" s="14" t="n"/>
      <c r="M3834" s="12" t="n"/>
      <c r="N3834" s="12" t="n"/>
      <c r="O3834" s="12" t="n"/>
    </row>
    <row r="3835">
      <c r="A3835" s="12" t="n"/>
      <c r="B3835" s="13">
        <f>IF($A3835="","",IFERROR(INDEX(Emp_Names,MATCH($A3835,Emp_Codes,0)),"NOT FOUND"))</f>
        <v/>
      </c>
      <c r="C3835" s="14" t="n"/>
      <c r="D3835" s="15" t="n"/>
      <c r="E3835" s="15" t="n"/>
      <c r="F3835" s="15" t="n"/>
      <c r="G3835" s="15" t="n"/>
      <c r="H3835" s="16">
        <f>IF($A3835="","",$D3835+IF($E3835="",0,$E3835)+IF($F3835="",0,$F3835)-IF($G3835="",0,$G3835))</f>
        <v/>
      </c>
      <c r="I3835" s="12" t="n"/>
      <c r="J3835" s="12" t="n"/>
      <c r="K3835" s="12" t="n"/>
      <c r="L3835" s="14" t="n"/>
      <c r="M3835" s="12" t="n"/>
      <c r="N3835" s="12" t="n"/>
      <c r="O3835" s="12" t="n"/>
    </row>
    <row r="3836">
      <c r="A3836" s="12" t="n"/>
      <c r="B3836" s="13">
        <f>IF($A3836="","",IFERROR(INDEX(Emp_Names,MATCH($A3836,Emp_Codes,0)),"NOT FOUND"))</f>
        <v/>
      </c>
      <c r="C3836" s="14" t="n"/>
      <c r="D3836" s="15" t="n"/>
      <c r="E3836" s="15" t="n"/>
      <c r="F3836" s="15" t="n"/>
      <c r="G3836" s="15" t="n"/>
      <c r="H3836" s="16">
        <f>IF($A3836="","",$D3836+IF($E3836="",0,$E3836)+IF($F3836="",0,$F3836)-IF($G3836="",0,$G3836))</f>
        <v/>
      </c>
      <c r="I3836" s="12" t="n"/>
      <c r="J3836" s="12" t="n"/>
      <c r="K3836" s="12" t="n"/>
      <c r="L3836" s="14" t="n"/>
      <c r="M3836" s="12" t="n"/>
      <c r="N3836" s="12" t="n"/>
      <c r="O3836" s="12" t="n"/>
    </row>
    <row r="3837">
      <c r="A3837" s="12" t="n"/>
      <c r="B3837" s="13">
        <f>IF($A3837="","",IFERROR(INDEX(Emp_Names,MATCH($A3837,Emp_Codes,0)),"NOT FOUND"))</f>
        <v/>
      </c>
      <c r="C3837" s="14" t="n"/>
      <c r="D3837" s="15" t="n"/>
      <c r="E3837" s="15" t="n"/>
      <c r="F3837" s="15" t="n"/>
      <c r="G3837" s="15" t="n"/>
      <c r="H3837" s="16">
        <f>IF($A3837="","",$D3837+IF($E3837="",0,$E3837)+IF($F3837="",0,$F3837)-IF($G3837="",0,$G3837))</f>
        <v/>
      </c>
      <c r="I3837" s="12" t="n"/>
      <c r="J3837" s="12" t="n"/>
      <c r="K3837" s="12" t="n"/>
      <c r="L3837" s="14" t="n"/>
      <c r="M3837" s="12" t="n"/>
      <c r="N3837" s="12" t="n"/>
      <c r="O3837" s="12" t="n"/>
    </row>
    <row r="3838">
      <c r="A3838" s="12" t="n"/>
      <c r="B3838" s="13">
        <f>IF($A3838="","",IFERROR(INDEX(Emp_Names,MATCH($A3838,Emp_Codes,0)),"NOT FOUND"))</f>
        <v/>
      </c>
      <c r="C3838" s="14" t="n"/>
      <c r="D3838" s="15" t="n"/>
      <c r="E3838" s="15" t="n"/>
      <c r="F3838" s="15" t="n"/>
      <c r="G3838" s="15" t="n"/>
      <c r="H3838" s="16">
        <f>IF($A3838="","",$D3838+IF($E3838="",0,$E3838)+IF($F3838="",0,$F3838)-IF($G3838="",0,$G3838))</f>
        <v/>
      </c>
      <c r="I3838" s="12" t="n"/>
      <c r="J3838" s="12" t="n"/>
      <c r="K3838" s="12" t="n"/>
      <c r="L3838" s="14" t="n"/>
      <c r="M3838" s="12" t="n"/>
      <c r="N3838" s="12" t="n"/>
      <c r="O3838" s="12" t="n"/>
    </row>
    <row r="3839">
      <c r="A3839" s="12" t="n"/>
      <c r="B3839" s="13">
        <f>IF($A3839="","",IFERROR(INDEX(Emp_Names,MATCH($A3839,Emp_Codes,0)),"NOT FOUND"))</f>
        <v/>
      </c>
      <c r="C3839" s="14" t="n"/>
      <c r="D3839" s="15" t="n"/>
      <c r="E3839" s="15" t="n"/>
      <c r="F3839" s="15" t="n"/>
      <c r="G3839" s="15" t="n"/>
      <c r="H3839" s="16">
        <f>IF($A3839="","",$D3839+IF($E3839="",0,$E3839)+IF($F3839="",0,$F3839)-IF($G3839="",0,$G3839))</f>
        <v/>
      </c>
      <c r="I3839" s="12" t="n"/>
      <c r="J3839" s="12" t="n"/>
      <c r="K3839" s="12" t="n"/>
      <c r="L3839" s="14" t="n"/>
      <c r="M3839" s="12" t="n"/>
      <c r="N3839" s="12" t="n"/>
      <c r="O3839" s="12" t="n"/>
    </row>
    <row r="3840">
      <c r="A3840" s="12" t="n"/>
      <c r="B3840" s="13">
        <f>IF($A3840="","",IFERROR(INDEX(Emp_Names,MATCH($A3840,Emp_Codes,0)),"NOT FOUND"))</f>
        <v/>
      </c>
      <c r="C3840" s="14" t="n"/>
      <c r="D3840" s="15" t="n"/>
      <c r="E3840" s="15" t="n"/>
      <c r="F3840" s="15" t="n"/>
      <c r="G3840" s="15" t="n"/>
      <c r="H3840" s="16">
        <f>IF($A3840="","",$D3840+IF($E3840="",0,$E3840)+IF($F3840="",0,$F3840)-IF($G3840="",0,$G3840))</f>
        <v/>
      </c>
      <c r="I3840" s="12" t="n"/>
      <c r="J3840" s="12" t="n"/>
      <c r="K3840" s="12" t="n"/>
      <c r="L3840" s="14" t="n"/>
      <c r="M3840" s="12" t="n"/>
      <c r="N3840" s="12" t="n"/>
      <c r="O3840" s="12" t="n"/>
    </row>
    <row r="3841">
      <c r="A3841" s="12" t="n"/>
      <c r="B3841" s="13">
        <f>IF($A3841="","",IFERROR(INDEX(Emp_Names,MATCH($A3841,Emp_Codes,0)),"NOT FOUND"))</f>
        <v/>
      </c>
      <c r="C3841" s="14" t="n"/>
      <c r="D3841" s="15" t="n"/>
      <c r="E3841" s="15" t="n"/>
      <c r="F3841" s="15" t="n"/>
      <c r="G3841" s="15" t="n"/>
      <c r="H3841" s="16">
        <f>IF($A3841="","",$D3841+IF($E3841="",0,$E3841)+IF($F3841="",0,$F3841)-IF($G3841="",0,$G3841))</f>
        <v/>
      </c>
      <c r="I3841" s="12" t="n"/>
      <c r="J3841" s="12" t="n"/>
      <c r="K3841" s="12" t="n"/>
      <c r="L3841" s="14" t="n"/>
      <c r="M3841" s="12" t="n"/>
      <c r="N3841" s="12" t="n"/>
      <c r="O3841" s="12" t="n"/>
    </row>
    <row r="3842">
      <c r="A3842" s="12" t="n"/>
      <c r="B3842" s="13">
        <f>IF($A3842="","",IFERROR(INDEX(Emp_Names,MATCH($A3842,Emp_Codes,0)),"NOT FOUND"))</f>
        <v/>
      </c>
      <c r="C3842" s="14" t="n"/>
      <c r="D3842" s="15" t="n"/>
      <c r="E3842" s="15" t="n"/>
      <c r="F3842" s="15" t="n"/>
      <c r="G3842" s="15" t="n"/>
      <c r="H3842" s="16">
        <f>IF($A3842="","",$D3842+IF($E3842="",0,$E3842)+IF($F3842="",0,$F3842)-IF($G3842="",0,$G3842))</f>
        <v/>
      </c>
      <c r="I3842" s="12" t="n"/>
      <c r="J3842" s="12" t="n"/>
      <c r="K3842" s="12" t="n"/>
      <c r="L3842" s="14" t="n"/>
      <c r="M3842" s="12" t="n"/>
      <c r="N3842" s="12" t="n"/>
      <c r="O3842" s="12" t="n"/>
    </row>
    <row r="3843">
      <c r="A3843" s="12" t="n"/>
      <c r="B3843" s="13">
        <f>IF($A3843="","",IFERROR(INDEX(Emp_Names,MATCH($A3843,Emp_Codes,0)),"NOT FOUND"))</f>
        <v/>
      </c>
      <c r="C3843" s="14" t="n"/>
      <c r="D3843" s="15" t="n"/>
      <c r="E3843" s="15" t="n"/>
      <c r="F3843" s="15" t="n"/>
      <c r="G3843" s="15" t="n"/>
      <c r="H3843" s="16">
        <f>IF($A3843="","",$D3843+IF($E3843="",0,$E3843)+IF($F3843="",0,$F3843)-IF($G3843="",0,$G3843))</f>
        <v/>
      </c>
      <c r="I3843" s="12" t="n"/>
      <c r="J3843" s="12" t="n"/>
      <c r="K3843" s="12" t="n"/>
      <c r="L3843" s="14" t="n"/>
      <c r="M3843" s="12" t="n"/>
      <c r="N3843" s="12" t="n"/>
      <c r="O3843" s="12" t="n"/>
    </row>
    <row r="3844">
      <c r="A3844" s="12" t="n"/>
      <c r="B3844" s="13">
        <f>IF($A3844="","",IFERROR(INDEX(Emp_Names,MATCH($A3844,Emp_Codes,0)),"NOT FOUND"))</f>
        <v/>
      </c>
      <c r="C3844" s="14" t="n"/>
      <c r="D3844" s="15" t="n"/>
      <c r="E3844" s="15" t="n"/>
      <c r="F3844" s="15" t="n"/>
      <c r="G3844" s="15" t="n"/>
      <c r="H3844" s="16">
        <f>IF($A3844="","",$D3844+IF($E3844="",0,$E3844)+IF($F3844="",0,$F3844)-IF($G3844="",0,$G3844))</f>
        <v/>
      </c>
      <c r="I3844" s="12" t="n"/>
      <c r="J3844" s="12" t="n"/>
      <c r="K3844" s="12" t="n"/>
      <c r="L3844" s="14" t="n"/>
      <c r="M3844" s="12" t="n"/>
      <c r="N3844" s="12" t="n"/>
      <c r="O3844" s="12" t="n"/>
    </row>
    <row r="3845">
      <c r="A3845" s="12" t="n"/>
      <c r="B3845" s="13">
        <f>IF($A3845="","",IFERROR(INDEX(Emp_Names,MATCH($A3845,Emp_Codes,0)),"NOT FOUND"))</f>
        <v/>
      </c>
      <c r="C3845" s="14" t="n"/>
      <c r="D3845" s="15" t="n"/>
      <c r="E3845" s="15" t="n"/>
      <c r="F3845" s="15" t="n"/>
      <c r="G3845" s="15" t="n"/>
      <c r="H3845" s="16">
        <f>IF($A3845="","",$D3845+IF($E3845="",0,$E3845)+IF($F3845="",0,$F3845)-IF($G3845="",0,$G3845))</f>
        <v/>
      </c>
      <c r="I3845" s="12" t="n"/>
      <c r="J3845" s="12" t="n"/>
      <c r="K3845" s="12" t="n"/>
      <c r="L3845" s="14" t="n"/>
      <c r="M3845" s="12" t="n"/>
      <c r="N3845" s="12" t="n"/>
      <c r="O3845" s="12" t="n"/>
    </row>
    <row r="3846">
      <c r="A3846" s="12" t="n"/>
      <c r="B3846" s="13">
        <f>IF($A3846="","",IFERROR(INDEX(Emp_Names,MATCH($A3846,Emp_Codes,0)),"NOT FOUND"))</f>
        <v/>
      </c>
      <c r="C3846" s="14" t="n"/>
      <c r="D3846" s="15" t="n"/>
      <c r="E3846" s="15" t="n"/>
      <c r="F3846" s="15" t="n"/>
      <c r="G3846" s="15" t="n"/>
      <c r="H3846" s="16">
        <f>IF($A3846="","",$D3846+IF($E3846="",0,$E3846)+IF($F3846="",0,$F3846)-IF($G3846="",0,$G3846))</f>
        <v/>
      </c>
      <c r="I3846" s="12" t="n"/>
      <c r="J3846" s="12" t="n"/>
      <c r="K3846" s="12" t="n"/>
      <c r="L3846" s="14" t="n"/>
      <c r="M3846" s="12" t="n"/>
      <c r="N3846" s="12" t="n"/>
      <c r="O3846" s="12" t="n"/>
    </row>
    <row r="3847">
      <c r="A3847" s="12" t="n"/>
      <c r="B3847" s="13">
        <f>IF($A3847="","",IFERROR(INDEX(Emp_Names,MATCH($A3847,Emp_Codes,0)),"NOT FOUND"))</f>
        <v/>
      </c>
      <c r="C3847" s="14" t="n"/>
      <c r="D3847" s="15" t="n"/>
      <c r="E3847" s="15" t="n"/>
      <c r="F3847" s="15" t="n"/>
      <c r="G3847" s="15" t="n"/>
      <c r="H3847" s="16">
        <f>IF($A3847="","",$D3847+IF($E3847="",0,$E3847)+IF($F3847="",0,$F3847)-IF($G3847="",0,$G3847))</f>
        <v/>
      </c>
      <c r="I3847" s="12" t="n"/>
      <c r="J3847" s="12" t="n"/>
      <c r="K3847" s="12" t="n"/>
      <c r="L3847" s="14" t="n"/>
      <c r="M3847" s="12" t="n"/>
      <c r="N3847" s="12" t="n"/>
      <c r="O3847" s="12" t="n"/>
    </row>
    <row r="3848">
      <c r="A3848" s="12" t="n"/>
      <c r="B3848" s="13">
        <f>IF($A3848="","",IFERROR(INDEX(Emp_Names,MATCH($A3848,Emp_Codes,0)),"NOT FOUND"))</f>
        <v/>
      </c>
      <c r="C3848" s="14" t="n"/>
      <c r="D3848" s="15" t="n"/>
      <c r="E3848" s="15" t="n"/>
      <c r="F3848" s="15" t="n"/>
      <c r="G3848" s="15" t="n"/>
      <c r="H3848" s="16">
        <f>IF($A3848="","",$D3848+IF($E3848="",0,$E3848)+IF($F3848="",0,$F3848)-IF($G3848="",0,$G3848))</f>
        <v/>
      </c>
      <c r="I3848" s="12" t="n"/>
      <c r="J3848" s="12" t="n"/>
      <c r="K3848" s="12" t="n"/>
      <c r="L3848" s="14" t="n"/>
      <c r="M3848" s="12" t="n"/>
      <c r="N3848" s="12" t="n"/>
      <c r="O3848" s="12" t="n"/>
    </row>
    <row r="3849">
      <c r="A3849" s="12" t="n"/>
      <c r="B3849" s="13">
        <f>IF($A3849="","",IFERROR(INDEX(Emp_Names,MATCH($A3849,Emp_Codes,0)),"NOT FOUND"))</f>
        <v/>
      </c>
      <c r="C3849" s="14" t="n"/>
      <c r="D3849" s="15" t="n"/>
      <c r="E3849" s="15" t="n"/>
      <c r="F3849" s="15" t="n"/>
      <c r="G3849" s="15" t="n"/>
      <c r="H3849" s="16">
        <f>IF($A3849="","",$D3849+IF($E3849="",0,$E3849)+IF($F3849="",0,$F3849)-IF($G3849="",0,$G3849))</f>
        <v/>
      </c>
      <c r="I3849" s="12" t="n"/>
      <c r="J3849" s="12" t="n"/>
      <c r="K3849" s="12" t="n"/>
      <c r="L3849" s="14" t="n"/>
      <c r="M3849" s="12" t="n"/>
      <c r="N3849" s="12" t="n"/>
      <c r="O3849" s="12" t="n"/>
    </row>
    <row r="3850">
      <c r="A3850" s="12" t="n"/>
      <c r="B3850" s="13">
        <f>IF($A3850="","",IFERROR(INDEX(Emp_Names,MATCH($A3850,Emp_Codes,0)),"NOT FOUND"))</f>
        <v/>
      </c>
      <c r="C3850" s="14" t="n"/>
      <c r="D3850" s="15" t="n"/>
      <c r="E3850" s="15" t="n"/>
      <c r="F3850" s="15" t="n"/>
      <c r="G3850" s="15" t="n"/>
      <c r="H3850" s="16">
        <f>IF($A3850="","",$D3850+IF($E3850="",0,$E3850)+IF($F3850="",0,$F3850)-IF($G3850="",0,$G3850))</f>
        <v/>
      </c>
      <c r="I3850" s="12" t="n"/>
      <c r="J3850" s="12" t="n"/>
      <c r="K3850" s="12" t="n"/>
      <c r="L3850" s="14" t="n"/>
      <c r="M3850" s="12" t="n"/>
      <c r="N3850" s="12" t="n"/>
      <c r="O3850" s="12" t="n"/>
    </row>
    <row r="3851">
      <c r="A3851" s="12" t="n"/>
      <c r="B3851" s="13">
        <f>IF($A3851="","",IFERROR(INDEX(Emp_Names,MATCH($A3851,Emp_Codes,0)),"NOT FOUND"))</f>
        <v/>
      </c>
      <c r="C3851" s="14" t="n"/>
      <c r="D3851" s="15" t="n"/>
      <c r="E3851" s="15" t="n"/>
      <c r="F3851" s="15" t="n"/>
      <c r="G3851" s="15" t="n"/>
      <c r="H3851" s="16">
        <f>IF($A3851="","",$D3851+IF($E3851="",0,$E3851)+IF($F3851="",0,$F3851)-IF($G3851="",0,$G3851))</f>
        <v/>
      </c>
      <c r="I3851" s="12" t="n"/>
      <c r="J3851" s="12" t="n"/>
      <c r="K3851" s="12" t="n"/>
      <c r="L3851" s="14" t="n"/>
      <c r="M3851" s="12" t="n"/>
      <c r="N3851" s="12" t="n"/>
      <c r="O3851" s="12" t="n"/>
    </row>
    <row r="3852">
      <c r="A3852" s="12" t="n"/>
      <c r="B3852" s="13">
        <f>IF($A3852="","",IFERROR(INDEX(Emp_Names,MATCH($A3852,Emp_Codes,0)),"NOT FOUND"))</f>
        <v/>
      </c>
      <c r="C3852" s="14" t="n"/>
      <c r="D3852" s="15" t="n"/>
      <c r="E3852" s="15" t="n"/>
      <c r="F3852" s="15" t="n"/>
      <c r="G3852" s="15" t="n"/>
      <c r="H3852" s="16">
        <f>IF($A3852="","",$D3852+IF($E3852="",0,$E3852)+IF($F3852="",0,$F3852)-IF($G3852="",0,$G3852))</f>
        <v/>
      </c>
      <c r="I3852" s="12" t="n"/>
      <c r="J3852" s="12" t="n"/>
      <c r="K3852" s="12" t="n"/>
      <c r="L3852" s="14" t="n"/>
      <c r="M3852" s="12" t="n"/>
      <c r="N3852" s="12" t="n"/>
      <c r="O3852" s="12" t="n"/>
    </row>
    <row r="3853">
      <c r="A3853" s="12" t="n"/>
      <c r="B3853" s="13">
        <f>IF($A3853="","",IFERROR(INDEX(Emp_Names,MATCH($A3853,Emp_Codes,0)),"NOT FOUND"))</f>
        <v/>
      </c>
      <c r="C3853" s="14" t="n"/>
      <c r="D3853" s="15" t="n"/>
      <c r="E3853" s="15" t="n"/>
      <c r="F3853" s="15" t="n"/>
      <c r="G3853" s="15" t="n"/>
      <c r="H3853" s="16">
        <f>IF($A3853="","",$D3853+IF($E3853="",0,$E3853)+IF($F3853="",0,$F3853)-IF($G3853="",0,$G3853))</f>
        <v/>
      </c>
      <c r="I3853" s="12" t="n"/>
      <c r="J3853" s="12" t="n"/>
      <c r="K3853" s="12" t="n"/>
      <c r="L3853" s="14" t="n"/>
      <c r="M3853" s="12" t="n"/>
      <c r="N3853" s="12" t="n"/>
      <c r="O3853" s="12" t="n"/>
    </row>
    <row r="3854">
      <c r="A3854" s="12" t="n"/>
      <c r="B3854" s="13">
        <f>IF($A3854="","",IFERROR(INDEX(Emp_Names,MATCH($A3854,Emp_Codes,0)),"NOT FOUND"))</f>
        <v/>
      </c>
      <c r="C3854" s="14" t="n"/>
      <c r="D3854" s="15" t="n"/>
      <c r="E3854" s="15" t="n"/>
      <c r="F3854" s="15" t="n"/>
      <c r="G3854" s="15" t="n"/>
      <c r="H3854" s="16">
        <f>IF($A3854="","",$D3854+IF($E3854="",0,$E3854)+IF($F3854="",0,$F3854)-IF($G3854="",0,$G3854))</f>
        <v/>
      </c>
      <c r="I3854" s="12" t="n"/>
      <c r="J3854" s="12" t="n"/>
      <c r="K3854" s="12" t="n"/>
      <c r="L3854" s="14" t="n"/>
      <c r="M3854" s="12" t="n"/>
      <c r="N3854" s="12" t="n"/>
      <c r="O3854" s="12" t="n"/>
    </row>
    <row r="3855">
      <c r="A3855" s="12" t="n"/>
      <c r="B3855" s="13">
        <f>IF($A3855="","",IFERROR(INDEX(Emp_Names,MATCH($A3855,Emp_Codes,0)),"NOT FOUND"))</f>
        <v/>
      </c>
      <c r="C3855" s="14" t="n"/>
      <c r="D3855" s="15" t="n"/>
      <c r="E3855" s="15" t="n"/>
      <c r="F3855" s="15" t="n"/>
      <c r="G3855" s="15" t="n"/>
      <c r="H3855" s="16">
        <f>IF($A3855="","",$D3855+IF($E3855="",0,$E3855)+IF($F3855="",0,$F3855)-IF($G3855="",0,$G3855))</f>
        <v/>
      </c>
      <c r="I3855" s="12" t="n"/>
      <c r="J3855" s="12" t="n"/>
      <c r="K3855" s="12" t="n"/>
      <c r="L3855" s="14" t="n"/>
      <c r="M3855" s="12" t="n"/>
      <c r="N3855" s="12" t="n"/>
      <c r="O3855" s="12" t="n"/>
    </row>
    <row r="3856">
      <c r="A3856" s="12" t="n"/>
      <c r="B3856" s="13">
        <f>IF($A3856="","",IFERROR(INDEX(Emp_Names,MATCH($A3856,Emp_Codes,0)),"NOT FOUND"))</f>
        <v/>
      </c>
      <c r="C3856" s="14" t="n"/>
      <c r="D3856" s="15" t="n"/>
      <c r="E3856" s="15" t="n"/>
      <c r="F3856" s="15" t="n"/>
      <c r="G3856" s="15" t="n"/>
      <c r="H3856" s="16">
        <f>IF($A3856="","",$D3856+IF($E3856="",0,$E3856)+IF($F3856="",0,$F3856)-IF($G3856="",0,$G3856))</f>
        <v/>
      </c>
      <c r="I3856" s="12" t="n"/>
      <c r="J3856" s="12" t="n"/>
      <c r="K3856" s="12" t="n"/>
      <c r="L3856" s="14" t="n"/>
      <c r="M3856" s="12" t="n"/>
      <c r="N3856" s="12" t="n"/>
      <c r="O3856" s="12" t="n"/>
    </row>
    <row r="3857">
      <c r="A3857" s="12" t="n"/>
      <c r="B3857" s="13">
        <f>IF($A3857="","",IFERROR(INDEX(Emp_Names,MATCH($A3857,Emp_Codes,0)),"NOT FOUND"))</f>
        <v/>
      </c>
      <c r="C3857" s="14" t="n"/>
      <c r="D3857" s="15" t="n"/>
      <c r="E3857" s="15" t="n"/>
      <c r="F3857" s="15" t="n"/>
      <c r="G3857" s="15" t="n"/>
      <c r="H3857" s="16">
        <f>IF($A3857="","",$D3857+IF($E3857="",0,$E3857)+IF($F3857="",0,$F3857)-IF($G3857="",0,$G3857))</f>
        <v/>
      </c>
      <c r="I3857" s="12" t="n"/>
      <c r="J3857" s="12" t="n"/>
      <c r="K3857" s="12" t="n"/>
      <c r="L3857" s="14" t="n"/>
      <c r="M3857" s="12" t="n"/>
      <c r="N3857" s="12" t="n"/>
      <c r="O3857" s="12" t="n"/>
    </row>
    <row r="3858">
      <c r="A3858" s="12" t="n"/>
      <c r="B3858" s="13">
        <f>IF($A3858="","",IFERROR(INDEX(Emp_Names,MATCH($A3858,Emp_Codes,0)),"NOT FOUND"))</f>
        <v/>
      </c>
      <c r="C3858" s="14" t="n"/>
      <c r="D3858" s="15" t="n"/>
      <c r="E3858" s="15" t="n"/>
      <c r="F3858" s="15" t="n"/>
      <c r="G3858" s="15" t="n"/>
      <c r="H3858" s="16">
        <f>IF($A3858="","",$D3858+IF($E3858="",0,$E3858)+IF($F3858="",0,$F3858)-IF($G3858="",0,$G3858))</f>
        <v/>
      </c>
      <c r="I3858" s="12" t="n"/>
      <c r="J3858" s="12" t="n"/>
      <c r="K3858" s="12" t="n"/>
      <c r="L3858" s="14" t="n"/>
      <c r="M3858" s="12" t="n"/>
      <c r="N3858" s="12" t="n"/>
      <c r="O3858" s="12" t="n"/>
    </row>
    <row r="3859">
      <c r="A3859" s="12" t="n"/>
      <c r="B3859" s="13">
        <f>IF($A3859="","",IFERROR(INDEX(Emp_Names,MATCH($A3859,Emp_Codes,0)),"NOT FOUND"))</f>
        <v/>
      </c>
      <c r="C3859" s="14" t="n"/>
      <c r="D3859" s="15" t="n"/>
      <c r="E3859" s="15" t="n"/>
      <c r="F3859" s="15" t="n"/>
      <c r="G3859" s="15" t="n"/>
      <c r="H3859" s="16">
        <f>IF($A3859="","",$D3859+IF($E3859="",0,$E3859)+IF($F3859="",0,$F3859)-IF($G3859="",0,$G3859))</f>
        <v/>
      </c>
      <c r="I3859" s="12" t="n"/>
      <c r="J3859" s="12" t="n"/>
      <c r="K3859" s="12" t="n"/>
      <c r="L3859" s="14" t="n"/>
      <c r="M3859" s="12" t="n"/>
      <c r="N3859" s="12" t="n"/>
      <c r="O3859" s="12" t="n"/>
    </row>
    <row r="3860">
      <c r="A3860" s="12" t="n"/>
      <c r="B3860" s="13">
        <f>IF($A3860="","",IFERROR(INDEX(Emp_Names,MATCH($A3860,Emp_Codes,0)),"NOT FOUND"))</f>
        <v/>
      </c>
      <c r="C3860" s="14" t="n"/>
      <c r="D3860" s="15" t="n"/>
      <c r="E3860" s="15" t="n"/>
      <c r="F3860" s="15" t="n"/>
      <c r="G3860" s="15" t="n"/>
      <c r="H3860" s="16">
        <f>IF($A3860="","",$D3860+IF($E3860="",0,$E3860)+IF($F3860="",0,$F3860)-IF($G3860="",0,$G3860))</f>
        <v/>
      </c>
      <c r="I3860" s="12" t="n"/>
      <c r="J3860" s="12" t="n"/>
      <c r="K3860" s="12" t="n"/>
      <c r="L3860" s="14" t="n"/>
      <c r="M3860" s="12" t="n"/>
      <c r="N3860" s="12" t="n"/>
      <c r="O3860" s="12" t="n"/>
    </row>
    <row r="3861">
      <c r="A3861" s="12" t="n"/>
      <c r="B3861" s="13">
        <f>IF($A3861="","",IFERROR(INDEX(Emp_Names,MATCH($A3861,Emp_Codes,0)),"NOT FOUND"))</f>
        <v/>
      </c>
      <c r="C3861" s="14" t="n"/>
      <c r="D3861" s="15" t="n"/>
      <c r="E3861" s="15" t="n"/>
      <c r="F3861" s="15" t="n"/>
      <c r="G3861" s="15" t="n"/>
      <c r="H3861" s="16">
        <f>IF($A3861="","",$D3861+IF($E3861="",0,$E3861)+IF($F3861="",0,$F3861)-IF($G3861="",0,$G3861))</f>
        <v/>
      </c>
      <c r="I3861" s="12" t="n"/>
      <c r="J3861" s="12" t="n"/>
      <c r="K3861" s="12" t="n"/>
      <c r="L3861" s="14" t="n"/>
      <c r="M3861" s="12" t="n"/>
      <c r="N3861" s="12" t="n"/>
      <c r="O3861" s="12" t="n"/>
    </row>
    <row r="3862">
      <c r="A3862" s="12" t="n"/>
      <c r="B3862" s="13">
        <f>IF($A3862="","",IFERROR(INDEX(Emp_Names,MATCH($A3862,Emp_Codes,0)),"NOT FOUND"))</f>
        <v/>
      </c>
      <c r="C3862" s="14" t="n"/>
      <c r="D3862" s="15" t="n"/>
      <c r="E3862" s="15" t="n"/>
      <c r="F3862" s="15" t="n"/>
      <c r="G3862" s="15" t="n"/>
      <c r="H3862" s="16">
        <f>IF($A3862="","",$D3862+IF($E3862="",0,$E3862)+IF($F3862="",0,$F3862)-IF($G3862="",0,$G3862))</f>
        <v/>
      </c>
      <c r="I3862" s="12" t="n"/>
      <c r="J3862" s="12" t="n"/>
      <c r="K3862" s="12" t="n"/>
      <c r="L3862" s="14" t="n"/>
      <c r="M3862" s="12" t="n"/>
      <c r="N3862" s="12" t="n"/>
      <c r="O3862" s="12" t="n"/>
    </row>
    <row r="3863">
      <c r="A3863" s="12" t="n"/>
      <c r="B3863" s="13">
        <f>IF($A3863="","",IFERROR(INDEX(Emp_Names,MATCH($A3863,Emp_Codes,0)),"NOT FOUND"))</f>
        <v/>
      </c>
      <c r="C3863" s="14" t="n"/>
      <c r="D3863" s="15" t="n"/>
      <c r="E3863" s="15" t="n"/>
      <c r="F3863" s="15" t="n"/>
      <c r="G3863" s="15" t="n"/>
      <c r="H3863" s="16">
        <f>IF($A3863="","",$D3863+IF($E3863="",0,$E3863)+IF($F3863="",0,$F3863)-IF($G3863="",0,$G3863))</f>
        <v/>
      </c>
      <c r="I3863" s="12" t="n"/>
      <c r="J3863" s="12" t="n"/>
      <c r="K3863" s="12" t="n"/>
      <c r="L3863" s="14" t="n"/>
      <c r="M3863" s="12" t="n"/>
      <c r="N3863" s="12" t="n"/>
      <c r="O3863" s="12" t="n"/>
    </row>
    <row r="3864">
      <c r="A3864" s="12" t="n"/>
      <c r="B3864" s="13">
        <f>IF($A3864="","",IFERROR(INDEX(Emp_Names,MATCH($A3864,Emp_Codes,0)),"NOT FOUND"))</f>
        <v/>
      </c>
      <c r="C3864" s="14" t="n"/>
      <c r="D3864" s="15" t="n"/>
      <c r="E3864" s="15" t="n"/>
      <c r="F3864" s="15" t="n"/>
      <c r="G3864" s="15" t="n"/>
      <c r="H3864" s="16">
        <f>IF($A3864="","",$D3864+IF($E3864="",0,$E3864)+IF($F3864="",0,$F3864)-IF($G3864="",0,$G3864))</f>
        <v/>
      </c>
      <c r="I3864" s="12" t="n"/>
      <c r="J3864" s="12" t="n"/>
      <c r="K3864" s="12" t="n"/>
      <c r="L3864" s="14" t="n"/>
      <c r="M3864" s="12" t="n"/>
      <c r="N3864" s="12" t="n"/>
      <c r="O3864" s="12" t="n"/>
    </row>
    <row r="3865">
      <c r="A3865" s="12" t="n"/>
      <c r="B3865" s="13">
        <f>IF($A3865="","",IFERROR(INDEX(Emp_Names,MATCH($A3865,Emp_Codes,0)),"NOT FOUND"))</f>
        <v/>
      </c>
      <c r="C3865" s="14" t="n"/>
      <c r="D3865" s="15" t="n"/>
      <c r="E3865" s="15" t="n"/>
      <c r="F3865" s="15" t="n"/>
      <c r="G3865" s="15" t="n"/>
      <c r="H3865" s="16">
        <f>IF($A3865="","",$D3865+IF($E3865="",0,$E3865)+IF($F3865="",0,$F3865)-IF($G3865="",0,$G3865))</f>
        <v/>
      </c>
      <c r="I3865" s="12" t="n"/>
      <c r="J3865" s="12" t="n"/>
      <c r="K3865" s="12" t="n"/>
      <c r="L3865" s="14" t="n"/>
      <c r="M3865" s="12" t="n"/>
      <c r="N3865" s="12" t="n"/>
      <c r="O3865" s="12" t="n"/>
    </row>
    <row r="3866">
      <c r="A3866" s="12" t="n"/>
      <c r="B3866" s="13">
        <f>IF($A3866="","",IFERROR(INDEX(Emp_Names,MATCH($A3866,Emp_Codes,0)),"NOT FOUND"))</f>
        <v/>
      </c>
      <c r="C3866" s="14" t="n"/>
      <c r="D3866" s="15" t="n"/>
      <c r="E3866" s="15" t="n"/>
      <c r="F3866" s="15" t="n"/>
      <c r="G3866" s="15" t="n"/>
      <c r="H3866" s="16">
        <f>IF($A3866="","",$D3866+IF($E3866="",0,$E3866)+IF($F3866="",0,$F3866)-IF($G3866="",0,$G3866))</f>
        <v/>
      </c>
      <c r="I3866" s="12" t="n"/>
      <c r="J3866" s="12" t="n"/>
      <c r="K3866" s="12" t="n"/>
      <c r="L3866" s="14" t="n"/>
      <c r="M3866" s="12" t="n"/>
      <c r="N3866" s="12" t="n"/>
      <c r="O3866" s="12" t="n"/>
    </row>
    <row r="3867">
      <c r="A3867" s="12" t="n"/>
      <c r="B3867" s="13">
        <f>IF($A3867="","",IFERROR(INDEX(Emp_Names,MATCH($A3867,Emp_Codes,0)),"NOT FOUND"))</f>
        <v/>
      </c>
      <c r="C3867" s="14" t="n"/>
      <c r="D3867" s="15" t="n"/>
      <c r="E3867" s="15" t="n"/>
      <c r="F3867" s="15" t="n"/>
      <c r="G3867" s="15" t="n"/>
      <c r="H3867" s="16">
        <f>IF($A3867="","",$D3867+IF($E3867="",0,$E3867)+IF($F3867="",0,$F3867)-IF($G3867="",0,$G3867))</f>
        <v/>
      </c>
      <c r="I3867" s="12" t="n"/>
      <c r="J3867" s="12" t="n"/>
      <c r="K3867" s="12" t="n"/>
      <c r="L3867" s="14" t="n"/>
      <c r="M3867" s="12" t="n"/>
      <c r="N3867" s="12" t="n"/>
      <c r="O3867" s="12" t="n"/>
    </row>
    <row r="3868">
      <c r="A3868" s="12" t="n"/>
      <c r="B3868" s="13">
        <f>IF($A3868="","",IFERROR(INDEX(Emp_Names,MATCH($A3868,Emp_Codes,0)),"NOT FOUND"))</f>
        <v/>
      </c>
      <c r="C3868" s="14" t="n"/>
      <c r="D3868" s="15" t="n"/>
      <c r="E3868" s="15" t="n"/>
      <c r="F3868" s="15" t="n"/>
      <c r="G3868" s="15" t="n"/>
      <c r="H3868" s="16">
        <f>IF($A3868="","",$D3868+IF($E3868="",0,$E3868)+IF($F3868="",0,$F3868)-IF($G3868="",0,$G3868))</f>
        <v/>
      </c>
      <c r="I3868" s="12" t="n"/>
      <c r="J3868" s="12" t="n"/>
      <c r="K3868" s="12" t="n"/>
      <c r="L3868" s="14" t="n"/>
      <c r="M3868" s="12" t="n"/>
      <c r="N3868" s="12" t="n"/>
      <c r="O3868" s="12" t="n"/>
    </row>
    <row r="3869">
      <c r="A3869" s="12" t="n"/>
      <c r="B3869" s="13">
        <f>IF($A3869="","",IFERROR(INDEX(Emp_Names,MATCH($A3869,Emp_Codes,0)),"NOT FOUND"))</f>
        <v/>
      </c>
      <c r="C3869" s="14" t="n"/>
      <c r="D3869" s="15" t="n"/>
      <c r="E3869" s="15" t="n"/>
      <c r="F3869" s="15" t="n"/>
      <c r="G3869" s="15" t="n"/>
      <c r="H3869" s="16">
        <f>IF($A3869="","",$D3869+IF($E3869="",0,$E3869)+IF($F3869="",0,$F3869)-IF($G3869="",0,$G3869))</f>
        <v/>
      </c>
      <c r="I3869" s="12" t="n"/>
      <c r="J3869" s="12" t="n"/>
      <c r="K3869" s="12" t="n"/>
      <c r="L3869" s="14" t="n"/>
      <c r="M3869" s="12" t="n"/>
      <c r="N3869" s="12" t="n"/>
      <c r="O3869" s="12" t="n"/>
    </row>
    <row r="3870">
      <c r="A3870" s="12" t="n"/>
      <c r="B3870" s="13">
        <f>IF($A3870="","",IFERROR(INDEX(Emp_Names,MATCH($A3870,Emp_Codes,0)),"NOT FOUND"))</f>
        <v/>
      </c>
      <c r="C3870" s="14" t="n"/>
      <c r="D3870" s="15" t="n"/>
      <c r="E3870" s="15" t="n"/>
      <c r="F3870" s="15" t="n"/>
      <c r="G3870" s="15" t="n"/>
      <c r="H3870" s="16">
        <f>IF($A3870="","",$D3870+IF($E3870="",0,$E3870)+IF($F3870="",0,$F3870)-IF($G3870="",0,$G3870))</f>
        <v/>
      </c>
      <c r="I3870" s="12" t="n"/>
      <c r="J3870" s="12" t="n"/>
      <c r="K3870" s="12" t="n"/>
      <c r="L3870" s="14" t="n"/>
      <c r="M3870" s="12" t="n"/>
      <c r="N3870" s="12" t="n"/>
      <c r="O3870" s="12" t="n"/>
    </row>
    <row r="3871">
      <c r="A3871" s="12" t="n"/>
      <c r="B3871" s="13">
        <f>IF($A3871="","",IFERROR(INDEX(Emp_Names,MATCH($A3871,Emp_Codes,0)),"NOT FOUND"))</f>
        <v/>
      </c>
      <c r="C3871" s="14" t="n"/>
      <c r="D3871" s="15" t="n"/>
      <c r="E3871" s="15" t="n"/>
      <c r="F3871" s="15" t="n"/>
      <c r="G3871" s="15" t="n"/>
      <c r="H3871" s="16">
        <f>IF($A3871="","",$D3871+IF($E3871="",0,$E3871)+IF($F3871="",0,$F3871)-IF($G3871="",0,$G3871))</f>
        <v/>
      </c>
      <c r="I3871" s="12" t="n"/>
      <c r="J3871" s="12" t="n"/>
      <c r="K3871" s="12" t="n"/>
      <c r="L3871" s="14" t="n"/>
      <c r="M3871" s="12" t="n"/>
      <c r="N3871" s="12" t="n"/>
      <c r="O3871" s="12" t="n"/>
    </row>
    <row r="3872">
      <c r="A3872" s="12" t="n"/>
      <c r="B3872" s="13">
        <f>IF($A3872="","",IFERROR(INDEX(Emp_Names,MATCH($A3872,Emp_Codes,0)),"NOT FOUND"))</f>
        <v/>
      </c>
      <c r="C3872" s="14" t="n"/>
      <c r="D3872" s="15" t="n"/>
      <c r="E3872" s="15" t="n"/>
      <c r="F3872" s="15" t="n"/>
      <c r="G3872" s="15" t="n"/>
      <c r="H3872" s="16">
        <f>IF($A3872="","",$D3872+IF($E3872="",0,$E3872)+IF($F3872="",0,$F3872)-IF($G3872="",0,$G3872))</f>
        <v/>
      </c>
      <c r="I3872" s="12" t="n"/>
      <c r="J3872" s="12" t="n"/>
      <c r="K3872" s="12" t="n"/>
      <c r="L3872" s="14" t="n"/>
      <c r="M3872" s="12" t="n"/>
      <c r="N3872" s="12" t="n"/>
      <c r="O3872" s="12" t="n"/>
    </row>
    <row r="3873">
      <c r="A3873" s="12" t="n"/>
      <c r="B3873" s="13">
        <f>IF($A3873="","",IFERROR(INDEX(Emp_Names,MATCH($A3873,Emp_Codes,0)),"NOT FOUND"))</f>
        <v/>
      </c>
      <c r="C3873" s="14" t="n"/>
      <c r="D3873" s="15" t="n"/>
      <c r="E3873" s="15" t="n"/>
      <c r="F3873" s="15" t="n"/>
      <c r="G3873" s="15" t="n"/>
      <c r="H3873" s="16">
        <f>IF($A3873="","",$D3873+IF($E3873="",0,$E3873)+IF($F3873="",0,$F3873)-IF($G3873="",0,$G3873))</f>
        <v/>
      </c>
      <c r="I3873" s="12" t="n"/>
      <c r="J3873" s="12" t="n"/>
      <c r="K3873" s="12" t="n"/>
      <c r="L3873" s="14" t="n"/>
      <c r="M3873" s="12" t="n"/>
      <c r="N3873" s="12" t="n"/>
      <c r="O3873" s="12" t="n"/>
    </row>
    <row r="3874">
      <c r="A3874" s="12" t="n"/>
      <c r="B3874" s="13">
        <f>IF($A3874="","",IFERROR(INDEX(Emp_Names,MATCH($A3874,Emp_Codes,0)),"NOT FOUND"))</f>
        <v/>
      </c>
      <c r="C3874" s="14" t="n"/>
      <c r="D3874" s="15" t="n"/>
      <c r="E3874" s="15" t="n"/>
      <c r="F3874" s="15" t="n"/>
      <c r="G3874" s="15" t="n"/>
      <c r="H3874" s="16">
        <f>IF($A3874="","",$D3874+IF($E3874="",0,$E3874)+IF($F3874="",0,$F3874)-IF($G3874="",0,$G3874))</f>
        <v/>
      </c>
      <c r="I3874" s="12" t="n"/>
      <c r="J3874" s="12" t="n"/>
      <c r="K3874" s="12" t="n"/>
      <c r="L3874" s="14" t="n"/>
      <c r="M3874" s="12" t="n"/>
      <c r="N3874" s="12" t="n"/>
      <c r="O3874" s="12" t="n"/>
    </row>
    <row r="3875">
      <c r="A3875" s="12" t="n"/>
      <c r="B3875" s="13">
        <f>IF($A3875="","",IFERROR(INDEX(Emp_Names,MATCH($A3875,Emp_Codes,0)),"NOT FOUND"))</f>
        <v/>
      </c>
      <c r="C3875" s="14" t="n"/>
      <c r="D3875" s="15" t="n"/>
      <c r="E3875" s="15" t="n"/>
      <c r="F3875" s="15" t="n"/>
      <c r="G3875" s="15" t="n"/>
      <c r="H3875" s="16">
        <f>IF($A3875="","",$D3875+IF($E3875="",0,$E3875)+IF($F3875="",0,$F3875)-IF($G3875="",0,$G3875))</f>
        <v/>
      </c>
      <c r="I3875" s="12" t="n"/>
      <c r="J3875" s="12" t="n"/>
      <c r="K3875" s="12" t="n"/>
      <c r="L3875" s="14" t="n"/>
      <c r="M3875" s="12" t="n"/>
      <c r="N3875" s="12" t="n"/>
      <c r="O3875" s="12" t="n"/>
    </row>
    <row r="3876">
      <c r="A3876" s="12" t="n"/>
      <c r="B3876" s="13">
        <f>IF($A3876="","",IFERROR(INDEX(Emp_Names,MATCH($A3876,Emp_Codes,0)),"NOT FOUND"))</f>
        <v/>
      </c>
      <c r="C3876" s="14" t="n"/>
      <c r="D3876" s="15" t="n"/>
      <c r="E3876" s="15" t="n"/>
      <c r="F3876" s="15" t="n"/>
      <c r="G3876" s="15" t="n"/>
      <c r="H3876" s="16">
        <f>IF($A3876="","",$D3876+IF($E3876="",0,$E3876)+IF($F3876="",0,$F3876)-IF($G3876="",0,$G3876))</f>
        <v/>
      </c>
      <c r="I3876" s="12" t="n"/>
      <c r="J3876" s="12" t="n"/>
      <c r="K3876" s="12" t="n"/>
      <c r="L3876" s="14" t="n"/>
      <c r="M3876" s="12" t="n"/>
      <c r="N3876" s="12" t="n"/>
      <c r="O3876" s="12" t="n"/>
    </row>
    <row r="3877">
      <c r="A3877" s="12" t="n"/>
      <c r="B3877" s="13">
        <f>IF($A3877="","",IFERROR(INDEX(Emp_Names,MATCH($A3877,Emp_Codes,0)),"NOT FOUND"))</f>
        <v/>
      </c>
      <c r="C3877" s="14" t="n"/>
      <c r="D3877" s="15" t="n"/>
      <c r="E3877" s="15" t="n"/>
      <c r="F3877" s="15" t="n"/>
      <c r="G3877" s="15" t="n"/>
      <c r="H3877" s="16">
        <f>IF($A3877="","",$D3877+IF($E3877="",0,$E3877)+IF($F3877="",0,$F3877)-IF($G3877="",0,$G3877))</f>
        <v/>
      </c>
      <c r="I3877" s="12" t="n"/>
      <c r="J3877" s="12" t="n"/>
      <c r="K3877" s="12" t="n"/>
      <c r="L3877" s="14" t="n"/>
      <c r="M3877" s="12" t="n"/>
      <c r="N3877" s="12" t="n"/>
      <c r="O3877" s="12" t="n"/>
    </row>
    <row r="3878">
      <c r="A3878" s="12" t="n"/>
      <c r="B3878" s="13">
        <f>IF($A3878="","",IFERROR(INDEX(Emp_Names,MATCH($A3878,Emp_Codes,0)),"NOT FOUND"))</f>
        <v/>
      </c>
      <c r="C3878" s="14" t="n"/>
      <c r="D3878" s="15" t="n"/>
      <c r="E3878" s="15" t="n"/>
      <c r="F3878" s="15" t="n"/>
      <c r="G3878" s="15" t="n"/>
      <c r="H3878" s="16">
        <f>IF($A3878="","",$D3878+IF($E3878="",0,$E3878)+IF($F3878="",0,$F3878)-IF($G3878="",0,$G3878))</f>
        <v/>
      </c>
      <c r="I3878" s="12" t="n"/>
      <c r="J3878" s="12" t="n"/>
      <c r="K3878" s="12" t="n"/>
      <c r="L3878" s="14" t="n"/>
      <c r="M3878" s="12" t="n"/>
      <c r="N3878" s="12" t="n"/>
      <c r="O3878" s="12" t="n"/>
    </row>
    <row r="3879">
      <c r="A3879" s="12" t="n"/>
      <c r="B3879" s="13">
        <f>IF($A3879="","",IFERROR(INDEX(Emp_Names,MATCH($A3879,Emp_Codes,0)),"NOT FOUND"))</f>
        <v/>
      </c>
      <c r="C3879" s="14" t="n"/>
      <c r="D3879" s="15" t="n"/>
      <c r="E3879" s="15" t="n"/>
      <c r="F3879" s="15" t="n"/>
      <c r="G3879" s="15" t="n"/>
      <c r="H3879" s="16">
        <f>IF($A3879="","",$D3879+IF($E3879="",0,$E3879)+IF($F3879="",0,$F3879)-IF($G3879="",0,$G3879))</f>
        <v/>
      </c>
      <c r="I3879" s="12" t="n"/>
      <c r="J3879" s="12" t="n"/>
      <c r="K3879" s="12" t="n"/>
      <c r="L3879" s="14" t="n"/>
      <c r="M3879" s="12" t="n"/>
      <c r="N3879" s="12" t="n"/>
      <c r="O3879" s="12" t="n"/>
    </row>
    <row r="3880">
      <c r="A3880" s="12" t="n"/>
      <c r="B3880" s="13">
        <f>IF($A3880="","",IFERROR(INDEX(Emp_Names,MATCH($A3880,Emp_Codes,0)),"NOT FOUND"))</f>
        <v/>
      </c>
      <c r="C3880" s="14" t="n"/>
      <c r="D3880" s="15" t="n"/>
      <c r="E3880" s="15" t="n"/>
      <c r="F3880" s="15" t="n"/>
      <c r="G3880" s="15" t="n"/>
      <c r="H3880" s="16">
        <f>IF($A3880="","",$D3880+IF($E3880="",0,$E3880)+IF($F3880="",0,$F3880)-IF($G3880="",0,$G3880))</f>
        <v/>
      </c>
      <c r="I3880" s="12" t="n"/>
      <c r="J3880" s="12" t="n"/>
      <c r="K3880" s="12" t="n"/>
      <c r="L3880" s="14" t="n"/>
      <c r="M3880" s="12" t="n"/>
      <c r="N3880" s="12" t="n"/>
      <c r="O3880" s="12" t="n"/>
    </row>
    <row r="3881">
      <c r="A3881" s="12" t="n"/>
      <c r="B3881" s="13">
        <f>IF($A3881="","",IFERROR(INDEX(Emp_Names,MATCH($A3881,Emp_Codes,0)),"NOT FOUND"))</f>
        <v/>
      </c>
      <c r="C3881" s="14" t="n"/>
      <c r="D3881" s="15" t="n"/>
      <c r="E3881" s="15" t="n"/>
      <c r="F3881" s="15" t="n"/>
      <c r="G3881" s="15" t="n"/>
      <c r="H3881" s="16">
        <f>IF($A3881="","",$D3881+IF($E3881="",0,$E3881)+IF($F3881="",0,$F3881)-IF($G3881="",0,$G3881))</f>
        <v/>
      </c>
      <c r="I3881" s="12" t="n"/>
      <c r="J3881" s="12" t="n"/>
      <c r="K3881" s="12" t="n"/>
      <c r="L3881" s="14" t="n"/>
      <c r="M3881" s="12" t="n"/>
      <c r="N3881" s="12" t="n"/>
      <c r="O3881" s="12" t="n"/>
    </row>
    <row r="3882">
      <c r="A3882" s="12" t="n"/>
      <c r="B3882" s="13">
        <f>IF($A3882="","",IFERROR(INDEX(Emp_Names,MATCH($A3882,Emp_Codes,0)),"NOT FOUND"))</f>
        <v/>
      </c>
      <c r="C3882" s="14" t="n"/>
      <c r="D3882" s="15" t="n"/>
      <c r="E3882" s="15" t="n"/>
      <c r="F3882" s="15" t="n"/>
      <c r="G3882" s="15" t="n"/>
      <c r="H3882" s="16">
        <f>IF($A3882="","",$D3882+IF($E3882="",0,$E3882)+IF($F3882="",0,$F3882)-IF($G3882="",0,$G3882))</f>
        <v/>
      </c>
      <c r="I3882" s="12" t="n"/>
      <c r="J3882" s="12" t="n"/>
      <c r="K3882" s="12" t="n"/>
      <c r="L3882" s="14" t="n"/>
      <c r="M3882" s="12" t="n"/>
      <c r="N3882" s="12" t="n"/>
      <c r="O3882" s="12" t="n"/>
    </row>
    <row r="3883">
      <c r="A3883" s="12" t="n"/>
      <c r="B3883" s="13">
        <f>IF($A3883="","",IFERROR(INDEX(Emp_Names,MATCH($A3883,Emp_Codes,0)),"NOT FOUND"))</f>
        <v/>
      </c>
      <c r="C3883" s="14" t="n"/>
      <c r="D3883" s="15" t="n"/>
      <c r="E3883" s="15" t="n"/>
      <c r="F3883" s="15" t="n"/>
      <c r="G3883" s="15" t="n"/>
      <c r="H3883" s="16">
        <f>IF($A3883="","",$D3883+IF($E3883="",0,$E3883)+IF($F3883="",0,$F3883)-IF($G3883="",0,$G3883))</f>
        <v/>
      </c>
      <c r="I3883" s="12" t="n"/>
      <c r="J3883" s="12" t="n"/>
      <c r="K3883" s="12" t="n"/>
      <c r="L3883" s="14" t="n"/>
      <c r="M3883" s="12" t="n"/>
      <c r="N3883" s="12" t="n"/>
      <c r="O3883" s="12" t="n"/>
    </row>
    <row r="3884">
      <c r="A3884" s="12" t="n"/>
      <c r="B3884" s="13">
        <f>IF($A3884="","",IFERROR(INDEX(Emp_Names,MATCH($A3884,Emp_Codes,0)),"NOT FOUND"))</f>
        <v/>
      </c>
      <c r="C3884" s="14" t="n"/>
      <c r="D3884" s="15" t="n"/>
      <c r="E3884" s="15" t="n"/>
      <c r="F3884" s="15" t="n"/>
      <c r="G3884" s="15" t="n"/>
      <c r="H3884" s="16">
        <f>IF($A3884="","",$D3884+IF($E3884="",0,$E3884)+IF($F3884="",0,$F3884)-IF($G3884="",0,$G3884))</f>
        <v/>
      </c>
      <c r="I3884" s="12" t="n"/>
      <c r="J3884" s="12" t="n"/>
      <c r="K3884" s="12" t="n"/>
      <c r="L3884" s="14" t="n"/>
      <c r="M3884" s="12" t="n"/>
      <c r="N3884" s="12" t="n"/>
      <c r="O3884" s="12" t="n"/>
    </row>
    <row r="3885">
      <c r="A3885" s="12" t="n"/>
      <c r="B3885" s="13">
        <f>IF($A3885="","",IFERROR(INDEX(Emp_Names,MATCH($A3885,Emp_Codes,0)),"NOT FOUND"))</f>
        <v/>
      </c>
      <c r="C3885" s="14" t="n"/>
      <c r="D3885" s="15" t="n"/>
      <c r="E3885" s="15" t="n"/>
      <c r="F3885" s="15" t="n"/>
      <c r="G3885" s="15" t="n"/>
      <c r="H3885" s="16">
        <f>IF($A3885="","",$D3885+IF($E3885="",0,$E3885)+IF($F3885="",0,$F3885)-IF($G3885="",0,$G3885))</f>
        <v/>
      </c>
      <c r="I3885" s="12" t="n"/>
      <c r="J3885" s="12" t="n"/>
      <c r="K3885" s="12" t="n"/>
      <c r="L3885" s="14" t="n"/>
      <c r="M3885" s="12" t="n"/>
      <c r="N3885" s="12" t="n"/>
      <c r="O3885" s="12" t="n"/>
    </row>
    <row r="3886">
      <c r="A3886" s="12" t="n"/>
      <c r="B3886" s="13">
        <f>IF($A3886="","",IFERROR(INDEX(Emp_Names,MATCH($A3886,Emp_Codes,0)),"NOT FOUND"))</f>
        <v/>
      </c>
      <c r="C3886" s="14" t="n"/>
      <c r="D3886" s="15" t="n"/>
      <c r="E3886" s="15" t="n"/>
      <c r="F3886" s="15" t="n"/>
      <c r="G3886" s="15" t="n"/>
      <c r="H3886" s="16">
        <f>IF($A3886="","",$D3886+IF($E3886="",0,$E3886)+IF($F3886="",0,$F3886)-IF($G3886="",0,$G3886))</f>
        <v/>
      </c>
      <c r="I3886" s="12" t="n"/>
      <c r="J3886" s="12" t="n"/>
      <c r="K3886" s="12" t="n"/>
      <c r="L3886" s="14" t="n"/>
      <c r="M3886" s="12" t="n"/>
      <c r="N3886" s="12" t="n"/>
      <c r="O3886" s="12" t="n"/>
    </row>
    <row r="3887">
      <c r="A3887" s="12" t="n"/>
      <c r="B3887" s="13">
        <f>IF($A3887="","",IFERROR(INDEX(Emp_Names,MATCH($A3887,Emp_Codes,0)),"NOT FOUND"))</f>
        <v/>
      </c>
      <c r="C3887" s="14" t="n"/>
      <c r="D3887" s="15" t="n"/>
      <c r="E3887" s="15" t="n"/>
      <c r="F3887" s="15" t="n"/>
      <c r="G3887" s="15" t="n"/>
      <c r="H3887" s="16">
        <f>IF($A3887="","",$D3887+IF($E3887="",0,$E3887)+IF($F3887="",0,$F3887)-IF($G3887="",0,$G3887))</f>
        <v/>
      </c>
      <c r="I3887" s="12" t="n"/>
      <c r="J3887" s="12" t="n"/>
      <c r="K3887" s="12" t="n"/>
      <c r="L3887" s="14" t="n"/>
      <c r="M3887" s="12" t="n"/>
      <c r="N3887" s="12" t="n"/>
      <c r="O3887" s="12" t="n"/>
    </row>
    <row r="3888">
      <c r="A3888" s="12" t="n"/>
      <c r="B3888" s="13">
        <f>IF($A3888="","",IFERROR(INDEX(Emp_Names,MATCH($A3888,Emp_Codes,0)),"NOT FOUND"))</f>
        <v/>
      </c>
      <c r="C3888" s="14" t="n"/>
      <c r="D3888" s="15" t="n"/>
      <c r="E3888" s="15" t="n"/>
      <c r="F3888" s="15" t="n"/>
      <c r="G3888" s="15" t="n"/>
      <c r="H3888" s="16">
        <f>IF($A3888="","",$D3888+IF($E3888="",0,$E3888)+IF($F3888="",0,$F3888)-IF($G3888="",0,$G3888))</f>
        <v/>
      </c>
      <c r="I3888" s="12" t="n"/>
      <c r="J3888" s="12" t="n"/>
      <c r="K3888" s="12" t="n"/>
      <c r="L3888" s="14" t="n"/>
      <c r="M3888" s="12" t="n"/>
      <c r="N3888" s="12" t="n"/>
      <c r="O3888" s="12" t="n"/>
    </row>
    <row r="3889">
      <c r="A3889" s="12" t="n"/>
      <c r="B3889" s="13">
        <f>IF($A3889="","",IFERROR(INDEX(Emp_Names,MATCH($A3889,Emp_Codes,0)),"NOT FOUND"))</f>
        <v/>
      </c>
      <c r="C3889" s="14" t="n"/>
      <c r="D3889" s="15" t="n"/>
      <c r="E3889" s="15" t="n"/>
      <c r="F3889" s="15" t="n"/>
      <c r="G3889" s="15" t="n"/>
      <c r="H3889" s="16">
        <f>IF($A3889="","",$D3889+IF($E3889="",0,$E3889)+IF($F3889="",0,$F3889)-IF($G3889="",0,$G3889))</f>
        <v/>
      </c>
      <c r="I3889" s="12" t="n"/>
      <c r="J3889" s="12" t="n"/>
      <c r="K3889" s="12" t="n"/>
      <c r="L3889" s="14" t="n"/>
      <c r="M3889" s="12" t="n"/>
      <c r="N3889" s="12" t="n"/>
      <c r="O3889" s="12" t="n"/>
    </row>
    <row r="3890">
      <c r="A3890" s="12" t="n"/>
      <c r="B3890" s="13">
        <f>IF($A3890="","",IFERROR(INDEX(Emp_Names,MATCH($A3890,Emp_Codes,0)),"NOT FOUND"))</f>
        <v/>
      </c>
      <c r="C3890" s="14" t="n"/>
      <c r="D3890" s="15" t="n"/>
      <c r="E3890" s="15" t="n"/>
      <c r="F3890" s="15" t="n"/>
      <c r="G3890" s="15" t="n"/>
      <c r="H3890" s="16">
        <f>IF($A3890="","",$D3890+IF($E3890="",0,$E3890)+IF($F3890="",0,$F3890)-IF($G3890="",0,$G3890))</f>
        <v/>
      </c>
      <c r="I3890" s="12" t="n"/>
      <c r="J3890" s="12" t="n"/>
      <c r="K3890" s="12" t="n"/>
      <c r="L3890" s="14" t="n"/>
      <c r="M3890" s="12" t="n"/>
      <c r="N3890" s="12" t="n"/>
      <c r="O3890" s="12" t="n"/>
    </row>
    <row r="3891">
      <c r="A3891" s="12" t="n"/>
      <c r="B3891" s="13">
        <f>IF($A3891="","",IFERROR(INDEX(Emp_Names,MATCH($A3891,Emp_Codes,0)),"NOT FOUND"))</f>
        <v/>
      </c>
      <c r="C3891" s="14" t="n"/>
      <c r="D3891" s="15" t="n"/>
      <c r="E3891" s="15" t="n"/>
      <c r="F3891" s="15" t="n"/>
      <c r="G3891" s="15" t="n"/>
      <c r="H3891" s="16">
        <f>IF($A3891="","",$D3891+IF($E3891="",0,$E3891)+IF($F3891="",0,$F3891)-IF($G3891="",0,$G3891))</f>
        <v/>
      </c>
      <c r="I3891" s="12" t="n"/>
      <c r="J3891" s="12" t="n"/>
      <c r="K3891" s="12" t="n"/>
      <c r="L3891" s="14" t="n"/>
      <c r="M3891" s="12" t="n"/>
      <c r="N3891" s="12" t="n"/>
      <c r="O3891" s="12" t="n"/>
    </row>
    <row r="3892">
      <c r="A3892" s="12" t="n"/>
      <c r="B3892" s="13">
        <f>IF($A3892="","",IFERROR(INDEX(Emp_Names,MATCH($A3892,Emp_Codes,0)),"NOT FOUND"))</f>
        <v/>
      </c>
      <c r="C3892" s="14" t="n"/>
      <c r="D3892" s="15" t="n"/>
      <c r="E3892" s="15" t="n"/>
      <c r="F3892" s="15" t="n"/>
      <c r="G3892" s="15" t="n"/>
      <c r="H3892" s="16">
        <f>IF($A3892="","",$D3892+IF($E3892="",0,$E3892)+IF($F3892="",0,$F3892)-IF($G3892="",0,$G3892))</f>
        <v/>
      </c>
      <c r="I3892" s="12" t="n"/>
      <c r="J3892" s="12" t="n"/>
      <c r="K3892" s="12" t="n"/>
      <c r="L3892" s="14" t="n"/>
      <c r="M3892" s="12" t="n"/>
      <c r="N3892" s="12" t="n"/>
      <c r="O3892" s="12" t="n"/>
    </row>
    <row r="3893">
      <c r="A3893" s="12" t="n"/>
      <c r="B3893" s="13">
        <f>IF($A3893="","",IFERROR(INDEX(Emp_Names,MATCH($A3893,Emp_Codes,0)),"NOT FOUND"))</f>
        <v/>
      </c>
      <c r="C3893" s="14" t="n"/>
      <c r="D3893" s="15" t="n"/>
      <c r="E3893" s="15" t="n"/>
      <c r="F3893" s="15" t="n"/>
      <c r="G3893" s="15" t="n"/>
      <c r="H3893" s="16">
        <f>IF($A3893="","",$D3893+IF($E3893="",0,$E3893)+IF($F3893="",0,$F3893)-IF($G3893="",0,$G3893))</f>
        <v/>
      </c>
      <c r="I3893" s="12" t="n"/>
      <c r="J3893" s="12" t="n"/>
      <c r="K3893" s="12" t="n"/>
      <c r="L3893" s="14" t="n"/>
      <c r="M3893" s="12" t="n"/>
      <c r="N3893" s="12" t="n"/>
      <c r="O3893" s="12" t="n"/>
    </row>
    <row r="3894">
      <c r="A3894" s="12" t="n"/>
      <c r="B3894" s="13">
        <f>IF($A3894="","",IFERROR(INDEX(Emp_Names,MATCH($A3894,Emp_Codes,0)),"NOT FOUND"))</f>
        <v/>
      </c>
      <c r="C3894" s="14" t="n"/>
      <c r="D3894" s="15" t="n"/>
      <c r="E3894" s="15" t="n"/>
      <c r="F3894" s="15" t="n"/>
      <c r="G3894" s="15" t="n"/>
      <c r="H3894" s="16">
        <f>IF($A3894="","",$D3894+IF($E3894="",0,$E3894)+IF($F3894="",0,$F3894)-IF($G3894="",0,$G3894))</f>
        <v/>
      </c>
      <c r="I3894" s="12" t="n"/>
      <c r="J3894" s="12" t="n"/>
      <c r="K3894" s="12" t="n"/>
      <c r="L3894" s="14" t="n"/>
      <c r="M3894" s="12" t="n"/>
      <c r="N3894" s="12" t="n"/>
      <c r="O3894" s="12" t="n"/>
    </row>
    <row r="3895">
      <c r="A3895" s="12" t="n"/>
      <c r="B3895" s="13">
        <f>IF($A3895="","",IFERROR(INDEX(Emp_Names,MATCH($A3895,Emp_Codes,0)),"NOT FOUND"))</f>
        <v/>
      </c>
      <c r="C3895" s="14" t="n"/>
      <c r="D3895" s="15" t="n"/>
      <c r="E3895" s="15" t="n"/>
      <c r="F3895" s="15" t="n"/>
      <c r="G3895" s="15" t="n"/>
      <c r="H3895" s="16">
        <f>IF($A3895="","",$D3895+IF($E3895="",0,$E3895)+IF($F3895="",0,$F3895)-IF($G3895="",0,$G3895))</f>
        <v/>
      </c>
      <c r="I3895" s="12" t="n"/>
      <c r="J3895" s="12" t="n"/>
      <c r="K3895" s="12" t="n"/>
      <c r="L3895" s="14" t="n"/>
      <c r="M3895" s="12" t="n"/>
      <c r="N3895" s="12" t="n"/>
      <c r="O3895" s="12" t="n"/>
    </row>
    <row r="3896">
      <c r="A3896" s="12" t="n"/>
      <c r="B3896" s="13">
        <f>IF($A3896="","",IFERROR(INDEX(Emp_Names,MATCH($A3896,Emp_Codes,0)),"NOT FOUND"))</f>
        <v/>
      </c>
      <c r="C3896" s="14" t="n"/>
      <c r="D3896" s="15" t="n"/>
      <c r="E3896" s="15" t="n"/>
      <c r="F3896" s="15" t="n"/>
      <c r="G3896" s="15" t="n"/>
      <c r="H3896" s="16">
        <f>IF($A3896="","",$D3896+IF($E3896="",0,$E3896)+IF($F3896="",0,$F3896)-IF($G3896="",0,$G3896))</f>
        <v/>
      </c>
      <c r="I3896" s="12" t="n"/>
      <c r="J3896" s="12" t="n"/>
      <c r="K3896" s="12" t="n"/>
      <c r="L3896" s="14" t="n"/>
      <c r="M3896" s="12" t="n"/>
      <c r="N3896" s="12" t="n"/>
      <c r="O3896" s="12" t="n"/>
    </row>
    <row r="3897">
      <c r="A3897" s="12" t="n"/>
      <c r="B3897" s="13">
        <f>IF($A3897="","",IFERROR(INDEX(Emp_Names,MATCH($A3897,Emp_Codes,0)),"NOT FOUND"))</f>
        <v/>
      </c>
      <c r="C3897" s="14" t="n"/>
      <c r="D3897" s="15" t="n"/>
      <c r="E3897" s="15" t="n"/>
      <c r="F3897" s="15" t="n"/>
      <c r="G3897" s="15" t="n"/>
      <c r="H3897" s="16">
        <f>IF($A3897="","",$D3897+IF($E3897="",0,$E3897)+IF($F3897="",0,$F3897)-IF($G3897="",0,$G3897))</f>
        <v/>
      </c>
      <c r="I3897" s="12" t="n"/>
      <c r="J3897" s="12" t="n"/>
      <c r="K3897" s="12" t="n"/>
      <c r="L3897" s="14" t="n"/>
      <c r="M3897" s="12" t="n"/>
      <c r="N3897" s="12" t="n"/>
      <c r="O3897" s="12" t="n"/>
    </row>
    <row r="3898">
      <c r="A3898" s="12" t="n"/>
      <c r="B3898" s="13">
        <f>IF($A3898="","",IFERROR(INDEX(Emp_Names,MATCH($A3898,Emp_Codes,0)),"NOT FOUND"))</f>
        <v/>
      </c>
      <c r="C3898" s="14" t="n"/>
      <c r="D3898" s="15" t="n"/>
      <c r="E3898" s="15" t="n"/>
      <c r="F3898" s="15" t="n"/>
      <c r="G3898" s="15" t="n"/>
      <c r="H3898" s="16">
        <f>IF($A3898="","",$D3898+IF($E3898="",0,$E3898)+IF($F3898="",0,$F3898)-IF($G3898="",0,$G3898))</f>
        <v/>
      </c>
      <c r="I3898" s="12" t="n"/>
      <c r="J3898" s="12" t="n"/>
      <c r="K3898" s="12" t="n"/>
      <c r="L3898" s="14" t="n"/>
      <c r="M3898" s="12" t="n"/>
      <c r="N3898" s="12" t="n"/>
      <c r="O3898" s="12" t="n"/>
    </row>
    <row r="3899">
      <c r="A3899" s="12" t="n"/>
      <c r="B3899" s="13">
        <f>IF($A3899="","",IFERROR(INDEX(Emp_Names,MATCH($A3899,Emp_Codes,0)),"NOT FOUND"))</f>
        <v/>
      </c>
      <c r="C3899" s="14" t="n"/>
      <c r="D3899" s="15" t="n"/>
      <c r="E3899" s="15" t="n"/>
      <c r="F3899" s="15" t="n"/>
      <c r="G3899" s="15" t="n"/>
      <c r="H3899" s="16">
        <f>IF($A3899="","",$D3899+IF($E3899="",0,$E3899)+IF($F3899="",0,$F3899)-IF($G3899="",0,$G3899))</f>
        <v/>
      </c>
      <c r="I3899" s="12" t="n"/>
      <c r="J3899" s="12" t="n"/>
      <c r="K3899" s="12" t="n"/>
      <c r="L3899" s="14" t="n"/>
      <c r="M3899" s="12" t="n"/>
      <c r="N3899" s="12" t="n"/>
      <c r="O3899" s="12" t="n"/>
    </row>
    <row r="3900">
      <c r="A3900" s="12" t="n"/>
      <c r="B3900" s="13">
        <f>IF($A3900="","",IFERROR(INDEX(Emp_Names,MATCH($A3900,Emp_Codes,0)),"NOT FOUND"))</f>
        <v/>
      </c>
      <c r="C3900" s="14" t="n"/>
      <c r="D3900" s="15" t="n"/>
      <c r="E3900" s="15" t="n"/>
      <c r="F3900" s="15" t="n"/>
      <c r="G3900" s="15" t="n"/>
      <c r="H3900" s="16">
        <f>IF($A3900="","",$D3900+IF($E3900="",0,$E3900)+IF($F3900="",0,$F3900)-IF($G3900="",0,$G3900))</f>
        <v/>
      </c>
      <c r="I3900" s="12" t="n"/>
      <c r="J3900" s="12" t="n"/>
      <c r="K3900" s="12" t="n"/>
      <c r="L3900" s="14" t="n"/>
      <c r="M3900" s="12" t="n"/>
      <c r="N3900" s="12" t="n"/>
      <c r="O3900" s="12" t="n"/>
    </row>
    <row r="3901">
      <c r="A3901" s="12" t="n"/>
      <c r="B3901" s="13">
        <f>IF($A3901="","",IFERROR(INDEX(Emp_Names,MATCH($A3901,Emp_Codes,0)),"NOT FOUND"))</f>
        <v/>
      </c>
      <c r="C3901" s="14" t="n"/>
      <c r="D3901" s="15" t="n"/>
      <c r="E3901" s="15" t="n"/>
      <c r="F3901" s="15" t="n"/>
      <c r="G3901" s="15" t="n"/>
      <c r="H3901" s="16">
        <f>IF($A3901="","",$D3901+IF($E3901="",0,$E3901)+IF($F3901="",0,$F3901)-IF($G3901="",0,$G3901))</f>
        <v/>
      </c>
      <c r="I3901" s="12" t="n"/>
      <c r="J3901" s="12" t="n"/>
      <c r="K3901" s="12" t="n"/>
      <c r="L3901" s="14" t="n"/>
      <c r="M3901" s="12" t="n"/>
      <c r="N3901" s="12" t="n"/>
      <c r="O3901" s="12" t="n"/>
    </row>
    <row r="3902">
      <c r="A3902" s="12" t="n"/>
      <c r="B3902" s="13">
        <f>IF($A3902="","",IFERROR(INDEX(Emp_Names,MATCH($A3902,Emp_Codes,0)),"NOT FOUND"))</f>
        <v/>
      </c>
      <c r="C3902" s="14" t="n"/>
      <c r="D3902" s="15" t="n"/>
      <c r="E3902" s="15" t="n"/>
      <c r="F3902" s="15" t="n"/>
      <c r="G3902" s="15" t="n"/>
      <c r="H3902" s="16">
        <f>IF($A3902="","",$D3902+IF($E3902="",0,$E3902)+IF($F3902="",0,$F3902)-IF($G3902="",0,$G3902))</f>
        <v/>
      </c>
      <c r="I3902" s="12" t="n"/>
      <c r="J3902" s="12" t="n"/>
      <c r="K3902" s="12" t="n"/>
      <c r="L3902" s="14" t="n"/>
      <c r="M3902" s="12" t="n"/>
      <c r="N3902" s="12" t="n"/>
      <c r="O3902" s="12" t="n"/>
    </row>
    <row r="3903">
      <c r="A3903" s="12" t="n"/>
      <c r="B3903" s="13">
        <f>IF($A3903="","",IFERROR(INDEX(Emp_Names,MATCH($A3903,Emp_Codes,0)),"NOT FOUND"))</f>
        <v/>
      </c>
      <c r="C3903" s="14" t="n"/>
      <c r="D3903" s="15" t="n"/>
      <c r="E3903" s="15" t="n"/>
      <c r="F3903" s="15" t="n"/>
      <c r="G3903" s="15" t="n"/>
      <c r="H3903" s="16">
        <f>IF($A3903="","",$D3903+IF($E3903="",0,$E3903)+IF($F3903="",0,$F3903)-IF($G3903="",0,$G3903))</f>
        <v/>
      </c>
      <c r="I3903" s="12" t="n"/>
      <c r="J3903" s="12" t="n"/>
      <c r="K3903" s="12" t="n"/>
      <c r="L3903" s="14" t="n"/>
      <c r="M3903" s="12" t="n"/>
      <c r="N3903" s="12" t="n"/>
      <c r="O3903" s="12" t="n"/>
    </row>
    <row r="3904">
      <c r="A3904" s="12" t="n"/>
      <c r="B3904" s="13">
        <f>IF($A3904="","",IFERROR(INDEX(Emp_Names,MATCH($A3904,Emp_Codes,0)),"NOT FOUND"))</f>
        <v/>
      </c>
      <c r="C3904" s="14" t="n"/>
      <c r="D3904" s="15" t="n"/>
      <c r="E3904" s="15" t="n"/>
      <c r="F3904" s="15" t="n"/>
      <c r="G3904" s="15" t="n"/>
      <c r="H3904" s="16">
        <f>IF($A3904="","",$D3904+IF($E3904="",0,$E3904)+IF($F3904="",0,$F3904)-IF($G3904="",0,$G3904))</f>
        <v/>
      </c>
      <c r="I3904" s="12" t="n"/>
      <c r="J3904" s="12" t="n"/>
      <c r="K3904" s="12" t="n"/>
      <c r="L3904" s="14" t="n"/>
      <c r="M3904" s="12" t="n"/>
      <c r="N3904" s="12" t="n"/>
      <c r="O3904" s="12" t="n"/>
    </row>
    <row r="3905">
      <c r="A3905" s="12" t="n"/>
      <c r="B3905" s="13">
        <f>IF($A3905="","",IFERROR(INDEX(Emp_Names,MATCH($A3905,Emp_Codes,0)),"NOT FOUND"))</f>
        <v/>
      </c>
      <c r="C3905" s="14" t="n"/>
      <c r="D3905" s="15" t="n"/>
      <c r="E3905" s="15" t="n"/>
      <c r="F3905" s="15" t="n"/>
      <c r="G3905" s="15" t="n"/>
      <c r="H3905" s="16">
        <f>IF($A3905="","",$D3905+IF($E3905="",0,$E3905)+IF($F3905="",0,$F3905)-IF($G3905="",0,$G3905))</f>
        <v/>
      </c>
      <c r="I3905" s="12" t="n"/>
      <c r="J3905" s="12" t="n"/>
      <c r="K3905" s="12" t="n"/>
      <c r="L3905" s="14" t="n"/>
      <c r="M3905" s="12" t="n"/>
      <c r="N3905" s="12" t="n"/>
      <c r="O3905" s="12" t="n"/>
    </row>
    <row r="3906">
      <c r="A3906" s="12" t="n"/>
      <c r="B3906" s="13">
        <f>IF($A3906="","",IFERROR(INDEX(Emp_Names,MATCH($A3906,Emp_Codes,0)),"NOT FOUND"))</f>
        <v/>
      </c>
      <c r="C3906" s="14" t="n"/>
      <c r="D3906" s="15" t="n"/>
      <c r="E3906" s="15" t="n"/>
      <c r="F3906" s="15" t="n"/>
      <c r="G3906" s="15" t="n"/>
      <c r="H3906" s="16">
        <f>IF($A3906="","",$D3906+IF($E3906="",0,$E3906)+IF($F3906="",0,$F3906)-IF($G3906="",0,$G3906))</f>
        <v/>
      </c>
      <c r="I3906" s="12" t="n"/>
      <c r="J3906" s="12" t="n"/>
      <c r="K3906" s="12" t="n"/>
      <c r="L3906" s="14" t="n"/>
      <c r="M3906" s="12" t="n"/>
      <c r="N3906" s="12" t="n"/>
      <c r="O3906" s="12" t="n"/>
    </row>
    <row r="3907">
      <c r="A3907" s="12" t="n"/>
      <c r="B3907" s="13">
        <f>IF($A3907="","",IFERROR(INDEX(Emp_Names,MATCH($A3907,Emp_Codes,0)),"NOT FOUND"))</f>
        <v/>
      </c>
      <c r="C3907" s="14" t="n"/>
      <c r="D3907" s="15" t="n"/>
      <c r="E3907" s="15" t="n"/>
      <c r="F3907" s="15" t="n"/>
      <c r="G3907" s="15" t="n"/>
      <c r="H3907" s="16">
        <f>IF($A3907="","",$D3907+IF($E3907="",0,$E3907)+IF($F3907="",0,$F3907)-IF($G3907="",0,$G3907))</f>
        <v/>
      </c>
      <c r="I3907" s="12" t="n"/>
      <c r="J3907" s="12" t="n"/>
      <c r="K3907" s="12" t="n"/>
      <c r="L3907" s="14" t="n"/>
      <c r="M3907" s="12" t="n"/>
      <c r="N3907" s="12" t="n"/>
      <c r="O3907" s="12" t="n"/>
    </row>
    <row r="3908">
      <c r="A3908" s="12" t="n"/>
      <c r="B3908" s="13">
        <f>IF($A3908="","",IFERROR(INDEX(Emp_Names,MATCH($A3908,Emp_Codes,0)),"NOT FOUND"))</f>
        <v/>
      </c>
      <c r="C3908" s="14" t="n"/>
      <c r="D3908" s="15" t="n"/>
      <c r="E3908" s="15" t="n"/>
      <c r="F3908" s="15" t="n"/>
      <c r="G3908" s="15" t="n"/>
      <c r="H3908" s="16">
        <f>IF($A3908="","",$D3908+IF($E3908="",0,$E3908)+IF($F3908="",0,$F3908)-IF($G3908="",0,$G3908))</f>
        <v/>
      </c>
      <c r="I3908" s="12" t="n"/>
      <c r="J3908" s="12" t="n"/>
      <c r="K3908" s="12" t="n"/>
      <c r="L3908" s="14" t="n"/>
      <c r="M3908" s="12" t="n"/>
      <c r="N3908" s="12" t="n"/>
      <c r="O3908" s="12" t="n"/>
    </row>
    <row r="3909">
      <c r="A3909" s="12" t="n"/>
      <c r="B3909" s="13">
        <f>IF($A3909="","",IFERROR(INDEX(Emp_Names,MATCH($A3909,Emp_Codes,0)),"NOT FOUND"))</f>
        <v/>
      </c>
      <c r="C3909" s="14" t="n"/>
      <c r="D3909" s="15" t="n"/>
      <c r="E3909" s="15" t="n"/>
      <c r="F3909" s="15" t="n"/>
      <c r="G3909" s="15" t="n"/>
      <c r="H3909" s="16">
        <f>IF($A3909="","",$D3909+IF($E3909="",0,$E3909)+IF($F3909="",0,$F3909)-IF($G3909="",0,$G3909))</f>
        <v/>
      </c>
      <c r="I3909" s="12" t="n"/>
      <c r="J3909" s="12" t="n"/>
      <c r="K3909" s="12" t="n"/>
      <c r="L3909" s="14" t="n"/>
      <c r="M3909" s="12" t="n"/>
      <c r="N3909" s="12" t="n"/>
      <c r="O3909" s="12" t="n"/>
    </row>
    <row r="3910">
      <c r="A3910" s="12" t="n"/>
      <c r="B3910" s="13">
        <f>IF($A3910="","",IFERROR(INDEX(Emp_Names,MATCH($A3910,Emp_Codes,0)),"NOT FOUND"))</f>
        <v/>
      </c>
      <c r="C3910" s="14" t="n"/>
      <c r="D3910" s="15" t="n"/>
      <c r="E3910" s="15" t="n"/>
      <c r="F3910" s="15" t="n"/>
      <c r="G3910" s="15" t="n"/>
      <c r="H3910" s="16">
        <f>IF($A3910="","",$D3910+IF($E3910="",0,$E3910)+IF($F3910="",0,$F3910)-IF($G3910="",0,$G3910))</f>
        <v/>
      </c>
      <c r="I3910" s="12" t="n"/>
      <c r="J3910" s="12" t="n"/>
      <c r="K3910" s="12" t="n"/>
      <c r="L3910" s="14" t="n"/>
      <c r="M3910" s="12" t="n"/>
      <c r="N3910" s="12" t="n"/>
      <c r="O3910" s="12" t="n"/>
    </row>
    <row r="3911">
      <c r="A3911" s="12" t="n"/>
      <c r="B3911" s="13">
        <f>IF($A3911="","",IFERROR(INDEX(Emp_Names,MATCH($A3911,Emp_Codes,0)),"NOT FOUND"))</f>
        <v/>
      </c>
      <c r="C3911" s="14" t="n"/>
      <c r="D3911" s="15" t="n"/>
      <c r="E3911" s="15" t="n"/>
      <c r="F3911" s="15" t="n"/>
      <c r="G3911" s="15" t="n"/>
      <c r="H3911" s="16">
        <f>IF($A3911="","",$D3911+IF($E3911="",0,$E3911)+IF($F3911="",0,$F3911)-IF($G3911="",0,$G3911))</f>
        <v/>
      </c>
      <c r="I3911" s="12" t="n"/>
      <c r="J3911" s="12" t="n"/>
      <c r="K3911" s="12" t="n"/>
      <c r="L3911" s="14" t="n"/>
      <c r="M3911" s="12" t="n"/>
      <c r="N3911" s="12" t="n"/>
      <c r="O3911" s="12" t="n"/>
    </row>
    <row r="3912">
      <c r="A3912" s="12" t="n"/>
      <c r="B3912" s="13">
        <f>IF($A3912="","",IFERROR(INDEX(Emp_Names,MATCH($A3912,Emp_Codes,0)),"NOT FOUND"))</f>
        <v/>
      </c>
      <c r="C3912" s="14" t="n"/>
      <c r="D3912" s="15" t="n"/>
      <c r="E3912" s="15" t="n"/>
      <c r="F3912" s="15" t="n"/>
      <c r="G3912" s="15" t="n"/>
      <c r="H3912" s="16">
        <f>IF($A3912="","",$D3912+IF($E3912="",0,$E3912)+IF($F3912="",0,$F3912)-IF($G3912="",0,$G3912))</f>
        <v/>
      </c>
      <c r="I3912" s="12" t="n"/>
      <c r="J3912" s="12" t="n"/>
      <c r="K3912" s="12" t="n"/>
      <c r="L3912" s="14" t="n"/>
      <c r="M3912" s="12" t="n"/>
      <c r="N3912" s="12" t="n"/>
      <c r="O3912" s="12" t="n"/>
    </row>
    <row r="3913">
      <c r="A3913" s="12" t="n"/>
      <c r="B3913" s="13">
        <f>IF($A3913="","",IFERROR(INDEX(Emp_Names,MATCH($A3913,Emp_Codes,0)),"NOT FOUND"))</f>
        <v/>
      </c>
      <c r="C3913" s="14" t="n"/>
      <c r="D3913" s="15" t="n"/>
      <c r="E3913" s="15" t="n"/>
      <c r="F3913" s="15" t="n"/>
      <c r="G3913" s="15" t="n"/>
      <c r="H3913" s="16">
        <f>IF($A3913="","",$D3913+IF($E3913="",0,$E3913)+IF($F3913="",0,$F3913)-IF($G3913="",0,$G3913))</f>
        <v/>
      </c>
      <c r="I3913" s="12" t="n"/>
      <c r="J3913" s="12" t="n"/>
      <c r="K3913" s="12" t="n"/>
      <c r="L3913" s="14" t="n"/>
      <c r="M3913" s="12" t="n"/>
      <c r="N3913" s="12" t="n"/>
      <c r="O3913" s="12" t="n"/>
    </row>
    <row r="3914">
      <c r="A3914" s="12" t="n"/>
      <c r="B3914" s="13">
        <f>IF($A3914="","",IFERROR(INDEX(Emp_Names,MATCH($A3914,Emp_Codes,0)),"NOT FOUND"))</f>
        <v/>
      </c>
      <c r="C3914" s="14" t="n"/>
      <c r="D3914" s="15" t="n"/>
      <c r="E3914" s="15" t="n"/>
      <c r="F3914" s="15" t="n"/>
      <c r="G3914" s="15" t="n"/>
      <c r="H3914" s="16">
        <f>IF($A3914="","",$D3914+IF($E3914="",0,$E3914)+IF($F3914="",0,$F3914)-IF($G3914="",0,$G3914))</f>
        <v/>
      </c>
      <c r="I3914" s="12" t="n"/>
      <c r="J3914" s="12" t="n"/>
      <c r="K3914" s="12" t="n"/>
      <c r="L3914" s="14" t="n"/>
      <c r="M3914" s="12" t="n"/>
      <c r="N3914" s="12" t="n"/>
      <c r="O3914" s="12" t="n"/>
    </row>
    <row r="3915">
      <c r="A3915" s="12" t="n"/>
      <c r="B3915" s="13">
        <f>IF($A3915="","",IFERROR(INDEX(Emp_Names,MATCH($A3915,Emp_Codes,0)),"NOT FOUND"))</f>
        <v/>
      </c>
      <c r="C3915" s="14" t="n"/>
      <c r="D3915" s="15" t="n"/>
      <c r="E3915" s="15" t="n"/>
      <c r="F3915" s="15" t="n"/>
      <c r="G3915" s="15" t="n"/>
      <c r="H3915" s="16">
        <f>IF($A3915="","",$D3915+IF($E3915="",0,$E3915)+IF($F3915="",0,$F3915)-IF($G3915="",0,$G3915))</f>
        <v/>
      </c>
      <c r="I3915" s="12" t="n"/>
      <c r="J3915" s="12" t="n"/>
      <c r="K3915" s="12" t="n"/>
      <c r="L3915" s="14" t="n"/>
      <c r="M3915" s="12" t="n"/>
      <c r="N3915" s="12" t="n"/>
      <c r="O3915" s="12" t="n"/>
    </row>
    <row r="3916">
      <c r="A3916" s="12" t="n"/>
      <c r="B3916" s="13">
        <f>IF($A3916="","",IFERROR(INDEX(Emp_Names,MATCH($A3916,Emp_Codes,0)),"NOT FOUND"))</f>
        <v/>
      </c>
      <c r="C3916" s="14" t="n"/>
      <c r="D3916" s="15" t="n"/>
      <c r="E3916" s="15" t="n"/>
      <c r="F3916" s="15" t="n"/>
      <c r="G3916" s="15" t="n"/>
      <c r="H3916" s="16">
        <f>IF($A3916="","",$D3916+IF($E3916="",0,$E3916)+IF($F3916="",0,$F3916)-IF($G3916="",0,$G3916))</f>
        <v/>
      </c>
      <c r="I3916" s="12" t="n"/>
      <c r="J3916" s="12" t="n"/>
      <c r="K3916" s="12" t="n"/>
      <c r="L3916" s="14" t="n"/>
      <c r="M3916" s="12" t="n"/>
      <c r="N3916" s="12" t="n"/>
      <c r="O3916" s="12" t="n"/>
    </row>
    <row r="3917">
      <c r="A3917" s="12" t="n"/>
      <c r="B3917" s="13">
        <f>IF($A3917="","",IFERROR(INDEX(Emp_Names,MATCH($A3917,Emp_Codes,0)),"NOT FOUND"))</f>
        <v/>
      </c>
      <c r="C3917" s="14" t="n"/>
      <c r="D3917" s="15" t="n"/>
      <c r="E3917" s="15" t="n"/>
      <c r="F3917" s="15" t="n"/>
      <c r="G3917" s="15" t="n"/>
      <c r="H3917" s="16">
        <f>IF($A3917="","",$D3917+IF($E3917="",0,$E3917)+IF($F3917="",0,$F3917)-IF($G3917="",0,$G3917))</f>
        <v/>
      </c>
      <c r="I3917" s="12" t="n"/>
      <c r="J3917" s="12" t="n"/>
      <c r="K3917" s="12" t="n"/>
      <c r="L3917" s="14" t="n"/>
      <c r="M3917" s="12" t="n"/>
      <c r="N3917" s="12" t="n"/>
      <c r="O3917" s="12" t="n"/>
    </row>
    <row r="3918">
      <c r="A3918" s="12" t="n"/>
      <c r="B3918" s="13">
        <f>IF($A3918="","",IFERROR(INDEX(Emp_Names,MATCH($A3918,Emp_Codes,0)),"NOT FOUND"))</f>
        <v/>
      </c>
      <c r="C3918" s="14" t="n"/>
      <c r="D3918" s="15" t="n"/>
      <c r="E3918" s="15" t="n"/>
      <c r="F3918" s="15" t="n"/>
      <c r="G3918" s="15" t="n"/>
      <c r="H3918" s="16">
        <f>IF($A3918="","",$D3918+IF($E3918="",0,$E3918)+IF($F3918="",0,$F3918)-IF($G3918="",0,$G3918))</f>
        <v/>
      </c>
      <c r="I3918" s="12" t="n"/>
      <c r="J3918" s="12" t="n"/>
      <c r="K3918" s="12" t="n"/>
      <c r="L3918" s="14" t="n"/>
      <c r="M3918" s="12" t="n"/>
      <c r="N3918" s="12" t="n"/>
      <c r="O3918" s="12" t="n"/>
    </row>
    <row r="3919">
      <c r="A3919" s="12" t="n"/>
      <c r="B3919" s="13">
        <f>IF($A3919="","",IFERROR(INDEX(Emp_Names,MATCH($A3919,Emp_Codes,0)),"NOT FOUND"))</f>
        <v/>
      </c>
      <c r="C3919" s="14" t="n"/>
      <c r="D3919" s="15" t="n"/>
      <c r="E3919" s="15" t="n"/>
      <c r="F3919" s="15" t="n"/>
      <c r="G3919" s="15" t="n"/>
      <c r="H3919" s="16">
        <f>IF($A3919="","",$D3919+IF($E3919="",0,$E3919)+IF($F3919="",0,$F3919)-IF($G3919="",0,$G3919))</f>
        <v/>
      </c>
      <c r="I3919" s="12" t="n"/>
      <c r="J3919" s="12" t="n"/>
      <c r="K3919" s="12" t="n"/>
      <c r="L3919" s="14" t="n"/>
      <c r="M3919" s="12" t="n"/>
      <c r="N3919" s="12" t="n"/>
      <c r="O3919" s="12" t="n"/>
    </row>
    <row r="3920">
      <c r="A3920" s="12" t="n"/>
      <c r="B3920" s="13">
        <f>IF($A3920="","",IFERROR(INDEX(Emp_Names,MATCH($A3920,Emp_Codes,0)),"NOT FOUND"))</f>
        <v/>
      </c>
      <c r="C3920" s="14" t="n"/>
      <c r="D3920" s="15" t="n"/>
      <c r="E3920" s="15" t="n"/>
      <c r="F3920" s="15" t="n"/>
      <c r="G3920" s="15" t="n"/>
      <c r="H3920" s="16">
        <f>IF($A3920="","",$D3920+IF($E3920="",0,$E3920)+IF($F3920="",0,$F3920)-IF($G3920="",0,$G3920))</f>
        <v/>
      </c>
      <c r="I3920" s="12" t="n"/>
      <c r="J3920" s="12" t="n"/>
      <c r="K3920" s="12" t="n"/>
      <c r="L3920" s="14" t="n"/>
      <c r="M3920" s="12" t="n"/>
      <c r="N3920" s="12" t="n"/>
      <c r="O3920" s="12" t="n"/>
    </row>
    <row r="3921">
      <c r="A3921" s="12" t="n"/>
      <c r="B3921" s="13">
        <f>IF($A3921="","",IFERROR(INDEX(Emp_Names,MATCH($A3921,Emp_Codes,0)),"NOT FOUND"))</f>
        <v/>
      </c>
      <c r="C3921" s="14" t="n"/>
      <c r="D3921" s="15" t="n"/>
      <c r="E3921" s="15" t="n"/>
      <c r="F3921" s="15" t="n"/>
      <c r="G3921" s="15" t="n"/>
      <c r="H3921" s="16">
        <f>IF($A3921="","",$D3921+IF($E3921="",0,$E3921)+IF($F3921="",0,$F3921)-IF($G3921="",0,$G3921))</f>
        <v/>
      </c>
      <c r="I3921" s="12" t="n"/>
      <c r="J3921" s="12" t="n"/>
      <c r="K3921" s="12" t="n"/>
      <c r="L3921" s="14" t="n"/>
      <c r="M3921" s="12" t="n"/>
      <c r="N3921" s="12" t="n"/>
      <c r="O3921" s="12" t="n"/>
    </row>
    <row r="3922">
      <c r="A3922" s="12" t="n"/>
      <c r="B3922" s="13">
        <f>IF($A3922="","",IFERROR(INDEX(Emp_Names,MATCH($A3922,Emp_Codes,0)),"NOT FOUND"))</f>
        <v/>
      </c>
      <c r="C3922" s="14" t="n"/>
      <c r="D3922" s="15" t="n"/>
      <c r="E3922" s="15" t="n"/>
      <c r="F3922" s="15" t="n"/>
      <c r="G3922" s="15" t="n"/>
      <c r="H3922" s="16">
        <f>IF($A3922="","",$D3922+IF($E3922="",0,$E3922)+IF($F3922="",0,$F3922)-IF($G3922="",0,$G3922))</f>
        <v/>
      </c>
      <c r="I3922" s="12" t="n"/>
      <c r="J3922" s="12" t="n"/>
      <c r="K3922" s="12" t="n"/>
      <c r="L3922" s="14" t="n"/>
      <c r="M3922" s="12" t="n"/>
      <c r="N3922" s="12" t="n"/>
      <c r="O3922" s="12" t="n"/>
    </row>
    <row r="3923">
      <c r="A3923" s="12" t="n"/>
      <c r="B3923" s="13">
        <f>IF($A3923="","",IFERROR(INDEX(Emp_Names,MATCH($A3923,Emp_Codes,0)),"NOT FOUND"))</f>
        <v/>
      </c>
      <c r="C3923" s="14" t="n"/>
      <c r="D3923" s="15" t="n"/>
      <c r="E3923" s="15" t="n"/>
      <c r="F3923" s="15" t="n"/>
      <c r="G3923" s="15" t="n"/>
      <c r="H3923" s="16">
        <f>IF($A3923="","",$D3923+IF($E3923="",0,$E3923)+IF($F3923="",0,$F3923)-IF($G3923="",0,$G3923))</f>
        <v/>
      </c>
      <c r="I3923" s="12" t="n"/>
      <c r="J3923" s="12" t="n"/>
      <c r="K3923" s="12" t="n"/>
      <c r="L3923" s="14" t="n"/>
      <c r="M3923" s="12" t="n"/>
      <c r="N3923" s="12" t="n"/>
      <c r="O3923" s="12" t="n"/>
    </row>
    <row r="3924">
      <c r="A3924" s="12" t="n"/>
      <c r="B3924" s="13">
        <f>IF($A3924="","",IFERROR(INDEX(Emp_Names,MATCH($A3924,Emp_Codes,0)),"NOT FOUND"))</f>
        <v/>
      </c>
      <c r="C3924" s="14" t="n"/>
      <c r="D3924" s="15" t="n"/>
      <c r="E3924" s="15" t="n"/>
      <c r="F3924" s="15" t="n"/>
      <c r="G3924" s="15" t="n"/>
      <c r="H3924" s="16">
        <f>IF($A3924="","",$D3924+IF($E3924="",0,$E3924)+IF($F3924="",0,$F3924)-IF($G3924="",0,$G3924))</f>
        <v/>
      </c>
      <c r="I3924" s="12" t="n"/>
      <c r="J3924" s="12" t="n"/>
      <c r="K3924" s="12" t="n"/>
      <c r="L3924" s="14" t="n"/>
      <c r="M3924" s="12" t="n"/>
      <c r="N3924" s="12" t="n"/>
      <c r="O3924" s="12" t="n"/>
    </row>
    <row r="3925">
      <c r="A3925" s="12" t="n"/>
      <c r="B3925" s="13">
        <f>IF($A3925="","",IFERROR(INDEX(Emp_Names,MATCH($A3925,Emp_Codes,0)),"NOT FOUND"))</f>
        <v/>
      </c>
      <c r="C3925" s="14" t="n"/>
      <c r="D3925" s="15" t="n"/>
      <c r="E3925" s="15" t="n"/>
      <c r="F3925" s="15" t="n"/>
      <c r="G3925" s="15" t="n"/>
      <c r="H3925" s="16">
        <f>IF($A3925="","",$D3925+IF($E3925="",0,$E3925)+IF($F3925="",0,$F3925)-IF($G3925="",0,$G3925))</f>
        <v/>
      </c>
      <c r="I3925" s="12" t="n"/>
      <c r="J3925" s="12" t="n"/>
      <c r="K3925" s="12" t="n"/>
      <c r="L3925" s="14" t="n"/>
      <c r="M3925" s="12" t="n"/>
      <c r="N3925" s="12" t="n"/>
      <c r="O3925" s="12" t="n"/>
    </row>
    <row r="3926">
      <c r="A3926" s="12" t="n"/>
      <c r="B3926" s="13">
        <f>IF($A3926="","",IFERROR(INDEX(Emp_Names,MATCH($A3926,Emp_Codes,0)),"NOT FOUND"))</f>
        <v/>
      </c>
      <c r="C3926" s="14" t="n"/>
      <c r="D3926" s="15" t="n"/>
      <c r="E3926" s="15" t="n"/>
      <c r="F3926" s="15" t="n"/>
      <c r="G3926" s="15" t="n"/>
      <c r="H3926" s="16">
        <f>IF($A3926="","",$D3926+IF($E3926="",0,$E3926)+IF($F3926="",0,$F3926)-IF($G3926="",0,$G3926))</f>
        <v/>
      </c>
      <c r="I3926" s="12" t="n"/>
      <c r="J3926" s="12" t="n"/>
      <c r="K3926" s="12" t="n"/>
      <c r="L3926" s="14" t="n"/>
      <c r="M3926" s="12" t="n"/>
      <c r="N3926" s="12" t="n"/>
      <c r="O3926" s="12" t="n"/>
    </row>
    <row r="3927">
      <c r="A3927" s="12" t="n"/>
      <c r="B3927" s="13">
        <f>IF($A3927="","",IFERROR(INDEX(Emp_Names,MATCH($A3927,Emp_Codes,0)),"NOT FOUND"))</f>
        <v/>
      </c>
      <c r="C3927" s="14" t="n"/>
      <c r="D3927" s="15" t="n"/>
      <c r="E3927" s="15" t="n"/>
      <c r="F3927" s="15" t="n"/>
      <c r="G3927" s="15" t="n"/>
      <c r="H3927" s="16">
        <f>IF($A3927="","",$D3927+IF($E3927="",0,$E3927)+IF($F3927="",0,$F3927)-IF($G3927="",0,$G3927))</f>
        <v/>
      </c>
      <c r="I3927" s="12" t="n"/>
      <c r="J3927" s="12" t="n"/>
      <c r="K3927" s="12" t="n"/>
      <c r="L3927" s="14" t="n"/>
      <c r="M3927" s="12" t="n"/>
      <c r="N3927" s="12" t="n"/>
      <c r="O3927" s="12" t="n"/>
    </row>
    <row r="3928">
      <c r="A3928" s="12" t="n"/>
      <c r="B3928" s="13">
        <f>IF($A3928="","",IFERROR(INDEX(Emp_Names,MATCH($A3928,Emp_Codes,0)),"NOT FOUND"))</f>
        <v/>
      </c>
      <c r="C3928" s="14" t="n"/>
      <c r="D3928" s="15" t="n"/>
      <c r="E3928" s="15" t="n"/>
      <c r="F3928" s="15" t="n"/>
      <c r="G3928" s="15" t="n"/>
      <c r="H3928" s="16">
        <f>IF($A3928="","",$D3928+IF($E3928="",0,$E3928)+IF($F3928="",0,$F3928)-IF($G3928="",0,$G3928))</f>
        <v/>
      </c>
      <c r="I3928" s="12" t="n"/>
      <c r="J3928" s="12" t="n"/>
      <c r="K3928" s="12" t="n"/>
      <c r="L3928" s="14" t="n"/>
      <c r="M3928" s="12" t="n"/>
      <c r="N3928" s="12" t="n"/>
      <c r="O3928" s="12" t="n"/>
    </row>
    <row r="3929">
      <c r="A3929" s="12" t="n"/>
      <c r="B3929" s="13">
        <f>IF($A3929="","",IFERROR(INDEX(Emp_Names,MATCH($A3929,Emp_Codes,0)),"NOT FOUND"))</f>
        <v/>
      </c>
      <c r="C3929" s="14" t="n"/>
      <c r="D3929" s="15" t="n"/>
      <c r="E3929" s="15" t="n"/>
      <c r="F3929" s="15" t="n"/>
      <c r="G3929" s="15" t="n"/>
      <c r="H3929" s="16">
        <f>IF($A3929="","",$D3929+IF($E3929="",0,$E3929)+IF($F3929="",0,$F3929)-IF($G3929="",0,$G3929))</f>
        <v/>
      </c>
      <c r="I3929" s="12" t="n"/>
      <c r="J3929" s="12" t="n"/>
      <c r="K3929" s="12" t="n"/>
      <c r="L3929" s="14" t="n"/>
      <c r="M3929" s="12" t="n"/>
      <c r="N3929" s="12" t="n"/>
      <c r="O3929" s="12" t="n"/>
    </row>
    <row r="3930">
      <c r="A3930" s="12" t="n"/>
      <c r="B3930" s="13">
        <f>IF($A3930="","",IFERROR(INDEX(Emp_Names,MATCH($A3930,Emp_Codes,0)),"NOT FOUND"))</f>
        <v/>
      </c>
      <c r="C3930" s="14" t="n"/>
      <c r="D3930" s="15" t="n"/>
      <c r="E3930" s="15" t="n"/>
      <c r="F3930" s="15" t="n"/>
      <c r="G3930" s="15" t="n"/>
      <c r="H3930" s="16">
        <f>IF($A3930="","",$D3930+IF($E3930="",0,$E3930)+IF($F3930="",0,$F3930)-IF($G3930="",0,$G3930))</f>
        <v/>
      </c>
      <c r="I3930" s="12" t="n"/>
      <c r="J3930" s="12" t="n"/>
      <c r="K3930" s="12" t="n"/>
      <c r="L3930" s="14" t="n"/>
      <c r="M3930" s="12" t="n"/>
      <c r="N3930" s="12" t="n"/>
      <c r="O3930" s="12" t="n"/>
    </row>
    <row r="3931">
      <c r="A3931" s="12" t="n"/>
      <c r="B3931" s="13">
        <f>IF($A3931="","",IFERROR(INDEX(Emp_Names,MATCH($A3931,Emp_Codes,0)),"NOT FOUND"))</f>
        <v/>
      </c>
      <c r="C3931" s="14" t="n"/>
      <c r="D3931" s="15" t="n"/>
      <c r="E3931" s="15" t="n"/>
      <c r="F3931" s="15" t="n"/>
      <c r="G3931" s="15" t="n"/>
      <c r="H3931" s="16">
        <f>IF($A3931="","",$D3931+IF($E3931="",0,$E3931)+IF($F3931="",0,$F3931)-IF($G3931="",0,$G3931))</f>
        <v/>
      </c>
      <c r="I3931" s="12" t="n"/>
      <c r="J3931" s="12" t="n"/>
      <c r="K3931" s="12" t="n"/>
      <c r="L3931" s="14" t="n"/>
      <c r="M3931" s="12" t="n"/>
      <c r="N3931" s="12" t="n"/>
      <c r="O3931" s="12" t="n"/>
    </row>
    <row r="3932">
      <c r="A3932" s="12" t="n"/>
      <c r="B3932" s="13">
        <f>IF($A3932="","",IFERROR(INDEX(Emp_Names,MATCH($A3932,Emp_Codes,0)),"NOT FOUND"))</f>
        <v/>
      </c>
      <c r="C3932" s="14" t="n"/>
      <c r="D3932" s="15" t="n"/>
      <c r="E3932" s="15" t="n"/>
      <c r="F3932" s="15" t="n"/>
      <c r="G3932" s="15" t="n"/>
      <c r="H3932" s="16">
        <f>IF($A3932="","",$D3932+IF($E3932="",0,$E3932)+IF($F3932="",0,$F3932)-IF($G3932="",0,$G3932))</f>
        <v/>
      </c>
      <c r="I3932" s="12" t="n"/>
      <c r="J3932" s="12" t="n"/>
      <c r="K3932" s="12" t="n"/>
      <c r="L3932" s="14" t="n"/>
      <c r="M3932" s="12" t="n"/>
      <c r="N3932" s="12" t="n"/>
      <c r="O3932" s="12" t="n"/>
    </row>
    <row r="3933">
      <c r="A3933" s="12" t="n"/>
      <c r="B3933" s="13">
        <f>IF($A3933="","",IFERROR(INDEX(Emp_Names,MATCH($A3933,Emp_Codes,0)),"NOT FOUND"))</f>
        <v/>
      </c>
      <c r="C3933" s="14" t="n"/>
      <c r="D3933" s="15" t="n"/>
      <c r="E3933" s="15" t="n"/>
      <c r="F3933" s="15" t="n"/>
      <c r="G3933" s="15" t="n"/>
      <c r="H3933" s="16">
        <f>IF($A3933="","",$D3933+IF($E3933="",0,$E3933)+IF($F3933="",0,$F3933)-IF($G3933="",0,$G3933))</f>
        <v/>
      </c>
      <c r="I3933" s="12" t="n"/>
      <c r="J3933" s="12" t="n"/>
      <c r="K3933" s="12" t="n"/>
      <c r="L3933" s="14" t="n"/>
      <c r="M3933" s="12" t="n"/>
      <c r="N3933" s="12" t="n"/>
      <c r="O3933" s="12" t="n"/>
    </row>
    <row r="3934">
      <c r="A3934" s="12" t="n"/>
      <c r="B3934" s="13">
        <f>IF($A3934="","",IFERROR(INDEX(Emp_Names,MATCH($A3934,Emp_Codes,0)),"NOT FOUND"))</f>
        <v/>
      </c>
      <c r="C3934" s="14" t="n"/>
      <c r="D3934" s="15" t="n"/>
      <c r="E3934" s="15" t="n"/>
      <c r="F3934" s="15" t="n"/>
      <c r="G3934" s="15" t="n"/>
      <c r="H3934" s="16">
        <f>IF($A3934="","",$D3934+IF($E3934="",0,$E3934)+IF($F3934="",0,$F3934)-IF($G3934="",0,$G3934))</f>
        <v/>
      </c>
      <c r="I3934" s="12" t="n"/>
      <c r="J3934" s="12" t="n"/>
      <c r="K3934" s="12" t="n"/>
      <c r="L3934" s="14" t="n"/>
      <c r="M3934" s="12" t="n"/>
      <c r="N3934" s="12" t="n"/>
      <c r="O3934" s="12" t="n"/>
    </row>
    <row r="3935">
      <c r="A3935" s="12" t="n"/>
      <c r="B3935" s="13">
        <f>IF($A3935="","",IFERROR(INDEX(Emp_Names,MATCH($A3935,Emp_Codes,0)),"NOT FOUND"))</f>
        <v/>
      </c>
      <c r="C3935" s="14" t="n"/>
      <c r="D3935" s="15" t="n"/>
      <c r="E3935" s="15" t="n"/>
      <c r="F3935" s="15" t="n"/>
      <c r="G3935" s="15" t="n"/>
      <c r="H3935" s="16">
        <f>IF($A3935="","",$D3935+IF($E3935="",0,$E3935)+IF($F3935="",0,$F3935)-IF($G3935="",0,$G3935))</f>
        <v/>
      </c>
      <c r="I3935" s="12" t="n"/>
      <c r="J3935" s="12" t="n"/>
      <c r="K3935" s="12" t="n"/>
      <c r="L3935" s="14" t="n"/>
      <c r="M3935" s="12" t="n"/>
      <c r="N3935" s="12" t="n"/>
      <c r="O3935" s="12" t="n"/>
    </row>
    <row r="3936">
      <c r="A3936" s="12" t="n"/>
      <c r="B3936" s="13">
        <f>IF($A3936="","",IFERROR(INDEX(Emp_Names,MATCH($A3936,Emp_Codes,0)),"NOT FOUND"))</f>
        <v/>
      </c>
      <c r="C3936" s="14" t="n"/>
      <c r="D3936" s="15" t="n"/>
      <c r="E3936" s="15" t="n"/>
      <c r="F3936" s="15" t="n"/>
      <c r="G3936" s="15" t="n"/>
      <c r="H3936" s="16">
        <f>IF($A3936="","",$D3936+IF($E3936="",0,$E3936)+IF($F3936="",0,$F3936)-IF($G3936="",0,$G3936))</f>
        <v/>
      </c>
      <c r="I3936" s="12" t="n"/>
      <c r="J3936" s="12" t="n"/>
      <c r="K3936" s="12" t="n"/>
      <c r="L3936" s="14" t="n"/>
      <c r="M3936" s="12" t="n"/>
      <c r="N3936" s="12" t="n"/>
      <c r="O3936" s="12" t="n"/>
    </row>
    <row r="3937">
      <c r="A3937" s="12" t="n"/>
      <c r="B3937" s="13">
        <f>IF($A3937="","",IFERROR(INDEX(Emp_Names,MATCH($A3937,Emp_Codes,0)),"NOT FOUND"))</f>
        <v/>
      </c>
      <c r="C3937" s="14" t="n"/>
      <c r="D3937" s="15" t="n"/>
      <c r="E3937" s="15" t="n"/>
      <c r="F3937" s="15" t="n"/>
      <c r="G3937" s="15" t="n"/>
      <c r="H3937" s="16">
        <f>IF($A3937="","",$D3937+IF($E3937="",0,$E3937)+IF($F3937="",0,$F3937)-IF($G3937="",0,$G3937))</f>
        <v/>
      </c>
      <c r="I3937" s="12" t="n"/>
      <c r="J3937" s="12" t="n"/>
      <c r="K3937" s="12" t="n"/>
      <c r="L3937" s="14" t="n"/>
      <c r="M3937" s="12" t="n"/>
      <c r="N3937" s="12" t="n"/>
      <c r="O3937" s="12" t="n"/>
    </row>
    <row r="3938">
      <c r="A3938" s="12" t="n"/>
      <c r="B3938" s="13">
        <f>IF($A3938="","",IFERROR(INDEX(Emp_Names,MATCH($A3938,Emp_Codes,0)),"NOT FOUND"))</f>
        <v/>
      </c>
      <c r="C3938" s="14" t="n"/>
      <c r="D3938" s="15" t="n"/>
      <c r="E3938" s="15" t="n"/>
      <c r="F3938" s="15" t="n"/>
      <c r="G3938" s="15" t="n"/>
      <c r="H3938" s="16">
        <f>IF($A3938="","",$D3938+IF($E3938="",0,$E3938)+IF($F3938="",0,$F3938)-IF($G3938="",0,$G3938))</f>
        <v/>
      </c>
      <c r="I3938" s="12" t="n"/>
      <c r="J3938" s="12" t="n"/>
      <c r="K3938" s="12" t="n"/>
      <c r="L3938" s="14" t="n"/>
      <c r="M3938" s="12" t="n"/>
      <c r="N3938" s="12" t="n"/>
      <c r="O3938" s="12" t="n"/>
    </row>
    <row r="3939">
      <c r="A3939" s="12" t="n"/>
      <c r="B3939" s="13">
        <f>IF($A3939="","",IFERROR(INDEX(Emp_Names,MATCH($A3939,Emp_Codes,0)),"NOT FOUND"))</f>
        <v/>
      </c>
      <c r="C3939" s="14" t="n"/>
      <c r="D3939" s="15" t="n"/>
      <c r="E3939" s="15" t="n"/>
      <c r="F3939" s="15" t="n"/>
      <c r="G3939" s="15" t="n"/>
      <c r="H3939" s="16">
        <f>IF($A3939="","",$D3939+IF($E3939="",0,$E3939)+IF($F3939="",0,$F3939)-IF($G3939="",0,$G3939))</f>
        <v/>
      </c>
      <c r="I3939" s="12" t="n"/>
      <c r="J3939" s="12" t="n"/>
      <c r="K3939" s="12" t="n"/>
      <c r="L3939" s="14" t="n"/>
      <c r="M3939" s="12" t="n"/>
      <c r="N3939" s="12" t="n"/>
      <c r="O3939" s="12" t="n"/>
    </row>
    <row r="3940">
      <c r="A3940" s="12" t="n"/>
      <c r="B3940" s="13">
        <f>IF($A3940="","",IFERROR(INDEX(Emp_Names,MATCH($A3940,Emp_Codes,0)),"NOT FOUND"))</f>
        <v/>
      </c>
      <c r="C3940" s="14" t="n"/>
      <c r="D3940" s="15" t="n"/>
      <c r="E3940" s="15" t="n"/>
      <c r="F3940" s="15" t="n"/>
      <c r="G3940" s="15" t="n"/>
      <c r="H3940" s="16">
        <f>IF($A3940="","",$D3940+IF($E3940="",0,$E3940)+IF($F3940="",0,$F3940)-IF($G3940="",0,$G3940))</f>
        <v/>
      </c>
      <c r="I3940" s="12" t="n"/>
      <c r="J3940" s="12" t="n"/>
      <c r="K3940" s="12" t="n"/>
      <c r="L3940" s="14" t="n"/>
      <c r="M3940" s="12" t="n"/>
      <c r="N3940" s="12" t="n"/>
      <c r="O3940" s="12" t="n"/>
    </row>
    <row r="3941">
      <c r="A3941" s="12" t="n"/>
      <c r="B3941" s="13">
        <f>IF($A3941="","",IFERROR(INDEX(Emp_Names,MATCH($A3941,Emp_Codes,0)),"NOT FOUND"))</f>
        <v/>
      </c>
      <c r="C3941" s="14" t="n"/>
      <c r="D3941" s="15" t="n"/>
      <c r="E3941" s="15" t="n"/>
      <c r="F3941" s="15" t="n"/>
      <c r="G3941" s="15" t="n"/>
      <c r="H3941" s="16">
        <f>IF($A3941="","",$D3941+IF($E3941="",0,$E3941)+IF($F3941="",0,$F3941)-IF($G3941="",0,$G3941))</f>
        <v/>
      </c>
      <c r="I3941" s="12" t="n"/>
      <c r="J3941" s="12" t="n"/>
      <c r="K3941" s="12" t="n"/>
      <c r="L3941" s="14" t="n"/>
      <c r="M3941" s="12" t="n"/>
      <c r="N3941" s="12" t="n"/>
      <c r="O3941" s="12" t="n"/>
    </row>
    <row r="3942">
      <c r="A3942" s="12" t="n"/>
      <c r="B3942" s="13">
        <f>IF($A3942="","",IFERROR(INDEX(Emp_Names,MATCH($A3942,Emp_Codes,0)),"NOT FOUND"))</f>
        <v/>
      </c>
      <c r="C3942" s="14" t="n"/>
      <c r="D3942" s="15" t="n"/>
      <c r="E3942" s="15" t="n"/>
      <c r="F3942" s="15" t="n"/>
      <c r="G3942" s="15" t="n"/>
      <c r="H3942" s="16">
        <f>IF($A3942="","",$D3942+IF($E3942="",0,$E3942)+IF($F3942="",0,$F3942)-IF($G3942="",0,$G3942))</f>
        <v/>
      </c>
      <c r="I3942" s="12" t="n"/>
      <c r="J3942" s="12" t="n"/>
      <c r="K3942" s="12" t="n"/>
      <c r="L3942" s="14" t="n"/>
      <c r="M3942" s="12" t="n"/>
      <c r="N3942" s="12" t="n"/>
      <c r="O3942" s="12" t="n"/>
    </row>
    <row r="3943">
      <c r="A3943" s="12" t="n"/>
      <c r="B3943" s="13">
        <f>IF($A3943="","",IFERROR(INDEX(Emp_Names,MATCH($A3943,Emp_Codes,0)),"NOT FOUND"))</f>
        <v/>
      </c>
      <c r="C3943" s="14" t="n"/>
      <c r="D3943" s="15" t="n"/>
      <c r="E3943" s="15" t="n"/>
      <c r="F3943" s="15" t="n"/>
      <c r="G3943" s="15" t="n"/>
      <c r="H3943" s="16">
        <f>IF($A3943="","",$D3943+IF($E3943="",0,$E3943)+IF($F3943="",0,$F3943)-IF($G3943="",0,$G3943))</f>
        <v/>
      </c>
      <c r="I3943" s="12" t="n"/>
      <c r="J3943" s="12" t="n"/>
      <c r="K3943" s="12" t="n"/>
      <c r="L3943" s="14" t="n"/>
      <c r="M3943" s="12" t="n"/>
      <c r="N3943" s="12" t="n"/>
      <c r="O3943" s="12" t="n"/>
    </row>
    <row r="3944">
      <c r="A3944" s="12" t="n"/>
      <c r="B3944" s="13">
        <f>IF($A3944="","",IFERROR(INDEX(Emp_Names,MATCH($A3944,Emp_Codes,0)),"NOT FOUND"))</f>
        <v/>
      </c>
      <c r="C3944" s="14" t="n"/>
      <c r="D3944" s="15" t="n"/>
      <c r="E3944" s="15" t="n"/>
      <c r="F3944" s="15" t="n"/>
      <c r="G3944" s="15" t="n"/>
      <c r="H3944" s="16">
        <f>IF($A3944="","",$D3944+IF($E3944="",0,$E3944)+IF($F3944="",0,$F3944)-IF($G3944="",0,$G3944))</f>
        <v/>
      </c>
      <c r="I3944" s="12" t="n"/>
      <c r="J3944" s="12" t="n"/>
      <c r="K3944" s="12" t="n"/>
      <c r="L3944" s="14" t="n"/>
      <c r="M3944" s="12" t="n"/>
      <c r="N3944" s="12" t="n"/>
      <c r="O3944" s="12" t="n"/>
    </row>
    <row r="3945">
      <c r="A3945" s="12" t="n"/>
      <c r="B3945" s="13">
        <f>IF($A3945="","",IFERROR(INDEX(Emp_Names,MATCH($A3945,Emp_Codes,0)),"NOT FOUND"))</f>
        <v/>
      </c>
      <c r="C3945" s="14" t="n"/>
      <c r="D3945" s="15" t="n"/>
      <c r="E3945" s="15" t="n"/>
      <c r="F3945" s="15" t="n"/>
      <c r="G3945" s="15" t="n"/>
      <c r="H3945" s="16">
        <f>IF($A3945="","",$D3945+IF($E3945="",0,$E3945)+IF($F3945="",0,$F3945)-IF($G3945="",0,$G3945))</f>
        <v/>
      </c>
      <c r="I3945" s="12" t="n"/>
      <c r="J3945" s="12" t="n"/>
      <c r="K3945" s="12" t="n"/>
      <c r="L3945" s="14" t="n"/>
      <c r="M3945" s="12" t="n"/>
      <c r="N3945" s="12" t="n"/>
      <c r="O3945" s="12" t="n"/>
    </row>
    <row r="3946">
      <c r="A3946" s="12" t="n"/>
      <c r="B3946" s="13">
        <f>IF($A3946="","",IFERROR(INDEX(Emp_Names,MATCH($A3946,Emp_Codes,0)),"NOT FOUND"))</f>
        <v/>
      </c>
      <c r="C3946" s="14" t="n"/>
      <c r="D3946" s="15" t="n"/>
      <c r="E3946" s="15" t="n"/>
      <c r="F3946" s="15" t="n"/>
      <c r="G3946" s="15" t="n"/>
      <c r="H3946" s="16">
        <f>IF($A3946="","",$D3946+IF($E3946="",0,$E3946)+IF($F3946="",0,$F3946)-IF($G3946="",0,$G3946))</f>
        <v/>
      </c>
      <c r="I3946" s="12" t="n"/>
      <c r="J3946" s="12" t="n"/>
      <c r="K3946" s="12" t="n"/>
      <c r="L3946" s="14" t="n"/>
      <c r="M3946" s="12" t="n"/>
      <c r="N3946" s="12" t="n"/>
      <c r="O3946" s="12" t="n"/>
    </row>
    <row r="3947">
      <c r="A3947" s="12" t="n"/>
      <c r="B3947" s="13">
        <f>IF($A3947="","",IFERROR(INDEX(Emp_Names,MATCH($A3947,Emp_Codes,0)),"NOT FOUND"))</f>
        <v/>
      </c>
      <c r="C3947" s="14" t="n"/>
      <c r="D3947" s="15" t="n"/>
      <c r="E3947" s="15" t="n"/>
      <c r="F3947" s="15" t="n"/>
      <c r="G3947" s="15" t="n"/>
      <c r="H3947" s="16">
        <f>IF($A3947="","",$D3947+IF($E3947="",0,$E3947)+IF($F3947="",0,$F3947)-IF($G3947="",0,$G3947))</f>
        <v/>
      </c>
      <c r="I3947" s="12" t="n"/>
      <c r="J3947" s="12" t="n"/>
      <c r="K3947" s="12" t="n"/>
      <c r="L3947" s="14" t="n"/>
      <c r="M3947" s="12" t="n"/>
      <c r="N3947" s="12" t="n"/>
      <c r="O3947" s="12" t="n"/>
    </row>
    <row r="3948">
      <c r="A3948" s="12" t="n"/>
      <c r="B3948" s="13">
        <f>IF($A3948="","",IFERROR(INDEX(Emp_Names,MATCH($A3948,Emp_Codes,0)),"NOT FOUND"))</f>
        <v/>
      </c>
      <c r="C3948" s="14" t="n"/>
      <c r="D3948" s="15" t="n"/>
      <c r="E3948" s="15" t="n"/>
      <c r="F3948" s="15" t="n"/>
      <c r="G3948" s="15" t="n"/>
      <c r="H3948" s="16">
        <f>IF($A3948="","",$D3948+IF($E3948="",0,$E3948)+IF($F3948="",0,$F3948)-IF($G3948="",0,$G3948))</f>
        <v/>
      </c>
      <c r="I3948" s="12" t="n"/>
      <c r="J3948" s="12" t="n"/>
      <c r="K3948" s="12" t="n"/>
      <c r="L3948" s="14" t="n"/>
      <c r="M3948" s="12" t="n"/>
      <c r="N3948" s="12" t="n"/>
      <c r="O3948" s="12" t="n"/>
    </row>
    <row r="3949">
      <c r="A3949" s="12" t="n"/>
      <c r="B3949" s="13">
        <f>IF($A3949="","",IFERROR(INDEX(Emp_Names,MATCH($A3949,Emp_Codes,0)),"NOT FOUND"))</f>
        <v/>
      </c>
      <c r="C3949" s="14" t="n"/>
      <c r="D3949" s="15" t="n"/>
      <c r="E3949" s="15" t="n"/>
      <c r="F3949" s="15" t="n"/>
      <c r="G3949" s="15" t="n"/>
      <c r="H3949" s="16">
        <f>IF($A3949="","",$D3949+IF($E3949="",0,$E3949)+IF($F3949="",0,$F3949)-IF($G3949="",0,$G3949))</f>
        <v/>
      </c>
      <c r="I3949" s="12" t="n"/>
      <c r="J3949" s="12" t="n"/>
      <c r="K3949" s="12" t="n"/>
      <c r="L3949" s="14" t="n"/>
      <c r="M3949" s="12" t="n"/>
      <c r="N3949" s="12" t="n"/>
      <c r="O3949" s="12" t="n"/>
    </row>
    <row r="3950">
      <c r="A3950" s="12" t="n"/>
      <c r="B3950" s="13">
        <f>IF($A3950="","",IFERROR(INDEX(Emp_Names,MATCH($A3950,Emp_Codes,0)),"NOT FOUND"))</f>
        <v/>
      </c>
      <c r="C3950" s="14" t="n"/>
      <c r="D3950" s="15" t="n"/>
      <c r="E3950" s="15" t="n"/>
      <c r="F3950" s="15" t="n"/>
      <c r="G3950" s="15" t="n"/>
      <c r="H3950" s="16">
        <f>IF($A3950="","",$D3950+IF($E3950="",0,$E3950)+IF($F3950="",0,$F3950)-IF($G3950="",0,$G3950))</f>
        <v/>
      </c>
      <c r="I3950" s="12" t="n"/>
      <c r="J3950" s="12" t="n"/>
      <c r="K3950" s="12" t="n"/>
      <c r="L3950" s="14" t="n"/>
      <c r="M3950" s="12" t="n"/>
      <c r="N3950" s="12" t="n"/>
      <c r="O3950" s="12" t="n"/>
    </row>
    <row r="3951">
      <c r="A3951" s="12" t="n"/>
      <c r="B3951" s="13">
        <f>IF($A3951="","",IFERROR(INDEX(Emp_Names,MATCH($A3951,Emp_Codes,0)),"NOT FOUND"))</f>
        <v/>
      </c>
      <c r="C3951" s="14" t="n"/>
      <c r="D3951" s="15" t="n"/>
      <c r="E3951" s="15" t="n"/>
      <c r="F3951" s="15" t="n"/>
      <c r="G3951" s="15" t="n"/>
      <c r="H3951" s="16">
        <f>IF($A3951="","",$D3951+IF($E3951="",0,$E3951)+IF($F3951="",0,$F3951)-IF($G3951="",0,$G3951))</f>
        <v/>
      </c>
      <c r="I3951" s="12" t="n"/>
      <c r="J3951" s="12" t="n"/>
      <c r="K3951" s="12" t="n"/>
      <c r="L3951" s="14" t="n"/>
      <c r="M3951" s="12" t="n"/>
      <c r="N3951" s="12" t="n"/>
      <c r="O3951" s="12" t="n"/>
    </row>
    <row r="3952">
      <c r="A3952" s="12" t="n"/>
      <c r="B3952" s="13">
        <f>IF($A3952="","",IFERROR(INDEX(Emp_Names,MATCH($A3952,Emp_Codes,0)),"NOT FOUND"))</f>
        <v/>
      </c>
      <c r="C3952" s="14" t="n"/>
      <c r="D3952" s="15" t="n"/>
      <c r="E3952" s="15" t="n"/>
      <c r="F3952" s="15" t="n"/>
      <c r="G3952" s="15" t="n"/>
      <c r="H3952" s="16">
        <f>IF($A3952="","",$D3952+IF($E3952="",0,$E3952)+IF($F3952="",0,$F3952)-IF($G3952="",0,$G3952))</f>
        <v/>
      </c>
      <c r="I3952" s="12" t="n"/>
      <c r="J3952" s="12" t="n"/>
      <c r="K3952" s="12" t="n"/>
      <c r="L3952" s="14" t="n"/>
      <c r="M3952" s="12" t="n"/>
      <c r="N3952" s="12" t="n"/>
      <c r="O3952" s="12" t="n"/>
    </row>
    <row r="3953">
      <c r="A3953" s="12" t="n"/>
      <c r="B3953" s="13">
        <f>IF($A3953="","",IFERROR(INDEX(Emp_Names,MATCH($A3953,Emp_Codes,0)),"NOT FOUND"))</f>
        <v/>
      </c>
      <c r="C3953" s="14" t="n"/>
      <c r="D3953" s="15" t="n"/>
      <c r="E3953" s="15" t="n"/>
      <c r="F3953" s="15" t="n"/>
      <c r="G3953" s="15" t="n"/>
      <c r="H3953" s="16">
        <f>IF($A3953="","",$D3953+IF($E3953="",0,$E3953)+IF($F3953="",0,$F3953)-IF($G3953="",0,$G3953))</f>
        <v/>
      </c>
      <c r="I3953" s="12" t="n"/>
      <c r="J3953" s="12" t="n"/>
      <c r="K3953" s="12" t="n"/>
      <c r="L3953" s="14" t="n"/>
      <c r="M3953" s="12" t="n"/>
      <c r="N3953" s="12" t="n"/>
      <c r="O3953" s="12" t="n"/>
    </row>
    <row r="3954">
      <c r="A3954" s="12" t="n"/>
      <c r="B3954" s="13">
        <f>IF($A3954="","",IFERROR(INDEX(Emp_Names,MATCH($A3954,Emp_Codes,0)),"NOT FOUND"))</f>
        <v/>
      </c>
      <c r="C3954" s="14" t="n"/>
      <c r="D3954" s="15" t="n"/>
      <c r="E3954" s="15" t="n"/>
      <c r="F3954" s="15" t="n"/>
      <c r="G3954" s="15" t="n"/>
      <c r="H3954" s="16">
        <f>IF($A3954="","",$D3954+IF($E3954="",0,$E3954)+IF($F3954="",0,$F3954)-IF($G3954="",0,$G3954))</f>
        <v/>
      </c>
      <c r="I3954" s="12" t="n"/>
      <c r="J3954" s="12" t="n"/>
      <c r="K3954" s="12" t="n"/>
      <c r="L3954" s="14" t="n"/>
      <c r="M3954" s="12" t="n"/>
      <c r="N3954" s="12" t="n"/>
      <c r="O3954" s="12" t="n"/>
    </row>
    <row r="3955">
      <c r="A3955" s="12" t="n"/>
      <c r="B3955" s="13">
        <f>IF($A3955="","",IFERROR(INDEX(Emp_Names,MATCH($A3955,Emp_Codes,0)),"NOT FOUND"))</f>
        <v/>
      </c>
      <c r="C3955" s="14" t="n"/>
      <c r="D3955" s="15" t="n"/>
      <c r="E3955" s="15" t="n"/>
      <c r="F3955" s="15" t="n"/>
      <c r="G3955" s="15" t="n"/>
      <c r="H3955" s="16">
        <f>IF($A3955="","",$D3955+IF($E3955="",0,$E3955)+IF($F3955="",0,$F3955)-IF($G3955="",0,$G3955))</f>
        <v/>
      </c>
      <c r="I3955" s="12" t="n"/>
      <c r="J3955" s="12" t="n"/>
      <c r="K3955" s="12" t="n"/>
      <c r="L3955" s="14" t="n"/>
      <c r="M3955" s="12" t="n"/>
      <c r="N3955" s="12" t="n"/>
      <c r="O3955" s="12" t="n"/>
    </row>
    <row r="3956">
      <c r="A3956" s="12" t="n"/>
      <c r="B3956" s="13">
        <f>IF($A3956="","",IFERROR(INDEX(Emp_Names,MATCH($A3956,Emp_Codes,0)),"NOT FOUND"))</f>
        <v/>
      </c>
      <c r="C3956" s="14" t="n"/>
      <c r="D3956" s="15" t="n"/>
      <c r="E3956" s="15" t="n"/>
      <c r="F3956" s="15" t="n"/>
      <c r="G3956" s="15" t="n"/>
      <c r="H3956" s="16">
        <f>IF($A3956="","",$D3956+IF($E3956="",0,$E3956)+IF($F3956="",0,$F3956)-IF($G3956="",0,$G3956))</f>
        <v/>
      </c>
      <c r="I3956" s="12" t="n"/>
      <c r="J3956" s="12" t="n"/>
      <c r="K3956" s="12" t="n"/>
      <c r="L3956" s="14" t="n"/>
      <c r="M3956" s="12" t="n"/>
      <c r="N3956" s="12" t="n"/>
      <c r="O3956" s="12" t="n"/>
    </row>
    <row r="3957">
      <c r="A3957" s="12" t="n"/>
      <c r="B3957" s="13">
        <f>IF($A3957="","",IFERROR(INDEX(Emp_Names,MATCH($A3957,Emp_Codes,0)),"NOT FOUND"))</f>
        <v/>
      </c>
      <c r="C3957" s="14" t="n"/>
      <c r="D3957" s="15" t="n"/>
      <c r="E3957" s="15" t="n"/>
      <c r="F3957" s="15" t="n"/>
      <c r="G3957" s="15" t="n"/>
      <c r="H3957" s="16">
        <f>IF($A3957="","",$D3957+IF($E3957="",0,$E3957)+IF($F3957="",0,$F3957)-IF($G3957="",0,$G3957))</f>
        <v/>
      </c>
      <c r="I3957" s="12" t="n"/>
      <c r="J3957" s="12" t="n"/>
      <c r="K3957" s="12" t="n"/>
      <c r="L3957" s="14" t="n"/>
      <c r="M3957" s="12" t="n"/>
      <c r="N3957" s="12" t="n"/>
      <c r="O3957" s="12" t="n"/>
    </row>
    <row r="3958">
      <c r="A3958" s="12" t="n"/>
      <c r="B3958" s="13">
        <f>IF($A3958="","",IFERROR(INDEX(Emp_Names,MATCH($A3958,Emp_Codes,0)),"NOT FOUND"))</f>
        <v/>
      </c>
      <c r="C3958" s="14" t="n"/>
      <c r="D3958" s="15" t="n"/>
      <c r="E3958" s="15" t="n"/>
      <c r="F3958" s="15" t="n"/>
      <c r="G3958" s="15" t="n"/>
      <c r="H3958" s="16">
        <f>IF($A3958="","",$D3958+IF($E3958="",0,$E3958)+IF($F3958="",0,$F3958)-IF($G3958="",0,$G3958))</f>
        <v/>
      </c>
      <c r="I3958" s="12" t="n"/>
      <c r="J3958" s="12" t="n"/>
      <c r="K3958" s="12" t="n"/>
      <c r="L3958" s="14" t="n"/>
      <c r="M3958" s="12" t="n"/>
      <c r="N3958" s="12" t="n"/>
      <c r="O3958" s="12" t="n"/>
    </row>
    <row r="3959">
      <c r="A3959" s="12" t="n"/>
      <c r="B3959" s="13">
        <f>IF($A3959="","",IFERROR(INDEX(Emp_Names,MATCH($A3959,Emp_Codes,0)),"NOT FOUND"))</f>
        <v/>
      </c>
      <c r="C3959" s="14" t="n"/>
      <c r="D3959" s="15" t="n"/>
      <c r="E3959" s="15" t="n"/>
      <c r="F3959" s="15" t="n"/>
      <c r="G3959" s="15" t="n"/>
      <c r="H3959" s="16">
        <f>IF($A3959="","",$D3959+IF($E3959="",0,$E3959)+IF($F3959="",0,$F3959)-IF($G3959="",0,$G3959))</f>
        <v/>
      </c>
      <c r="I3959" s="12" t="n"/>
      <c r="J3959" s="12" t="n"/>
      <c r="K3959" s="12" t="n"/>
      <c r="L3959" s="14" t="n"/>
      <c r="M3959" s="12" t="n"/>
      <c r="N3959" s="12" t="n"/>
      <c r="O3959" s="12" t="n"/>
    </row>
    <row r="3960">
      <c r="A3960" s="12" t="n"/>
      <c r="B3960" s="13">
        <f>IF($A3960="","",IFERROR(INDEX(Emp_Names,MATCH($A3960,Emp_Codes,0)),"NOT FOUND"))</f>
        <v/>
      </c>
      <c r="C3960" s="14" t="n"/>
      <c r="D3960" s="15" t="n"/>
      <c r="E3960" s="15" t="n"/>
      <c r="F3960" s="15" t="n"/>
      <c r="G3960" s="15" t="n"/>
      <c r="H3960" s="16">
        <f>IF($A3960="","",$D3960+IF($E3960="",0,$E3960)+IF($F3960="",0,$F3960)-IF($G3960="",0,$G3960))</f>
        <v/>
      </c>
      <c r="I3960" s="12" t="n"/>
      <c r="J3960" s="12" t="n"/>
      <c r="K3960" s="12" t="n"/>
      <c r="L3960" s="14" t="n"/>
      <c r="M3960" s="12" t="n"/>
      <c r="N3960" s="12" t="n"/>
      <c r="O3960" s="12" t="n"/>
    </row>
    <row r="3961">
      <c r="A3961" s="12" t="n"/>
      <c r="B3961" s="13">
        <f>IF($A3961="","",IFERROR(INDEX(Emp_Names,MATCH($A3961,Emp_Codes,0)),"NOT FOUND"))</f>
        <v/>
      </c>
      <c r="C3961" s="14" t="n"/>
      <c r="D3961" s="15" t="n"/>
      <c r="E3961" s="15" t="n"/>
      <c r="F3961" s="15" t="n"/>
      <c r="G3961" s="15" t="n"/>
      <c r="H3961" s="16">
        <f>IF($A3961="","",$D3961+IF($E3961="",0,$E3961)+IF($F3961="",0,$F3961)-IF($G3961="",0,$G3961))</f>
        <v/>
      </c>
      <c r="I3961" s="12" t="n"/>
      <c r="J3961" s="12" t="n"/>
      <c r="K3961" s="12" t="n"/>
      <c r="L3961" s="14" t="n"/>
      <c r="M3961" s="12" t="n"/>
      <c r="N3961" s="12" t="n"/>
      <c r="O3961" s="12" t="n"/>
    </row>
    <row r="3962">
      <c r="A3962" s="12" t="n"/>
      <c r="B3962" s="13">
        <f>IF($A3962="","",IFERROR(INDEX(Emp_Names,MATCH($A3962,Emp_Codes,0)),"NOT FOUND"))</f>
        <v/>
      </c>
      <c r="C3962" s="14" t="n"/>
      <c r="D3962" s="15" t="n"/>
      <c r="E3962" s="15" t="n"/>
      <c r="F3962" s="15" t="n"/>
      <c r="G3962" s="15" t="n"/>
      <c r="H3962" s="16">
        <f>IF($A3962="","",$D3962+IF($E3962="",0,$E3962)+IF($F3962="",0,$F3962)-IF($G3962="",0,$G3962))</f>
        <v/>
      </c>
      <c r="I3962" s="12" t="n"/>
      <c r="J3962" s="12" t="n"/>
      <c r="K3962" s="12" t="n"/>
      <c r="L3962" s="14" t="n"/>
      <c r="M3962" s="12" t="n"/>
      <c r="N3962" s="12" t="n"/>
      <c r="O3962" s="12" t="n"/>
    </row>
    <row r="3963">
      <c r="A3963" s="12" t="n"/>
      <c r="B3963" s="13">
        <f>IF($A3963="","",IFERROR(INDEX(Emp_Names,MATCH($A3963,Emp_Codes,0)),"NOT FOUND"))</f>
        <v/>
      </c>
      <c r="C3963" s="14" t="n"/>
      <c r="D3963" s="15" t="n"/>
      <c r="E3963" s="15" t="n"/>
      <c r="F3963" s="15" t="n"/>
      <c r="G3963" s="15" t="n"/>
      <c r="H3963" s="16">
        <f>IF($A3963="","",$D3963+IF($E3963="",0,$E3963)+IF($F3963="",0,$F3963)-IF($G3963="",0,$G3963))</f>
        <v/>
      </c>
      <c r="I3963" s="12" t="n"/>
      <c r="J3963" s="12" t="n"/>
      <c r="K3963" s="12" t="n"/>
      <c r="L3963" s="14" t="n"/>
      <c r="M3963" s="12" t="n"/>
      <c r="N3963" s="12" t="n"/>
      <c r="O3963" s="12" t="n"/>
    </row>
    <row r="3964">
      <c r="A3964" s="12" t="n"/>
      <c r="B3964" s="13">
        <f>IF($A3964="","",IFERROR(INDEX(Emp_Names,MATCH($A3964,Emp_Codes,0)),"NOT FOUND"))</f>
        <v/>
      </c>
      <c r="C3964" s="14" t="n"/>
      <c r="D3964" s="15" t="n"/>
      <c r="E3964" s="15" t="n"/>
      <c r="F3964" s="15" t="n"/>
      <c r="G3964" s="15" t="n"/>
      <c r="H3964" s="16">
        <f>IF($A3964="","",$D3964+IF($E3964="",0,$E3964)+IF($F3964="",0,$F3964)-IF($G3964="",0,$G3964))</f>
        <v/>
      </c>
      <c r="I3964" s="12" t="n"/>
      <c r="J3964" s="12" t="n"/>
      <c r="K3964" s="12" t="n"/>
      <c r="L3964" s="14" t="n"/>
      <c r="M3964" s="12" t="n"/>
      <c r="N3964" s="12" t="n"/>
      <c r="O3964" s="12" t="n"/>
    </row>
    <row r="3965">
      <c r="A3965" s="12" t="n"/>
      <c r="B3965" s="13">
        <f>IF($A3965="","",IFERROR(INDEX(Emp_Names,MATCH($A3965,Emp_Codes,0)),"NOT FOUND"))</f>
        <v/>
      </c>
      <c r="C3965" s="14" t="n"/>
      <c r="D3965" s="15" t="n"/>
      <c r="E3965" s="15" t="n"/>
      <c r="F3965" s="15" t="n"/>
      <c r="G3965" s="15" t="n"/>
      <c r="H3965" s="16">
        <f>IF($A3965="","",$D3965+IF($E3965="",0,$E3965)+IF($F3965="",0,$F3965)-IF($G3965="",0,$G3965))</f>
        <v/>
      </c>
      <c r="I3965" s="12" t="n"/>
      <c r="J3965" s="12" t="n"/>
      <c r="K3965" s="12" t="n"/>
      <c r="L3965" s="14" t="n"/>
      <c r="M3965" s="12" t="n"/>
      <c r="N3965" s="12" t="n"/>
      <c r="O3965" s="12" t="n"/>
    </row>
    <row r="3966">
      <c r="A3966" s="12" t="n"/>
      <c r="B3966" s="13">
        <f>IF($A3966="","",IFERROR(INDEX(Emp_Names,MATCH($A3966,Emp_Codes,0)),"NOT FOUND"))</f>
        <v/>
      </c>
      <c r="C3966" s="14" t="n"/>
      <c r="D3966" s="15" t="n"/>
      <c r="E3966" s="15" t="n"/>
      <c r="F3966" s="15" t="n"/>
      <c r="G3966" s="15" t="n"/>
      <c r="H3966" s="16">
        <f>IF($A3966="","",$D3966+IF($E3966="",0,$E3966)+IF($F3966="",0,$F3966)-IF($G3966="",0,$G3966))</f>
        <v/>
      </c>
      <c r="I3966" s="12" t="n"/>
      <c r="J3966" s="12" t="n"/>
      <c r="K3966" s="12" t="n"/>
      <c r="L3966" s="14" t="n"/>
      <c r="M3966" s="12" t="n"/>
      <c r="N3966" s="12" t="n"/>
      <c r="O3966" s="12" t="n"/>
    </row>
    <row r="3967">
      <c r="A3967" s="12" t="n"/>
      <c r="B3967" s="13">
        <f>IF($A3967="","",IFERROR(INDEX(Emp_Names,MATCH($A3967,Emp_Codes,0)),"NOT FOUND"))</f>
        <v/>
      </c>
      <c r="C3967" s="14" t="n"/>
      <c r="D3967" s="15" t="n"/>
      <c r="E3967" s="15" t="n"/>
      <c r="F3967" s="15" t="n"/>
      <c r="G3967" s="15" t="n"/>
      <c r="H3967" s="16">
        <f>IF($A3967="","",$D3967+IF($E3967="",0,$E3967)+IF($F3967="",0,$F3967)-IF($G3967="",0,$G3967))</f>
        <v/>
      </c>
      <c r="I3967" s="12" t="n"/>
      <c r="J3967" s="12" t="n"/>
      <c r="K3967" s="12" t="n"/>
      <c r="L3967" s="14" t="n"/>
      <c r="M3967" s="12" t="n"/>
      <c r="N3967" s="12" t="n"/>
      <c r="O3967" s="12" t="n"/>
    </row>
    <row r="3968">
      <c r="A3968" s="12" t="n"/>
      <c r="B3968" s="13">
        <f>IF($A3968="","",IFERROR(INDEX(Emp_Names,MATCH($A3968,Emp_Codes,0)),"NOT FOUND"))</f>
        <v/>
      </c>
      <c r="C3968" s="14" t="n"/>
      <c r="D3968" s="15" t="n"/>
      <c r="E3968" s="15" t="n"/>
      <c r="F3968" s="15" t="n"/>
      <c r="G3968" s="15" t="n"/>
      <c r="H3968" s="16">
        <f>IF($A3968="","",$D3968+IF($E3968="",0,$E3968)+IF($F3968="",0,$F3968)-IF($G3968="",0,$G3968))</f>
        <v/>
      </c>
      <c r="I3968" s="12" t="n"/>
      <c r="J3968" s="12" t="n"/>
      <c r="K3968" s="12" t="n"/>
      <c r="L3968" s="14" t="n"/>
      <c r="M3968" s="12" t="n"/>
      <c r="N3968" s="12" t="n"/>
      <c r="O3968" s="12" t="n"/>
    </row>
    <row r="3969">
      <c r="A3969" s="12" t="n"/>
      <c r="B3969" s="13">
        <f>IF($A3969="","",IFERROR(INDEX(Emp_Names,MATCH($A3969,Emp_Codes,0)),"NOT FOUND"))</f>
        <v/>
      </c>
      <c r="C3969" s="14" t="n"/>
      <c r="D3969" s="15" t="n"/>
      <c r="E3969" s="15" t="n"/>
      <c r="F3969" s="15" t="n"/>
      <c r="G3969" s="15" t="n"/>
      <c r="H3969" s="16">
        <f>IF($A3969="","",$D3969+IF($E3969="",0,$E3969)+IF($F3969="",0,$F3969)-IF($G3969="",0,$G3969))</f>
        <v/>
      </c>
      <c r="I3969" s="12" t="n"/>
      <c r="J3969" s="12" t="n"/>
      <c r="K3969" s="12" t="n"/>
      <c r="L3969" s="14" t="n"/>
      <c r="M3969" s="12" t="n"/>
      <c r="N3969" s="12" t="n"/>
      <c r="O3969" s="12" t="n"/>
    </row>
    <row r="3970">
      <c r="A3970" s="12" t="n"/>
      <c r="B3970" s="13">
        <f>IF($A3970="","",IFERROR(INDEX(Emp_Names,MATCH($A3970,Emp_Codes,0)),"NOT FOUND"))</f>
        <v/>
      </c>
      <c r="C3970" s="14" t="n"/>
      <c r="D3970" s="15" t="n"/>
      <c r="E3970" s="15" t="n"/>
      <c r="F3970" s="15" t="n"/>
      <c r="G3970" s="15" t="n"/>
      <c r="H3970" s="16">
        <f>IF($A3970="","",$D3970+IF($E3970="",0,$E3970)+IF($F3970="",0,$F3970)-IF($G3970="",0,$G3970))</f>
        <v/>
      </c>
      <c r="I3970" s="12" t="n"/>
      <c r="J3970" s="12" t="n"/>
      <c r="K3970" s="12" t="n"/>
      <c r="L3970" s="14" t="n"/>
      <c r="M3970" s="12" t="n"/>
      <c r="N3970" s="12" t="n"/>
      <c r="O3970" s="12" t="n"/>
    </row>
    <row r="3971">
      <c r="A3971" s="12" t="n"/>
      <c r="B3971" s="13">
        <f>IF($A3971="","",IFERROR(INDEX(Emp_Names,MATCH($A3971,Emp_Codes,0)),"NOT FOUND"))</f>
        <v/>
      </c>
      <c r="C3971" s="14" t="n"/>
      <c r="D3971" s="15" t="n"/>
      <c r="E3971" s="15" t="n"/>
      <c r="F3971" s="15" t="n"/>
      <c r="G3971" s="15" t="n"/>
      <c r="H3971" s="16">
        <f>IF($A3971="","",$D3971+IF($E3971="",0,$E3971)+IF($F3971="",0,$F3971)-IF($G3971="",0,$G3971))</f>
        <v/>
      </c>
      <c r="I3971" s="12" t="n"/>
      <c r="J3971" s="12" t="n"/>
      <c r="K3971" s="12" t="n"/>
      <c r="L3971" s="14" t="n"/>
      <c r="M3971" s="12" t="n"/>
      <c r="N3971" s="12" t="n"/>
      <c r="O3971" s="12" t="n"/>
    </row>
    <row r="3972">
      <c r="A3972" s="12" t="n"/>
      <c r="B3972" s="13">
        <f>IF($A3972="","",IFERROR(INDEX(Emp_Names,MATCH($A3972,Emp_Codes,0)),"NOT FOUND"))</f>
        <v/>
      </c>
      <c r="C3972" s="14" t="n"/>
      <c r="D3972" s="15" t="n"/>
      <c r="E3972" s="15" t="n"/>
      <c r="F3972" s="15" t="n"/>
      <c r="G3972" s="15" t="n"/>
      <c r="H3972" s="16">
        <f>IF($A3972="","",$D3972+IF($E3972="",0,$E3972)+IF($F3972="",0,$F3972)-IF($G3972="",0,$G3972))</f>
        <v/>
      </c>
      <c r="I3972" s="12" t="n"/>
      <c r="J3972" s="12" t="n"/>
      <c r="K3972" s="12" t="n"/>
      <c r="L3972" s="14" t="n"/>
      <c r="M3972" s="12" t="n"/>
      <c r="N3972" s="12" t="n"/>
      <c r="O3972" s="12" t="n"/>
    </row>
    <row r="3973">
      <c r="A3973" s="12" t="n"/>
      <c r="B3973" s="13">
        <f>IF($A3973="","",IFERROR(INDEX(Emp_Names,MATCH($A3973,Emp_Codes,0)),"NOT FOUND"))</f>
        <v/>
      </c>
      <c r="C3973" s="14" t="n"/>
      <c r="D3973" s="15" t="n"/>
      <c r="E3973" s="15" t="n"/>
      <c r="F3973" s="15" t="n"/>
      <c r="G3973" s="15" t="n"/>
      <c r="H3973" s="16">
        <f>IF($A3973="","",$D3973+IF($E3973="",0,$E3973)+IF($F3973="",0,$F3973)-IF($G3973="",0,$G3973))</f>
        <v/>
      </c>
      <c r="I3973" s="12" t="n"/>
      <c r="J3973" s="12" t="n"/>
      <c r="K3973" s="12" t="n"/>
      <c r="L3973" s="14" t="n"/>
      <c r="M3973" s="12" t="n"/>
      <c r="N3973" s="12" t="n"/>
      <c r="O3973" s="12" t="n"/>
    </row>
    <row r="3974">
      <c r="A3974" s="12" t="n"/>
      <c r="B3974" s="13">
        <f>IF($A3974="","",IFERROR(INDEX(Emp_Names,MATCH($A3974,Emp_Codes,0)),"NOT FOUND"))</f>
        <v/>
      </c>
      <c r="C3974" s="14" t="n"/>
      <c r="D3974" s="15" t="n"/>
      <c r="E3974" s="15" t="n"/>
      <c r="F3974" s="15" t="n"/>
      <c r="G3974" s="15" t="n"/>
      <c r="H3974" s="16">
        <f>IF($A3974="","",$D3974+IF($E3974="",0,$E3974)+IF($F3974="",0,$F3974)-IF($G3974="",0,$G3974))</f>
        <v/>
      </c>
      <c r="I3974" s="12" t="n"/>
      <c r="J3974" s="12" t="n"/>
      <c r="K3974" s="12" t="n"/>
      <c r="L3974" s="14" t="n"/>
      <c r="M3974" s="12" t="n"/>
      <c r="N3974" s="12" t="n"/>
      <c r="O3974" s="12" t="n"/>
    </row>
    <row r="3975">
      <c r="A3975" s="12" t="n"/>
      <c r="B3975" s="13">
        <f>IF($A3975="","",IFERROR(INDEX(Emp_Names,MATCH($A3975,Emp_Codes,0)),"NOT FOUND"))</f>
        <v/>
      </c>
      <c r="C3975" s="14" t="n"/>
      <c r="D3975" s="15" t="n"/>
      <c r="E3975" s="15" t="n"/>
      <c r="F3975" s="15" t="n"/>
      <c r="G3975" s="15" t="n"/>
      <c r="H3975" s="16">
        <f>IF($A3975="","",$D3975+IF($E3975="",0,$E3975)+IF($F3975="",0,$F3975)-IF($G3975="",0,$G3975))</f>
        <v/>
      </c>
      <c r="I3975" s="12" t="n"/>
      <c r="J3975" s="12" t="n"/>
      <c r="K3975" s="12" t="n"/>
      <c r="L3975" s="14" t="n"/>
      <c r="M3975" s="12" t="n"/>
      <c r="N3975" s="12" t="n"/>
      <c r="O3975" s="12" t="n"/>
    </row>
    <row r="3976">
      <c r="A3976" s="12" t="n"/>
      <c r="B3976" s="13">
        <f>IF($A3976="","",IFERROR(INDEX(Emp_Names,MATCH($A3976,Emp_Codes,0)),"NOT FOUND"))</f>
        <v/>
      </c>
      <c r="C3976" s="14" t="n"/>
      <c r="D3976" s="15" t="n"/>
      <c r="E3976" s="15" t="n"/>
      <c r="F3976" s="15" t="n"/>
      <c r="G3976" s="15" t="n"/>
      <c r="H3976" s="16">
        <f>IF($A3976="","",$D3976+IF($E3976="",0,$E3976)+IF($F3976="",0,$F3976)-IF($G3976="",0,$G3976))</f>
        <v/>
      </c>
      <c r="I3976" s="12" t="n"/>
      <c r="J3976" s="12" t="n"/>
      <c r="K3976" s="12" t="n"/>
      <c r="L3976" s="14" t="n"/>
      <c r="M3976" s="12" t="n"/>
      <c r="N3976" s="12" t="n"/>
      <c r="O3976" s="12" t="n"/>
    </row>
    <row r="3977">
      <c r="A3977" s="12" t="n"/>
      <c r="B3977" s="13">
        <f>IF($A3977="","",IFERROR(INDEX(Emp_Names,MATCH($A3977,Emp_Codes,0)),"NOT FOUND"))</f>
        <v/>
      </c>
      <c r="C3977" s="14" t="n"/>
      <c r="D3977" s="15" t="n"/>
      <c r="E3977" s="15" t="n"/>
      <c r="F3977" s="15" t="n"/>
      <c r="G3977" s="15" t="n"/>
      <c r="H3977" s="16">
        <f>IF($A3977="","",$D3977+IF($E3977="",0,$E3977)+IF($F3977="",0,$F3977)-IF($G3977="",0,$G3977))</f>
        <v/>
      </c>
      <c r="I3977" s="12" t="n"/>
      <c r="J3977" s="12" t="n"/>
      <c r="K3977" s="12" t="n"/>
      <c r="L3977" s="14" t="n"/>
      <c r="M3977" s="12" t="n"/>
      <c r="N3977" s="12" t="n"/>
      <c r="O3977" s="12" t="n"/>
    </row>
    <row r="3978">
      <c r="A3978" s="12" t="n"/>
      <c r="B3978" s="13">
        <f>IF($A3978="","",IFERROR(INDEX(Emp_Names,MATCH($A3978,Emp_Codes,0)),"NOT FOUND"))</f>
        <v/>
      </c>
      <c r="C3978" s="14" t="n"/>
      <c r="D3978" s="15" t="n"/>
      <c r="E3978" s="15" t="n"/>
      <c r="F3978" s="15" t="n"/>
      <c r="G3978" s="15" t="n"/>
      <c r="H3978" s="16">
        <f>IF($A3978="","",$D3978+IF($E3978="",0,$E3978)+IF($F3978="",0,$F3978)-IF($G3978="",0,$G3978))</f>
        <v/>
      </c>
      <c r="I3978" s="12" t="n"/>
      <c r="J3978" s="12" t="n"/>
      <c r="K3978" s="12" t="n"/>
      <c r="L3978" s="14" t="n"/>
      <c r="M3978" s="12" t="n"/>
      <c r="N3978" s="12" t="n"/>
      <c r="O3978" s="12" t="n"/>
    </row>
    <row r="3979">
      <c r="A3979" s="12" t="n"/>
      <c r="B3979" s="13">
        <f>IF($A3979="","",IFERROR(INDEX(Emp_Names,MATCH($A3979,Emp_Codes,0)),"NOT FOUND"))</f>
        <v/>
      </c>
      <c r="C3979" s="14" t="n"/>
      <c r="D3979" s="15" t="n"/>
      <c r="E3979" s="15" t="n"/>
      <c r="F3979" s="15" t="n"/>
      <c r="G3979" s="15" t="n"/>
      <c r="H3979" s="16">
        <f>IF($A3979="","",$D3979+IF($E3979="",0,$E3979)+IF($F3979="",0,$F3979)-IF($G3979="",0,$G3979))</f>
        <v/>
      </c>
      <c r="I3979" s="12" t="n"/>
      <c r="J3979" s="12" t="n"/>
      <c r="K3979" s="12" t="n"/>
      <c r="L3979" s="14" t="n"/>
      <c r="M3979" s="12" t="n"/>
      <c r="N3979" s="12" t="n"/>
      <c r="O3979" s="12" t="n"/>
    </row>
    <row r="3980">
      <c r="A3980" s="12" t="n"/>
      <c r="B3980" s="13">
        <f>IF($A3980="","",IFERROR(INDEX(Emp_Names,MATCH($A3980,Emp_Codes,0)),"NOT FOUND"))</f>
        <v/>
      </c>
      <c r="C3980" s="14" t="n"/>
      <c r="D3980" s="15" t="n"/>
      <c r="E3980" s="15" t="n"/>
      <c r="F3980" s="15" t="n"/>
      <c r="G3980" s="15" t="n"/>
      <c r="H3980" s="16">
        <f>IF($A3980="","",$D3980+IF($E3980="",0,$E3980)+IF($F3980="",0,$F3980)-IF($G3980="",0,$G3980))</f>
        <v/>
      </c>
      <c r="I3980" s="12" t="n"/>
      <c r="J3980" s="12" t="n"/>
      <c r="K3980" s="12" t="n"/>
      <c r="L3980" s="14" t="n"/>
      <c r="M3980" s="12" t="n"/>
      <c r="N3980" s="12" t="n"/>
      <c r="O3980" s="12" t="n"/>
    </row>
    <row r="3981">
      <c r="A3981" s="12" t="n"/>
      <c r="B3981" s="13">
        <f>IF($A3981="","",IFERROR(INDEX(Emp_Names,MATCH($A3981,Emp_Codes,0)),"NOT FOUND"))</f>
        <v/>
      </c>
      <c r="C3981" s="14" t="n"/>
      <c r="D3981" s="15" t="n"/>
      <c r="E3981" s="15" t="n"/>
      <c r="F3981" s="15" t="n"/>
      <c r="G3981" s="15" t="n"/>
      <c r="H3981" s="16">
        <f>IF($A3981="","",$D3981+IF($E3981="",0,$E3981)+IF($F3981="",0,$F3981)-IF($G3981="",0,$G3981))</f>
        <v/>
      </c>
      <c r="I3981" s="12" t="n"/>
      <c r="J3981" s="12" t="n"/>
      <c r="K3981" s="12" t="n"/>
      <c r="L3981" s="14" t="n"/>
      <c r="M3981" s="12" t="n"/>
      <c r="N3981" s="12" t="n"/>
      <c r="O3981" s="12" t="n"/>
    </row>
    <row r="3982">
      <c r="A3982" s="12" t="n"/>
      <c r="B3982" s="13">
        <f>IF($A3982="","",IFERROR(INDEX(Emp_Names,MATCH($A3982,Emp_Codes,0)),"NOT FOUND"))</f>
        <v/>
      </c>
      <c r="C3982" s="14" t="n"/>
      <c r="D3982" s="15" t="n"/>
      <c r="E3982" s="15" t="n"/>
      <c r="F3982" s="15" t="n"/>
      <c r="G3982" s="15" t="n"/>
      <c r="H3982" s="16">
        <f>IF($A3982="","",$D3982+IF($E3982="",0,$E3982)+IF($F3982="",0,$F3982)-IF($G3982="",0,$G3982))</f>
        <v/>
      </c>
      <c r="I3982" s="12" t="n"/>
      <c r="J3982" s="12" t="n"/>
      <c r="K3982" s="12" t="n"/>
      <c r="L3982" s="14" t="n"/>
      <c r="M3982" s="12" t="n"/>
      <c r="N3982" s="12" t="n"/>
      <c r="O3982" s="12" t="n"/>
    </row>
    <row r="3983">
      <c r="A3983" s="12" t="n"/>
      <c r="B3983" s="13">
        <f>IF($A3983="","",IFERROR(INDEX(Emp_Names,MATCH($A3983,Emp_Codes,0)),"NOT FOUND"))</f>
        <v/>
      </c>
      <c r="C3983" s="14" t="n"/>
      <c r="D3983" s="15" t="n"/>
      <c r="E3983" s="15" t="n"/>
      <c r="F3983" s="15" t="n"/>
      <c r="G3983" s="15" t="n"/>
      <c r="H3983" s="16">
        <f>IF($A3983="","",$D3983+IF($E3983="",0,$E3983)+IF($F3983="",0,$F3983)-IF($G3983="",0,$G3983))</f>
        <v/>
      </c>
      <c r="I3983" s="12" t="n"/>
      <c r="J3983" s="12" t="n"/>
      <c r="K3983" s="12" t="n"/>
      <c r="L3983" s="14" t="n"/>
      <c r="M3983" s="12" t="n"/>
      <c r="N3983" s="12" t="n"/>
      <c r="O3983" s="12" t="n"/>
    </row>
    <row r="3984">
      <c r="A3984" s="12" t="n"/>
      <c r="B3984" s="13">
        <f>IF($A3984="","",IFERROR(INDEX(Emp_Names,MATCH($A3984,Emp_Codes,0)),"NOT FOUND"))</f>
        <v/>
      </c>
      <c r="C3984" s="14" t="n"/>
      <c r="D3984" s="15" t="n"/>
      <c r="E3984" s="15" t="n"/>
      <c r="F3984" s="15" t="n"/>
      <c r="G3984" s="15" t="n"/>
      <c r="H3984" s="16">
        <f>IF($A3984="","",$D3984+IF($E3984="",0,$E3984)+IF($F3984="",0,$F3984)-IF($G3984="",0,$G3984))</f>
        <v/>
      </c>
      <c r="I3984" s="12" t="n"/>
      <c r="J3984" s="12" t="n"/>
      <c r="K3984" s="12" t="n"/>
      <c r="L3984" s="14" t="n"/>
      <c r="M3984" s="12" t="n"/>
      <c r="N3984" s="12" t="n"/>
      <c r="O3984" s="12" t="n"/>
    </row>
    <row r="3985">
      <c r="A3985" s="12" t="n"/>
      <c r="B3985" s="13">
        <f>IF($A3985="","",IFERROR(INDEX(Emp_Names,MATCH($A3985,Emp_Codes,0)),"NOT FOUND"))</f>
        <v/>
      </c>
      <c r="C3985" s="14" t="n"/>
      <c r="D3985" s="15" t="n"/>
      <c r="E3985" s="15" t="n"/>
      <c r="F3985" s="15" t="n"/>
      <c r="G3985" s="15" t="n"/>
      <c r="H3985" s="16">
        <f>IF($A3985="","",$D3985+IF($E3985="",0,$E3985)+IF($F3985="",0,$F3985)-IF($G3985="",0,$G3985))</f>
        <v/>
      </c>
      <c r="I3985" s="12" t="n"/>
      <c r="J3985" s="12" t="n"/>
      <c r="K3985" s="12" t="n"/>
      <c r="L3985" s="14" t="n"/>
      <c r="M3985" s="12" t="n"/>
      <c r="N3985" s="12" t="n"/>
      <c r="O3985" s="12" t="n"/>
    </row>
    <row r="3986">
      <c r="A3986" s="12" t="n"/>
      <c r="B3986" s="13">
        <f>IF($A3986="","",IFERROR(INDEX(Emp_Names,MATCH($A3986,Emp_Codes,0)),"NOT FOUND"))</f>
        <v/>
      </c>
      <c r="C3986" s="14" t="n"/>
      <c r="D3986" s="15" t="n"/>
      <c r="E3986" s="15" t="n"/>
      <c r="F3986" s="15" t="n"/>
      <c r="G3986" s="15" t="n"/>
      <c r="H3986" s="16">
        <f>IF($A3986="","",$D3986+IF($E3986="",0,$E3986)+IF($F3986="",0,$F3986)-IF($G3986="",0,$G3986))</f>
        <v/>
      </c>
      <c r="I3986" s="12" t="n"/>
      <c r="J3986" s="12" t="n"/>
      <c r="K3986" s="12" t="n"/>
      <c r="L3986" s="14" t="n"/>
      <c r="M3986" s="12" t="n"/>
      <c r="N3986" s="12" t="n"/>
      <c r="O3986" s="12" t="n"/>
    </row>
    <row r="3987">
      <c r="A3987" s="12" t="n"/>
      <c r="B3987" s="13">
        <f>IF($A3987="","",IFERROR(INDEX(Emp_Names,MATCH($A3987,Emp_Codes,0)),"NOT FOUND"))</f>
        <v/>
      </c>
      <c r="C3987" s="14" t="n"/>
      <c r="D3987" s="15" t="n"/>
      <c r="E3987" s="15" t="n"/>
      <c r="F3987" s="15" t="n"/>
      <c r="G3987" s="15" t="n"/>
      <c r="H3987" s="16">
        <f>IF($A3987="","",$D3987+IF($E3987="",0,$E3987)+IF($F3987="",0,$F3987)-IF($G3987="",0,$G3987))</f>
        <v/>
      </c>
      <c r="I3987" s="12" t="n"/>
      <c r="J3987" s="12" t="n"/>
      <c r="K3987" s="12" t="n"/>
      <c r="L3987" s="14" t="n"/>
      <c r="M3987" s="12" t="n"/>
      <c r="N3987" s="12" t="n"/>
      <c r="O3987" s="12" t="n"/>
    </row>
    <row r="3988">
      <c r="A3988" s="12" t="n"/>
      <c r="B3988" s="13">
        <f>IF($A3988="","",IFERROR(INDEX(Emp_Names,MATCH($A3988,Emp_Codes,0)),"NOT FOUND"))</f>
        <v/>
      </c>
      <c r="C3988" s="14" t="n"/>
      <c r="D3988" s="15" t="n"/>
      <c r="E3988" s="15" t="n"/>
      <c r="F3988" s="15" t="n"/>
      <c r="G3988" s="15" t="n"/>
      <c r="H3988" s="16">
        <f>IF($A3988="","",$D3988+IF($E3988="",0,$E3988)+IF($F3988="",0,$F3988)-IF($G3988="",0,$G3988))</f>
        <v/>
      </c>
      <c r="I3988" s="12" t="n"/>
      <c r="J3988" s="12" t="n"/>
      <c r="K3988" s="12" t="n"/>
      <c r="L3988" s="14" t="n"/>
      <c r="M3988" s="12" t="n"/>
      <c r="N3988" s="12" t="n"/>
      <c r="O3988" s="12" t="n"/>
    </row>
    <row r="3989">
      <c r="A3989" s="12" t="n"/>
      <c r="B3989" s="13">
        <f>IF($A3989="","",IFERROR(INDEX(Emp_Names,MATCH($A3989,Emp_Codes,0)),"NOT FOUND"))</f>
        <v/>
      </c>
      <c r="C3989" s="14" t="n"/>
      <c r="D3989" s="15" t="n"/>
      <c r="E3989" s="15" t="n"/>
      <c r="F3989" s="15" t="n"/>
      <c r="G3989" s="15" t="n"/>
      <c r="H3989" s="16">
        <f>IF($A3989="","",$D3989+IF($E3989="",0,$E3989)+IF($F3989="",0,$F3989)-IF($G3989="",0,$G3989))</f>
        <v/>
      </c>
      <c r="I3989" s="12" t="n"/>
      <c r="J3989" s="12" t="n"/>
      <c r="K3989" s="12" t="n"/>
      <c r="L3989" s="14" t="n"/>
      <c r="M3989" s="12" t="n"/>
      <c r="N3989" s="12" t="n"/>
      <c r="O3989" s="12" t="n"/>
    </row>
    <row r="3990">
      <c r="A3990" s="12" t="n"/>
      <c r="B3990" s="13">
        <f>IF($A3990="","",IFERROR(INDEX(Emp_Names,MATCH($A3990,Emp_Codes,0)),"NOT FOUND"))</f>
        <v/>
      </c>
      <c r="C3990" s="14" t="n"/>
      <c r="D3990" s="15" t="n"/>
      <c r="E3990" s="15" t="n"/>
      <c r="F3990" s="15" t="n"/>
      <c r="G3990" s="15" t="n"/>
      <c r="H3990" s="16">
        <f>IF($A3990="","",$D3990+IF($E3990="",0,$E3990)+IF($F3990="",0,$F3990)-IF($G3990="",0,$G3990))</f>
        <v/>
      </c>
      <c r="I3990" s="12" t="n"/>
      <c r="J3990" s="12" t="n"/>
      <c r="K3990" s="12" t="n"/>
      <c r="L3990" s="14" t="n"/>
      <c r="M3990" s="12" t="n"/>
      <c r="N3990" s="12" t="n"/>
      <c r="O3990" s="12" t="n"/>
    </row>
    <row r="3991">
      <c r="A3991" s="12" t="n"/>
      <c r="B3991" s="13">
        <f>IF($A3991="","",IFERROR(INDEX(Emp_Names,MATCH($A3991,Emp_Codes,0)),"NOT FOUND"))</f>
        <v/>
      </c>
      <c r="C3991" s="14" t="n"/>
      <c r="D3991" s="15" t="n"/>
      <c r="E3991" s="15" t="n"/>
      <c r="F3991" s="15" t="n"/>
      <c r="G3991" s="15" t="n"/>
      <c r="H3991" s="16">
        <f>IF($A3991="","",$D3991+IF($E3991="",0,$E3991)+IF($F3991="",0,$F3991)-IF($G3991="",0,$G3991))</f>
        <v/>
      </c>
      <c r="I3991" s="12" t="n"/>
      <c r="J3991" s="12" t="n"/>
      <c r="K3991" s="12" t="n"/>
      <c r="L3991" s="14" t="n"/>
      <c r="M3991" s="12" t="n"/>
      <c r="N3991" s="12" t="n"/>
      <c r="O3991" s="12" t="n"/>
    </row>
    <row r="3992">
      <c r="A3992" s="12" t="n"/>
      <c r="B3992" s="13">
        <f>IF($A3992="","",IFERROR(INDEX(Emp_Names,MATCH($A3992,Emp_Codes,0)),"NOT FOUND"))</f>
        <v/>
      </c>
      <c r="C3992" s="14" t="n"/>
      <c r="D3992" s="15" t="n"/>
      <c r="E3992" s="15" t="n"/>
      <c r="F3992" s="15" t="n"/>
      <c r="G3992" s="15" t="n"/>
      <c r="H3992" s="16">
        <f>IF($A3992="","",$D3992+IF($E3992="",0,$E3992)+IF($F3992="",0,$F3992)-IF($G3992="",0,$G3992))</f>
        <v/>
      </c>
      <c r="I3992" s="12" t="n"/>
      <c r="J3992" s="12" t="n"/>
      <c r="K3992" s="12" t="n"/>
      <c r="L3992" s="14" t="n"/>
      <c r="M3992" s="12" t="n"/>
      <c r="N3992" s="12" t="n"/>
      <c r="O3992" s="12" t="n"/>
    </row>
    <row r="3993">
      <c r="A3993" s="12" t="n"/>
      <c r="B3993" s="13">
        <f>IF($A3993="","",IFERROR(INDEX(Emp_Names,MATCH($A3993,Emp_Codes,0)),"NOT FOUND"))</f>
        <v/>
      </c>
      <c r="C3993" s="14" t="n"/>
      <c r="D3993" s="15" t="n"/>
      <c r="E3993" s="15" t="n"/>
      <c r="F3993" s="15" t="n"/>
      <c r="G3993" s="15" t="n"/>
      <c r="H3993" s="16">
        <f>IF($A3993="","",$D3993+IF($E3993="",0,$E3993)+IF($F3993="",0,$F3993)-IF($G3993="",0,$G3993))</f>
        <v/>
      </c>
      <c r="I3993" s="12" t="n"/>
      <c r="J3993" s="12" t="n"/>
      <c r="K3993" s="12" t="n"/>
      <c r="L3993" s="14" t="n"/>
      <c r="M3993" s="12" t="n"/>
      <c r="N3993" s="12" t="n"/>
      <c r="O3993" s="12" t="n"/>
    </row>
    <row r="3994">
      <c r="A3994" s="12" t="n"/>
      <c r="B3994" s="13">
        <f>IF($A3994="","",IFERROR(INDEX(Emp_Names,MATCH($A3994,Emp_Codes,0)),"NOT FOUND"))</f>
        <v/>
      </c>
      <c r="C3994" s="14" t="n"/>
      <c r="D3994" s="15" t="n"/>
      <c r="E3994" s="15" t="n"/>
      <c r="F3994" s="15" t="n"/>
      <c r="G3994" s="15" t="n"/>
      <c r="H3994" s="16">
        <f>IF($A3994="","",$D3994+IF($E3994="",0,$E3994)+IF($F3994="",0,$F3994)-IF($G3994="",0,$G3994))</f>
        <v/>
      </c>
      <c r="I3994" s="12" t="n"/>
      <c r="J3994" s="12" t="n"/>
      <c r="K3994" s="12" t="n"/>
      <c r="L3994" s="14" t="n"/>
      <c r="M3994" s="12" t="n"/>
      <c r="N3994" s="12" t="n"/>
      <c r="O3994" s="12" t="n"/>
    </row>
    <row r="3995">
      <c r="A3995" s="12" t="n"/>
      <c r="B3995" s="13">
        <f>IF($A3995="","",IFERROR(INDEX(Emp_Names,MATCH($A3995,Emp_Codes,0)),"NOT FOUND"))</f>
        <v/>
      </c>
      <c r="C3995" s="14" t="n"/>
      <c r="D3995" s="15" t="n"/>
      <c r="E3995" s="15" t="n"/>
      <c r="F3995" s="15" t="n"/>
      <c r="G3995" s="15" t="n"/>
      <c r="H3995" s="16">
        <f>IF($A3995="","",$D3995+IF($E3995="",0,$E3995)+IF($F3995="",0,$F3995)-IF($G3995="",0,$G3995))</f>
        <v/>
      </c>
      <c r="I3995" s="12" t="n"/>
      <c r="J3995" s="12" t="n"/>
      <c r="K3995" s="12" t="n"/>
      <c r="L3995" s="14" t="n"/>
      <c r="M3995" s="12" t="n"/>
      <c r="N3995" s="12" t="n"/>
      <c r="O3995" s="12" t="n"/>
    </row>
    <row r="3996">
      <c r="A3996" s="12" t="n"/>
      <c r="B3996" s="13">
        <f>IF($A3996="","",IFERROR(INDEX(Emp_Names,MATCH($A3996,Emp_Codes,0)),"NOT FOUND"))</f>
        <v/>
      </c>
      <c r="C3996" s="14" t="n"/>
      <c r="D3996" s="15" t="n"/>
      <c r="E3996" s="15" t="n"/>
      <c r="F3996" s="15" t="n"/>
      <c r="G3996" s="15" t="n"/>
      <c r="H3996" s="16">
        <f>IF($A3996="","",$D3996+IF($E3996="",0,$E3996)+IF($F3996="",0,$F3996)-IF($G3996="",0,$G3996))</f>
        <v/>
      </c>
      <c r="I3996" s="12" t="n"/>
      <c r="J3996" s="12" t="n"/>
      <c r="K3996" s="12" t="n"/>
      <c r="L3996" s="14" t="n"/>
      <c r="M3996" s="12" t="n"/>
      <c r="N3996" s="12" t="n"/>
      <c r="O3996" s="12" t="n"/>
    </row>
    <row r="3997">
      <c r="A3997" s="12" t="n"/>
      <c r="B3997" s="13">
        <f>IF($A3997="","",IFERROR(INDEX(Emp_Names,MATCH($A3997,Emp_Codes,0)),"NOT FOUND"))</f>
        <v/>
      </c>
      <c r="C3997" s="14" t="n"/>
      <c r="D3997" s="15" t="n"/>
      <c r="E3997" s="15" t="n"/>
      <c r="F3997" s="15" t="n"/>
      <c r="G3997" s="15" t="n"/>
      <c r="H3997" s="16">
        <f>IF($A3997="","",$D3997+IF($E3997="",0,$E3997)+IF($F3997="",0,$F3997)-IF($G3997="",0,$G3997))</f>
        <v/>
      </c>
      <c r="I3997" s="12" t="n"/>
      <c r="J3997" s="12" t="n"/>
      <c r="K3997" s="12" t="n"/>
      <c r="L3997" s="14" t="n"/>
      <c r="M3997" s="12" t="n"/>
      <c r="N3997" s="12" t="n"/>
      <c r="O3997" s="12" t="n"/>
    </row>
    <row r="3998">
      <c r="A3998" s="12" t="n"/>
      <c r="B3998" s="13">
        <f>IF($A3998="","",IFERROR(INDEX(Emp_Names,MATCH($A3998,Emp_Codes,0)),"NOT FOUND"))</f>
        <v/>
      </c>
      <c r="C3998" s="14" t="n"/>
      <c r="D3998" s="15" t="n"/>
      <c r="E3998" s="15" t="n"/>
      <c r="F3998" s="15" t="n"/>
      <c r="G3998" s="15" t="n"/>
      <c r="H3998" s="16">
        <f>IF($A3998="","",$D3998+IF($E3998="",0,$E3998)+IF($F3998="",0,$F3998)-IF($G3998="",0,$G3998))</f>
        <v/>
      </c>
      <c r="I3998" s="12" t="n"/>
      <c r="J3998" s="12" t="n"/>
      <c r="K3998" s="12" t="n"/>
      <c r="L3998" s="14" t="n"/>
      <c r="M3998" s="12" t="n"/>
      <c r="N3998" s="12" t="n"/>
      <c r="O3998" s="12" t="n"/>
    </row>
    <row r="3999">
      <c r="A3999" s="12" t="n"/>
      <c r="B3999" s="13">
        <f>IF($A3999="","",IFERROR(INDEX(Emp_Names,MATCH($A3999,Emp_Codes,0)),"NOT FOUND"))</f>
        <v/>
      </c>
      <c r="C3999" s="14" t="n"/>
      <c r="D3999" s="15" t="n"/>
      <c r="E3999" s="15" t="n"/>
      <c r="F3999" s="15" t="n"/>
      <c r="G3999" s="15" t="n"/>
      <c r="H3999" s="16">
        <f>IF($A3999="","",$D3999+IF($E3999="",0,$E3999)+IF($F3999="",0,$F3999)-IF($G3999="",0,$G3999))</f>
        <v/>
      </c>
      <c r="I3999" s="12" t="n"/>
      <c r="J3999" s="12" t="n"/>
      <c r="K3999" s="12" t="n"/>
      <c r="L3999" s="14" t="n"/>
      <c r="M3999" s="12" t="n"/>
      <c r="N3999" s="12" t="n"/>
      <c r="O3999" s="12" t="n"/>
    </row>
    <row r="4000">
      <c r="A4000" s="12" t="n"/>
      <c r="B4000" s="13">
        <f>IF($A4000="","",IFERROR(INDEX(Emp_Names,MATCH($A4000,Emp_Codes,0)),"NOT FOUND"))</f>
        <v/>
      </c>
      <c r="C4000" s="14" t="n"/>
      <c r="D4000" s="15" t="n"/>
      <c r="E4000" s="15" t="n"/>
      <c r="F4000" s="15" t="n"/>
      <c r="G4000" s="15" t="n"/>
      <c r="H4000" s="16">
        <f>IF($A4000="","",$D4000+IF($E4000="",0,$E4000)+IF($F4000="",0,$F4000)-IF($G4000="",0,$G4000))</f>
        <v/>
      </c>
      <c r="I4000" s="12" t="n"/>
      <c r="J4000" s="12" t="n"/>
      <c r="K4000" s="12" t="n"/>
      <c r="L4000" s="14" t="n"/>
      <c r="M4000" s="12" t="n"/>
      <c r="N4000" s="12" t="n"/>
      <c r="O4000" s="12" t="n"/>
    </row>
    <row r="4001">
      <c r="A4001" s="12" t="n"/>
      <c r="B4001" s="13">
        <f>IF($A4001="","",IFERROR(INDEX(Emp_Names,MATCH($A4001,Emp_Codes,0)),"NOT FOUND"))</f>
        <v/>
      </c>
      <c r="C4001" s="14" t="n"/>
      <c r="D4001" s="15" t="n"/>
      <c r="E4001" s="15" t="n"/>
      <c r="F4001" s="15" t="n"/>
      <c r="G4001" s="15" t="n"/>
      <c r="H4001" s="16">
        <f>IF($A4001="","",$D4001+IF($E4001="",0,$E4001)+IF($F4001="",0,$F4001)-IF($G4001="",0,$G4001))</f>
        <v/>
      </c>
      <c r="I4001" s="12" t="n"/>
      <c r="J4001" s="12" t="n"/>
      <c r="K4001" s="12" t="n"/>
      <c r="L4001" s="14" t="n"/>
      <c r="M4001" s="12" t="n"/>
      <c r="N4001" s="12" t="n"/>
      <c r="O4001" s="12" t="n"/>
    </row>
    <row r="4002">
      <c r="A4002" s="12" t="n"/>
      <c r="B4002" s="13">
        <f>IF($A4002="","",IFERROR(INDEX(Emp_Names,MATCH($A4002,Emp_Codes,0)),"NOT FOUND"))</f>
        <v/>
      </c>
      <c r="C4002" s="14" t="n"/>
      <c r="D4002" s="15" t="n"/>
      <c r="E4002" s="15" t="n"/>
      <c r="F4002" s="15" t="n"/>
      <c r="G4002" s="15" t="n"/>
      <c r="H4002" s="16">
        <f>IF($A4002="","",$D4002+IF($E4002="",0,$E4002)+IF($F4002="",0,$F4002)-IF($G4002="",0,$G4002))</f>
        <v/>
      </c>
      <c r="I4002" s="12" t="n"/>
      <c r="J4002" s="12" t="n"/>
      <c r="K4002" s="12" t="n"/>
      <c r="L4002" s="14" t="n"/>
      <c r="M4002" s="12" t="n"/>
      <c r="N4002" s="12" t="n"/>
      <c r="O4002" s="12" t="n"/>
    </row>
    <row r="4003">
      <c r="A4003" s="12" t="n"/>
      <c r="B4003" s="13">
        <f>IF($A4003="","",IFERROR(INDEX(Emp_Names,MATCH($A4003,Emp_Codes,0)),"NOT FOUND"))</f>
        <v/>
      </c>
      <c r="C4003" s="14" t="n"/>
      <c r="D4003" s="15" t="n"/>
      <c r="E4003" s="15" t="n"/>
      <c r="F4003" s="15" t="n"/>
      <c r="G4003" s="15" t="n"/>
      <c r="H4003" s="16">
        <f>IF($A4003="","",$D4003+IF($E4003="",0,$E4003)+IF($F4003="",0,$F4003)-IF($G4003="",0,$G4003))</f>
        <v/>
      </c>
      <c r="I4003" s="12" t="n"/>
      <c r="J4003" s="12" t="n"/>
      <c r="K4003" s="12" t="n"/>
      <c r="L4003" s="14" t="n"/>
      <c r="M4003" s="12" t="n"/>
      <c r="N4003" s="12" t="n"/>
      <c r="O4003" s="12" t="n"/>
    </row>
    <row r="4004">
      <c r="A4004" s="12" t="n"/>
      <c r="B4004" s="13">
        <f>IF($A4004="","",IFERROR(INDEX(Emp_Names,MATCH($A4004,Emp_Codes,0)),"NOT FOUND"))</f>
        <v/>
      </c>
      <c r="C4004" s="14" t="n"/>
      <c r="D4004" s="15" t="n"/>
      <c r="E4004" s="15" t="n"/>
      <c r="F4004" s="15" t="n"/>
      <c r="G4004" s="15" t="n"/>
      <c r="H4004" s="16">
        <f>IF($A4004="","",$D4004+IF($E4004="",0,$E4004)+IF($F4004="",0,$F4004)-IF($G4004="",0,$G4004))</f>
        <v/>
      </c>
      <c r="I4004" s="12" t="n"/>
      <c r="J4004" s="12" t="n"/>
      <c r="K4004" s="12" t="n"/>
      <c r="L4004" s="14" t="n"/>
      <c r="M4004" s="12" t="n"/>
      <c r="N4004" s="12" t="n"/>
      <c r="O4004" s="12" t="n"/>
    </row>
    <row r="4005">
      <c r="A4005" s="12" t="n"/>
      <c r="B4005" s="13">
        <f>IF($A4005="","",IFERROR(INDEX(Emp_Names,MATCH($A4005,Emp_Codes,0)),"NOT FOUND"))</f>
        <v/>
      </c>
      <c r="C4005" s="14" t="n"/>
      <c r="D4005" s="15" t="n"/>
      <c r="E4005" s="15" t="n"/>
      <c r="F4005" s="15" t="n"/>
      <c r="G4005" s="15" t="n"/>
      <c r="H4005" s="16">
        <f>IF($A4005="","",$D4005+IF($E4005="",0,$E4005)+IF($F4005="",0,$F4005)-IF($G4005="",0,$G4005))</f>
        <v/>
      </c>
      <c r="I4005" s="12" t="n"/>
      <c r="J4005" s="12" t="n"/>
      <c r="K4005" s="12" t="n"/>
      <c r="L4005" s="14" t="n"/>
      <c r="M4005" s="12" t="n"/>
      <c r="N4005" s="12" t="n"/>
      <c r="O4005" s="12" t="n"/>
    </row>
    <row r="4006">
      <c r="A4006" s="12" t="n"/>
      <c r="B4006" s="13">
        <f>IF($A4006="","",IFERROR(INDEX(Emp_Names,MATCH($A4006,Emp_Codes,0)),"NOT FOUND"))</f>
        <v/>
      </c>
      <c r="C4006" s="14" t="n"/>
      <c r="D4006" s="15" t="n"/>
      <c r="E4006" s="15" t="n"/>
      <c r="F4006" s="15" t="n"/>
      <c r="G4006" s="15" t="n"/>
      <c r="H4006" s="16">
        <f>IF($A4006="","",$D4006+IF($E4006="",0,$E4006)+IF($F4006="",0,$F4006)-IF($G4006="",0,$G4006))</f>
        <v/>
      </c>
      <c r="I4006" s="12" t="n"/>
      <c r="J4006" s="12" t="n"/>
      <c r="K4006" s="12" t="n"/>
      <c r="L4006" s="14" t="n"/>
      <c r="M4006" s="12" t="n"/>
      <c r="N4006" s="12" t="n"/>
      <c r="O4006" s="12" t="n"/>
    </row>
    <row r="4007">
      <c r="A4007" s="12" t="n"/>
      <c r="B4007" s="13">
        <f>IF($A4007="","",IFERROR(INDEX(Emp_Names,MATCH($A4007,Emp_Codes,0)),"NOT FOUND"))</f>
        <v/>
      </c>
      <c r="C4007" s="14" t="n"/>
      <c r="D4007" s="15" t="n"/>
      <c r="E4007" s="15" t="n"/>
      <c r="F4007" s="15" t="n"/>
      <c r="G4007" s="15" t="n"/>
      <c r="H4007" s="16">
        <f>IF($A4007="","",$D4007+IF($E4007="",0,$E4007)+IF($F4007="",0,$F4007)-IF($G4007="",0,$G4007))</f>
        <v/>
      </c>
      <c r="I4007" s="12" t="n"/>
      <c r="J4007" s="12" t="n"/>
      <c r="K4007" s="12" t="n"/>
      <c r="L4007" s="14" t="n"/>
      <c r="M4007" s="12" t="n"/>
      <c r="N4007" s="12" t="n"/>
      <c r="O4007" s="12" t="n"/>
    </row>
    <row r="4008">
      <c r="A4008" s="12" t="n"/>
      <c r="B4008" s="13">
        <f>IF($A4008="","",IFERROR(INDEX(Emp_Names,MATCH($A4008,Emp_Codes,0)),"NOT FOUND"))</f>
        <v/>
      </c>
      <c r="C4008" s="14" t="n"/>
      <c r="D4008" s="15" t="n"/>
      <c r="E4008" s="15" t="n"/>
      <c r="F4008" s="15" t="n"/>
      <c r="G4008" s="15" t="n"/>
      <c r="H4008" s="16">
        <f>IF($A4008="","",$D4008+IF($E4008="",0,$E4008)+IF($F4008="",0,$F4008)-IF($G4008="",0,$G4008))</f>
        <v/>
      </c>
      <c r="I4008" s="12" t="n"/>
      <c r="J4008" s="12" t="n"/>
      <c r="K4008" s="12" t="n"/>
      <c r="L4008" s="14" t="n"/>
      <c r="M4008" s="12" t="n"/>
      <c r="N4008" s="12" t="n"/>
      <c r="O4008" s="12" t="n"/>
    </row>
    <row r="4009">
      <c r="A4009" s="12" t="n"/>
      <c r="B4009" s="13">
        <f>IF($A4009="","",IFERROR(INDEX(Emp_Names,MATCH($A4009,Emp_Codes,0)),"NOT FOUND"))</f>
        <v/>
      </c>
      <c r="C4009" s="14" t="n"/>
      <c r="D4009" s="15" t="n"/>
      <c r="E4009" s="15" t="n"/>
      <c r="F4009" s="15" t="n"/>
      <c r="G4009" s="15" t="n"/>
      <c r="H4009" s="16">
        <f>IF($A4009="","",$D4009+IF($E4009="",0,$E4009)+IF($F4009="",0,$F4009)-IF($G4009="",0,$G4009))</f>
        <v/>
      </c>
      <c r="I4009" s="12" t="n"/>
      <c r="J4009" s="12" t="n"/>
      <c r="K4009" s="12" t="n"/>
      <c r="L4009" s="14" t="n"/>
      <c r="M4009" s="12" t="n"/>
      <c r="N4009" s="12" t="n"/>
      <c r="O4009" s="12" t="n"/>
    </row>
    <row r="4010">
      <c r="A4010" s="12" t="n"/>
      <c r="B4010" s="13">
        <f>IF($A4010="","",IFERROR(INDEX(Emp_Names,MATCH($A4010,Emp_Codes,0)),"NOT FOUND"))</f>
        <v/>
      </c>
      <c r="C4010" s="14" t="n"/>
      <c r="D4010" s="15" t="n"/>
      <c r="E4010" s="15" t="n"/>
      <c r="F4010" s="15" t="n"/>
      <c r="G4010" s="15" t="n"/>
      <c r="H4010" s="16">
        <f>IF($A4010="","",$D4010+IF($E4010="",0,$E4010)+IF($F4010="",0,$F4010)-IF($G4010="",0,$G4010))</f>
        <v/>
      </c>
      <c r="I4010" s="12" t="n"/>
      <c r="J4010" s="12" t="n"/>
      <c r="K4010" s="12" t="n"/>
      <c r="L4010" s="14" t="n"/>
      <c r="M4010" s="12" t="n"/>
      <c r="N4010" s="12" t="n"/>
      <c r="O4010" s="12" t="n"/>
    </row>
    <row r="4011">
      <c r="A4011" s="12" t="n"/>
      <c r="B4011" s="13">
        <f>IF($A4011="","",IFERROR(INDEX(Emp_Names,MATCH($A4011,Emp_Codes,0)),"NOT FOUND"))</f>
        <v/>
      </c>
      <c r="C4011" s="14" t="n"/>
      <c r="D4011" s="15" t="n"/>
      <c r="E4011" s="15" t="n"/>
      <c r="F4011" s="15" t="n"/>
      <c r="G4011" s="15" t="n"/>
      <c r="H4011" s="16">
        <f>IF($A4011="","",$D4011+IF($E4011="",0,$E4011)+IF($F4011="",0,$F4011)-IF($G4011="",0,$G4011))</f>
        <v/>
      </c>
      <c r="I4011" s="12" t="n"/>
      <c r="J4011" s="12" t="n"/>
      <c r="K4011" s="12" t="n"/>
      <c r="L4011" s="14" t="n"/>
      <c r="M4011" s="12" t="n"/>
      <c r="N4011" s="12" t="n"/>
      <c r="O4011" s="12" t="n"/>
    </row>
    <row r="4012">
      <c r="A4012" s="12" t="n"/>
      <c r="B4012" s="13">
        <f>IF($A4012="","",IFERROR(INDEX(Emp_Names,MATCH($A4012,Emp_Codes,0)),"NOT FOUND"))</f>
        <v/>
      </c>
      <c r="C4012" s="14" t="n"/>
      <c r="D4012" s="15" t="n"/>
      <c r="E4012" s="15" t="n"/>
      <c r="F4012" s="15" t="n"/>
      <c r="G4012" s="15" t="n"/>
      <c r="H4012" s="16">
        <f>IF($A4012="","",$D4012+IF($E4012="",0,$E4012)+IF($F4012="",0,$F4012)-IF($G4012="",0,$G4012))</f>
        <v/>
      </c>
      <c r="I4012" s="12" t="n"/>
      <c r="J4012" s="12" t="n"/>
      <c r="K4012" s="12" t="n"/>
      <c r="L4012" s="14" t="n"/>
      <c r="M4012" s="12" t="n"/>
      <c r="N4012" s="12" t="n"/>
      <c r="O4012" s="12" t="n"/>
    </row>
    <row r="4013">
      <c r="A4013" s="12" t="n"/>
      <c r="B4013" s="13">
        <f>IF($A4013="","",IFERROR(INDEX(Emp_Names,MATCH($A4013,Emp_Codes,0)),"NOT FOUND"))</f>
        <v/>
      </c>
      <c r="C4013" s="14" t="n"/>
      <c r="D4013" s="15" t="n"/>
      <c r="E4013" s="15" t="n"/>
      <c r="F4013" s="15" t="n"/>
      <c r="G4013" s="15" t="n"/>
      <c r="H4013" s="16">
        <f>IF($A4013="","",$D4013+IF($E4013="",0,$E4013)+IF($F4013="",0,$F4013)-IF($G4013="",0,$G4013))</f>
        <v/>
      </c>
      <c r="I4013" s="12" t="n"/>
      <c r="J4013" s="12" t="n"/>
      <c r="K4013" s="12" t="n"/>
      <c r="L4013" s="14" t="n"/>
      <c r="M4013" s="12" t="n"/>
      <c r="N4013" s="12" t="n"/>
      <c r="O4013" s="12" t="n"/>
    </row>
    <row r="4014">
      <c r="A4014" s="12" t="n"/>
      <c r="B4014" s="13">
        <f>IF($A4014="","",IFERROR(INDEX(Emp_Names,MATCH($A4014,Emp_Codes,0)),"NOT FOUND"))</f>
        <v/>
      </c>
      <c r="C4014" s="14" t="n"/>
      <c r="D4014" s="15" t="n"/>
      <c r="E4014" s="15" t="n"/>
      <c r="F4014" s="15" t="n"/>
      <c r="G4014" s="15" t="n"/>
      <c r="H4014" s="16">
        <f>IF($A4014="","",$D4014+IF($E4014="",0,$E4014)+IF($F4014="",0,$F4014)-IF($G4014="",0,$G4014))</f>
        <v/>
      </c>
      <c r="I4014" s="12" t="n"/>
      <c r="J4014" s="12" t="n"/>
      <c r="K4014" s="12" t="n"/>
      <c r="L4014" s="14" t="n"/>
      <c r="M4014" s="12" t="n"/>
      <c r="N4014" s="12" t="n"/>
      <c r="O4014" s="12" t="n"/>
    </row>
    <row r="4015">
      <c r="A4015" s="12" t="n"/>
      <c r="B4015" s="13">
        <f>IF($A4015="","",IFERROR(INDEX(Emp_Names,MATCH($A4015,Emp_Codes,0)),"NOT FOUND"))</f>
        <v/>
      </c>
      <c r="C4015" s="14" t="n"/>
      <c r="D4015" s="15" t="n"/>
      <c r="E4015" s="15" t="n"/>
      <c r="F4015" s="15" t="n"/>
      <c r="G4015" s="15" t="n"/>
      <c r="H4015" s="16">
        <f>IF($A4015="","",$D4015+IF($E4015="",0,$E4015)+IF($F4015="",0,$F4015)-IF($G4015="",0,$G4015))</f>
        <v/>
      </c>
      <c r="I4015" s="12" t="n"/>
      <c r="J4015" s="12" t="n"/>
      <c r="K4015" s="12" t="n"/>
      <c r="L4015" s="14" t="n"/>
      <c r="M4015" s="12" t="n"/>
      <c r="N4015" s="12" t="n"/>
      <c r="O4015" s="12" t="n"/>
    </row>
    <row r="4016">
      <c r="A4016" s="12" t="n"/>
      <c r="B4016" s="13">
        <f>IF($A4016="","",IFERROR(INDEX(Emp_Names,MATCH($A4016,Emp_Codes,0)),"NOT FOUND"))</f>
        <v/>
      </c>
      <c r="C4016" s="14" t="n"/>
      <c r="D4016" s="15" t="n"/>
      <c r="E4016" s="15" t="n"/>
      <c r="F4016" s="15" t="n"/>
      <c r="G4016" s="15" t="n"/>
      <c r="H4016" s="16">
        <f>IF($A4016="","",$D4016+IF($E4016="",0,$E4016)+IF($F4016="",0,$F4016)-IF($G4016="",0,$G4016))</f>
        <v/>
      </c>
      <c r="I4016" s="12" t="n"/>
      <c r="J4016" s="12" t="n"/>
      <c r="K4016" s="12" t="n"/>
      <c r="L4016" s="14" t="n"/>
      <c r="M4016" s="12" t="n"/>
      <c r="N4016" s="12" t="n"/>
      <c r="O4016" s="12" t="n"/>
    </row>
    <row r="4017">
      <c r="A4017" s="12" t="n"/>
      <c r="B4017" s="13">
        <f>IF($A4017="","",IFERROR(INDEX(Emp_Names,MATCH($A4017,Emp_Codes,0)),"NOT FOUND"))</f>
        <v/>
      </c>
      <c r="C4017" s="14" t="n"/>
      <c r="D4017" s="15" t="n"/>
      <c r="E4017" s="15" t="n"/>
      <c r="F4017" s="15" t="n"/>
      <c r="G4017" s="15" t="n"/>
      <c r="H4017" s="16">
        <f>IF($A4017="","",$D4017+IF($E4017="",0,$E4017)+IF($F4017="",0,$F4017)-IF($G4017="",0,$G4017))</f>
        <v/>
      </c>
      <c r="I4017" s="12" t="n"/>
      <c r="J4017" s="12" t="n"/>
      <c r="K4017" s="12" t="n"/>
      <c r="L4017" s="14" t="n"/>
      <c r="M4017" s="12" t="n"/>
      <c r="N4017" s="12" t="n"/>
      <c r="O4017" s="12" t="n"/>
    </row>
    <row r="4018">
      <c r="A4018" s="12" t="n"/>
      <c r="B4018" s="13">
        <f>IF($A4018="","",IFERROR(INDEX(Emp_Names,MATCH($A4018,Emp_Codes,0)),"NOT FOUND"))</f>
        <v/>
      </c>
      <c r="C4018" s="14" t="n"/>
      <c r="D4018" s="15" t="n"/>
      <c r="E4018" s="15" t="n"/>
      <c r="F4018" s="15" t="n"/>
      <c r="G4018" s="15" t="n"/>
      <c r="H4018" s="16">
        <f>IF($A4018="","",$D4018+IF($E4018="",0,$E4018)+IF($F4018="",0,$F4018)-IF($G4018="",0,$G4018))</f>
        <v/>
      </c>
      <c r="I4018" s="12" t="n"/>
      <c r="J4018" s="12" t="n"/>
      <c r="K4018" s="12" t="n"/>
      <c r="L4018" s="14" t="n"/>
      <c r="M4018" s="12" t="n"/>
      <c r="N4018" s="12" t="n"/>
      <c r="O4018" s="12" t="n"/>
    </row>
    <row r="4019">
      <c r="A4019" s="12" t="n"/>
      <c r="B4019" s="13">
        <f>IF($A4019="","",IFERROR(INDEX(Emp_Names,MATCH($A4019,Emp_Codes,0)),"NOT FOUND"))</f>
        <v/>
      </c>
      <c r="C4019" s="14" t="n"/>
      <c r="D4019" s="15" t="n"/>
      <c r="E4019" s="15" t="n"/>
      <c r="F4019" s="15" t="n"/>
      <c r="G4019" s="15" t="n"/>
      <c r="H4019" s="16">
        <f>IF($A4019="","",$D4019+IF($E4019="",0,$E4019)+IF($F4019="",0,$F4019)-IF($G4019="",0,$G4019))</f>
        <v/>
      </c>
      <c r="I4019" s="12" t="n"/>
      <c r="J4019" s="12" t="n"/>
      <c r="K4019" s="12" t="n"/>
      <c r="L4019" s="14" t="n"/>
      <c r="M4019" s="12" t="n"/>
      <c r="N4019" s="12" t="n"/>
      <c r="O4019" s="12" t="n"/>
    </row>
    <row r="4020">
      <c r="A4020" s="12" t="n"/>
      <c r="B4020" s="13">
        <f>IF($A4020="","",IFERROR(INDEX(Emp_Names,MATCH($A4020,Emp_Codes,0)),"NOT FOUND"))</f>
        <v/>
      </c>
      <c r="C4020" s="14" t="n"/>
      <c r="D4020" s="15" t="n"/>
      <c r="E4020" s="15" t="n"/>
      <c r="F4020" s="15" t="n"/>
      <c r="G4020" s="15" t="n"/>
      <c r="H4020" s="16">
        <f>IF($A4020="","",$D4020+IF($E4020="",0,$E4020)+IF($F4020="",0,$F4020)-IF($G4020="",0,$G4020))</f>
        <v/>
      </c>
      <c r="I4020" s="12" t="n"/>
      <c r="J4020" s="12" t="n"/>
      <c r="K4020" s="12" t="n"/>
      <c r="L4020" s="14" t="n"/>
      <c r="M4020" s="12" t="n"/>
      <c r="N4020" s="12" t="n"/>
      <c r="O4020" s="12" t="n"/>
    </row>
    <row r="4021">
      <c r="A4021" s="12" t="n"/>
      <c r="B4021" s="13">
        <f>IF($A4021="","",IFERROR(INDEX(Emp_Names,MATCH($A4021,Emp_Codes,0)),"NOT FOUND"))</f>
        <v/>
      </c>
      <c r="C4021" s="14" t="n"/>
      <c r="D4021" s="15" t="n"/>
      <c r="E4021" s="15" t="n"/>
      <c r="F4021" s="15" t="n"/>
      <c r="G4021" s="15" t="n"/>
      <c r="H4021" s="16">
        <f>IF($A4021="","",$D4021+IF($E4021="",0,$E4021)+IF($F4021="",0,$F4021)-IF($G4021="",0,$G4021))</f>
        <v/>
      </c>
      <c r="I4021" s="12" t="n"/>
      <c r="J4021" s="12" t="n"/>
      <c r="K4021" s="12" t="n"/>
      <c r="L4021" s="14" t="n"/>
      <c r="M4021" s="12" t="n"/>
      <c r="N4021" s="12" t="n"/>
      <c r="O4021" s="12" t="n"/>
    </row>
    <row r="4022">
      <c r="A4022" s="12" t="n"/>
      <c r="B4022" s="13">
        <f>IF($A4022="","",IFERROR(INDEX(Emp_Names,MATCH($A4022,Emp_Codes,0)),"NOT FOUND"))</f>
        <v/>
      </c>
      <c r="C4022" s="14" t="n"/>
      <c r="D4022" s="15" t="n"/>
      <c r="E4022" s="15" t="n"/>
      <c r="F4022" s="15" t="n"/>
      <c r="G4022" s="15" t="n"/>
      <c r="H4022" s="16">
        <f>IF($A4022="","",$D4022+IF($E4022="",0,$E4022)+IF($F4022="",0,$F4022)-IF($G4022="",0,$G4022))</f>
        <v/>
      </c>
      <c r="I4022" s="12" t="n"/>
      <c r="J4022" s="12" t="n"/>
      <c r="K4022" s="12" t="n"/>
      <c r="L4022" s="14" t="n"/>
      <c r="M4022" s="12" t="n"/>
      <c r="N4022" s="12" t="n"/>
      <c r="O4022" s="12" t="n"/>
    </row>
    <row r="4023">
      <c r="A4023" s="12" t="n"/>
      <c r="B4023" s="13">
        <f>IF($A4023="","",IFERROR(INDEX(Emp_Names,MATCH($A4023,Emp_Codes,0)),"NOT FOUND"))</f>
        <v/>
      </c>
      <c r="C4023" s="14" t="n"/>
      <c r="D4023" s="15" t="n"/>
      <c r="E4023" s="15" t="n"/>
      <c r="F4023" s="15" t="n"/>
      <c r="G4023" s="15" t="n"/>
      <c r="H4023" s="16">
        <f>IF($A4023="","",$D4023+IF($E4023="",0,$E4023)+IF($F4023="",0,$F4023)-IF($G4023="",0,$G4023))</f>
        <v/>
      </c>
      <c r="I4023" s="12" t="n"/>
      <c r="J4023" s="12" t="n"/>
      <c r="K4023" s="12" t="n"/>
      <c r="L4023" s="14" t="n"/>
      <c r="M4023" s="12" t="n"/>
      <c r="N4023" s="12" t="n"/>
      <c r="O4023" s="12" t="n"/>
    </row>
    <row r="4024">
      <c r="A4024" s="12" t="n"/>
      <c r="B4024" s="13">
        <f>IF($A4024="","",IFERROR(INDEX(Emp_Names,MATCH($A4024,Emp_Codes,0)),"NOT FOUND"))</f>
        <v/>
      </c>
      <c r="C4024" s="14" t="n"/>
      <c r="D4024" s="15" t="n"/>
      <c r="E4024" s="15" t="n"/>
      <c r="F4024" s="15" t="n"/>
      <c r="G4024" s="15" t="n"/>
      <c r="H4024" s="16">
        <f>IF($A4024="","",$D4024+IF($E4024="",0,$E4024)+IF($F4024="",0,$F4024)-IF($G4024="",0,$G4024))</f>
        <v/>
      </c>
      <c r="I4024" s="12" t="n"/>
      <c r="J4024" s="12" t="n"/>
      <c r="K4024" s="12" t="n"/>
      <c r="L4024" s="14" t="n"/>
      <c r="M4024" s="12" t="n"/>
      <c r="N4024" s="12" t="n"/>
      <c r="O4024" s="12" t="n"/>
    </row>
    <row r="4025">
      <c r="A4025" s="12" t="n"/>
      <c r="B4025" s="13">
        <f>IF($A4025="","",IFERROR(INDEX(Emp_Names,MATCH($A4025,Emp_Codes,0)),"NOT FOUND"))</f>
        <v/>
      </c>
      <c r="C4025" s="14" t="n"/>
      <c r="D4025" s="15" t="n"/>
      <c r="E4025" s="15" t="n"/>
      <c r="F4025" s="15" t="n"/>
      <c r="G4025" s="15" t="n"/>
      <c r="H4025" s="16">
        <f>IF($A4025="","",$D4025+IF($E4025="",0,$E4025)+IF($F4025="",0,$F4025)-IF($G4025="",0,$G4025))</f>
        <v/>
      </c>
      <c r="I4025" s="12" t="n"/>
      <c r="J4025" s="12" t="n"/>
      <c r="K4025" s="12" t="n"/>
      <c r="L4025" s="14" t="n"/>
      <c r="M4025" s="12" t="n"/>
      <c r="N4025" s="12" t="n"/>
      <c r="O4025" s="12" t="n"/>
    </row>
    <row r="4026">
      <c r="A4026" s="12" t="n"/>
      <c r="B4026" s="13">
        <f>IF($A4026="","",IFERROR(INDEX(Emp_Names,MATCH($A4026,Emp_Codes,0)),"NOT FOUND"))</f>
        <v/>
      </c>
      <c r="C4026" s="14" t="n"/>
      <c r="D4026" s="15" t="n"/>
      <c r="E4026" s="15" t="n"/>
      <c r="F4026" s="15" t="n"/>
      <c r="G4026" s="15" t="n"/>
      <c r="H4026" s="16">
        <f>IF($A4026="","",$D4026+IF($E4026="",0,$E4026)+IF($F4026="",0,$F4026)-IF($G4026="",0,$G4026))</f>
        <v/>
      </c>
      <c r="I4026" s="12" t="n"/>
      <c r="J4026" s="12" t="n"/>
      <c r="K4026" s="12" t="n"/>
      <c r="L4026" s="14" t="n"/>
      <c r="M4026" s="12" t="n"/>
      <c r="N4026" s="12" t="n"/>
      <c r="O4026" s="12" t="n"/>
    </row>
    <row r="4027">
      <c r="A4027" s="12" t="n"/>
      <c r="B4027" s="13">
        <f>IF($A4027="","",IFERROR(INDEX(Emp_Names,MATCH($A4027,Emp_Codes,0)),"NOT FOUND"))</f>
        <v/>
      </c>
      <c r="C4027" s="14" t="n"/>
      <c r="D4027" s="15" t="n"/>
      <c r="E4027" s="15" t="n"/>
      <c r="F4027" s="15" t="n"/>
      <c r="G4027" s="15" t="n"/>
      <c r="H4027" s="16">
        <f>IF($A4027="","",$D4027+IF($E4027="",0,$E4027)+IF($F4027="",0,$F4027)-IF($G4027="",0,$G4027))</f>
        <v/>
      </c>
      <c r="I4027" s="12" t="n"/>
      <c r="J4027" s="12" t="n"/>
      <c r="K4027" s="12" t="n"/>
      <c r="L4027" s="14" t="n"/>
      <c r="M4027" s="12" t="n"/>
      <c r="N4027" s="12" t="n"/>
      <c r="O4027" s="12" t="n"/>
    </row>
    <row r="4028">
      <c r="A4028" s="12" t="n"/>
      <c r="B4028" s="13">
        <f>IF($A4028="","",IFERROR(INDEX(Emp_Names,MATCH($A4028,Emp_Codes,0)),"NOT FOUND"))</f>
        <v/>
      </c>
      <c r="C4028" s="14" t="n"/>
      <c r="D4028" s="15" t="n"/>
      <c r="E4028" s="15" t="n"/>
      <c r="F4028" s="15" t="n"/>
      <c r="G4028" s="15" t="n"/>
      <c r="H4028" s="16">
        <f>IF($A4028="","",$D4028+IF($E4028="",0,$E4028)+IF($F4028="",0,$F4028)-IF($G4028="",0,$G4028))</f>
        <v/>
      </c>
      <c r="I4028" s="12" t="n"/>
      <c r="J4028" s="12" t="n"/>
      <c r="K4028" s="12" t="n"/>
      <c r="L4028" s="14" t="n"/>
      <c r="M4028" s="12" t="n"/>
      <c r="N4028" s="12" t="n"/>
      <c r="O4028" s="12" t="n"/>
    </row>
    <row r="4029">
      <c r="A4029" s="12" t="n"/>
      <c r="B4029" s="13">
        <f>IF($A4029="","",IFERROR(INDEX(Emp_Names,MATCH($A4029,Emp_Codes,0)),"NOT FOUND"))</f>
        <v/>
      </c>
      <c r="C4029" s="14" t="n"/>
      <c r="D4029" s="15" t="n"/>
      <c r="E4029" s="15" t="n"/>
      <c r="F4029" s="15" t="n"/>
      <c r="G4029" s="15" t="n"/>
      <c r="H4029" s="16">
        <f>IF($A4029="","",$D4029+IF($E4029="",0,$E4029)+IF($F4029="",0,$F4029)-IF($G4029="",0,$G4029))</f>
        <v/>
      </c>
      <c r="I4029" s="12" t="n"/>
      <c r="J4029" s="12" t="n"/>
      <c r="K4029" s="12" t="n"/>
      <c r="L4029" s="14" t="n"/>
      <c r="M4029" s="12" t="n"/>
      <c r="N4029" s="12" t="n"/>
      <c r="O4029" s="12" t="n"/>
    </row>
    <row r="4030">
      <c r="A4030" s="12" t="n"/>
      <c r="B4030" s="13">
        <f>IF($A4030="","",IFERROR(INDEX(Emp_Names,MATCH($A4030,Emp_Codes,0)),"NOT FOUND"))</f>
        <v/>
      </c>
      <c r="C4030" s="14" t="n"/>
      <c r="D4030" s="15" t="n"/>
      <c r="E4030" s="15" t="n"/>
      <c r="F4030" s="15" t="n"/>
      <c r="G4030" s="15" t="n"/>
      <c r="H4030" s="16">
        <f>IF($A4030="","",$D4030+IF($E4030="",0,$E4030)+IF($F4030="",0,$F4030)-IF($G4030="",0,$G4030))</f>
        <v/>
      </c>
      <c r="I4030" s="12" t="n"/>
      <c r="J4030" s="12" t="n"/>
      <c r="K4030" s="12" t="n"/>
      <c r="L4030" s="14" t="n"/>
      <c r="M4030" s="12" t="n"/>
      <c r="N4030" s="12" t="n"/>
      <c r="O4030" s="12" t="n"/>
    </row>
    <row r="4031">
      <c r="A4031" s="12" t="n"/>
      <c r="B4031" s="13">
        <f>IF($A4031="","",IFERROR(INDEX(Emp_Names,MATCH($A4031,Emp_Codes,0)),"NOT FOUND"))</f>
        <v/>
      </c>
      <c r="C4031" s="14" t="n"/>
      <c r="D4031" s="15" t="n"/>
      <c r="E4031" s="15" t="n"/>
      <c r="F4031" s="15" t="n"/>
      <c r="G4031" s="15" t="n"/>
      <c r="H4031" s="16">
        <f>IF($A4031="","",$D4031+IF($E4031="",0,$E4031)+IF($F4031="",0,$F4031)-IF($G4031="",0,$G4031))</f>
        <v/>
      </c>
      <c r="I4031" s="12" t="n"/>
      <c r="J4031" s="12" t="n"/>
      <c r="K4031" s="12" t="n"/>
      <c r="L4031" s="14" t="n"/>
      <c r="M4031" s="12" t="n"/>
      <c r="N4031" s="12" t="n"/>
      <c r="O4031" s="12" t="n"/>
    </row>
    <row r="4032">
      <c r="A4032" s="12" t="n"/>
      <c r="B4032" s="13">
        <f>IF($A4032="","",IFERROR(INDEX(Emp_Names,MATCH($A4032,Emp_Codes,0)),"NOT FOUND"))</f>
        <v/>
      </c>
      <c r="C4032" s="14" t="n"/>
      <c r="D4032" s="15" t="n"/>
      <c r="E4032" s="15" t="n"/>
      <c r="F4032" s="15" t="n"/>
      <c r="G4032" s="15" t="n"/>
      <c r="H4032" s="16">
        <f>IF($A4032="","",$D4032+IF($E4032="",0,$E4032)+IF($F4032="",0,$F4032)-IF($G4032="",0,$G4032))</f>
        <v/>
      </c>
      <c r="I4032" s="12" t="n"/>
      <c r="J4032" s="12" t="n"/>
      <c r="K4032" s="12" t="n"/>
      <c r="L4032" s="14" t="n"/>
      <c r="M4032" s="12" t="n"/>
      <c r="N4032" s="12" t="n"/>
      <c r="O4032" s="12" t="n"/>
    </row>
    <row r="4033">
      <c r="A4033" s="12" t="n"/>
      <c r="B4033" s="13">
        <f>IF($A4033="","",IFERROR(INDEX(Emp_Names,MATCH($A4033,Emp_Codes,0)),"NOT FOUND"))</f>
        <v/>
      </c>
      <c r="C4033" s="14" t="n"/>
      <c r="D4033" s="15" t="n"/>
      <c r="E4033" s="15" t="n"/>
      <c r="F4033" s="15" t="n"/>
      <c r="G4033" s="15" t="n"/>
      <c r="H4033" s="16">
        <f>IF($A4033="","",$D4033+IF($E4033="",0,$E4033)+IF($F4033="",0,$F4033)-IF($G4033="",0,$G4033))</f>
        <v/>
      </c>
      <c r="I4033" s="12" t="n"/>
      <c r="J4033" s="12" t="n"/>
      <c r="K4033" s="12" t="n"/>
      <c r="L4033" s="14" t="n"/>
      <c r="M4033" s="12" t="n"/>
      <c r="N4033" s="12" t="n"/>
      <c r="O4033" s="12" t="n"/>
    </row>
    <row r="4034">
      <c r="A4034" s="12" t="n"/>
      <c r="B4034" s="13">
        <f>IF($A4034="","",IFERROR(INDEX(Emp_Names,MATCH($A4034,Emp_Codes,0)),"NOT FOUND"))</f>
        <v/>
      </c>
      <c r="C4034" s="14" t="n"/>
      <c r="D4034" s="15" t="n"/>
      <c r="E4034" s="15" t="n"/>
      <c r="F4034" s="15" t="n"/>
      <c r="G4034" s="15" t="n"/>
      <c r="H4034" s="16">
        <f>IF($A4034="","",$D4034+IF($E4034="",0,$E4034)+IF($F4034="",0,$F4034)-IF($G4034="",0,$G4034))</f>
        <v/>
      </c>
      <c r="I4034" s="12" t="n"/>
      <c r="J4034" s="12" t="n"/>
      <c r="K4034" s="12" t="n"/>
      <c r="L4034" s="14" t="n"/>
      <c r="M4034" s="12" t="n"/>
      <c r="N4034" s="12" t="n"/>
      <c r="O4034" s="12" t="n"/>
    </row>
    <row r="4035">
      <c r="A4035" s="12" t="n"/>
      <c r="B4035" s="13">
        <f>IF($A4035="","",IFERROR(INDEX(Emp_Names,MATCH($A4035,Emp_Codes,0)),"NOT FOUND"))</f>
        <v/>
      </c>
      <c r="C4035" s="14" t="n"/>
      <c r="D4035" s="15" t="n"/>
      <c r="E4035" s="15" t="n"/>
      <c r="F4035" s="15" t="n"/>
      <c r="G4035" s="15" t="n"/>
      <c r="H4035" s="16">
        <f>IF($A4035="","",$D4035+IF($E4035="",0,$E4035)+IF($F4035="",0,$F4035)-IF($G4035="",0,$G4035))</f>
        <v/>
      </c>
      <c r="I4035" s="12" t="n"/>
      <c r="J4035" s="12" t="n"/>
      <c r="K4035" s="12" t="n"/>
      <c r="L4035" s="14" t="n"/>
      <c r="M4035" s="12" t="n"/>
      <c r="N4035" s="12" t="n"/>
      <c r="O4035" s="12" t="n"/>
    </row>
    <row r="4036">
      <c r="A4036" s="12" t="n"/>
      <c r="B4036" s="13">
        <f>IF($A4036="","",IFERROR(INDEX(Emp_Names,MATCH($A4036,Emp_Codes,0)),"NOT FOUND"))</f>
        <v/>
      </c>
      <c r="C4036" s="14" t="n"/>
      <c r="D4036" s="15" t="n"/>
      <c r="E4036" s="15" t="n"/>
      <c r="F4036" s="15" t="n"/>
      <c r="G4036" s="15" t="n"/>
      <c r="H4036" s="16">
        <f>IF($A4036="","",$D4036+IF($E4036="",0,$E4036)+IF($F4036="",0,$F4036)-IF($G4036="",0,$G4036))</f>
        <v/>
      </c>
      <c r="I4036" s="12" t="n"/>
      <c r="J4036" s="12" t="n"/>
      <c r="K4036" s="12" t="n"/>
      <c r="L4036" s="14" t="n"/>
      <c r="M4036" s="12" t="n"/>
      <c r="N4036" s="12" t="n"/>
      <c r="O4036" s="12" t="n"/>
    </row>
    <row r="4037">
      <c r="A4037" s="12" t="n"/>
      <c r="B4037" s="13">
        <f>IF($A4037="","",IFERROR(INDEX(Emp_Names,MATCH($A4037,Emp_Codes,0)),"NOT FOUND"))</f>
        <v/>
      </c>
      <c r="C4037" s="14" t="n"/>
      <c r="D4037" s="15" t="n"/>
      <c r="E4037" s="15" t="n"/>
      <c r="F4037" s="15" t="n"/>
      <c r="G4037" s="15" t="n"/>
      <c r="H4037" s="16">
        <f>IF($A4037="","",$D4037+IF($E4037="",0,$E4037)+IF($F4037="",0,$F4037)-IF($G4037="",0,$G4037))</f>
        <v/>
      </c>
      <c r="I4037" s="12" t="n"/>
      <c r="J4037" s="12" t="n"/>
      <c r="K4037" s="12" t="n"/>
      <c r="L4037" s="14" t="n"/>
      <c r="M4037" s="12" t="n"/>
      <c r="N4037" s="12" t="n"/>
      <c r="O4037" s="12" t="n"/>
    </row>
    <row r="4038">
      <c r="A4038" s="12" t="n"/>
      <c r="B4038" s="13">
        <f>IF($A4038="","",IFERROR(INDEX(Emp_Names,MATCH($A4038,Emp_Codes,0)),"NOT FOUND"))</f>
        <v/>
      </c>
      <c r="C4038" s="14" t="n"/>
      <c r="D4038" s="15" t="n"/>
      <c r="E4038" s="15" t="n"/>
      <c r="F4038" s="15" t="n"/>
      <c r="G4038" s="15" t="n"/>
      <c r="H4038" s="16">
        <f>IF($A4038="","",$D4038+IF($E4038="",0,$E4038)+IF($F4038="",0,$F4038)-IF($G4038="",0,$G4038))</f>
        <v/>
      </c>
      <c r="I4038" s="12" t="n"/>
      <c r="J4038" s="12" t="n"/>
      <c r="K4038" s="12" t="n"/>
      <c r="L4038" s="14" t="n"/>
      <c r="M4038" s="12" t="n"/>
      <c r="N4038" s="12" t="n"/>
      <c r="O4038" s="12" t="n"/>
    </row>
    <row r="4039">
      <c r="A4039" s="12" t="n"/>
      <c r="B4039" s="13">
        <f>IF($A4039="","",IFERROR(INDEX(Emp_Names,MATCH($A4039,Emp_Codes,0)),"NOT FOUND"))</f>
        <v/>
      </c>
      <c r="C4039" s="14" t="n"/>
      <c r="D4039" s="15" t="n"/>
      <c r="E4039" s="15" t="n"/>
      <c r="F4039" s="15" t="n"/>
      <c r="G4039" s="15" t="n"/>
      <c r="H4039" s="16">
        <f>IF($A4039="","",$D4039+IF($E4039="",0,$E4039)+IF($F4039="",0,$F4039)-IF($G4039="",0,$G4039))</f>
        <v/>
      </c>
      <c r="I4039" s="12" t="n"/>
      <c r="J4039" s="12" t="n"/>
      <c r="K4039" s="12" t="n"/>
      <c r="L4039" s="14" t="n"/>
      <c r="M4039" s="12" t="n"/>
      <c r="N4039" s="12" t="n"/>
      <c r="O4039" s="12" t="n"/>
    </row>
    <row r="4040">
      <c r="A4040" s="12" t="n"/>
      <c r="B4040" s="13">
        <f>IF($A4040="","",IFERROR(INDEX(Emp_Names,MATCH($A4040,Emp_Codes,0)),"NOT FOUND"))</f>
        <v/>
      </c>
      <c r="C4040" s="14" t="n"/>
      <c r="D4040" s="15" t="n"/>
      <c r="E4040" s="15" t="n"/>
      <c r="F4040" s="15" t="n"/>
      <c r="G4040" s="15" t="n"/>
      <c r="H4040" s="16">
        <f>IF($A4040="","",$D4040+IF($E4040="",0,$E4040)+IF($F4040="",0,$F4040)-IF($G4040="",0,$G4040))</f>
        <v/>
      </c>
      <c r="I4040" s="12" t="n"/>
      <c r="J4040" s="12" t="n"/>
      <c r="K4040" s="12" t="n"/>
      <c r="L4040" s="14" t="n"/>
      <c r="M4040" s="12" t="n"/>
      <c r="N4040" s="12" t="n"/>
      <c r="O4040" s="12" t="n"/>
    </row>
    <row r="4041">
      <c r="A4041" s="12" t="n"/>
      <c r="B4041" s="13">
        <f>IF($A4041="","",IFERROR(INDEX(Emp_Names,MATCH($A4041,Emp_Codes,0)),"NOT FOUND"))</f>
        <v/>
      </c>
      <c r="C4041" s="14" t="n"/>
      <c r="D4041" s="15" t="n"/>
      <c r="E4041" s="15" t="n"/>
      <c r="F4041" s="15" t="n"/>
      <c r="G4041" s="15" t="n"/>
      <c r="H4041" s="16">
        <f>IF($A4041="","",$D4041+IF($E4041="",0,$E4041)+IF($F4041="",0,$F4041)-IF($G4041="",0,$G4041))</f>
        <v/>
      </c>
      <c r="I4041" s="12" t="n"/>
      <c r="J4041" s="12" t="n"/>
      <c r="K4041" s="12" t="n"/>
      <c r="L4041" s="14" t="n"/>
      <c r="M4041" s="12" t="n"/>
      <c r="N4041" s="12" t="n"/>
      <c r="O4041" s="12" t="n"/>
    </row>
    <row r="4042">
      <c r="A4042" s="12" t="n"/>
      <c r="B4042" s="13">
        <f>IF($A4042="","",IFERROR(INDEX(Emp_Names,MATCH($A4042,Emp_Codes,0)),"NOT FOUND"))</f>
        <v/>
      </c>
      <c r="C4042" s="14" t="n"/>
      <c r="D4042" s="15" t="n"/>
      <c r="E4042" s="15" t="n"/>
      <c r="F4042" s="15" t="n"/>
      <c r="G4042" s="15" t="n"/>
      <c r="H4042" s="16">
        <f>IF($A4042="","",$D4042+IF($E4042="",0,$E4042)+IF($F4042="",0,$F4042)-IF($G4042="",0,$G4042))</f>
        <v/>
      </c>
      <c r="I4042" s="12" t="n"/>
      <c r="J4042" s="12" t="n"/>
      <c r="K4042" s="12" t="n"/>
      <c r="L4042" s="14" t="n"/>
      <c r="M4042" s="12" t="n"/>
      <c r="N4042" s="12" t="n"/>
      <c r="O4042" s="12" t="n"/>
    </row>
    <row r="4043">
      <c r="A4043" s="12" t="n"/>
      <c r="B4043" s="13">
        <f>IF($A4043="","",IFERROR(INDEX(Emp_Names,MATCH($A4043,Emp_Codes,0)),"NOT FOUND"))</f>
        <v/>
      </c>
      <c r="C4043" s="14" t="n"/>
      <c r="D4043" s="15" t="n"/>
      <c r="E4043" s="15" t="n"/>
      <c r="F4043" s="15" t="n"/>
      <c r="G4043" s="15" t="n"/>
      <c r="H4043" s="16">
        <f>IF($A4043="","",$D4043+IF($E4043="",0,$E4043)+IF($F4043="",0,$F4043)-IF($G4043="",0,$G4043))</f>
        <v/>
      </c>
      <c r="I4043" s="12" t="n"/>
      <c r="J4043" s="12" t="n"/>
      <c r="K4043" s="12" t="n"/>
      <c r="L4043" s="14" t="n"/>
      <c r="M4043" s="12" t="n"/>
      <c r="N4043" s="12" t="n"/>
      <c r="O4043" s="12" t="n"/>
    </row>
    <row r="4044">
      <c r="A4044" s="12" t="n"/>
      <c r="B4044" s="13">
        <f>IF($A4044="","",IFERROR(INDEX(Emp_Names,MATCH($A4044,Emp_Codes,0)),"NOT FOUND"))</f>
        <v/>
      </c>
      <c r="C4044" s="14" t="n"/>
      <c r="D4044" s="15" t="n"/>
      <c r="E4044" s="15" t="n"/>
      <c r="F4044" s="15" t="n"/>
      <c r="G4044" s="15" t="n"/>
      <c r="H4044" s="16">
        <f>IF($A4044="","",$D4044+IF($E4044="",0,$E4044)+IF($F4044="",0,$F4044)-IF($G4044="",0,$G4044))</f>
        <v/>
      </c>
      <c r="I4044" s="12" t="n"/>
      <c r="J4044" s="12" t="n"/>
      <c r="K4044" s="12" t="n"/>
      <c r="L4044" s="14" t="n"/>
      <c r="M4044" s="12" t="n"/>
      <c r="N4044" s="12" t="n"/>
      <c r="O4044" s="12" t="n"/>
    </row>
    <row r="4045">
      <c r="A4045" s="12" t="n"/>
      <c r="B4045" s="13">
        <f>IF($A4045="","",IFERROR(INDEX(Emp_Names,MATCH($A4045,Emp_Codes,0)),"NOT FOUND"))</f>
        <v/>
      </c>
      <c r="C4045" s="14" t="n"/>
      <c r="D4045" s="15" t="n"/>
      <c r="E4045" s="15" t="n"/>
      <c r="F4045" s="15" t="n"/>
      <c r="G4045" s="15" t="n"/>
      <c r="H4045" s="16">
        <f>IF($A4045="","",$D4045+IF($E4045="",0,$E4045)+IF($F4045="",0,$F4045)-IF($G4045="",0,$G4045))</f>
        <v/>
      </c>
      <c r="I4045" s="12" t="n"/>
      <c r="J4045" s="12" t="n"/>
      <c r="K4045" s="12" t="n"/>
      <c r="L4045" s="14" t="n"/>
      <c r="M4045" s="12" t="n"/>
      <c r="N4045" s="12" t="n"/>
      <c r="O4045" s="12" t="n"/>
    </row>
    <row r="4046">
      <c r="A4046" s="12" t="n"/>
      <c r="B4046" s="13">
        <f>IF($A4046="","",IFERROR(INDEX(Emp_Names,MATCH($A4046,Emp_Codes,0)),"NOT FOUND"))</f>
        <v/>
      </c>
      <c r="C4046" s="14" t="n"/>
      <c r="D4046" s="15" t="n"/>
      <c r="E4046" s="15" t="n"/>
      <c r="F4046" s="15" t="n"/>
      <c r="G4046" s="15" t="n"/>
      <c r="H4046" s="16">
        <f>IF($A4046="","",$D4046+IF($E4046="",0,$E4046)+IF($F4046="",0,$F4046)-IF($G4046="",0,$G4046))</f>
        <v/>
      </c>
      <c r="I4046" s="12" t="n"/>
      <c r="J4046" s="12" t="n"/>
      <c r="K4046" s="12" t="n"/>
      <c r="L4046" s="14" t="n"/>
      <c r="M4046" s="12" t="n"/>
      <c r="N4046" s="12" t="n"/>
      <c r="O4046" s="12" t="n"/>
    </row>
    <row r="4047">
      <c r="A4047" s="12" t="n"/>
      <c r="B4047" s="13">
        <f>IF($A4047="","",IFERROR(INDEX(Emp_Names,MATCH($A4047,Emp_Codes,0)),"NOT FOUND"))</f>
        <v/>
      </c>
      <c r="C4047" s="14" t="n"/>
      <c r="D4047" s="15" t="n"/>
      <c r="E4047" s="15" t="n"/>
      <c r="F4047" s="15" t="n"/>
      <c r="G4047" s="15" t="n"/>
      <c r="H4047" s="16">
        <f>IF($A4047="","",$D4047+IF($E4047="",0,$E4047)+IF($F4047="",0,$F4047)-IF($G4047="",0,$G4047))</f>
        <v/>
      </c>
      <c r="I4047" s="12" t="n"/>
      <c r="J4047" s="12" t="n"/>
      <c r="K4047" s="12" t="n"/>
      <c r="L4047" s="14" t="n"/>
      <c r="M4047" s="12" t="n"/>
      <c r="N4047" s="12" t="n"/>
      <c r="O4047" s="12" t="n"/>
    </row>
    <row r="4048">
      <c r="A4048" s="12" t="n"/>
      <c r="B4048" s="13">
        <f>IF($A4048="","",IFERROR(INDEX(Emp_Names,MATCH($A4048,Emp_Codes,0)),"NOT FOUND"))</f>
        <v/>
      </c>
      <c r="C4048" s="14" t="n"/>
      <c r="D4048" s="15" t="n"/>
      <c r="E4048" s="15" t="n"/>
      <c r="F4048" s="15" t="n"/>
      <c r="G4048" s="15" t="n"/>
      <c r="H4048" s="16">
        <f>IF($A4048="","",$D4048+IF($E4048="",0,$E4048)+IF($F4048="",0,$F4048)-IF($G4048="",0,$G4048))</f>
        <v/>
      </c>
      <c r="I4048" s="12" t="n"/>
      <c r="J4048" s="12" t="n"/>
      <c r="K4048" s="12" t="n"/>
      <c r="L4048" s="14" t="n"/>
      <c r="M4048" s="12" t="n"/>
      <c r="N4048" s="12" t="n"/>
      <c r="O4048" s="12" t="n"/>
    </row>
    <row r="4049">
      <c r="A4049" s="12" t="n"/>
      <c r="B4049" s="13">
        <f>IF($A4049="","",IFERROR(INDEX(Emp_Names,MATCH($A4049,Emp_Codes,0)),"NOT FOUND"))</f>
        <v/>
      </c>
      <c r="C4049" s="14" t="n"/>
      <c r="D4049" s="15" t="n"/>
      <c r="E4049" s="15" t="n"/>
      <c r="F4049" s="15" t="n"/>
      <c r="G4049" s="15" t="n"/>
      <c r="H4049" s="16">
        <f>IF($A4049="","",$D4049+IF($E4049="",0,$E4049)+IF($F4049="",0,$F4049)-IF($G4049="",0,$G4049))</f>
        <v/>
      </c>
      <c r="I4049" s="12" t="n"/>
      <c r="J4049" s="12" t="n"/>
      <c r="K4049" s="12" t="n"/>
      <c r="L4049" s="14" t="n"/>
      <c r="M4049" s="12" t="n"/>
      <c r="N4049" s="12" t="n"/>
      <c r="O4049" s="12" t="n"/>
    </row>
    <row r="4050">
      <c r="A4050" s="12" t="n"/>
      <c r="B4050" s="13">
        <f>IF($A4050="","",IFERROR(INDEX(Emp_Names,MATCH($A4050,Emp_Codes,0)),"NOT FOUND"))</f>
        <v/>
      </c>
      <c r="C4050" s="14" t="n"/>
      <c r="D4050" s="15" t="n"/>
      <c r="E4050" s="15" t="n"/>
      <c r="F4050" s="15" t="n"/>
      <c r="G4050" s="15" t="n"/>
      <c r="H4050" s="16">
        <f>IF($A4050="","",$D4050+IF($E4050="",0,$E4050)+IF($F4050="",0,$F4050)-IF($G4050="",0,$G4050))</f>
        <v/>
      </c>
      <c r="I4050" s="12" t="n"/>
      <c r="J4050" s="12" t="n"/>
      <c r="K4050" s="12" t="n"/>
      <c r="L4050" s="14" t="n"/>
      <c r="M4050" s="12" t="n"/>
      <c r="N4050" s="12" t="n"/>
      <c r="O4050" s="12" t="n"/>
    </row>
    <row r="4051">
      <c r="A4051" s="12" t="n"/>
      <c r="B4051" s="13">
        <f>IF($A4051="","",IFERROR(INDEX(Emp_Names,MATCH($A4051,Emp_Codes,0)),"NOT FOUND"))</f>
        <v/>
      </c>
      <c r="C4051" s="14" t="n"/>
      <c r="D4051" s="15" t="n"/>
      <c r="E4051" s="15" t="n"/>
      <c r="F4051" s="15" t="n"/>
      <c r="G4051" s="15" t="n"/>
      <c r="H4051" s="16">
        <f>IF($A4051="","",$D4051+IF($E4051="",0,$E4051)+IF($F4051="",0,$F4051)-IF($G4051="",0,$G4051))</f>
        <v/>
      </c>
      <c r="I4051" s="12" t="n"/>
      <c r="J4051" s="12" t="n"/>
      <c r="K4051" s="12" t="n"/>
      <c r="L4051" s="14" t="n"/>
      <c r="M4051" s="12" t="n"/>
      <c r="N4051" s="12" t="n"/>
      <c r="O4051" s="12" t="n"/>
    </row>
    <row r="4052">
      <c r="A4052" s="12" t="n"/>
      <c r="B4052" s="13">
        <f>IF($A4052="","",IFERROR(INDEX(Emp_Names,MATCH($A4052,Emp_Codes,0)),"NOT FOUND"))</f>
        <v/>
      </c>
      <c r="C4052" s="14" t="n"/>
      <c r="D4052" s="15" t="n"/>
      <c r="E4052" s="15" t="n"/>
      <c r="F4052" s="15" t="n"/>
      <c r="G4052" s="15" t="n"/>
      <c r="H4052" s="16">
        <f>IF($A4052="","",$D4052+IF($E4052="",0,$E4052)+IF($F4052="",0,$F4052)-IF($G4052="",0,$G4052))</f>
        <v/>
      </c>
      <c r="I4052" s="12" t="n"/>
      <c r="J4052" s="12" t="n"/>
      <c r="K4052" s="12" t="n"/>
      <c r="L4052" s="14" t="n"/>
      <c r="M4052" s="12" t="n"/>
      <c r="N4052" s="12" t="n"/>
      <c r="O4052" s="12" t="n"/>
    </row>
    <row r="4053">
      <c r="A4053" s="12" t="n"/>
      <c r="B4053" s="13">
        <f>IF($A4053="","",IFERROR(INDEX(Emp_Names,MATCH($A4053,Emp_Codes,0)),"NOT FOUND"))</f>
        <v/>
      </c>
      <c r="C4053" s="14" t="n"/>
      <c r="D4053" s="15" t="n"/>
      <c r="E4053" s="15" t="n"/>
      <c r="F4053" s="15" t="n"/>
      <c r="G4053" s="15" t="n"/>
      <c r="H4053" s="16">
        <f>IF($A4053="","",$D4053+IF($E4053="",0,$E4053)+IF($F4053="",0,$F4053)-IF($G4053="",0,$G4053))</f>
        <v/>
      </c>
      <c r="I4053" s="12" t="n"/>
      <c r="J4053" s="12" t="n"/>
      <c r="K4053" s="12" t="n"/>
      <c r="L4053" s="14" t="n"/>
      <c r="M4053" s="12" t="n"/>
      <c r="N4053" s="12" t="n"/>
      <c r="O4053" s="12" t="n"/>
    </row>
    <row r="4054">
      <c r="A4054" s="12" t="n"/>
      <c r="B4054" s="13">
        <f>IF($A4054="","",IFERROR(INDEX(Emp_Names,MATCH($A4054,Emp_Codes,0)),"NOT FOUND"))</f>
        <v/>
      </c>
      <c r="C4054" s="14" t="n"/>
      <c r="D4054" s="15" t="n"/>
      <c r="E4054" s="15" t="n"/>
      <c r="F4054" s="15" t="n"/>
      <c r="G4054" s="15" t="n"/>
      <c r="H4054" s="16">
        <f>IF($A4054="","",$D4054+IF($E4054="",0,$E4054)+IF($F4054="",0,$F4054)-IF($G4054="",0,$G4054))</f>
        <v/>
      </c>
      <c r="I4054" s="12" t="n"/>
      <c r="J4054" s="12" t="n"/>
      <c r="K4054" s="12" t="n"/>
      <c r="L4054" s="14" t="n"/>
      <c r="M4054" s="12" t="n"/>
      <c r="N4054" s="12" t="n"/>
      <c r="O4054" s="12" t="n"/>
    </row>
    <row r="4055">
      <c r="A4055" s="12" t="n"/>
      <c r="B4055" s="13">
        <f>IF($A4055="","",IFERROR(INDEX(Emp_Names,MATCH($A4055,Emp_Codes,0)),"NOT FOUND"))</f>
        <v/>
      </c>
      <c r="C4055" s="14" t="n"/>
      <c r="D4055" s="15" t="n"/>
      <c r="E4055" s="15" t="n"/>
      <c r="F4055" s="15" t="n"/>
      <c r="G4055" s="15" t="n"/>
      <c r="H4055" s="16">
        <f>IF($A4055="","",$D4055+IF($E4055="",0,$E4055)+IF($F4055="",0,$F4055)-IF($G4055="",0,$G4055))</f>
        <v/>
      </c>
      <c r="I4055" s="12" t="n"/>
      <c r="J4055" s="12" t="n"/>
      <c r="K4055" s="12" t="n"/>
      <c r="L4055" s="14" t="n"/>
      <c r="M4055" s="12" t="n"/>
      <c r="N4055" s="12" t="n"/>
      <c r="O4055" s="12" t="n"/>
    </row>
    <row r="4056">
      <c r="A4056" s="12" t="n"/>
      <c r="B4056" s="13">
        <f>IF($A4056="","",IFERROR(INDEX(Emp_Names,MATCH($A4056,Emp_Codes,0)),"NOT FOUND"))</f>
        <v/>
      </c>
      <c r="C4056" s="14" t="n"/>
      <c r="D4056" s="15" t="n"/>
      <c r="E4056" s="15" t="n"/>
      <c r="F4056" s="15" t="n"/>
      <c r="G4056" s="15" t="n"/>
      <c r="H4056" s="16">
        <f>IF($A4056="","",$D4056+IF($E4056="",0,$E4056)+IF($F4056="",0,$F4056)-IF($G4056="",0,$G4056))</f>
        <v/>
      </c>
      <c r="I4056" s="12" t="n"/>
      <c r="J4056" s="12" t="n"/>
      <c r="K4056" s="12" t="n"/>
      <c r="L4056" s="14" t="n"/>
      <c r="M4056" s="12" t="n"/>
      <c r="N4056" s="12" t="n"/>
      <c r="O4056" s="12" t="n"/>
    </row>
    <row r="4057">
      <c r="A4057" s="12" t="n"/>
      <c r="B4057" s="13">
        <f>IF($A4057="","",IFERROR(INDEX(Emp_Names,MATCH($A4057,Emp_Codes,0)),"NOT FOUND"))</f>
        <v/>
      </c>
      <c r="C4057" s="14" t="n"/>
      <c r="D4057" s="15" t="n"/>
      <c r="E4057" s="15" t="n"/>
      <c r="F4057" s="15" t="n"/>
      <c r="G4057" s="15" t="n"/>
      <c r="H4057" s="16">
        <f>IF($A4057="","",$D4057+IF($E4057="",0,$E4057)+IF($F4057="",0,$F4057)-IF($G4057="",0,$G4057))</f>
        <v/>
      </c>
      <c r="I4057" s="12" t="n"/>
      <c r="J4057" s="12" t="n"/>
      <c r="K4057" s="12" t="n"/>
      <c r="L4057" s="14" t="n"/>
      <c r="M4057" s="12" t="n"/>
      <c r="N4057" s="12" t="n"/>
      <c r="O4057" s="12" t="n"/>
    </row>
    <row r="4058">
      <c r="A4058" s="12" t="n"/>
      <c r="B4058" s="13">
        <f>IF($A4058="","",IFERROR(INDEX(Emp_Names,MATCH($A4058,Emp_Codes,0)),"NOT FOUND"))</f>
        <v/>
      </c>
      <c r="C4058" s="14" t="n"/>
      <c r="D4058" s="15" t="n"/>
      <c r="E4058" s="15" t="n"/>
      <c r="F4058" s="15" t="n"/>
      <c r="G4058" s="15" t="n"/>
      <c r="H4058" s="16">
        <f>IF($A4058="","",$D4058+IF($E4058="",0,$E4058)+IF($F4058="",0,$F4058)-IF($G4058="",0,$G4058))</f>
        <v/>
      </c>
      <c r="I4058" s="12" t="n"/>
      <c r="J4058" s="12" t="n"/>
      <c r="K4058" s="12" t="n"/>
      <c r="L4058" s="14" t="n"/>
      <c r="M4058" s="12" t="n"/>
      <c r="N4058" s="12" t="n"/>
      <c r="O4058" s="12" t="n"/>
    </row>
    <row r="4059">
      <c r="A4059" s="12" t="n"/>
      <c r="B4059" s="13">
        <f>IF($A4059="","",IFERROR(INDEX(Emp_Names,MATCH($A4059,Emp_Codes,0)),"NOT FOUND"))</f>
        <v/>
      </c>
      <c r="C4059" s="14" t="n"/>
      <c r="D4059" s="15" t="n"/>
      <c r="E4059" s="15" t="n"/>
      <c r="F4059" s="15" t="n"/>
      <c r="G4059" s="15" t="n"/>
      <c r="H4059" s="16">
        <f>IF($A4059="","",$D4059+IF($E4059="",0,$E4059)+IF($F4059="",0,$F4059)-IF($G4059="",0,$G4059))</f>
        <v/>
      </c>
      <c r="I4059" s="12" t="n"/>
      <c r="J4059" s="12" t="n"/>
      <c r="K4059" s="12" t="n"/>
      <c r="L4059" s="14" t="n"/>
      <c r="M4059" s="12" t="n"/>
      <c r="N4059" s="12" t="n"/>
      <c r="O4059" s="12" t="n"/>
    </row>
    <row r="4060">
      <c r="A4060" s="12" t="n"/>
      <c r="B4060" s="13">
        <f>IF($A4060="","",IFERROR(INDEX(Emp_Names,MATCH($A4060,Emp_Codes,0)),"NOT FOUND"))</f>
        <v/>
      </c>
      <c r="C4060" s="14" t="n"/>
      <c r="D4060" s="15" t="n"/>
      <c r="E4060" s="15" t="n"/>
      <c r="F4060" s="15" t="n"/>
      <c r="G4060" s="15" t="n"/>
      <c r="H4060" s="16">
        <f>IF($A4060="","",$D4060+IF($E4060="",0,$E4060)+IF($F4060="",0,$F4060)-IF($G4060="",0,$G4060))</f>
        <v/>
      </c>
      <c r="I4060" s="12" t="n"/>
      <c r="J4060" s="12" t="n"/>
      <c r="K4060" s="12" t="n"/>
      <c r="L4060" s="14" t="n"/>
      <c r="M4060" s="12" t="n"/>
      <c r="N4060" s="12" t="n"/>
      <c r="O4060" s="12" t="n"/>
    </row>
    <row r="4061">
      <c r="A4061" s="12" t="n"/>
      <c r="B4061" s="13">
        <f>IF($A4061="","",IFERROR(INDEX(Emp_Names,MATCH($A4061,Emp_Codes,0)),"NOT FOUND"))</f>
        <v/>
      </c>
      <c r="C4061" s="14" t="n"/>
      <c r="D4061" s="15" t="n"/>
      <c r="E4061" s="15" t="n"/>
      <c r="F4061" s="15" t="n"/>
      <c r="G4061" s="15" t="n"/>
      <c r="H4061" s="16">
        <f>IF($A4061="","",$D4061+IF($E4061="",0,$E4061)+IF($F4061="",0,$F4061)-IF($G4061="",0,$G4061))</f>
        <v/>
      </c>
      <c r="I4061" s="12" t="n"/>
      <c r="J4061" s="12" t="n"/>
      <c r="K4061" s="12" t="n"/>
      <c r="L4061" s="14" t="n"/>
      <c r="M4061" s="12" t="n"/>
      <c r="N4061" s="12" t="n"/>
      <c r="O4061" s="12" t="n"/>
    </row>
    <row r="4062">
      <c r="A4062" s="12" t="n"/>
      <c r="B4062" s="13">
        <f>IF($A4062="","",IFERROR(INDEX(Emp_Names,MATCH($A4062,Emp_Codes,0)),"NOT FOUND"))</f>
        <v/>
      </c>
      <c r="C4062" s="14" t="n"/>
      <c r="D4062" s="15" t="n"/>
      <c r="E4062" s="15" t="n"/>
      <c r="F4062" s="15" t="n"/>
      <c r="G4062" s="15" t="n"/>
      <c r="H4062" s="16">
        <f>IF($A4062="","",$D4062+IF($E4062="",0,$E4062)+IF($F4062="",0,$F4062)-IF($G4062="",0,$G4062))</f>
        <v/>
      </c>
      <c r="I4062" s="12" t="n"/>
      <c r="J4062" s="12" t="n"/>
      <c r="K4062" s="12" t="n"/>
      <c r="L4062" s="14" t="n"/>
      <c r="M4062" s="12" t="n"/>
      <c r="N4062" s="12" t="n"/>
      <c r="O4062" s="12" t="n"/>
    </row>
    <row r="4063">
      <c r="A4063" s="12" t="n"/>
      <c r="B4063" s="13">
        <f>IF($A4063="","",IFERROR(INDEX(Emp_Names,MATCH($A4063,Emp_Codes,0)),"NOT FOUND"))</f>
        <v/>
      </c>
      <c r="C4063" s="14" t="n"/>
      <c r="D4063" s="15" t="n"/>
      <c r="E4063" s="15" t="n"/>
      <c r="F4063" s="15" t="n"/>
      <c r="G4063" s="15" t="n"/>
      <c r="H4063" s="16">
        <f>IF($A4063="","",$D4063+IF($E4063="",0,$E4063)+IF($F4063="",0,$F4063)-IF($G4063="",0,$G4063))</f>
        <v/>
      </c>
      <c r="I4063" s="12" t="n"/>
      <c r="J4063" s="12" t="n"/>
      <c r="K4063" s="12" t="n"/>
      <c r="L4063" s="14" t="n"/>
      <c r="M4063" s="12" t="n"/>
      <c r="N4063" s="12" t="n"/>
      <c r="O4063" s="12" t="n"/>
    </row>
    <row r="4064">
      <c r="A4064" s="12" t="n"/>
      <c r="B4064" s="13">
        <f>IF($A4064="","",IFERROR(INDEX(Emp_Names,MATCH($A4064,Emp_Codes,0)),"NOT FOUND"))</f>
        <v/>
      </c>
      <c r="C4064" s="14" t="n"/>
      <c r="D4064" s="15" t="n"/>
      <c r="E4064" s="15" t="n"/>
      <c r="F4064" s="15" t="n"/>
      <c r="G4064" s="15" t="n"/>
      <c r="H4064" s="16">
        <f>IF($A4064="","",$D4064+IF($E4064="",0,$E4064)+IF($F4064="",0,$F4064)-IF($G4064="",0,$G4064))</f>
        <v/>
      </c>
      <c r="I4064" s="12" t="n"/>
      <c r="J4064" s="12" t="n"/>
      <c r="K4064" s="12" t="n"/>
      <c r="L4064" s="14" t="n"/>
      <c r="M4064" s="12" t="n"/>
      <c r="N4064" s="12" t="n"/>
      <c r="O4064" s="12" t="n"/>
    </row>
    <row r="4065">
      <c r="A4065" s="12" t="n"/>
      <c r="B4065" s="13">
        <f>IF($A4065="","",IFERROR(INDEX(Emp_Names,MATCH($A4065,Emp_Codes,0)),"NOT FOUND"))</f>
        <v/>
      </c>
      <c r="C4065" s="14" t="n"/>
      <c r="D4065" s="15" t="n"/>
      <c r="E4065" s="15" t="n"/>
      <c r="F4065" s="15" t="n"/>
      <c r="G4065" s="15" t="n"/>
      <c r="H4065" s="16">
        <f>IF($A4065="","",$D4065+IF($E4065="",0,$E4065)+IF($F4065="",0,$F4065)-IF($G4065="",0,$G4065))</f>
        <v/>
      </c>
      <c r="I4065" s="12" t="n"/>
      <c r="J4065" s="12" t="n"/>
      <c r="K4065" s="12" t="n"/>
      <c r="L4065" s="14" t="n"/>
      <c r="M4065" s="12" t="n"/>
      <c r="N4065" s="12" t="n"/>
      <c r="O4065" s="12" t="n"/>
    </row>
    <row r="4066">
      <c r="A4066" s="12" t="n"/>
      <c r="B4066" s="13">
        <f>IF($A4066="","",IFERROR(INDEX(Emp_Names,MATCH($A4066,Emp_Codes,0)),"NOT FOUND"))</f>
        <v/>
      </c>
      <c r="C4066" s="14" t="n"/>
      <c r="D4066" s="15" t="n"/>
      <c r="E4066" s="15" t="n"/>
      <c r="F4066" s="15" t="n"/>
      <c r="G4066" s="15" t="n"/>
      <c r="H4066" s="16">
        <f>IF($A4066="","",$D4066+IF($E4066="",0,$E4066)+IF($F4066="",0,$F4066)-IF($G4066="",0,$G4066))</f>
        <v/>
      </c>
      <c r="I4066" s="12" t="n"/>
      <c r="J4066" s="12" t="n"/>
      <c r="K4066" s="12" t="n"/>
      <c r="L4066" s="14" t="n"/>
      <c r="M4066" s="12" t="n"/>
      <c r="N4066" s="12" t="n"/>
      <c r="O4066" s="12" t="n"/>
    </row>
    <row r="4067">
      <c r="A4067" s="12" t="n"/>
      <c r="B4067" s="13">
        <f>IF($A4067="","",IFERROR(INDEX(Emp_Names,MATCH($A4067,Emp_Codes,0)),"NOT FOUND"))</f>
        <v/>
      </c>
      <c r="C4067" s="14" t="n"/>
      <c r="D4067" s="15" t="n"/>
      <c r="E4067" s="15" t="n"/>
      <c r="F4067" s="15" t="n"/>
      <c r="G4067" s="15" t="n"/>
      <c r="H4067" s="16">
        <f>IF($A4067="","",$D4067+IF($E4067="",0,$E4067)+IF($F4067="",0,$F4067)-IF($G4067="",0,$G4067))</f>
        <v/>
      </c>
      <c r="I4067" s="12" t="n"/>
      <c r="J4067" s="12" t="n"/>
      <c r="K4067" s="12" t="n"/>
      <c r="L4067" s="14" t="n"/>
      <c r="M4067" s="12" t="n"/>
      <c r="N4067" s="12" t="n"/>
      <c r="O4067" s="12" t="n"/>
    </row>
    <row r="4068">
      <c r="A4068" s="12" t="n"/>
      <c r="B4068" s="13">
        <f>IF($A4068="","",IFERROR(INDEX(Emp_Names,MATCH($A4068,Emp_Codes,0)),"NOT FOUND"))</f>
        <v/>
      </c>
      <c r="C4068" s="14" t="n"/>
      <c r="D4068" s="15" t="n"/>
      <c r="E4068" s="15" t="n"/>
      <c r="F4068" s="15" t="n"/>
      <c r="G4068" s="15" t="n"/>
      <c r="H4068" s="16">
        <f>IF($A4068="","",$D4068+IF($E4068="",0,$E4068)+IF($F4068="",0,$F4068)-IF($G4068="",0,$G4068))</f>
        <v/>
      </c>
      <c r="I4068" s="12" t="n"/>
      <c r="J4068" s="12" t="n"/>
      <c r="K4068" s="12" t="n"/>
      <c r="L4068" s="14" t="n"/>
      <c r="M4068" s="12" t="n"/>
      <c r="N4068" s="12" t="n"/>
      <c r="O4068" s="12" t="n"/>
    </row>
    <row r="4069">
      <c r="A4069" s="12" t="n"/>
      <c r="B4069" s="13">
        <f>IF($A4069="","",IFERROR(INDEX(Emp_Names,MATCH($A4069,Emp_Codes,0)),"NOT FOUND"))</f>
        <v/>
      </c>
      <c r="C4069" s="14" t="n"/>
      <c r="D4069" s="15" t="n"/>
      <c r="E4069" s="15" t="n"/>
      <c r="F4069" s="15" t="n"/>
      <c r="G4069" s="15" t="n"/>
      <c r="H4069" s="16">
        <f>IF($A4069="","",$D4069+IF($E4069="",0,$E4069)+IF($F4069="",0,$F4069)-IF($G4069="",0,$G4069))</f>
        <v/>
      </c>
      <c r="I4069" s="12" t="n"/>
      <c r="J4069" s="12" t="n"/>
      <c r="K4069" s="12" t="n"/>
      <c r="L4069" s="14" t="n"/>
      <c r="M4069" s="12" t="n"/>
      <c r="N4069" s="12" t="n"/>
      <c r="O4069" s="12" t="n"/>
    </row>
    <row r="4070">
      <c r="A4070" s="12" t="n"/>
      <c r="B4070" s="13">
        <f>IF($A4070="","",IFERROR(INDEX(Emp_Names,MATCH($A4070,Emp_Codes,0)),"NOT FOUND"))</f>
        <v/>
      </c>
      <c r="C4070" s="14" t="n"/>
      <c r="D4070" s="15" t="n"/>
      <c r="E4070" s="15" t="n"/>
      <c r="F4070" s="15" t="n"/>
      <c r="G4070" s="15" t="n"/>
      <c r="H4070" s="16">
        <f>IF($A4070="","",$D4070+IF($E4070="",0,$E4070)+IF($F4070="",0,$F4070)-IF($G4070="",0,$G4070))</f>
        <v/>
      </c>
      <c r="I4070" s="12" t="n"/>
      <c r="J4070" s="12" t="n"/>
      <c r="K4070" s="12" t="n"/>
      <c r="L4070" s="14" t="n"/>
      <c r="M4070" s="12" t="n"/>
      <c r="N4070" s="12" t="n"/>
      <c r="O4070" s="12" t="n"/>
    </row>
    <row r="4071">
      <c r="A4071" s="12" t="n"/>
      <c r="B4071" s="13">
        <f>IF($A4071="","",IFERROR(INDEX(Emp_Names,MATCH($A4071,Emp_Codes,0)),"NOT FOUND"))</f>
        <v/>
      </c>
      <c r="C4071" s="14" t="n"/>
      <c r="D4071" s="15" t="n"/>
      <c r="E4071" s="15" t="n"/>
      <c r="F4071" s="15" t="n"/>
      <c r="G4071" s="15" t="n"/>
      <c r="H4071" s="16">
        <f>IF($A4071="","",$D4071+IF($E4071="",0,$E4071)+IF($F4071="",0,$F4071)-IF($G4071="",0,$G4071))</f>
        <v/>
      </c>
      <c r="I4071" s="12" t="n"/>
      <c r="J4071" s="12" t="n"/>
      <c r="K4071" s="12" t="n"/>
      <c r="L4071" s="14" t="n"/>
      <c r="M4071" s="12" t="n"/>
      <c r="N4071" s="12" t="n"/>
      <c r="O4071" s="12" t="n"/>
    </row>
    <row r="4072">
      <c r="A4072" s="12" t="n"/>
      <c r="B4072" s="13">
        <f>IF($A4072="","",IFERROR(INDEX(Emp_Names,MATCH($A4072,Emp_Codes,0)),"NOT FOUND"))</f>
        <v/>
      </c>
      <c r="C4072" s="14" t="n"/>
      <c r="D4072" s="15" t="n"/>
      <c r="E4072" s="15" t="n"/>
      <c r="F4072" s="15" t="n"/>
      <c r="G4072" s="15" t="n"/>
      <c r="H4072" s="16">
        <f>IF($A4072="","",$D4072+IF($E4072="",0,$E4072)+IF($F4072="",0,$F4072)-IF($G4072="",0,$G4072))</f>
        <v/>
      </c>
      <c r="I4072" s="12" t="n"/>
      <c r="J4072" s="12" t="n"/>
      <c r="K4072" s="12" t="n"/>
      <c r="L4072" s="14" t="n"/>
      <c r="M4072" s="12" t="n"/>
      <c r="N4072" s="12" t="n"/>
      <c r="O4072" s="12" t="n"/>
    </row>
    <row r="4073">
      <c r="A4073" s="12" t="n"/>
      <c r="B4073" s="13">
        <f>IF($A4073="","",IFERROR(INDEX(Emp_Names,MATCH($A4073,Emp_Codes,0)),"NOT FOUND"))</f>
        <v/>
      </c>
      <c r="C4073" s="14" t="n"/>
      <c r="D4073" s="15" t="n"/>
      <c r="E4073" s="15" t="n"/>
      <c r="F4073" s="15" t="n"/>
      <c r="G4073" s="15" t="n"/>
      <c r="H4073" s="16">
        <f>IF($A4073="","",$D4073+IF($E4073="",0,$E4073)+IF($F4073="",0,$F4073)-IF($G4073="",0,$G4073))</f>
        <v/>
      </c>
      <c r="I4073" s="12" t="n"/>
      <c r="J4073" s="12" t="n"/>
      <c r="K4073" s="12" t="n"/>
      <c r="L4073" s="14" t="n"/>
      <c r="M4073" s="12" t="n"/>
      <c r="N4073" s="12" t="n"/>
      <c r="O4073" s="12" t="n"/>
    </row>
    <row r="4074">
      <c r="A4074" s="12" t="n"/>
      <c r="B4074" s="13">
        <f>IF($A4074="","",IFERROR(INDEX(Emp_Names,MATCH($A4074,Emp_Codes,0)),"NOT FOUND"))</f>
        <v/>
      </c>
      <c r="C4074" s="14" t="n"/>
      <c r="D4074" s="15" t="n"/>
      <c r="E4074" s="15" t="n"/>
      <c r="F4074" s="15" t="n"/>
      <c r="G4074" s="15" t="n"/>
      <c r="H4074" s="16">
        <f>IF($A4074="","",$D4074+IF($E4074="",0,$E4074)+IF($F4074="",0,$F4074)-IF($G4074="",0,$G4074))</f>
        <v/>
      </c>
      <c r="I4074" s="12" t="n"/>
      <c r="J4074" s="12" t="n"/>
      <c r="K4074" s="12" t="n"/>
      <c r="L4074" s="14" t="n"/>
      <c r="M4074" s="12" t="n"/>
      <c r="N4074" s="12" t="n"/>
      <c r="O4074" s="12" t="n"/>
    </row>
    <row r="4075">
      <c r="A4075" s="12" t="n"/>
      <c r="B4075" s="13">
        <f>IF($A4075="","",IFERROR(INDEX(Emp_Names,MATCH($A4075,Emp_Codes,0)),"NOT FOUND"))</f>
        <v/>
      </c>
      <c r="C4075" s="14" t="n"/>
      <c r="D4075" s="15" t="n"/>
      <c r="E4075" s="15" t="n"/>
      <c r="F4075" s="15" t="n"/>
      <c r="G4075" s="15" t="n"/>
      <c r="H4075" s="16">
        <f>IF($A4075="","",$D4075+IF($E4075="",0,$E4075)+IF($F4075="",0,$F4075)-IF($G4075="",0,$G4075))</f>
        <v/>
      </c>
      <c r="I4075" s="12" t="n"/>
      <c r="J4075" s="12" t="n"/>
      <c r="K4075" s="12" t="n"/>
      <c r="L4075" s="14" t="n"/>
      <c r="M4075" s="12" t="n"/>
      <c r="N4075" s="12" t="n"/>
      <c r="O4075" s="12" t="n"/>
    </row>
    <row r="4076">
      <c r="A4076" s="12" t="n"/>
      <c r="B4076" s="13">
        <f>IF($A4076="","",IFERROR(INDEX(Emp_Names,MATCH($A4076,Emp_Codes,0)),"NOT FOUND"))</f>
        <v/>
      </c>
      <c r="C4076" s="14" t="n"/>
      <c r="D4076" s="15" t="n"/>
      <c r="E4076" s="15" t="n"/>
      <c r="F4076" s="15" t="n"/>
      <c r="G4076" s="15" t="n"/>
      <c r="H4076" s="16">
        <f>IF($A4076="","",$D4076+IF($E4076="",0,$E4076)+IF($F4076="",0,$F4076)-IF($G4076="",0,$G4076))</f>
        <v/>
      </c>
      <c r="I4076" s="12" t="n"/>
      <c r="J4076" s="12" t="n"/>
      <c r="K4076" s="12" t="n"/>
      <c r="L4076" s="14" t="n"/>
      <c r="M4076" s="12" t="n"/>
      <c r="N4076" s="12" t="n"/>
      <c r="O4076" s="12" t="n"/>
    </row>
    <row r="4077">
      <c r="A4077" s="12" t="n"/>
      <c r="B4077" s="13">
        <f>IF($A4077="","",IFERROR(INDEX(Emp_Names,MATCH($A4077,Emp_Codes,0)),"NOT FOUND"))</f>
        <v/>
      </c>
      <c r="C4077" s="14" t="n"/>
      <c r="D4077" s="15" t="n"/>
      <c r="E4077" s="15" t="n"/>
      <c r="F4077" s="15" t="n"/>
      <c r="G4077" s="15" t="n"/>
      <c r="H4077" s="16">
        <f>IF($A4077="","",$D4077+IF($E4077="",0,$E4077)+IF($F4077="",0,$F4077)-IF($G4077="",0,$G4077))</f>
        <v/>
      </c>
      <c r="I4077" s="12" t="n"/>
      <c r="J4077" s="12" t="n"/>
      <c r="K4077" s="12" t="n"/>
      <c r="L4077" s="14" t="n"/>
      <c r="M4077" s="12" t="n"/>
      <c r="N4077" s="12" t="n"/>
      <c r="O4077" s="12" t="n"/>
    </row>
    <row r="4078">
      <c r="A4078" s="12" t="n"/>
      <c r="B4078" s="13">
        <f>IF($A4078="","",IFERROR(INDEX(Emp_Names,MATCH($A4078,Emp_Codes,0)),"NOT FOUND"))</f>
        <v/>
      </c>
      <c r="C4078" s="14" t="n"/>
      <c r="D4078" s="15" t="n"/>
      <c r="E4078" s="15" t="n"/>
      <c r="F4078" s="15" t="n"/>
      <c r="G4078" s="15" t="n"/>
      <c r="H4078" s="16">
        <f>IF($A4078="","",$D4078+IF($E4078="",0,$E4078)+IF($F4078="",0,$F4078)-IF($G4078="",0,$G4078))</f>
        <v/>
      </c>
      <c r="I4078" s="12" t="n"/>
      <c r="J4078" s="12" t="n"/>
      <c r="K4078" s="12" t="n"/>
      <c r="L4078" s="14" t="n"/>
      <c r="M4078" s="12" t="n"/>
      <c r="N4078" s="12" t="n"/>
      <c r="O4078" s="12" t="n"/>
    </row>
    <row r="4079">
      <c r="A4079" s="12" t="n"/>
      <c r="B4079" s="13">
        <f>IF($A4079="","",IFERROR(INDEX(Emp_Names,MATCH($A4079,Emp_Codes,0)),"NOT FOUND"))</f>
        <v/>
      </c>
      <c r="C4079" s="14" t="n"/>
      <c r="D4079" s="15" t="n"/>
      <c r="E4079" s="15" t="n"/>
      <c r="F4079" s="15" t="n"/>
      <c r="G4079" s="15" t="n"/>
      <c r="H4079" s="16">
        <f>IF($A4079="","",$D4079+IF($E4079="",0,$E4079)+IF($F4079="",0,$F4079)-IF($G4079="",0,$G4079))</f>
        <v/>
      </c>
      <c r="I4079" s="12" t="n"/>
      <c r="J4079" s="12" t="n"/>
      <c r="K4079" s="12" t="n"/>
      <c r="L4079" s="14" t="n"/>
      <c r="M4079" s="12" t="n"/>
      <c r="N4079" s="12" t="n"/>
      <c r="O4079" s="12" t="n"/>
    </row>
    <row r="4080">
      <c r="A4080" s="12" t="n"/>
      <c r="B4080" s="13">
        <f>IF($A4080="","",IFERROR(INDEX(Emp_Names,MATCH($A4080,Emp_Codes,0)),"NOT FOUND"))</f>
        <v/>
      </c>
      <c r="C4080" s="14" t="n"/>
      <c r="D4080" s="15" t="n"/>
      <c r="E4080" s="15" t="n"/>
      <c r="F4080" s="15" t="n"/>
      <c r="G4080" s="15" t="n"/>
      <c r="H4080" s="16">
        <f>IF($A4080="","",$D4080+IF($E4080="",0,$E4080)+IF($F4080="",0,$F4080)-IF($G4080="",0,$G4080))</f>
        <v/>
      </c>
      <c r="I4080" s="12" t="n"/>
      <c r="J4080" s="12" t="n"/>
      <c r="K4080" s="12" t="n"/>
      <c r="L4080" s="14" t="n"/>
      <c r="M4080" s="12" t="n"/>
      <c r="N4080" s="12" t="n"/>
      <c r="O4080" s="12" t="n"/>
    </row>
    <row r="4081">
      <c r="A4081" s="12" t="n"/>
      <c r="B4081" s="13">
        <f>IF($A4081="","",IFERROR(INDEX(Emp_Names,MATCH($A4081,Emp_Codes,0)),"NOT FOUND"))</f>
        <v/>
      </c>
      <c r="C4081" s="14" t="n"/>
      <c r="D4081" s="15" t="n"/>
      <c r="E4081" s="15" t="n"/>
      <c r="F4081" s="15" t="n"/>
      <c r="G4081" s="15" t="n"/>
      <c r="H4081" s="16">
        <f>IF($A4081="","",$D4081+IF($E4081="",0,$E4081)+IF($F4081="",0,$F4081)-IF($G4081="",0,$G4081))</f>
        <v/>
      </c>
      <c r="I4081" s="12" t="n"/>
      <c r="J4081" s="12" t="n"/>
      <c r="K4081" s="12" t="n"/>
      <c r="L4081" s="14" t="n"/>
      <c r="M4081" s="12" t="n"/>
      <c r="N4081" s="12" t="n"/>
      <c r="O4081" s="12" t="n"/>
    </row>
    <row r="4082">
      <c r="A4082" s="12" t="n"/>
      <c r="B4082" s="13">
        <f>IF($A4082="","",IFERROR(INDEX(Emp_Names,MATCH($A4082,Emp_Codes,0)),"NOT FOUND"))</f>
        <v/>
      </c>
      <c r="C4082" s="14" t="n"/>
      <c r="D4082" s="15" t="n"/>
      <c r="E4082" s="15" t="n"/>
      <c r="F4082" s="15" t="n"/>
      <c r="G4082" s="15" t="n"/>
      <c r="H4082" s="16">
        <f>IF($A4082="","",$D4082+IF($E4082="",0,$E4082)+IF($F4082="",0,$F4082)-IF($G4082="",0,$G4082))</f>
        <v/>
      </c>
      <c r="I4082" s="12" t="n"/>
      <c r="J4082" s="12" t="n"/>
      <c r="K4082" s="12" t="n"/>
      <c r="L4082" s="14" t="n"/>
      <c r="M4082" s="12" t="n"/>
      <c r="N4082" s="12" t="n"/>
      <c r="O4082" s="12" t="n"/>
    </row>
    <row r="4083">
      <c r="A4083" s="12" t="n"/>
      <c r="B4083" s="13">
        <f>IF($A4083="","",IFERROR(INDEX(Emp_Names,MATCH($A4083,Emp_Codes,0)),"NOT FOUND"))</f>
        <v/>
      </c>
      <c r="C4083" s="14" t="n"/>
      <c r="D4083" s="15" t="n"/>
      <c r="E4083" s="15" t="n"/>
      <c r="F4083" s="15" t="n"/>
      <c r="G4083" s="15" t="n"/>
      <c r="H4083" s="16">
        <f>IF($A4083="","",$D4083+IF($E4083="",0,$E4083)+IF($F4083="",0,$F4083)-IF($G4083="",0,$G4083))</f>
        <v/>
      </c>
      <c r="I4083" s="12" t="n"/>
      <c r="J4083" s="12" t="n"/>
      <c r="K4083" s="12" t="n"/>
      <c r="L4083" s="14" t="n"/>
      <c r="M4083" s="12" t="n"/>
      <c r="N4083" s="12" t="n"/>
      <c r="O4083" s="12" t="n"/>
    </row>
    <row r="4084">
      <c r="A4084" s="12" t="n"/>
      <c r="B4084" s="13">
        <f>IF($A4084="","",IFERROR(INDEX(Emp_Names,MATCH($A4084,Emp_Codes,0)),"NOT FOUND"))</f>
        <v/>
      </c>
      <c r="C4084" s="14" t="n"/>
      <c r="D4084" s="15" t="n"/>
      <c r="E4084" s="15" t="n"/>
      <c r="F4084" s="15" t="n"/>
      <c r="G4084" s="15" t="n"/>
      <c r="H4084" s="16">
        <f>IF($A4084="","",$D4084+IF($E4084="",0,$E4084)+IF($F4084="",0,$F4084)-IF($G4084="",0,$G4084))</f>
        <v/>
      </c>
      <c r="I4084" s="12" t="n"/>
      <c r="J4084" s="12" t="n"/>
      <c r="K4084" s="12" t="n"/>
      <c r="L4084" s="14" t="n"/>
      <c r="M4084" s="12" t="n"/>
      <c r="N4084" s="12" t="n"/>
      <c r="O4084" s="12" t="n"/>
    </row>
    <row r="4085">
      <c r="A4085" s="12" t="n"/>
      <c r="B4085" s="13">
        <f>IF($A4085="","",IFERROR(INDEX(Emp_Names,MATCH($A4085,Emp_Codes,0)),"NOT FOUND"))</f>
        <v/>
      </c>
      <c r="C4085" s="14" t="n"/>
      <c r="D4085" s="15" t="n"/>
      <c r="E4085" s="15" t="n"/>
      <c r="F4085" s="15" t="n"/>
      <c r="G4085" s="15" t="n"/>
      <c r="H4085" s="16">
        <f>IF($A4085="","",$D4085+IF($E4085="",0,$E4085)+IF($F4085="",0,$F4085)-IF($G4085="",0,$G4085))</f>
        <v/>
      </c>
      <c r="I4085" s="12" t="n"/>
      <c r="J4085" s="12" t="n"/>
      <c r="K4085" s="12" t="n"/>
      <c r="L4085" s="14" t="n"/>
      <c r="M4085" s="12" t="n"/>
      <c r="N4085" s="12" t="n"/>
      <c r="O4085" s="12" t="n"/>
    </row>
    <row r="4086">
      <c r="A4086" s="12" t="n"/>
      <c r="B4086" s="13">
        <f>IF($A4086="","",IFERROR(INDEX(Emp_Names,MATCH($A4086,Emp_Codes,0)),"NOT FOUND"))</f>
        <v/>
      </c>
      <c r="C4086" s="14" t="n"/>
      <c r="D4086" s="15" t="n"/>
      <c r="E4086" s="15" t="n"/>
      <c r="F4086" s="15" t="n"/>
      <c r="G4086" s="15" t="n"/>
      <c r="H4086" s="16">
        <f>IF($A4086="","",$D4086+IF($E4086="",0,$E4086)+IF($F4086="",0,$F4086)-IF($G4086="",0,$G4086))</f>
        <v/>
      </c>
      <c r="I4086" s="12" t="n"/>
      <c r="J4086" s="12" t="n"/>
      <c r="K4086" s="12" t="n"/>
      <c r="L4086" s="14" t="n"/>
      <c r="M4086" s="12" t="n"/>
      <c r="N4086" s="12" t="n"/>
      <c r="O4086" s="12" t="n"/>
    </row>
    <row r="4087">
      <c r="A4087" s="12" t="n"/>
      <c r="B4087" s="13">
        <f>IF($A4087="","",IFERROR(INDEX(Emp_Names,MATCH($A4087,Emp_Codes,0)),"NOT FOUND"))</f>
        <v/>
      </c>
      <c r="C4087" s="14" t="n"/>
      <c r="D4087" s="15" t="n"/>
      <c r="E4087" s="15" t="n"/>
      <c r="F4087" s="15" t="n"/>
      <c r="G4087" s="15" t="n"/>
      <c r="H4087" s="16">
        <f>IF($A4087="","",$D4087+IF($E4087="",0,$E4087)+IF($F4087="",0,$F4087)-IF($G4087="",0,$G4087))</f>
        <v/>
      </c>
      <c r="I4087" s="12" t="n"/>
      <c r="J4087" s="12" t="n"/>
      <c r="K4087" s="12" t="n"/>
      <c r="L4087" s="14" t="n"/>
      <c r="M4087" s="12" t="n"/>
      <c r="N4087" s="12" t="n"/>
      <c r="O4087" s="12" t="n"/>
    </row>
    <row r="4088">
      <c r="A4088" s="12" t="n"/>
      <c r="B4088" s="13">
        <f>IF($A4088="","",IFERROR(INDEX(Emp_Names,MATCH($A4088,Emp_Codes,0)),"NOT FOUND"))</f>
        <v/>
      </c>
      <c r="C4088" s="14" t="n"/>
      <c r="D4088" s="15" t="n"/>
      <c r="E4088" s="15" t="n"/>
      <c r="F4088" s="15" t="n"/>
      <c r="G4088" s="15" t="n"/>
      <c r="H4088" s="16">
        <f>IF($A4088="","",$D4088+IF($E4088="",0,$E4088)+IF($F4088="",0,$F4088)-IF($G4088="",0,$G4088))</f>
        <v/>
      </c>
      <c r="I4088" s="12" t="n"/>
      <c r="J4088" s="12" t="n"/>
      <c r="K4088" s="12" t="n"/>
      <c r="L4088" s="14" t="n"/>
      <c r="M4088" s="12" t="n"/>
      <c r="N4088" s="12" t="n"/>
      <c r="O4088" s="12" t="n"/>
    </row>
    <row r="4089">
      <c r="A4089" s="12" t="n"/>
      <c r="B4089" s="13">
        <f>IF($A4089="","",IFERROR(INDEX(Emp_Names,MATCH($A4089,Emp_Codes,0)),"NOT FOUND"))</f>
        <v/>
      </c>
      <c r="C4089" s="14" t="n"/>
      <c r="D4089" s="15" t="n"/>
      <c r="E4089" s="15" t="n"/>
      <c r="F4089" s="15" t="n"/>
      <c r="G4089" s="15" t="n"/>
      <c r="H4089" s="16">
        <f>IF($A4089="","",$D4089+IF($E4089="",0,$E4089)+IF($F4089="",0,$F4089)-IF($G4089="",0,$G4089))</f>
        <v/>
      </c>
      <c r="I4089" s="12" t="n"/>
      <c r="J4089" s="12" t="n"/>
      <c r="K4089" s="12" t="n"/>
      <c r="L4089" s="14" t="n"/>
      <c r="M4089" s="12" t="n"/>
      <c r="N4089" s="12" t="n"/>
      <c r="O4089" s="12" t="n"/>
    </row>
    <row r="4090">
      <c r="A4090" s="12" t="n"/>
      <c r="B4090" s="13">
        <f>IF($A4090="","",IFERROR(INDEX(Emp_Names,MATCH($A4090,Emp_Codes,0)),"NOT FOUND"))</f>
        <v/>
      </c>
      <c r="C4090" s="14" t="n"/>
      <c r="D4090" s="15" t="n"/>
      <c r="E4090" s="15" t="n"/>
      <c r="F4090" s="15" t="n"/>
      <c r="G4090" s="15" t="n"/>
      <c r="H4090" s="16">
        <f>IF($A4090="","",$D4090+IF($E4090="",0,$E4090)+IF($F4090="",0,$F4090)-IF($G4090="",0,$G4090))</f>
        <v/>
      </c>
      <c r="I4090" s="12" t="n"/>
      <c r="J4090" s="12" t="n"/>
      <c r="K4090" s="12" t="n"/>
      <c r="L4090" s="14" t="n"/>
      <c r="M4090" s="12" t="n"/>
      <c r="N4090" s="12" t="n"/>
      <c r="O4090" s="12" t="n"/>
    </row>
    <row r="4091">
      <c r="A4091" s="12" t="n"/>
      <c r="B4091" s="13">
        <f>IF($A4091="","",IFERROR(INDEX(Emp_Names,MATCH($A4091,Emp_Codes,0)),"NOT FOUND"))</f>
        <v/>
      </c>
      <c r="C4091" s="14" t="n"/>
      <c r="D4091" s="15" t="n"/>
      <c r="E4091" s="15" t="n"/>
      <c r="F4091" s="15" t="n"/>
      <c r="G4091" s="15" t="n"/>
      <c r="H4091" s="16">
        <f>IF($A4091="","",$D4091+IF($E4091="",0,$E4091)+IF($F4091="",0,$F4091)-IF($G4091="",0,$G4091))</f>
        <v/>
      </c>
      <c r="I4091" s="12" t="n"/>
      <c r="J4091" s="12" t="n"/>
      <c r="K4091" s="12" t="n"/>
      <c r="L4091" s="14" t="n"/>
      <c r="M4091" s="12" t="n"/>
      <c r="N4091" s="12" t="n"/>
      <c r="O4091" s="12" t="n"/>
    </row>
    <row r="4092">
      <c r="A4092" s="12" t="n"/>
      <c r="B4092" s="13">
        <f>IF($A4092="","",IFERROR(INDEX(Emp_Names,MATCH($A4092,Emp_Codes,0)),"NOT FOUND"))</f>
        <v/>
      </c>
      <c r="C4092" s="14" t="n"/>
      <c r="D4092" s="15" t="n"/>
      <c r="E4092" s="15" t="n"/>
      <c r="F4092" s="15" t="n"/>
      <c r="G4092" s="15" t="n"/>
      <c r="H4092" s="16">
        <f>IF($A4092="","",$D4092+IF($E4092="",0,$E4092)+IF($F4092="",0,$F4092)-IF($G4092="",0,$G4092))</f>
        <v/>
      </c>
      <c r="I4092" s="12" t="n"/>
      <c r="J4092" s="12" t="n"/>
      <c r="K4092" s="12" t="n"/>
      <c r="L4092" s="14" t="n"/>
      <c r="M4092" s="12" t="n"/>
      <c r="N4092" s="12" t="n"/>
      <c r="O4092" s="12" t="n"/>
    </row>
    <row r="4093">
      <c r="A4093" s="12" t="n"/>
      <c r="B4093" s="13">
        <f>IF($A4093="","",IFERROR(INDEX(Emp_Names,MATCH($A4093,Emp_Codes,0)),"NOT FOUND"))</f>
        <v/>
      </c>
      <c r="C4093" s="14" t="n"/>
      <c r="D4093" s="15" t="n"/>
      <c r="E4093" s="15" t="n"/>
      <c r="F4093" s="15" t="n"/>
      <c r="G4093" s="15" t="n"/>
      <c r="H4093" s="16">
        <f>IF($A4093="","",$D4093+IF($E4093="",0,$E4093)+IF($F4093="",0,$F4093)-IF($G4093="",0,$G4093))</f>
        <v/>
      </c>
      <c r="I4093" s="12" t="n"/>
      <c r="J4093" s="12" t="n"/>
      <c r="K4093" s="12" t="n"/>
      <c r="L4093" s="14" t="n"/>
      <c r="M4093" s="12" t="n"/>
      <c r="N4093" s="12" t="n"/>
      <c r="O4093" s="12" t="n"/>
    </row>
    <row r="4094">
      <c r="A4094" s="12" t="n"/>
      <c r="B4094" s="13">
        <f>IF($A4094="","",IFERROR(INDEX(Emp_Names,MATCH($A4094,Emp_Codes,0)),"NOT FOUND"))</f>
        <v/>
      </c>
      <c r="C4094" s="14" t="n"/>
      <c r="D4094" s="15" t="n"/>
      <c r="E4094" s="15" t="n"/>
      <c r="F4094" s="15" t="n"/>
      <c r="G4094" s="15" t="n"/>
      <c r="H4094" s="16">
        <f>IF($A4094="","",$D4094+IF($E4094="",0,$E4094)+IF($F4094="",0,$F4094)-IF($G4094="",0,$G4094))</f>
        <v/>
      </c>
      <c r="I4094" s="12" t="n"/>
      <c r="J4094" s="12" t="n"/>
      <c r="K4094" s="12" t="n"/>
      <c r="L4094" s="14" t="n"/>
      <c r="M4094" s="12" t="n"/>
      <c r="N4094" s="12" t="n"/>
      <c r="O4094" s="12" t="n"/>
    </row>
    <row r="4095">
      <c r="A4095" s="12" t="n"/>
      <c r="B4095" s="13">
        <f>IF($A4095="","",IFERROR(INDEX(Emp_Names,MATCH($A4095,Emp_Codes,0)),"NOT FOUND"))</f>
        <v/>
      </c>
      <c r="C4095" s="14" t="n"/>
      <c r="D4095" s="15" t="n"/>
      <c r="E4095" s="15" t="n"/>
      <c r="F4095" s="15" t="n"/>
      <c r="G4095" s="15" t="n"/>
      <c r="H4095" s="16">
        <f>IF($A4095="","",$D4095+IF($E4095="",0,$E4095)+IF($F4095="",0,$F4095)-IF($G4095="",0,$G4095))</f>
        <v/>
      </c>
      <c r="I4095" s="12" t="n"/>
      <c r="J4095" s="12" t="n"/>
      <c r="K4095" s="12" t="n"/>
      <c r="L4095" s="14" t="n"/>
      <c r="M4095" s="12" t="n"/>
      <c r="N4095" s="12" t="n"/>
      <c r="O4095" s="12" t="n"/>
    </row>
    <row r="4096">
      <c r="A4096" s="12" t="n"/>
      <c r="B4096" s="13">
        <f>IF($A4096="","",IFERROR(INDEX(Emp_Names,MATCH($A4096,Emp_Codes,0)),"NOT FOUND"))</f>
        <v/>
      </c>
      <c r="C4096" s="14" t="n"/>
      <c r="D4096" s="15" t="n"/>
      <c r="E4096" s="15" t="n"/>
      <c r="F4096" s="15" t="n"/>
      <c r="G4096" s="15" t="n"/>
      <c r="H4096" s="16">
        <f>IF($A4096="","",$D4096+IF($E4096="",0,$E4096)+IF($F4096="",0,$F4096)-IF($G4096="",0,$G4096))</f>
        <v/>
      </c>
      <c r="I4096" s="12" t="n"/>
      <c r="J4096" s="12" t="n"/>
      <c r="K4096" s="12" t="n"/>
      <c r="L4096" s="14" t="n"/>
      <c r="M4096" s="12" t="n"/>
      <c r="N4096" s="12" t="n"/>
      <c r="O4096" s="12" t="n"/>
    </row>
    <row r="4097">
      <c r="A4097" s="12" t="n"/>
      <c r="B4097" s="13">
        <f>IF($A4097="","",IFERROR(INDEX(Emp_Names,MATCH($A4097,Emp_Codes,0)),"NOT FOUND"))</f>
        <v/>
      </c>
      <c r="C4097" s="14" t="n"/>
      <c r="D4097" s="15" t="n"/>
      <c r="E4097" s="15" t="n"/>
      <c r="F4097" s="15" t="n"/>
      <c r="G4097" s="15" t="n"/>
      <c r="H4097" s="16">
        <f>IF($A4097="","",$D4097+IF($E4097="",0,$E4097)+IF($F4097="",0,$F4097)-IF($G4097="",0,$G4097))</f>
        <v/>
      </c>
      <c r="I4097" s="12" t="n"/>
      <c r="J4097" s="12" t="n"/>
      <c r="K4097" s="12" t="n"/>
      <c r="L4097" s="14" t="n"/>
      <c r="M4097" s="12" t="n"/>
      <c r="N4097" s="12" t="n"/>
      <c r="O4097" s="12" t="n"/>
    </row>
    <row r="4098">
      <c r="A4098" s="12" t="n"/>
      <c r="B4098" s="13">
        <f>IF($A4098="","",IFERROR(INDEX(Emp_Names,MATCH($A4098,Emp_Codes,0)),"NOT FOUND"))</f>
        <v/>
      </c>
      <c r="C4098" s="14" t="n"/>
      <c r="D4098" s="15" t="n"/>
      <c r="E4098" s="15" t="n"/>
      <c r="F4098" s="15" t="n"/>
      <c r="G4098" s="15" t="n"/>
      <c r="H4098" s="16">
        <f>IF($A4098="","",$D4098+IF($E4098="",0,$E4098)+IF($F4098="",0,$F4098)-IF($G4098="",0,$G4098))</f>
        <v/>
      </c>
      <c r="I4098" s="12" t="n"/>
      <c r="J4098" s="12" t="n"/>
      <c r="K4098" s="12" t="n"/>
      <c r="L4098" s="14" t="n"/>
      <c r="M4098" s="12" t="n"/>
      <c r="N4098" s="12" t="n"/>
      <c r="O4098" s="12" t="n"/>
    </row>
    <row r="4099">
      <c r="A4099" s="12" t="n"/>
      <c r="B4099" s="13">
        <f>IF($A4099="","",IFERROR(INDEX(Emp_Names,MATCH($A4099,Emp_Codes,0)),"NOT FOUND"))</f>
        <v/>
      </c>
      <c r="C4099" s="14" t="n"/>
      <c r="D4099" s="15" t="n"/>
      <c r="E4099" s="15" t="n"/>
      <c r="F4099" s="15" t="n"/>
      <c r="G4099" s="15" t="n"/>
      <c r="H4099" s="16">
        <f>IF($A4099="","",$D4099+IF($E4099="",0,$E4099)+IF($F4099="",0,$F4099)-IF($G4099="",0,$G4099))</f>
        <v/>
      </c>
      <c r="I4099" s="12" t="n"/>
      <c r="J4099" s="12" t="n"/>
      <c r="K4099" s="12" t="n"/>
      <c r="L4099" s="14" t="n"/>
      <c r="M4099" s="12" t="n"/>
      <c r="N4099" s="12" t="n"/>
      <c r="O4099" s="12" t="n"/>
    </row>
    <row r="4100">
      <c r="A4100" s="12" t="n"/>
      <c r="B4100" s="13">
        <f>IF($A4100="","",IFERROR(INDEX(Emp_Names,MATCH($A4100,Emp_Codes,0)),"NOT FOUND"))</f>
        <v/>
      </c>
      <c r="C4100" s="14" t="n"/>
      <c r="D4100" s="15" t="n"/>
      <c r="E4100" s="15" t="n"/>
      <c r="F4100" s="15" t="n"/>
      <c r="G4100" s="15" t="n"/>
      <c r="H4100" s="16">
        <f>IF($A4100="","",$D4100+IF($E4100="",0,$E4100)+IF($F4100="",0,$F4100)-IF($G4100="",0,$G4100))</f>
        <v/>
      </c>
      <c r="I4100" s="12" t="n"/>
      <c r="J4100" s="12" t="n"/>
      <c r="K4100" s="12" t="n"/>
      <c r="L4100" s="14" t="n"/>
      <c r="M4100" s="12" t="n"/>
      <c r="N4100" s="12" t="n"/>
      <c r="O4100" s="12" t="n"/>
    </row>
    <row r="4101">
      <c r="A4101" s="12" t="n"/>
      <c r="B4101" s="13">
        <f>IF($A4101="","",IFERROR(INDEX(Emp_Names,MATCH($A4101,Emp_Codes,0)),"NOT FOUND"))</f>
        <v/>
      </c>
      <c r="C4101" s="14" t="n"/>
      <c r="D4101" s="15" t="n"/>
      <c r="E4101" s="15" t="n"/>
      <c r="F4101" s="15" t="n"/>
      <c r="G4101" s="15" t="n"/>
      <c r="H4101" s="16">
        <f>IF($A4101="","",$D4101+IF($E4101="",0,$E4101)+IF($F4101="",0,$F4101)-IF($G4101="",0,$G4101))</f>
        <v/>
      </c>
      <c r="I4101" s="12" t="n"/>
      <c r="J4101" s="12" t="n"/>
      <c r="K4101" s="12" t="n"/>
      <c r="L4101" s="14" t="n"/>
      <c r="M4101" s="12" t="n"/>
      <c r="N4101" s="12" t="n"/>
      <c r="O4101" s="12" t="n"/>
    </row>
    <row r="4102">
      <c r="A4102" s="12" t="n"/>
      <c r="B4102" s="13">
        <f>IF($A4102="","",IFERROR(INDEX(Emp_Names,MATCH($A4102,Emp_Codes,0)),"NOT FOUND"))</f>
        <v/>
      </c>
      <c r="C4102" s="14" t="n"/>
      <c r="D4102" s="15" t="n"/>
      <c r="E4102" s="15" t="n"/>
      <c r="F4102" s="15" t="n"/>
      <c r="G4102" s="15" t="n"/>
      <c r="H4102" s="16">
        <f>IF($A4102="","",$D4102+IF($E4102="",0,$E4102)+IF($F4102="",0,$F4102)-IF($G4102="",0,$G4102))</f>
        <v/>
      </c>
      <c r="I4102" s="12" t="n"/>
      <c r="J4102" s="12" t="n"/>
      <c r="K4102" s="12" t="n"/>
      <c r="L4102" s="14" t="n"/>
      <c r="M4102" s="12" t="n"/>
      <c r="N4102" s="12" t="n"/>
      <c r="O4102" s="12" t="n"/>
    </row>
    <row r="4103">
      <c r="A4103" s="12" t="n"/>
      <c r="B4103" s="13">
        <f>IF($A4103="","",IFERROR(INDEX(Emp_Names,MATCH($A4103,Emp_Codes,0)),"NOT FOUND"))</f>
        <v/>
      </c>
      <c r="C4103" s="14" t="n"/>
      <c r="D4103" s="15" t="n"/>
      <c r="E4103" s="15" t="n"/>
      <c r="F4103" s="15" t="n"/>
      <c r="G4103" s="15" t="n"/>
      <c r="H4103" s="16">
        <f>IF($A4103="","",$D4103+IF($E4103="",0,$E4103)+IF($F4103="",0,$F4103)-IF($G4103="",0,$G4103))</f>
        <v/>
      </c>
      <c r="I4103" s="12" t="n"/>
      <c r="J4103" s="12" t="n"/>
      <c r="K4103" s="12" t="n"/>
      <c r="L4103" s="14" t="n"/>
      <c r="M4103" s="12" t="n"/>
      <c r="N4103" s="12" t="n"/>
      <c r="O4103" s="12" t="n"/>
    </row>
    <row r="4104">
      <c r="A4104" s="12" t="n"/>
      <c r="B4104" s="13">
        <f>IF($A4104="","",IFERROR(INDEX(Emp_Names,MATCH($A4104,Emp_Codes,0)),"NOT FOUND"))</f>
        <v/>
      </c>
      <c r="C4104" s="14" t="n"/>
      <c r="D4104" s="15" t="n"/>
      <c r="E4104" s="15" t="n"/>
      <c r="F4104" s="15" t="n"/>
      <c r="G4104" s="15" t="n"/>
      <c r="H4104" s="16">
        <f>IF($A4104="","",$D4104+IF($E4104="",0,$E4104)+IF($F4104="",0,$F4104)-IF($G4104="",0,$G4104))</f>
        <v/>
      </c>
      <c r="I4104" s="12" t="n"/>
      <c r="J4104" s="12" t="n"/>
      <c r="K4104" s="12" t="n"/>
      <c r="L4104" s="14" t="n"/>
      <c r="M4104" s="12" t="n"/>
      <c r="N4104" s="12" t="n"/>
      <c r="O4104" s="12" t="n"/>
    </row>
    <row r="4105">
      <c r="A4105" s="12" t="n"/>
      <c r="B4105" s="13">
        <f>IF($A4105="","",IFERROR(INDEX(Emp_Names,MATCH($A4105,Emp_Codes,0)),"NOT FOUND"))</f>
        <v/>
      </c>
      <c r="C4105" s="14" t="n"/>
      <c r="D4105" s="15" t="n"/>
      <c r="E4105" s="15" t="n"/>
      <c r="F4105" s="15" t="n"/>
      <c r="G4105" s="15" t="n"/>
      <c r="H4105" s="16">
        <f>IF($A4105="","",$D4105+IF($E4105="",0,$E4105)+IF($F4105="",0,$F4105)-IF($G4105="",0,$G4105))</f>
        <v/>
      </c>
      <c r="I4105" s="12" t="n"/>
      <c r="J4105" s="12" t="n"/>
      <c r="K4105" s="12" t="n"/>
      <c r="L4105" s="14" t="n"/>
      <c r="M4105" s="12" t="n"/>
      <c r="N4105" s="12" t="n"/>
      <c r="O4105" s="12" t="n"/>
    </row>
    <row r="4106">
      <c r="A4106" s="12" t="n"/>
      <c r="B4106" s="13">
        <f>IF($A4106="","",IFERROR(INDEX(Emp_Names,MATCH($A4106,Emp_Codes,0)),"NOT FOUND"))</f>
        <v/>
      </c>
      <c r="C4106" s="14" t="n"/>
      <c r="D4106" s="15" t="n"/>
      <c r="E4106" s="15" t="n"/>
      <c r="F4106" s="15" t="n"/>
      <c r="G4106" s="15" t="n"/>
      <c r="H4106" s="16">
        <f>IF($A4106="","",$D4106+IF($E4106="",0,$E4106)+IF($F4106="",0,$F4106)-IF($G4106="",0,$G4106))</f>
        <v/>
      </c>
      <c r="I4106" s="12" t="n"/>
      <c r="J4106" s="12" t="n"/>
      <c r="K4106" s="12" t="n"/>
      <c r="L4106" s="14" t="n"/>
      <c r="M4106" s="12" t="n"/>
      <c r="N4106" s="12" t="n"/>
      <c r="O4106" s="12" t="n"/>
    </row>
    <row r="4107">
      <c r="A4107" s="12" t="n"/>
      <c r="B4107" s="13">
        <f>IF($A4107="","",IFERROR(INDEX(Emp_Names,MATCH($A4107,Emp_Codes,0)),"NOT FOUND"))</f>
        <v/>
      </c>
      <c r="C4107" s="14" t="n"/>
      <c r="D4107" s="15" t="n"/>
      <c r="E4107" s="15" t="n"/>
      <c r="F4107" s="15" t="n"/>
      <c r="G4107" s="15" t="n"/>
      <c r="H4107" s="16">
        <f>IF($A4107="","",$D4107+IF($E4107="",0,$E4107)+IF($F4107="",0,$F4107)-IF($G4107="",0,$G4107))</f>
        <v/>
      </c>
      <c r="I4107" s="12" t="n"/>
      <c r="J4107" s="12" t="n"/>
      <c r="K4107" s="12" t="n"/>
      <c r="L4107" s="14" t="n"/>
      <c r="M4107" s="12" t="n"/>
      <c r="N4107" s="12" t="n"/>
      <c r="O4107" s="12" t="n"/>
    </row>
    <row r="4108">
      <c r="A4108" s="12" t="n"/>
      <c r="B4108" s="13">
        <f>IF($A4108="","",IFERROR(INDEX(Emp_Names,MATCH($A4108,Emp_Codes,0)),"NOT FOUND"))</f>
        <v/>
      </c>
      <c r="C4108" s="14" t="n"/>
      <c r="D4108" s="15" t="n"/>
      <c r="E4108" s="15" t="n"/>
      <c r="F4108" s="15" t="n"/>
      <c r="G4108" s="15" t="n"/>
      <c r="H4108" s="16">
        <f>IF($A4108="","",$D4108+IF($E4108="",0,$E4108)+IF($F4108="",0,$F4108)-IF($G4108="",0,$G4108))</f>
        <v/>
      </c>
      <c r="I4108" s="12" t="n"/>
      <c r="J4108" s="12" t="n"/>
      <c r="K4108" s="12" t="n"/>
      <c r="L4108" s="14" t="n"/>
      <c r="M4108" s="12" t="n"/>
      <c r="N4108" s="12" t="n"/>
      <c r="O4108" s="12" t="n"/>
    </row>
    <row r="4109">
      <c r="A4109" s="12" t="n"/>
      <c r="B4109" s="13">
        <f>IF($A4109="","",IFERROR(INDEX(Emp_Names,MATCH($A4109,Emp_Codes,0)),"NOT FOUND"))</f>
        <v/>
      </c>
      <c r="C4109" s="14" t="n"/>
      <c r="D4109" s="15" t="n"/>
      <c r="E4109" s="15" t="n"/>
      <c r="F4109" s="15" t="n"/>
      <c r="G4109" s="15" t="n"/>
      <c r="H4109" s="16">
        <f>IF($A4109="","",$D4109+IF($E4109="",0,$E4109)+IF($F4109="",0,$F4109)-IF($G4109="",0,$G4109))</f>
        <v/>
      </c>
      <c r="I4109" s="12" t="n"/>
      <c r="J4109" s="12" t="n"/>
      <c r="K4109" s="12" t="n"/>
      <c r="L4109" s="14" t="n"/>
      <c r="M4109" s="12" t="n"/>
      <c r="N4109" s="12" t="n"/>
      <c r="O4109" s="12" t="n"/>
    </row>
    <row r="4110">
      <c r="A4110" s="12" t="n"/>
      <c r="B4110" s="13">
        <f>IF($A4110="","",IFERROR(INDEX(Emp_Names,MATCH($A4110,Emp_Codes,0)),"NOT FOUND"))</f>
        <v/>
      </c>
      <c r="C4110" s="14" t="n"/>
      <c r="D4110" s="15" t="n"/>
      <c r="E4110" s="15" t="n"/>
      <c r="F4110" s="15" t="n"/>
      <c r="G4110" s="15" t="n"/>
      <c r="H4110" s="16">
        <f>IF($A4110="","",$D4110+IF($E4110="",0,$E4110)+IF($F4110="",0,$F4110)-IF($G4110="",0,$G4110))</f>
        <v/>
      </c>
      <c r="I4110" s="12" t="n"/>
      <c r="J4110" s="12" t="n"/>
      <c r="K4110" s="12" t="n"/>
      <c r="L4110" s="14" t="n"/>
      <c r="M4110" s="12" t="n"/>
      <c r="N4110" s="12" t="n"/>
      <c r="O4110" s="12" t="n"/>
    </row>
    <row r="4111">
      <c r="A4111" s="12" t="n"/>
      <c r="B4111" s="13">
        <f>IF($A4111="","",IFERROR(INDEX(Emp_Names,MATCH($A4111,Emp_Codes,0)),"NOT FOUND"))</f>
        <v/>
      </c>
      <c r="C4111" s="14" t="n"/>
      <c r="D4111" s="15" t="n"/>
      <c r="E4111" s="15" t="n"/>
      <c r="F4111" s="15" t="n"/>
      <c r="G4111" s="15" t="n"/>
      <c r="H4111" s="16">
        <f>IF($A4111="","",$D4111+IF($E4111="",0,$E4111)+IF($F4111="",0,$F4111)-IF($G4111="",0,$G4111))</f>
        <v/>
      </c>
      <c r="I4111" s="12" t="n"/>
      <c r="J4111" s="12" t="n"/>
      <c r="K4111" s="12" t="n"/>
      <c r="L4111" s="14" t="n"/>
      <c r="M4111" s="12" t="n"/>
      <c r="N4111" s="12" t="n"/>
      <c r="O4111" s="12" t="n"/>
    </row>
    <row r="4112">
      <c r="A4112" s="12" t="n"/>
      <c r="B4112" s="13">
        <f>IF($A4112="","",IFERROR(INDEX(Emp_Names,MATCH($A4112,Emp_Codes,0)),"NOT FOUND"))</f>
        <v/>
      </c>
      <c r="C4112" s="14" t="n"/>
      <c r="D4112" s="15" t="n"/>
      <c r="E4112" s="15" t="n"/>
      <c r="F4112" s="15" t="n"/>
      <c r="G4112" s="15" t="n"/>
      <c r="H4112" s="16">
        <f>IF($A4112="","",$D4112+IF($E4112="",0,$E4112)+IF($F4112="",0,$F4112)-IF($G4112="",0,$G4112))</f>
        <v/>
      </c>
      <c r="I4112" s="12" t="n"/>
      <c r="J4112" s="12" t="n"/>
      <c r="K4112" s="12" t="n"/>
      <c r="L4112" s="14" t="n"/>
      <c r="M4112" s="12" t="n"/>
      <c r="N4112" s="12" t="n"/>
      <c r="O4112" s="12" t="n"/>
    </row>
    <row r="4113">
      <c r="A4113" s="12" t="n"/>
      <c r="B4113" s="13">
        <f>IF($A4113="","",IFERROR(INDEX(Emp_Names,MATCH($A4113,Emp_Codes,0)),"NOT FOUND"))</f>
        <v/>
      </c>
      <c r="C4113" s="14" t="n"/>
      <c r="D4113" s="15" t="n"/>
      <c r="E4113" s="15" t="n"/>
      <c r="F4113" s="15" t="n"/>
      <c r="G4113" s="15" t="n"/>
      <c r="H4113" s="16">
        <f>IF($A4113="","",$D4113+IF($E4113="",0,$E4113)+IF($F4113="",0,$F4113)-IF($G4113="",0,$G4113))</f>
        <v/>
      </c>
      <c r="I4113" s="12" t="n"/>
      <c r="J4113" s="12" t="n"/>
      <c r="K4113" s="12" t="n"/>
      <c r="L4113" s="14" t="n"/>
      <c r="M4113" s="12" t="n"/>
      <c r="N4113" s="12" t="n"/>
      <c r="O4113" s="12" t="n"/>
    </row>
    <row r="4114">
      <c r="A4114" s="12" t="n"/>
      <c r="B4114" s="13">
        <f>IF($A4114="","",IFERROR(INDEX(Emp_Names,MATCH($A4114,Emp_Codes,0)),"NOT FOUND"))</f>
        <v/>
      </c>
      <c r="C4114" s="14" t="n"/>
      <c r="D4114" s="15" t="n"/>
      <c r="E4114" s="15" t="n"/>
      <c r="F4114" s="15" t="n"/>
      <c r="G4114" s="15" t="n"/>
      <c r="H4114" s="16">
        <f>IF($A4114="","",$D4114+IF($E4114="",0,$E4114)+IF($F4114="",0,$F4114)-IF($G4114="",0,$G4114))</f>
        <v/>
      </c>
      <c r="I4114" s="12" t="n"/>
      <c r="J4114" s="12" t="n"/>
      <c r="K4114" s="12" t="n"/>
      <c r="L4114" s="14" t="n"/>
      <c r="M4114" s="12" t="n"/>
      <c r="N4114" s="12" t="n"/>
      <c r="O4114" s="12" t="n"/>
    </row>
    <row r="4115">
      <c r="A4115" s="12" t="n"/>
      <c r="B4115" s="13">
        <f>IF($A4115="","",IFERROR(INDEX(Emp_Names,MATCH($A4115,Emp_Codes,0)),"NOT FOUND"))</f>
        <v/>
      </c>
      <c r="C4115" s="14" t="n"/>
      <c r="D4115" s="15" t="n"/>
      <c r="E4115" s="15" t="n"/>
      <c r="F4115" s="15" t="n"/>
      <c r="G4115" s="15" t="n"/>
      <c r="H4115" s="16">
        <f>IF($A4115="","",$D4115+IF($E4115="",0,$E4115)+IF($F4115="",0,$F4115)-IF($G4115="",0,$G4115))</f>
        <v/>
      </c>
      <c r="I4115" s="12" t="n"/>
      <c r="J4115" s="12" t="n"/>
      <c r="K4115" s="12" t="n"/>
      <c r="L4115" s="14" t="n"/>
      <c r="M4115" s="12" t="n"/>
      <c r="N4115" s="12" t="n"/>
      <c r="O4115" s="12" t="n"/>
    </row>
    <row r="4116">
      <c r="A4116" s="12" t="n"/>
      <c r="B4116" s="13">
        <f>IF($A4116="","",IFERROR(INDEX(Emp_Names,MATCH($A4116,Emp_Codes,0)),"NOT FOUND"))</f>
        <v/>
      </c>
      <c r="C4116" s="14" t="n"/>
      <c r="D4116" s="15" t="n"/>
      <c r="E4116" s="15" t="n"/>
      <c r="F4116" s="15" t="n"/>
      <c r="G4116" s="15" t="n"/>
      <c r="H4116" s="16">
        <f>IF($A4116="","",$D4116+IF($E4116="",0,$E4116)+IF($F4116="",0,$F4116)-IF($G4116="",0,$G4116))</f>
        <v/>
      </c>
      <c r="I4116" s="12" t="n"/>
      <c r="J4116" s="12" t="n"/>
      <c r="K4116" s="12" t="n"/>
      <c r="L4116" s="14" t="n"/>
      <c r="M4116" s="12" t="n"/>
      <c r="N4116" s="12" t="n"/>
      <c r="O4116" s="12" t="n"/>
    </row>
    <row r="4117">
      <c r="A4117" s="12" t="n"/>
      <c r="B4117" s="13">
        <f>IF($A4117="","",IFERROR(INDEX(Emp_Names,MATCH($A4117,Emp_Codes,0)),"NOT FOUND"))</f>
        <v/>
      </c>
      <c r="C4117" s="14" t="n"/>
      <c r="D4117" s="15" t="n"/>
      <c r="E4117" s="15" t="n"/>
      <c r="F4117" s="15" t="n"/>
      <c r="G4117" s="15" t="n"/>
      <c r="H4117" s="16">
        <f>IF($A4117="","",$D4117+IF($E4117="",0,$E4117)+IF($F4117="",0,$F4117)-IF($G4117="",0,$G4117))</f>
        <v/>
      </c>
      <c r="I4117" s="12" t="n"/>
      <c r="J4117" s="12" t="n"/>
      <c r="K4117" s="12" t="n"/>
      <c r="L4117" s="14" t="n"/>
      <c r="M4117" s="12" t="n"/>
      <c r="N4117" s="12" t="n"/>
      <c r="O4117" s="12" t="n"/>
    </row>
    <row r="4118">
      <c r="A4118" s="12" t="n"/>
      <c r="B4118" s="13">
        <f>IF($A4118="","",IFERROR(INDEX(Emp_Names,MATCH($A4118,Emp_Codes,0)),"NOT FOUND"))</f>
        <v/>
      </c>
      <c r="C4118" s="14" t="n"/>
      <c r="D4118" s="15" t="n"/>
      <c r="E4118" s="15" t="n"/>
      <c r="F4118" s="15" t="n"/>
      <c r="G4118" s="15" t="n"/>
      <c r="H4118" s="16">
        <f>IF($A4118="","",$D4118+IF($E4118="",0,$E4118)+IF($F4118="",0,$F4118)-IF($G4118="",0,$G4118))</f>
        <v/>
      </c>
      <c r="I4118" s="12" t="n"/>
      <c r="J4118" s="12" t="n"/>
      <c r="K4118" s="12" t="n"/>
      <c r="L4118" s="14" t="n"/>
      <c r="M4118" s="12" t="n"/>
      <c r="N4118" s="12" t="n"/>
      <c r="O4118" s="12" t="n"/>
    </row>
    <row r="4119">
      <c r="A4119" s="12" t="n"/>
      <c r="B4119" s="13">
        <f>IF($A4119="","",IFERROR(INDEX(Emp_Names,MATCH($A4119,Emp_Codes,0)),"NOT FOUND"))</f>
        <v/>
      </c>
      <c r="C4119" s="14" t="n"/>
      <c r="D4119" s="15" t="n"/>
      <c r="E4119" s="15" t="n"/>
      <c r="F4119" s="15" t="n"/>
      <c r="G4119" s="15" t="n"/>
      <c r="H4119" s="16">
        <f>IF($A4119="","",$D4119+IF($E4119="",0,$E4119)+IF($F4119="",0,$F4119)-IF($G4119="",0,$G4119))</f>
        <v/>
      </c>
      <c r="I4119" s="12" t="n"/>
      <c r="J4119" s="12" t="n"/>
      <c r="K4119" s="12" t="n"/>
      <c r="L4119" s="14" t="n"/>
      <c r="M4119" s="12" t="n"/>
      <c r="N4119" s="12" t="n"/>
      <c r="O4119" s="12" t="n"/>
    </row>
    <row r="4120">
      <c r="A4120" s="12" t="n"/>
      <c r="B4120" s="13">
        <f>IF($A4120="","",IFERROR(INDEX(Emp_Names,MATCH($A4120,Emp_Codes,0)),"NOT FOUND"))</f>
        <v/>
      </c>
      <c r="C4120" s="14" t="n"/>
      <c r="D4120" s="15" t="n"/>
      <c r="E4120" s="15" t="n"/>
      <c r="F4120" s="15" t="n"/>
      <c r="G4120" s="15" t="n"/>
      <c r="H4120" s="16">
        <f>IF($A4120="","",$D4120+IF($E4120="",0,$E4120)+IF($F4120="",0,$F4120)-IF($G4120="",0,$G4120))</f>
        <v/>
      </c>
      <c r="I4120" s="12" t="n"/>
      <c r="J4120" s="12" t="n"/>
      <c r="K4120" s="12" t="n"/>
      <c r="L4120" s="14" t="n"/>
      <c r="M4120" s="12" t="n"/>
      <c r="N4120" s="12" t="n"/>
      <c r="O4120" s="12" t="n"/>
    </row>
    <row r="4121">
      <c r="A4121" s="12" t="n"/>
      <c r="B4121" s="13">
        <f>IF($A4121="","",IFERROR(INDEX(Emp_Names,MATCH($A4121,Emp_Codes,0)),"NOT FOUND"))</f>
        <v/>
      </c>
      <c r="C4121" s="14" t="n"/>
      <c r="D4121" s="15" t="n"/>
      <c r="E4121" s="15" t="n"/>
      <c r="F4121" s="15" t="n"/>
      <c r="G4121" s="15" t="n"/>
      <c r="H4121" s="16">
        <f>IF($A4121="","",$D4121+IF($E4121="",0,$E4121)+IF($F4121="",0,$F4121)-IF($G4121="",0,$G4121))</f>
        <v/>
      </c>
      <c r="I4121" s="12" t="n"/>
      <c r="J4121" s="12" t="n"/>
      <c r="K4121" s="12" t="n"/>
      <c r="L4121" s="14" t="n"/>
      <c r="M4121" s="12" t="n"/>
      <c r="N4121" s="12" t="n"/>
      <c r="O4121" s="12" t="n"/>
    </row>
    <row r="4122">
      <c r="A4122" s="12" t="n"/>
      <c r="B4122" s="13">
        <f>IF($A4122="","",IFERROR(INDEX(Emp_Names,MATCH($A4122,Emp_Codes,0)),"NOT FOUND"))</f>
        <v/>
      </c>
      <c r="C4122" s="14" t="n"/>
      <c r="D4122" s="15" t="n"/>
      <c r="E4122" s="15" t="n"/>
      <c r="F4122" s="15" t="n"/>
      <c r="G4122" s="15" t="n"/>
      <c r="H4122" s="16">
        <f>IF($A4122="","",$D4122+IF($E4122="",0,$E4122)+IF($F4122="",0,$F4122)-IF($G4122="",0,$G4122))</f>
        <v/>
      </c>
      <c r="I4122" s="12" t="n"/>
      <c r="J4122" s="12" t="n"/>
      <c r="K4122" s="12" t="n"/>
      <c r="L4122" s="14" t="n"/>
      <c r="M4122" s="12" t="n"/>
      <c r="N4122" s="12" t="n"/>
      <c r="O4122" s="12" t="n"/>
    </row>
    <row r="4123">
      <c r="A4123" s="12" t="n"/>
      <c r="B4123" s="13">
        <f>IF($A4123="","",IFERROR(INDEX(Emp_Names,MATCH($A4123,Emp_Codes,0)),"NOT FOUND"))</f>
        <v/>
      </c>
      <c r="C4123" s="14" t="n"/>
      <c r="D4123" s="15" t="n"/>
      <c r="E4123" s="15" t="n"/>
      <c r="F4123" s="15" t="n"/>
      <c r="G4123" s="15" t="n"/>
      <c r="H4123" s="16">
        <f>IF($A4123="","",$D4123+IF($E4123="",0,$E4123)+IF($F4123="",0,$F4123)-IF($G4123="",0,$G4123))</f>
        <v/>
      </c>
      <c r="I4123" s="12" t="n"/>
      <c r="J4123" s="12" t="n"/>
      <c r="K4123" s="12" t="n"/>
      <c r="L4123" s="14" t="n"/>
      <c r="M4123" s="12" t="n"/>
      <c r="N4123" s="12" t="n"/>
      <c r="O4123" s="12" t="n"/>
    </row>
    <row r="4124">
      <c r="A4124" s="12" t="n"/>
      <c r="B4124" s="13">
        <f>IF($A4124="","",IFERROR(INDEX(Emp_Names,MATCH($A4124,Emp_Codes,0)),"NOT FOUND"))</f>
        <v/>
      </c>
      <c r="C4124" s="14" t="n"/>
      <c r="D4124" s="15" t="n"/>
      <c r="E4124" s="15" t="n"/>
      <c r="F4124" s="15" t="n"/>
      <c r="G4124" s="15" t="n"/>
      <c r="H4124" s="16">
        <f>IF($A4124="","",$D4124+IF($E4124="",0,$E4124)+IF($F4124="",0,$F4124)-IF($G4124="",0,$G4124))</f>
        <v/>
      </c>
      <c r="I4124" s="12" t="n"/>
      <c r="J4124" s="12" t="n"/>
      <c r="K4124" s="12" t="n"/>
      <c r="L4124" s="14" t="n"/>
      <c r="M4124" s="12" t="n"/>
      <c r="N4124" s="12" t="n"/>
      <c r="O4124" s="12" t="n"/>
    </row>
    <row r="4125">
      <c r="A4125" s="12" t="n"/>
      <c r="B4125" s="13">
        <f>IF($A4125="","",IFERROR(INDEX(Emp_Names,MATCH($A4125,Emp_Codes,0)),"NOT FOUND"))</f>
        <v/>
      </c>
      <c r="C4125" s="14" t="n"/>
      <c r="D4125" s="15" t="n"/>
      <c r="E4125" s="15" t="n"/>
      <c r="F4125" s="15" t="n"/>
      <c r="G4125" s="15" t="n"/>
      <c r="H4125" s="16">
        <f>IF($A4125="","",$D4125+IF($E4125="",0,$E4125)+IF($F4125="",0,$F4125)-IF($G4125="",0,$G4125))</f>
        <v/>
      </c>
      <c r="I4125" s="12" t="n"/>
      <c r="J4125" s="12" t="n"/>
      <c r="K4125" s="12" t="n"/>
      <c r="L4125" s="14" t="n"/>
      <c r="M4125" s="12" t="n"/>
      <c r="N4125" s="12" t="n"/>
      <c r="O4125" s="12" t="n"/>
    </row>
    <row r="4126">
      <c r="A4126" s="12" t="n"/>
      <c r="B4126" s="13">
        <f>IF($A4126="","",IFERROR(INDEX(Emp_Names,MATCH($A4126,Emp_Codes,0)),"NOT FOUND"))</f>
        <v/>
      </c>
      <c r="C4126" s="14" t="n"/>
      <c r="D4126" s="15" t="n"/>
      <c r="E4126" s="15" t="n"/>
      <c r="F4126" s="15" t="n"/>
      <c r="G4126" s="15" t="n"/>
      <c r="H4126" s="16">
        <f>IF($A4126="","",$D4126+IF($E4126="",0,$E4126)+IF($F4126="",0,$F4126)-IF($G4126="",0,$G4126))</f>
        <v/>
      </c>
      <c r="I4126" s="12" t="n"/>
      <c r="J4126" s="12" t="n"/>
      <c r="K4126" s="12" t="n"/>
      <c r="L4126" s="14" t="n"/>
      <c r="M4126" s="12" t="n"/>
      <c r="N4126" s="12" t="n"/>
      <c r="O4126" s="12" t="n"/>
    </row>
    <row r="4127">
      <c r="A4127" s="12" t="n"/>
      <c r="B4127" s="13">
        <f>IF($A4127="","",IFERROR(INDEX(Emp_Names,MATCH($A4127,Emp_Codes,0)),"NOT FOUND"))</f>
        <v/>
      </c>
      <c r="C4127" s="14" t="n"/>
      <c r="D4127" s="15" t="n"/>
      <c r="E4127" s="15" t="n"/>
      <c r="F4127" s="15" t="n"/>
      <c r="G4127" s="15" t="n"/>
      <c r="H4127" s="16">
        <f>IF($A4127="","",$D4127+IF($E4127="",0,$E4127)+IF($F4127="",0,$F4127)-IF($G4127="",0,$G4127))</f>
        <v/>
      </c>
      <c r="I4127" s="12" t="n"/>
      <c r="J4127" s="12" t="n"/>
      <c r="K4127" s="12" t="n"/>
      <c r="L4127" s="14" t="n"/>
      <c r="M4127" s="12" t="n"/>
      <c r="N4127" s="12" t="n"/>
      <c r="O4127" s="12" t="n"/>
    </row>
    <row r="4128">
      <c r="A4128" s="12" t="n"/>
      <c r="B4128" s="13">
        <f>IF($A4128="","",IFERROR(INDEX(Emp_Names,MATCH($A4128,Emp_Codes,0)),"NOT FOUND"))</f>
        <v/>
      </c>
      <c r="C4128" s="14" t="n"/>
      <c r="D4128" s="15" t="n"/>
      <c r="E4128" s="15" t="n"/>
      <c r="F4128" s="15" t="n"/>
      <c r="G4128" s="15" t="n"/>
      <c r="H4128" s="16">
        <f>IF($A4128="","",$D4128+IF($E4128="",0,$E4128)+IF($F4128="",0,$F4128)-IF($G4128="",0,$G4128))</f>
        <v/>
      </c>
      <c r="I4128" s="12" t="n"/>
      <c r="J4128" s="12" t="n"/>
      <c r="K4128" s="12" t="n"/>
      <c r="L4128" s="14" t="n"/>
      <c r="M4128" s="12" t="n"/>
      <c r="N4128" s="12" t="n"/>
      <c r="O4128" s="12" t="n"/>
    </row>
    <row r="4129">
      <c r="A4129" s="12" t="n"/>
      <c r="B4129" s="13">
        <f>IF($A4129="","",IFERROR(INDEX(Emp_Names,MATCH($A4129,Emp_Codes,0)),"NOT FOUND"))</f>
        <v/>
      </c>
      <c r="C4129" s="14" t="n"/>
      <c r="D4129" s="15" t="n"/>
      <c r="E4129" s="15" t="n"/>
      <c r="F4129" s="15" t="n"/>
      <c r="G4129" s="15" t="n"/>
      <c r="H4129" s="16">
        <f>IF($A4129="","",$D4129+IF($E4129="",0,$E4129)+IF($F4129="",0,$F4129)-IF($G4129="",0,$G4129))</f>
        <v/>
      </c>
      <c r="I4129" s="12" t="n"/>
      <c r="J4129" s="12" t="n"/>
      <c r="K4129" s="12" t="n"/>
      <c r="L4129" s="14" t="n"/>
      <c r="M4129" s="12" t="n"/>
      <c r="N4129" s="12" t="n"/>
      <c r="O4129" s="12" t="n"/>
    </row>
    <row r="4130">
      <c r="A4130" s="12" t="n"/>
      <c r="B4130" s="13">
        <f>IF($A4130="","",IFERROR(INDEX(Emp_Names,MATCH($A4130,Emp_Codes,0)),"NOT FOUND"))</f>
        <v/>
      </c>
      <c r="C4130" s="14" t="n"/>
      <c r="D4130" s="15" t="n"/>
      <c r="E4130" s="15" t="n"/>
      <c r="F4130" s="15" t="n"/>
      <c r="G4130" s="15" t="n"/>
      <c r="H4130" s="16">
        <f>IF($A4130="","",$D4130+IF($E4130="",0,$E4130)+IF($F4130="",0,$F4130)-IF($G4130="",0,$G4130))</f>
        <v/>
      </c>
      <c r="I4130" s="12" t="n"/>
      <c r="J4130" s="12" t="n"/>
      <c r="K4130" s="12" t="n"/>
      <c r="L4130" s="14" t="n"/>
      <c r="M4130" s="12" t="n"/>
      <c r="N4130" s="12" t="n"/>
      <c r="O4130" s="12" t="n"/>
    </row>
    <row r="4131">
      <c r="A4131" s="12" t="n"/>
      <c r="B4131" s="13">
        <f>IF($A4131="","",IFERROR(INDEX(Emp_Names,MATCH($A4131,Emp_Codes,0)),"NOT FOUND"))</f>
        <v/>
      </c>
      <c r="C4131" s="14" t="n"/>
      <c r="D4131" s="15" t="n"/>
      <c r="E4131" s="15" t="n"/>
      <c r="F4131" s="15" t="n"/>
      <c r="G4131" s="15" t="n"/>
      <c r="H4131" s="16">
        <f>IF($A4131="","",$D4131+IF($E4131="",0,$E4131)+IF($F4131="",0,$F4131)-IF($G4131="",0,$G4131))</f>
        <v/>
      </c>
      <c r="I4131" s="12" t="n"/>
      <c r="J4131" s="12" t="n"/>
      <c r="K4131" s="12" t="n"/>
      <c r="L4131" s="14" t="n"/>
      <c r="M4131" s="12" t="n"/>
      <c r="N4131" s="12" t="n"/>
      <c r="O4131" s="12" t="n"/>
    </row>
    <row r="4132">
      <c r="A4132" s="12" t="n"/>
      <c r="B4132" s="13">
        <f>IF($A4132="","",IFERROR(INDEX(Emp_Names,MATCH($A4132,Emp_Codes,0)),"NOT FOUND"))</f>
        <v/>
      </c>
      <c r="C4132" s="14" t="n"/>
      <c r="D4132" s="15" t="n"/>
      <c r="E4132" s="15" t="n"/>
      <c r="F4132" s="15" t="n"/>
      <c r="G4132" s="15" t="n"/>
      <c r="H4132" s="16">
        <f>IF($A4132="","",$D4132+IF($E4132="",0,$E4132)+IF($F4132="",0,$F4132)-IF($G4132="",0,$G4132))</f>
        <v/>
      </c>
      <c r="I4132" s="12" t="n"/>
      <c r="J4132" s="12" t="n"/>
      <c r="K4132" s="12" t="n"/>
      <c r="L4132" s="14" t="n"/>
      <c r="M4132" s="12" t="n"/>
      <c r="N4132" s="12" t="n"/>
      <c r="O4132" s="12" t="n"/>
    </row>
    <row r="4133">
      <c r="A4133" s="12" t="n"/>
      <c r="B4133" s="13">
        <f>IF($A4133="","",IFERROR(INDEX(Emp_Names,MATCH($A4133,Emp_Codes,0)),"NOT FOUND"))</f>
        <v/>
      </c>
      <c r="C4133" s="14" t="n"/>
      <c r="D4133" s="15" t="n"/>
      <c r="E4133" s="15" t="n"/>
      <c r="F4133" s="15" t="n"/>
      <c r="G4133" s="15" t="n"/>
      <c r="H4133" s="16">
        <f>IF($A4133="","",$D4133+IF($E4133="",0,$E4133)+IF($F4133="",0,$F4133)-IF($G4133="",0,$G4133))</f>
        <v/>
      </c>
      <c r="I4133" s="12" t="n"/>
      <c r="J4133" s="12" t="n"/>
      <c r="K4133" s="12" t="n"/>
      <c r="L4133" s="14" t="n"/>
      <c r="M4133" s="12" t="n"/>
      <c r="N4133" s="12" t="n"/>
      <c r="O4133" s="12" t="n"/>
    </row>
    <row r="4134">
      <c r="A4134" s="12" t="n"/>
      <c r="B4134" s="13">
        <f>IF($A4134="","",IFERROR(INDEX(Emp_Names,MATCH($A4134,Emp_Codes,0)),"NOT FOUND"))</f>
        <v/>
      </c>
      <c r="C4134" s="14" t="n"/>
      <c r="D4134" s="15" t="n"/>
      <c r="E4134" s="15" t="n"/>
      <c r="F4134" s="15" t="n"/>
      <c r="G4134" s="15" t="n"/>
      <c r="H4134" s="16">
        <f>IF($A4134="","",$D4134+IF($E4134="",0,$E4134)+IF($F4134="",0,$F4134)-IF($G4134="",0,$G4134))</f>
        <v/>
      </c>
      <c r="I4134" s="12" t="n"/>
      <c r="J4134" s="12" t="n"/>
      <c r="K4134" s="12" t="n"/>
      <c r="L4134" s="14" t="n"/>
      <c r="M4134" s="12" t="n"/>
      <c r="N4134" s="12" t="n"/>
      <c r="O4134" s="12" t="n"/>
    </row>
    <row r="4135">
      <c r="A4135" s="12" t="n"/>
      <c r="B4135" s="13">
        <f>IF($A4135="","",IFERROR(INDEX(Emp_Names,MATCH($A4135,Emp_Codes,0)),"NOT FOUND"))</f>
        <v/>
      </c>
      <c r="C4135" s="14" t="n"/>
      <c r="D4135" s="15" t="n"/>
      <c r="E4135" s="15" t="n"/>
      <c r="F4135" s="15" t="n"/>
      <c r="G4135" s="15" t="n"/>
      <c r="H4135" s="16">
        <f>IF($A4135="","",$D4135+IF($E4135="",0,$E4135)+IF($F4135="",0,$F4135)-IF($G4135="",0,$G4135))</f>
        <v/>
      </c>
      <c r="I4135" s="12" t="n"/>
      <c r="J4135" s="12" t="n"/>
      <c r="K4135" s="12" t="n"/>
      <c r="L4135" s="14" t="n"/>
      <c r="M4135" s="12" t="n"/>
      <c r="N4135" s="12" t="n"/>
      <c r="O4135" s="12" t="n"/>
    </row>
    <row r="4136">
      <c r="A4136" s="12" t="n"/>
      <c r="B4136" s="13">
        <f>IF($A4136="","",IFERROR(INDEX(Emp_Names,MATCH($A4136,Emp_Codes,0)),"NOT FOUND"))</f>
        <v/>
      </c>
      <c r="C4136" s="14" t="n"/>
      <c r="D4136" s="15" t="n"/>
      <c r="E4136" s="15" t="n"/>
      <c r="F4136" s="15" t="n"/>
      <c r="G4136" s="15" t="n"/>
      <c r="H4136" s="16">
        <f>IF($A4136="","",$D4136+IF($E4136="",0,$E4136)+IF($F4136="",0,$F4136)-IF($G4136="",0,$G4136))</f>
        <v/>
      </c>
      <c r="I4136" s="12" t="n"/>
      <c r="J4136" s="12" t="n"/>
      <c r="K4136" s="12" t="n"/>
      <c r="L4136" s="14" t="n"/>
      <c r="M4136" s="12" t="n"/>
      <c r="N4136" s="12" t="n"/>
      <c r="O4136" s="12" t="n"/>
    </row>
    <row r="4137">
      <c r="A4137" s="12" t="n"/>
      <c r="B4137" s="13">
        <f>IF($A4137="","",IFERROR(INDEX(Emp_Names,MATCH($A4137,Emp_Codes,0)),"NOT FOUND"))</f>
        <v/>
      </c>
      <c r="C4137" s="14" t="n"/>
      <c r="D4137" s="15" t="n"/>
      <c r="E4137" s="15" t="n"/>
      <c r="F4137" s="15" t="n"/>
      <c r="G4137" s="15" t="n"/>
      <c r="H4137" s="16">
        <f>IF($A4137="","",$D4137+IF($E4137="",0,$E4137)+IF($F4137="",0,$F4137)-IF($G4137="",0,$G4137))</f>
        <v/>
      </c>
      <c r="I4137" s="12" t="n"/>
      <c r="J4137" s="12" t="n"/>
      <c r="K4137" s="12" t="n"/>
      <c r="L4137" s="14" t="n"/>
      <c r="M4137" s="12" t="n"/>
      <c r="N4137" s="12" t="n"/>
      <c r="O4137" s="12" t="n"/>
    </row>
    <row r="4138">
      <c r="A4138" s="12" t="n"/>
      <c r="B4138" s="13">
        <f>IF($A4138="","",IFERROR(INDEX(Emp_Names,MATCH($A4138,Emp_Codes,0)),"NOT FOUND"))</f>
        <v/>
      </c>
      <c r="C4138" s="14" t="n"/>
      <c r="D4138" s="15" t="n"/>
      <c r="E4138" s="15" t="n"/>
      <c r="F4138" s="15" t="n"/>
      <c r="G4138" s="15" t="n"/>
      <c r="H4138" s="16">
        <f>IF($A4138="","",$D4138+IF($E4138="",0,$E4138)+IF($F4138="",0,$F4138)-IF($G4138="",0,$G4138))</f>
        <v/>
      </c>
      <c r="I4138" s="12" t="n"/>
      <c r="J4138" s="12" t="n"/>
      <c r="K4138" s="12" t="n"/>
      <c r="L4138" s="14" t="n"/>
      <c r="M4138" s="12" t="n"/>
      <c r="N4138" s="12" t="n"/>
      <c r="O4138" s="12" t="n"/>
    </row>
    <row r="4139">
      <c r="A4139" s="12" t="n"/>
      <c r="B4139" s="13">
        <f>IF($A4139="","",IFERROR(INDEX(Emp_Names,MATCH($A4139,Emp_Codes,0)),"NOT FOUND"))</f>
        <v/>
      </c>
      <c r="C4139" s="14" t="n"/>
      <c r="D4139" s="15" t="n"/>
      <c r="E4139" s="15" t="n"/>
      <c r="F4139" s="15" t="n"/>
      <c r="G4139" s="15" t="n"/>
      <c r="H4139" s="16">
        <f>IF($A4139="","",$D4139+IF($E4139="",0,$E4139)+IF($F4139="",0,$F4139)-IF($G4139="",0,$G4139))</f>
        <v/>
      </c>
      <c r="I4139" s="12" t="n"/>
      <c r="J4139" s="12" t="n"/>
      <c r="K4139" s="12" t="n"/>
      <c r="L4139" s="14" t="n"/>
      <c r="M4139" s="12" t="n"/>
      <c r="N4139" s="12" t="n"/>
      <c r="O4139" s="12" t="n"/>
    </row>
    <row r="4140">
      <c r="A4140" s="12" t="n"/>
      <c r="B4140" s="13">
        <f>IF($A4140="","",IFERROR(INDEX(Emp_Names,MATCH($A4140,Emp_Codes,0)),"NOT FOUND"))</f>
        <v/>
      </c>
      <c r="C4140" s="14" t="n"/>
      <c r="D4140" s="15" t="n"/>
      <c r="E4140" s="15" t="n"/>
      <c r="F4140" s="15" t="n"/>
      <c r="G4140" s="15" t="n"/>
      <c r="H4140" s="16">
        <f>IF($A4140="","",$D4140+IF($E4140="",0,$E4140)+IF($F4140="",0,$F4140)-IF($G4140="",0,$G4140))</f>
        <v/>
      </c>
      <c r="I4140" s="12" t="n"/>
      <c r="J4140" s="12" t="n"/>
      <c r="K4140" s="12" t="n"/>
      <c r="L4140" s="14" t="n"/>
      <c r="M4140" s="12" t="n"/>
      <c r="N4140" s="12" t="n"/>
      <c r="O4140" s="12" t="n"/>
    </row>
    <row r="4141">
      <c r="A4141" s="12" t="n"/>
      <c r="B4141" s="13">
        <f>IF($A4141="","",IFERROR(INDEX(Emp_Names,MATCH($A4141,Emp_Codes,0)),"NOT FOUND"))</f>
        <v/>
      </c>
      <c r="C4141" s="14" t="n"/>
      <c r="D4141" s="15" t="n"/>
      <c r="E4141" s="15" t="n"/>
      <c r="F4141" s="15" t="n"/>
      <c r="G4141" s="15" t="n"/>
      <c r="H4141" s="16">
        <f>IF($A4141="","",$D4141+IF($E4141="",0,$E4141)+IF($F4141="",0,$F4141)-IF($G4141="",0,$G4141))</f>
        <v/>
      </c>
      <c r="I4141" s="12" t="n"/>
      <c r="J4141" s="12" t="n"/>
      <c r="K4141" s="12" t="n"/>
      <c r="L4141" s="14" t="n"/>
      <c r="M4141" s="12" t="n"/>
      <c r="N4141" s="12" t="n"/>
      <c r="O4141" s="12" t="n"/>
    </row>
    <row r="4142">
      <c r="A4142" s="12" t="n"/>
      <c r="B4142" s="13">
        <f>IF($A4142="","",IFERROR(INDEX(Emp_Names,MATCH($A4142,Emp_Codes,0)),"NOT FOUND"))</f>
        <v/>
      </c>
      <c r="C4142" s="14" t="n"/>
      <c r="D4142" s="15" t="n"/>
      <c r="E4142" s="15" t="n"/>
      <c r="F4142" s="15" t="n"/>
      <c r="G4142" s="15" t="n"/>
      <c r="H4142" s="16">
        <f>IF($A4142="","",$D4142+IF($E4142="",0,$E4142)+IF($F4142="",0,$F4142)-IF($G4142="",0,$G4142))</f>
        <v/>
      </c>
      <c r="I4142" s="12" t="n"/>
      <c r="J4142" s="12" t="n"/>
      <c r="K4142" s="12" t="n"/>
      <c r="L4142" s="14" t="n"/>
      <c r="M4142" s="12" t="n"/>
      <c r="N4142" s="12" t="n"/>
      <c r="O4142" s="12" t="n"/>
    </row>
    <row r="4143">
      <c r="A4143" s="12" t="n"/>
      <c r="B4143" s="13">
        <f>IF($A4143="","",IFERROR(INDEX(Emp_Names,MATCH($A4143,Emp_Codes,0)),"NOT FOUND"))</f>
        <v/>
      </c>
      <c r="C4143" s="14" t="n"/>
      <c r="D4143" s="15" t="n"/>
      <c r="E4143" s="15" t="n"/>
      <c r="F4143" s="15" t="n"/>
      <c r="G4143" s="15" t="n"/>
      <c r="H4143" s="16">
        <f>IF($A4143="","",$D4143+IF($E4143="",0,$E4143)+IF($F4143="",0,$F4143)-IF($G4143="",0,$G4143))</f>
        <v/>
      </c>
      <c r="I4143" s="12" t="n"/>
      <c r="J4143" s="12" t="n"/>
      <c r="K4143" s="12" t="n"/>
      <c r="L4143" s="14" t="n"/>
      <c r="M4143" s="12" t="n"/>
      <c r="N4143" s="12" t="n"/>
      <c r="O4143" s="12" t="n"/>
    </row>
    <row r="4144">
      <c r="A4144" s="12" t="n"/>
      <c r="B4144" s="13">
        <f>IF($A4144="","",IFERROR(INDEX(Emp_Names,MATCH($A4144,Emp_Codes,0)),"NOT FOUND"))</f>
        <v/>
      </c>
      <c r="C4144" s="14" t="n"/>
      <c r="D4144" s="15" t="n"/>
      <c r="E4144" s="15" t="n"/>
      <c r="F4144" s="15" t="n"/>
      <c r="G4144" s="15" t="n"/>
      <c r="H4144" s="16">
        <f>IF($A4144="","",$D4144+IF($E4144="",0,$E4144)+IF($F4144="",0,$F4144)-IF($G4144="",0,$G4144))</f>
        <v/>
      </c>
      <c r="I4144" s="12" t="n"/>
      <c r="J4144" s="12" t="n"/>
      <c r="K4144" s="12" t="n"/>
      <c r="L4144" s="14" t="n"/>
      <c r="M4144" s="12" t="n"/>
      <c r="N4144" s="12" t="n"/>
      <c r="O4144" s="12" t="n"/>
    </row>
    <row r="4145">
      <c r="A4145" s="12" t="n"/>
      <c r="B4145" s="13">
        <f>IF($A4145="","",IFERROR(INDEX(Emp_Names,MATCH($A4145,Emp_Codes,0)),"NOT FOUND"))</f>
        <v/>
      </c>
      <c r="C4145" s="14" t="n"/>
      <c r="D4145" s="15" t="n"/>
      <c r="E4145" s="15" t="n"/>
      <c r="F4145" s="15" t="n"/>
      <c r="G4145" s="15" t="n"/>
      <c r="H4145" s="16">
        <f>IF($A4145="","",$D4145+IF($E4145="",0,$E4145)+IF($F4145="",0,$F4145)-IF($G4145="",0,$G4145))</f>
        <v/>
      </c>
      <c r="I4145" s="12" t="n"/>
      <c r="J4145" s="12" t="n"/>
      <c r="K4145" s="12" t="n"/>
      <c r="L4145" s="14" t="n"/>
      <c r="M4145" s="12" t="n"/>
      <c r="N4145" s="12" t="n"/>
      <c r="O4145" s="12" t="n"/>
    </row>
    <row r="4146">
      <c r="A4146" s="12" t="n"/>
      <c r="B4146" s="13">
        <f>IF($A4146="","",IFERROR(INDEX(Emp_Names,MATCH($A4146,Emp_Codes,0)),"NOT FOUND"))</f>
        <v/>
      </c>
      <c r="C4146" s="14" t="n"/>
      <c r="D4146" s="15" t="n"/>
      <c r="E4146" s="15" t="n"/>
      <c r="F4146" s="15" t="n"/>
      <c r="G4146" s="15" t="n"/>
      <c r="H4146" s="16">
        <f>IF($A4146="","",$D4146+IF($E4146="",0,$E4146)+IF($F4146="",0,$F4146)-IF($G4146="",0,$G4146))</f>
        <v/>
      </c>
      <c r="I4146" s="12" t="n"/>
      <c r="J4146" s="12" t="n"/>
      <c r="K4146" s="12" t="n"/>
      <c r="L4146" s="14" t="n"/>
      <c r="M4146" s="12" t="n"/>
      <c r="N4146" s="12" t="n"/>
      <c r="O4146" s="12" t="n"/>
    </row>
    <row r="4147">
      <c r="A4147" s="12" t="n"/>
      <c r="B4147" s="13">
        <f>IF($A4147="","",IFERROR(INDEX(Emp_Names,MATCH($A4147,Emp_Codes,0)),"NOT FOUND"))</f>
        <v/>
      </c>
      <c r="C4147" s="14" t="n"/>
      <c r="D4147" s="15" t="n"/>
      <c r="E4147" s="15" t="n"/>
      <c r="F4147" s="15" t="n"/>
      <c r="G4147" s="15" t="n"/>
      <c r="H4147" s="16">
        <f>IF($A4147="","",$D4147+IF($E4147="",0,$E4147)+IF($F4147="",0,$F4147)-IF($G4147="",0,$G4147))</f>
        <v/>
      </c>
      <c r="I4147" s="12" t="n"/>
      <c r="J4147" s="12" t="n"/>
      <c r="K4147" s="12" t="n"/>
      <c r="L4147" s="14" t="n"/>
      <c r="M4147" s="12" t="n"/>
      <c r="N4147" s="12" t="n"/>
      <c r="O4147" s="12" t="n"/>
    </row>
    <row r="4148">
      <c r="A4148" s="12" t="n"/>
      <c r="B4148" s="13">
        <f>IF($A4148="","",IFERROR(INDEX(Emp_Names,MATCH($A4148,Emp_Codes,0)),"NOT FOUND"))</f>
        <v/>
      </c>
      <c r="C4148" s="14" t="n"/>
      <c r="D4148" s="15" t="n"/>
      <c r="E4148" s="15" t="n"/>
      <c r="F4148" s="15" t="n"/>
      <c r="G4148" s="15" t="n"/>
      <c r="H4148" s="16">
        <f>IF($A4148="","",$D4148+IF($E4148="",0,$E4148)+IF($F4148="",0,$F4148)-IF($G4148="",0,$G4148))</f>
        <v/>
      </c>
      <c r="I4148" s="12" t="n"/>
      <c r="J4148" s="12" t="n"/>
      <c r="K4148" s="12" t="n"/>
      <c r="L4148" s="14" t="n"/>
      <c r="M4148" s="12" t="n"/>
      <c r="N4148" s="12" t="n"/>
      <c r="O4148" s="12" t="n"/>
    </row>
    <row r="4149">
      <c r="A4149" s="12" t="n"/>
      <c r="B4149" s="13">
        <f>IF($A4149="","",IFERROR(INDEX(Emp_Names,MATCH($A4149,Emp_Codes,0)),"NOT FOUND"))</f>
        <v/>
      </c>
      <c r="C4149" s="14" t="n"/>
      <c r="D4149" s="15" t="n"/>
      <c r="E4149" s="15" t="n"/>
      <c r="F4149" s="15" t="n"/>
      <c r="G4149" s="15" t="n"/>
      <c r="H4149" s="16">
        <f>IF($A4149="","",$D4149+IF($E4149="",0,$E4149)+IF($F4149="",0,$F4149)-IF($G4149="",0,$G4149))</f>
        <v/>
      </c>
      <c r="I4149" s="12" t="n"/>
      <c r="J4149" s="12" t="n"/>
      <c r="K4149" s="12" t="n"/>
      <c r="L4149" s="14" t="n"/>
      <c r="M4149" s="12" t="n"/>
      <c r="N4149" s="12" t="n"/>
      <c r="O4149" s="12" t="n"/>
    </row>
    <row r="4150">
      <c r="A4150" s="12" t="n"/>
      <c r="B4150" s="13">
        <f>IF($A4150="","",IFERROR(INDEX(Emp_Names,MATCH($A4150,Emp_Codes,0)),"NOT FOUND"))</f>
        <v/>
      </c>
      <c r="C4150" s="14" t="n"/>
      <c r="D4150" s="15" t="n"/>
      <c r="E4150" s="15" t="n"/>
      <c r="F4150" s="15" t="n"/>
      <c r="G4150" s="15" t="n"/>
      <c r="H4150" s="16">
        <f>IF($A4150="","",$D4150+IF($E4150="",0,$E4150)+IF($F4150="",0,$F4150)-IF($G4150="",0,$G4150))</f>
        <v/>
      </c>
      <c r="I4150" s="12" t="n"/>
      <c r="J4150" s="12" t="n"/>
      <c r="K4150" s="12" t="n"/>
      <c r="L4150" s="14" t="n"/>
      <c r="M4150" s="12" t="n"/>
      <c r="N4150" s="12" t="n"/>
      <c r="O4150" s="12" t="n"/>
    </row>
    <row r="4151">
      <c r="A4151" s="12" t="n"/>
      <c r="B4151" s="13">
        <f>IF($A4151="","",IFERROR(INDEX(Emp_Names,MATCH($A4151,Emp_Codes,0)),"NOT FOUND"))</f>
        <v/>
      </c>
      <c r="C4151" s="14" t="n"/>
      <c r="D4151" s="15" t="n"/>
      <c r="E4151" s="15" t="n"/>
      <c r="F4151" s="15" t="n"/>
      <c r="G4151" s="15" t="n"/>
      <c r="H4151" s="16">
        <f>IF($A4151="","",$D4151+IF($E4151="",0,$E4151)+IF($F4151="",0,$F4151)-IF($G4151="",0,$G4151))</f>
        <v/>
      </c>
      <c r="I4151" s="12" t="n"/>
      <c r="J4151" s="12" t="n"/>
      <c r="K4151" s="12" t="n"/>
      <c r="L4151" s="14" t="n"/>
      <c r="M4151" s="12" t="n"/>
      <c r="N4151" s="12" t="n"/>
      <c r="O4151" s="12" t="n"/>
    </row>
    <row r="4152">
      <c r="A4152" s="12" t="n"/>
      <c r="B4152" s="13">
        <f>IF($A4152="","",IFERROR(INDEX(Emp_Names,MATCH($A4152,Emp_Codes,0)),"NOT FOUND"))</f>
        <v/>
      </c>
      <c r="C4152" s="14" t="n"/>
      <c r="D4152" s="15" t="n"/>
      <c r="E4152" s="15" t="n"/>
      <c r="F4152" s="15" t="n"/>
      <c r="G4152" s="15" t="n"/>
      <c r="H4152" s="16">
        <f>IF($A4152="","",$D4152+IF($E4152="",0,$E4152)+IF($F4152="",0,$F4152)-IF($G4152="",0,$G4152))</f>
        <v/>
      </c>
      <c r="I4152" s="12" t="n"/>
      <c r="J4152" s="12" t="n"/>
      <c r="K4152" s="12" t="n"/>
      <c r="L4152" s="14" t="n"/>
      <c r="M4152" s="12" t="n"/>
      <c r="N4152" s="12" t="n"/>
      <c r="O4152" s="12" t="n"/>
    </row>
    <row r="4153">
      <c r="A4153" s="12" t="n"/>
      <c r="B4153" s="13">
        <f>IF($A4153="","",IFERROR(INDEX(Emp_Names,MATCH($A4153,Emp_Codes,0)),"NOT FOUND"))</f>
        <v/>
      </c>
      <c r="C4153" s="14" t="n"/>
      <c r="D4153" s="15" t="n"/>
      <c r="E4153" s="15" t="n"/>
      <c r="F4153" s="15" t="n"/>
      <c r="G4153" s="15" t="n"/>
      <c r="H4153" s="16">
        <f>IF($A4153="","",$D4153+IF($E4153="",0,$E4153)+IF($F4153="",0,$F4153)-IF($G4153="",0,$G4153))</f>
        <v/>
      </c>
      <c r="I4153" s="12" t="n"/>
      <c r="J4153" s="12" t="n"/>
      <c r="K4153" s="12" t="n"/>
      <c r="L4153" s="14" t="n"/>
      <c r="M4153" s="12" t="n"/>
      <c r="N4153" s="12" t="n"/>
      <c r="O4153" s="12" t="n"/>
    </row>
    <row r="4154">
      <c r="A4154" s="12" t="n"/>
      <c r="B4154" s="13">
        <f>IF($A4154="","",IFERROR(INDEX(Emp_Names,MATCH($A4154,Emp_Codes,0)),"NOT FOUND"))</f>
        <v/>
      </c>
      <c r="C4154" s="14" t="n"/>
      <c r="D4154" s="15" t="n"/>
      <c r="E4154" s="15" t="n"/>
      <c r="F4154" s="15" t="n"/>
      <c r="G4154" s="15" t="n"/>
      <c r="H4154" s="16">
        <f>IF($A4154="","",$D4154+IF($E4154="",0,$E4154)+IF($F4154="",0,$F4154)-IF($G4154="",0,$G4154))</f>
        <v/>
      </c>
      <c r="I4154" s="12" t="n"/>
      <c r="J4154" s="12" t="n"/>
      <c r="K4154" s="12" t="n"/>
      <c r="L4154" s="14" t="n"/>
      <c r="M4154" s="12" t="n"/>
      <c r="N4154" s="12" t="n"/>
      <c r="O4154" s="12" t="n"/>
    </row>
    <row r="4155">
      <c r="A4155" s="12" t="n"/>
      <c r="B4155" s="13">
        <f>IF($A4155="","",IFERROR(INDEX(Emp_Names,MATCH($A4155,Emp_Codes,0)),"NOT FOUND"))</f>
        <v/>
      </c>
      <c r="C4155" s="14" t="n"/>
      <c r="D4155" s="15" t="n"/>
      <c r="E4155" s="15" t="n"/>
      <c r="F4155" s="15" t="n"/>
      <c r="G4155" s="15" t="n"/>
      <c r="H4155" s="16">
        <f>IF($A4155="","",$D4155+IF($E4155="",0,$E4155)+IF($F4155="",0,$F4155)-IF($G4155="",0,$G4155))</f>
        <v/>
      </c>
      <c r="I4155" s="12" t="n"/>
      <c r="J4155" s="12" t="n"/>
      <c r="K4155" s="12" t="n"/>
      <c r="L4155" s="14" t="n"/>
      <c r="M4155" s="12" t="n"/>
      <c r="N4155" s="12" t="n"/>
      <c r="O4155" s="12" t="n"/>
    </row>
    <row r="4156">
      <c r="A4156" s="12" t="n"/>
      <c r="B4156" s="13">
        <f>IF($A4156="","",IFERROR(INDEX(Emp_Names,MATCH($A4156,Emp_Codes,0)),"NOT FOUND"))</f>
        <v/>
      </c>
      <c r="C4156" s="14" t="n"/>
      <c r="D4156" s="15" t="n"/>
      <c r="E4156" s="15" t="n"/>
      <c r="F4156" s="15" t="n"/>
      <c r="G4156" s="15" t="n"/>
      <c r="H4156" s="16">
        <f>IF($A4156="","",$D4156+IF($E4156="",0,$E4156)+IF($F4156="",0,$F4156)-IF($G4156="",0,$G4156))</f>
        <v/>
      </c>
      <c r="I4156" s="12" t="n"/>
      <c r="J4156" s="12" t="n"/>
      <c r="K4156" s="12" t="n"/>
      <c r="L4156" s="14" t="n"/>
      <c r="M4156" s="12" t="n"/>
      <c r="N4156" s="12" t="n"/>
      <c r="O4156" s="12" t="n"/>
    </row>
    <row r="4157">
      <c r="A4157" s="12" t="n"/>
      <c r="B4157" s="13">
        <f>IF($A4157="","",IFERROR(INDEX(Emp_Names,MATCH($A4157,Emp_Codes,0)),"NOT FOUND"))</f>
        <v/>
      </c>
      <c r="C4157" s="14" t="n"/>
      <c r="D4157" s="15" t="n"/>
      <c r="E4157" s="15" t="n"/>
      <c r="F4157" s="15" t="n"/>
      <c r="G4157" s="15" t="n"/>
      <c r="H4157" s="16">
        <f>IF($A4157="","",$D4157+IF($E4157="",0,$E4157)+IF($F4157="",0,$F4157)-IF($G4157="",0,$G4157))</f>
        <v/>
      </c>
      <c r="I4157" s="12" t="n"/>
      <c r="J4157" s="12" t="n"/>
      <c r="K4157" s="12" t="n"/>
      <c r="L4157" s="14" t="n"/>
      <c r="M4157" s="12" t="n"/>
      <c r="N4157" s="12" t="n"/>
      <c r="O4157" s="12" t="n"/>
    </row>
    <row r="4158">
      <c r="A4158" s="12" t="n"/>
      <c r="B4158" s="13">
        <f>IF($A4158="","",IFERROR(INDEX(Emp_Names,MATCH($A4158,Emp_Codes,0)),"NOT FOUND"))</f>
        <v/>
      </c>
      <c r="C4158" s="14" t="n"/>
      <c r="D4158" s="15" t="n"/>
      <c r="E4158" s="15" t="n"/>
      <c r="F4158" s="15" t="n"/>
      <c r="G4158" s="15" t="n"/>
      <c r="H4158" s="16">
        <f>IF($A4158="","",$D4158+IF($E4158="",0,$E4158)+IF($F4158="",0,$F4158)-IF($G4158="",0,$G4158))</f>
        <v/>
      </c>
      <c r="I4158" s="12" t="n"/>
      <c r="J4158" s="12" t="n"/>
      <c r="K4158" s="12" t="n"/>
      <c r="L4158" s="14" t="n"/>
      <c r="M4158" s="12" t="n"/>
      <c r="N4158" s="12" t="n"/>
      <c r="O4158" s="12" t="n"/>
    </row>
    <row r="4159">
      <c r="A4159" s="12" t="n"/>
      <c r="B4159" s="13">
        <f>IF($A4159="","",IFERROR(INDEX(Emp_Names,MATCH($A4159,Emp_Codes,0)),"NOT FOUND"))</f>
        <v/>
      </c>
      <c r="C4159" s="14" t="n"/>
      <c r="D4159" s="15" t="n"/>
      <c r="E4159" s="15" t="n"/>
      <c r="F4159" s="15" t="n"/>
      <c r="G4159" s="15" t="n"/>
      <c r="H4159" s="16">
        <f>IF($A4159="","",$D4159+IF($E4159="",0,$E4159)+IF($F4159="",0,$F4159)-IF($G4159="",0,$G4159))</f>
        <v/>
      </c>
      <c r="I4159" s="12" t="n"/>
      <c r="J4159" s="12" t="n"/>
      <c r="K4159" s="12" t="n"/>
      <c r="L4159" s="14" t="n"/>
      <c r="M4159" s="12" t="n"/>
      <c r="N4159" s="12" t="n"/>
      <c r="O4159" s="12" t="n"/>
    </row>
    <row r="4160">
      <c r="A4160" s="12" t="n"/>
      <c r="B4160" s="13">
        <f>IF($A4160="","",IFERROR(INDEX(Emp_Names,MATCH($A4160,Emp_Codes,0)),"NOT FOUND"))</f>
        <v/>
      </c>
      <c r="C4160" s="14" t="n"/>
      <c r="D4160" s="15" t="n"/>
      <c r="E4160" s="15" t="n"/>
      <c r="F4160" s="15" t="n"/>
      <c r="G4160" s="15" t="n"/>
      <c r="H4160" s="16">
        <f>IF($A4160="","",$D4160+IF($E4160="",0,$E4160)+IF($F4160="",0,$F4160)-IF($G4160="",0,$G4160))</f>
        <v/>
      </c>
      <c r="I4160" s="12" t="n"/>
      <c r="J4160" s="12" t="n"/>
      <c r="K4160" s="12" t="n"/>
      <c r="L4160" s="14" t="n"/>
      <c r="M4160" s="12" t="n"/>
      <c r="N4160" s="12" t="n"/>
      <c r="O4160" s="12" t="n"/>
    </row>
    <row r="4161">
      <c r="A4161" s="12" t="n"/>
      <c r="B4161" s="13">
        <f>IF($A4161="","",IFERROR(INDEX(Emp_Names,MATCH($A4161,Emp_Codes,0)),"NOT FOUND"))</f>
        <v/>
      </c>
      <c r="C4161" s="14" t="n"/>
      <c r="D4161" s="15" t="n"/>
      <c r="E4161" s="15" t="n"/>
      <c r="F4161" s="15" t="n"/>
      <c r="G4161" s="15" t="n"/>
      <c r="H4161" s="16">
        <f>IF($A4161="","",$D4161+IF($E4161="",0,$E4161)+IF($F4161="",0,$F4161)-IF($G4161="",0,$G4161))</f>
        <v/>
      </c>
      <c r="I4161" s="12" t="n"/>
      <c r="J4161" s="12" t="n"/>
      <c r="K4161" s="12" t="n"/>
      <c r="L4161" s="14" t="n"/>
      <c r="M4161" s="12" t="n"/>
      <c r="N4161" s="12" t="n"/>
      <c r="O4161" s="12" t="n"/>
    </row>
    <row r="4162">
      <c r="A4162" s="12" t="n"/>
      <c r="B4162" s="13">
        <f>IF($A4162="","",IFERROR(INDEX(Emp_Names,MATCH($A4162,Emp_Codes,0)),"NOT FOUND"))</f>
        <v/>
      </c>
      <c r="C4162" s="14" t="n"/>
      <c r="D4162" s="15" t="n"/>
      <c r="E4162" s="15" t="n"/>
      <c r="F4162" s="15" t="n"/>
      <c r="G4162" s="15" t="n"/>
      <c r="H4162" s="16">
        <f>IF($A4162="","",$D4162+IF($E4162="",0,$E4162)+IF($F4162="",0,$F4162)-IF($G4162="",0,$G4162))</f>
        <v/>
      </c>
      <c r="I4162" s="12" t="n"/>
      <c r="J4162" s="12" t="n"/>
      <c r="K4162" s="12" t="n"/>
      <c r="L4162" s="14" t="n"/>
      <c r="M4162" s="12" t="n"/>
      <c r="N4162" s="12" t="n"/>
      <c r="O4162" s="12" t="n"/>
    </row>
    <row r="4163">
      <c r="A4163" s="12" t="n"/>
      <c r="B4163" s="13">
        <f>IF($A4163="","",IFERROR(INDEX(Emp_Names,MATCH($A4163,Emp_Codes,0)),"NOT FOUND"))</f>
        <v/>
      </c>
      <c r="C4163" s="14" t="n"/>
      <c r="D4163" s="15" t="n"/>
      <c r="E4163" s="15" t="n"/>
      <c r="F4163" s="15" t="n"/>
      <c r="G4163" s="15" t="n"/>
      <c r="H4163" s="16">
        <f>IF($A4163="","",$D4163+IF($E4163="",0,$E4163)+IF($F4163="",0,$F4163)-IF($G4163="",0,$G4163))</f>
        <v/>
      </c>
      <c r="I4163" s="12" t="n"/>
      <c r="J4163" s="12" t="n"/>
      <c r="K4163" s="12" t="n"/>
      <c r="L4163" s="14" t="n"/>
      <c r="M4163" s="12" t="n"/>
      <c r="N4163" s="12" t="n"/>
      <c r="O4163" s="12" t="n"/>
    </row>
    <row r="4164">
      <c r="A4164" s="12" t="n"/>
      <c r="B4164" s="13">
        <f>IF($A4164="","",IFERROR(INDEX(Emp_Names,MATCH($A4164,Emp_Codes,0)),"NOT FOUND"))</f>
        <v/>
      </c>
      <c r="C4164" s="14" t="n"/>
      <c r="D4164" s="15" t="n"/>
      <c r="E4164" s="15" t="n"/>
      <c r="F4164" s="15" t="n"/>
      <c r="G4164" s="15" t="n"/>
      <c r="H4164" s="16">
        <f>IF($A4164="","",$D4164+IF($E4164="",0,$E4164)+IF($F4164="",0,$F4164)-IF($G4164="",0,$G4164))</f>
        <v/>
      </c>
      <c r="I4164" s="12" t="n"/>
      <c r="J4164" s="12" t="n"/>
      <c r="K4164" s="12" t="n"/>
      <c r="L4164" s="14" t="n"/>
      <c r="M4164" s="12" t="n"/>
      <c r="N4164" s="12" t="n"/>
      <c r="O4164" s="12" t="n"/>
    </row>
    <row r="4165">
      <c r="A4165" s="12" t="n"/>
      <c r="B4165" s="13">
        <f>IF($A4165="","",IFERROR(INDEX(Emp_Names,MATCH($A4165,Emp_Codes,0)),"NOT FOUND"))</f>
        <v/>
      </c>
      <c r="C4165" s="14" t="n"/>
      <c r="D4165" s="15" t="n"/>
      <c r="E4165" s="15" t="n"/>
      <c r="F4165" s="15" t="n"/>
      <c r="G4165" s="15" t="n"/>
      <c r="H4165" s="16">
        <f>IF($A4165="","",$D4165+IF($E4165="",0,$E4165)+IF($F4165="",0,$F4165)-IF($G4165="",0,$G4165))</f>
        <v/>
      </c>
      <c r="I4165" s="12" t="n"/>
      <c r="J4165" s="12" t="n"/>
      <c r="K4165" s="12" t="n"/>
      <c r="L4165" s="14" t="n"/>
      <c r="M4165" s="12" t="n"/>
      <c r="N4165" s="12" t="n"/>
      <c r="O4165" s="12" t="n"/>
    </row>
    <row r="4166">
      <c r="A4166" s="12" t="n"/>
      <c r="B4166" s="13">
        <f>IF($A4166="","",IFERROR(INDEX(Emp_Names,MATCH($A4166,Emp_Codes,0)),"NOT FOUND"))</f>
        <v/>
      </c>
      <c r="C4166" s="14" t="n"/>
      <c r="D4166" s="15" t="n"/>
      <c r="E4166" s="15" t="n"/>
      <c r="F4166" s="15" t="n"/>
      <c r="G4166" s="15" t="n"/>
      <c r="H4166" s="16">
        <f>IF($A4166="","",$D4166+IF($E4166="",0,$E4166)+IF($F4166="",0,$F4166)-IF($G4166="",0,$G4166))</f>
        <v/>
      </c>
      <c r="I4166" s="12" t="n"/>
      <c r="J4166" s="12" t="n"/>
      <c r="K4166" s="12" t="n"/>
      <c r="L4166" s="14" t="n"/>
      <c r="M4166" s="12" t="n"/>
      <c r="N4166" s="12" t="n"/>
      <c r="O4166" s="12" t="n"/>
    </row>
    <row r="4167">
      <c r="A4167" s="12" t="n"/>
      <c r="B4167" s="13">
        <f>IF($A4167="","",IFERROR(INDEX(Emp_Names,MATCH($A4167,Emp_Codes,0)),"NOT FOUND"))</f>
        <v/>
      </c>
      <c r="C4167" s="14" t="n"/>
      <c r="D4167" s="15" t="n"/>
      <c r="E4167" s="15" t="n"/>
      <c r="F4167" s="15" t="n"/>
      <c r="G4167" s="15" t="n"/>
      <c r="H4167" s="16">
        <f>IF($A4167="","",$D4167+IF($E4167="",0,$E4167)+IF($F4167="",0,$F4167)-IF($G4167="",0,$G4167))</f>
        <v/>
      </c>
      <c r="I4167" s="12" t="n"/>
      <c r="J4167" s="12" t="n"/>
      <c r="K4167" s="12" t="n"/>
      <c r="L4167" s="14" t="n"/>
      <c r="M4167" s="12" t="n"/>
      <c r="N4167" s="12" t="n"/>
      <c r="O4167" s="12" t="n"/>
    </row>
    <row r="4168">
      <c r="A4168" s="12" t="n"/>
      <c r="B4168" s="13">
        <f>IF($A4168="","",IFERROR(INDEX(Emp_Names,MATCH($A4168,Emp_Codes,0)),"NOT FOUND"))</f>
        <v/>
      </c>
      <c r="C4168" s="14" t="n"/>
      <c r="D4168" s="15" t="n"/>
      <c r="E4168" s="15" t="n"/>
      <c r="F4168" s="15" t="n"/>
      <c r="G4168" s="15" t="n"/>
      <c r="H4168" s="16">
        <f>IF($A4168="","",$D4168+IF($E4168="",0,$E4168)+IF($F4168="",0,$F4168)-IF($G4168="",0,$G4168))</f>
        <v/>
      </c>
      <c r="I4168" s="12" t="n"/>
      <c r="J4168" s="12" t="n"/>
      <c r="K4168" s="12" t="n"/>
      <c r="L4168" s="14" t="n"/>
      <c r="M4168" s="12" t="n"/>
      <c r="N4168" s="12" t="n"/>
      <c r="O4168" s="12" t="n"/>
    </row>
    <row r="4169">
      <c r="A4169" s="12" t="n"/>
      <c r="B4169" s="13">
        <f>IF($A4169="","",IFERROR(INDEX(Emp_Names,MATCH($A4169,Emp_Codes,0)),"NOT FOUND"))</f>
        <v/>
      </c>
      <c r="C4169" s="14" t="n"/>
      <c r="D4169" s="15" t="n"/>
      <c r="E4169" s="15" t="n"/>
      <c r="F4169" s="15" t="n"/>
      <c r="G4169" s="15" t="n"/>
      <c r="H4169" s="16">
        <f>IF($A4169="","",$D4169+IF($E4169="",0,$E4169)+IF($F4169="",0,$F4169)-IF($G4169="",0,$G4169))</f>
        <v/>
      </c>
      <c r="I4169" s="12" t="n"/>
      <c r="J4169" s="12" t="n"/>
      <c r="K4169" s="12" t="n"/>
      <c r="L4169" s="14" t="n"/>
      <c r="M4169" s="12" t="n"/>
      <c r="N4169" s="12" t="n"/>
      <c r="O4169" s="12" t="n"/>
    </row>
    <row r="4170">
      <c r="A4170" s="12" t="n"/>
      <c r="B4170" s="13">
        <f>IF($A4170="","",IFERROR(INDEX(Emp_Names,MATCH($A4170,Emp_Codes,0)),"NOT FOUND"))</f>
        <v/>
      </c>
      <c r="C4170" s="14" t="n"/>
      <c r="D4170" s="15" t="n"/>
      <c r="E4170" s="15" t="n"/>
      <c r="F4170" s="15" t="n"/>
      <c r="G4170" s="15" t="n"/>
      <c r="H4170" s="16">
        <f>IF($A4170="","",$D4170+IF($E4170="",0,$E4170)+IF($F4170="",0,$F4170)-IF($G4170="",0,$G4170))</f>
        <v/>
      </c>
      <c r="I4170" s="12" t="n"/>
      <c r="J4170" s="12" t="n"/>
      <c r="K4170" s="12" t="n"/>
      <c r="L4170" s="14" t="n"/>
      <c r="M4170" s="12" t="n"/>
      <c r="N4170" s="12" t="n"/>
      <c r="O4170" s="12" t="n"/>
    </row>
    <row r="4171">
      <c r="A4171" s="12" t="n"/>
      <c r="B4171" s="13">
        <f>IF($A4171="","",IFERROR(INDEX(Emp_Names,MATCH($A4171,Emp_Codes,0)),"NOT FOUND"))</f>
        <v/>
      </c>
      <c r="C4171" s="14" t="n"/>
      <c r="D4171" s="15" t="n"/>
      <c r="E4171" s="15" t="n"/>
      <c r="F4171" s="15" t="n"/>
      <c r="G4171" s="15" t="n"/>
      <c r="H4171" s="16">
        <f>IF($A4171="","",$D4171+IF($E4171="",0,$E4171)+IF($F4171="",0,$F4171)-IF($G4171="",0,$G4171))</f>
        <v/>
      </c>
      <c r="I4171" s="12" t="n"/>
      <c r="J4171" s="12" t="n"/>
      <c r="K4171" s="12" t="n"/>
      <c r="L4171" s="14" t="n"/>
      <c r="M4171" s="12" t="n"/>
      <c r="N4171" s="12" t="n"/>
      <c r="O4171" s="12" t="n"/>
    </row>
    <row r="4172">
      <c r="A4172" s="12" t="n"/>
      <c r="B4172" s="13">
        <f>IF($A4172="","",IFERROR(INDEX(Emp_Names,MATCH($A4172,Emp_Codes,0)),"NOT FOUND"))</f>
        <v/>
      </c>
      <c r="C4172" s="14" t="n"/>
      <c r="D4172" s="15" t="n"/>
      <c r="E4172" s="15" t="n"/>
      <c r="F4172" s="15" t="n"/>
      <c r="G4172" s="15" t="n"/>
      <c r="H4172" s="16">
        <f>IF($A4172="","",$D4172+IF($E4172="",0,$E4172)+IF($F4172="",0,$F4172)-IF($G4172="",0,$G4172))</f>
        <v/>
      </c>
      <c r="I4172" s="12" t="n"/>
      <c r="J4172" s="12" t="n"/>
      <c r="K4172" s="12" t="n"/>
      <c r="L4172" s="14" t="n"/>
      <c r="M4172" s="12" t="n"/>
      <c r="N4172" s="12" t="n"/>
      <c r="O4172" s="12" t="n"/>
    </row>
    <row r="4173">
      <c r="A4173" s="12" t="n"/>
      <c r="B4173" s="13">
        <f>IF($A4173="","",IFERROR(INDEX(Emp_Names,MATCH($A4173,Emp_Codes,0)),"NOT FOUND"))</f>
        <v/>
      </c>
      <c r="C4173" s="14" t="n"/>
      <c r="D4173" s="15" t="n"/>
      <c r="E4173" s="15" t="n"/>
      <c r="F4173" s="15" t="n"/>
      <c r="G4173" s="15" t="n"/>
      <c r="H4173" s="16">
        <f>IF($A4173="","",$D4173+IF($E4173="",0,$E4173)+IF($F4173="",0,$F4173)-IF($G4173="",0,$G4173))</f>
        <v/>
      </c>
      <c r="I4173" s="12" t="n"/>
      <c r="J4173" s="12" t="n"/>
      <c r="K4173" s="12" t="n"/>
      <c r="L4173" s="14" t="n"/>
      <c r="M4173" s="12" t="n"/>
      <c r="N4173" s="12" t="n"/>
      <c r="O4173" s="12" t="n"/>
    </row>
    <row r="4174">
      <c r="A4174" s="12" t="n"/>
      <c r="B4174" s="13">
        <f>IF($A4174="","",IFERROR(INDEX(Emp_Names,MATCH($A4174,Emp_Codes,0)),"NOT FOUND"))</f>
        <v/>
      </c>
      <c r="C4174" s="14" t="n"/>
      <c r="D4174" s="15" t="n"/>
      <c r="E4174" s="15" t="n"/>
      <c r="F4174" s="15" t="n"/>
      <c r="G4174" s="15" t="n"/>
      <c r="H4174" s="16">
        <f>IF($A4174="","",$D4174+IF($E4174="",0,$E4174)+IF($F4174="",0,$F4174)-IF($G4174="",0,$G4174))</f>
        <v/>
      </c>
      <c r="I4174" s="12" t="n"/>
      <c r="J4174" s="12" t="n"/>
      <c r="K4174" s="12" t="n"/>
      <c r="L4174" s="14" t="n"/>
      <c r="M4174" s="12" t="n"/>
      <c r="N4174" s="12" t="n"/>
      <c r="O4174" s="12" t="n"/>
    </row>
    <row r="4175">
      <c r="A4175" s="12" t="n"/>
      <c r="B4175" s="13">
        <f>IF($A4175="","",IFERROR(INDEX(Emp_Names,MATCH($A4175,Emp_Codes,0)),"NOT FOUND"))</f>
        <v/>
      </c>
      <c r="C4175" s="14" t="n"/>
      <c r="D4175" s="15" t="n"/>
      <c r="E4175" s="15" t="n"/>
      <c r="F4175" s="15" t="n"/>
      <c r="G4175" s="15" t="n"/>
      <c r="H4175" s="16">
        <f>IF($A4175="","",$D4175+IF($E4175="",0,$E4175)+IF($F4175="",0,$F4175)-IF($G4175="",0,$G4175))</f>
        <v/>
      </c>
      <c r="I4175" s="12" t="n"/>
      <c r="J4175" s="12" t="n"/>
      <c r="K4175" s="12" t="n"/>
      <c r="L4175" s="14" t="n"/>
      <c r="M4175" s="12" t="n"/>
      <c r="N4175" s="12" t="n"/>
      <c r="O4175" s="12" t="n"/>
    </row>
    <row r="4176">
      <c r="A4176" s="12" t="n"/>
      <c r="B4176" s="13">
        <f>IF($A4176="","",IFERROR(INDEX(Emp_Names,MATCH($A4176,Emp_Codes,0)),"NOT FOUND"))</f>
        <v/>
      </c>
      <c r="C4176" s="14" t="n"/>
      <c r="D4176" s="15" t="n"/>
      <c r="E4176" s="15" t="n"/>
      <c r="F4176" s="15" t="n"/>
      <c r="G4176" s="15" t="n"/>
      <c r="H4176" s="16">
        <f>IF($A4176="","",$D4176+IF($E4176="",0,$E4176)+IF($F4176="",0,$F4176)-IF($G4176="",0,$G4176))</f>
        <v/>
      </c>
      <c r="I4176" s="12" t="n"/>
      <c r="J4176" s="12" t="n"/>
      <c r="K4176" s="12" t="n"/>
      <c r="L4176" s="14" t="n"/>
      <c r="M4176" s="12" t="n"/>
      <c r="N4176" s="12" t="n"/>
      <c r="O4176" s="12" t="n"/>
    </row>
    <row r="4177">
      <c r="A4177" s="12" t="n"/>
      <c r="B4177" s="13">
        <f>IF($A4177="","",IFERROR(INDEX(Emp_Names,MATCH($A4177,Emp_Codes,0)),"NOT FOUND"))</f>
        <v/>
      </c>
      <c r="C4177" s="14" t="n"/>
      <c r="D4177" s="15" t="n"/>
      <c r="E4177" s="15" t="n"/>
      <c r="F4177" s="15" t="n"/>
      <c r="G4177" s="15" t="n"/>
      <c r="H4177" s="16">
        <f>IF($A4177="","",$D4177+IF($E4177="",0,$E4177)+IF($F4177="",0,$F4177)-IF($G4177="",0,$G4177))</f>
        <v/>
      </c>
      <c r="I4177" s="12" t="n"/>
      <c r="J4177" s="12" t="n"/>
      <c r="K4177" s="12" t="n"/>
      <c r="L4177" s="14" t="n"/>
      <c r="M4177" s="12" t="n"/>
      <c r="N4177" s="12" t="n"/>
      <c r="O4177" s="12" t="n"/>
    </row>
    <row r="4178">
      <c r="A4178" s="12" t="n"/>
      <c r="B4178" s="13">
        <f>IF($A4178="","",IFERROR(INDEX(Emp_Names,MATCH($A4178,Emp_Codes,0)),"NOT FOUND"))</f>
        <v/>
      </c>
      <c r="C4178" s="14" t="n"/>
      <c r="D4178" s="15" t="n"/>
      <c r="E4178" s="15" t="n"/>
      <c r="F4178" s="15" t="n"/>
      <c r="G4178" s="15" t="n"/>
      <c r="H4178" s="16">
        <f>IF($A4178="","",$D4178+IF($E4178="",0,$E4178)+IF($F4178="",0,$F4178)-IF($G4178="",0,$G4178))</f>
        <v/>
      </c>
      <c r="I4178" s="12" t="n"/>
      <c r="J4178" s="12" t="n"/>
      <c r="K4178" s="12" t="n"/>
      <c r="L4178" s="14" t="n"/>
      <c r="M4178" s="12" t="n"/>
      <c r="N4178" s="12" t="n"/>
      <c r="O4178" s="12" t="n"/>
    </row>
    <row r="4179">
      <c r="A4179" s="12" t="n"/>
      <c r="B4179" s="13">
        <f>IF($A4179="","",IFERROR(INDEX(Emp_Names,MATCH($A4179,Emp_Codes,0)),"NOT FOUND"))</f>
        <v/>
      </c>
      <c r="C4179" s="14" t="n"/>
      <c r="D4179" s="15" t="n"/>
      <c r="E4179" s="15" t="n"/>
      <c r="F4179" s="15" t="n"/>
      <c r="G4179" s="15" t="n"/>
      <c r="H4179" s="16">
        <f>IF($A4179="","",$D4179+IF($E4179="",0,$E4179)+IF($F4179="",0,$F4179)-IF($G4179="",0,$G4179))</f>
        <v/>
      </c>
      <c r="I4179" s="12" t="n"/>
      <c r="J4179" s="12" t="n"/>
      <c r="K4179" s="12" t="n"/>
      <c r="L4179" s="14" t="n"/>
      <c r="M4179" s="12" t="n"/>
      <c r="N4179" s="12" t="n"/>
      <c r="O4179" s="12" t="n"/>
    </row>
    <row r="4180">
      <c r="A4180" s="12" t="n"/>
      <c r="B4180" s="13">
        <f>IF($A4180="","",IFERROR(INDEX(Emp_Names,MATCH($A4180,Emp_Codes,0)),"NOT FOUND"))</f>
        <v/>
      </c>
      <c r="C4180" s="14" t="n"/>
      <c r="D4180" s="15" t="n"/>
      <c r="E4180" s="15" t="n"/>
      <c r="F4180" s="15" t="n"/>
      <c r="G4180" s="15" t="n"/>
      <c r="H4180" s="16">
        <f>IF($A4180="","",$D4180+IF($E4180="",0,$E4180)+IF($F4180="",0,$F4180)-IF($G4180="",0,$G4180))</f>
        <v/>
      </c>
      <c r="I4180" s="12" t="n"/>
      <c r="J4180" s="12" t="n"/>
      <c r="K4180" s="12" t="n"/>
      <c r="L4180" s="14" t="n"/>
      <c r="M4180" s="12" t="n"/>
      <c r="N4180" s="12" t="n"/>
      <c r="O4180" s="12" t="n"/>
    </row>
    <row r="4181">
      <c r="A4181" s="12" t="n"/>
      <c r="B4181" s="13">
        <f>IF($A4181="","",IFERROR(INDEX(Emp_Names,MATCH($A4181,Emp_Codes,0)),"NOT FOUND"))</f>
        <v/>
      </c>
      <c r="C4181" s="14" t="n"/>
      <c r="D4181" s="15" t="n"/>
      <c r="E4181" s="15" t="n"/>
      <c r="F4181" s="15" t="n"/>
      <c r="G4181" s="15" t="n"/>
      <c r="H4181" s="16">
        <f>IF($A4181="","",$D4181+IF($E4181="",0,$E4181)+IF($F4181="",0,$F4181)-IF($G4181="",0,$G4181))</f>
        <v/>
      </c>
      <c r="I4181" s="12" t="n"/>
      <c r="J4181" s="12" t="n"/>
      <c r="K4181" s="12" t="n"/>
      <c r="L4181" s="14" t="n"/>
      <c r="M4181" s="12" t="n"/>
      <c r="N4181" s="12" t="n"/>
      <c r="O4181" s="12" t="n"/>
    </row>
    <row r="4182">
      <c r="A4182" s="12" t="n"/>
      <c r="B4182" s="13">
        <f>IF($A4182="","",IFERROR(INDEX(Emp_Names,MATCH($A4182,Emp_Codes,0)),"NOT FOUND"))</f>
        <v/>
      </c>
      <c r="C4182" s="14" t="n"/>
      <c r="D4182" s="15" t="n"/>
      <c r="E4182" s="15" t="n"/>
      <c r="F4182" s="15" t="n"/>
      <c r="G4182" s="15" t="n"/>
      <c r="H4182" s="16">
        <f>IF($A4182="","",$D4182+IF($E4182="",0,$E4182)+IF($F4182="",0,$F4182)-IF($G4182="",0,$G4182))</f>
        <v/>
      </c>
      <c r="I4182" s="12" t="n"/>
      <c r="J4182" s="12" t="n"/>
      <c r="K4182" s="12" t="n"/>
      <c r="L4182" s="14" t="n"/>
      <c r="M4182" s="12" t="n"/>
      <c r="N4182" s="12" t="n"/>
      <c r="O4182" s="12" t="n"/>
    </row>
    <row r="4183">
      <c r="A4183" s="12" t="n"/>
      <c r="B4183" s="13">
        <f>IF($A4183="","",IFERROR(INDEX(Emp_Names,MATCH($A4183,Emp_Codes,0)),"NOT FOUND"))</f>
        <v/>
      </c>
      <c r="C4183" s="14" t="n"/>
      <c r="D4183" s="15" t="n"/>
      <c r="E4183" s="15" t="n"/>
      <c r="F4183" s="15" t="n"/>
      <c r="G4183" s="15" t="n"/>
      <c r="H4183" s="16">
        <f>IF($A4183="","",$D4183+IF($E4183="",0,$E4183)+IF($F4183="",0,$F4183)-IF($G4183="",0,$G4183))</f>
        <v/>
      </c>
      <c r="I4183" s="12" t="n"/>
      <c r="J4183" s="12" t="n"/>
      <c r="K4183" s="12" t="n"/>
      <c r="L4183" s="14" t="n"/>
      <c r="M4183" s="12" t="n"/>
      <c r="N4183" s="12" t="n"/>
      <c r="O4183" s="12" t="n"/>
    </row>
    <row r="4184">
      <c r="A4184" s="12" t="n"/>
      <c r="B4184" s="13">
        <f>IF($A4184="","",IFERROR(INDEX(Emp_Names,MATCH($A4184,Emp_Codes,0)),"NOT FOUND"))</f>
        <v/>
      </c>
      <c r="C4184" s="14" t="n"/>
      <c r="D4184" s="15" t="n"/>
      <c r="E4184" s="15" t="n"/>
      <c r="F4184" s="15" t="n"/>
      <c r="G4184" s="15" t="n"/>
      <c r="H4184" s="16">
        <f>IF($A4184="","",$D4184+IF($E4184="",0,$E4184)+IF($F4184="",0,$F4184)-IF($G4184="",0,$G4184))</f>
        <v/>
      </c>
      <c r="I4184" s="12" t="n"/>
      <c r="J4184" s="12" t="n"/>
      <c r="K4184" s="12" t="n"/>
      <c r="L4184" s="14" t="n"/>
      <c r="M4184" s="12" t="n"/>
      <c r="N4184" s="12" t="n"/>
      <c r="O4184" s="12" t="n"/>
    </row>
    <row r="4185">
      <c r="A4185" s="12" t="n"/>
      <c r="B4185" s="13">
        <f>IF($A4185="","",IFERROR(INDEX(Emp_Names,MATCH($A4185,Emp_Codes,0)),"NOT FOUND"))</f>
        <v/>
      </c>
      <c r="C4185" s="14" t="n"/>
      <c r="D4185" s="15" t="n"/>
      <c r="E4185" s="15" t="n"/>
      <c r="F4185" s="15" t="n"/>
      <c r="G4185" s="15" t="n"/>
      <c r="H4185" s="16">
        <f>IF($A4185="","",$D4185+IF($E4185="",0,$E4185)+IF($F4185="",0,$F4185)-IF($G4185="",0,$G4185))</f>
        <v/>
      </c>
      <c r="I4185" s="12" t="n"/>
      <c r="J4185" s="12" t="n"/>
      <c r="K4185" s="12" t="n"/>
      <c r="L4185" s="14" t="n"/>
      <c r="M4185" s="12" t="n"/>
      <c r="N4185" s="12" t="n"/>
      <c r="O4185" s="12" t="n"/>
    </row>
    <row r="4186">
      <c r="A4186" s="12" t="n"/>
      <c r="B4186" s="13">
        <f>IF($A4186="","",IFERROR(INDEX(Emp_Names,MATCH($A4186,Emp_Codes,0)),"NOT FOUND"))</f>
        <v/>
      </c>
      <c r="C4186" s="14" t="n"/>
      <c r="D4186" s="15" t="n"/>
      <c r="E4186" s="15" t="n"/>
      <c r="F4186" s="15" t="n"/>
      <c r="G4186" s="15" t="n"/>
      <c r="H4186" s="16">
        <f>IF($A4186="","",$D4186+IF($E4186="",0,$E4186)+IF($F4186="",0,$F4186)-IF($G4186="",0,$G4186))</f>
        <v/>
      </c>
      <c r="I4186" s="12" t="n"/>
      <c r="J4186" s="12" t="n"/>
      <c r="K4186" s="12" t="n"/>
      <c r="L4186" s="14" t="n"/>
      <c r="M4186" s="12" t="n"/>
      <c r="N4186" s="12" t="n"/>
      <c r="O4186" s="12" t="n"/>
    </row>
    <row r="4187">
      <c r="A4187" s="12" t="n"/>
      <c r="B4187" s="13">
        <f>IF($A4187="","",IFERROR(INDEX(Emp_Names,MATCH($A4187,Emp_Codes,0)),"NOT FOUND"))</f>
        <v/>
      </c>
      <c r="C4187" s="14" t="n"/>
      <c r="D4187" s="15" t="n"/>
      <c r="E4187" s="15" t="n"/>
      <c r="F4187" s="15" t="n"/>
      <c r="G4187" s="15" t="n"/>
      <c r="H4187" s="16">
        <f>IF($A4187="","",$D4187+IF($E4187="",0,$E4187)+IF($F4187="",0,$F4187)-IF($G4187="",0,$G4187))</f>
        <v/>
      </c>
      <c r="I4187" s="12" t="n"/>
      <c r="J4187" s="12" t="n"/>
      <c r="K4187" s="12" t="n"/>
      <c r="L4187" s="14" t="n"/>
      <c r="M4187" s="12" t="n"/>
      <c r="N4187" s="12" t="n"/>
      <c r="O4187" s="12" t="n"/>
    </row>
    <row r="4188">
      <c r="A4188" s="12" t="n"/>
      <c r="B4188" s="13">
        <f>IF($A4188="","",IFERROR(INDEX(Emp_Names,MATCH($A4188,Emp_Codes,0)),"NOT FOUND"))</f>
        <v/>
      </c>
      <c r="C4188" s="14" t="n"/>
      <c r="D4188" s="15" t="n"/>
      <c r="E4188" s="15" t="n"/>
      <c r="F4188" s="15" t="n"/>
      <c r="G4188" s="15" t="n"/>
      <c r="H4188" s="16">
        <f>IF($A4188="","",$D4188+IF($E4188="",0,$E4188)+IF($F4188="",0,$F4188)-IF($G4188="",0,$G4188))</f>
        <v/>
      </c>
      <c r="I4188" s="12" t="n"/>
      <c r="J4188" s="12" t="n"/>
      <c r="K4188" s="12" t="n"/>
      <c r="L4188" s="14" t="n"/>
      <c r="M4188" s="12" t="n"/>
      <c r="N4188" s="12" t="n"/>
      <c r="O4188" s="12" t="n"/>
    </row>
    <row r="4189">
      <c r="A4189" s="12" t="n"/>
      <c r="B4189" s="13">
        <f>IF($A4189="","",IFERROR(INDEX(Emp_Names,MATCH($A4189,Emp_Codes,0)),"NOT FOUND"))</f>
        <v/>
      </c>
      <c r="C4189" s="14" t="n"/>
      <c r="D4189" s="15" t="n"/>
      <c r="E4189" s="15" t="n"/>
      <c r="F4189" s="15" t="n"/>
      <c r="G4189" s="15" t="n"/>
      <c r="H4189" s="16">
        <f>IF($A4189="","",$D4189+IF($E4189="",0,$E4189)+IF($F4189="",0,$F4189)-IF($G4189="",0,$G4189))</f>
        <v/>
      </c>
      <c r="I4189" s="12" t="n"/>
      <c r="J4189" s="12" t="n"/>
      <c r="K4189" s="12" t="n"/>
      <c r="L4189" s="14" t="n"/>
      <c r="M4189" s="12" t="n"/>
      <c r="N4189" s="12" t="n"/>
      <c r="O4189" s="12" t="n"/>
    </row>
    <row r="4190">
      <c r="A4190" s="12" t="n"/>
      <c r="B4190" s="13">
        <f>IF($A4190="","",IFERROR(INDEX(Emp_Names,MATCH($A4190,Emp_Codes,0)),"NOT FOUND"))</f>
        <v/>
      </c>
      <c r="C4190" s="14" t="n"/>
      <c r="D4190" s="15" t="n"/>
      <c r="E4190" s="15" t="n"/>
      <c r="F4190" s="15" t="n"/>
      <c r="G4190" s="15" t="n"/>
      <c r="H4190" s="16">
        <f>IF($A4190="","",$D4190+IF($E4190="",0,$E4190)+IF($F4190="",0,$F4190)-IF($G4190="",0,$G4190))</f>
        <v/>
      </c>
      <c r="I4190" s="12" t="n"/>
      <c r="J4190" s="12" t="n"/>
      <c r="K4190" s="12" t="n"/>
      <c r="L4190" s="14" t="n"/>
      <c r="M4190" s="12" t="n"/>
      <c r="N4190" s="12" t="n"/>
      <c r="O4190" s="12" t="n"/>
    </row>
    <row r="4191">
      <c r="A4191" s="12" t="n"/>
      <c r="B4191" s="13">
        <f>IF($A4191="","",IFERROR(INDEX(Emp_Names,MATCH($A4191,Emp_Codes,0)),"NOT FOUND"))</f>
        <v/>
      </c>
      <c r="C4191" s="14" t="n"/>
      <c r="D4191" s="15" t="n"/>
      <c r="E4191" s="15" t="n"/>
      <c r="F4191" s="15" t="n"/>
      <c r="G4191" s="15" t="n"/>
      <c r="H4191" s="16">
        <f>IF($A4191="","",$D4191+IF($E4191="",0,$E4191)+IF($F4191="",0,$F4191)-IF($G4191="",0,$G4191))</f>
        <v/>
      </c>
      <c r="I4191" s="12" t="n"/>
      <c r="J4191" s="12" t="n"/>
      <c r="K4191" s="12" t="n"/>
      <c r="L4191" s="14" t="n"/>
      <c r="M4191" s="12" t="n"/>
      <c r="N4191" s="12" t="n"/>
      <c r="O4191" s="12" t="n"/>
    </row>
    <row r="4192">
      <c r="A4192" s="12" t="n"/>
      <c r="B4192" s="13">
        <f>IF($A4192="","",IFERROR(INDEX(Emp_Names,MATCH($A4192,Emp_Codes,0)),"NOT FOUND"))</f>
        <v/>
      </c>
      <c r="C4192" s="14" t="n"/>
      <c r="D4192" s="15" t="n"/>
      <c r="E4192" s="15" t="n"/>
      <c r="F4192" s="15" t="n"/>
      <c r="G4192" s="15" t="n"/>
      <c r="H4192" s="16">
        <f>IF($A4192="","",$D4192+IF($E4192="",0,$E4192)+IF($F4192="",0,$F4192)-IF($G4192="",0,$G4192))</f>
        <v/>
      </c>
      <c r="I4192" s="12" t="n"/>
      <c r="J4192" s="12" t="n"/>
      <c r="K4192" s="12" t="n"/>
      <c r="L4192" s="14" t="n"/>
      <c r="M4192" s="12" t="n"/>
      <c r="N4192" s="12" t="n"/>
      <c r="O4192" s="12" t="n"/>
    </row>
    <row r="4193">
      <c r="A4193" s="12" t="n"/>
      <c r="B4193" s="13">
        <f>IF($A4193="","",IFERROR(INDEX(Emp_Names,MATCH($A4193,Emp_Codes,0)),"NOT FOUND"))</f>
        <v/>
      </c>
      <c r="C4193" s="14" t="n"/>
      <c r="D4193" s="15" t="n"/>
      <c r="E4193" s="15" t="n"/>
      <c r="F4193" s="15" t="n"/>
      <c r="G4193" s="15" t="n"/>
      <c r="H4193" s="16">
        <f>IF($A4193="","",$D4193+IF($E4193="",0,$E4193)+IF($F4193="",0,$F4193)-IF($G4193="",0,$G4193))</f>
        <v/>
      </c>
      <c r="I4193" s="12" t="n"/>
      <c r="J4193" s="12" t="n"/>
      <c r="K4193" s="12" t="n"/>
      <c r="L4193" s="14" t="n"/>
      <c r="M4193" s="12" t="n"/>
      <c r="N4193" s="12" t="n"/>
      <c r="O4193" s="12" t="n"/>
    </row>
    <row r="4194">
      <c r="A4194" s="12" t="n"/>
      <c r="B4194" s="13">
        <f>IF($A4194="","",IFERROR(INDEX(Emp_Names,MATCH($A4194,Emp_Codes,0)),"NOT FOUND"))</f>
        <v/>
      </c>
      <c r="C4194" s="14" t="n"/>
      <c r="D4194" s="15" t="n"/>
      <c r="E4194" s="15" t="n"/>
      <c r="F4194" s="15" t="n"/>
      <c r="G4194" s="15" t="n"/>
      <c r="H4194" s="16">
        <f>IF($A4194="","",$D4194+IF($E4194="",0,$E4194)+IF($F4194="",0,$F4194)-IF($G4194="",0,$G4194))</f>
        <v/>
      </c>
      <c r="I4194" s="12" t="n"/>
      <c r="J4194" s="12" t="n"/>
      <c r="K4194" s="12" t="n"/>
      <c r="L4194" s="14" t="n"/>
      <c r="M4194" s="12" t="n"/>
      <c r="N4194" s="12" t="n"/>
      <c r="O4194" s="12" t="n"/>
    </row>
    <row r="4195">
      <c r="A4195" s="12" t="n"/>
      <c r="B4195" s="13">
        <f>IF($A4195="","",IFERROR(INDEX(Emp_Names,MATCH($A4195,Emp_Codes,0)),"NOT FOUND"))</f>
        <v/>
      </c>
      <c r="C4195" s="14" t="n"/>
      <c r="D4195" s="15" t="n"/>
      <c r="E4195" s="15" t="n"/>
      <c r="F4195" s="15" t="n"/>
      <c r="G4195" s="15" t="n"/>
      <c r="H4195" s="16">
        <f>IF($A4195="","",$D4195+IF($E4195="",0,$E4195)+IF($F4195="",0,$F4195)-IF($G4195="",0,$G4195))</f>
        <v/>
      </c>
      <c r="I4195" s="12" t="n"/>
      <c r="J4195" s="12" t="n"/>
      <c r="K4195" s="12" t="n"/>
      <c r="L4195" s="14" t="n"/>
      <c r="M4195" s="12" t="n"/>
      <c r="N4195" s="12" t="n"/>
      <c r="O4195" s="12" t="n"/>
    </row>
    <row r="4196">
      <c r="A4196" s="12" t="n"/>
      <c r="B4196" s="13">
        <f>IF($A4196="","",IFERROR(INDEX(Emp_Names,MATCH($A4196,Emp_Codes,0)),"NOT FOUND"))</f>
        <v/>
      </c>
      <c r="C4196" s="14" t="n"/>
      <c r="D4196" s="15" t="n"/>
      <c r="E4196" s="15" t="n"/>
      <c r="F4196" s="15" t="n"/>
      <c r="G4196" s="15" t="n"/>
      <c r="H4196" s="16">
        <f>IF($A4196="","",$D4196+IF($E4196="",0,$E4196)+IF($F4196="",0,$F4196)-IF($G4196="",0,$G4196))</f>
        <v/>
      </c>
      <c r="I4196" s="12" t="n"/>
      <c r="J4196" s="12" t="n"/>
      <c r="K4196" s="12" t="n"/>
      <c r="L4196" s="14" t="n"/>
      <c r="M4196" s="12" t="n"/>
      <c r="N4196" s="12" t="n"/>
      <c r="O4196" s="12" t="n"/>
    </row>
    <row r="4197">
      <c r="A4197" s="12" t="n"/>
      <c r="B4197" s="13">
        <f>IF($A4197="","",IFERROR(INDEX(Emp_Names,MATCH($A4197,Emp_Codes,0)),"NOT FOUND"))</f>
        <v/>
      </c>
      <c r="C4197" s="14" t="n"/>
      <c r="D4197" s="15" t="n"/>
      <c r="E4197" s="15" t="n"/>
      <c r="F4197" s="15" t="n"/>
      <c r="G4197" s="15" t="n"/>
      <c r="H4197" s="16">
        <f>IF($A4197="","",$D4197+IF($E4197="",0,$E4197)+IF($F4197="",0,$F4197)-IF($G4197="",0,$G4197))</f>
        <v/>
      </c>
      <c r="I4197" s="12" t="n"/>
      <c r="J4197" s="12" t="n"/>
      <c r="K4197" s="12" t="n"/>
      <c r="L4197" s="14" t="n"/>
      <c r="M4197" s="12" t="n"/>
      <c r="N4197" s="12" t="n"/>
      <c r="O4197" s="12" t="n"/>
    </row>
    <row r="4198">
      <c r="A4198" s="12" t="n"/>
      <c r="B4198" s="13">
        <f>IF($A4198="","",IFERROR(INDEX(Emp_Names,MATCH($A4198,Emp_Codes,0)),"NOT FOUND"))</f>
        <v/>
      </c>
      <c r="C4198" s="14" t="n"/>
      <c r="D4198" s="15" t="n"/>
      <c r="E4198" s="15" t="n"/>
      <c r="F4198" s="15" t="n"/>
      <c r="G4198" s="15" t="n"/>
      <c r="H4198" s="16">
        <f>IF($A4198="","",$D4198+IF($E4198="",0,$E4198)+IF($F4198="",0,$F4198)-IF($G4198="",0,$G4198))</f>
        <v/>
      </c>
      <c r="I4198" s="12" t="n"/>
      <c r="J4198" s="12" t="n"/>
      <c r="K4198" s="12" t="n"/>
      <c r="L4198" s="14" t="n"/>
      <c r="M4198" s="12" t="n"/>
      <c r="N4198" s="12" t="n"/>
      <c r="O4198" s="12" t="n"/>
    </row>
    <row r="4199">
      <c r="A4199" s="12" t="n"/>
      <c r="B4199" s="13">
        <f>IF($A4199="","",IFERROR(INDEX(Emp_Names,MATCH($A4199,Emp_Codes,0)),"NOT FOUND"))</f>
        <v/>
      </c>
      <c r="C4199" s="14" t="n"/>
      <c r="D4199" s="15" t="n"/>
      <c r="E4199" s="15" t="n"/>
      <c r="F4199" s="15" t="n"/>
      <c r="G4199" s="15" t="n"/>
      <c r="H4199" s="16">
        <f>IF($A4199="","",$D4199+IF($E4199="",0,$E4199)+IF($F4199="",0,$F4199)-IF($G4199="",0,$G4199))</f>
        <v/>
      </c>
      <c r="I4199" s="12" t="n"/>
      <c r="J4199" s="12" t="n"/>
      <c r="K4199" s="12" t="n"/>
      <c r="L4199" s="14" t="n"/>
      <c r="M4199" s="12" t="n"/>
      <c r="N4199" s="12" t="n"/>
      <c r="O4199" s="12" t="n"/>
    </row>
    <row r="4200">
      <c r="A4200" s="12" t="n"/>
      <c r="B4200" s="13">
        <f>IF($A4200="","",IFERROR(INDEX(Emp_Names,MATCH($A4200,Emp_Codes,0)),"NOT FOUND"))</f>
        <v/>
      </c>
      <c r="C4200" s="14" t="n"/>
      <c r="D4200" s="15" t="n"/>
      <c r="E4200" s="15" t="n"/>
      <c r="F4200" s="15" t="n"/>
      <c r="G4200" s="15" t="n"/>
      <c r="H4200" s="16">
        <f>IF($A4200="","",$D4200+IF($E4200="",0,$E4200)+IF($F4200="",0,$F4200)-IF($G4200="",0,$G4200))</f>
        <v/>
      </c>
      <c r="I4200" s="12" t="n"/>
      <c r="J4200" s="12" t="n"/>
      <c r="K4200" s="12" t="n"/>
      <c r="L4200" s="14" t="n"/>
      <c r="M4200" s="12" t="n"/>
      <c r="N4200" s="12" t="n"/>
      <c r="O4200" s="12" t="n"/>
    </row>
    <row r="4201">
      <c r="A4201" s="12" t="n"/>
      <c r="B4201" s="13">
        <f>IF($A4201="","",IFERROR(INDEX(Emp_Names,MATCH($A4201,Emp_Codes,0)),"NOT FOUND"))</f>
        <v/>
      </c>
      <c r="C4201" s="14" t="n"/>
      <c r="D4201" s="15" t="n"/>
      <c r="E4201" s="15" t="n"/>
      <c r="F4201" s="15" t="n"/>
      <c r="G4201" s="15" t="n"/>
      <c r="H4201" s="16">
        <f>IF($A4201="","",$D4201+IF($E4201="",0,$E4201)+IF($F4201="",0,$F4201)-IF($G4201="",0,$G4201))</f>
        <v/>
      </c>
      <c r="I4201" s="12" t="n"/>
      <c r="J4201" s="12" t="n"/>
      <c r="K4201" s="12" t="n"/>
      <c r="L4201" s="14" t="n"/>
      <c r="M4201" s="12" t="n"/>
      <c r="N4201" s="12" t="n"/>
      <c r="O4201" s="12" t="n"/>
    </row>
    <row r="4202">
      <c r="A4202" s="12" t="n"/>
      <c r="B4202" s="13">
        <f>IF($A4202="","",IFERROR(INDEX(Emp_Names,MATCH($A4202,Emp_Codes,0)),"NOT FOUND"))</f>
        <v/>
      </c>
      <c r="C4202" s="14" t="n"/>
      <c r="D4202" s="15" t="n"/>
      <c r="E4202" s="15" t="n"/>
      <c r="F4202" s="15" t="n"/>
      <c r="G4202" s="15" t="n"/>
      <c r="H4202" s="16">
        <f>IF($A4202="","",$D4202+IF($E4202="",0,$E4202)+IF($F4202="",0,$F4202)-IF($G4202="",0,$G4202))</f>
        <v/>
      </c>
      <c r="I4202" s="12" t="n"/>
      <c r="J4202" s="12" t="n"/>
      <c r="K4202" s="12" t="n"/>
      <c r="L4202" s="14" t="n"/>
      <c r="M4202" s="12" t="n"/>
      <c r="N4202" s="12" t="n"/>
      <c r="O4202" s="12" t="n"/>
    </row>
    <row r="4203">
      <c r="A4203" s="12" t="n"/>
      <c r="B4203" s="13">
        <f>IF($A4203="","",IFERROR(INDEX(Emp_Names,MATCH($A4203,Emp_Codes,0)),"NOT FOUND"))</f>
        <v/>
      </c>
      <c r="C4203" s="14" t="n"/>
      <c r="D4203" s="15" t="n"/>
      <c r="E4203" s="15" t="n"/>
      <c r="F4203" s="15" t="n"/>
      <c r="G4203" s="15" t="n"/>
      <c r="H4203" s="16">
        <f>IF($A4203="","",$D4203+IF($E4203="",0,$E4203)+IF($F4203="",0,$F4203)-IF($G4203="",0,$G4203))</f>
        <v/>
      </c>
      <c r="I4203" s="12" t="n"/>
      <c r="J4203" s="12" t="n"/>
      <c r="K4203" s="12" t="n"/>
      <c r="L4203" s="14" t="n"/>
      <c r="M4203" s="12" t="n"/>
      <c r="N4203" s="12" t="n"/>
      <c r="O4203" s="12" t="n"/>
    </row>
    <row r="4204">
      <c r="A4204" s="12" t="n"/>
      <c r="B4204" s="13">
        <f>IF($A4204="","",IFERROR(INDEX(Emp_Names,MATCH($A4204,Emp_Codes,0)),"NOT FOUND"))</f>
        <v/>
      </c>
      <c r="C4204" s="14" t="n"/>
      <c r="D4204" s="15" t="n"/>
      <c r="E4204" s="15" t="n"/>
      <c r="F4204" s="15" t="n"/>
      <c r="G4204" s="15" t="n"/>
      <c r="H4204" s="16">
        <f>IF($A4204="","",$D4204+IF($E4204="",0,$E4204)+IF($F4204="",0,$F4204)-IF($G4204="",0,$G4204))</f>
        <v/>
      </c>
      <c r="I4204" s="12" t="n"/>
      <c r="J4204" s="12" t="n"/>
      <c r="K4204" s="12" t="n"/>
      <c r="L4204" s="14" t="n"/>
      <c r="M4204" s="12" t="n"/>
      <c r="N4204" s="12" t="n"/>
      <c r="O4204" s="12" t="n"/>
    </row>
    <row r="4205">
      <c r="A4205" s="12" t="n"/>
      <c r="B4205" s="13">
        <f>IF($A4205="","",IFERROR(INDEX(Emp_Names,MATCH($A4205,Emp_Codes,0)),"NOT FOUND"))</f>
        <v/>
      </c>
      <c r="C4205" s="14" t="n"/>
      <c r="D4205" s="15" t="n"/>
      <c r="E4205" s="15" t="n"/>
      <c r="F4205" s="15" t="n"/>
      <c r="G4205" s="15" t="n"/>
      <c r="H4205" s="16">
        <f>IF($A4205="","",$D4205+IF($E4205="",0,$E4205)+IF($F4205="",0,$F4205)-IF($G4205="",0,$G4205))</f>
        <v/>
      </c>
      <c r="I4205" s="12" t="n"/>
      <c r="J4205" s="12" t="n"/>
      <c r="K4205" s="12" t="n"/>
      <c r="L4205" s="14" t="n"/>
      <c r="M4205" s="12" t="n"/>
      <c r="N4205" s="12" t="n"/>
      <c r="O4205" s="12" t="n"/>
    </row>
    <row r="4206">
      <c r="A4206" s="12" t="n"/>
      <c r="B4206" s="13">
        <f>IF($A4206="","",IFERROR(INDEX(Emp_Names,MATCH($A4206,Emp_Codes,0)),"NOT FOUND"))</f>
        <v/>
      </c>
      <c r="C4206" s="14" t="n"/>
      <c r="D4206" s="15" t="n"/>
      <c r="E4206" s="15" t="n"/>
      <c r="F4206" s="15" t="n"/>
      <c r="G4206" s="15" t="n"/>
      <c r="H4206" s="16">
        <f>IF($A4206="","",$D4206+IF($E4206="",0,$E4206)+IF($F4206="",0,$F4206)-IF($G4206="",0,$G4206))</f>
        <v/>
      </c>
      <c r="I4206" s="12" t="n"/>
      <c r="J4206" s="12" t="n"/>
      <c r="K4206" s="12" t="n"/>
      <c r="L4206" s="14" t="n"/>
      <c r="M4206" s="12" t="n"/>
      <c r="N4206" s="12" t="n"/>
      <c r="O4206" s="12" t="n"/>
    </row>
    <row r="4207">
      <c r="A4207" s="12" t="n"/>
      <c r="B4207" s="13">
        <f>IF($A4207="","",IFERROR(INDEX(Emp_Names,MATCH($A4207,Emp_Codes,0)),"NOT FOUND"))</f>
        <v/>
      </c>
      <c r="C4207" s="14" t="n"/>
      <c r="D4207" s="15" t="n"/>
      <c r="E4207" s="15" t="n"/>
      <c r="F4207" s="15" t="n"/>
      <c r="G4207" s="15" t="n"/>
      <c r="H4207" s="16">
        <f>IF($A4207="","",$D4207+IF($E4207="",0,$E4207)+IF($F4207="",0,$F4207)-IF($G4207="",0,$G4207))</f>
        <v/>
      </c>
      <c r="I4207" s="12" t="n"/>
      <c r="J4207" s="12" t="n"/>
      <c r="K4207" s="12" t="n"/>
      <c r="L4207" s="14" t="n"/>
      <c r="M4207" s="12" t="n"/>
      <c r="N4207" s="12" t="n"/>
      <c r="O4207" s="12" t="n"/>
    </row>
    <row r="4208">
      <c r="A4208" s="12" t="n"/>
      <c r="B4208" s="13">
        <f>IF($A4208="","",IFERROR(INDEX(Emp_Names,MATCH($A4208,Emp_Codes,0)),"NOT FOUND"))</f>
        <v/>
      </c>
      <c r="C4208" s="14" t="n"/>
      <c r="D4208" s="15" t="n"/>
      <c r="E4208" s="15" t="n"/>
      <c r="F4208" s="15" t="n"/>
      <c r="G4208" s="15" t="n"/>
      <c r="H4208" s="16">
        <f>IF($A4208="","",$D4208+IF($E4208="",0,$E4208)+IF($F4208="",0,$F4208)-IF($G4208="",0,$G4208))</f>
        <v/>
      </c>
      <c r="I4208" s="12" t="n"/>
      <c r="J4208" s="12" t="n"/>
      <c r="K4208" s="12" t="n"/>
      <c r="L4208" s="14" t="n"/>
      <c r="M4208" s="12" t="n"/>
      <c r="N4208" s="12" t="n"/>
      <c r="O4208" s="12" t="n"/>
    </row>
    <row r="4209">
      <c r="A4209" s="12" t="n"/>
      <c r="B4209" s="13">
        <f>IF($A4209="","",IFERROR(INDEX(Emp_Names,MATCH($A4209,Emp_Codes,0)),"NOT FOUND"))</f>
        <v/>
      </c>
      <c r="C4209" s="14" t="n"/>
      <c r="D4209" s="15" t="n"/>
      <c r="E4209" s="15" t="n"/>
      <c r="F4209" s="15" t="n"/>
      <c r="G4209" s="15" t="n"/>
      <c r="H4209" s="16">
        <f>IF($A4209="","",$D4209+IF($E4209="",0,$E4209)+IF($F4209="",0,$F4209)-IF($G4209="",0,$G4209))</f>
        <v/>
      </c>
      <c r="I4209" s="12" t="n"/>
      <c r="J4209" s="12" t="n"/>
      <c r="K4209" s="12" t="n"/>
      <c r="L4209" s="14" t="n"/>
      <c r="M4209" s="12" t="n"/>
      <c r="N4209" s="12" t="n"/>
      <c r="O4209" s="12" t="n"/>
    </row>
    <row r="4210">
      <c r="A4210" s="12" t="n"/>
      <c r="B4210" s="13">
        <f>IF($A4210="","",IFERROR(INDEX(Emp_Names,MATCH($A4210,Emp_Codes,0)),"NOT FOUND"))</f>
        <v/>
      </c>
      <c r="C4210" s="14" t="n"/>
      <c r="D4210" s="15" t="n"/>
      <c r="E4210" s="15" t="n"/>
      <c r="F4210" s="15" t="n"/>
      <c r="G4210" s="15" t="n"/>
      <c r="H4210" s="16">
        <f>IF($A4210="","",$D4210+IF($E4210="",0,$E4210)+IF($F4210="",0,$F4210)-IF($G4210="",0,$G4210))</f>
        <v/>
      </c>
      <c r="I4210" s="12" t="n"/>
      <c r="J4210" s="12" t="n"/>
      <c r="K4210" s="12" t="n"/>
      <c r="L4210" s="14" t="n"/>
      <c r="M4210" s="12" t="n"/>
      <c r="N4210" s="12" t="n"/>
      <c r="O4210" s="12" t="n"/>
    </row>
    <row r="4211">
      <c r="A4211" s="12" t="n"/>
      <c r="B4211" s="13">
        <f>IF($A4211="","",IFERROR(INDEX(Emp_Names,MATCH($A4211,Emp_Codes,0)),"NOT FOUND"))</f>
        <v/>
      </c>
      <c r="C4211" s="14" t="n"/>
      <c r="D4211" s="15" t="n"/>
      <c r="E4211" s="15" t="n"/>
      <c r="F4211" s="15" t="n"/>
      <c r="G4211" s="15" t="n"/>
      <c r="H4211" s="16">
        <f>IF($A4211="","",$D4211+IF($E4211="",0,$E4211)+IF($F4211="",0,$F4211)-IF($G4211="",0,$G4211))</f>
        <v/>
      </c>
      <c r="I4211" s="12" t="n"/>
      <c r="J4211" s="12" t="n"/>
      <c r="K4211" s="12" t="n"/>
      <c r="L4211" s="14" t="n"/>
      <c r="M4211" s="12" t="n"/>
      <c r="N4211" s="12" t="n"/>
      <c r="O4211" s="12" t="n"/>
    </row>
    <row r="4212">
      <c r="A4212" s="12" t="n"/>
      <c r="B4212" s="13">
        <f>IF($A4212="","",IFERROR(INDEX(Emp_Names,MATCH($A4212,Emp_Codes,0)),"NOT FOUND"))</f>
        <v/>
      </c>
      <c r="C4212" s="14" t="n"/>
      <c r="D4212" s="15" t="n"/>
      <c r="E4212" s="15" t="n"/>
      <c r="F4212" s="15" t="n"/>
      <c r="G4212" s="15" t="n"/>
      <c r="H4212" s="16">
        <f>IF($A4212="","",$D4212+IF($E4212="",0,$E4212)+IF($F4212="",0,$F4212)-IF($G4212="",0,$G4212))</f>
        <v/>
      </c>
      <c r="I4212" s="12" t="n"/>
      <c r="J4212" s="12" t="n"/>
      <c r="K4212" s="12" t="n"/>
      <c r="L4212" s="14" t="n"/>
      <c r="M4212" s="12" t="n"/>
      <c r="N4212" s="12" t="n"/>
      <c r="O4212" s="12" t="n"/>
    </row>
    <row r="4213">
      <c r="A4213" s="12" t="n"/>
      <c r="B4213" s="13">
        <f>IF($A4213="","",IFERROR(INDEX(Emp_Names,MATCH($A4213,Emp_Codes,0)),"NOT FOUND"))</f>
        <v/>
      </c>
      <c r="C4213" s="14" t="n"/>
      <c r="D4213" s="15" t="n"/>
      <c r="E4213" s="15" t="n"/>
      <c r="F4213" s="15" t="n"/>
      <c r="G4213" s="15" t="n"/>
      <c r="H4213" s="16">
        <f>IF($A4213="","",$D4213+IF($E4213="",0,$E4213)+IF($F4213="",0,$F4213)-IF($G4213="",0,$G4213))</f>
        <v/>
      </c>
      <c r="I4213" s="12" t="n"/>
      <c r="J4213" s="12" t="n"/>
      <c r="K4213" s="12" t="n"/>
      <c r="L4213" s="14" t="n"/>
      <c r="M4213" s="12" t="n"/>
      <c r="N4213" s="12" t="n"/>
      <c r="O4213" s="12" t="n"/>
    </row>
    <row r="4214">
      <c r="A4214" s="12" t="n"/>
      <c r="B4214" s="13">
        <f>IF($A4214="","",IFERROR(INDEX(Emp_Names,MATCH($A4214,Emp_Codes,0)),"NOT FOUND"))</f>
        <v/>
      </c>
      <c r="C4214" s="14" t="n"/>
      <c r="D4214" s="15" t="n"/>
      <c r="E4214" s="15" t="n"/>
      <c r="F4214" s="15" t="n"/>
      <c r="G4214" s="15" t="n"/>
      <c r="H4214" s="16">
        <f>IF($A4214="","",$D4214+IF($E4214="",0,$E4214)+IF($F4214="",0,$F4214)-IF($G4214="",0,$G4214))</f>
        <v/>
      </c>
      <c r="I4214" s="12" t="n"/>
      <c r="J4214" s="12" t="n"/>
      <c r="K4214" s="12" t="n"/>
      <c r="L4214" s="14" t="n"/>
      <c r="M4214" s="12" t="n"/>
      <c r="N4214" s="12" t="n"/>
      <c r="O4214" s="12" t="n"/>
    </row>
    <row r="4215">
      <c r="A4215" s="12" t="n"/>
      <c r="B4215" s="13">
        <f>IF($A4215="","",IFERROR(INDEX(Emp_Names,MATCH($A4215,Emp_Codes,0)),"NOT FOUND"))</f>
        <v/>
      </c>
      <c r="C4215" s="14" t="n"/>
      <c r="D4215" s="15" t="n"/>
      <c r="E4215" s="15" t="n"/>
      <c r="F4215" s="15" t="n"/>
      <c r="G4215" s="15" t="n"/>
      <c r="H4215" s="16">
        <f>IF($A4215="","",$D4215+IF($E4215="",0,$E4215)+IF($F4215="",0,$F4215)-IF($G4215="",0,$G4215))</f>
        <v/>
      </c>
      <c r="I4215" s="12" t="n"/>
      <c r="J4215" s="12" t="n"/>
      <c r="K4215" s="12" t="n"/>
      <c r="L4215" s="14" t="n"/>
      <c r="M4215" s="12" t="n"/>
      <c r="N4215" s="12" t="n"/>
      <c r="O4215" s="12" t="n"/>
    </row>
    <row r="4216">
      <c r="A4216" s="12" t="n"/>
      <c r="B4216" s="13">
        <f>IF($A4216="","",IFERROR(INDEX(Emp_Names,MATCH($A4216,Emp_Codes,0)),"NOT FOUND"))</f>
        <v/>
      </c>
      <c r="C4216" s="14" t="n"/>
      <c r="D4216" s="15" t="n"/>
      <c r="E4216" s="15" t="n"/>
      <c r="F4216" s="15" t="n"/>
      <c r="G4216" s="15" t="n"/>
      <c r="H4216" s="16">
        <f>IF($A4216="","",$D4216+IF($E4216="",0,$E4216)+IF($F4216="",0,$F4216)-IF($G4216="",0,$G4216))</f>
        <v/>
      </c>
      <c r="I4216" s="12" t="n"/>
      <c r="J4216" s="12" t="n"/>
      <c r="K4216" s="12" t="n"/>
      <c r="L4216" s="14" t="n"/>
      <c r="M4216" s="12" t="n"/>
      <c r="N4216" s="12" t="n"/>
      <c r="O4216" s="12" t="n"/>
    </row>
    <row r="4217">
      <c r="A4217" s="12" t="n"/>
      <c r="B4217" s="13">
        <f>IF($A4217="","",IFERROR(INDEX(Emp_Names,MATCH($A4217,Emp_Codes,0)),"NOT FOUND"))</f>
        <v/>
      </c>
      <c r="C4217" s="14" t="n"/>
      <c r="D4217" s="15" t="n"/>
      <c r="E4217" s="15" t="n"/>
      <c r="F4217" s="15" t="n"/>
      <c r="G4217" s="15" t="n"/>
      <c r="H4217" s="16">
        <f>IF($A4217="","",$D4217+IF($E4217="",0,$E4217)+IF($F4217="",0,$F4217)-IF($G4217="",0,$G4217))</f>
        <v/>
      </c>
      <c r="I4217" s="12" t="n"/>
      <c r="J4217" s="12" t="n"/>
      <c r="K4217" s="12" t="n"/>
      <c r="L4217" s="14" t="n"/>
      <c r="M4217" s="12" t="n"/>
      <c r="N4217" s="12" t="n"/>
      <c r="O4217" s="12" t="n"/>
    </row>
    <row r="4218">
      <c r="A4218" s="12" t="n"/>
      <c r="B4218" s="13">
        <f>IF($A4218="","",IFERROR(INDEX(Emp_Names,MATCH($A4218,Emp_Codes,0)),"NOT FOUND"))</f>
        <v/>
      </c>
      <c r="C4218" s="14" t="n"/>
      <c r="D4218" s="15" t="n"/>
      <c r="E4218" s="15" t="n"/>
      <c r="F4218" s="15" t="n"/>
      <c r="G4218" s="15" t="n"/>
      <c r="H4218" s="16">
        <f>IF($A4218="","",$D4218+IF($E4218="",0,$E4218)+IF($F4218="",0,$F4218)-IF($G4218="",0,$G4218))</f>
        <v/>
      </c>
      <c r="I4218" s="12" t="n"/>
      <c r="J4218" s="12" t="n"/>
      <c r="K4218" s="12" t="n"/>
      <c r="L4218" s="14" t="n"/>
      <c r="M4218" s="12" t="n"/>
      <c r="N4218" s="12" t="n"/>
      <c r="O4218" s="12" t="n"/>
    </row>
    <row r="4219">
      <c r="A4219" s="12" t="n"/>
      <c r="B4219" s="13">
        <f>IF($A4219="","",IFERROR(INDEX(Emp_Names,MATCH($A4219,Emp_Codes,0)),"NOT FOUND"))</f>
        <v/>
      </c>
      <c r="C4219" s="14" t="n"/>
      <c r="D4219" s="15" t="n"/>
      <c r="E4219" s="15" t="n"/>
      <c r="F4219" s="15" t="n"/>
      <c r="G4219" s="15" t="n"/>
      <c r="H4219" s="16">
        <f>IF($A4219="","",$D4219+IF($E4219="",0,$E4219)+IF($F4219="",0,$F4219)-IF($G4219="",0,$G4219))</f>
        <v/>
      </c>
      <c r="I4219" s="12" t="n"/>
      <c r="J4219" s="12" t="n"/>
      <c r="K4219" s="12" t="n"/>
      <c r="L4219" s="14" t="n"/>
      <c r="M4219" s="12" t="n"/>
      <c r="N4219" s="12" t="n"/>
      <c r="O4219" s="12" t="n"/>
    </row>
    <row r="4220">
      <c r="A4220" s="12" t="n"/>
      <c r="B4220" s="13">
        <f>IF($A4220="","",IFERROR(INDEX(Emp_Names,MATCH($A4220,Emp_Codes,0)),"NOT FOUND"))</f>
        <v/>
      </c>
      <c r="C4220" s="14" t="n"/>
      <c r="D4220" s="15" t="n"/>
      <c r="E4220" s="15" t="n"/>
      <c r="F4220" s="15" t="n"/>
      <c r="G4220" s="15" t="n"/>
      <c r="H4220" s="16">
        <f>IF($A4220="","",$D4220+IF($E4220="",0,$E4220)+IF($F4220="",0,$F4220)-IF($G4220="",0,$G4220))</f>
        <v/>
      </c>
      <c r="I4220" s="12" t="n"/>
      <c r="J4220" s="12" t="n"/>
      <c r="K4220" s="12" t="n"/>
      <c r="L4220" s="14" t="n"/>
      <c r="M4220" s="12" t="n"/>
      <c r="N4220" s="12" t="n"/>
      <c r="O4220" s="12" t="n"/>
    </row>
    <row r="4221">
      <c r="A4221" s="12" t="n"/>
      <c r="B4221" s="13">
        <f>IF($A4221="","",IFERROR(INDEX(Emp_Names,MATCH($A4221,Emp_Codes,0)),"NOT FOUND"))</f>
        <v/>
      </c>
      <c r="C4221" s="14" t="n"/>
      <c r="D4221" s="15" t="n"/>
      <c r="E4221" s="15" t="n"/>
      <c r="F4221" s="15" t="n"/>
      <c r="G4221" s="15" t="n"/>
      <c r="H4221" s="16">
        <f>IF($A4221="","",$D4221+IF($E4221="",0,$E4221)+IF($F4221="",0,$F4221)-IF($G4221="",0,$G4221))</f>
        <v/>
      </c>
      <c r="I4221" s="12" t="n"/>
      <c r="J4221" s="12" t="n"/>
      <c r="K4221" s="12" t="n"/>
      <c r="L4221" s="14" t="n"/>
      <c r="M4221" s="12" t="n"/>
      <c r="N4221" s="12" t="n"/>
      <c r="O4221" s="12" t="n"/>
    </row>
    <row r="4222">
      <c r="A4222" s="12" t="n"/>
      <c r="B4222" s="13">
        <f>IF($A4222="","",IFERROR(INDEX(Emp_Names,MATCH($A4222,Emp_Codes,0)),"NOT FOUND"))</f>
        <v/>
      </c>
      <c r="C4222" s="14" t="n"/>
      <c r="D4222" s="15" t="n"/>
      <c r="E4222" s="15" t="n"/>
      <c r="F4222" s="15" t="n"/>
      <c r="G4222" s="15" t="n"/>
      <c r="H4222" s="16">
        <f>IF($A4222="","",$D4222+IF($E4222="",0,$E4222)+IF($F4222="",0,$F4222)-IF($G4222="",0,$G4222))</f>
        <v/>
      </c>
      <c r="I4222" s="12" t="n"/>
      <c r="J4222" s="12" t="n"/>
      <c r="K4222" s="12" t="n"/>
      <c r="L4222" s="14" t="n"/>
      <c r="M4222" s="12" t="n"/>
      <c r="N4222" s="12" t="n"/>
      <c r="O4222" s="12" t="n"/>
    </row>
    <row r="4223">
      <c r="A4223" s="12" t="n"/>
      <c r="B4223" s="13">
        <f>IF($A4223="","",IFERROR(INDEX(Emp_Names,MATCH($A4223,Emp_Codes,0)),"NOT FOUND"))</f>
        <v/>
      </c>
      <c r="C4223" s="14" t="n"/>
      <c r="D4223" s="15" t="n"/>
      <c r="E4223" s="15" t="n"/>
      <c r="F4223" s="15" t="n"/>
      <c r="G4223" s="15" t="n"/>
      <c r="H4223" s="16">
        <f>IF($A4223="","",$D4223+IF($E4223="",0,$E4223)+IF($F4223="",0,$F4223)-IF($G4223="",0,$G4223))</f>
        <v/>
      </c>
      <c r="I4223" s="12" t="n"/>
      <c r="J4223" s="12" t="n"/>
      <c r="K4223" s="12" t="n"/>
      <c r="L4223" s="14" t="n"/>
      <c r="M4223" s="12" t="n"/>
      <c r="N4223" s="12" t="n"/>
      <c r="O4223" s="12" t="n"/>
    </row>
    <row r="4224">
      <c r="A4224" s="12" t="n"/>
      <c r="B4224" s="13">
        <f>IF($A4224="","",IFERROR(INDEX(Emp_Names,MATCH($A4224,Emp_Codes,0)),"NOT FOUND"))</f>
        <v/>
      </c>
      <c r="C4224" s="14" t="n"/>
      <c r="D4224" s="15" t="n"/>
      <c r="E4224" s="15" t="n"/>
      <c r="F4224" s="15" t="n"/>
      <c r="G4224" s="15" t="n"/>
      <c r="H4224" s="16">
        <f>IF($A4224="","",$D4224+IF($E4224="",0,$E4224)+IF($F4224="",0,$F4224)-IF($G4224="",0,$G4224))</f>
        <v/>
      </c>
      <c r="I4224" s="12" t="n"/>
      <c r="J4224" s="12" t="n"/>
      <c r="K4224" s="12" t="n"/>
      <c r="L4224" s="14" t="n"/>
      <c r="M4224" s="12" t="n"/>
      <c r="N4224" s="12" t="n"/>
      <c r="O4224" s="12" t="n"/>
    </row>
    <row r="4225">
      <c r="A4225" s="12" t="n"/>
      <c r="B4225" s="13">
        <f>IF($A4225="","",IFERROR(INDEX(Emp_Names,MATCH($A4225,Emp_Codes,0)),"NOT FOUND"))</f>
        <v/>
      </c>
      <c r="C4225" s="14" t="n"/>
      <c r="D4225" s="15" t="n"/>
      <c r="E4225" s="15" t="n"/>
      <c r="F4225" s="15" t="n"/>
      <c r="G4225" s="15" t="n"/>
      <c r="H4225" s="16">
        <f>IF($A4225="","",$D4225+IF($E4225="",0,$E4225)+IF($F4225="",0,$F4225)-IF($G4225="",0,$G4225))</f>
        <v/>
      </c>
      <c r="I4225" s="12" t="n"/>
      <c r="J4225" s="12" t="n"/>
      <c r="K4225" s="12" t="n"/>
      <c r="L4225" s="14" t="n"/>
      <c r="M4225" s="12" t="n"/>
      <c r="N4225" s="12" t="n"/>
      <c r="O4225" s="12" t="n"/>
    </row>
    <row r="4226">
      <c r="A4226" s="12" t="n"/>
      <c r="B4226" s="13">
        <f>IF($A4226="","",IFERROR(INDEX(Emp_Names,MATCH($A4226,Emp_Codes,0)),"NOT FOUND"))</f>
        <v/>
      </c>
      <c r="C4226" s="14" t="n"/>
      <c r="D4226" s="15" t="n"/>
      <c r="E4226" s="15" t="n"/>
      <c r="F4226" s="15" t="n"/>
      <c r="G4226" s="15" t="n"/>
      <c r="H4226" s="16">
        <f>IF($A4226="","",$D4226+IF($E4226="",0,$E4226)+IF($F4226="",0,$F4226)-IF($G4226="",0,$G4226))</f>
        <v/>
      </c>
      <c r="I4226" s="12" t="n"/>
      <c r="J4226" s="12" t="n"/>
      <c r="K4226" s="12" t="n"/>
      <c r="L4226" s="14" t="n"/>
      <c r="M4226" s="12" t="n"/>
      <c r="N4226" s="12" t="n"/>
      <c r="O4226" s="12" t="n"/>
    </row>
    <row r="4227">
      <c r="A4227" s="12" t="n"/>
      <c r="B4227" s="13">
        <f>IF($A4227="","",IFERROR(INDEX(Emp_Names,MATCH($A4227,Emp_Codes,0)),"NOT FOUND"))</f>
        <v/>
      </c>
      <c r="C4227" s="14" t="n"/>
      <c r="D4227" s="15" t="n"/>
      <c r="E4227" s="15" t="n"/>
      <c r="F4227" s="15" t="n"/>
      <c r="G4227" s="15" t="n"/>
      <c r="H4227" s="16">
        <f>IF($A4227="","",$D4227+IF($E4227="",0,$E4227)+IF($F4227="",0,$F4227)-IF($G4227="",0,$G4227))</f>
        <v/>
      </c>
      <c r="I4227" s="12" t="n"/>
      <c r="J4227" s="12" t="n"/>
      <c r="K4227" s="12" t="n"/>
      <c r="L4227" s="14" t="n"/>
      <c r="M4227" s="12" t="n"/>
      <c r="N4227" s="12" t="n"/>
      <c r="O4227" s="12" t="n"/>
    </row>
    <row r="4228">
      <c r="A4228" s="12" t="n"/>
      <c r="B4228" s="13">
        <f>IF($A4228="","",IFERROR(INDEX(Emp_Names,MATCH($A4228,Emp_Codes,0)),"NOT FOUND"))</f>
        <v/>
      </c>
      <c r="C4228" s="14" t="n"/>
      <c r="D4228" s="15" t="n"/>
      <c r="E4228" s="15" t="n"/>
      <c r="F4228" s="15" t="n"/>
      <c r="G4228" s="15" t="n"/>
      <c r="H4228" s="16">
        <f>IF($A4228="","",$D4228+IF($E4228="",0,$E4228)+IF($F4228="",0,$F4228)-IF($G4228="",0,$G4228))</f>
        <v/>
      </c>
      <c r="I4228" s="12" t="n"/>
      <c r="J4228" s="12" t="n"/>
      <c r="K4228" s="12" t="n"/>
      <c r="L4228" s="14" t="n"/>
      <c r="M4228" s="12" t="n"/>
      <c r="N4228" s="12" t="n"/>
      <c r="O4228" s="12" t="n"/>
    </row>
    <row r="4229">
      <c r="A4229" s="12" t="n"/>
      <c r="B4229" s="13">
        <f>IF($A4229="","",IFERROR(INDEX(Emp_Names,MATCH($A4229,Emp_Codes,0)),"NOT FOUND"))</f>
        <v/>
      </c>
      <c r="C4229" s="14" t="n"/>
      <c r="D4229" s="15" t="n"/>
      <c r="E4229" s="15" t="n"/>
      <c r="F4229" s="15" t="n"/>
      <c r="G4229" s="15" t="n"/>
      <c r="H4229" s="16">
        <f>IF($A4229="","",$D4229+IF($E4229="",0,$E4229)+IF($F4229="",0,$F4229)-IF($G4229="",0,$G4229))</f>
        <v/>
      </c>
      <c r="I4229" s="12" t="n"/>
      <c r="J4229" s="12" t="n"/>
      <c r="K4229" s="12" t="n"/>
      <c r="L4229" s="14" t="n"/>
      <c r="M4229" s="12" t="n"/>
      <c r="N4229" s="12" t="n"/>
      <c r="O4229" s="12" t="n"/>
    </row>
    <row r="4230">
      <c r="A4230" s="12" t="n"/>
      <c r="B4230" s="13">
        <f>IF($A4230="","",IFERROR(INDEX(Emp_Names,MATCH($A4230,Emp_Codes,0)),"NOT FOUND"))</f>
        <v/>
      </c>
      <c r="C4230" s="14" t="n"/>
      <c r="D4230" s="15" t="n"/>
      <c r="E4230" s="15" t="n"/>
      <c r="F4230" s="15" t="n"/>
      <c r="G4230" s="15" t="n"/>
      <c r="H4230" s="16">
        <f>IF($A4230="","",$D4230+IF($E4230="",0,$E4230)+IF($F4230="",0,$F4230)-IF($G4230="",0,$G4230))</f>
        <v/>
      </c>
      <c r="I4230" s="12" t="n"/>
      <c r="J4230" s="12" t="n"/>
      <c r="K4230" s="12" t="n"/>
      <c r="L4230" s="14" t="n"/>
      <c r="M4230" s="12" t="n"/>
      <c r="N4230" s="12" t="n"/>
      <c r="O4230" s="12" t="n"/>
    </row>
    <row r="4231">
      <c r="A4231" s="12" t="n"/>
      <c r="B4231" s="13">
        <f>IF($A4231="","",IFERROR(INDEX(Emp_Names,MATCH($A4231,Emp_Codes,0)),"NOT FOUND"))</f>
        <v/>
      </c>
      <c r="C4231" s="14" t="n"/>
      <c r="D4231" s="15" t="n"/>
      <c r="E4231" s="15" t="n"/>
      <c r="F4231" s="15" t="n"/>
      <c r="G4231" s="15" t="n"/>
      <c r="H4231" s="16">
        <f>IF($A4231="","",$D4231+IF($E4231="",0,$E4231)+IF($F4231="",0,$F4231)-IF($G4231="",0,$G4231))</f>
        <v/>
      </c>
      <c r="I4231" s="12" t="n"/>
      <c r="J4231" s="12" t="n"/>
      <c r="K4231" s="12" t="n"/>
      <c r="L4231" s="14" t="n"/>
      <c r="M4231" s="12" t="n"/>
      <c r="N4231" s="12" t="n"/>
      <c r="O4231" s="12" t="n"/>
    </row>
    <row r="4232">
      <c r="A4232" s="12" t="n"/>
      <c r="B4232" s="13">
        <f>IF($A4232="","",IFERROR(INDEX(Emp_Names,MATCH($A4232,Emp_Codes,0)),"NOT FOUND"))</f>
        <v/>
      </c>
      <c r="C4232" s="14" t="n"/>
      <c r="D4232" s="15" t="n"/>
      <c r="E4232" s="15" t="n"/>
      <c r="F4232" s="15" t="n"/>
      <c r="G4232" s="15" t="n"/>
      <c r="H4232" s="16">
        <f>IF($A4232="","",$D4232+IF($E4232="",0,$E4232)+IF($F4232="",0,$F4232)-IF($G4232="",0,$G4232))</f>
        <v/>
      </c>
      <c r="I4232" s="12" t="n"/>
      <c r="J4232" s="12" t="n"/>
      <c r="K4232" s="12" t="n"/>
      <c r="L4232" s="14" t="n"/>
      <c r="M4232" s="12" t="n"/>
      <c r="N4232" s="12" t="n"/>
      <c r="O4232" s="12" t="n"/>
    </row>
    <row r="4233">
      <c r="A4233" s="12" t="n"/>
      <c r="B4233" s="13">
        <f>IF($A4233="","",IFERROR(INDEX(Emp_Names,MATCH($A4233,Emp_Codes,0)),"NOT FOUND"))</f>
        <v/>
      </c>
      <c r="C4233" s="14" t="n"/>
      <c r="D4233" s="15" t="n"/>
      <c r="E4233" s="15" t="n"/>
      <c r="F4233" s="15" t="n"/>
      <c r="G4233" s="15" t="n"/>
      <c r="H4233" s="16">
        <f>IF($A4233="","",$D4233+IF($E4233="",0,$E4233)+IF($F4233="",0,$F4233)-IF($G4233="",0,$G4233))</f>
        <v/>
      </c>
      <c r="I4233" s="12" t="n"/>
      <c r="J4233" s="12" t="n"/>
      <c r="K4233" s="12" t="n"/>
      <c r="L4233" s="14" t="n"/>
      <c r="M4233" s="12" t="n"/>
      <c r="N4233" s="12" t="n"/>
      <c r="O4233" s="12" t="n"/>
    </row>
    <row r="4234">
      <c r="A4234" s="12" t="n"/>
      <c r="B4234" s="13">
        <f>IF($A4234="","",IFERROR(INDEX(Emp_Names,MATCH($A4234,Emp_Codes,0)),"NOT FOUND"))</f>
        <v/>
      </c>
      <c r="C4234" s="14" t="n"/>
      <c r="D4234" s="15" t="n"/>
      <c r="E4234" s="15" t="n"/>
      <c r="F4234" s="15" t="n"/>
      <c r="G4234" s="15" t="n"/>
      <c r="H4234" s="16">
        <f>IF($A4234="","",$D4234+IF($E4234="",0,$E4234)+IF($F4234="",0,$F4234)-IF($G4234="",0,$G4234))</f>
        <v/>
      </c>
      <c r="I4234" s="12" t="n"/>
      <c r="J4234" s="12" t="n"/>
      <c r="K4234" s="12" t="n"/>
      <c r="L4234" s="14" t="n"/>
      <c r="M4234" s="12" t="n"/>
      <c r="N4234" s="12" t="n"/>
      <c r="O4234" s="12" t="n"/>
    </row>
    <row r="4235">
      <c r="A4235" s="12" t="n"/>
      <c r="B4235" s="13">
        <f>IF($A4235="","",IFERROR(INDEX(Emp_Names,MATCH($A4235,Emp_Codes,0)),"NOT FOUND"))</f>
        <v/>
      </c>
      <c r="C4235" s="14" t="n"/>
      <c r="D4235" s="15" t="n"/>
      <c r="E4235" s="15" t="n"/>
      <c r="F4235" s="15" t="n"/>
      <c r="G4235" s="15" t="n"/>
      <c r="H4235" s="16">
        <f>IF($A4235="","",$D4235+IF($E4235="",0,$E4235)+IF($F4235="",0,$F4235)-IF($G4235="",0,$G4235))</f>
        <v/>
      </c>
      <c r="I4235" s="12" t="n"/>
      <c r="J4235" s="12" t="n"/>
      <c r="K4235" s="12" t="n"/>
      <c r="L4235" s="14" t="n"/>
      <c r="M4235" s="12" t="n"/>
      <c r="N4235" s="12" t="n"/>
      <c r="O4235" s="12" t="n"/>
    </row>
    <row r="4236">
      <c r="A4236" s="12" t="n"/>
      <c r="B4236" s="13">
        <f>IF($A4236="","",IFERROR(INDEX(Emp_Names,MATCH($A4236,Emp_Codes,0)),"NOT FOUND"))</f>
        <v/>
      </c>
      <c r="C4236" s="14" t="n"/>
      <c r="D4236" s="15" t="n"/>
      <c r="E4236" s="15" t="n"/>
      <c r="F4236" s="15" t="n"/>
      <c r="G4236" s="15" t="n"/>
      <c r="H4236" s="16">
        <f>IF($A4236="","",$D4236+IF($E4236="",0,$E4236)+IF($F4236="",0,$F4236)-IF($G4236="",0,$G4236))</f>
        <v/>
      </c>
      <c r="I4236" s="12" t="n"/>
      <c r="J4236" s="12" t="n"/>
      <c r="K4236" s="12" t="n"/>
      <c r="L4236" s="14" t="n"/>
      <c r="M4236" s="12" t="n"/>
      <c r="N4236" s="12" t="n"/>
      <c r="O4236" s="12" t="n"/>
    </row>
    <row r="4237">
      <c r="A4237" s="12" t="n"/>
      <c r="B4237" s="13">
        <f>IF($A4237="","",IFERROR(INDEX(Emp_Names,MATCH($A4237,Emp_Codes,0)),"NOT FOUND"))</f>
        <v/>
      </c>
      <c r="C4237" s="14" t="n"/>
      <c r="D4237" s="15" t="n"/>
      <c r="E4237" s="15" t="n"/>
      <c r="F4237" s="15" t="n"/>
      <c r="G4237" s="15" t="n"/>
      <c r="H4237" s="16">
        <f>IF($A4237="","",$D4237+IF($E4237="",0,$E4237)+IF($F4237="",0,$F4237)-IF($G4237="",0,$G4237))</f>
        <v/>
      </c>
      <c r="I4237" s="12" t="n"/>
      <c r="J4237" s="12" t="n"/>
      <c r="K4237" s="12" t="n"/>
      <c r="L4237" s="14" t="n"/>
      <c r="M4237" s="12" t="n"/>
      <c r="N4237" s="12" t="n"/>
      <c r="O4237" s="12" t="n"/>
    </row>
    <row r="4238">
      <c r="A4238" s="12" t="n"/>
      <c r="B4238" s="13">
        <f>IF($A4238="","",IFERROR(INDEX(Emp_Names,MATCH($A4238,Emp_Codes,0)),"NOT FOUND"))</f>
        <v/>
      </c>
      <c r="C4238" s="14" t="n"/>
      <c r="D4238" s="15" t="n"/>
      <c r="E4238" s="15" t="n"/>
      <c r="F4238" s="15" t="n"/>
      <c r="G4238" s="15" t="n"/>
      <c r="H4238" s="16">
        <f>IF($A4238="","",$D4238+IF($E4238="",0,$E4238)+IF($F4238="",0,$F4238)-IF($G4238="",0,$G4238))</f>
        <v/>
      </c>
      <c r="I4238" s="12" t="n"/>
      <c r="J4238" s="12" t="n"/>
      <c r="K4238" s="12" t="n"/>
      <c r="L4238" s="14" t="n"/>
      <c r="M4238" s="12" t="n"/>
      <c r="N4238" s="12" t="n"/>
      <c r="O4238" s="12" t="n"/>
    </row>
    <row r="4239">
      <c r="A4239" s="12" t="n"/>
      <c r="B4239" s="13">
        <f>IF($A4239="","",IFERROR(INDEX(Emp_Names,MATCH($A4239,Emp_Codes,0)),"NOT FOUND"))</f>
        <v/>
      </c>
      <c r="C4239" s="14" t="n"/>
      <c r="D4239" s="15" t="n"/>
      <c r="E4239" s="15" t="n"/>
      <c r="F4239" s="15" t="n"/>
      <c r="G4239" s="15" t="n"/>
      <c r="H4239" s="16">
        <f>IF($A4239="","",$D4239+IF($E4239="",0,$E4239)+IF($F4239="",0,$F4239)-IF($G4239="",0,$G4239))</f>
        <v/>
      </c>
      <c r="I4239" s="12" t="n"/>
      <c r="J4239" s="12" t="n"/>
      <c r="K4239" s="12" t="n"/>
      <c r="L4239" s="14" t="n"/>
      <c r="M4239" s="12" t="n"/>
      <c r="N4239" s="12" t="n"/>
      <c r="O4239" s="12" t="n"/>
    </row>
    <row r="4240">
      <c r="A4240" s="12" t="n"/>
      <c r="B4240" s="13">
        <f>IF($A4240="","",IFERROR(INDEX(Emp_Names,MATCH($A4240,Emp_Codes,0)),"NOT FOUND"))</f>
        <v/>
      </c>
      <c r="C4240" s="14" t="n"/>
      <c r="D4240" s="15" t="n"/>
      <c r="E4240" s="15" t="n"/>
      <c r="F4240" s="15" t="n"/>
      <c r="G4240" s="15" t="n"/>
      <c r="H4240" s="16">
        <f>IF($A4240="","",$D4240+IF($E4240="",0,$E4240)+IF($F4240="",0,$F4240)-IF($G4240="",0,$G4240))</f>
        <v/>
      </c>
      <c r="I4240" s="12" t="n"/>
      <c r="J4240" s="12" t="n"/>
      <c r="K4240" s="12" t="n"/>
      <c r="L4240" s="14" t="n"/>
      <c r="M4240" s="12" t="n"/>
      <c r="N4240" s="12" t="n"/>
      <c r="O4240" s="12" t="n"/>
    </row>
    <row r="4241">
      <c r="A4241" s="12" t="n"/>
      <c r="B4241" s="13">
        <f>IF($A4241="","",IFERROR(INDEX(Emp_Names,MATCH($A4241,Emp_Codes,0)),"NOT FOUND"))</f>
        <v/>
      </c>
      <c r="C4241" s="14" t="n"/>
      <c r="D4241" s="15" t="n"/>
      <c r="E4241" s="15" t="n"/>
      <c r="F4241" s="15" t="n"/>
      <c r="G4241" s="15" t="n"/>
      <c r="H4241" s="16">
        <f>IF($A4241="","",$D4241+IF($E4241="",0,$E4241)+IF($F4241="",0,$F4241)-IF($G4241="",0,$G4241))</f>
        <v/>
      </c>
      <c r="I4241" s="12" t="n"/>
      <c r="J4241" s="12" t="n"/>
      <c r="K4241" s="12" t="n"/>
      <c r="L4241" s="14" t="n"/>
      <c r="M4241" s="12" t="n"/>
      <c r="N4241" s="12" t="n"/>
      <c r="O4241" s="12" t="n"/>
    </row>
    <row r="4242">
      <c r="A4242" s="12" t="n"/>
      <c r="B4242" s="13">
        <f>IF($A4242="","",IFERROR(INDEX(Emp_Names,MATCH($A4242,Emp_Codes,0)),"NOT FOUND"))</f>
        <v/>
      </c>
      <c r="C4242" s="14" t="n"/>
      <c r="D4242" s="15" t="n"/>
      <c r="E4242" s="15" t="n"/>
      <c r="F4242" s="15" t="n"/>
      <c r="G4242" s="15" t="n"/>
      <c r="H4242" s="16">
        <f>IF($A4242="","",$D4242+IF($E4242="",0,$E4242)+IF($F4242="",0,$F4242)-IF($G4242="",0,$G4242))</f>
        <v/>
      </c>
      <c r="I4242" s="12" t="n"/>
      <c r="J4242" s="12" t="n"/>
      <c r="K4242" s="12" t="n"/>
      <c r="L4242" s="14" t="n"/>
      <c r="M4242" s="12" t="n"/>
      <c r="N4242" s="12" t="n"/>
      <c r="O4242" s="12" t="n"/>
    </row>
    <row r="4243">
      <c r="A4243" s="12" t="n"/>
      <c r="B4243" s="13">
        <f>IF($A4243="","",IFERROR(INDEX(Emp_Names,MATCH($A4243,Emp_Codes,0)),"NOT FOUND"))</f>
        <v/>
      </c>
      <c r="C4243" s="14" t="n"/>
      <c r="D4243" s="15" t="n"/>
      <c r="E4243" s="15" t="n"/>
      <c r="F4243" s="15" t="n"/>
      <c r="G4243" s="15" t="n"/>
      <c r="H4243" s="16">
        <f>IF($A4243="","",$D4243+IF($E4243="",0,$E4243)+IF($F4243="",0,$F4243)-IF($G4243="",0,$G4243))</f>
        <v/>
      </c>
      <c r="I4243" s="12" t="n"/>
      <c r="J4243" s="12" t="n"/>
      <c r="K4243" s="12" t="n"/>
      <c r="L4243" s="14" t="n"/>
      <c r="M4243" s="12" t="n"/>
      <c r="N4243" s="12" t="n"/>
      <c r="O4243" s="12" t="n"/>
    </row>
    <row r="4244">
      <c r="A4244" s="12" t="n"/>
      <c r="B4244" s="13">
        <f>IF($A4244="","",IFERROR(INDEX(Emp_Names,MATCH($A4244,Emp_Codes,0)),"NOT FOUND"))</f>
        <v/>
      </c>
      <c r="C4244" s="14" t="n"/>
      <c r="D4244" s="15" t="n"/>
      <c r="E4244" s="15" t="n"/>
      <c r="F4244" s="15" t="n"/>
      <c r="G4244" s="15" t="n"/>
      <c r="H4244" s="16">
        <f>IF($A4244="","",$D4244+IF($E4244="",0,$E4244)+IF($F4244="",0,$F4244)-IF($G4244="",0,$G4244))</f>
        <v/>
      </c>
      <c r="I4244" s="12" t="n"/>
      <c r="J4244" s="12" t="n"/>
      <c r="K4244" s="12" t="n"/>
      <c r="L4244" s="14" t="n"/>
      <c r="M4244" s="12" t="n"/>
      <c r="N4244" s="12" t="n"/>
      <c r="O4244" s="12" t="n"/>
    </row>
    <row r="4245">
      <c r="A4245" s="12" t="n"/>
      <c r="B4245" s="13">
        <f>IF($A4245="","",IFERROR(INDEX(Emp_Names,MATCH($A4245,Emp_Codes,0)),"NOT FOUND"))</f>
        <v/>
      </c>
      <c r="C4245" s="14" t="n"/>
      <c r="D4245" s="15" t="n"/>
      <c r="E4245" s="15" t="n"/>
      <c r="F4245" s="15" t="n"/>
      <c r="G4245" s="15" t="n"/>
      <c r="H4245" s="16">
        <f>IF($A4245="","",$D4245+IF($E4245="",0,$E4245)+IF($F4245="",0,$F4245)-IF($G4245="",0,$G4245))</f>
        <v/>
      </c>
      <c r="I4245" s="12" t="n"/>
      <c r="J4245" s="12" t="n"/>
      <c r="K4245" s="12" t="n"/>
      <c r="L4245" s="14" t="n"/>
      <c r="M4245" s="12" t="n"/>
      <c r="N4245" s="12" t="n"/>
      <c r="O4245" s="12" t="n"/>
    </row>
    <row r="4246">
      <c r="A4246" s="12" t="n"/>
      <c r="B4246" s="13">
        <f>IF($A4246="","",IFERROR(INDEX(Emp_Names,MATCH($A4246,Emp_Codes,0)),"NOT FOUND"))</f>
        <v/>
      </c>
      <c r="C4246" s="14" t="n"/>
      <c r="D4246" s="15" t="n"/>
      <c r="E4246" s="15" t="n"/>
      <c r="F4246" s="15" t="n"/>
      <c r="G4246" s="15" t="n"/>
      <c r="H4246" s="16">
        <f>IF($A4246="","",$D4246+IF($E4246="",0,$E4246)+IF($F4246="",0,$F4246)-IF($G4246="",0,$G4246))</f>
        <v/>
      </c>
      <c r="I4246" s="12" t="n"/>
      <c r="J4246" s="12" t="n"/>
      <c r="K4246" s="12" t="n"/>
      <c r="L4246" s="14" t="n"/>
      <c r="M4246" s="12" t="n"/>
      <c r="N4246" s="12" t="n"/>
      <c r="O4246" s="12" t="n"/>
    </row>
    <row r="4247">
      <c r="A4247" s="12" t="n"/>
      <c r="B4247" s="13">
        <f>IF($A4247="","",IFERROR(INDEX(Emp_Names,MATCH($A4247,Emp_Codes,0)),"NOT FOUND"))</f>
        <v/>
      </c>
      <c r="C4247" s="14" t="n"/>
      <c r="D4247" s="15" t="n"/>
      <c r="E4247" s="15" t="n"/>
      <c r="F4247" s="15" t="n"/>
      <c r="G4247" s="15" t="n"/>
      <c r="H4247" s="16">
        <f>IF($A4247="","",$D4247+IF($E4247="",0,$E4247)+IF($F4247="",0,$F4247)-IF($G4247="",0,$G4247))</f>
        <v/>
      </c>
      <c r="I4247" s="12" t="n"/>
      <c r="J4247" s="12" t="n"/>
      <c r="K4247" s="12" t="n"/>
      <c r="L4247" s="14" t="n"/>
      <c r="M4247" s="12" t="n"/>
      <c r="N4247" s="12" t="n"/>
      <c r="O4247" s="12" t="n"/>
    </row>
    <row r="4248">
      <c r="A4248" s="12" t="n"/>
      <c r="B4248" s="13">
        <f>IF($A4248="","",IFERROR(INDEX(Emp_Names,MATCH($A4248,Emp_Codes,0)),"NOT FOUND"))</f>
        <v/>
      </c>
      <c r="C4248" s="14" t="n"/>
      <c r="D4248" s="15" t="n"/>
      <c r="E4248" s="15" t="n"/>
      <c r="F4248" s="15" t="n"/>
      <c r="G4248" s="15" t="n"/>
      <c r="H4248" s="16">
        <f>IF($A4248="","",$D4248+IF($E4248="",0,$E4248)+IF($F4248="",0,$F4248)-IF($G4248="",0,$G4248))</f>
        <v/>
      </c>
      <c r="I4248" s="12" t="n"/>
      <c r="J4248" s="12" t="n"/>
      <c r="K4248" s="12" t="n"/>
      <c r="L4248" s="14" t="n"/>
      <c r="M4248" s="12" t="n"/>
      <c r="N4248" s="12" t="n"/>
      <c r="O4248" s="12" t="n"/>
    </row>
    <row r="4249">
      <c r="A4249" s="12" t="n"/>
      <c r="B4249" s="13">
        <f>IF($A4249="","",IFERROR(INDEX(Emp_Names,MATCH($A4249,Emp_Codes,0)),"NOT FOUND"))</f>
        <v/>
      </c>
      <c r="C4249" s="14" t="n"/>
      <c r="D4249" s="15" t="n"/>
      <c r="E4249" s="15" t="n"/>
      <c r="F4249" s="15" t="n"/>
      <c r="G4249" s="15" t="n"/>
      <c r="H4249" s="16">
        <f>IF($A4249="","",$D4249+IF($E4249="",0,$E4249)+IF($F4249="",0,$F4249)-IF($G4249="",0,$G4249))</f>
        <v/>
      </c>
      <c r="I4249" s="12" t="n"/>
      <c r="J4249" s="12" t="n"/>
      <c r="K4249" s="12" t="n"/>
      <c r="L4249" s="14" t="n"/>
      <c r="M4249" s="12" t="n"/>
      <c r="N4249" s="12" t="n"/>
      <c r="O4249" s="12" t="n"/>
    </row>
    <row r="4250">
      <c r="A4250" s="12" t="n"/>
      <c r="B4250" s="13">
        <f>IF($A4250="","",IFERROR(INDEX(Emp_Names,MATCH($A4250,Emp_Codes,0)),"NOT FOUND"))</f>
        <v/>
      </c>
      <c r="C4250" s="14" t="n"/>
      <c r="D4250" s="15" t="n"/>
      <c r="E4250" s="15" t="n"/>
      <c r="F4250" s="15" t="n"/>
      <c r="G4250" s="15" t="n"/>
      <c r="H4250" s="16">
        <f>IF($A4250="","",$D4250+IF($E4250="",0,$E4250)+IF($F4250="",0,$F4250)-IF($G4250="",0,$G4250))</f>
        <v/>
      </c>
      <c r="I4250" s="12" t="n"/>
      <c r="J4250" s="12" t="n"/>
      <c r="K4250" s="12" t="n"/>
      <c r="L4250" s="14" t="n"/>
      <c r="M4250" s="12" t="n"/>
      <c r="N4250" s="12" t="n"/>
      <c r="O4250" s="12" t="n"/>
    </row>
    <row r="4251">
      <c r="A4251" s="12" t="n"/>
      <c r="B4251" s="13">
        <f>IF($A4251="","",IFERROR(INDEX(Emp_Names,MATCH($A4251,Emp_Codes,0)),"NOT FOUND"))</f>
        <v/>
      </c>
      <c r="C4251" s="14" t="n"/>
      <c r="D4251" s="15" t="n"/>
      <c r="E4251" s="15" t="n"/>
      <c r="F4251" s="15" t="n"/>
      <c r="G4251" s="15" t="n"/>
      <c r="H4251" s="16">
        <f>IF($A4251="","",$D4251+IF($E4251="",0,$E4251)+IF($F4251="",0,$F4251)-IF($G4251="",0,$G4251))</f>
        <v/>
      </c>
      <c r="I4251" s="12" t="n"/>
      <c r="J4251" s="12" t="n"/>
      <c r="K4251" s="12" t="n"/>
      <c r="L4251" s="14" t="n"/>
      <c r="M4251" s="12" t="n"/>
      <c r="N4251" s="12" t="n"/>
      <c r="O4251" s="12" t="n"/>
    </row>
    <row r="4252">
      <c r="A4252" s="12" t="n"/>
      <c r="B4252" s="13">
        <f>IF($A4252="","",IFERROR(INDEX(Emp_Names,MATCH($A4252,Emp_Codes,0)),"NOT FOUND"))</f>
        <v/>
      </c>
      <c r="C4252" s="14" t="n"/>
      <c r="D4252" s="15" t="n"/>
      <c r="E4252" s="15" t="n"/>
      <c r="F4252" s="15" t="n"/>
      <c r="G4252" s="15" t="n"/>
      <c r="H4252" s="16">
        <f>IF($A4252="","",$D4252+IF($E4252="",0,$E4252)+IF($F4252="",0,$F4252)-IF($G4252="",0,$G4252))</f>
        <v/>
      </c>
      <c r="I4252" s="12" t="n"/>
      <c r="J4252" s="12" t="n"/>
      <c r="K4252" s="12" t="n"/>
      <c r="L4252" s="14" t="n"/>
      <c r="M4252" s="12" t="n"/>
      <c r="N4252" s="12" t="n"/>
      <c r="O4252" s="12" t="n"/>
    </row>
    <row r="4253">
      <c r="A4253" s="12" t="n"/>
      <c r="B4253" s="13">
        <f>IF($A4253="","",IFERROR(INDEX(Emp_Names,MATCH($A4253,Emp_Codes,0)),"NOT FOUND"))</f>
        <v/>
      </c>
      <c r="C4253" s="14" t="n"/>
      <c r="D4253" s="15" t="n"/>
      <c r="E4253" s="15" t="n"/>
      <c r="F4253" s="15" t="n"/>
      <c r="G4253" s="15" t="n"/>
      <c r="H4253" s="16">
        <f>IF($A4253="","",$D4253+IF($E4253="",0,$E4253)+IF($F4253="",0,$F4253)-IF($G4253="",0,$G4253))</f>
        <v/>
      </c>
      <c r="I4253" s="12" t="n"/>
      <c r="J4253" s="12" t="n"/>
      <c r="K4253" s="12" t="n"/>
      <c r="L4253" s="14" t="n"/>
      <c r="M4253" s="12" t="n"/>
      <c r="N4253" s="12" t="n"/>
      <c r="O4253" s="12" t="n"/>
    </row>
    <row r="4254">
      <c r="A4254" s="12" t="n"/>
      <c r="B4254" s="13">
        <f>IF($A4254="","",IFERROR(INDEX(Emp_Names,MATCH($A4254,Emp_Codes,0)),"NOT FOUND"))</f>
        <v/>
      </c>
      <c r="C4254" s="14" t="n"/>
      <c r="D4254" s="15" t="n"/>
      <c r="E4254" s="15" t="n"/>
      <c r="F4254" s="15" t="n"/>
      <c r="G4254" s="15" t="n"/>
      <c r="H4254" s="16">
        <f>IF($A4254="","",$D4254+IF($E4254="",0,$E4254)+IF($F4254="",0,$F4254)-IF($G4254="",0,$G4254))</f>
        <v/>
      </c>
      <c r="I4254" s="12" t="n"/>
      <c r="J4254" s="12" t="n"/>
      <c r="K4254" s="12" t="n"/>
      <c r="L4254" s="14" t="n"/>
      <c r="M4254" s="12" t="n"/>
      <c r="N4254" s="12" t="n"/>
      <c r="O4254" s="12" t="n"/>
    </row>
    <row r="4255">
      <c r="A4255" s="12" t="n"/>
      <c r="B4255" s="13">
        <f>IF($A4255="","",IFERROR(INDEX(Emp_Names,MATCH($A4255,Emp_Codes,0)),"NOT FOUND"))</f>
        <v/>
      </c>
      <c r="C4255" s="14" t="n"/>
      <c r="D4255" s="15" t="n"/>
      <c r="E4255" s="15" t="n"/>
      <c r="F4255" s="15" t="n"/>
      <c r="G4255" s="15" t="n"/>
      <c r="H4255" s="16">
        <f>IF($A4255="","",$D4255+IF($E4255="",0,$E4255)+IF($F4255="",0,$F4255)-IF($G4255="",0,$G4255))</f>
        <v/>
      </c>
      <c r="I4255" s="12" t="n"/>
      <c r="J4255" s="12" t="n"/>
      <c r="K4255" s="12" t="n"/>
      <c r="L4255" s="14" t="n"/>
      <c r="M4255" s="12" t="n"/>
      <c r="N4255" s="12" t="n"/>
      <c r="O4255" s="12" t="n"/>
    </row>
    <row r="4256">
      <c r="A4256" s="12" t="n"/>
      <c r="B4256" s="13">
        <f>IF($A4256="","",IFERROR(INDEX(Emp_Names,MATCH($A4256,Emp_Codes,0)),"NOT FOUND"))</f>
        <v/>
      </c>
      <c r="C4256" s="14" t="n"/>
      <c r="D4256" s="15" t="n"/>
      <c r="E4256" s="15" t="n"/>
      <c r="F4256" s="15" t="n"/>
      <c r="G4256" s="15" t="n"/>
      <c r="H4256" s="16">
        <f>IF($A4256="","",$D4256+IF($E4256="",0,$E4256)+IF($F4256="",0,$F4256)-IF($G4256="",0,$G4256))</f>
        <v/>
      </c>
      <c r="I4256" s="12" t="n"/>
      <c r="J4256" s="12" t="n"/>
      <c r="K4256" s="12" t="n"/>
      <c r="L4256" s="14" t="n"/>
      <c r="M4256" s="12" t="n"/>
      <c r="N4256" s="12" t="n"/>
      <c r="O4256" s="12" t="n"/>
    </row>
    <row r="4257">
      <c r="A4257" s="12" t="n"/>
      <c r="B4257" s="13">
        <f>IF($A4257="","",IFERROR(INDEX(Emp_Names,MATCH($A4257,Emp_Codes,0)),"NOT FOUND"))</f>
        <v/>
      </c>
      <c r="C4257" s="14" t="n"/>
      <c r="D4257" s="15" t="n"/>
      <c r="E4257" s="15" t="n"/>
      <c r="F4257" s="15" t="n"/>
      <c r="G4257" s="15" t="n"/>
      <c r="H4257" s="16">
        <f>IF($A4257="","",$D4257+IF($E4257="",0,$E4257)+IF($F4257="",0,$F4257)-IF($G4257="",0,$G4257))</f>
        <v/>
      </c>
      <c r="I4257" s="12" t="n"/>
      <c r="J4257" s="12" t="n"/>
      <c r="K4257" s="12" t="n"/>
      <c r="L4257" s="14" t="n"/>
      <c r="M4257" s="12" t="n"/>
      <c r="N4257" s="12" t="n"/>
      <c r="O4257" s="12" t="n"/>
    </row>
    <row r="4258">
      <c r="A4258" s="12" t="n"/>
      <c r="B4258" s="13">
        <f>IF($A4258="","",IFERROR(INDEX(Emp_Names,MATCH($A4258,Emp_Codes,0)),"NOT FOUND"))</f>
        <v/>
      </c>
      <c r="C4258" s="14" t="n"/>
      <c r="D4258" s="15" t="n"/>
      <c r="E4258" s="15" t="n"/>
      <c r="F4258" s="15" t="n"/>
      <c r="G4258" s="15" t="n"/>
      <c r="H4258" s="16">
        <f>IF($A4258="","",$D4258+IF($E4258="",0,$E4258)+IF($F4258="",0,$F4258)-IF($G4258="",0,$G4258))</f>
        <v/>
      </c>
      <c r="I4258" s="12" t="n"/>
      <c r="J4258" s="12" t="n"/>
      <c r="K4258" s="12" t="n"/>
      <c r="L4258" s="14" t="n"/>
      <c r="M4258" s="12" t="n"/>
      <c r="N4258" s="12" t="n"/>
      <c r="O4258" s="12" t="n"/>
    </row>
    <row r="4259">
      <c r="A4259" s="12" t="n"/>
      <c r="B4259" s="13">
        <f>IF($A4259="","",IFERROR(INDEX(Emp_Names,MATCH($A4259,Emp_Codes,0)),"NOT FOUND"))</f>
        <v/>
      </c>
      <c r="C4259" s="14" t="n"/>
      <c r="D4259" s="15" t="n"/>
      <c r="E4259" s="15" t="n"/>
      <c r="F4259" s="15" t="n"/>
      <c r="G4259" s="15" t="n"/>
      <c r="H4259" s="16">
        <f>IF($A4259="","",$D4259+IF($E4259="",0,$E4259)+IF($F4259="",0,$F4259)-IF($G4259="",0,$G4259))</f>
        <v/>
      </c>
      <c r="I4259" s="12" t="n"/>
      <c r="J4259" s="12" t="n"/>
      <c r="K4259" s="12" t="n"/>
      <c r="L4259" s="14" t="n"/>
      <c r="M4259" s="12" t="n"/>
      <c r="N4259" s="12" t="n"/>
      <c r="O4259" s="12" t="n"/>
    </row>
    <row r="4260">
      <c r="A4260" s="12" t="n"/>
      <c r="B4260" s="13">
        <f>IF($A4260="","",IFERROR(INDEX(Emp_Names,MATCH($A4260,Emp_Codes,0)),"NOT FOUND"))</f>
        <v/>
      </c>
      <c r="C4260" s="14" t="n"/>
      <c r="D4260" s="15" t="n"/>
      <c r="E4260" s="15" t="n"/>
      <c r="F4260" s="15" t="n"/>
      <c r="G4260" s="15" t="n"/>
      <c r="H4260" s="16">
        <f>IF($A4260="","",$D4260+IF($E4260="",0,$E4260)+IF($F4260="",0,$F4260)-IF($G4260="",0,$G4260))</f>
        <v/>
      </c>
      <c r="I4260" s="12" t="n"/>
      <c r="J4260" s="12" t="n"/>
      <c r="K4260" s="12" t="n"/>
      <c r="L4260" s="14" t="n"/>
      <c r="M4260" s="12" t="n"/>
      <c r="N4260" s="12" t="n"/>
      <c r="O4260" s="12" t="n"/>
    </row>
    <row r="4261">
      <c r="A4261" s="12" t="n"/>
      <c r="B4261" s="13">
        <f>IF($A4261="","",IFERROR(INDEX(Emp_Names,MATCH($A4261,Emp_Codes,0)),"NOT FOUND"))</f>
        <v/>
      </c>
      <c r="C4261" s="14" t="n"/>
      <c r="D4261" s="15" t="n"/>
      <c r="E4261" s="15" t="n"/>
      <c r="F4261" s="15" t="n"/>
      <c r="G4261" s="15" t="n"/>
      <c r="H4261" s="16">
        <f>IF($A4261="","",$D4261+IF($E4261="",0,$E4261)+IF($F4261="",0,$F4261)-IF($G4261="",0,$G4261))</f>
        <v/>
      </c>
      <c r="I4261" s="12" t="n"/>
      <c r="J4261" s="12" t="n"/>
      <c r="K4261" s="12" t="n"/>
      <c r="L4261" s="14" t="n"/>
      <c r="M4261" s="12" t="n"/>
      <c r="N4261" s="12" t="n"/>
      <c r="O4261" s="12" t="n"/>
    </row>
    <row r="4262">
      <c r="A4262" s="12" t="n"/>
      <c r="B4262" s="13">
        <f>IF($A4262="","",IFERROR(INDEX(Emp_Names,MATCH($A4262,Emp_Codes,0)),"NOT FOUND"))</f>
        <v/>
      </c>
      <c r="C4262" s="14" t="n"/>
      <c r="D4262" s="15" t="n"/>
      <c r="E4262" s="15" t="n"/>
      <c r="F4262" s="15" t="n"/>
      <c r="G4262" s="15" t="n"/>
      <c r="H4262" s="16">
        <f>IF($A4262="","",$D4262+IF($E4262="",0,$E4262)+IF($F4262="",0,$F4262)-IF($G4262="",0,$G4262))</f>
        <v/>
      </c>
      <c r="I4262" s="12" t="n"/>
      <c r="J4262" s="12" t="n"/>
      <c r="K4262" s="12" t="n"/>
      <c r="L4262" s="14" t="n"/>
      <c r="M4262" s="12" t="n"/>
      <c r="N4262" s="12" t="n"/>
      <c r="O4262" s="12" t="n"/>
    </row>
    <row r="4263">
      <c r="A4263" s="12" t="n"/>
      <c r="B4263" s="13">
        <f>IF($A4263="","",IFERROR(INDEX(Emp_Names,MATCH($A4263,Emp_Codes,0)),"NOT FOUND"))</f>
        <v/>
      </c>
      <c r="C4263" s="14" t="n"/>
      <c r="D4263" s="15" t="n"/>
      <c r="E4263" s="15" t="n"/>
      <c r="F4263" s="15" t="n"/>
      <c r="G4263" s="15" t="n"/>
      <c r="H4263" s="16">
        <f>IF($A4263="","",$D4263+IF($E4263="",0,$E4263)+IF($F4263="",0,$F4263)-IF($G4263="",0,$G4263))</f>
        <v/>
      </c>
      <c r="I4263" s="12" t="n"/>
      <c r="J4263" s="12" t="n"/>
      <c r="K4263" s="12" t="n"/>
      <c r="L4263" s="14" t="n"/>
      <c r="M4263" s="12" t="n"/>
      <c r="N4263" s="12" t="n"/>
      <c r="O4263" s="12" t="n"/>
    </row>
    <row r="4264">
      <c r="A4264" s="12" t="n"/>
      <c r="B4264" s="13">
        <f>IF($A4264="","",IFERROR(INDEX(Emp_Names,MATCH($A4264,Emp_Codes,0)),"NOT FOUND"))</f>
        <v/>
      </c>
      <c r="C4264" s="14" t="n"/>
      <c r="D4264" s="15" t="n"/>
      <c r="E4264" s="15" t="n"/>
      <c r="F4264" s="15" t="n"/>
      <c r="G4264" s="15" t="n"/>
      <c r="H4264" s="16">
        <f>IF($A4264="","",$D4264+IF($E4264="",0,$E4264)+IF($F4264="",0,$F4264)-IF($G4264="",0,$G4264))</f>
        <v/>
      </c>
      <c r="I4264" s="12" t="n"/>
      <c r="J4264" s="12" t="n"/>
      <c r="K4264" s="12" t="n"/>
      <c r="L4264" s="14" t="n"/>
      <c r="M4264" s="12" t="n"/>
      <c r="N4264" s="12" t="n"/>
      <c r="O4264" s="12" t="n"/>
    </row>
    <row r="4265">
      <c r="A4265" s="12" t="n"/>
      <c r="B4265" s="13">
        <f>IF($A4265="","",IFERROR(INDEX(Emp_Names,MATCH($A4265,Emp_Codes,0)),"NOT FOUND"))</f>
        <v/>
      </c>
      <c r="C4265" s="14" t="n"/>
      <c r="D4265" s="15" t="n"/>
      <c r="E4265" s="15" t="n"/>
      <c r="F4265" s="15" t="n"/>
      <c r="G4265" s="15" t="n"/>
      <c r="H4265" s="16">
        <f>IF($A4265="","",$D4265+IF($E4265="",0,$E4265)+IF($F4265="",0,$F4265)-IF($G4265="",0,$G4265))</f>
        <v/>
      </c>
      <c r="I4265" s="12" t="n"/>
      <c r="J4265" s="12" t="n"/>
      <c r="K4265" s="12" t="n"/>
      <c r="L4265" s="14" t="n"/>
      <c r="M4265" s="12" t="n"/>
      <c r="N4265" s="12" t="n"/>
      <c r="O4265" s="12" t="n"/>
    </row>
    <row r="4266">
      <c r="A4266" s="12" t="n"/>
      <c r="B4266" s="13">
        <f>IF($A4266="","",IFERROR(INDEX(Emp_Names,MATCH($A4266,Emp_Codes,0)),"NOT FOUND"))</f>
        <v/>
      </c>
      <c r="C4266" s="14" t="n"/>
      <c r="D4266" s="15" t="n"/>
      <c r="E4266" s="15" t="n"/>
      <c r="F4266" s="15" t="n"/>
      <c r="G4266" s="15" t="n"/>
      <c r="H4266" s="16">
        <f>IF($A4266="","",$D4266+IF($E4266="",0,$E4266)+IF($F4266="",0,$F4266)-IF($G4266="",0,$G4266))</f>
        <v/>
      </c>
      <c r="I4266" s="12" t="n"/>
      <c r="J4266" s="12" t="n"/>
      <c r="K4266" s="12" t="n"/>
      <c r="L4266" s="14" t="n"/>
      <c r="M4266" s="12" t="n"/>
      <c r="N4266" s="12" t="n"/>
      <c r="O4266" s="12" t="n"/>
    </row>
    <row r="4267">
      <c r="A4267" s="12" t="n"/>
      <c r="B4267" s="13">
        <f>IF($A4267="","",IFERROR(INDEX(Emp_Names,MATCH($A4267,Emp_Codes,0)),"NOT FOUND"))</f>
        <v/>
      </c>
      <c r="C4267" s="14" t="n"/>
      <c r="D4267" s="15" t="n"/>
      <c r="E4267" s="15" t="n"/>
      <c r="F4267" s="15" t="n"/>
      <c r="G4267" s="15" t="n"/>
      <c r="H4267" s="16">
        <f>IF($A4267="","",$D4267+IF($E4267="",0,$E4267)+IF($F4267="",0,$F4267)-IF($G4267="",0,$G4267))</f>
        <v/>
      </c>
      <c r="I4267" s="12" t="n"/>
      <c r="J4267" s="12" t="n"/>
      <c r="K4267" s="12" t="n"/>
      <c r="L4267" s="14" t="n"/>
      <c r="M4267" s="12" t="n"/>
      <c r="N4267" s="12" t="n"/>
      <c r="O4267" s="12" t="n"/>
    </row>
    <row r="4268">
      <c r="A4268" s="12" t="n"/>
      <c r="B4268" s="13">
        <f>IF($A4268="","",IFERROR(INDEX(Emp_Names,MATCH($A4268,Emp_Codes,0)),"NOT FOUND"))</f>
        <v/>
      </c>
      <c r="C4268" s="14" t="n"/>
      <c r="D4268" s="15" t="n"/>
      <c r="E4268" s="15" t="n"/>
      <c r="F4268" s="15" t="n"/>
      <c r="G4268" s="15" t="n"/>
      <c r="H4268" s="16">
        <f>IF($A4268="","",$D4268+IF($E4268="",0,$E4268)+IF($F4268="",0,$F4268)-IF($G4268="",0,$G4268))</f>
        <v/>
      </c>
      <c r="I4268" s="12" t="n"/>
      <c r="J4268" s="12" t="n"/>
      <c r="K4268" s="12" t="n"/>
      <c r="L4268" s="14" t="n"/>
      <c r="M4268" s="12" t="n"/>
      <c r="N4268" s="12" t="n"/>
      <c r="O4268" s="12" t="n"/>
    </row>
    <row r="4269">
      <c r="A4269" s="12" t="n"/>
      <c r="B4269" s="13">
        <f>IF($A4269="","",IFERROR(INDEX(Emp_Names,MATCH($A4269,Emp_Codes,0)),"NOT FOUND"))</f>
        <v/>
      </c>
      <c r="C4269" s="14" t="n"/>
      <c r="D4269" s="15" t="n"/>
      <c r="E4269" s="15" t="n"/>
      <c r="F4269" s="15" t="n"/>
      <c r="G4269" s="15" t="n"/>
      <c r="H4269" s="16">
        <f>IF($A4269="","",$D4269+IF($E4269="",0,$E4269)+IF($F4269="",0,$F4269)-IF($G4269="",0,$G4269))</f>
        <v/>
      </c>
      <c r="I4269" s="12" t="n"/>
      <c r="J4269" s="12" t="n"/>
      <c r="K4269" s="12" t="n"/>
      <c r="L4269" s="14" t="n"/>
      <c r="M4269" s="12" t="n"/>
      <c r="N4269" s="12" t="n"/>
      <c r="O4269" s="12" t="n"/>
    </row>
    <row r="4270">
      <c r="A4270" s="12" t="n"/>
      <c r="B4270" s="13">
        <f>IF($A4270="","",IFERROR(INDEX(Emp_Names,MATCH($A4270,Emp_Codes,0)),"NOT FOUND"))</f>
        <v/>
      </c>
      <c r="C4270" s="14" t="n"/>
      <c r="D4270" s="15" t="n"/>
      <c r="E4270" s="15" t="n"/>
      <c r="F4270" s="15" t="n"/>
      <c r="G4270" s="15" t="n"/>
      <c r="H4270" s="16">
        <f>IF($A4270="","",$D4270+IF($E4270="",0,$E4270)+IF($F4270="",0,$F4270)-IF($G4270="",0,$G4270))</f>
        <v/>
      </c>
      <c r="I4270" s="12" t="n"/>
      <c r="J4270" s="12" t="n"/>
      <c r="K4270" s="12" t="n"/>
      <c r="L4270" s="14" t="n"/>
      <c r="M4270" s="12" t="n"/>
      <c r="N4270" s="12" t="n"/>
      <c r="O4270" s="12" t="n"/>
    </row>
    <row r="4271">
      <c r="A4271" s="12" t="n"/>
      <c r="B4271" s="13">
        <f>IF($A4271="","",IFERROR(INDEX(Emp_Names,MATCH($A4271,Emp_Codes,0)),"NOT FOUND"))</f>
        <v/>
      </c>
      <c r="C4271" s="14" t="n"/>
      <c r="D4271" s="15" t="n"/>
      <c r="E4271" s="15" t="n"/>
      <c r="F4271" s="15" t="n"/>
      <c r="G4271" s="15" t="n"/>
      <c r="H4271" s="16">
        <f>IF($A4271="","",$D4271+IF($E4271="",0,$E4271)+IF($F4271="",0,$F4271)-IF($G4271="",0,$G4271))</f>
        <v/>
      </c>
      <c r="I4271" s="12" t="n"/>
      <c r="J4271" s="12" t="n"/>
      <c r="K4271" s="12" t="n"/>
      <c r="L4271" s="14" t="n"/>
      <c r="M4271" s="12" t="n"/>
      <c r="N4271" s="12" t="n"/>
      <c r="O4271" s="12" t="n"/>
    </row>
    <row r="4272">
      <c r="A4272" s="12" t="n"/>
      <c r="B4272" s="13">
        <f>IF($A4272="","",IFERROR(INDEX(Emp_Names,MATCH($A4272,Emp_Codes,0)),"NOT FOUND"))</f>
        <v/>
      </c>
      <c r="C4272" s="14" t="n"/>
      <c r="D4272" s="15" t="n"/>
      <c r="E4272" s="15" t="n"/>
      <c r="F4272" s="15" t="n"/>
      <c r="G4272" s="15" t="n"/>
      <c r="H4272" s="16">
        <f>IF($A4272="","",$D4272+IF($E4272="",0,$E4272)+IF($F4272="",0,$F4272)-IF($G4272="",0,$G4272))</f>
        <v/>
      </c>
      <c r="I4272" s="12" t="n"/>
      <c r="J4272" s="12" t="n"/>
      <c r="K4272" s="12" t="n"/>
      <c r="L4272" s="14" t="n"/>
      <c r="M4272" s="12" t="n"/>
      <c r="N4272" s="12" t="n"/>
      <c r="O4272" s="12" t="n"/>
    </row>
    <row r="4273">
      <c r="A4273" s="12" t="n"/>
      <c r="B4273" s="13">
        <f>IF($A4273="","",IFERROR(INDEX(Emp_Names,MATCH($A4273,Emp_Codes,0)),"NOT FOUND"))</f>
        <v/>
      </c>
      <c r="C4273" s="14" t="n"/>
      <c r="D4273" s="15" t="n"/>
      <c r="E4273" s="15" t="n"/>
      <c r="F4273" s="15" t="n"/>
      <c r="G4273" s="15" t="n"/>
      <c r="H4273" s="16">
        <f>IF($A4273="","",$D4273+IF($E4273="",0,$E4273)+IF($F4273="",0,$F4273)-IF($G4273="",0,$G4273))</f>
        <v/>
      </c>
      <c r="I4273" s="12" t="n"/>
      <c r="J4273" s="12" t="n"/>
      <c r="K4273" s="12" t="n"/>
      <c r="L4273" s="14" t="n"/>
      <c r="M4273" s="12" t="n"/>
      <c r="N4273" s="12" t="n"/>
      <c r="O4273" s="12" t="n"/>
    </row>
    <row r="4274">
      <c r="A4274" s="12" t="n"/>
      <c r="B4274" s="13">
        <f>IF($A4274="","",IFERROR(INDEX(Emp_Names,MATCH($A4274,Emp_Codes,0)),"NOT FOUND"))</f>
        <v/>
      </c>
      <c r="C4274" s="14" t="n"/>
      <c r="D4274" s="15" t="n"/>
      <c r="E4274" s="15" t="n"/>
      <c r="F4274" s="15" t="n"/>
      <c r="G4274" s="15" t="n"/>
      <c r="H4274" s="16">
        <f>IF($A4274="","",$D4274+IF($E4274="",0,$E4274)+IF($F4274="",0,$F4274)-IF($G4274="",0,$G4274))</f>
        <v/>
      </c>
      <c r="I4274" s="12" t="n"/>
      <c r="J4274" s="12" t="n"/>
      <c r="K4274" s="12" t="n"/>
      <c r="L4274" s="14" t="n"/>
      <c r="M4274" s="12" t="n"/>
      <c r="N4274" s="12" t="n"/>
      <c r="O4274" s="12" t="n"/>
    </row>
    <row r="4275">
      <c r="A4275" s="12" t="n"/>
      <c r="B4275" s="13">
        <f>IF($A4275="","",IFERROR(INDEX(Emp_Names,MATCH($A4275,Emp_Codes,0)),"NOT FOUND"))</f>
        <v/>
      </c>
      <c r="C4275" s="14" t="n"/>
      <c r="D4275" s="15" t="n"/>
      <c r="E4275" s="15" t="n"/>
      <c r="F4275" s="15" t="n"/>
      <c r="G4275" s="15" t="n"/>
      <c r="H4275" s="16">
        <f>IF($A4275="","",$D4275+IF($E4275="",0,$E4275)+IF($F4275="",0,$F4275)-IF($G4275="",0,$G4275))</f>
        <v/>
      </c>
      <c r="I4275" s="12" t="n"/>
      <c r="J4275" s="12" t="n"/>
      <c r="K4275" s="12" t="n"/>
      <c r="L4275" s="14" t="n"/>
      <c r="M4275" s="12" t="n"/>
      <c r="N4275" s="12" t="n"/>
      <c r="O4275" s="12" t="n"/>
    </row>
    <row r="4276">
      <c r="A4276" s="12" t="n"/>
      <c r="B4276" s="13">
        <f>IF($A4276="","",IFERROR(INDEX(Emp_Names,MATCH($A4276,Emp_Codes,0)),"NOT FOUND"))</f>
        <v/>
      </c>
      <c r="C4276" s="14" t="n"/>
      <c r="D4276" s="15" t="n"/>
      <c r="E4276" s="15" t="n"/>
      <c r="F4276" s="15" t="n"/>
      <c r="G4276" s="15" t="n"/>
      <c r="H4276" s="16">
        <f>IF($A4276="","",$D4276+IF($E4276="",0,$E4276)+IF($F4276="",0,$F4276)-IF($G4276="",0,$G4276))</f>
        <v/>
      </c>
      <c r="I4276" s="12" t="n"/>
      <c r="J4276" s="12" t="n"/>
      <c r="K4276" s="12" t="n"/>
      <c r="L4276" s="14" t="n"/>
      <c r="M4276" s="12" t="n"/>
      <c r="N4276" s="12" t="n"/>
      <c r="O4276" s="12" t="n"/>
    </row>
    <row r="4277">
      <c r="A4277" s="12" t="n"/>
      <c r="B4277" s="13">
        <f>IF($A4277="","",IFERROR(INDEX(Emp_Names,MATCH($A4277,Emp_Codes,0)),"NOT FOUND"))</f>
        <v/>
      </c>
      <c r="C4277" s="14" t="n"/>
      <c r="D4277" s="15" t="n"/>
      <c r="E4277" s="15" t="n"/>
      <c r="F4277" s="15" t="n"/>
      <c r="G4277" s="15" t="n"/>
      <c r="H4277" s="16">
        <f>IF($A4277="","",$D4277+IF($E4277="",0,$E4277)+IF($F4277="",0,$F4277)-IF($G4277="",0,$G4277))</f>
        <v/>
      </c>
      <c r="I4277" s="12" t="n"/>
      <c r="J4277" s="12" t="n"/>
      <c r="K4277" s="12" t="n"/>
      <c r="L4277" s="14" t="n"/>
      <c r="M4277" s="12" t="n"/>
      <c r="N4277" s="12" t="n"/>
      <c r="O4277" s="12" t="n"/>
    </row>
    <row r="4278">
      <c r="A4278" s="12" t="n"/>
      <c r="B4278" s="13">
        <f>IF($A4278="","",IFERROR(INDEX(Emp_Names,MATCH($A4278,Emp_Codes,0)),"NOT FOUND"))</f>
        <v/>
      </c>
      <c r="C4278" s="14" t="n"/>
      <c r="D4278" s="15" t="n"/>
      <c r="E4278" s="15" t="n"/>
      <c r="F4278" s="15" t="n"/>
      <c r="G4278" s="15" t="n"/>
      <c r="H4278" s="16">
        <f>IF($A4278="","",$D4278+IF($E4278="",0,$E4278)+IF($F4278="",0,$F4278)-IF($G4278="",0,$G4278))</f>
        <v/>
      </c>
      <c r="I4278" s="12" t="n"/>
      <c r="J4278" s="12" t="n"/>
      <c r="K4278" s="12" t="n"/>
      <c r="L4278" s="14" t="n"/>
      <c r="M4278" s="12" t="n"/>
      <c r="N4278" s="12" t="n"/>
      <c r="O4278" s="12" t="n"/>
    </row>
    <row r="4279">
      <c r="A4279" s="12" t="n"/>
      <c r="B4279" s="13">
        <f>IF($A4279="","",IFERROR(INDEX(Emp_Names,MATCH($A4279,Emp_Codes,0)),"NOT FOUND"))</f>
        <v/>
      </c>
      <c r="C4279" s="14" t="n"/>
      <c r="D4279" s="15" t="n"/>
      <c r="E4279" s="15" t="n"/>
      <c r="F4279" s="15" t="n"/>
      <c r="G4279" s="15" t="n"/>
      <c r="H4279" s="16">
        <f>IF($A4279="","",$D4279+IF($E4279="",0,$E4279)+IF($F4279="",0,$F4279)-IF($G4279="",0,$G4279))</f>
        <v/>
      </c>
      <c r="I4279" s="12" t="n"/>
      <c r="J4279" s="12" t="n"/>
      <c r="K4279" s="12" t="n"/>
      <c r="L4279" s="14" t="n"/>
      <c r="M4279" s="12" t="n"/>
      <c r="N4279" s="12" t="n"/>
      <c r="O4279" s="12" t="n"/>
    </row>
    <row r="4280">
      <c r="A4280" s="12" t="n"/>
      <c r="B4280" s="13">
        <f>IF($A4280="","",IFERROR(INDEX(Emp_Names,MATCH($A4280,Emp_Codes,0)),"NOT FOUND"))</f>
        <v/>
      </c>
      <c r="C4280" s="14" t="n"/>
      <c r="D4280" s="15" t="n"/>
      <c r="E4280" s="15" t="n"/>
      <c r="F4280" s="15" t="n"/>
      <c r="G4280" s="15" t="n"/>
      <c r="H4280" s="16">
        <f>IF($A4280="","",$D4280+IF($E4280="",0,$E4280)+IF($F4280="",0,$F4280)-IF($G4280="",0,$G4280))</f>
        <v/>
      </c>
      <c r="I4280" s="12" t="n"/>
      <c r="J4280" s="12" t="n"/>
      <c r="K4280" s="12" t="n"/>
      <c r="L4280" s="14" t="n"/>
      <c r="M4280" s="12" t="n"/>
      <c r="N4280" s="12" t="n"/>
      <c r="O4280" s="12" t="n"/>
    </row>
    <row r="4281">
      <c r="A4281" s="12" t="n"/>
      <c r="B4281" s="13">
        <f>IF($A4281="","",IFERROR(INDEX(Emp_Names,MATCH($A4281,Emp_Codes,0)),"NOT FOUND"))</f>
        <v/>
      </c>
      <c r="C4281" s="14" t="n"/>
      <c r="D4281" s="15" t="n"/>
      <c r="E4281" s="15" t="n"/>
      <c r="F4281" s="15" t="n"/>
      <c r="G4281" s="15" t="n"/>
      <c r="H4281" s="16">
        <f>IF($A4281="","",$D4281+IF($E4281="",0,$E4281)+IF($F4281="",0,$F4281)-IF($G4281="",0,$G4281))</f>
        <v/>
      </c>
      <c r="I4281" s="12" t="n"/>
      <c r="J4281" s="12" t="n"/>
      <c r="K4281" s="12" t="n"/>
      <c r="L4281" s="14" t="n"/>
      <c r="M4281" s="12" t="n"/>
      <c r="N4281" s="12" t="n"/>
      <c r="O4281" s="12" t="n"/>
    </row>
    <row r="4282">
      <c r="A4282" s="12" t="n"/>
      <c r="B4282" s="13">
        <f>IF($A4282="","",IFERROR(INDEX(Emp_Names,MATCH($A4282,Emp_Codes,0)),"NOT FOUND"))</f>
        <v/>
      </c>
      <c r="C4282" s="14" t="n"/>
      <c r="D4282" s="15" t="n"/>
      <c r="E4282" s="15" t="n"/>
      <c r="F4282" s="15" t="n"/>
      <c r="G4282" s="15" t="n"/>
      <c r="H4282" s="16">
        <f>IF($A4282="","",$D4282+IF($E4282="",0,$E4282)+IF($F4282="",0,$F4282)-IF($G4282="",0,$G4282))</f>
        <v/>
      </c>
      <c r="I4282" s="12" t="n"/>
      <c r="J4282" s="12" t="n"/>
      <c r="K4282" s="12" t="n"/>
      <c r="L4282" s="14" t="n"/>
      <c r="M4282" s="12" t="n"/>
      <c r="N4282" s="12" t="n"/>
      <c r="O4282" s="12" t="n"/>
    </row>
    <row r="4283">
      <c r="A4283" s="12" t="n"/>
      <c r="B4283" s="13">
        <f>IF($A4283="","",IFERROR(INDEX(Emp_Names,MATCH($A4283,Emp_Codes,0)),"NOT FOUND"))</f>
        <v/>
      </c>
      <c r="C4283" s="14" t="n"/>
      <c r="D4283" s="15" t="n"/>
      <c r="E4283" s="15" t="n"/>
      <c r="F4283" s="15" t="n"/>
      <c r="G4283" s="15" t="n"/>
      <c r="H4283" s="16">
        <f>IF($A4283="","",$D4283+IF($E4283="",0,$E4283)+IF($F4283="",0,$F4283)-IF($G4283="",0,$G4283))</f>
        <v/>
      </c>
      <c r="I4283" s="12" t="n"/>
      <c r="J4283" s="12" t="n"/>
      <c r="K4283" s="12" t="n"/>
      <c r="L4283" s="14" t="n"/>
      <c r="M4283" s="12" t="n"/>
      <c r="N4283" s="12" t="n"/>
      <c r="O4283" s="12" t="n"/>
    </row>
    <row r="4284">
      <c r="A4284" s="12" t="n"/>
      <c r="B4284" s="13">
        <f>IF($A4284="","",IFERROR(INDEX(Emp_Names,MATCH($A4284,Emp_Codes,0)),"NOT FOUND"))</f>
        <v/>
      </c>
      <c r="C4284" s="14" t="n"/>
      <c r="D4284" s="15" t="n"/>
      <c r="E4284" s="15" t="n"/>
      <c r="F4284" s="15" t="n"/>
      <c r="G4284" s="15" t="n"/>
      <c r="H4284" s="16">
        <f>IF($A4284="","",$D4284+IF($E4284="",0,$E4284)+IF($F4284="",0,$F4284)-IF($G4284="",0,$G4284))</f>
        <v/>
      </c>
      <c r="I4284" s="12" t="n"/>
      <c r="J4284" s="12" t="n"/>
      <c r="K4284" s="12" t="n"/>
      <c r="L4284" s="14" t="n"/>
      <c r="M4284" s="12" t="n"/>
      <c r="N4284" s="12" t="n"/>
      <c r="O4284" s="12" t="n"/>
    </row>
    <row r="4285">
      <c r="A4285" s="12" t="n"/>
      <c r="B4285" s="13">
        <f>IF($A4285="","",IFERROR(INDEX(Emp_Names,MATCH($A4285,Emp_Codes,0)),"NOT FOUND"))</f>
        <v/>
      </c>
      <c r="C4285" s="14" t="n"/>
      <c r="D4285" s="15" t="n"/>
      <c r="E4285" s="15" t="n"/>
      <c r="F4285" s="15" t="n"/>
      <c r="G4285" s="15" t="n"/>
      <c r="H4285" s="16">
        <f>IF($A4285="","",$D4285+IF($E4285="",0,$E4285)+IF($F4285="",0,$F4285)-IF($G4285="",0,$G4285))</f>
        <v/>
      </c>
      <c r="I4285" s="12" t="n"/>
      <c r="J4285" s="12" t="n"/>
      <c r="K4285" s="12" t="n"/>
      <c r="L4285" s="14" t="n"/>
      <c r="M4285" s="12" t="n"/>
      <c r="N4285" s="12" t="n"/>
      <c r="O4285" s="12" t="n"/>
    </row>
    <row r="4286">
      <c r="A4286" s="12" t="n"/>
      <c r="B4286" s="13">
        <f>IF($A4286="","",IFERROR(INDEX(Emp_Names,MATCH($A4286,Emp_Codes,0)),"NOT FOUND"))</f>
        <v/>
      </c>
      <c r="C4286" s="14" t="n"/>
      <c r="D4286" s="15" t="n"/>
      <c r="E4286" s="15" t="n"/>
      <c r="F4286" s="15" t="n"/>
      <c r="G4286" s="15" t="n"/>
      <c r="H4286" s="16">
        <f>IF($A4286="","",$D4286+IF($E4286="",0,$E4286)+IF($F4286="",0,$F4286)-IF($G4286="",0,$G4286))</f>
        <v/>
      </c>
      <c r="I4286" s="12" t="n"/>
      <c r="J4286" s="12" t="n"/>
      <c r="K4286" s="12" t="n"/>
      <c r="L4286" s="14" t="n"/>
      <c r="M4286" s="12" t="n"/>
      <c r="N4286" s="12" t="n"/>
      <c r="O4286" s="12" t="n"/>
    </row>
    <row r="4287">
      <c r="A4287" s="12" t="n"/>
      <c r="B4287" s="13">
        <f>IF($A4287="","",IFERROR(INDEX(Emp_Names,MATCH($A4287,Emp_Codes,0)),"NOT FOUND"))</f>
        <v/>
      </c>
      <c r="C4287" s="14" t="n"/>
      <c r="D4287" s="15" t="n"/>
      <c r="E4287" s="15" t="n"/>
      <c r="F4287" s="15" t="n"/>
      <c r="G4287" s="15" t="n"/>
      <c r="H4287" s="16">
        <f>IF($A4287="","",$D4287+IF($E4287="",0,$E4287)+IF($F4287="",0,$F4287)-IF($G4287="",0,$G4287))</f>
        <v/>
      </c>
      <c r="I4287" s="12" t="n"/>
      <c r="J4287" s="12" t="n"/>
      <c r="K4287" s="12" t="n"/>
      <c r="L4287" s="14" t="n"/>
      <c r="M4287" s="12" t="n"/>
      <c r="N4287" s="12" t="n"/>
      <c r="O4287" s="12" t="n"/>
    </row>
    <row r="4288">
      <c r="A4288" s="12" t="n"/>
      <c r="B4288" s="13">
        <f>IF($A4288="","",IFERROR(INDEX(Emp_Names,MATCH($A4288,Emp_Codes,0)),"NOT FOUND"))</f>
        <v/>
      </c>
      <c r="C4288" s="14" t="n"/>
      <c r="D4288" s="15" t="n"/>
      <c r="E4288" s="15" t="n"/>
      <c r="F4288" s="15" t="n"/>
      <c r="G4288" s="15" t="n"/>
      <c r="H4288" s="16">
        <f>IF($A4288="","",$D4288+IF($E4288="",0,$E4288)+IF($F4288="",0,$F4288)-IF($G4288="",0,$G4288))</f>
        <v/>
      </c>
      <c r="I4288" s="12" t="n"/>
      <c r="J4288" s="12" t="n"/>
      <c r="K4288" s="12" t="n"/>
      <c r="L4288" s="14" t="n"/>
      <c r="M4288" s="12" t="n"/>
      <c r="N4288" s="12" t="n"/>
      <c r="O4288" s="12" t="n"/>
    </row>
    <row r="4289">
      <c r="A4289" s="12" t="n"/>
      <c r="B4289" s="13">
        <f>IF($A4289="","",IFERROR(INDEX(Emp_Names,MATCH($A4289,Emp_Codes,0)),"NOT FOUND"))</f>
        <v/>
      </c>
      <c r="C4289" s="14" t="n"/>
      <c r="D4289" s="15" t="n"/>
      <c r="E4289" s="15" t="n"/>
      <c r="F4289" s="15" t="n"/>
      <c r="G4289" s="15" t="n"/>
      <c r="H4289" s="16">
        <f>IF($A4289="","",$D4289+IF($E4289="",0,$E4289)+IF($F4289="",0,$F4289)-IF($G4289="",0,$G4289))</f>
        <v/>
      </c>
      <c r="I4289" s="12" t="n"/>
      <c r="J4289" s="12" t="n"/>
      <c r="K4289" s="12" t="n"/>
      <c r="L4289" s="14" t="n"/>
      <c r="M4289" s="12" t="n"/>
      <c r="N4289" s="12" t="n"/>
      <c r="O4289" s="12" t="n"/>
    </row>
    <row r="4290">
      <c r="A4290" s="12" t="n"/>
      <c r="B4290" s="13">
        <f>IF($A4290="","",IFERROR(INDEX(Emp_Names,MATCH($A4290,Emp_Codes,0)),"NOT FOUND"))</f>
        <v/>
      </c>
      <c r="C4290" s="14" t="n"/>
      <c r="D4290" s="15" t="n"/>
      <c r="E4290" s="15" t="n"/>
      <c r="F4290" s="15" t="n"/>
      <c r="G4290" s="15" t="n"/>
      <c r="H4290" s="16">
        <f>IF($A4290="","",$D4290+IF($E4290="",0,$E4290)+IF($F4290="",0,$F4290)-IF($G4290="",0,$G4290))</f>
        <v/>
      </c>
      <c r="I4290" s="12" t="n"/>
      <c r="J4290" s="12" t="n"/>
      <c r="K4290" s="12" t="n"/>
      <c r="L4290" s="14" t="n"/>
      <c r="M4290" s="12" t="n"/>
      <c r="N4290" s="12" t="n"/>
      <c r="O4290" s="12" t="n"/>
    </row>
    <row r="4291">
      <c r="A4291" s="12" t="n"/>
      <c r="B4291" s="13">
        <f>IF($A4291="","",IFERROR(INDEX(Emp_Names,MATCH($A4291,Emp_Codes,0)),"NOT FOUND"))</f>
        <v/>
      </c>
      <c r="C4291" s="14" t="n"/>
      <c r="D4291" s="15" t="n"/>
      <c r="E4291" s="15" t="n"/>
      <c r="F4291" s="15" t="n"/>
      <c r="G4291" s="15" t="n"/>
      <c r="H4291" s="16">
        <f>IF($A4291="","",$D4291+IF($E4291="",0,$E4291)+IF($F4291="",0,$F4291)-IF($G4291="",0,$G4291))</f>
        <v/>
      </c>
      <c r="I4291" s="12" t="n"/>
      <c r="J4291" s="12" t="n"/>
      <c r="K4291" s="12" t="n"/>
      <c r="L4291" s="14" t="n"/>
      <c r="M4291" s="12" t="n"/>
      <c r="N4291" s="12" t="n"/>
      <c r="O4291" s="12" t="n"/>
    </row>
    <row r="4292">
      <c r="A4292" s="12" t="n"/>
      <c r="B4292" s="13">
        <f>IF($A4292="","",IFERROR(INDEX(Emp_Names,MATCH($A4292,Emp_Codes,0)),"NOT FOUND"))</f>
        <v/>
      </c>
      <c r="C4292" s="14" t="n"/>
      <c r="D4292" s="15" t="n"/>
      <c r="E4292" s="15" t="n"/>
      <c r="F4292" s="15" t="n"/>
      <c r="G4292" s="15" t="n"/>
      <c r="H4292" s="16">
        <f>IF($A4292="","",$D4292+IF($E4292="",0,$E4292)+IF($F4292="",0,$F4292)-IF($G4292="",0,$G4292))</f>
        <v/>
      </c>
      <c r="I4292" s="12" t="n"/>
      <c r="J4292" s="12" t="n"/>
      <c r="K4292" s="12" t="n"/>
      <c r="L4292" s="14" t="n"/>
      <c r="M4292" s="12" t="n"/>
      <c r="N4292" s="12" t="n"/>
      <c r="O4292" s="12" t="n"/>
    </row>
    <row r="4293">
      <c r="A4293" s="12" t="n"/>
      <c r="B4293" s="13">
        <f>IF($A4293="","",IFERROR(INDEX(Emp_Names,MATCH($A4293,Emp_Codes,0)),"NOT FOUND"))</f>
        <v/>
      </c>
      <c r="C4293" s="14" t="n"/>
      <c r="D4293" s="15" t="n"/>
      <c r="E4293" s="15" t="n"/>
      <c r="F4293" s="15" t="n"/>
      <c r="G4293" s="15" t="n"/>
      <c r="H4293" s="16">
        <f>IF($A4293="","",$D4293+IF($E4293="",0,$E4293)+IF($F4293="",0,$F4293)-IF($G4293="",0,$G4293))</f>
        <v/>
      </c>
      <c r="I4293" s="12" t="n"/>
      <c r="J4293" s="12" t="n"/>
      <c r="K4293" s="12" t="n"/>
      <c r="L4293" s="14" t="n"/>
      <c r="M4293" s="12" t="n"/>
      <c r="N4293" s="12" t="n"/>
      <c r="O4293" s="12" t="n"/>
    </row>
    <row r="4294">
      <c r="A4294" s="12" t="n"/>
      <c r="B4294" s="13">
        <f>IF($A4294="","",IFERROR(INDEX(Emp_Names,MATCH($A4294,Emp_Codes,0)),"NOT FOUND"))</f>
        <v/>
      </c>
      <c r="C4294" s="14" t="n"/>
      <c r="D4294" s="15" t="n"/>
      <c r="E4294" s="15" t="n"/>
      <c r="F4294" s="15" t="n"/>
      <c r="G4294" s="15" t="n"/>
      <c r="H4294" s="16">
        <f>IF($A4294="","",$D4294+IF($E4294="",0,$E4294)+IF($F4294="",0,$F4294)-IF($G4294="",0,$G4294))</f>
        <v/>
      </c>
      <c r="I4294" s="12" t="n"/>
      <c r="J4294" s="12" t="n"/>
      <c r="K4294" s="12" t="n"/>
      <c r="L4294" s="14" t="n"/>
      <c r="M4294" s="12" t="n"/>
      <c r="N4294" s="12" t="n"/>
      <c r="O4294" s="12" t="n"/>
    </row>
    <row r="4295">
      <c r="A4295" s="12" t="n"/>
      <c r="B4295" s="13">
        <f>IF($A4295="","",IFERROR(INDEX(Emp_Names,MATCH($A4295,Emp_Codes,0)),"NOT FOUND"))</f>
        <v/>
      </c>
      <c r="C4295" s="14" t="n"/>
      <c r="D4295" s="15" t="n"/>
      <c r="E4295" s="15" t="n"/>
      <c r="F4295" s="15" t="n"/>
      <c r="G4295" s="15" t="n"/>
      <c r="H4295" s="16">
        <f>IF($A4295="","",$D4295+IF($E4295="",0,$E4295)+IF($F4295="",0,$F4295)-IF($G4295="",0,$G4295))</f>
        <v/>
      </c>
      <c r="I4295" s="12" t="n"/>
      <c r="J4295" s="12" t="n"/>
      <c r="K4295" s="12" t="n"/>
      <c r="L4295" s="14" t="n"/>
      <c r="M4295" s="12" t="n"/>
      <c r="N4295" s="12" t="n"/>
      <c r="O4295" s="12" t="n"/>
    </row>
    <row r="4296">
      <c r="A4296" s="12" t="n"/>
      <c r="B4296" s="13">
        <f>IF($A4296="","",IFERROR(INDEX(Emp_Names,MATCH($A4296,Emp_Codes,0)),"NOT FOUND"))</f>
        <v/>
      </c>
      <c r="C4296" s="14" t="n"/>
      <c r="D4296" s="15" t="n"/>
      <c r="E4296" s="15" t="n"/>
      <c r="F4296" s="15" t="n"/>
      <c r="G4296" s="15" t="n"/>
      <c r="H4296" s="16">
        <f>IF($A4296="","",$D4296+IF($E4296="",0,$E4296)+IF($F4296="",0,$F4296)-IF($G4296="",0,$G4296))</f>
        <v/>
      </c>
      <c r="I4296" s="12" t="n"/>
      <c r="J4296" s="12" t="n"/>
      <c r="K4296" s="12" t="n"/>
      <c r="L4296" s="14" t="n"/>
      <c r="M4296" s="12" t="n"/>
      <c r="N4296" s="12" t="n"/>
      <c r="O4296" s="12" t="n"/>
    </row>
    <row r="4297">
      <c r="A4297" s="12" t="n"/>
      <c r="B4297" s="13">
        <f>IF($A4297="","",IFERROR(INDEX(Emp_Names,MATCH($A4297,Emp_Codes,0)),"NOT FOUND"))</f>
        <v/>
      </c>
      <c r="C4297" s="14" t="n"/>
      <c r="D4297" s="15" t="n"/>
      <c r="E4297" s="15" t="n"/>
      <c r="F4297" s="15" t="n"/>
      <c r="G4297" s="15" t="n"/>
      <c r="H4297" s="16">
        <f>IF($A4297="","",$D4297+IF($E4297="",0,$E4297)+IF($F4297="",0,$F4297)-IF($G4297="",0,$G4297))</f>
        <v/>
      </c>
      <c r="I4297" s="12" t="n"/>
      <c r="J4297" s="12" t="n"/>
      <c r="K4297" s="12" t="n"/>
      <c r="L4297" s="14" t="n"/>
      <c r="M4297" s="12" t="n"/>
      <c r="N4297" s="12" t="n"/>
      <c r="O4297" s="12" t="n"/>
    </row>
    <row r="4298">
      <c r="A4298" s="12" t="n"/>
      <c r="B4298" s="13">
        <f>IF($A4298="","",IFERROR(INDEX(Emp_Names,MATCH($A4298,Emp_Codes,0)),"NOT FOUND"))</f>
        <v/>
      </c>
      <c r="C4298" s="14" t="n"/>
      <c r="D4298" s="15" t="n"/>
      <c r="E4298" s="15" t="n"/>
      <c r="F4298" s="15" t="n"/>
      <c r="G4298" s="15" t="n"/>
      <c r="H4298" s="16">
        <f>IF($A4298="","",$D4298+IF($E4298="",0,$E4298)+IF($F4298="",0,$F4298)-IF($G4298="",0,$G4298))</f>
        <v/>
      </c>
      <c r="I4298" s="12" t="n"/>
      <c r="J4298" s="12" t="n"/>
      <c r="K4298" s="12" t="n"/>
      <c r="L4298" s="14" t="n"/>
      <c r="M4298" s="12" t="n"/>
      <c r="N4298" s="12" t="n"/>
      <c r="O4298" s="12" t="n"/>
    </row>
    <row r="4299">
      <c r="A4299" s="12" t="n"/>
      <c r="B4299" s="13">
        <f>IF($A4299="","",IFERROR(INDEX(Emp_Names,MATCH($A4299,Emp_Codes,0)),"NOT FOUND"))</f>
        <v/>
      </c>
      <c r="C4299" s="14" t="n"/>
      <c r="D4299" s="15" t="n"/>
      <c r="E4299" s="15" t="n"/>
      <c r="F4299" s="15" t="n"/>
      <c r="G4299" s="15" t="n"/>
      <c r="H4299" s="16">
        <f>IF($A4299="","",$D4299+IF($E4299="",0,$E4299)+IF($F4299="",0,$F4299)-IF($G4299="",0,$G4299))</f>
        <v/>
      </c>
      <c r="I4299" s="12" t="n"/>
      <c r="J4299" s="12" t="n"/>
      <c r="K4299" s="12" t="n"/>
      <c r="L4299" s="14" t="n"/>
      <c r="M4299" s="12" t="n"/>
      <c r="N4299" s="12" t="n"/>
      <c r="O4299" s="12" t="n"/>
    </row>
    <row r="4300">
      <c r="A4300" s="12" t="n"/>
      <c r="B4300" s="13">
        <f>IF($A4300="","",IFERROR(INDEX(Emp_Names,MATCH($A4300,Emp_Codes,0)),"NOT FOUND"))</f>
        <v/>
      </c>
      <c r="C4300" s="14" t="n"/>
      <c r="D4300" s="15" t="n"/>
      <c r="E4300" s="15" t="n"/>
      <c r="F4300" s="15" t="n"/>
      <c r="G4300" s="15" t="n"/>
      <c r="H4300" s="16">
        <f>IF($A4300="","",$D4300+IF($E4300="",0,$E4300)+IF($F4300="",0,$F4300)-IF($G4300="",0,$G4300))</f>
        <v/>
      </c>
      <c r="I4300" s="12" t="n"/>
      <c r="J4300" s="12" t="n"/>
      <c r="K4300" s="12" t="n"/>
      <c r="L4300" s="14" t="n"/>
      <c r="M4300" s="12" t="n"/>
      <c r="N4300" s="12" t="n"/>
      <c r="O4300" s="12" t="n"/>
    </row>
    <row r="4301">
      <c r="A4301" s="12" t="n"/>
      <c r="B4301" s="13">
        <f>IF($A4301="","",IFERROR(INDEX(Emp_Names,MATCH($A4301,Emp_Codes,0)),"NOT FOUND"))</f>
        <v/>
      </c>
      <c r="C4301" s="14" t="n"/>
      <c r="D4301" s="15" t="n"/>
      <c r="E4301" s="15" t="n"/>
      <c r="F4301" s="15" t="n"/>
      <c r="G4301" s="15" t="n"/>
      <c r="H4301" s="16">
        <f>IF($A4301="","",$D4301+IF($E4301="",0,$E4301)+IF($F4301="",0,$F4301)-IF($G4301="",0,$G4301))</f>
        <v/>
      </c>
      <c r="I4301" s="12" t="n"/>
      <c r="J4301" s="12" t="n"/>
      <c r="K4301" s="12" t="n"/>
      <c r="L4301" s="14" t="n"/>
      <c r="M4301" s="12" t="n"/>
      <c r="N4301" s="12" t="n"/>
      <c r="O4301" s="12" t="n"/>
    </row>
    <row r="4302">
      <c r="A4302" s="12" t="n"/>
      <c r="B4302" s="13">
        <f>IF($A4302="","",IFERROR(INDEX(Emp_Names,MATCH($A4302,Emp_Codes,0)),"NOT FOUND"))</f>
        <v/>
      </c>
      <c r="C4302" s="14" t="n"/>
      <c r="D4302" s="15" t="n"/>
      <c r="E4302" s="15" t="n"/>
      <c r="F4302" s="15" t="n"/>
      <c r="G4302" s="15" t="n"/>
      <c r="H4302" s="16">
        <f>IF($A4302="","",$D4302+IF($E4302="",0,$E4302)+IF($F4302="",0,$F4302)-IF($G4302="",0,$G4302))</f>
        <v/>
      </c>
      <c r="I4302" s="12" t="n"/>
      <c r="J4302" s="12" t="n"/>
      <c r="K4302" s="12" t="n"/>
      <c r="L4302" s="14" t="n"/>
      <c r="M4302" s="12" t="n"/>
      <c r="N4302" s="12" t="n"/>
      <c r="O4302" s="12" t="n"/>
    </row>
    <row r="4303">
      <c r="A4303" s="12" t="n"/>
      <c r="B4303" s="13">
        <f>IF($A4303="","",IFERROR(INDEX(Emp_Names,MATCH($A4303,Emp_Codes,0)),"NOT FOUND"))</f>
        <v/>
      </c>
      <c r="C4303" s="14" t="n"/>
      <c r="D4303" s="15" t="n"/>
      <c r="E4303" s="15" t="n"/>
      <c r="F4303" s="15" t="n"/>
      <c r="G4303" s="15" t="n"/>
      <c r="H4303" s="16">
        <f>IF($A4303="","",$D4303+IF($E4303="",0,$E4303)+IF($F4303="",0,$F4303)-IF($G4303="",0,$G4303))</f>
        <v/>
      </c>
      <c r="I4303" s="12" t="n"/>
      <c r="J4303" s="12" t="n"/>
      <c r="K4303" s="12" t="n"/>
      <c r="L4303" s="14" t="n"/>
      <c r="M4303" s="12" t="n"/>
      <c r="N4303" s="12" t="n"/>
      <c r="O4303" s="12" t="n"/>
    </row>
    <row r="4304">
      <c r="A4304" s="12" t="n"/>
      <c r="B4304" s="13">
        <f>IF($A4304="","",IFERROR(INDEX(Emp_Names,MATCH($A4304,Emp_Codes,0)),"NOT FOUND"))</f>
        <v/>
      </c>
      <c r="C4304" s="14" t="n"/>
      <c r="D4304" s="15" t="n"/>
      <c r="E4304" s="15" t="n"/>
      <c r="F4304" s="15" t="n"/>
      <c r="G4304" s="15" t="n"/>
      <c r="H4304" s="16">
        <f>IF($A4304="","",$D4304+IF($E4304="",0,$E4304)+IF($F4304="",0,$F4304)-IF($G4304="",0,$G4304))</f>
        <v/>
      </c>
      <c r="I4304" s="12" t="n"/>
      <c r="J4304" s="12" t="n"/>
      <c r="K4304" s="12" t="n"/>
      <c r="L4304" s="14" t="n"/>
      <c r="M4304" s="12" t="n"/>
      <c r="N4304" s="12" t="n"/>
      <c r="O4304" s="12" t="n"/>
    </row>
    <row r="4305">
      <c r="A4305" s="12" t="n"/>
      <c r="B4305" s="13">
        <f>IF($A4305="","",IFERROR(INDEX(Emp_Names,MATCH($A4305,Emp_Codes,0)),"NOT FOUND"))</f>
        <v/>
      </c>
      <c r="C4305" s="14" t="n"/>
      <c r="D4305" s="15" t="n"/>
      <c r="E4305" s="15" t="n"/>
      <c r="F4305" s="15" t="n"/>
      <c r="G4305" s="15" t="n"/>
      <c r="H4305" s="16">
        <f>IF($A4305="","",$D4305+IF($E4305="",0,$E4305)+IF($F4305="",0,$F4305)-IF($G4305="",0,$G4305))</f>
        <v/>
      </c>
      <c r="I4305" s="12" t="n"/>
      <c r="J4305" s="12" t="n"/>
      <c r="K4305" s="12" t="n"/>
      <c r="L4305" s="14" t="n"/>
      <c r="M4305" s="12" t="n"/>
      <c r="N4305" s="12" t="n"/>
      <c r="O4305" s="12" t="n"/>
    </row>
    <row r="4306">
      <c r="A4306" s="12" t="n"/>
      <c r="B4306" s="13">
        <f>IF($A4306="","",IFERROR(INDEX(Emp_Names,MATCH($A4306,Emp_Codes,0)),"NOT FOUND"))</f>
        <v/>
      </c>
      <c r="C4306" s="14" t="n"/>
      <c r="D4306" s="15" t="n"/>
      <c r="E4306" s="15" t="n"/>
      <c r="F4306" s="15" t="n"/>
      <c r="G4306" s="15" t="n"/>
      <c r="H4306" s="16">
        <f>IF($A4306="","",$D4306+IF($E4306="",0,$E4306)+IF($F4306="",0,$F4306)-IF($G4306="",0,$G4306))</f>
        <v/>
      </c>
      <c r="I4306" s="12" t="n"/>
      <c r="J4306" s="12" t="n"/>
      <c r="K4306" s="12" t="n"/>
      <c r="L4306" s="14" t="n"/>
      <c r="M4306" s="12" t="n"/>
      <c r="N4306" s="12" t="n"/>
      <c r="O4306" s="12" t="n"/>
    </row>
    <row r="4307">
      <c r="A4307" s="12" t="n"/>
      <c r="B4307" s="13">
        <f>IF($A4307="","",IFERROR(INDEX(Emp_Names,MATCH($A4307,Emp_Codes,0)),"NOT FOUND"))</f>
        <v/>
      </c>
      <c r="C4307" s="14" t="n"/>
      <c r="D4307" s="15" t="n"/>
      <c r="E4307" s="15" t="n"/>
      <c r="F4307" s="15" t="n"/>
      <c r="G4307" s="15" t="n"/>
      <c r="H4307" s="16">
        <f>IF($A4307="","",$D4307+IF($E4307="",0,$E4307)+IF($F4307="",0,$F4307)-IF($G4307="",0,$G4307))</f>
        <v/>
      </c>
      <c r="I4307" s="12" t="n"/>
      <c r="J4307" s="12" t="n"/>
      <c r="K4307" s="12" t="n"/>
      <c r="L4307" s="14" t="n"/>
      <c r="M4307" s="12" t="n"/>
      <c r="N4307" s="12" t="n"/>
      <c r="O4307" s="12" t="n"/>
    </row>
    <row r="4308">
      <c r="A4308" s="12" t="n"/>
      <c r="B4308" s="13">
        <f>IF($A4308="","",IFERROR(INDEX(Emp_Names,MATCH($A4308,Emp_Codes,0)),"NOT FOUND"))</f>
        <v/>
      </c>
      <c r="C4308" s="14" t="n"/>
      <c r="D4308" s="15" t="n"/>
      <c r="E4308" s="15" t="n"/>
      <c r="F4308" s="15" t="n"/>
      <c r="G4308" s="15" t="n"/>
      <c r="H4308" s="16">
        <f>IF($A4308="","",$D4308+IF($E4308="",0,$E4308)+IF($F4308="",0,$F4308)-IF($G4308="",0,$G4308))</f>
        <v/>
      </c>
      <c r="I4308" s="12" t="n"/>
      <c r="J4308" s="12" t="n"/>
      <c r="K4308" s="12" t="n"/>
      <c r="L4308" s="14" t="n"/>
      <c r="M4308" s="12" t="n"/>
      <c r="N4308" s="12" t="n"/>
      <c r="O4308" s="12" t="n"/>
    </row>
    <row r="4309">
      <c r="A4309" s="12" t="n"/>
      <c r="B4309" s="13">
        <f>IF($A4309="","",IFERROR(INDEX(Emp_Names,MATCH($A4309,Emp_Codes,0)),"NOT FOUND"))</f>
        <v/>
      </c>
      <c r="C4309" s="14" t="n"/>
      <c r="D4309" s="15" t="n"/>
      <c r="E4309" s="15" t="n"/>
      <c r="F4309" s="15" t="n"/>
      <c r="G4309" s="15" t="n"/>
      <c r="H4309" s="16">
        <f>IF($A4309="","",$D4309+IF($E4309="",0,$E4309)+IF($F4309="",0,$F4309)-IF($G4309="",0,$G4309))</f>
        <v/>
      </c>
      <c r="I4309" s="12" t="n"/>
      <c r="J4309" s="12" t="n"/>
      <c r="K4309" s="12" t="n"/>
      <c r="L4309" s="14" t="n"/>
      <c r="M4309" s="12" t="n"/>
      <c r="N4309" s="12" t="n"/>
      <c r="O4309" s="12" t="n"/>
    </row>
    <row r="4310">
      <c r="A4310" s="12" t="n"/>
      <c r="B4310" s="13">
        <f>IF($A4310="","",IFERROR(INDEX(Emp_Names,MATCH($A4310,Emp_Codes,0)),"NOT FOUND"))</f>
        <v/>
      </c>
      <c r="C4310" s="14" t="n"/>
      <c r="D4310" s="15" t="n"/>
      <c r="E4310" s="15" t="n"/>
      <c r="F4310" s="15" t="n"/>
      <c r="G4310" s="15" t="n"/>
      <c r="H4310" s="16">
        <f>IF($A4310="","",$D4310+IF($E4310="",0,$E4310)+IF($F4310="",0,$F4310)-IF($G4310="",0,$G4310))</f>
        <v/>
      </c>
      <c r="I4310" s="12" t="n"/>
      <c r="J4310" s="12" t="n"/>
      <c r="K4310" s="12" t="n"/>
      <c r="L4310" s="14" t="n"/>
      <c r="M4310" s="12" t="n"/>
      <c r="N4310" s="12" t="n"/>
      <c r="O4310" s="12" t="n"/>
    </row>
    <row r="4311">
      <c r="A4311" s="12" t="n"/>
      <c r="B4311" s="13">
        <f>IF($A4311="","",IFERROR(INDEX(Emp_Names,MATCH($A4311,Emp_Codes,0)),"NOT FOUND"))</f>
        <v/>
      </c>
      <c r="C4311" s="14" t="n"/>
      <c r="D4311" s="15" t="n"/>
      <c r="E4311" s="15" t="n"/>
      <c r="F4311" s="15" t="n"/>
      <c r="G4311" s="15" t="n"/>
      <c r="H4311" s="16">
        <f>IF($A4311="","",$D4311+IF($E4311="",0,$E4311)+IF($F4311="",0,$F4311)-IF($G4311="",0,$G4311))</f>
        <v/>
      </c>
      <c r="I4311" s="12" t="n"/>
      <c r="J4311" s="12" t="n"/>
      <c r="K4311" s="12" t="n"/>
      <c r="L4311" s="14" t="n"/>
      <c r="M4311" s="12" t="n"/>
      <c r="N4311" s="12" t="n"/>
      <c r="O4311" s="12" t="n"/>
    </row>
    <row r="4312">
      <c r="A4312" s="12" t="n"/>
      <c r="B4312" s="13">
        <f>IF($A4312="","",IFERROR(INDEX(Emp_Names,MATCH($A4312,Emp_Codes,0)),"NOT FOUND"))</f>
        <v/>
      </c>
      <c r="C4312" s="14" t="n"/>
      <c r="D4312" s="15" t="n"/>
      <c r="E4312" s="15" t="n"/>
      <c r="F4312" s="15" t="n"/>
      <c r="G4312" s="15" t="n"/>
      <c r="H4312" s="16">
        <f>IF($A4312="","",$D4312+IF($E4312="",0,$E4312)+IF($F4312="",0,$F4312)-IF($G4312="",0,$G4312))</f>
        <v/>
      </c>
      <c r="I4312" s="12" t="n"/>
      <c r="J4312" s="12" t="n"/>
      <c r="K4312" s="12" t="n"/>
      <c r="L4312" s="14" t="n"/>
      <c r="M4312" s="12" t="n"/>
      <c r="N4312" s="12" t="n"/>
      <c r="O4312" s="12" t="n"/>
    </row>
    <row r="4313">
      <c r="A4313" s="12" t="n"/>
      <c r="B4313" s="13">
        <f>IF($A4313="","",IFERROR(INDEX(Emp_Names,MATCH($A4313,Emp_Codes,0)),"NOT FOUND"))</f>
        <v/>
      </c>
      <c r="C4313" s="14" t="n"/>
      <c r="D4313" s="15" t="n"/>
      <c r="E4313" s="15" t="n"/>
      <c r="F4313" s="15" t="n"/>
      <c r="G4313" s="15" t="n"/>
      <c r="H4313" s="16">
        <f>IF($A4313="","",$D4313+IF($E4313="",0,$E4313)+IF($F4313="",0,$F4313)-IF($G4313="",0,$G4313))</f>
        <v/>
      </c>
      <c r="I4313" s="12" t="n"/>
      <c r="J4313" s="12" t="n"/>
      <c r="K4313" s="12" t="n"/>
      <c r="L4313" s="14" t="n"/>
      <c r="M4313" s="12" t="n"/>
      <c r="N4313" s="12" t="n"/>
      <c r="O4313" s="12" t="n"/>
    </row>
    <row r="4314">
      <c r="A4314" s="12" t="n"/>
      <c r="B4314" s="13">
        <f>IF($A4314="","",IFERROR(INDEX(Emp_Names,MATCH($A4314,Emp_Codes,0)),"NOT FOUND"))</f>
        <v/>
      </c>
      <c r="C4314" s="14" t="n"/>
      <c r="D4314" s="15" t="n"/>
      <c r="E4314" s="15" t="n"/>
      <c r="F4314" s="15" t="n"/>
      <c r="G4314" s="15" t="n"/>
      <c r="H4314" s="16">
        <f>IF($A4314="","",$D4314+IF($E4314="",0,$E4314)+IF($F4314="",0,$F4314)-IF($G4314="",0,$G4314))</f>
        <v/>
      </c>
      <c r="I4314" s="12" t="n"/>
      <c r="J4314" s="12" t="n"/>
      <c r="K4314" s="12" t="n"/>
      <c r="L4314" s="14" t="n"/>
      <c r="M4314" s="12" t="n"/>
      <c r="N4314" s="12" t="n"/>
      <c r="O4314" s="12" t="n"/>
    </row>
    <row r="4315">
      <c r="A4315" s="12" t="n"/>
      <c r="B4315" s="13">
        <f>IF($A4315="","",IFERROR(INDEX(Emp_Names,MATCH($A4315,Emp_Codes,0)),"NOT FOUND"))</f>
        <v/>
      </c>
      <c r="C4315" s="14" t="n"/>
      <c r="D4315" s="15" t="n"/>
      <c r="E4315" s="15" t="n"/>
      <c r="F4315" s="15" t="n"/>
      <c r="G4315" s="15" t="n"/>
      <c r="H4315" s="16">
        <f>IF($A4315="","",$D4315+IF($E4315="",0,$E4315)+IF($F4315="",0,$F4315)-IF($G4315="",0,$G4315))</f>
        <v/>
      </c>
      <c r="I4315" s="12" t="n"/>
      <c r="J4315" s="12" t="n"/>
      <c r="K4315" s="12" t="n"/>
      <c r="L4315" s="14" t="n"/>
      <c r="M4315" s="12" t="n"/>
      <c r="N4315" s="12" t="n"/>
      <c r="O4315" s="12" t="n"/>
    </row>
    <row r="4316">
      <c r="A4316" s="12" t="n"/>
      <c r="B4316" s="13">
        <f>IF($A4316="","",IFERROR(INDEX(Emp_Names,MATCH($A4316,Emp_Codes,0)),"NOT FOUND"))</f>
        <v/>
      </c>
      <c r="C4316" s="14" t="n"/>
      <c r="D4316" s="15" t="n"/>
      <c r="E4316" s="15" t="n"/>
      <c r="F4316" s="15" t="n"/>
      <c r="G4316" s="15" t="n"/>
      <c r="H4316" s="16">
        <f>IF($A4316="","",$D4316+IF($E4316="",0,$E4316)+IF($F4316="",0,$F4316)-IF($G4316="",0,$G4316))</f>
        <v/>
      </c>
      <c r="I4316" s="12" t="n"/>
      <c r="J4316" s="12" t="n"/>
      <c r="K4316" s="12" t="n"/>
      <c r="L4316" s="14" t="n"/>
      <c r="M4316" s="12" t="n"/>
      <c r="N4316" s="12" t="n"/>
      <c r="O4316" s="12" t="n"/>
    </row>
    <row r="4317">
      <c r="A4317" s="12" t="n"/>
      <c r="B4317" s="13">
        <f>IF($A4317="","",IFERROR(INDEX(Emp_Names,MATCH($A4317,Emp_Codes,0)),"NOT FOUND"))</f>
        <v/>
      </c>
      <c r="C4317" s="14" t="n"/>
      <c r="D4317" s="15" t="n"/>
      <c r="E4317" s="15" t="n"/>
      <c r="F4317" s="15" t="n"/>
      <c r="G4317" s="15" t="n"/>
      <c r="H4317" s="16">
        <f>IF($A4317="","",$D4317+IF($E4317="",0,$E4317)+IF($F4317="",0,$F4317)-IF($G4317="",0,$G4317))</f>
        <v/>
      </c>
      <c r="I4317" s="12" t="n"/>
      <c r="J4317" s="12" t="n"/>
      <c r="K4317" s="12" t="n"/>
      <c r="L4317" s="14" t="n"/>
      <c r="M4317" s="12" t="n"/>
      <c r="N4317" s="12" t="n"/>
      <c r="O4317" s="12" t="n"/>
    </row>
    <row r="4318">
      <c r="A4318" s="12" t="n"/>
      <c r="B4318" s="13">
        <f>IF($A4318="","",IFERROR(INDEX(Emp_Names,MATCH($A4318,Emp_Codes,0)),"NOT FOUND"))</f>
        <v/>
      </c>
      <c r="C4318" s="14" t="n"/>
      <c r="D4318" s="15" t="n"/>
      <c r="E4318" s="15" t="n"/>
      <c r="F4318" s="15" t="n"/>
      <c r="G4318" s="15" t="n"/>
      <c r="H4318" s="16">
        <f>IF($A4318="","",$D4318+IF($E4318="",0,$E4318)+IF($F4318="",0,$F4318)-IF($G4318="",0,$G4318))</f>
        <v/>
      </c>
      <c r="I4318" s="12" t="n"/>
      <c r="J4318" s="12" t="n"/>
      <c r="K4318" s="12" t="n"/>
      <c r="L4318" s="14" t="n"/>
      <c r="M4318" s="12" t="n"/>
      <c r="N4318" s="12" t="n"/>
      <c r="O4318" s="12" t="n"/>
    </row>
    <row r="4319">
      <c r="A4319" s="12" t="n"/>
      <c r="B4319" s="13">
        <f>IF($A4319="","",IFERROR(INDEX(Emp_Names,MATCH($A4319,Emp_Codes,0)),"NOT FOUND"))</f>
        <v/>
      </c>
      <c r="C4319" s="14" t="n"/>
      <c r="D4319" s="15" t="n"/>
      <c r="E4319" s="15" t="n"/>
      <c r="F4319" s="15" t="n"/>
      <c r="G4319" s="15" t="n"/>
      <c r="H4319" s="16">
        <f>IF($A4319="","",$D4319+IF($E4319="",0,$E4319)+IF($F4319="",0,$F4319)-IF($G4319="",0,$G4319))</f>
        <v/>
      </c>
      <c r="I4319" s="12" t="n"/>
      <c r="J4319" s="12" t="n"/>
      <c r="K4319" s="12" t="n"/>
      <c r="L4319" s="14" t="n"/>
      <c r="M4319" s="12" t="n"/>
      <c r="N4319" s="12" t="n"/>
      <c r="O4319" s="12" t="n"/>
    </row>
    <row r="4320">
      <c r="A4320" s="12" t="n"/>
      <c r="B4320" s="13">
        <f>IF($A4320="","",IFERROR(INDEX(Emp_Names,MATCH($A4320,Emp_Codes,0)),"NOT FOUND"))</f>
        <v/>
      </c>
      <c r="C4320" s="14" t="n"/>
      <c r="D4320" s="15" t="n"/>
      <c r="E4320" s="15" t="n"/>
      <c r="F4320" s="15" t="n"/>
      <c r="G4320" s="15" t="n"/>
      <c r="H4320" s="16">
        <f>IF($A4320="","",$D4320+IF($E4320="",0,$E4320)+IF($F4320="",0,$F4320)-IF($G4320="",0,$G4320))</f>
        <v/>
      </c>
      <c r="I4320" s="12" t="n"/>
      <c r="J4320" s="12" t="n"/>
      <c r="K4320" s="12" t="n"/>
      <c r="L4320" s="14" t="n"/>
      <c r="M4320" s="12" t="n"/>
      <c r="N4320" s="12" t="n"/>
      <c r="O4320" s="12" t="n"/>
    </row>
    <row r="4321">
      <c r="A4321" s="12" t="n"/>
      <c r="B4321" s="13">
        <f>IF($A4321="","",IFERROR(INDEX(Emp_Names,MATCH($A4321,Emp_Codes,0)),"NOT FOUND"))</f>
        <v/>
      </c>
      <c r="C4321" s="14" t="n"/>
      <c r="D4321" s="15" t="n"/>
      <c r="E4321" s="15" t="n"/>
      <c r="F4321" s="15" t="n"/>
      <c r="G4321" s="15" t="n"/>
      <c r="H4321" s="16">
        <f>IF($A4321="","",$D4321+IF($E4321="",0,$E4321)+IF($F4321="",0,$F4321)-IF($G4321="",0,$G4321))</f>
        <v/>
      </c>
      <c r="I4321" s="12" t="n"/>
      <c r="J4321" s="12" t="n"/>
      <c r="K4321" s="12" t="n"/>
      <c r="L4321" s="14" t="n"/>
      <c r="M4321" s="12" t="n"/>
      <c r="N4321" s="12" t="n"/>
      <c r="O4321" s="12" t="n"/>
    </row>
    <row r="4322">
      <c r="A4322" s="12" t="n"/>
      <c r="B4322" s="13">
        <f>IF($A4322="","",IFERROR(INDEX(Emp_Names,MATCH($A4322,Emp_Codes,0)),"NOT FOUND"))</f>
        <v/>
      </c>
      <c r="C4322" s="14" t="n"/>
      <c r="D4322" s="15" t="n"/>
      <c r="E4322" s="15" t="n"/>
      <c r="F4322" s="15" t="n"/>
      <c r="G4322" s="15" t="n"/>
      <c r="H4322" s="16">
        <f>IF($A4322="","",$D4322+IF($E4322="",0,$E4322)+IF($F4322="",0,$F4322)-IF($G4322="",0,$G4322))</f>
        <v/>
      </c>
      <c r="I4322" s="12" t="n"/>
      <c r="J4322" s="12" t="n"/>
      <c r="K4322" s="12" t="n"/>
      <c r="L4322" s="14" t="n"/>
      <c r="M4322" s="12" t="n"/>
      <c r="N4322" s="12" t="n"/>
      <c r="O4322" s="12" t="n"/>
    </row>
    <row r="4323">
      <c r="A4323" s="12" t="n"/>
      <c r="B4323" s="13">
        <f>IF($A4323="","",IFERROR(INDEX(Emp_Names,MATCH($A4323,Emp_Codes,0)),"NOT FOUND"))</f>
        <v/>
      </c>
      <c r="C4323" s="14" t="n"/>
      <c r="D4323" s="15" t="n"/>
      <c r="E4323" s="15" t="n"/>
      <c r="F4323" s="15" t="n"/>
      <c r="G4323" s="15" t="n"/>
      <c r="H4323" s="16">
        <f>IF($A4323="","",$D4323+IF($E4323="",0,$E4323)+IF($F4323="",0,$F4323)-IF($G4323="",0,$G4323))</f>
        <v/>
      </c>
      <c r="I4323" s="12" t="n"/>
      <c r="J4323" s="12" t="n"/>
      <c r="K4323" s="12" t="n"/>
      <c r="L4323" s="14" t="n"/>
      <c r="M4323" s="12" t="n"/>
      <c r="N4323" s="12" t="n"/>
      <c r="O4323" s="12" t="n"/>
    </row>
    <row r="4324">
      <c r="A4324" s="12" t="n"/>
      <c r="B4324" s="13">
        <f>IF($A4324="","",IFERROR(INDEX(Emp_Names,MATCH($A4324,Emp_Codes,0)),"NOT FOUND"))</f>
        <v/>
      </c>
      <c r="C4324" s="14" t="n"/>
      <c r="D4324" s="15" t="n"/>
      <c r="E4324" s="15" t="n"/>
      <c r="F4324" s="15" t="n"/>
      <c r="G4324" s="15" t="n"/>
      <c r="H4324" s="16">
        <f>IF($A4324="","",$D4324+IF($E4324="",0,$E4324)+IF($F4324="",0,$F4324)-IF($G4324="",0,$G4324))</f>
        <v/>
      </c>
      <c r="I4324" s="12" t="n"/>
      <c r="J4324" s="12" t="n"/>
      <c r="K4324" s="12" t="n"/>
      <c r="L4324" s="14" t="n"/>
      <c r="M4324" s="12" t="n"/>
      <c r="N4324" s="12" t="n"/>
      <c r="O4324" s="12" t="n"/>
    </row>
    <row r="4325">
      <c r="A4325" s="12" t="n"/>
      <c r="B4325" s="13">
        <f>IF($A4325="","",IFERROR(INDEX(Emp_Names,MATCH($A4325,Emp_Codes,0)),"NOT FOUND"))</f>
        <v/>
      </c>
      <c r="C4325" s="14" t="n"/>
      <c r="D4325" s="15" t="n"/>
      <c r="E4325" s="15" t="n"/>
      <c r="F4325" s="15" t="n"/>
      <c r="G4325" s="15" t="n"/>
      <c r="H4325" s="16">
        <f>IF($A4325="","",$D4325+IF($E4325="",0,$E4325)+IF($F4325="",0,$F4325)-IF($G4325="",0,$G4325))</f>
        <v/>
      </c>
      <c r="I4325" s="12" t="n"/>
      <c r="J4325" s="12" t="n"/>
      <c r="K4325" s="12" t="n"/>
      <c r="L4325" s="14" t="n"/>
      <c r="M4325" s="12" t="n"/>
      <c r="N4325" s="12" t="n"/>
      <c r="O4325" s="12" t="n"/>
    </row>
    <row r="4326">
      <c r="A4326" s="12" t="n"/>
      <c r="B4326" s="13">
        <f>IF($A4326="","",IFERROR(INDEX(Emp_Names,MATCH($A4326,Emp_Codes,0)),"NOT FOUND"))</f>
        <v/>
      </c>
      <c r="C4326" s="14" t="n"/>
      <c r="D4326" s="15" t="n"/>
      <c r="E4326" s="15" t="n"/>
      <c r="F4326" s="15" t="n"/>
      <c r="G4326" s="15" t="n"/>
      <c r="H4326" s="16">
        <f>IF($A4326="","",$D4326+IF($E4326="",0,$E4326)+IF($F4326="",0,$F4326)-IF($G4326="",0,$G4326))</f>
        <v/>
      </c>
      <c r="I4326" s="12" t="n"/>
      <c r="J4326" s="12" t="n"/>
      <c r="K4326" s="12" t="n"/>
      <c r="L4326" s="14" t="n"/>
      <c r="M4326" s="12" t="n"/>
      <c r="N4326" s="12" t="n"/>
      <c r="O4326" s="12" t="n"/>
    </row>
    <row r="4327">
      <c r="A4327" s="12" t="n"/>
      <c r="B4327" s="13">
        <f>IF($A4327="","",IFERROR(INDEX(Emp_Names,MATCH($A4327,Emp_Codes,0)),"NOT FOUND"))</f>
        <v/>
      </c>
      <c r="C4327" s="14" t="n"/>
      <c r="D4327" s="15" t="n"/>
      <c r="E4327" s="15" t="n"/>
      <c r="F4327" s="15" t="n"/>
      <c r="G4327" s="15" t="n"/>
      <c r="H4327" s="16">
        <f>IF($A4327="","",$D4327+IF($E4327="",0,$E4327)+IF($F4327="",0,$F4327)-IF($G4327="",0,$G4327))</f>
        <v/>
      </c>
      <c r="I4327" s="12" t="n"/>
      <c r="J4327" s="12" t="n"/>
      <c r="K4327" s="12" t="n"/>
      <c r="L4327" s="14" t="n"/>
      <c r="M4327" s="12" t="n"/>
      <c r="N4327" s="12" t="n"/>
      <c r="O4327" s="12" t="n"/>
    </row>
    <row r="4328">
      <c r="A4328" s="12" t="n"/>
      <c r="B4328" s="13">
        <f>IF($A4328="","",IFERROR(INDEX(Emp_Names,MATCH($A4328,Emp_Codes,0)),"NOT FOUND"))</f>
        <v/>
      </c>
      <c r="C4328" s="14" t="n"/>
      <c r="D4328" s="15" t="n"/>
      <c r="E4328" s="15" t="n"/>
      <c r="F4328" s="15" t="n"/>
      <c r="G4328" s="15" t="n"/>
      <c r="H4328" s="16">
        <f>IF($A4328="","",$D4328+IF($E4328="",0,$E4328)+IF($F4328="",0,$F4328)-IF($G4328="",0,$G4328))</f>
        <v/>
      </c>
      <c r="I4328" s="12" t="n"/>
      <c r="J4328" s="12" t="n"/>
      <c r="K4328" s="12" t="n"/>
      <c r="L4328" s="14" t="n"/>
      <c r="M4328" s="12" t="n"/>
      <c r="N4328" s="12" t="n"/>
      <c r="O4328" s="12" t="n"/>
    </row>
    <row r="4329">
      <c r="A4329" s="12" t="n"/>
      <c r="B4329" s="13">
        <f>IF($A4329="","",IFERROR(INDEX(Emp_Names,MATCH($A4329,Emp_Codes,0)),"NOT FOUND"))</f>
        <v/>
      </c>
      <c r="C4329" s="14" t="n"/>
      <c r="D4329" s="15" t="n"/>
      <c r="E4329" s="15" t="n"/>
      <c r="F4329" s="15" t="n"/>
      <c r="G4329" s="15" t="n"/>
      <c r="H4329" s="16">
        <f>IF($A4329="","",$D4329+IF($E4329="",0,$E4329)+IF($F4329="",0,$F4329)-IF($G4329="",0,$G4329))</f>
        <v/>
      </c>
      <c r="I4329" s="12" t="n"/>
      <c r="J4329" s="12" t="n"/>
      <c r="K4329" s="12" t="n"/>
      <c r="L4329" s="14" t="n"/>
      <c r="M4329" s="12" t="n"/>
      <c r="N4329" s="12" t="n"/>
      <c r="O4329" s="12" t="n"/>
    </row>
    <row r="4330">
      <c r="A4330" s="12" t="n"/>
      <c r="B4330" s="13">
        <f>IF($A4330="","",IFERROR(INDEX(Emp_Names,MATCH($A4330,Emp_Codes,0)),"NOT FOUND"))</f>
        <v/>
      </c>
      <c r="C4330" s="14" t="n"/>
      <c r="D4330" s="15" t="n"/>
      <c r="E4330" s="15" t="n"/>
      <c r="F4330" s="15" t="n"/>
      <c r="G4330" s="15" t="n"/>
      <c r="H4330" s="16">
        <f>IF($A4330="","",$D4330+IF($E4330="",0,$E4330)+IF($F4330="",0,$F4330)-IF($G4330="",0,$G4330))</f>
        <v/>
      </c>
      <c r="I4330" s="12" t="n"/>
      <c r="J4330" s="12" t="n"/>
      <c r="K4330" s="12" t="n"/>
      <c r="L4330" s="14" t="n"/>
      <c r="M4330" s="12" t="n"/>
      <c r="N4330" s="12" t="n"/>
      <c r="O4330" s="12" t="n"/>
    </row>
    <row r="4331">
      <c r="A4331" s="12" t="n"/>
      <c r="B4331" s="13">
        <f>IF($A4331="","",IFERROR(INDEX(Emp_Names,MATCH($A4331,Emp_Codes,0)),"NOT FOUND"))</f>
        <v/>
      </c>
      <c r="C4331" s="14" t="n"/>
      <c r="D4331" s="15" t="n"/>
      <c r="E4331" s="15" t="n"/>
      <c r="F4331" s="15" t="n"/>
      <c r="G4331" s="15" t="n"/>
      <c r="H4331" s="16">
        <f>IF($A4331="","",$D4331+IF($E4331="",0,$E4331)+IF($F4331="",0,$F4331)-IF($G4331="",0,$G4331))</f>
        <v/>
      </c>
      <c r="I4331" s="12" t="n"/>
      <c r="J4331" s="12" t="n"/>
      <c r="K4331" s="12" t="n"/>
      <c r="L4331" s="14" t="n"/>
      <c r="M4331" s="12" t="n"/>
      <c r="N4331" s="12" t="n"/>
      <c r="O4331" s="12" t="n"/>
    </row>
    <row r="4332">
      <c r="A4332" s="12" t="n"/>
      <c r="B4332" s="13">
        <f>IF($A4332="","",IFERROR(INDEX(Emp_Names,MATCH($A4332,Emp_Codes,0)),"NOT FOUND"))</f>
        <v/>
      </c>
      <c r="C4332" s="14" t="n"/>
      <c r="D4332" s="15" t="n"/>
      <c r="E4332" s="15" t="n"/>
      <c r="F4332" s="15" t="n"/>
      <c r="G4332" s="15" t="n"/>
      <c r="H4332" s="16">
        <f>IF($A4332="","",$D4332+IF($E4332="",0,$E4332)+IF($F4332="",0,$F4332)-IF($G4332="",0,$G4332))</f>
        <v/>
      </c>
      <c r="I4332" s="12" t="n"/>
      <c r="J4332" s="12" t="n"/>
      <c r="K4332" s="12" t="n"/>
      <c r="L4332" s="14" t="n"/>
      <c r="M4332" s="12" t="n"/>
      <c r="N4332" s="12" t="n"/>
      <c r="O4332" s="12" t="n"/>
    </row>
    <row r="4333">
      <c r="A4333" s="12" t="n"/>
      <c r="B4333" s="13">
        <f>IF($A4333="","",IFERROR(INDEX(Emp_Names,MATCH($A4333,Emp_Codes,0)),"NOT FOUND"))</f>
        <v/>
      </c>
      <c r="C4333" s="14" t="n"/>
      <c r="D4333" s="15" t="n"/>
      <c r="E4333" s="15" t="n"/>
      <c r="F4333" s="15" t="n"/>
      <c r="G4333" s="15" t="n"/>
      <c r="H4333" s="16">
        <f>IF($A4333="","",$D4333+IF($E4333="",0,$E4333)+IF($F4333="",0,$F4333)-IF($G4333="",0,$G4333))</f>
        <v/>
      </c>
      <c r="I4333" s="12" t="n"/>
      <c r="J4333" s="12" t="n"/>
      <c r="K4333" s="12" t="n"/>
      <c r="L4333" s="14" t="n"/>
      <c r="M4333" s="12" t="n"/>
      <c r="N4333" s="12" t="n"/>
      <c r="O4333" s="12" t="n"/>
    </row>
    <row r="4334">
      <c r="A4334" s="12" t="n"/>
      <c r="B4334" s="13">
        <f>IF($A4334="","",IFERROR(INDEX(Emp_Names,MATCH($A4334,Emp_Codes,0)),"NOT FOUND"))</f>
        <v/>
      </c>
      <c r="C4334" s="14" t="n"/>
      <c r="D4334" s="15" t="n"/>
      <c r="E4334" s="15" t="n"/>
      <c r="F4334" s="15" t="n"/>
      <c r="G4334" s="15" t="n"/>
      <c r="H4334" s="16">
        <f>IF($A4334="","",$D4334+IF($E4334="",0,$E4334)+IF($F4334="",0,$F4334)-IF($G4334="",0,$G4334))</f>
        <v/>
      </c>
      <c r="I4334" s="12" t="n"/>
      <c r="J4334" s="12" t="n"/>
      <c r="K4334" s="12" t="n"/>
      <c r="L4334" s="14" t="n"/>
      <c r="M4334" s="12" t="n"/>
      <c r="N4334" s="12" t="n"/>
      <c r="O4334" s="12" t="n"/>
    </row>
    <row r="4335">
      <c r="A4335" s="12" t="n"/>
      <c r="B4335" s="13">
        <f>IF($A4335="","",IFERROR(INDEX(Emp_Names,MATCH($A4335,Emp_Codes,0)),"NOT FOUND"))</f>
        <v/>
      </c>
      <c r="C4335" s="14" t="n"/>
      <c r="D4335" s="15" t="n"/>
      <c r="E4335" s="15" t="n"/>
      <c r="F4335" s="15" t="n"/>
      <c r="G4335" s="15" t="n"/>
      <c r="H4335" s="16">
        <f>IF($A4335="","",$D4335+IF($E4335="",0,$E4335)+IF($F4335="",0,$F4335)-IF($G4335="",0,$G4335))</f>
        <v/>
      </c>
      <c r="I4335" s="12" t="n"/>
      <c r="J4335" s="12" t="n"/>
      <c r="K4335" s="12" t="n"/>
      <c r="L4335" s="14" t="n"/>
      <c r="M4335" s="12" t="n"/>
      <c r="N4335" s="12" t="n"/>
      <c r="O4335" s="12" t="n"/>
    </row>
    <row r="4336">
      <c r="A4336" s="12" t="n"/>
      <c r="B4336" s="13">
        <f>IF($A4336="","",IFERROR(INDEX(Emp_Names,MATCH($A4336,Emp_Codes,0)),"NOT FOUND"))</f>
        <v/>
      </c>
      <c r="C4336" s="14" t="n"/>
      <c r="D4336" s="15" t="n"/>
      <c r="E4336" s="15" t="n"/>
      <c r="F4336" s="15" t="n"/>
      <c r="G4336" s="15" t="n"/>
      <c r="H4336" s="16">
        <f>IF($A4336="","",$D4336+IF($E4336="",0,$E4336)+IF($F4336="",0,$F4336)-IF($G4336="",0,$G4336))</f>
        <v/>
      </c>
      <c r="I4336" s="12" t="n"/>
      <c r="J4336" s="12" t="n"/>
      <c r="K4336" s="12" t="n"/>
      <c r="L4336" s="14" t="n"/>
      <c r="M4336" s="12" t="n"/>
      <c r="N4336" s="12" t="n"/>
      <c r="O4336" s="12" t="n"/>
    </row>
    <row r="4337">
      <c r="A4337" s="12" t="n"/>
      <c r="B4337" s="13">
        <f>IF($A4337="","",IFERROR(INDEX(Emp_Names,MATCH($A4337,Emp_Codes,0)),"NOT FOUND"))</f>
        <v/>
      </c>
      <c r="C4337" s="14" t="n"/>
      <c r="D4337" s="15" t="n"/>
      <c r="E4337" s="15" t="n"/>
      <c r="F4337" s="15" t="n"/>
      <c r="G4337" s="15" t="n"/>
      <c r="H4337" s="16">
        <f>IF($A4337="","",$D4337+IF($E4337="",0,$E4337)+IF($F4337="",0,$F4337)-IF($G4337="",0,$G4337))</f>
        <v/>
      </c>
      <c r="I4337" s="12" t="n"/>
      <c r="J4337" s="12" t="n"/>
      <c r="K4337" s="12" t="n"/>
      <c r="L4337" s="14" t="n"/>
      <c r="M4337" s="12" t="n"/>
      <c r="N4337" s="12" t="n"/>
      <c r="O4337" s="12" t="n"/>
    </row>
    <row r="4338">
      <c r="A4338" s="12" t="n"/>
      <c r="B4338" s="13">
        <f>IF($A4338="","",IFERROR(INDEX(Emp_Names,MATCH($A4338,Emp_Codes,0)),"NOT FOUND"))</f>
        <v/>
      </c>
      <c r="C4338" s="14" t="n"/>
      <c r="D4338" s="15" t="n"/>
      <c r="E4338" s="15" t="n"/>
      <c r="F4338" s="15" t="n"/>
      <c r="G4338" s="15" t="n"/>
      <c r="H4338" s="16">
        <f>IF($A4338="","",$D4338+IF($E4338="",0,$E4338)+IF($F4338="",0,$F4338)-IF($G4338="",0,$G4338))</f>
        <v/>
      </c>
      <c r="I4338" s="12" t="n"/>
      <c r="J4338" s="12" t="n"/>
      <c r="K4338" s="12" t="n"/>
      <c r="L4338" s="14" t="n"/>
      <c r="M4338" s="12" t="n"/>
      <c r="N4338" s="12" t="n"/>
      <c r="O4338" s="12" t="n"/>
    </row>
    <row r="4339">
      <c r="A4339" s="12" t="n"/>
      <c r="B4339" s="13">
        <f>IF($A4339="","",IFERROR(INDEX(Emp_Names,MATCH($A4339,Emp_Codes,0)),"NOT FOUND"))</f>
        <v/>
      </c>
      <c r="C4339" s="14" t="n"/>
      <c r="D4339" s="15" t="n"/>
      <c r="E4339" s="15" t="n"/>
      <c r="F4339" s="15" t="n"/>
      <c r="G4339" s="15" t="n"/>
      <c r="H4339" s="16">
        <f>IF($A4339="","",$D4339+IF($E4339="",0,$E4339)+IF($F4339="",0,$F4339)-IF($G4339="",0,$G4339))</f>
        <v/>
      </c>
      <c r="I4339" s="12" t="n"/>
      <c r="J4339" s="12" t="n"/>
      <c r="K4339" s="12" t="n"/>
      <c r="L4339" s="14" t="n"/>
      <c r="M4339" s="12" t="n"/>
      <c r="N4339" s="12" t="n"/>
      <c r="O4339" s="12" t="n"/>
    </row>
    <row r="4340">
      <c r="A4340" s="12" t="n"/>
      <c r="B4340" s="13">
        <f>IF($A4340="","",IFERROR(INDEX(Emp_Names,MATCH($A4340,Emp_Codes,0)),"NOT FOUND"))</f>
        <v/>
      </c>
      <c r="C4340" s="14" t="n"/>
      <c r="D4340" s="15" t="n"/>
      <c r="E4340" s="15" t="n"/>
      <c r="F4340" s="15" t="n"/>
      <c r="G4340" s="15" t="n"/>
      <c r="H4340" s="16">
        <f>IF($A4340="","",$D4340+IF($E4340="",0,$E4340)+IF($F4340="",0,$F4340)-IF($G4340="",0,$G4340))</f>
        <v/>
      </c>
      <c r="I4340" s="12" t="n"/>
      <c r="J4340" s="12" t="n"/>
      <c r="K4340" s="12" t="n"/>
      <c r="L4340" s="14" t="n"/>
      <c r="M4340" s="12" t="n"/>
      <c r="N4340" s="12" t="n"/>
      <c r="O4340" s="12" t="n"/>
    </row>
    <row r="4341">
      <c r="A4341" s="12" t="n"/>
      <c r="B4341" s="13">
        <f>IF($A4341="","",IFERROR(INDEX(Emp_Names,MATCH($A4341,Emp_Codes,0)),"NOT FOUND"))</f>
        <v/>
      </c>
      <c r="C4341" s="14" t="n"/>
      <c r="D4341" s="15" t="n"/>
      <c r="E4341" s="15" t="n"/>
      <c r="F4341" s="15" t="n"/>
      <c r="G4341" s="15" t="n"/>
      <c r="H4341" s="16">
        <f>IF($A4341="","",$D4341+IF($E4341="",0,$E4341)+IF($F4341="",0,$F4341)-IF($G4341="",0,$G4341))</f>
        <v/>
      </c>
      <c r="I4341" s="12" t="n"/>
      <c r="J4341" s="12" t="n"/>
      <c r="K4341" s="12" t="n"/>
      <c r="L4341" s="14" t="n"/>
      <c r="M4341" s="12" t="n"/>
      <c r="N4341" s="12" t="n"/>
      <c r="O4341" s="12" t="n"/>
    </row>
    <row r="4342">
      <c r="A4342" s="12" t="n"/>
      <c r="B4342" s="13">
        <f>IF($A4342="","",IFERROR(INDEX(Emp_Names,MATCH($A4342,Emp_Codes,0)),"NOT FOUND"))</f>
        <v/>
      </c>
      <c r="C4342" s="14" t="n"/>
      <c r="D4342" s="15" t="n"/>
      <c r="E4342" s="15" t="n"/>
      <c r="F4342" s="15" t="n"/>
      <c r="G4342" s="15" t="n"/>
      <c r="H4342" s="16">
        <f>IF($A4342="","",$D4342+IF($E4342="",0,$E4342)+IF($F4342="",0,$F4342)-IF($G4342="",0,$G4342))</f>
        <v/>
      </c>
      <c r="I4342" s="12" t="n"/>
      <c r="J4342" s="12" t="n"/>
      <c r="K4342" s="12" t="n"/>
      <c r="L4342" s="14" t="n"/>
      <c r="M4342" s="12" t="n"/>
      <c r="N4342" s="12" t="n"/>
      <c r="O4342" s="12" t="n"/>
    </row>
    <row r="4343">
      <c r="A4343" s="12" t="n"/>
      <c r="B4343" s="13">
        <f>IF($A4343="","",IFERROR(INDEX(Emp_Names,MATCH($A4343,Emp_Codes,0)),"NOT FOUND"))</f>
        <v/>
      </c>
      <c r="C4343" s="14" t="n"/>
      <c r="D4343" s="15" t="n"/>
      <c r="E4343" s="15" t="n"/>
      <c r="F4343" s="15" t="n"/>
      <c r="G4343" s="15" t="n"/>
      <c r="H4343" s="16">
        <f>IF($A4343="","",$D4343+IF($E4343="",0,$E4343)+IF($F4343="",0,$F4343)-IF($G4343="",0,$G4343))</f>
        <v/>
      </c>
      <c r="I4343" s="12" t="n"/>
      <c r="J4343" s="12" t="n"/>
      <c r="K4343" s="12" t="n"/>
      <c r="L4343" s="14" t="n"/>
      <c r="M4343" s="12" t="n"/>
      <c r="N4343" s="12" t="n"/>
      <c r="O4343" s="12" t="n"/>
    </row>
    <row r="4344">
      <c r="A4344" s="12" t="n"/>
      <c r="B4344" s="13">
        <f>IF($A4344="","",IFERROR(INDEX(Emp_Names,MATCH($A4344,Emp_Codes,0)),"NOT FOUND"))</f>
        <v/>
      </c>
      <c r="C4344" s="14" t="n"/>
      <c r="D4344" s="15" t="n"/>
      <c r="E4344" s="15" t="n"/>
      <c r="F4344" s="15" t="n"/>
      <c r="G4344" s="15" t="n"/>
      <c r="H4344" s="16">
        <f>IF($A4344="","",$D4344+IF($E4344="",0,$E4344)+IF($F4344="",0,$F4344)-IF($G4344="",0,$G4344))</f>
        <v/>
      </c>
      <c r="I4344" s="12" t="n"/>
      <c r="J4344" s="12" t="n"/>
      <c r="K4344" s="12" t="n"/>
      <c r="L4344" s="14" t="n"/>
      <c r="M4344" s="12" t="n"/>
      <c r="N4344" s="12" t="n"/>
      <c r="O4344" s="12" t="n"/>
    </row>
    <row r="4345">
      <c r="A4345" s="12" t="n"/>
      <c r="B4345" s="13">
        <f>IF($A4345="","",IFERROR(INDEX(Emp_Names,MATCH($A4345,Emp_Codes,0)),"NOT FOUND"))</f>
        <v/>
      </c>
      <c r="C4345" s="14" t="n"/>
      <c r="D4345" s="15" t="n"/>
      <c r="E4345" s="15" t="n"/>
      <c r="F4345" s="15" t="n"/>
      <c r="G4345" s="15" t="n"/>
      <c r="H4345" s="16">
        <f>IF($A4345="","",$D4345+IF($E4345="",0,$E4345)+IF($F4345="",0,$F4345)-IF($G4345="",0,$G4345))</f>
        <v/>
      </c>
      <c r="I4345" s="12" t="n"/>
      <c r="J4345" s="12" t="n"/>
      <c r="K4345" s="12" t="n"/>
      <c r="L4345" s="14" t="n"/>
      <c r="M4345" s="12" t="n"/>
      <c r="N4345" s="12" t="n"/>
      <c r="O4345" s="12" t="n"/>
    </row>
    <row r="4346">
      <c r="A4346" s="12" t="n"/>
      <c r="B4346" s="13">
        <f>IF($A4346="","",IFERROR(INDEX(Emp_Names,MATCH($A4346,Emp_Codes,0)),"NOT FOUND"))</f>
        <v/>
      </c>
      <c r="C4346" s="14" t="n"/>
      <c r="D4346" s="15" t="n"/>
      <c r="E4346" s="15" t="n"/>
      <c r="F4346" s="15" t="n"/>
      <c r="G4346" s="15" t="n"/>
      <c r="H4346" s="16">
        <f>IF($A4346="","",$D4346+IF($E4346="",0,$E4346)+IF($F4346="",0,$F4346)-IF($G4346="",0,$G4346))</f>
        <v/>
      </c>
      <c r="I4346" s="12" t="n"/>
      <c r="J4346" s="12" t="n"/>
      <c r="K4346" s="12" t="n"/>
      <c r="L4346" s="14" t="n"/>
      <c r="M4346" s="12" t="n"/>
      <c r="N4346" s="12" t="n"/>
      <c r="O4346" s="12" t="n"/>
    </row>
    <row r="4347">
      <c r="A4347" s="12" t="n"/>
      <c r="B4347" s="13">
        <f>IF($A4347="","",IFERROR(INDEX(Emp_Names,MATCH($A4347,Emp_Codes,0)),"NOT FOUND"))</f>
        <v/>
      </c>
      <c r="C4347" s="14" t="n"/>
      <c r="D4347" s="15" t="n"/>
      <c r="E4347" s="15" t="n"/>
      <c r="F4347" s="15" t="n"/>
      <c r="G4347" s="15" t="n"/>
      <c r="H4347" s="16">
        <f>IF($A4347="","",$D4347+IF($E4347="",0,$E4347)+IF($F4347="",0,$F4347)-IF($G4347="",0,$G4347))</f>
        <v/>
      </c>
      <c r="I4347" s="12" t="n"/>
      <c r="J4347" s="12" t="n"/>
      <c r="K4347" s="12" t="n"/>
      <c r="L4347" s="14" t="n"/>
      <c r="M4347" s="12" t="n"/>
      <c r="N4347" s="12" t="n"/>
      <c r="O4347" s="12" t="n"/>
    </row>
    <row r="4348">
      <c r="A4348" s="12" t="n"/>
      <c r="B4348" s="13">
        <f>IF($A4348="","",IFERROR(INDEX(Emp_Names,MATCH($A4348,Emp_Codes,0)),"NOT FOUND"))</f>
        <v/>
      </c>
      <c r="C4348" s="14" t="n"/>
      <c r="D4348" s="15" t="n"/>
      <c r="E4348" s="15" t="n"/>
      <c r="F4348" s="15" t="n"/>
      <c r="G4348" s="15" t="n"/>
      <c r="H4348" s="16">
        <f>IF($A4348="","",$D4348+IF($E4348="",0,$E4348)+IF($F4348="",0,$F4348)-IF($G4348="",0,$G4348))</f>
        <v/>
      </c>
      <c r="I4348" s="12" t="n"/>
      <c r="J4348" s="12" t="n"/>
      <c r="K4348" s="12" t="n"/>
      <c r="L4348" s="14" t="n"/>
      <c r="M4348" s="12" t="n"/>
      <c r="N4348" s="12" t="n"/>
      <c r="O4348" s="12" t="n"/>
    </row>
    <row r="4349">
      <c r="A4349" s="12" t="n"/>
      <c r="B4349" s="13">
        <f>IF($A4349="","",IFERROR(INDEX(Emp_Names,MATCH($A4349,Emp_Codes,0)),"NOT FOUND"))</f>
        <v/>
      </c>
      <c r="C4349" s="14" t="n"/>
      <c r="D4349" s="15" t="n"/>
      <c r="E4349" s="15" t="n"/>
      <c r="F4349" s="15" t="n"/>
      <c r="G4349" s="15" t="n"/>
      <c r="H4349" s="16">
        <f>IF($A4349="","",$D4349+IF($E4349="",0,$E4349)+IF($F4349="",0,$F4349)-IF($G4349="",0,$G4349))</f>
        <v/>
      </c>
      <c r="I4349" s="12" t="n"/>
      <c r="J4349" s="12" t="n"/>
      <c r="K4349" s="12" t="n"/>
      <c r="L4349" s="14" t="n"/>
      <c r="M4349" s="12" t="n"/>
      <c r="N4349" s="12" t="n"/>
      <c r="O4349" s="12" t="n"/>
    </row>
    <row r="4350">
      <c r="A4350" s="12" t="n"/>
      <c r="B4350" s="13">
        <f>IF($A4350="","",IFERROR(INDEX(Emp_Names,MATCH($A4350,Emp_Codes,0)),"NOT FOUND"))</f>
        <v/>
      </c>
      <c r="C4350" s="14" t="n"/>
      <c r="D4350" s="15" t="n"/>
      <c r="E4350" s="15" t="n"/>
      <c r="F4350" s="15" t="n"/>
      <c r="G4350" s="15" t="n"/>
      <c r="H4350" s="16">
        <f>IF($A4350="","",$D4350+IF($E4350="",0,$E4350)+IF($F4350="",0,$F4350)-IF($G4350="",0,$G4350))</f>
        <v/>
      </c>
      <c r="I4350" s="12" t="n"/>
      <c r="J4350" s="12" t="n"/>
      <c r="K4350" s="12" t="n"/>
      <c r="L4350" s="14" t="n"/>
      <c r="M4350" s="12" t="n"/>
      <c r="N4350" s="12" t="n"/>
      <c r="O4350" s="12" t="n"/>
    </row>
    <row r="4351">
      <c r="A4351" s="12" t="n"/>
      <c r="B4351" s="13">
        <f>IF($A4351="","",IFERROR(INDEX(Emp_Names,MATCH($A4351,Emp_Codes,0)),"NOT FOUND"))</f>
        <v/>
      </c>
      <c r="C4351" s="14" t="n"/>
      <c r="D4351" s="15" t="n"/>
      <c r="E4351" s="15" t="n"/>
      <c r="F4351" s="15" t="n"/>
      <c r="G4351" s="15" t="n"/>
      <c r="H4351" s="16">
        <f>IF($A4351="","",$D4351+IF($E4351="",0,$E4351)+IF($F4351="",0,$F4351)-IF($G4351="",0,$G4351))</f>
        <v/>
      </c>
      <c r="I4351" s="12" t="n"/>
      <c r="J4351" s="12" t="n"/>
      <c r="K4351" s="12" t="n"/>
      <c r="L4351" s="14" t="n"/>
      <c r="M4351" s="12" t="n"/>
      <c r="N4351" s="12" t="n"/>
      <c r="O4351" s="12" t="n"/>
    </row>
    <row r="4352">
      <c r="A4352" s="12" t="n"/>
      <c r="B4352" s="13">
        <f>IF($A4352="","",IFERROR(INDEX(Emp_Names,MATCH($A4352,Emp_Codes,0)),"NOT FOUND"))</f>
        <v/>
      </c>
      <c r="C4352" s="14" t="n"/>
      <c r="D4352" s="15" t="n"/>
      <c r="E4352" s="15" t="n"/>
      <c r="F4352" s="15" t="n"/>
      <c r="G4352" s="15" t="n"/>
      <c r="H4352" s="16">
        <f>IF($A4352="","",$D4352+IF($E4352="",0,$E4352)+IF($F4352="",0,$F4352)-IF($G4352="",0,$G4352))</f>
        <v/>
      </c>
      <c r="I4352" s="12" t="n"/>
      <c r="J4352" s="12" t="n"/>
      <c r="K4352" s="12" t="n"/>
      <c r="L4352" s="14" t="n"/>
      <c r="M4352" s="12" t="n"/>
      <c r="N4352" s="12" t="n"/>
      <c r="O4352" s="12" t="n"/>
    </row>
    <row r="4353">
      <c r="A4353" s="12" t="n"/>
      <c r="B4353" s="13">
        <f>IF($A4353="","",IFERROR(INDEX(Emp_Names,MATCH($A4353,Emp_Codes,0)),"NOT FOUND"))</f>
        <v/>
      </c>
      <c r="C4353" s="14" t="n"/>
      <c r="D4353" s="15" t="n"/>
      <c r="E4353" s="15" t="n"/>
      <c r="F4353" s="15" t="n"/>
      <c r="G4353" s="15" t="n"/>
      <c r="H4353" s="16">
        <f>IF($A4353="","",$D4353+IF($E4353="",0,$E4353)+IF($F4353="",0,$F4353)-IF($G4353="",0,$G4353))</f>
        <v/>
      </c>
      <c r="I4353" s="12" t="n"/>
      <c r="J4353" s="12" t="n"/>
      <c r="K4353" s="12" t="n"/>
      <c r="L4353" s="14" t="n"/>
      <c r="M4353" s="12" t="n"/>
      <c r="N4353" s="12" t="n"/>
      <c r="O4353" s="12" t="n"/>
    </row>
    <row r="4354">
      <c r="A4354" s="12" t="n"/>
      <c r="B4354" s="13">
        <f>IF($A4354="","",IFERROR(INDEX(Emp_Names,MATCH($A4354,Emp_Codes,0)),"NOT FOUND"))</f>
        <v/>
      </c>
      <c r="C4354" s="14" t="n"/>
      <c r="D4354" s="15" t="n"/>
      <c r="E4354" s="15" t="n"/>
      <c r="F4354" s="15" t="n"/>
      <c r="G4354" s="15" t="n"/>
      <c r="H4354" s="16">
        <f>IF($A4354="","",$D4354+IF($E4354="",0,$E4354)+IF($F4354="",0,$F4354)-IF($G4354="",0,$G4354))</f>
        <v/>
      </c>
      <c r="I4354" s="12" t="n"/>
      <c r="J4354" s="12" t="n"/>
      <c r="K4354" s="12" t="n"/>
      <c r="L4354" s="14" t="n"/>
      <c r="M4354" s="12" t="n"/>
      <c r="N4354" s="12" t="n"/>
      <c r="O4354" s="12" t="n"/>
    </row>
    <row r="4355">
      <c r="A4355" s="12" t="n"/>
      <c r="B4355" s="13">
        <f>IF($A4355="","",IFERROR(INDEX(Emp_Names,MATCH($A4355,Emp_Codes,0)),"NOT FOUND"))</f>
        <v/>
      </c>
      <c r="C4355" s="14" t="n"/>
      <c r="D4355" s="15" t="n"/>
      <c r="E4355" s="15" t="n"/>
      <c r="F4355" s="15" t="n"/>
      <c r="G4355" s="15" t="n"/>
      <c r="H4355" s="16">
        <f>IF($A4355="","",$D4355+IF($E4355="",0,$E4355)+IF($F4355="",0,$F4355)-IF($G4355="",0,$G4355))</f>
        <v/>
      </c>
      <c r="I4355" s="12" t="n"/>
      <c r="J4355" s="12" t="n"/>
      <c r="K4355" s="12" t="n"/>
      <c r="L4355" s="14" t="n"/>
      <c r="M4355" s="12" t="n"/>
      <c r="N4355" s="12" t="n"/>
      <c r="O4355" s="12" t="n"/>
    </row>
    <row r="4356">
      <c r="A4356" s="12" t="n"/>
      <c r="B4356" s="13">
        <f>IF($A4356="","",IFERROR(INDEX(Emp_Names,MATCH($A4356,Emp_Codes,0)),"NOT FOUND"))</f>
        <v/>
      </c>
      <c r="C4356" s="14" t="n"/>
      <c r="D4356" s="15" t="n"/>
      <c r="E4356" s="15" t="n"/>
      <c r="F4356" s="15" t="n"/>
      <c r="G4356" s="15" t="n"/>
      <c r="H4356" s="16">
        <f>IF($A4356="","",$D4356+IF($E4356="",0,$E4356)+IF($F4356="",0,$F4356)-IF($G4356="",0,$G4356))</f>
        <v/>
      </c>
      <c r="I4356" s="12" t="n"/>
      <c r="J4356" s="12" t="n"/>
      <c r="K4356" s="12" t="n"/>
      <c r="L4356" s="14" t="n"/>
      <c r="M4356" s="12" t="n"/>
      <c r="N4356" s="12" t="n"/>
      <c r="O4356" s="12" t="n"/>
    </row>
    <row r="4357">
      <c r="A4357" s="12" t="n"/>
      <c r="B4357" s="13">
        <f>IF($A4357="","",IFERROR(INDEX(Emp_Names,MATCH($A4357,Emp_Codes,0)),"NOT FOUND"))</f>
        <v/>
      </c>
      <c r="C4357" s="14" t="n"/>
      <c r="D4357" s="15" t="n"/>
      <c r="E4357" s="15" t="n"/>
      <c r="F4357" s="15" t="n"/>
      <c r="G4357" s="15" t="n"/>
      <c r="H4357" s="16">
        <f>IF($A4357="","",$D4357+IF($E4357="",0,$E4357)+IF($F4357="",0,$F4357)-IF($G4357="",0,$G4357))</f>
        <v/>
      </c>
      <c r="I4357" s="12" t="n"/>
      <c r="J4357" s="12" t="n"/>
      <c r="K4357" s="12" t="n"/>
      <c r="L4357" s="14" t="n"/>
      <c r="M4357" s="12" t="n"/>
      <c r="N4357" s="12" t="n"/>
      <c r="O4357" s="12" t="n"/>
    </row>
    <row r="4358">
      <c r="A4358" s="12" t="n"/>
      <c r="B4358" s="13">
        <f>IF($A4358="","",IFERROR(INDEX(Emp_Names,MATCH($A4358,Emp_Codes,0)),"NOT FOUND"))</f>
        <v/>
      </c>
      <c r="C4358" s="14" t="n"/>
      <c r="D4358" s="15" t="n"/>
      <c r="E4358" s="15" t="n"/>
      <c r="F4358" s="15" t="n"/>
      <c r="G4358" s="15" t="n"/>
      <c r="H4358" s="16">
        <f>IF($A4358="","",$D4358+IF($E4358="",0,$E4358)+IF($F4358="",0,$F4358)-IF($G4358="",0,$G4358))</f>
        <v/>
      </c>
      <c r="I4358" s="12" t="n"/>
      <c r="J4358" s="12" t="n"/>
      <c r="K4358" s="12" t="n"/>
      <c r="L4358" s="14" t="n"/>
      <c r="M4358" s="12" t="n"/>
      <c r="N4358" s="12" t="n"/>
      <c r="O4358" s="12" t="n"/>
    </row>
    <row r="4359">
      <c r="A4359" s="12" t="n"/>
      <c r="B4359" s="13">
        <f>IF($A4359="","",IFERROR(INDEX(Emp_Names,MATCH($A4359,Emp_Codes,0)),"NOT FOUND"))</f>
        <v/>
      </c>
      <c r="C4359" s="14" t="n"/>
      <c r="D4359" s="15" t="n"/>
      <c r="E4359" s="15" t="n"/>
      <c r="F4359" s="15" t="n"/>
      <c r="G4359" s="15" t="n"/>
      <c r="H4359" s="16">
        <f>IF($A4359="","",$D4359+IF($E4359="",0,$E4359)+IF($F4359="",0,$F4359)-IF($G4359="",0,$G4359))</f>
        <v/>
      </c>
      <c r="I4359" s="12" t="n"/>
      <c r="J4359" s="12" t="n"/>
      <c r="K4359" s="12" t="n"/>
      <c r="L4359" s="14" t="n"/>
      <c r="M4359" s="12" t="n"/>
      <c r="N4359" s="12" t="n"/>
      <c r="O4359" s="12" t="n"/>
    </row>
    <row r="4360">
      <c r="A4360" s="12" t="n"/>
      <c r="B4360" s="13">
        <f>IF($A4360="","",IFERROR(INDEX(Emp_Names,MATCH($A4360,Emp_Codes,0)),"NOT FOUND"))</f>
        <v/>
      </c>
      <c r="C4360" s="14" t="n"/>
      <c r="D4360" s="15" t="n"/>
      <c r="E4360" s="15" t="n"/>
      <c r="F4360" s="15" t="n"/>
      <c r="G4360" s="15" t="n"/>
      <c r="H4360" s="16">
        <f>IF($A4360="","",$D4360+IF($E4360="",0,$E4360)+IF($F4360="",0,$F4360)-IF($G4360="",0,$G4360))</f>
        <v/>
      </c>
      <c r="I4360" s="12" t="n"/>
      <c r="J4360" s="12" t="n"/>
      <c r="K4360" s="12" t="n"/>
      <c r="L4360" s="14" t="n"/>
      <c r="M4360" s="12" t="n"/>
      <c r="N4360" s="12" t="n"/>
      <c r="O4360" s="12" t="n"/>
    </row>
    <row r="4361">
      <c r="A4361" s="12" t="n"/>
      <c r="B4361" s="13">
        <f>IF($A4361="","",IFERROR(INDEX(Emp_Names,MATCH($A4361,Emp_Codes,0)),"NOT FOUND"))</f>
        <v/>
      </c>
      <c r="C4361" s="14" t="n"/>
      <c r="D4361" s="15" t="n"/>
      <c r="E4361" s="15" t="n"/>
      <c r="F4361" s="15" t="n"/>
      <c r="G4361" s="15" t="n"/>
      <c r="H4361" s="16">
        <f>IF($A4361="","",$D4361+IF($E4361="",0,$E4361)+IF($F4361="",0,$F4361)-IF($G4361="",0,$G4361))</f>
        <v/>
      </c>
      <c r="I4361" s="12" t="n"/>
      <c r="J4361" s="12" t="n"/>
      <c r="K4361" s="12" t="n"/>
      <c r="L4361" s="14" t="n"/>
      <c r="M4361" s="12" t="n"/>
      <c r="N4361" s="12" t="n"/>
      <c r="O4361" s="12" t="n"/>
    </row>
    <row r="4362">
      <c r="A4362" s="12" t="n"/>
      <c r="B4362" s="13">
        <f>IF($A4362="","",IFERROR(INDEX(Emp_Names,MATCH($A4362,Emp_Codes,0)),"NOT FOUND"))</f>
        <v/>
      </c>
      <c r="C4362" s="14" t="n"/>
      <c r="D4362" s="15" t="n"/>
      <c r="E4362" s="15" t="n"/>
      <c r="F4362" s="15" t="n"/>
      <c r="G4362" s="15" t="n"/>
      <c r="H4362" s="16">
        <f>IF($A4362="","",$D4362+IF($E4362="",0,$E4362)+IF($F4362="",0,$F4362)-IF($G4362="",0,$G4362))</f>
        <v/>
      </c>
      <c r="I4362" s="12" t="n"/>
      <c r="J4362" s="12" t="n"/>
      <c r="K4362" s="12" t="n"/>
      <c r="L4362" s="14" t="n"/>
      <c r="M4362" s="12" t="n"/>
      <c r="N4362" s="12" t="n"/>
      <c r="O4362" s="12" t="n"/>
    </row>
    <row r="4363">
      <c r="A4363" s="12" t="n"/>
      <c r="B4363" s="13">
        <f>IF($A4363="","",IFERROR(INDEX(Emp_Names,MATCH($A4363,Emp_Codes,0)),"NOT FOUND"))</f>
        <v/>
      </c>
      <c r="C4363" s="14" t="n"/>
      <c r="D4363" s="15" t="n"/>
      <c r="E4363" s="15" t="n"/>
      <c r="F4363" s="15" t="n"/>
      <c r="G4363" s="15" t="n"/>
      <c r="H4363" s="16">
        <f>IF($A4363="","",$D4363+IF($E4363="",0,$E4363)+IF($F4363="",0,$F4363)-IF($G4363="",0,$G4363))</f>
        <v/>
      </c>
      <c r="I4363" s="12" t="n"/>
      <c r="J4363" s="12" t="n"/>
      <c r="K4363" s="12" t="n"/>
      <c r="L4363" s="14" t="n"/>
      <c r="M4363" s="12" t="n"/>
      <c r="N4363" s="12" t="n"/>
      <c r="O4363" s="12" t="n"/>
    </row>
    <row r="4364">
      <c r="A4364" s="12" t="n"/>
      <c r="B4364" s="13">
        <f>IF($A4364="","",IFERROR(INDEX(Emp_Names,MATCH($A4364,Emp_Codes,0)),"NOT FOUND"))</f>
        <v/>
      </c>
      <c r="C4364" s="14" t="n"/>
      <c r="D4364" s="15" t="n"/>
      <c r="E4364" s="15" t="n"/>
      <c r="F4364" s="15" t="n"/>
      <c r="G4364" s="15" t="n"/>
      <c r="H4364" s="16">
        <f>IF($A4364="","",$D4364+IF($E4364="",0,$E4364)+IF($F4364="",0,$F4364)-IF($G4364="",0,$G4364))</f>
        <v/>
      </c>
      <c r="I4364" s="12" t="n"/>
      <c r="J4364" s="12" t="n"/>
      <c r="K4364" s="12" t="n"/>
      <c r="L4364" s="14" t="n"/>
      <c r="M4364" s="12" t="n"/>
      <c r="N4364" s="12" t="n"/>
      <c r="O4364" s="12" t="n"/>
    </row>
    <row r="4365">
      <c r="A4365" s="12" t="n"/>
      <c r="B4365" s="13">
        <f>IF($A4365="","",IFERROR(INDEX(Emp_Names,MATCH($A4365,Emp_Codes,0)),"NOT FOUND"))</f>
        <v/>
      </c>
      <c r="C4365" s="14" t="n"/>
      <c r="D4365" s="15" t="n"/>
      <c r="E4365" s="15" t="n"/>
      <c r="F4365" s="15" t="n"/>
      <c r="G4365" s="15" t="n"/>
      <c r="H4365" s="16">
        <f>IF($A4365="","",$D4365+IF($E4365="",0,$E4365)+IF($F4365="",0,$F4365)-IF($G4365="",0,$G4365))</f>
        <v/>
      </c>
      <c r="I4365" s="12" t="n"/>
      <c r="J4365" s="12" t="n"/>
      <c r="K4365" s="12" t="n"/>
      <c r="L4365" s="14" t="n"/>
      <c r="M4365" s="12" t="n"/>
      <c r="N4365" s="12" t="n"/>
      <c r="O4365" s="12" t="n"/>
    </row>
    <row r="4366">
      <c r="A4366" s="12" t="n"/>
      <c r="B4366" s="13">
        <f>IF($A4366="","",IFERROR(INDEX(Emp_Names,MATCH($A4366,Emp_Codes,0)),"NOT FOUND"))</f>
        <v/>
      </c>
      <c r="C4366" s="14" t="n"/>
      <c r="D4366" s="15" t="n"/>
      <c r="E4366" s="15" t="n"/>
      <c r="F4366" s="15" t="n"/>
      <c r="G4366" s="15" t="n"/>
      <c r="H4366" s="16">
        <f>IF($A4366="","",$D4366+IF($E4366="",0,$E4366)+IF($F4366="",0,$F4366)-IF($G4366="",0,$G4366))</f>
        <v/>
      </c>
      <c r="I4366" s="12" t="n"/>
      <c r="J4366" s="12" t="n"/>
      <c r="K4366" s="12" t="n"/>
      <c r="L4366" s="14" t="n"/>
      <c r="M4366" s="12" t="n"/>
      <c r="N4366" s="12" t="n"/>
      <c r="O4366" s="12" t="n"/>
    </row>
    <row r="4367">
      <c r="A4367" s="12" t="n"/>
      <c r="B4367" s="13">
        <f>IF($A4367="","",IFERROR(INDEX(Emp_Names,MATCH($A4367,Emp_Codes,0)),"NOT FOUND"))</f>
        <v/>
      </c>
      <c r="C4367" s="14" t="n"/>
      <c r="D4367" s="15" t="n"/>
      <c r="E4367" s="15" t="n"/>
      <c r="F4367" s="15" t="n"/>
      <c r="G4367" s="15" t="n"/>
      <c r="H4367" s="16">
        <f>IF($A4367="","",$D4367+IF($E4367="",0,$E4367)+IF($F4367="",0,$F4367)-IF($G4367="",0,$G4367))</f>
        <v/>
      </c>
      <c r="I4367" s="12" t="n"/>
      <c r="J4367" s="12" t="n"/>
      <c r="K4367" s="12" t="n"/>
      <c r="L4367" s="14" t="n"/>
      <c r="M4367" s="12" t="n"/>
      <c r="N4367" s="12" t="n"/>
      <c r="O4367" s="12" t="n"/>
    </row>
    <row r="4368">
      <c r="A4368" s="12" t="n"/>
      <c r="B4368" s="13">
        <f>IF($A4368="","",IFERROR(INDEX(Emp_Names,MATCH($A4368,Emp_Codes,0)),"NOT FOUND"))</f>
        <v/>
      </c>
      <c r="C4368" s="14" t="n"/>
      <c r="D4368" s="15" t="n"/>
      <c r="E4368" s="15" t="n"/>
      <c r="F4368" s="15" t="n"/>
      <c r="G4368" s="15" t="n"/>
      <c r="H4368" s="16">
        <f>IF($A4368="","",$D4368+IF($E4368="",0,$E4368)+IF($F4368="",0,$F4368)-IF($G4368="",0,$G4368))</f>
        <v/>
      </c>
      <c r="I4368" s="12" t="n"/>
      <c r="J4368" s="12" t="n"/>
      <c r="K4368" s="12" t="n"/>
      <c r="L4368" s="14" t="n"/>
      <c r="M4368" s="12" t="n"/>
      <c r="N4368" s="12" t="n"/>
      <c r="O4368" s="12" t="n"/>
    </row>
    <row r="4369">
      <c r="A4369" s="12" t="n"/>
      <c r="B4369" s="13">
        <f>IF($A4369="","",IFERROR(INDEX(Emp_Names,MATCH($A4369,Emp_Codes,0)),"NOT FOUND"))</f>
        <v/>
      </c>
      <c r="C4369" s="14" t="n"/>
      <c r="D4369" s="15" t="n"/>
      <c r="E4369" s="15" t="n"/>
      <c r="F4369" s="15" t="n"/>
      <c r="G4369" s="15" t="n"/>
      <c r="H4369" s="16">
        <f>IF($A4369="","",$D4369+IF($E4369="",0,$E4369)+IF($F4369="",0,$F4369)-IF($G4369="",0,$G4369))</f>
        <v/>
      </c>
      <c r="I4369" s="12" t="n"/>
      <c r="J4369" s="12" t="n"/>
      <c r="K4369" s="12" t="n"/>
      <c r="L4369" s="14" t="n"/>
      <c r="M4369" s="12" t="n"/>
      <c r="N4369" s="12" t="n"/>
      <c r="O4369" s="12" t="n"/>
    </row>
    <row r="4370">
      <c r="A4370" s="12" t="n"/>
      <c r="B4370" s="13">
        <f>IF($A4370="","",IFERROR(INDEX(Emp_Names,MATCH($A4370,Emp_Codes,0)),"NOT FOUND"))</f>
        <v/>
      </c>
      <c r="C4370" s="14" t="n"/>
      <c r="D4370" s="15" t="n"/>
      <c r="E4370" s="15" t="n"/>
      <c r="F4370" s="15" t="n"/>
      <c r="G4370" s="15" t="n"/>
      <c r="H4370" s="16">
        <f>IF($A4370="","",$D4370+IF($E4370="",0,$E4370)+IF($F4370="",0,$F4370)-IF($G4370="",0,$G4370))</f>
        <v/>
      </c>
      <c r="I4370" s="12" t="n"/>
      <c r="J4370" s="12" t="n"/>
      <c r="K4370" s="12" t="n"/>
      <c r="L4370" s="14" t="n"/>
      <c r="M4370" s="12" t="n"/>
      <c r="N4370" s="12" t="n"/>
      <c r="O4370" s="12" t="n"/>
    </row>
    <row r="4371">
      <c r="A4371" s="12" t="n"/>
      <c r="B4371" s="13">
        <f>IF($A4371="","",IFERROR(INDEX(Emp_Names,MATCH($A4371,Emp_Codes,0)),"NOT FOUND"))</f>
        <v/>
      </c>
      <c r="C4371" s="14" t="n"/>
      <c r="D4371" s="15" t="n"/>
      <c r="E4371" s="15" t="n"/>
      <c r="F4371" s="15" t="n"/>
      <c r="G4371" s="15" t="n"/>
      <c r="H4371" s="16">
        <f>IF($A4371="","",$D4371+IF($E4371="",0,$E4371)+IF($F4371="",0,$F4371)-IF($G4371="",0,$G4371))</f>
        <v/>
      </c>
      <c r="I4371" s="12" t="n"/>
      <c r="J4371" s="12" t="n"/>
      <c r="K4371" s="12" t="n"/>
      <c r="L4371" s="14" t="n"/>
      <c r="M4371" s="12" t="n"/>
      <c r="N4371" s="12" t="n"/>
      <c r="O4371" s="12" t="n"/>
    </row>
    <row r="4372">
      <c r="A4372" s="12" t="n"/>
      <c r="B4372" s="13">
        <f>IF($A4372="","",IFERROR(INDEX(Emp_Names,MATCH($A4372,Emp_Codes,0)),"NOT FOUND"))</f>
        <v/>
      </c>
      <c r="C4372" s="14" t="n"/>
      <c r="D4372" s="15" t="n"/>
      <c r="E4372" s="15" t="n"/>
      <c r="F4372" s="15" t="n"/>
      <c r="G4372" s="15" t="n"/>
      <c r="H4372" s="16">
        <f>IF($A4372="","",$D4372+IF($E4372="",0,$E4372)+IF($F4372="",0,$F4372)-IF($G4372="",0,$G4372))</f>
        <v/>
      </c>
      <c r="I4372" s="12" t="n"/>
      <c r="J4372" s="12" t="n"/>
      <c r="K4372" s="12" t="n"/>
      <c r="L4372" s="14" t="n"/>
      <c r="M4372" s="12" t="n"/>
      <c r="N4372" s="12" t="n"/>
      <c r="O4372" s="12" t="n"/>
    </row>
    <row r="4373">
      <c r="A4373" s="12" t="n"/>
      <c r="B4373" s="13">
        <f>IF($A4373="","",IFERROR(INDEX(Emp_Names,MATCH($A4373,Emp_Codes,0)),"NOT FOUND"))</f>
        <v/>
      </c>
      <c r="C4373" s="14" t="n"/>
      <c r="D4373" s="15" t="n"/>
      <c r="E4373" s="15" t="n"/>
      <c r="F4373" s="15" t="n"/>
      <c r="G4373" s="15" t="n"/>
      <c r="H4373" s="16">
        <f>IF($A4373="","",$D4373+IF($E4373="",0,$E4373)+IF($F4373="",0,$F4373)-IF($G4373="",0,$G4373))</f>
        <v/>
      </c>
      <c r="I4373" s="12" t="n"/>
      <c r="J4373" s="12" t="n"/>
      <c r="K4373" s="12" t="n"/>
      <c r="L4373" s="14" t="n"/>
      <c r="M4373" s="12" t="n"/>
      <c r="N4373" s="12" t="n"/>
      <c r="O4373" s="12" t="n"/>
    </row>
    <row r="4374">
      <c r="A4374" s="12" t="n"/>
      <c r="B4374" s="13">
        <f>IF($A4374="","",IFERROR(INDEX(Emp_Names,MATCH($A4374,Emp_Codes,0)),"NOT FOUND"))</f>
        <v/>
      </c>
      <c r="C4374" s="14" t="n"/>
      <c r="D4374" s="15" t="n"/>
      <c r="E4374" s="15" t="n"/>
      <c r="F4374" s="15" t="n"/>
      <c r="G4374" s="15" t="n"/>
      <c r="H4374" s="16">
        <f>IF($A4374="","",$D4374+IF($E4374="",0,$E4374)+IF($F4374="",0,$F4374)-IF($G4374="",0,$G4374))</f>
        <v/>
      </c>
      <c r="I4374" s="12" t="n"/>
      <c r="J4374" s="12" t="n"/>
      <c r="K4374" s="12" t="n"/>
      <c r="L4374" s="14" t="n"/>
      <c r="M4374" s="12" t="n"/>
      <c r="N4374" s="12" t="n"/>
      <c r="O4374" s="12" t="n"/>
    </row>
    <row r="4375">
      <c r="A4375" s="12" t="n"/>
      <c r="B4375" s="13">
        <f>IF($A4375="","",IFERROR(INDEX(Emp_Names,MATCH($A4375,Emp_Codes,0)),"NOT FOUND"))</f>
        <v/>
      </c>
      <c r="C4375" s="14" t="n"/>
      <c r="D4375" s="15" t="n"/>
      <c r="E4375" s="15" t="n"/>
      <c r="F4375" s="15" t="n"/>
      <c r="G4375" s="15" t="n"/>
      <c r="H4375" s="16">
        <f>IF($A4375="","",$D4375+IF($E4375="",0,$E4375)+IF($F4375="",0,$F4375)-IF($G4375="",0,$G4375))</f>
        <v/>
      </c>
      <c r="I4375" s="12" t="n"/>
      <c r="J4375" s="12" t="n"/>
      <c r="K4375" s="12" t="n"/>
      <c r="L4375" s="14" t="n"/>
      <c r="M4375" s="12" t="n"/>
      <c r="N4375" s="12" t="n"/>
      <c r="O4375" s="12" t="n"/>
    </row>
    <row r="4376">
      <c r="A4376" s="12" t="n"/>
      <c r="B4376" s="13">
        <f>IF($A4376="","",IFERROR(INDEX(Emp_Names,MATCH($A4376,Emp_Codes,0)),"NOT FOUND"))</f>
        <v/>
      </c>
      <c r="C4376" s="14" t="n"/>
      <c r="D4376" s="15" t="n"/>
      <c r="E4376" s="15" t="n"/>
      <c r="F4376" s="15" t="n"/>
      <c r="G4376" s="15" t="n"/>
      <c r="H4376" s="16">
        <f>IF($A4376="","",$D4376+IF($E4376="",0,$E4376)+IF($F4376="",0,$F4376)-IF($G4376="",0,$G4376))</f>
        <v/>
      </c>
      <c r="I4376" s="12" t="n"/>
      <c r="J4376" s="12" t="n"/>
      <c r="K4376" s="12" t="n"/>
      <c r="L4376" s="14" t="n"/>
      <c r="M4376" s="12" t="n"/>
      <c r="N4376" s="12" t="n"/>
      <c r="O4376" s="12" t="n"/>
    </row>
    <row r="4377">
      <c r="A4377" s="12" t="n"/>
      <c r="B4377" s="13">
        <f>IF($A4377="","",IFERROR(INDEX(Emp_Names,MATCH($A4377,Emp_Codes,0)),"NOT FOUND"))</f>
        <v/>
      </c>
      <c r="C4377" s="14" t="n"/>
      <c r="D4377" s="15" t="n"/>
      <c r="E4377" s="15" t="n"/>
      <c r="F4377" s="15" t="n"/>
      <c r="G4377" s="15" t="n"/>
      <c r="H4377" s="16">
        <f>IF($A4377="","",$D4377+IF($E4377="",0,$E4377)+IF($F4377="",0,$F4377)-IF($G4377="",0,$G4377))</f>
        <v/>
      </c>
      <c r="I4377" s="12" t="n"/>
      <c r="J4377" s="12" t="n"/>
      <c r="K4377" s="12" t="n"/>
      <c r="L4377" s="14" t="n"/>
      <c r="M4377" s="12" t="n"/>
      <c r="N4377" s="12" t="n"/>
      <c r="O4377" s="12" t="n"/>
    </row>
    <row r="4378">
      <c r="A4378" s="12" t="n"/>
      <c r="B4378" s="13">
        <f>IF($A4378="","",IFERROR(INDEX(Emp_Names,MATCH($A4378,Emp_Codes,0)),"NOT FOUND"))</f>
        <v/>
      </c>
      <c r="C4378" s="14" t="n"/>
      <c r="D4378" s="15" t="n"/>
      <c r="E4378" s="15" t="n"/>
      <c r="F4378" s="15" t="n"/>
      <c r="G4378" s="15" t="n"/>
      <c r="H4378" s="16">
        <f>IF($A4378="","",$D4378+IF($E4378="",0,$E4378)+IF($F4378="",0,$F4378)-IF($G4378="",0,$G4378))</f>
        <v/>
      </c>
      <c r="I4378" s="12" t="n"/>
      <c r="J4378" s="12" t="n"/>
      <c r="K4378" s="12" t="n"/>
      <c r="L4378" s="14" t="n"/>
      <c r="M4378" s="12" t="n"/>
      <c r="N4378" s="12" t="n"/>
      <c r="O4378" s="12" t="n"/>
    </row>
    <row r="4379">
      <c r="A4379" s="12" t="n"/>
      <c r="B4379" s="13">
        <f>IF($A4379="","",IFERROR(INDEX(Emp_Names,MATCH($A4379,Emp_Codes,0)),"NOT FOUND"))</f>
        <v/>
      </c>
      <c r="C4379" s="14" t="n"/>
      <c r="D4379" s="15" t="n"/>
      <c r="E4379" s="15" t="n"/>
      <c r="F4379" s="15" t="n"/>
      <c r="G4379" s="15" t="n"/>
      <c r="H4379" s="16">
        <f>IF($A4379="","",$D4379+IF($E4379="",0,$E4379)+IF($F4379="",0,$F4379)-IF($G4379="",0,$G4379))</f>
        <v/>
      </c>
      <c r="I4379" s="12" t="n"/>
      <c r="J4379" s="12" t="n"/>
      <c r="K4379" s="12" t="n"/>
      <c r="L4379" s="14" t="n"/>
      <c r="M4379" s="12" t="n"/>
      <c r="N4379" s="12" t="n"/>
      <c r="O4379" s="12" t="n"/>
    </row>
    <row r="4380">
      <c r="A4380" s="12" t="n"/>
      <c r="B4380" s="13">
        <f>IF($A4380="","",IFERROR(INDEX(Emp_Names,MATCH($A4380,Emp_Codes,0)),"NOT FOUND"))</f>
        <v/>
      </c>
      <c r="C4380" s="14" t="n"/>
      <c r="D4380" s="15" t="n"/>
      <c r="E4380" s="15" t="n"/>
      <c r="F4380" s="15" t="n"/>
      <c r="G4380" s="15" t="n"/>
      <c r="H4380" s="16">
        <f>IF($A4380="","",$D4380+IF($E4380="",0,$E4380)+IF($F4380="",0,$F4380)-IF($G4380="",0,$G4380))</f>
        <v/>
      </c>
      <c r="I4380" s="12" t="n"/>
      <c r="J4380" s="12" t="n"/>
      <c r="K4380" s="12" t="n"/>
      <c r="L4380" s="14" t="n"/>
      <c r="M4380" s="12" t="n"/>
      <c r="N4380" s="12" t="n"/>
      <c r="O4380" s="12" t="n"/>
    </row>
    <row r="4381">
      <c r="A4381" s="12" t="n"/>
      <c r="B4381" s="13">
        <f>IF($A4381="","",IFERROR(INDEX(Emp_Names,MATCH($A4381,Emp_Codes,0)),"NOT FOUND"))</f>
        <v/>
      </c>
      <c r="C4381" s="14" t="n"/>
      <c r="D4381" s="15" t="n"/>
      <c r="E4381" s="15" t="n"/>
      <c r="F4381" s="15" t="n"/>
      <c r="G4381" s="15" t="n"/>
      <c r="H4381" s="16">
        <f>IF($A4381="","",$D4381+IF($E4381="",0,$E4381)+IF($F4381="",0,$F4381)-IF($G4381="",0,$G4381))</f>
        <v/>
      </c>
      <c r="I4381" s="12" t="n"/>
      <c r="J4381" s="12" t="n"/>
      <c r="K4381" s="12" t="n"/>
      <c r="L4381" s="14" t="n"/>
      <c r="M4381" s="12" t="n"/>
      <c r="N4381" s="12" t="n"/>
      <c r="O4381" s="12" t="n"/>
    </row>
    <row r="4382">
      <c r="A4382" s="12" t="n"/>
      <c r="B4382" s="13">
        <f>IF($A4382="","",IFERROR(INDEX(Emp_Names,MATCH($A4382,Emp_Codes,0)),"NOT FOUND"))</f>
        <v/>
      </c>
      <c r="C4382" s="14" t="n"/>
      <c r="D4382" s="15" t="n"/>
      <c r="E4382" s="15" t="n"/>
      <c r="F4382" s="15" t="n"/>
      <c r="G4382" s="15" t="n"/>
      <c r="H4382" s="16">
        <f>IF($A4382="","",$D4382+IF($E4382="",0,$E4382)+IF($F4382="",0,$F4382)-IF($G4382="",0,$G4382))</f>
        <v/>
      </c>
      <c r="I4382" s="12" t="n"/>
      <c r="J4382" s="12" t="n"/>
      <c r="K4382" s="12" t="n"/>
      <c r="L4382" s="14" t="n"/>
      <c r="M4382" s="12" t="n"/>
      <c r="N4382" s="12" t="n"/>
      <c r="O4382" s="12" t="n"/>
    </row>
    <row r="4383">
      <c r="A4383" s="12" t="n"/>
      <c r="B4383" s="13">
        <f>IF($A4383="","",IFERROR(INDEX(Emp_Names,MATCH($A4383,Emp_Codes,0)),"NOT FOUND"))</f>
        <v/>
      </c>
      <c r="C4383" s="14" t="n"/>
      <c r="D4383" s="15" t="n"/>
      <c r="E4383" s="15" t="n"/>
      <c r="F4383" s="15" t="n"/>
      <c r="G4383" s="15" t="n"/>
      <c r="H4383" s="16">
        <f>IF($A4383="","",$D4383+IF($E4383="",0,$E4383)+IF($F4383="",0,$F4383)-IF($G4383="",0,$G4383))</f>
        <v/>
      </c>
      <c r="I4383" s="12" t="n"/>
      <c r="J4383" s="12" t="n"/>
      <c r="K4383" s="12" t="n"/>
      <c r="L4383" s="14" t="n"/>
      <c r="M4383" s="12" t="n"/>
      <c r="N4383" s="12" t="n"/>
      <c r="O4383" s="12" t="n"/>
    </row>
    <row r="4384">
      <c r="A4384" s="12" t="n"/>
      <c r="B4384" s="13">
        <f>IF($A4384="","",IFERROR(INDEX(Emp_Names,MATCH($A4384,Emp_Codes,0)),"NOT FOUND"))</f>
        <v/>
      </c>
      <c r="C4384" s="14" t="n"/>
      <c r="D4384" s="15" t="n"/>
      <c r="E4384" s="15" t="n"/>
      <c r="F4384" s="15" t="n"/>
      <c r="G4384" s="15" t="n"/>
      <c r="H4384" s="16">
        <f>IF($A4384="","",$D4384+IF($E4384="",0,$E4384)+IF($F4384="",0,$F4384)-IF($G4384="",0,$G4384))</f>
        <v/>
      </c>
      <c r="I4384" s="12" t="n"/>
      <c r="J4384" s="12" t="n"/>
      <c r="K4384" s="12" t="n"/>
      <c r="L4384" s="14" t="n"/>
      <c r="M4384" s="12" t="n"/>
      <c r="N4384" s="12" t="n"/>
      <c r="O4384" s="12" t="n"/>
    </row>
    <row r="4385">
      <c r="A4385" s="12" t="n"/>
      <c r="B4385" s="13">
        <f>IF($A4385="","",IFERROR(INDEX(Emp_Names,MATCH($A4385,Emp_Codes,0)),"NOT FOUND"))</f>
        <v/>
      </c>
      <c r="C4385" s="14" t="n"/>
      <c r="D4385" s="15" t="n"/>
      <c r="E4385" s="15" t="n"/>
      <c r="F4385" s="15" t="n"/>
      <c r="G4385" s="15" t="n"/>
      <c r="H4385" s="16">
        <f>IF($A4385="","",$D4385+IF($E4385="",0,$E4385)+IF($F4385="",0,$F4385)-IF($G4385="",0,$G4385))</f>
        <v/>
      </c>
      <c r="I4385" s="12" t="n"/>
      <c r="J4385" s="12" t="n"/>
      <c r="K4385" s="12" t="n"/>
      <c r="L4385" s="14" t="n"/>
      <c r="M4385" s="12" t="n"/>
      <c r="N4385" s="12" t="n"/>
      <c r="O4385" s="12" t="n"/>
    </row>
    <row r="4386">
      <c r="A4386" s="12" t="n"/>
      <c r="B4386" s="13">
        <f>IF($A4386="","",IFERROR(INDEX(Emp_Names,MATCH($A4386,Emp_Codes,0)),"NOT FOUND"))</f>
        <v/>
      </c>
      <c r="C4386" s="14" t="n"/>
      <c r="D4386" s="15" t="n"/>
      <c r="E4386" s="15" t="n"/>
      <c r="F4386" s="15" t="n"/>
      <c r="G4386" s="15" t="n"/>
      <c r="H4386" s="16">
        <f>IF($A4386="","",$D4386+IF($E4386="",0,$E4386)+IF($F4386="",0,$F4386)-IF($G4386="",0,$G4386))</f>
        <v/>
      </c>
      <c r="I4386" s="12" t="n"/>
      <c r="J4386" s="12" t="n"/>
      <c r="K4386" s="12" t="n"/>
      <c r="L4386" s="14" t="n"/>
      <c r="M4386" s="12" t="n"/>
      <c r="N4386" s="12" t="n"/>
      <c r="O4386" s="12" t="n"/>
    </row>
    <row r="4387">
      <c r="A4387" s="12" t="n"/>
      <c r="B4387" s="13">
        <f>IF($A4387="","",IFERROR(INDEX(Emp_Names,MATCH($A4387,Emp_Codes,0)),"NOT FOUND"))</f>
        <v/>
      </c>
      <c r="C4387" s="14" t="n"/>
      <c r="D4387" s="15" t="n"/>
      <c r="E4387" s="15" t="n"/>
      <c r="F4387" s="15" t="n"/>
      <c r="G4387" s="15" t="n"/>
      <c r="H4387" s="16">
        <f>IF($A4387="","",$D4387+IF($E4387="",0,$E4387)+IF($F4387="",0,$F4387)-IF($G4387="",0,$G4387))</f>
        <v/>
      </c>
      <c r="I4387" s="12" t="n"/>
      <c r="J4387" s="12" t="n"/>
      <c r="K4387" s="12" t="n"/>
      <c r="L4387" s="14" t="n"/>
      <c r="M4387" s="12" t="n"/>
      <c r="N4387" s="12" t="n"/>
      <c r="O4387" s="12" t="n"/>
    </row>
    <row r="4388">
      <c r="A4388" s="12" t="n"/>
      <c r="B4388" s="13">
        <f>IF($A4388="","",IFERROR(INDEX(Emp_Names,MATCH($A4388,Emp_Codes,0)),"NOT FOUND"))</f>
        <v/>
      </c>
      <c r="C4388" s="14" t="n"/>
      <c r="D4388" s="15" t="n"/>
      <c r="E4388" s="15" t="n"/>
      <c r="F4388" s="15" t="n"/>
      <c r="G4388" s="15" t="n"/>
      <c r="H4388" s="16">
        <f>IF($A4388="","",$D4388+IF($E4388="",0,$E4388)+IF($F4388="",0,$F4388)-IF($G4388="",0,$G4388))</f>
        <v/>
      </c>
      <c r="I4388" s="12" t="n"/>
      <c r="J4388" s="12" t="n"/>
      <c r="K4388" s="12" t="n"/>
      <c r="L4388" s="14" t="n"/>
      <c r="M4388" s="12" t="n"/>
      <c r="N4388" s="12" t="n"/>
      <c r="O4388" s="12" t="n"/>
    </row>
    <row r="4389">
      <c r="A4389" s="12" t="n"/>
      <c r="B4389" s="13">
        <f>IF($A4389="","",IFERROR(INDEX(Emp_Names,MATCH($A4389,Emp_Codes,0)),"NOT FOUND"))</f>
        <v/>
      </c>
      <c r="C4389" s="14" t="n"/>
      <c r="D4389" s="15" t="n"/>
      <c r="E4389" s="15" t="n"/>
      <c r="F4389" s="15" t="n"/>
      <c r="G4389" s="15" t="n"/>
      <c r="H4389" s="16">
        <f>IF($A4389="","",$D4389+IF($E4389="",0,$E4389)+IF($F4389="",0,$F4389)-IF($G4389="",0,$G4389))</f>
        <v/>
      </c>
      <c r="I4389" s="12" t="n"/>
      <c r="J4389" s="12" t="n"/>
      <c r="K4389" s="12" t="n"/>
      <c r="L4389" s="14" t="n"/>
      <c r="M4389" s="12" t="n"/>
      <c r="N4389" s="12" t="n"/>
      <c r="O4389" s="12" t="n"/>
    </row>
    <row r="4390">
      <c r="A4390" s="12" t="n"/>
      <c r="B4390" s="13">
        <f>IF($A4390="","",IFERROR(INDEX(Emp_Names,MATCH($A4390,Emp_Codes,0)),"NOT FOUND"))</f>
        <v/>
      </c>
      <c r="C4390" s="14" t="n"/>
      <c r="D4390" s="15" t="n"/>
      <c r="E4390" s="15" t="n"/>
      <c r="F4390" s="15" t="n"/>
      <c r="G4390" s="15" t="n"/>
      <c r="H4390" s="16">
        <f>IF($A4390="","",$D4390+IF($E4390="",0,$E4390)+IF($F4390="",0,$F4390)-IF($G4390="",0,$G4390))</f>
        <v/>
      </c>
      <c r="I4390" s="12" t="n"/>
      <c r="J4390" s="12" t="n"/>
      <c r="K4390" s="12" t="n"/>
      <c r="L4390" s="14" t="n"/>
      <c r="M4390" s="12" t="n"/>
      <c r="N4390" s="12" t="n"/>
      <c r="O4390" s="12" t="n"/>
    </row>
    <row r="4391">
      <c r="A4391" s="12" t="n"/>
      <c r="B4391" s="13">
        <f>IF($A4391="","",IFERROR(INDEX(Emp_Names,MATCH($A4391,Emp_Codes,0)),"NOT FOUND"))</f>
        <v/>
      </c>
      <c r="C4391" s="14" t="n"/>
      <c r="D4391" s="15" t="n"/>
      <c r="E4391" s="15" t="n"/>
      <c r="F4391" s="15" t="n"/>
      <c r="G4391" s="15" t="n"/>
      <c r="H4391" s="16">
        <f>IF($A4391="","",$D4391+IF($E4391="",0,$E4391)+IF($F4391="",0,$F4391)-IF($G4391="",0,$G4391))</f>
        <v/>
      </c>
      <c r="I4391" s="12" t="n"/>
      <c r="J4391" s="12" t="n"/>
      <c r="K4391" s="12" t="n"/>
      <c r="L4391" s="14" t="n"/>
      <c r="M4391" s="12" t="n"/>
      <c r="N4391" s="12" t="n"/>
      <c r="O4391" s="12" t="n"/>
    </row>
    <row r="4392">
      <c r="A4392" s="12" t="n"/>
      <c r="B4392" s="13">
        <f>IF($A4392="","",IFERROR(INDEX(Emp_Names,MATCH($A4392,Emp_Codes,0)),"NOT FOUND"))</f>
        <v/>
      </c>
      <c r="C4392" s="14" t="n"/>
      <c r="D4392" s="15" t="n"/>
      <c r="E4392" s="15" t="n"/>
      <c r="F4392" s="15" t="n"/>
      <c r="G4392" s="15" t="n"/>
      <c r="H4392" s="16">
        <f>IF($A4392="","",$D4392+IF($E4392="",0,$E4392)+IF($F4392="",0,$F4392)-IF($G4392="",0,$G4392))</f>
        <v/>
      </c>
      <c r="I4392" s="12" t="n"/>
      <c r="J4392" s="12" t="n"/>
      <c r="K4392" s="12" t="n"/>
      <c r="L4392" s="14" t="n"/>
      <c r="M4392" s="12" t="n"/>
      <c r="N4392" s="12" t="n"/>
      <c r="O4392" s="12" t="n"/>
    </row>
    <row r="4393">
      <c r="A4393" s="12" t="n"/>
      <c r="B4393" s="13">
        <f>IF($A4393="","",IFERROR(INDEX(Emp_Names,MATCH($A4393,Emp_Codes,0)),"NOT FOUND"))</f>
        <v/>
      </c>
      <c r="C4393" s="14" t="n"/>
      <c r="D4393" s="15" t="n"/>
      <c r="E4393" s="15" t="n"/>
      <c r="F4393" s="15" t="n"/>
      <c r="G4393" s="15" t="n"/>
      <c r="H4393" s="16">
        <f>IF($A4393="","",$D4393+IF($E4393="",0,$E4393)+IF($F4393="",0,$F4393)-IF($G4393="",0,$G4393))</f>
        <v/>
      </c>
      <c r="I4393" s="12" t="n"/>
      <c r="J4393" s="12" t="n"/>
      <c r="K4393" s="12" t="n"/>
      <c r="L4393" s="14" t="n"/>
      <c r="M4393" s="12" t="n"/>
      <c r="N4393" s="12" t="n"/>
      <c r="O4393" s="12" t="n"/>
    </row>
    <row r="4394">
      <c r="A4394" s="12" t="n"/>
      <c r="B4394" s="13">
        <f>IF($A4394="","",IFERROR(INDEX(Emp_Names,MATCH($A4394,Emp_Codes,0)),"NOT FOUND"))</f>
        <v/>
      </c>
      <c r="C4394" s="14" t="n"/>
      <c r="D4394" s="15" t="n"/>
      <c r="E4394" s="15" t="n"/>
      <c r="F4394" s="15" t="n"/>
      <c r="G4394" s="15" t="n"/>
      <c r="H4394" s="16">
        <f>IF($A4394="","",$D4394+IF($E4394="",0,$E4394)+IF($F4394="",0,$F4394)-IF($G4394="",0,$G4394))</f>
        <v/>
      </c>
      <c r="I4394" s="12" t="n"/>
      <c r="J4394" s="12" t="n"/>
      <c r="K4394" s="12" t="n"/>
      <c r="L4394" s="14" t="n"/>
      <c r="M4394" s="12" t="n"/>
      <c r="N4394" s="12" t="n"/>
      <c r="O4394" s="12" t="n"/>
    </row>
    <row r="4395">
      <c r="A4395" s="12" t="n"/>
      <c r="B4395" s="13">
        <f>IF($A4395="","",IFERROR(INDEX(Emp_Names,MATCH($A4395,Emp_Codes,0)),"NOT FOUND"))</f>
        <v/>
      </c>
      <c r="C4395" s="14" t="n"/>
      <c r="D4395" s="15" t="n"/>
      <c r="E4395" s="15" t="n"/>
      <c r="F4395" s="15" t="n"/>
      <c r="G4395" s="15" t="n"/>
      <c r="H4395" s="16">
        <f>IF($A4395="","",$D4395+IF($E4395="",0,$E4395)+IF($F4395="",0,$F4395)-IF($G4395="",0,$G4395))</f>
        <v/>
      </c>
      <c r="I4395" s="12" t="n"/>
      <c r="J4395" s="12" t="n"/>
      <c r="K4395" s="12" t="n"/>
      <c r="L4395" s="14" t="n"/>
      <c r="M4395" s="12" t="n"/>
      <c r="N4395" s="12" t="n"/>
      <c r="O4395" s="12" t="n"/>
    </row>
    <row r="4396">
      <c r="A4396" s="12" t="n"/>
      <c r="B4396" s="13">
        <f>IF($A4396="","",IFERROR(INDEX(Emp_Names,MATCH($A4396,Emp_Codes,0)),"NOT FOUND"))</f>
        <v/>
      </c>
      <c r="C4396" s="14" t="n"/>
      <c r="D4396" s="15" t="n"/>
      <c r="E4396" s="15" t="n"/>
      <c r="F4396" s="15" t="n"/>
      <c r="G4396" s="15" t="n"/>
      <c r="H4396" s="16">
        <f>IF($A4396="","",$D4396+IF($E4396="",0,$E4396)+IF($F4396="",0,$F4396)-IF($G4396="",0,$G4396))</f>
        <v/>
      </c>
      <c r="I4396" s="12" t="n"/>
      <c r="J4396" s="12" t="n"/>
      <c r="K4396" s="12" t="n"/>
      <c r="L4396" s="14" t="n"/>
      <c r="M4396" s="12" t="n"/>
      <c r="N4396" s="12" t="n"/>
      <c r="O4396" s="12" t="n"/>
    </row>
    <row r="4397">
      <c r="A4397" s="12" t="n"/>
      <c r="B4397" s="13">
        <f>IF($A4397="","",IFERROR(INDEX(Emp_Names,MATCH($A4397,Emp_Codes,0)),"NOT FOUND"))</f>
        <v/>
      </c>
      <c r="C4397" s="14" t="n"/>
      <c r="D4397" s="15" t="n"/>
      <c r="E4397" s="15" t="n"/>
      <c r="F4397" s="15" t="n"/>
      <c r="G4397" s="15" t="n"/>
      <c r="H4397" s="16">
        <f>IF($A4397="","",$D4397+IF($E4397="",0,$E4397)+IF($F4397="",0,$F4397)-IF($G4397="",0,$G4397))</f>
        <v/>
      </c>
      <c r="I4397" s="12" t="n"/>
      <c r="J4397" s="12" t="n"/>
      <c r="K4397" s="12" t="n"/>
      <c r="L4397" s="14" t="n"/>
      <c r="M4397" s="12" t="n"/>
      <c r="N4397" s="12" t="n"/>
      <c r="O4397" s="12" t="n"/>
    </row>
    <row r="4398">
      <c r="A4398" s="12" t="n"/>
      <c r="B4398" s="13">
        <f>IF($A4398="","",IFERROR(INDEX(Emp_Names,MATCH($A4398,Emp_Codes,0)),"NOT FOUND"))</f>
        <v/>
      </c>
      <c r="C4398" s="14" t="n"/>
      <c r="D4398" s="15" t="n"/>
      <c r="E4398" s="15" t="n"/>
      <c r="F4398" s="15" t="n"/>
      <c r="G4398" s="15" t="n"/>
      <c r="H4398" s="16">
        <f>IF($A4398="","",$D4398+IF($E4398="",0,$E4398)+IF($F4398="",0,$F4398)-IF($G4398="",0,$G4398))</f>
        <v/>
      </c>
      <c r="I4398" s="12" t="n"/>
      <c r="J4398" s="12" t="n"/>
      <c r="K4398" s="12" t="n"/>
      <c r="L4398" s="14" t="n"/>
      <c r="M4398" s="12" t="n"/>
      <c r="N4398" s="12" t="n"/>
      <c r="O4398" s="12" t="n"/>
    </row>
    <row r="4399">
      <c r="A4399" s="12" t="n"/>
      <c r="B4399" s="13">
        <f>IF($A4399="","",IFERROR(INDEX(Emp_Names,MATCH($A4399,Emp_Codes,0)),"NOT FOUND"))</f>
        <v/>
      </c>
      <c r="C4399" s="14" t="n"/>
      <c r="D4399" s="15" t="n"/>
      <c r="E4399" s="15" t="n"/>
      <c r="F4399" s="15" t="n"/>
      <c r="G4399" s="15" t="n"/>
      <c r="H4399" s="16">
        <f>IF($A4399="","",$D4399+IF($E4399="",0,$E4399)+IF($F4399="",0,$F4399)-IF($G4399="",0,$G4399))</f>
        <v/>
      </c>
      <c r="I4399" s="12" t="n"/>
      <c r="J4399" s="12" t="n"/>
      <c r="K4399" s="12" t="n"/>
      <c r="L4399" s="14" t="n"/>
      <c r="M4399" s="12" t="n"/>
      <c r="N4399" s="12" t="n"/>
      <c r="O4399" s="12" t="n"/>
    </row>
    <row r="4400">
      <c r="A4400" s="12" t="n"/>
      <c r="B4400" s="13">
        <f>IF($A4400="","",IFERROR(INDEX(Emp_Names,MATCH($A4400,Emp_Codes,0)),"NOT FOUND"))</f>
        <v/>
      </c>
      <c r="C4400" s="14" t="n"/>
      <c r="D4400" s="15" t="n"/>
      <c r="E4400" s="15" t="n"/>
      <c r="F4400" s="15" t="n"/>
      <c r="G4400" s="15" t="n"/>
      <c r="H4400" s="16">
        <f>IF($A4400="","",$D4400+IF($E4400="",0,$E4400)+IF($F4400="",0,$F4400)-IF($G4400="",0,$G4400))</f>
        <v/>
      </c>
      <c r="I4400" s="12" t="n"/>
      <c r="J4400" s="12" t="n"/>
      <c r="K4400" s="12" t="n"/>
      <c r="L4400" s="14" t="n"/>
      <c r="M4400" s="12" t="n"/>
      <c r="N4400" s="12" t="n"/>
      <c r="O4400" s="12" t="n"/>
    </row>
    <row r="4401">
      <c r="A4401" s="12" t="n"/>
      <c r="B4401" s="13">
        <f>IF($A4401="","",IFERROR(INDEX(Emp_Names,MATCH($A4401,Emp_Codes,0)),"NOT FOUND"))</f>
        <v/>
      </c>
      <c r="C4401" s="14" t="n"/>
      <c r="D4401" s="15" t="n"/>
      <c r="E4401" s="15" t="n"/>
      <c r="F4401" s="15" t="n"/>
      <c r="G4401" s="15" t="n"/>
      <c r="H4401" s="16">
        <f>IF($A4401="","",$D4401+IF($E4401="",0,$E4401)+IF($F4401="",0,$F4401)-IF($G4401="",0,$G4401))</f>
        <v/>
      </c>
      <c r="I4401" s="12" t="n"/>
      <c r="J4401" s="12" t="n"/>
      <c r="K4401" s="12" t="n"/>
      <c r="L4401" s="14" t="n"/>
      <c r="M4401" s="12" t="n"/>
      <c r="N4401" s="12" t="n"/>
      <c r="O4401" s="12" t="n"/>
    </row>
    <row r="4402">
      <c r="A4402" s="12" t="n"/>
      <c r="B4402" s="13">
        <f>IF($A4402="","",IFERROR(INDEX(Emp_Names,MATCH($A4402,Emp_Codes,0)),"NOT FOUND"))</f>
        <v/>
      </c>
      <c r="C4402" s="14" t="n"/>
      <c r="D4402" s="15" t="n"/>
      <c r="E4402" s="15" t="n"/>
      <c r="F4402" s="15" t="n"/>
      <c r="G4402" s="15" t="n"/>
      <c r="H4402" s="16">
        <f>IF($A4402="","",$D4402+IF($E4402="",0,$E4402)+IF($F4402="",0,$F4402)-IF($G4402="",0,$G4402))</f>
        <v/>
      </c>
      <c r="I4402" s="12" t="n"/>
      <c r="J4402" s="12" t="n"/>
      <c r="K4402" s="12" t="n"/>
      <c r="L4402" s="14" t="n"/>
      <c r="M4402" s="12" t="n"/>
      <c r="N4402" s="12" t="n"/>
      <c r="O4402" s="12" t="n"/>
    </row>
    <row r="4403">
      <c r="A4403" s="12" t="n"/>
      <c r="B4403" s="13">
        <f>IF($A4403="","",IFERROR(INDEX(Emp_Names,MATCH($A4403,Emp_Codes,0)),"NOT FOUND"))</f>
        <v/>
      </c>
      <c r="C4403" s="14" t="n"/>
      <c r="D4403" s="15" t="n"/>
      <c r="E4403" s="15" t="n"/>
      <c r="F4403" s="15" t="n"/>
      <c r="G4403" s="15" t="n"/>
      <c r="H4403" s="16">
        <f>IF($A4403="","",$D4403+IF($E4403="",0,$E4403)+IF($F4403="",0,$F4403)-IF($G4403="",0,$G4403))</f>
        <v/>
      </c>
      <c r="I4403" s="12" t="n"/>
      <c r="J4403" s="12" t="n"/>
      <c r="K4403" s="12" t="n"/>
      <c r="L4403" s="14" t="n"/>
      <c r="M4403" s="12" t="n"/>
      <c r="N4403" s="12" t="n"/>
      <c r="O4403" s="12" t="n"/>
    </row>
    <row r="4404">
      <c r="A4404" s="12" t="n"/>
      <c r="B4404" s="13">
        <f>IF($A4404="","",IFERROR(INDEX(Emp_Names,MATCH($A4404,Emp_Codes,0)),"NOT FOUND"))</f>
        <v/>
      </c>
      <c r="C4404" s="14" t="n"/>
      <c r="D4404" s="15" t="n"/>
      <c r="E4404" s="15" t="n"/>
      <c r="F4404" s="15" t="n"/>
      <c r="G4404" s="15" t="n"/>
      <c r="H4404" s="16">
        <f>IF($A4404="","",$D4404+IF($E4404="",0,$E4404)+IF($F4404="",0,$F4404)-IF($G4404="",0,$G4404))</f>
        <v/>
      </c>
      <c r="I4404" s="12" t="n"/>
      <c r="J4404" s="12" t="n"/>
      <c r="K4404" s="12" t="n"/>
      <c r="L4404" s="14" t="n"/>
      <c r="M4404" s="12" t="n"/>
      <c r="N4404" s="12" t="n"/>
      <c r="O4404" s="12" t="n"/>
    </row>
    <row r="4405">
      <c r="A4405" s="12" t="n"/>
      <c r="B4405" s="13">
        <f>IF($A4405="","",IFERROR(INDEX(Emp_Names,MATCH($A4405,Emp_Codes,0)),"NOT FOUND"))</f>
        <v/>
      </c>
      <c r="C4405" s="14" t="n"/>
      <c r="D4405" s="15" t="n"/>
      <c r="E4405" s="15" t="n"/>
      <c r="F4405" s="15" t="n"/>
      <c r="G4405" s="15" t="n"/>
      <c r="H4405" s="16">
        <f>IF($A4405="","",$D4405+IF($E4405="",0,$E4405)+IF($F4405="",0,$F4405)-IF($G4405="",0,$G4405))</f>
        <v/>
      </c>
      <c r="I4405" s="12" t="n"/>
      <c r="J4405" s="12" t="n"/>
      <c r="K4405" s="12" t="n"/>
      <c r="L4405" s="14" t="n"/>
      <c r="M4405" s="12" t="n"/>
      <c r="N4405" s="12" t="n"/>
      <c r="O4405" s="12" t="n"/>
    </row>
    <row r="4406">
      <c r="A4406" s="12" t="n"/>
      <c r="B4406" s="13">
        <f>IF($A4406="","",IFERROR(INDEX(Emp_Names,MATCH($A4406,Emp_Codes,0)),"NOT FOUND"))</f>
        <v/>
      </c>
      <c r="C4406" s="14" t="n"/>
      <c r="D4406" s="15" t="n"/>
      <c r="E4406" s="15" t="n"/>
      <c r="F4406" s="15" t="n"/>
      <c r="G4406" s="15" t="n"/>
      <c r="H4406" s="16">
        <f>IF($A4406="","",$D4406+IF($E4406="",0,$E4406)+IF($F4406="",0,$F4406)-IF($G4406="",0,$G4406))</f>
        <v/>
      </c>
      <c r="I4406" s="12" t="n"/>
      <c r="J4406" s="12" t="n"/>
      <c r="K4406" s="12" t="n"/>
      <c r="L4406" s="14" t="n"/>
      <c r="M4406" s="12" t="n"/>
      <c r="N4406" s="12" t="n"/>
      <c r="O4406" s="12" t="n"/>
    </row>
    <row r="4407">
      <c r="A4407" s="12" t="n"/>
      <c r="B4407" s="13">
        <f>IF($A4407="","",IFERROR(INDEX(Emp_Names,MATCH($A4407,Emp_Codes,0)),"NOT FOUND"))</f>
        <v/>
      </c>
      <c r="C4407" s="14" t="n"/>
      <c r="D4407" s="15" t="n"/>
      <c r="E4407" s="15" t="n"/>
      <c r="F4407" s="15" t="n"/>
      <c r="G4407" s="15" t="n"/>
      <c r="H4407" s="16">
        <f>IF($A4407="","",$D4407+IF($E4407="",0,$E4407)+IF($F4407="",0,$F4407)-IF($G4407="",0,$G4407))</f>
        <v/>
      </c>
      <c r="I4407" s="12" t="n"/>
      <c r="J4407" s="12" t="n"/>
      <c r="K4407" s="12" t="n"/>
      <c r="L4407" s="14" t="n"/>
      <c r="M4407" s="12" t="n"/>
      <c r="N4407" s="12" t="n"/>
      <c r="O4407" s="12" t="n"/>
    </row>
    <row r="4408">
      <c r="A4408" s="12" t="n"/>
      <c r="B4408" s="13">
        <f>IF($A4408="","",IFERROR(INDEX(Emp_Names,MATCH($A4408,Emp_Codes,0)),"NOT FOUND"))</f>
        <v/>
      </c>
      <c r="C4408" s="14" t="n"/>
      <c r="D4408" s="15" t="n"/>
      <c r="E4408" s="15" t="n"/>
      <c r="F4408" s="15" t="n"/>
      <c r="G4408" s="15" t="n"/>
      <c r="H4408" s="16">
        <f>IF($A4408="","",$D4408+IF($E4408="",0,$E4408)+IF($F4408="",0,$F4408)-IF($G4408="",0,$G4408))</f>
        <v/>
      </c>
      <c r="I4408" s="12" t="n"/>
      <c r="J4408" s="12" t="n"/>
      <c r="K4408" s="12" t="n"/>
      <c r="L4408" s="14" t="n"/>
      <c r="M4408" s="12" t="n"/>
      <c r="N4408" s="12" t="n"/>
      <c r="O4408" s="12" t="n"/>
    </row>
    <row r="4409">
      <c r="A4409" s="12" t="n"/>
      <c r="B4409" s="13">
        <f>IF($A4409="","",IFERROR(INDEX(Emp_Names,MATCH($A4409,Emp_Codes,0)),"NOT FOUND"))</f>
        <v/>
      </c>
      <c r="C4409" s="14" t="n"/>
      <c r="D4409" s="15" t="n"/>
      <c r="E4409" s="15" t="n"/>
      <c r="F4409" s="15" t="n"/>
      <c r="G4409" s="15" t="n"/>
      <c r="H4409" s="16">
        <f>IF($A4409="","",$D4409+IF($E4409="",0,$E4409)+IF($F4409="",0,$F4409)-IF($G4409="",0,$G4409))</f>
        <v/>
      </c>
      <c r="I4409" s="12" t="n"/>
      <c r="J4409" s="12" t="n"/>
      <c r="K4409" s="12" t="n"/>
      <c r="L4409" s="14" t="n"/>
      <c r="M4409" s="12" t="n"/>
      <c r="N4409" s="12" t="n"/>
      <c r="O4409" s="12" t="n"/>
    </row>
    <row r="4410">
      <c r="A4410" s="12" t="n"/>
      <c r="B4410" s="13">
        <f>IF($A4410="","",IFERROR(INDEX(Emp_Names,MATCH($A4410,Emp_Codes,0)),"NOT FOUND"))</f>
        <v/>
      </c>
      <c r="C4410" s="14" t="n"/>
      <c r="D4410" s="15" t="n"/>
      <c r="E4410" s="15" t="n"/>
      <c r="F4410" s="15" t="n"/>
      <c r="G4410" s="15" t="n"/>
      <c r="H4410" s="16">
        <f>IF($A4410="","",$D4410+IF($E4410="",0,$E4410)+IF($F4410="",0,$F4410)-IF($G4410="",0,$G4410))</f>
        <v/>
      </c>
      <c r="I4410" s="12" t="n"/>
      <c r="J4410" s="12" t="n"/>
      <c r="K4410" s="12" t="n"/>
      <c r="L4410" s="14" t="n"/>
      <c r="M4410" s="12" t="n"/>
      <c r="N4410" s="12" t="n"/>
      <c r="O4410" s="12" t="n"/>
    </row>
    <row r="4411">
      <c r="A4411" s="12" t="n"/>
      <c r="B4411" s="13">
        <f>IF($A4411="","",IFERROR(INDEX(Emp_Names,MATCH($A4411,Emp_Codes,0)),"NOT FOUND"))</f>
        <v/>
      </c>
      <c r="C4411" s="14" t="n"/>
      <c r="D4411" s="15" t="n"/>
      <c r="E4411" s="15" t="n"/>
      <c r="F4411" s="15" t="n"/>
      <c r="G4411" s="15" t="n"/>
      <c r="H4411" s="16">
        <f>IF($A4411="","",$D4411+IF($E4411="",0,$E4411)+IF($F4411="",0,$F4411)-IF($G4411="",0,$G4411))</f>
        <v/>
      </c>
      <c r="I4411" s="12" t="n"/>
      <c r="J4411" s="12" t="n"/>
      <c r="K4411" s="12" t="n"/>
      <c r="L4411" s="14" t="n"/>
      <c r="M4411" s="12" t="n"/>
      <c r="N4411" s="12" t="n"/>
      <c r="O4411" s="12" t="n"/>
    </row>
    <row r="4412">
      <c r="A4412" s="12" t="n"/>
      <c r="B4412" s="13">
        <f>IF($A4412="","",IFERROR(INDEX(Emp_Names,MATCH($A4412,Emp_Codes,0)),"NOT FOUND"))</f>
        <v/>
      </c>
      <c r="C4412" s="14" t="n"/>
      <c r="D4412" s="15" t="n"/>
      <c r="E4412" s="15" t="n"/>
      <c r="F4412" s="15" t="n"/>
      <c r="G4412" s="15" t="n"/>
      <c r="H4412" s="16">
        <f>IF($A4412="","",$D4412+IF($E4412="",0,$E4412)+IF($F4412="",0,$F4412)-IF($G4412="",0,$G4412))</f>
        <v/>
      </c>
      <c r="I4412" s="12" t="n"/>
      <c r="J4412" s="12" t="n"/>
      <c r="K4412" s="12" t="n"/>
      <c r="L4412" s="14" t="n"/>
      <c r="M4412" s="12" t="n"/>
      <c r="N4412" s="12" t="n"/>
      <c r="O4412" s="12" t="n"/>
    </row>
    <row r="4413">
      <c r="A4413" s="12" t="n"/>
      <c r="B4413" s="13">
        <f>IF($A4413="","",IFERROR(INDEX(Emp_Names,MATCH($A4413,Emp_Codes,0)),"NOT FOUND"))</f>
        <v/>
      </c>
      <c r="C4413" s="14" t="n"/>
      <c r="D4413" s="15" t="n"/>
      <c r="E4413" s="15" t="n"/>
      <c r="F4413" s="15" t="n"/>
      <c r="G4413" s="15" t="n"/>
      <c r="H4413" s="16">
        <f>IF($A4413="","",$D4413+IF($E4413="",0,$E4413)+IF($F4413="",0,$F4413)-IF($G4413="",0,$G4413))</f>
        <v/>
      </c>
      <c r="I4413" s="12" t="n"/>
      <c r="J4413" s="12" t="n"/>
      <c r="K4413" s="12" t="n"/>
      <c r="L4413" s="14" t="n"/>
      <c r="M4413" s="12" t="n"/>
      <c r="N4413" s="12" t="n"/>
      <c r="O4413" s="12" t="n"/>
    </row>
    <row r="4414">
      <c r="A4414" s="12" t="n"/>
      <c r="B4414" s="13">
        <f>IF($A4414="","",IFERROR(INDEX(Emp_Names,MATCH($A4414,Emp_Codes,0)),"NOT FOUND"))</f>
        <v/>
      </c>
      <c r="C4414" s="14" t="n"/>
      <c r="D4414" s="15" t="n"/>
      <c r="E4414" s="15" t="n"/>
      <c r="F4414" s="15" t="n"/>
      <c r="G4414" s="15" t="n"/>
      <c r="H4414" s="16">
        <f>IF($A4414="","",$D4414+IF($E4414="",0,$E4414)+IF($F4414="",0,$F4414)-IF($G4414="",0,$G4414))</f>
        <v/>
      </c>
      <c r="I4414" s="12" t="n"/>
      <c r="J4414" s="12" t="n"/>
      <c r="K4414" s="12" t="n"/>
      <c r="L4414" s="14" t="n"/>
      <c r="M4414" s="12" t="n"/>
      <c r="N4414" s="12" t="n"/>
      <c r="O4414" s="12" t="n"/>
    </row>
    <row r="4415">
      <c r="A4415" s="12" t="n"/>
      <c r="B4415" s="13">
        <f>IF($A4415="","",IFERROR(INDEX(Emp_Names,MATCH($A4415,Emp_Codes,0)),"NOT FOUND"))</f>
        <v/>
      </c>
      <c r="C4415" s="14" t="n"/>
      <c r="D4415" s="15" t="n"/>
      <c r="E4415" s="15" t="n"/>
      <c r="F4415" s="15" t="n"/>
      <c r="G4415" s="15" t="n"/>
      <c r="H4415" s="16">
        <f>IF($A4415="","",$D4415+IF($E4415="",0,$E4415)+IF($F4415="",0,$F4415)-IF($G4415="",0,$G4415))</f>
        <v/>
      </c>
      <c r="I4415" s="12" t="n"/>
      <c r="J4415" s="12" t="n"/>
      <c r="K4415" s="12" t="n"/>
      <c r="L4415" s="14" t="n"/>
      <c r="M4415" s="12" t="n"/>
      <c r="N4415" s="12" t="n"/>
      <c r="O4415" s="12" t="n"/>
    </row>
    <row r="4416">
      <c r="A4416" s="12" t="n"/>
      <c r="B4416" s="13">
        <f>IF($A4416="","",IFERROR(INDEX(Emp_Names,MATCH($A4416,Emp_Codes,0)),"NOT FOUND"))</f>
        <v/>
      </c>
      <c r="C4416" s="14" t="n"/>
      <c r="D4416" s="15" t="n"/>
      <c r="E4416" s="15" t="n"/>
      <c r="F4416" s="15" t="n"/>
      <c r="G4416" s="15" t="n"/>
      <c r="H4416" s="16">
        <f>IF($A4416="","",$D4416+IF($E4416="",0,$E4416)+IF($F4416="",0,$F4416)-IF($G4416="",0,$G4416))</f>
        <v/>
      </c>
      <c r="I4416" s="12" t="n"/>
      <c r="J4416" s="12" t="n"/>
      <c r="K4416" s="12" t="n"/>
      <c r="L4416" s="14" t="n"/>
      <c r="M4416" s="12" t="n"/>
      <c r="N4416" s="12" t="n"/>
      <c r="O4416" s="12" t="n"/>
    </row>
    <row r="4417">
      <c r="A4417" s="12" t="n"/>
      <c r="B4417" s="13">
        <f>IF($A4417="","",IFERROR(INDEX(Emp_Names,MATCH($A4417,Emp_Codes,0)),"NOT FOUND"))</f>
        <v/>
      </c>
      <c r="C4417" s="14" t="n"/>
      <c r="D4417" s="15" t="n"/>
      <c r="E4417" s="15" t="n"/>
      <c r="F4417" s="15" t="n"/>
      <c r="G4417" s="15" t="n"/>
      <c r="H4417" s="16">
        <f>IF($A4417="","",$D4417+IF($E4417="",0,$E4417)+IF($F4417="",0,$F4417)-IF($G4417="",0,$G4417))</f>
        <v/>
      </c>
      <c r="I4417" s="12" t="n"/>
      <c r="J4417" s="12" t="n"/>
      <c r="K4417" s="12" t="n"/>
      <c r="L4417" s="14" t="n"/>
      <c r="M4417" s="12" t="n"/>
      <c r="N4417" s="12" t="n"/>
      <c r="O4417" s="12" t="n"/>
    </row>
    <row r="4418">
      <c r="A4418" s="12" t="n"/>
      <c r="B4418" s="13">
        <f>IF($A4418="","",IFERROR(INDEX(Emp_Names,MATCH($A4418,Emp_Codes,0)),"NOT FOUND"))</f>
        <v/>
      </c>
      <c r="C4418" s="14" t="n"/>
      <c r="D4418" s="15" t="n"/>
      <c r="E4418" s="15" t="n"/>
      <c r="F4418" s="15" t="n"/>
      <c r="G4418" s="15" t="n"/>
      <c r="H4418" s="16">
        <f>IF($A4418="","",$D4418+IF($E4418="",0,$E4418)+IF($F4418="",0,$F4418)-IF($G4418="",0,$G4418))</f>
        <v/>
      </c>
      <c r="I4418" s="12" t="n"/>
      <c r="J4418" s="12" t="n"/>
      <c r="K4418" s="12" t="n"/>
      <c r="L4418" s="14" t="n"/>
      <c r="M4418" s="12" t="n"/>
      <c r="N4418" s="12" t="n"/>
      <c r="O4418" s="12" t="n"/>
    </row>
    <row r="4419">
      <c r="A4419" s="12" t="n"/>
      <c r="B4419" s="13">
        <f>IF($A4419="","",IFERROR(INDEX(Emp_Names,MATCH($A4419,Emp_Codes,0)),"NOT FOUND"))</f>
        <v/>
      </c>
      <c r="C4419" s="14" t="n"/>
      <c r="D4419" s="15" t="n"/>
      <c r="E4419" s="15" t="n"/>
      <c r="F4419" s="15" t="n"/>
      <c r="G4419" s="15" t="n"/>
      <c r="H4419" s="16">
        <f>IF($A4419="","",$D4419+IF($E4419="",0,$E4419)+IF($F4419="",0,$F4419)-IF($G4419="",0,$G4419))</f>
        <v/>
      </c>
      <c r="I4419" s="12" t="n"/>
      <c r="J4419" s="12" t="n"/>
      <c r="K4419" s="12" t="n"/>
      <c r="L4419" s="14" t="n"/>
      <c r="M4419" s="12" t="n"/>
      <c r="N4419" s="12" t="n"/>
      <c r="O4419" s="12" t="n"/>
    </row>
    <row r="4420">
      <c r="A4420" s="12" t="n"/>
      <c r="B4420" s="13">
        <f>IF($A4420="","",IFERROR(INDEX(Emp_Names,MATCH($A4420,Emp_Codes,0)),"NOT FOUND"))</f>
        <v/>
      </c>
      <c r="C4420" s="14" t="n"/>
      <c r="D4420" s="15" t="n"/>
      <c r="E4420" s="15" t="n"/>
      <c r="F4420" s="15" t="n"/>
      <c r="G4420" s="15" t="n"/>
      <c r="H4420" s="16">
        <f>IF($A4420="","",$D4420+IF($E4420="",0,$E4420)+IF($F4420="",0,$F4420)-IF($G4420="",0,$G4420))</f>
        <v/>
      </c>
      <c r="I4420" s="12" t="n"/>
      <c r="J4420" s="12" t="n"/>
      <c r="K4420" s="12" t="n"/>
      <c r="L4420" s="14" t="n"/>
      <c r="M4420" s="12" t="n"/>
      <c r="N4420" s="12" t="n"/>
      <c r="O4420" s="12" t="n"/>
    </row>
    <row r="4421">
      <c r="A4421" s="12" t="n"/>
      <c r="B4421" s="13">
        <f>IF($A4421="","",IFERROR(INDEX(Emp_Names,MATCH($A4421,Emp_Codes,0)),"NOT FOUND"))</f>
        <v/>
      </c>
      <c r="C4421" s="14" t="n"/>
      <c r="D4421" s="15" t="n"/>
      <c r="E4421" s="15" t="n"/>
      <c r="F4421" s="15" t="n"/>
      <c r="G4421" s="15" t="n"/>
      <c r="H4421" s="16">
        <f>IF($A4421="","",$D4421+IF($E4421="",0,$E4421)+IF($F4421="",0,$F4421)-IF($G4421="",0,$G4421))</f>
        <v/>
      </c>
      <c r="I4421" s="12" t="n"/>
      <c r="J4421" s="12" t="n"/>
      <c r="K4421" s="12" t="n"/>
      <c r="L4421" s="14" t="n"/>
      <c r="M4421" s="12" t="n"/>
      <c r="N4421" s="12" t="n"/>
      <c r="O4421" s="12" t="n"/>
    </row>
    <row r="4422">
      <c r="A4422" s="12" t="n"/>
      <c r="B4422" s="13">
        <f>IF($A4422="","",IFERROR(INDEX(Emp_Names,MATCH($A4422,Emp_Codes,0)),"NOT FOUND"))</f>
        <v/>
      </c>
      <c r="C4422" s="14" t="n"/>
      <c r="D4422" s="15" t="n"/>
      <c r="E4422" s="15" t="n"/>
      <c r="F4422" s="15" t="n"/>
      <c r="G4422" s="15" t="n"/>
      <c r="H4422" s="16">
        <f>IF($A4422="","",$D4422+IF($E4422="",0,$E4422)+IF($F4422="",0,$F4422)-IF($G4422="",0,$G4422))</f>
        <v/>
      </c>
      <c r="I4422" s="12" t="n"/>
      <c r="J4422" s="12" t="n"/>
      <c r="K4422" s="12" t="n"/>
      <c r="L4422" s="14" t="n"/>
      <c r="M4422" s="12" t="n"/>
      <c r="N4422" s="12" t="n"/>
      <c r="O4422" s="12" t="n"/>
    </row>
    <row r="4423">
      <c r="A4423" s="12" t="n"/>
      <c r="B4423" s="13">
        <f>IF($A4423="","",IFERROR(INDEX(Emp_Names,MATCH($A4423,Emp_Codes,0)),"NOT FOUND"))</f>
        <v/>
      </c>
      <c r="C4423" s="14" t="n"/>
      <c r="D4423" s="15" t="n"/>
      <c r="E4423" s="15" t="n"/>
      <c r="F4423" s="15" t="n"/>
      <c r="G4423" s="15" t="n"/>
      <c r="H4423" s="16">
        <f>IF($A4423="","",$D4423+IF($E4423="",0,$E4423)+IF($F4423="",0,$F4423)-IF($G4423="",0,$G4423))</f>
        <v/>
      </c>
      <c r="I4423" s="12" t="n"/>
      <c r="J4423" s="12" t="n"/>
      <c r="K4423" s="12" t="n"/>
      <c r="L4423" s="14" t="n"/>
      <c r="M4423" s="12" t="n"/>
      <c r="N4423" s="12" t="n"/>
      <c r="O4423" s="12" t="n"/>
    </row>
    <row r="4424">
      <c r="A4424" s="12" t="n"/>
      <c r="B4424" s="13">
        <f>IF($A4424="","",IFERROR(INDEX(Emp_Names,MATCH($A4424,Emp_Codes,0)),"NOT FOUND"))</f>
        <v/>
      </c>
      <c r="C4424" s="14" t="n"/>
      <c r="D4424" s="15" t="n"/>
      <c r="E4424" s="15" t="n"/>
      <c r="F4424" s="15" t="n"/>
      <c r="G4424" s="15" t="n"/>
      <c r="H4424" s="16">
        <f>IF($A4424="","",$D4424+IF($E4424="",0,$E4424)+IF($F4424="",0,$F4424)-IF($G4424="",0,$G4424))</f>
        <v/>
      </c>
      <c r="I4424" s="12" t="n"/>
      <c r="J4424" s="12" t="n"/>
      <c r="K4424" s="12" t="n"/>
      <c r="L4424" s="14" t="n"/>
      <c r="M4424" s="12" t="n"/>
      <c r="N4424" s="12" t="n"/>
      <c r="O4424" s="12" t="n"/>
    </row>
    <row r="4425">
      <c r="A4425" s="12" t="n"/>
      <c r="B4425" s="13">
        <f>IF($A4425="","",IFERROR(INDEX(Emp_Names,MATCH($A4425,Emp_Codes,0)),"NOT FOUND"))</f>
        <v/>
      </c>
      <c r="C4425" s="14" t="n"/>
      <c r="D4425" s="15" t="n"/>
      <c r="E4425" s="15" t="n"/>
      <c r="F4425" s="15" t="n"/>
      <c r="G4425" s="15" t="n"/>
      <c r="H4425" s="16">
        <f>IF($A4425="","",$D4425+IF($E4425="",0,$E4425)+IF($F4425="",0,$F4425)-IF($G4425="",0,$G4425))</f>
        <v/>
      </c>
      <c r="I4425" s="12" t="n"/>
      <c r="J4425" s="12" t="n"/>
      <c r="K4425" s="12" t="n"/>
      <c r="L4425" s="14" t="n"/>
      <c r="M4425" s="12" t="n"/>
      <c r="N4425" s="12" t="n"/>
      <c r="O4425" s="12" t="n"/>
    </row>
    <row r="4426">
      <c r="A4426" s="12" t="n"/>
      <c r="B4426" s="13">
        <f>IF($A4426="","",IFERROR(INDEX(Emp_Names,MATCH($A4426,Emp_Codes,0)),"NOT FOUND"))</f>
        <v/>
      </c>
      <c r="C4426" s="14" t="n"/>
      <c r="D4426" s="15" t="n"/>
      <c r="E4426" s="15" t="n"/>
      <c r="F4426" s="15" t="n"/>
      <c r="G4426" s="15" t="n"/>
      <c r="H4426" s="16">
        <f>IF($A4426="","",$D4426+IF($E4426="",0,$E4426)+IF($F4426="",0,$F4426)-IF($G4426="",0,$G4426))</f>
        <v/>
      </c>
      <c r="I4426" s="12" t="n"/>
      <c r="J4426" s="12" t="n"/>
      <c r="K4426" s="12" t="n"/>
      <c r="L4426" s="14" t="n"/>
      <c r="M4426" s="12" t="n"/>
      <c r="N4426" s="12" t="n"/>
      <c r="O4426" s="12" t="n"/>
    </row>
    <row r="4427">
      <c r="A4427" s="12" t="n"/>
      <c r="B4427" s="13">
        <f>IF($A4427="","",IFERROR(INDEX(Emp_Names,MATCH($A4427,Emp_Codes,0)),"NOT FOUND"))</f>
        <v/>
      </c>
      <c r="C4427" s="14" t="n"/>
      <c r="D4427" s="15" t="n"/>
      <c r="E4427" s="15" t="n"/>
      <c r="F4427" s="15" t="n"/>
      <c r="G4427" s="15" t="n"/>
      <c r="H4427" s="16">
        <f>IF($A4427="","",$D4427+IF($E4427="",0,$E4427)+IF($F4427="",0,$F4427)-IF($G4427="",0,$G4427))</f>
        <v/>
      </c>
      <c r="I4427" s="12" t="n"/>
      <c r="J4427" s="12" t="n"/>
      <c r="K4427" s="12" t="n"/>
      <c r="L4427" s="14" t="n"/>
      <c r="M4427" s="12" t="n"/>
      <c r="N4427" s="12" t="n"/>
      <c r="O4427" s="12" t="n"/>
    </row>
    <row r="4428">
      <c r="A4428" s="12" t="n"/>
      <c r="B4428" s="13">
        <f>IF($A4428="","",IFERROR(INDEX(Emp_Names,MATCH($A4428,Emp_Codes,0)),"NOT FOUND"))</f>
        <v/>
      </c>
      <c r="C4428" s="14" t="n"/>
      <c r="D4428" s="15" t="n"/>
      <c r="E4428" s="15" t="n"/>
      <c r="F4428" s="15" t="n"/>
      <c r="G4428" s="15" t="n"/>
      <c r="H4428" s="16">
        <f>IF($A4428="","",$D4428+IF($E4428="",0,$E4428)+IF($F4428="",0,$F4428)-IF($G4428="",0,$G4428))</f>
        <v/>
      </c>
      <c r="I4428" s="12" t="n"/>
      <c r="J4428" s="12" t="n"/>
      <c r="K4428" s="12" t="n"/>
      <c r="L4428" s="14" t="n"/>
      <c r="M4428" s="12" t="n"/>
      <c r="N4428" s="12" t="n"/>
      <c r="O4428" s="12" t="n"/>
    </row>
    <row r="4429">
      <c r="A4429" s="12" t="n"/>
      <c r="B4429" s="13">
        <f>IF($A4429="","",IFERROR(INDEX(Emp_Names,MATCH($A4429,Emp_Codes,0)),"NOT FOUND"))</f>
        <v/>
      </c>
      <c r="C4429" s="14" t="n"/>
      <c r="D4429" s="15" t="n"/>
      <c r="E4429" s="15" t="n"/>
      <c r="F4429" s="15" t="n"/>
      <c r="G4429" s="15" t="n"/>
      <c r="H4429" s="16">
        <f>IF($A4429="","",$D4429+IF($E4429="",0,$E4429)+IF($F4429="",0,$F4429)-IF($G4429="",0,$G4429))</f>
        <v/>
      </c>
      <c r="I4429" s="12" t="n"/>
      <c r="J4429" s="12" t="n"/>
      <c r="K4429" s="12" t="n"/>
      <c r="L4429" s="14" t="n"/>
      <c r="M4429" s="12" t="n"/>
      <c r="N4429" s="12" t="n"/>
      <c r="O4429" s="12" t="n"/>
    </row>
    <row r="4430">
      <c r="A4430" s="12" t="n"/>
      <c r="B4430" s="13">
        <f>IF($A4430="","",IFERROR(INDEX(Emp_Names,MATCH($A4430,Emp_Codes,0)),"NOT FOUND"))</f>
        <v/>
      </c>
      <c r="C4430" s="14" t="n"/>
      <c r="D4430" s="15" t="n"/>
      <c r="E4430" s="15" t="n"/>
      <c r="F4430" s="15" t="n"/>
      <c r="G4430" s="15" t="n"/>
      <c r="H4430" s="16">
        <f>IF($A4430="","",$D4430+IF($E4430="",0,$E4430)+IF($F4430="",0,$F4430)-IF($G4430="",0,$G4430))</f>
        <v/>
      </c>
      <c r="I4430" s="12" t="n"/>
      <c r="J4430" s="12" t="n"/>
      <c r="K4430" s="12" t="n"/>
      <c r="L4430" s="14" t="n"/>
      <c r="M4430" s="12" t="n"/>
      <c r="N4430" s="12" t="n"/>
      <c r="O4430" s="12" t="n"/>
    </row>
    <row r="4431">
      <c r="A4431" s="12" t="n"/>
      <c r="B4431" s="13">
        <f>IF($A4431="","",IFERROR(INDEX(Emp_Names,MATCH($A4431,Emp_Codes,0)),"NOT FOUND"))</f>
        <v/>
      </c>
      <c r="C4431" s="14" t="n"/>
      <c r="D4431" s="15" t="n"/>
      <c r="E4431" s="15" t="n"/>
      <c r="F4431" s="15" t="n"/>
      <c r="G4431" s="15" t="n"/>
      <c r="H4431" s="16">
        <f>IF($A4431="","",$D4431+IF($E4431="",0,$E4431)+IF($F4431="",0,$F4431)-IF($G4431="",0,$G4431))</f>
        <v/>
      </c>
      <c r="I4431" s="12" t="n"/>
      <c r="J4431" s="12" t="n"/>
      <c r="K4431" s="12" t="n"/>
      <c r="L4431" s="14" t="n"/>
      <c r="M4431" s="12" t="n"/>
      <c r="N4431" s="12" t="n"/>
      <c r="O4431" s="12" t="n"/>
    </row>
    <row r="4432">
      <c r="A4432" s="12" t="n"/>
      <c r="B4432" s="13">
        <f>IF($A4432="","",IFERROR(INDEX(Emp_Names,MATCH($A4432,Emp_Codes,0)),"NOT FOUND"))</f>
        <v/>
      </c>
      <c r="C4432" s="14" t="n"/>
      <c r="D4432" s="15" t="n"/>
      <c r="E4432" s="15" t="n"/>
      <c r="F4432" s="15" t="n"/>
      <c r="G4432" s="15" t="n"/>
      <c r="H4432" s="16">
        <f>IF($A4432="","",$D4432+IF($E4432="",0,$E4432)+IF($F4432="",0,$F4432)-IF($G4432="",0,$G4432))</f>
        <v/>
      </c>
      <c r="I4432" s="12" t="n"/>
      <c r="J4432" s="12" t="n"/>
      <c r="K4432" s="12" t="n"/>
      <c r="L4432" s="14" t="n"/>
      <c r="M4432" s="12" t="n"/>
      <c r="N4432" s="12" t="n"/>
      <c r="O4432" s="12" t="n"/>
    </row>
    <row r="4433">
      <c r="A4433" s="12" t="n"/>
      <c r="B4433" s="13">
        <f>IF($A4433="","",IFERROR(INDEX(Emp_Names,MATCH($A4433,Emp_Codes,0)),"NOT FOUND"))</f>
        <v/>
      </c>
      <c r="C4433" s="14" t="n"/>
      <c r="D4433" s="15" t="n"/>
      <c r="E4433" s="15" t="n"/>
      <c r="F4433" s="15" t="n"/>
      <c r="G4433" s="15" t="n"/>
      <c r="H4433" s="16">
        <f>IF($A4433="","",$D4433+IF($E4433="",0,$E4433)+IF($F4433="",0,$F4433)-IF($G4433="",0,$G4433))</f>
        <v/>
      </c>
      <c r="I4433" s="12" t="n"/>
      <c r="J4433" s="12" t="n"/>
      <c r="K4433" s="12" t="n"/>
      <c r="L4433" s="14" t="n"/>
      <c r="M4433" s="12" t="n"/>
      <c r="N4433" s="12" t="n"/>
      <c r="O4433" s="12" t="n"/>
    </row>
    <row r="4434">
      <c r="A4434" s="12" t="n"/>
      <c r="B4434" s="13">
        <f>IF($A4434="","",IFERROR(INDEX(Emp_Names,MATCH($A4434,Emp_Codes,0)),"NOT FOUND"))</f>
        <v/>
      </c>
      <c r="C4434" s="14" t="n"/>
      <c r="D4434" s="15" t="n"/>
      <c r="E4434" s="15" t="n"/>
      <c r="F4434" s="15" t="n"/>
      <c r="G4434" s="15" t="n"/>
      <c r="H4434" s="16">
        <f>IF($A4434="","",$D4434+IF($E4434="",0,$E4434)+IF($F4434="",0,$F4434)-IF($G4434="",0,$G4434))</f>
        <v/>
      </c>
      <c r="I4434" s="12" t="n"/>
      <c r="J4434" s="12" t="n"/>
      <c r="K4434" s="12" t="n"/>
      <c r="L4434" s="14" t="n"/>
      <c r="M4434" s="12" t="n"/>
      <c r="N4434" s="12" t="n"/>
      <c r="O4434" s="12" t="n"/>
    </row>
    <row r="4435">
      <c r="A4435" s="12" t="n"/>
      <c r="B4435" s="13">
        <f>IF($A4435="","",IFERROR(INDEX(Emp_Names,MATCH($A4435,Emp_Codes,0)),"NOT FOUND"))</f>
        <v/>
      </c>
      <c r="C4435" s="14" t="n"/>
      <c r="D4435" s="15" t="n"/>
      <c r="E4435" s="15" t="n"/>
      <c r="F4435" s="15" t="n"/>
      <c r="G4435" s="15" t="n"/>
      <c r="H4435" s="16">
        <f>IF($A4435="","",$D4435+IF($E4435="",0,$E4435)+IF($F4435="",0,$F4435)-IF($G4435="",0,$G4435))</f>
        <v/>
      </c>
      <c r="I4435" s="12" t="n"/>
      <c r="J4435" s="12" t="n"/>
      <c r="K4435" s="12" t="n"/>
      <c r="L4435" s="14" t="n"/>
      <c r="M4435" s="12" t="n"/>
      <c r="N4435" s="12" t="n"/>
      <c r="O4435" s="12" t="n"/>
    </row>
    <row r="4436">
      <c r="A4436" s="12" t="n"/>
      <c r="B4436" s="13">
        <f>IF($A4436="","",IFERROR(INDEX(Emp_Names,MATCH($A4436,Emp_Codes,0)),"NOT FOUND"))</f>
        <v/>
      </c>
      <c r="C4436" s="14" t="n"/>
      <c r="D4436" s="15" t="n"/>
      <c r="E4436" s="15" t="n"/>
      <c r="F4436" s="15" t="n"/>
      <c r="G4436" s="15" t="n"/>
      <c r="H4436" s="16">
        <f>IF($A4436="","",$D4436+IF($E4436="",0,$E4436)+IF($F4436="",0,$F4436)-IF($G4436="",0,$G4436))</f>
        <v/>
      </c>
      <c r="I4436" s="12" t="n"/>
      <c r="J4436" s="12" t="n"/>
      <c r="K4436" s="12" t="n"/>
      <c r="L4436" s="14" t="n"/>
      <c r="M4436" s="12" t="n"/>
      <c r="N4436" s="12" t="n"/>
      <c r="O4436" s="12" t="n"/>
    </row>
    <row r="4437">
      <c r="A4437" s="12" t="n"/>
      <c r="B4437" s="13">
        <f>IF($A4437="","",IFERROR(INDEX(Emp_Names,MATCH($A4437,Emp_Codes,0)),"NOT FOUND"))</f>
        <v/>
      </c>
      <c r="C4437" s="14" t="n"/>
      <c r="D4437" s="15" t="n"/>
      <c r="E4437" s="15" t="n"/>
      <c r="F4437" s="15" t="n"/>
      <c r="G4437" s="15" t="n"/>
      <c r="H4437" s="16">
        <f>IF($A4437="","",$D4437+IF($E4437="",0,$E4437)+IF($F4437="",0,$F4437)-IF($G4437="",0,$G4437))</f>
        <v/>
      </c>
      <c r="I4437" s="12" t="n"/>
      <c r="J4437" s="12" t="n"/>
      <c r="K4437" s="12" t="n"/>
      <c r="L4437" s="14" t="n"/>
      <c r="M4437" s="12" t="n"/>
      <c r="N4437" s="12" t="n"/>
      <c r="O4437" s="12" t="n"/>
    </row>
    <row r="4438">
      <c r="A4438" s="12" t="n"/>
      <c r="B4438" s="13">
        <f>IF($A4438="","",IFERROR(INDEX(Emp_Names,MATCH($A4438,Emp_Codes,0)),"NOT FOUND"))</f>
        <v/>
      </c>
      <c r="C4438" s="14" t="n"/>
      <c r="D4438" s="15" t="n"/>
      <c r="E4438" s="15" t="n"/>
      <c r="F4438" s="15" t="n"/>
      <c r="G4438" s="15" t="n"/>
      <c r="H4438" s="16">
        <f>IF($A4438="","",$D4438+IF($E4438="",0,$E4438)+IF($F4438="",0,$F4438)-IF($G4438="",0,$G4438))</f>
        <v/>
      </c>
      <c r="I4438" s="12" t="n"/>
      <c r="J4438" s="12" t="n"/>
      <c r="K4438" s="12" t="n"/>
      <c r="L4438" s="14" t="n"/>
      <c r="M4438" s="12" t="n"/>
      <c r="N4438" s="12" t="n"/>
      <c r="O4438" s="12" t="n"/>
    </row>
    <row r="4439">
      <c r="A4439" s="12" t="n"/>
      <c r="B4439" s="13">
        <f>IF($A4439="","",IFERROR(INDEX(Emp_Names,MATCH($A4439,Emp_Codes,0)),"NOT FOUND"))</f>
        <v/>
      </c>
      <c r="C4439" s="14" t="n"/>
      <c r="D4439" s="15" t="n"/>
      <c r="E4439" s="15" t="n"/>
      <c r="F4439" s="15" t="n"/>
      <c r="G4439" s="15" t="n"/>
      <c r="H4439" s="16">
        <f>IF($A4439="","",$D4439+IF($E4439="",0,$E4439)+IF($F4439="",0,$F4439)-IF($G4439="",0,$G4439))</f>
        <v/>
      </c>
      <c r="I4439" s="12" t="n"/>
      <c r="J4439" s="12" t="n"/>
      <c r="K4439" s="12" t="n"/>
      <c r="L4439" s="14" t="n"/>
      <c r="M4439" s="12" t="n"/>
      <c r="N4439" s="12" t="n"/>
      <c r="O4439" s="12" t="n"/>
    </row>
    <row r="4440">
      <c r="A4440" s="12" t="n"/>
      <c r="B4440" s="13">
        <f>IF($A4440="","",IFERROR(INDEX(Emp_Names,MATCH($A4440,Emp_Codes,0)),"NOT FOUND"))</f>
        <v/>
      </c>
      <c r="C4440" s="14" t="n"/>
      <c r="D4440" s="15" t="n"/>
      <c r="E4440" s="15" t="n"/>
      <c r="F4440" s="15" t="n"/>
      <c r="G4440" s="15" t="n"/>
      <c r="H4440" s="16">
        <f>IF($A4440="","",$D4440+IF($E4440="",0,$E4440)+IF($F4440="",0,$F4440)-IF($G4440="",0,$G4440))</f>
        <v/>
      </c>
      <c r="I4440" s="12" t="n"/>
      <c r="J4440" s="12" t="n"/>
      <c r="K4440" s="12" t="n"/>
      <c r="L4440" s="14" t="n"/>
      <c r="M4440" s="12" t="n"/>
      <c r="N4440" s="12" t="n"/>
      <c r="O4440" s="12" t="n"/>
    </row>
    <row r="4441">
      <c r="A4441" s="12" t="n"/>
      <c r="B4441" s="13">
        <f>IF($A4441="","",IFERROR(INDEX(Emp_Names,MATCH($A4441,Emp_Codes,0)),"NOT FOUND"))</f>
        <v/>
      </c>
      <c r="C4441" s="14" t="n"/>
      <c r="D4441" s="15" t="n"/>
      <c r="E4441" s="15" t="n"/>
      <c r="F4441" s="15" t="n"/>
      <c r="G4441" s="15" t="n"/>
      <c r="H4441" s="16">
        <f>IF($A4441="","",$D4441+IF($E4441="",0,$E4441)+IF($F4441="",0,$F4441)-IF($G4441="",0,$G4441))</f>
        <v/>
      </c>
      <c r="I4441" s="12" t="n"/>
      <c r="J4441" s="12" t="n"/>
      <c r="K4441" s="12" t="n"/>
      <c r="L4441" s="14" t="n"/>
      <c r="M4441" s="12" t="n"/>
      <c r="N4441" s="12" t="n"/>
      <c r="O4441" s="12" t="n"/>
    </row>
    <row r="4442">
      <c r="A4442" s="12" t="n"/>
      <c r="B4442" s="13">
        <f>IF($A4442="","",IFERROR(INDEX(Emp_Names,MATCH($A4442,Emp_Codes,0)),"NOT FOUND"))</f>
        <v/>
      </c>
      <c r="C4442" s="14" t="n"/>
      <c r="D4442" s="15" t="n"/>
      <c r="E4442" s="15" t="n"/>
      <c r="F4442" s="15" t="n"/>
      <c r="G4442" s="15" t="n"/>
      <c r="H4442" s="16">
        <f>IF($A4442="","",$D4442+IF($E4442="",0,$E4442)+IF($F4442="",0,$F4442)-IF($G4442="",0,$G4442))</f>
        <v/>
      </c>
      <c r="I4442" s="12" t="n"/>
      <c r="J4442" s="12" t="n"/>
      <c r="K4442" s="12" t="n"/>
      <c r="L4442" s="14" t="n"/>
      <c r="M4442" s="12" t="n"/>
      <c r="N4442" s="12" t="n"/>
      <c r="O4442" s="12" t="n"/>
    </row>
    <row r="4443">
      <c r="A4443" s="12" t="n"/>
      <c r="B4443" s="13">
        <f>IF($A4443="","",IFERROR(INDEX(Emp_Names,MATCH($A4443,Emp_Codes,0)),"NOT FOUND"))</f>
        <v/>
      </c>
      <c r="C4443" s="14" t="n"/>
      <c r="D4443" s="15" t="n"/>
      <c r="E4443" s="15" t="n"/>
      <c r="F4443" s="15" t="n"/>
      <c r="G4443" s="15" t="n"/>
      <c r="H4443" s="16">
        <f>IF($A4443="","",$D4443+IF($E4443="",0,$E4443)+IF($F4443="",0,$F4443)-IF($G4443="",0,$G4443))</f>
        <v/>
      </c>
      <c r="I4443" s="12" t="n"/>
      <c r="J4443" s="12" t="n"/>
      <c r="K4443" s="12" t="n"/>
      <c r="L4443" s="14" t="n"/>
      <c r="M4443" s="12" t="n"/>
      <c r="N4443" s="12" t="n"/>
      <c r="O4443" s="12" t="n"/>
    </row>
    <row r="4444">
      <c r="A4444" s="12" t="n"/>
      <c r="B4444" s="13">
        <f>IF($A4444="","",IFERROR(INDEX(Emp_Names,MATCH($A4444,Emp_Codes,0)),"NOT FOUND"))</f>
        <v/>
      </c>
      <c r="C4444" s="14" t="n"/>
      <c r="D4444" s="15" t="n"/>
      <c r="E4444" s="15" t="n"/>
      <c r="F4444" s="15" t="n"/>
      <c r="G4444" s="15" t="n"/>
      <c r="H4444" s="16">
        <f>IF($A4444="","",$D4444+IF($E4444="",0,$E4444)+IF($F4444="",0,$F4444)-IF($G4444="",0,$G4444))</f>
        <v/>
      </c>
      <c r="I4444" s="12" t="n"/>
      <c r="J4444" s="12" t="n"/>
      <c r="K4444" s="12" t="n"/>
      <c r="L4444" s="14" t="n"/>
      <c r="M4444" s="12" t="n"/>
      <c r="N4444" s="12" t="n"/>
      <c r="O4444" s="12" t="n"/>
    </row>
    <row r="4445">
      <c r="A4445" s="12" t="n"/>
      <c r="B4445" s="13">
        <f>IF($A4445="","",IFERROR(INDEX(Emp_Names,MATCH($A4445,Emp_Codes,0)),"NOT FOUND"))</f>
        <v/>
      </c>
      <c r="C4445" s="14" t="n"/>
      <c r="D4445" s="15" t="n"/>
      <c r="E4445" s="15" t="n"/>
      <c r="F4445" s="15" t="n"/>
      <c r="G4445" s="15" t="n"/>
      <c r="H4445" s="16">
        <f>IF($A4445="","",$D4445+IF($E4445="",0,$E4445)+IF($F4445="",0,$F4445)-IF($G4445="",0,$G4445))</f>
        <v/>
      </c>
      <c r="I4445" s="12" t="n"/>
      <c r="J4445" s="12" t="n"/>
      <c r="K4445" s="12" t="n"/>
      <c r="L4445" s="14" t="n"/>
      <c r="M4445" s="12" t="n"/>
      <c r="N4445" s="12" t="n"/>
      <c r="O4445" s="12" t="n"/>
    </row>
    <row r="4446">
      <c r="A4446" s="12" t="n"/>
      <c r="B4446" s="13">
        <f>IF($A4446="","",IFERROR(INDEX(Emp_Names,MATCH($A4446,Emp_Codes,0)),"NOT FOUND"))</f>
        <v/>
      </c>
      <c r="C4446" s="14" t="n"/>
      <c r="D4446" s="15" t="n"/>
      <c r="E4446" s="15" t="n"/>
      <c r="F4446" s="15" t="n"/>
      <c r="G4446" s="15" t="n"/>
      <c r="H4446" s="16">
        <f>IF($A4446="","",$D4446+IF($E4446="",0,$E4446)+IF($F4446="",0,$F4446)-IF($G4446="",0,$G4446))</f>
        <v/>
      </c>
      <c r="I4446" s="12" t="n"/>
      <c r="J4446" s="12" t="n"/>
      <c r="K4446" s="12" t="n"/>
      <c r="L4446" s="14" t="n"/>
      <c r="M4446" s="12" t="n"/>
      <c r="N4446" s="12" t="n"/>
      <c r="O4446" s="12" t="n"/>
    </row>
    <row r="4447">
      <c r="A4447" s="12" t="n"/>
      <c r="B4447" s="13">
        <f>IF($A4447="","",IFERROR(INDEX(Emp_Names,MATCH($A4447,Emp_Codes,0)),"NOT FOUND"))</f>
        <v/>
      </c>
      <c r="C4447" s="14" t="n"/>
      <c r="D4447" s="15" t="n"/>
      <c r="E4447" s="15" t="n"/>
      <c r="F4447" s="15" t="n"/>
      <c r="G4447" s="15" t="n"/>
      <c r="H4447" s="16">
        <f>IF($A4447="","",$D4447+IF($E4447="",0,$E4447)+IF($F4447="",0,$F4447)-IF($G4447="",0,$G4447))</f>
        <v/>
      </c>
      <c r="I4447" s="12" t="n"/>
      <c r="J4447" s="12" t="n"/>
      <c r="K4447" s="12" t="n"/>
      <c r="L4447" s="14" t="n"/>
      <c r="M4447" s="12" t="n"/>
      <c r="N4447" s="12" t="n"/>
      <c r="O4447" s="12" t="n"/>
    </row>
    <row r="4448">
      <c r="A4448" s="12" t="n"/>
      <c r="B4448" s="13">
        <f>IF($A4448="","",IFERROR(INDEX(Emp_Names,MATCH($A4448,Emp_Codes,0)),"NOT FOUND"))</f>
        <v/>
      </c>
      <c r="C4448" s="14" t="n"/>
      <c r="D4448" s="15" t="n"/>
      <c r="E4448" s="15" t="n"/>
      <c r="F4448" s="15" t="n"/>
      <c r="G4448" s="15" t="n"/>
      <c r="H4448" s="16">
        <f>IF($A4448="","",$D4448+IF($E4448="",0,$E4448)+IF($F4448="",0,$F4448)-IF($G4448="",0,$G4448))</f>
        <v/>
      </c>
      <c r="I4448" s="12" t="n"/>
      <c r="J4448" s="12" t="n"/>
      <c r="K4448" s="12" t="n"/>
      <c r="L4448" s="14" t="n"/>
      <c r="M4448" s="12" t="n"/>
      <c r="N4448" s="12" t="n"/>
      <c r="O4448" s="12" t="n"/>
    </row>
    <row r="4449">
      <c r="A4449" s="12" t="n"/>
      <c r="B4449" s="13">
        <f>IF($A4449="","",IFERROR(INDEX(Emp_Names,MATCH($A4449,Emp_Codes,0)),"NOT FOUND"))</f>
        <v/>
      </c>
      <c r="C4449" s="14" t="n"/>
      <c r="D4449" s="15" t="n"/>
      <c r="E4449" s="15" t="n"/>
      <c r="F4449" s="15" t="n"/>
      <c r="G4449" s="15" t="n"/>
      <c r="H4449" s="16">
        <f>IF($A4449="","",$D4449+IF($E4449="",0,$E4449)+IF($F4449="",0,$F4449)-IF($G4449="",0,$G4449))</f>
        <v/>
      </c>
      <c r="I4449" s="12" t="n"/>
      <c r="J4449" s="12" t="n"/>
      <c r="K4449" s="12" t="n"/>
      <c r="L4449" s="14" t="n"/>
      <c r="M4449" s="12" t="n"/>
      <c r="N4449" s="12" t="n"/>
      <c r="O4449" s="12" t="n"/>
    </row>
    <row r="4450">
      <c r="A4450" s="12" t="n"/>
      <c r="B4450" s="13">
        <f>IF($A4450="","",IFERROR(INDEX(Emp_Names,MATCH($A4450,Emp_Codes,0)),"NOT FOUND"))</f>
        <v/>
      </c>
      <c r="C4450" s="14" t="n"/>
      <c r="D4450" s="15" t="n"/>
      <c r="E4450" s="15" t="n"/>
      <c r="F4450" s="15" t="n"/>
      <c r="G4450" s="15" t="n"/>
      <c r="H4450" s="16">
        <f>IF($A4450="","",$D4450+IF($E4450="",0,$E4450)+IF($F4450="",0,$F4450)-IF($G4450="",0,$G4450))</f>
        <v/>
      </c>
      <c r="I4450" s="12" t="n"/>
      <c r="J4450" s="12" t="n"/>
      <c r="K4450" s="12" t="n"/>
      <c r="L4450" s="14" t="n"/>
      <c r="M4450" s="12" t="n"/>
      <c r="N4450" s="12" t="n"/>
      <c r="O4450" s="12" t="n"/>
    </row>
    <row r="4451">
      <c r="A4451" s="12" t="n"/>
      <c r="B4451" s="13">
        <f>IF($A4451="","",IFERROR(INDEX(Emp_Names,MATCH($A4451,Emp_Codes,0)),"NOT FOUND"))</f>
        <v/>
      </c>
      <c r="C4451" s="14" t="n"/>
      <c r="D4451" s="15" t="n"/>
      <c r="E4451" s="15" t="n"/>
      <c r="F4451" s="15" t="n"/>
      <c r="G4451" s="15" t="n"/>
      <c r="H4451" s="16">
        <f>IF($A4451="","",$D4451+IF($E4451="",0,$E4451)+IF($F4451="",0,$F4451)-IF($G4451="",0,$G4451))</f>
        <v/>
      </c>
      <c r="I4451" s="12" t="n"/>
      <c r="J4451" s="12" t="n"/>
      <c r="K4451" s="12" t="n"/>
      <c r="L4451" s="14" t="n"/>
      <c r="M4451" s="12" t="n"/>
      <c r="N4451" s="12" t="n"/>
      <c r="O4451" s="12" t="n"/>
    </row>
    <row r="4452">
      <c r="A4452" s="12" t="n"/>
      <c r="B4452" s="13">
        <f>IF($A4452="","",IFERROR(INDEX(Emp_Names,MATCH($A4452,Emp_Codes,0)),"NOT FOUND"))</f>
        <v/>
      </c>
      <c r="C4452" s="14" t="n"/>
      <c r="D4452" s="15" t="n"/>
      <c r="E4452" s="15" t="n"/>
      <c r="F4452" s="15" t="n"/>
      <c r="G4452" s="15" t="n"/>
      <c r="H4452" s="16">
        <f>IF($A4452="","",$D4452+IF($E4452="",0,$E4452)+IF($F4452="",0,$F4452)-IF($G4452="",0,$G4452))</f>
        <v/>
      </c>
      <c r="I4452" s="12" t="n"/>
      <c r="J4452" s="12" t="n"/>
      <c r="K4452" s="12" t="n"/>
      <c r="L4452" s="14" t="n"/>
      <c r="M4452" s="12" t="n"/>
      <c r="N4452" s="12" t="n"/>
      <c r="O4452" s="12" t="n"/>
    </row>
    <row r="4453">
      <c r="A4453" s="12" t="n"/>
      <c r="B4453" s="13">
        <f>IF($A4453="","",IFERROR(INDEX(Emp_Names,MATCH($A4453,Emp_Codes,0)),"NOT FOUND"))</f>
        <v/>
      </c>
      <c r="C4453" s="14" t="n"/>
      <c r="D4453" s="15" t="n"/>
      <c r="E4453" s="15" t="n"/>
      <c r="F4453" s="15" t="n"/>
      <c r="G4453" s="15" t="n"/>
      <c r="H4453" s="16">
        <f>IF($A4453="","",$D4453+IF($E4453="",0,$E4453)+IF($F4453="",0,$F4453)-IF($G4453="",0,$G4453))</f>
        <v/>
      </c>
      <c r="I4453" s="12" t="n"/>
      <c r="J4453" s="12" t="n"/>
      <c r="K4453" s="12" t="n"/>
      <c r="L4453" s="14" t="n"/>
      <c r="M4453" s="12" t="n"/>
      <c r="N4453" s="12" t="n"/>
      <c r="O4453" s="12" t="n"/>
    </row>
    <row r="4454">
      <c r="A4454" s="12" t="n"/>
      <c r="B4454" s="13">
        <f>IF($A4454="","",IFERROR(INDEX(Emp_Names,MATCH($A4454,Emp_Codes,0)),"NOT FOUND"))</f>
        <v/>
      </c>
      <c r="C4454" s="14" t="n"/>
      <c r="D4454" s="15" t="n"/>
      <c r="E4454" s="15" t="n"/>
      <c r="F4454" s="15" t="n"/>
      <c r="G4454" s="15" t="n"/>
      <c r="H4454" s="16">
        <f>IF($A4454="","",$D4454+IF($E4454="",0,$E4454)+IF($F4454="",0,$F4454)-IF($G4454="",0,$G4454))</f>
        <v/>
      </c>
      <c r="I4454" s="12" t="n"/>
      <c r="J4454" s="12" t="n"/>
      <c r="K4454" s="12" t="n"/>
      <c r="L4454" s="14" t="n"/>
      <c r="M4454" s="12" t="n"/>
      <c r="N4454" s="12" t="n"/>
      <c r="O4454" s="12" t="n"/>
    </row>
    <row r="4455">
      <c r="A4455" s="12" t="n"/>
      <c r="B4455" s="13">
        <f>IF($A4455="","",IFERROR(INDEX(Emp_Names,MATCH($A4455,Emp_Codes,0)),"NOT FOUND"))</f>
        <v/>
      </c>
      <c r="C4455" s="14" t="n"/>
      <c r="D4455" s="15" t="n"/>
      <c r="E4455" s="15" t="n"/>
      <c r="F4455" s="15" t="n"/>
      <c r="G4455" s="15" t="n"/>
      <c r="H4455" s="16">
        <f>IF($A4455="","",$D4455+IF($E4455="",0,$E4455)+IF($F4455="",0,$F4455)-IF($G4455="",0,$G4455))</f>
        <v/>
      </c>
      <c r="I4455" s="12" t="n"/>
      <c r="J4455" s="12" t="n"/>
      <c r="K4455" s="12" t="n"/>
      <c r="L4455" s="14" t="n"/>
      <c r="M4455" s="12" t="n"/>
      <c r="N4455" s="12" t="n"/>
      <c r="O4455" s="12" t="n"/>
    </row>
    <row r="4456">
      <c r="A4456" s="12" t="n"/>
      <c r="B4456" s="13">
        <f>IF($A4456="","",IFERROR(INDEX(Emp_Names,MATCH($A4456,Emp_Codes,0)),"NOT FOUND"))</f>
        <v/>
      </c>
      <c r="C4456" s="14" t="n"/>
      <c r="D4456" s="15" t="n"/>
      <c r="E4456" s="15" t="n"/>
      <c r="F4456" s="15" t="n"/>
      <c r="G4456" s="15" t="n"/>
      <c r="H4456" s="16">
        <f>IF($A4456="","",$D4456+IF($E4456="",0,$E4456)+IF($F4456="",0,$F4456)-IF($G4456="",0,$G4456))</f>
        <v/>
      </c>
      <c r="I4456" s="12" t="n"/>
      <c r="J4456" s="12" t="n"/>
      <c r="K4456" s="12" t="n"/>
      <c r="L4456" s="14" t="n"/>
      <c r="M4456" s="12" t="n"/>
      <c r="N4456" s="12" t="n"/>
      <c r="O4456" s="12" t="n"/>
    </row>
    <row r="4457">
      <c r="A4457" s="12" t="n"/>
      <c r="B4457" s="13">
        <f>IF($A4457="","",IFERROR(INDEX(Emp_Names,MATCH($A4457,Emp_Codes,0)),"NOT FOUND"))</f>
        <v/>
      </c>
      <c r="C4457" s="14" t="n"/>
      <c r="D4457" s="15" t="n"/>
      <c r="E4457" s="15" t="n"/>
      <c r="F4457" s="15" t="n"/>
      <c r="G4457" s="15" t="n"/>
      <c r="H4457" s="16">
        <f>IF($A4457="","",$D4457+IF($E4457="",0,$E4457)+IF($F4457="",0,$F4457)-IF($G4457="",0,$G4457))</f>
        <v/>
      </c>
      <c r="I4457" s="12" t="n"/>
      <c r="J4457" s="12" t="n"/>
      <c r="K4457" s="12" t="n"/>
      <c r="L4457" s="14" t="n"/>
      <c r="M4457" s="12" t="n"/>
      <c r="N4457" s="12" t="n"/>
      <c r="O4457" s="12" t="n"/>
    </row>
    <row r="4458">
      <c r="A4458" s="12" t="n"/>
      <c r="B4458" s="13">
        <f>IF($A4458="","",IFERROR(INDEX(Emp_Names,MATCH($A4458,Emp_Codes,0)),"NOT FOUND"))</f>
        <v/>
      </c>
      <c r="C4458" s="14" t="n"/>
      <c r="D4458" s="15" t="n"/>
      <c r="E4458" s="15" t="n"/>
      <c r="F4458" s="15" t="n"/>
      <c r="G4458" s="15" t="n"/>
      <c r="H4458" s="16">
        <f>IF($A4458="","",$D4458+IF($E4458="",0,$E4458)+IF($F4458="",0,$F4458)-IF($G4458="",0,$G4458))</f>
        <v/>
      </c>
      <c r="I4458" s="12" t="n"/>
      <c r="J4458" s="12" t="n"/>
      <c r="K4458" s="12" t="n"/>
      <c r="L4458" s="14" t="n"/>
      <c r="M4458" s="12" t="n"/>
      <c r="N4458" s="12" t="n"/>
      <c r="O4458" s="12" t="n"/>
    </row>
    <row r="4459">
      <c r="A4459" s="12" t="n"/>
      <c r="B4459" s="13">
        <f>IF($A4459="","",IFERROR(INDEX(Emp_Names,MATCH($A4459,Emp_Codes,0)),"NOT FOUND"))</f>
        <v/>
      </c>
      <c r="C4459" s="14" t="n"/>
      <c r="D4459" s="15" t="n"/>
      <c r="E4459" s="15" t="n"/>
      <c r="F4459" s="15" t="n"/>
      <c r="G4459" s="15" t="n"/>
      <c r="H4459" s="16">
        <f>IF($A4459="","",$D4459+IF($E4459="",0,$E4459)+IF($F4459="",0,$F4459)-IF($G4459="",0,$G4459))</f>
        <v/>
      </c>
      <c r="I4459" s="12" t="n"/>
      <c r="J4459" s="12" t="n"/>
      <c r="K4459" s="12" t="n"/>
      <c r="L4459" s="14" t="n"/>
      <c r="M4459" s="12" t="n"/>
      <c r="N4459" s="12" t="n"/>
      <c r="O4459" s="12" t="n"/>
    </row>
    <row r="4460">
      <c r="A4460" s="12" t="n"/>
      <c r="B4460" s="13">
        <f>IF($A4460="","",IFERROR(INDEX(Emp_Names,MATCH($A4460,Emp_Codes,0)),"NOT FOUND"))</f>
        <v/>
      </c>
      <c r="C4460" s="14" t="n"/>
      <c r="D4460" s="15" t="n"/>
      <c r="E4460" s="15" t="n"/>
      <c r="F4460" s="15" t="n"/>
      <c r="G4460" s="15" t="n"/>
      <c r="H4460" s="16">
        <f>IF($A4460="","",$D4460+IF($E4460="",0,$E4460)+IF($F4460="",0,$F4460)-IF($G4460="",0,$G4460))</f>
        <v/>
      </c>
      <c r="I4460" s="12" t="n"/>
      <c r="J4460" s="12" t="n"/>
      <c r="K4460" s="12" t="n"/>
      <c r="L4460" s="14" t="n"/>
      <c r="M4460" s="12" t="n"/>
      <c r="N4460" s="12" t="n"/>
      <c r="O4460" s="12" t="n"/>
    </row>
    <row r="4461">
      <c r="A4461" s="12" t="n"/>
      <c r="B4461" s="13">
        <f>IF($A4461="","",IFERROR(INDEX(Emp_Names,MATCH($A4461,Emp_Codes,0)),"NOT FOUND"))</f>
        <v/>
      </c>
      <c r="C4461" s="14" t="n"/>
      <c r="D4461" s="15" t="n"/>
      <c r="E4461" s="15" t="n"/>
      <c r="F4461" s="15" t="n"/>
      <c r="G4461" s="15" t="n"/>
      <c r="H4461" s="16">
        <f>IF($A4461="","",$D4461+IF($E4461="",0,$E4461)+IF($F4461="",0,$F4461)-IF($G4461="",0,$G4461))</f>
        <v/>
      </c>
      <c r="I4461" s="12" t="n"/>
      <c r="J4461" s="12" t="n"/>
      <c r="K4461" s="12" t="n"/>
      <c r="L4461" s="14" t="n"/>
      <c r="M4461" s="12" t="n"/>
      <c r="N4461" s="12" t="n"/>
      <c r="O4461" s="12" t="n"/>
    </row>
    <row r="4462">
      <c r="A4462" s="12" t="n"/>
      <c r="B4462" s="13">
        <f>IF($A4462="","",IFERROR(INDEX(Emp_Names,MATCH($A4462,Emp_Codes,0)),"NOT FOUND"))</f>
        <v/>
      </c>
      <c r="C4462" s="14" t="n"/>
      <c r="D4462" s="15" t="n"/>
      <c r="E4462" s="15" t="n"/>
      <c r="F4462" s="15" t="n"/>
      <c r="G4462" s="15" t="n"/>
      <c r="H4462" s="16">
        <f>IF($A4462="","",$D4462+IF($E4462="",0,$E4462)+IF($F4462="",0,$F4462)-IF($G4462="",0,$G4462))</f>
        <v/>
      </c>
      <c r="I4462" s="12" t="n"/>
      <c r="J4462" s="12" t="n"/>
      <c r="K4462" s="12" t="n"/>
      <c r="L4462" s="14" t="n"/>
      <c r="M4462" s="12" t="n"/>
      <c r="N4462" s="12" t="n"/>
      <c r="O4462" s="12" t="n"/>
    </row>
    <row r="4463">
      <c r="A4463" s="12" t="n"/>
      <c r="B4463" s="13">
        <f>IF($A4463="","",IFERROR(INDEX(Emp_Names,MATCH($A4463,Emp_Codes,0)),"NOT FOUND"))</f>
        <v/>
      </c>
      <c r="C4463" s="14" t="n"/>
      <c r="D4463" s="15" t="n"/>
      <c r="E4463" s="15" t="n"/>
      <c r="F4463" s="15" t="n"/>
      <c r="G4463" s="15" t="n"/>
      <c r="H4463" s="16">
        <f>IF($A4463="","",$D4463+IF($E4463="",0,$E4463)+IF($F4463="",0,$F4463)-IF($G4463="",0,$G4463))</f>
        <v/>
      </c>
      <c r="I4463" s="12" t="n"/>
      <c r="J4463" s="12" t="n"/>
      <c r="K4463" s="12" t="n"/>
      <c r="L4463" s="14" t="n"/>
      <c r="M4463" s="12" t="n"/>
      <c r="N4463" s="12" t="n"/>
      <c r="O4463" s="12" t="n"/>
    </row>
    <row r="4464">
      <c r="A4464" s="12" t="n"/>
      <c r="B4464" s="13">
        <f>IF($A4464="","",IFERROR(INDEX(Emp_Names,MATCH($A4464,Emp_Codes,0)),"NOT FOUND"))</f>
        <v/>
      </c>
      <c r="C4464" s="14" t="n"/>
      <c r="D4464" s="15" t="n"/>
      <c r="E4464" s="15" t="n"/>
      <c r="F4464" s="15" t="n"/>
      <c r="G4464" s="15" t="n"/>
      <c r="H4464" s="16">
        <f>IF($A4464="","",$D4464+IF($E4464="",0,$E4464)+IF($F4464="",0,$F4464)-IF($G4464="",0,$G4464))</f>
        <v/>
      </c>
      <c r="I4464" s="12" t="n"/>
      <c r="J4464" s="12" t="n"/>
      <c r="K4464" s="12" t="n"/>
      <c r="L4464" s="14" t="n"/>
      <c r="M4464" s="12" t="n"/>
      <c r="N4464" s="12" t="n"/>
      <c r="O4464" s="12" t="n"/>
    </row>
    <row r="4465">
      <c r="A4465" s="12" t="n"/>
      <c r="B4465" s="13">
        <f>IF($A4465="","",IFERROR(INDEX(Emp_Names,MATCH($A4465,Emp_Codes,0)),"NOT FOUND"))</f>
        <v/>
      </c>
      <c r="C4465" s="14" t="n"/>
      <c r="D4465" s="15" t="n"/>
      <c r="E4465" s="15" t="n"/>
      <c r="F4465" s="15" t="n"/>
      <c r="G4465" s="15" t="n"/>
      <c r="H4465" s="16">
        <f>IF($A4465="","",$D4465+IF($E4465="",0,$E4465)+IF($F4465="",0,$F4465)-IF($G4465="",0,$G4465))</f>
        <v/>
      </c>
      <c r="I4465" s="12" t="n"/>
      <c r="J4465" s="12" t="n"/>
      <c r="K4465" s="12" t="n"/>
      <c r="L4465" s="14" t="n"/>
      <c r="M4465" s="12" t="n"/>
      <c r="N4465" s="12" t="n"/>
      <c r="O4465" s="12" t="n"/>
    </row>
    <row r="4466">
      <c r="A4466" s="12" t="n"/>
      <c r="B4466" s="13">
        <f>IF($A4466="","",IFERROR(INDEX(Emp_Names,MATCH($A4466,Emp_Codes,0)),"NOT FOUND"))</f>
        <v/>
      </c>
      <c r="C4466" s="14" t="n"/>
      <c r="D4466" s="15" t="n"/>
      <c r="E4466" s="15" t="n"/>
      <c r="F4466" s="15" t="n"/>
      <c r="G4466" s="15" t="n"/>
      <c r="H4466" s="16">
        <f>IF($A4466="","",$D4466+IF($E4466="",0,$E4466)+IF($F4466="",0,$F4466)-IF($G4466="",0,$G4466))</f>
        <v/>
      </c>
      <c r="I4466" s="12" t="n"/>
      <c r="J4466" s="12" t="n"/>
      <c r="K4466" s="12" t="n"/>
      <c r="L4466" s="14" t="n"/>
      <c r="M4466" s="12" t="n"/>
      <c r="N4466" s="12" t="n"/>
      <c r="O4466" s="12" t="n"/>
    </row>
    <row r="4467">
      <c r="A4467" s="12" t="n"/>
      <c r="B4467" s="13">
        <f>IF($A4467="","",IFERROR(INDEX(Emp_Names,MATCH($A4467,Emp_Codes,0)),"NOT FOUND"))</f>
        <v/>
      </c>
      <c r="C4467" s="14" t="n"/>
      <c r="D4467" s="15" t="n"/>
      <c r="E4467" s="15" t="n"/>
      <c r="F4467" s="15" t="n"/>
      <c r="G4467" s="15" t="n"/>
      <c r="H4467" s="16">
        <f>IF($A4467="","",$D4467+IF($E4467="",0,$E4467)+IF($F4467="",0,$F4467)-IF($G4467="",0,$G4467))</f>
        <v/>
      </c>
      <c r="I4467" s="12" t="n"/>
      <c r="J4467" s="12" t="n"/>
      <c r="K4467" s="12" t="n"/>
      <c r="L4467" s="14" t="n"/>
      <c r="M4467" s="12" t="n"/>
      <c r="N4467" s="12" t="n"/>
      <c r="O4467" s="12" t="n"/>
    </row>
    <row r="4468">
      <c r="A4468" s="12" t="n"/>
      <c r="B4468" s="13">
        <f>IF($A4468="","",IFERROR(INDEX(Emp_Names,MATCH($A4468,Emp_Codes,0)),"NOT FOUND"))</f>
        <v/>
      </c>
      <c r="C4468" s="14" t="n"/>
      <c r="D4468" s="15" t="n"/>
      <c r="E4468" s="15" t="n"/>
      <c r="F4468" s="15" t="n"/>
      <c r="G4468" s="15" t="n"/>
      <c r="H4468" s="16">
        <f>IF($A4468="","",$D4468+IF($E4468="",0,$E4468)+IF($F4468="",0,$F4468)-IF($G4468="",0,$G4468))</f>
        <v/>
      </c>
      <c r="I4468" s="12" t="n"/>
      <c r="J4468" s="12" t="n"/>
      <c r="K4468" s="12" t="n"/>
      <c r="L4468" s="14" t="n"/>
      <c r="M4468" s="12" t="n"/>
      <c r="N4468" s="12" t="n"/>
      <c r="O4468" s="12" t="n"/>
    </row>
    <row r="4469">
      <c r="A4469" s="12" t="n"/>
      <c r="B4469" s="13">
        <f>IF($A4469="","",IFERROR(INDEX(Emp_Names,MATCH($A4469,Emp_Codes,0)),"NOT FOUND"))</f>
        <v/>
      </c>
      <c r="C4469" s="14" t="n"/>
      <c r="D4469" s="15" t="n"/>
      <c r="E4469" s="15" t="n"/>
      <c r="F4469" s="15" t="n"/>
      <c r="G4469" s="15" t="n"/>
      <c r="H4469" s="16">
        <f>IF($A4469="","",$D4469+IF($E4469="",0,$E4469)+IF($F4469="",0,$F4469)-IF($G4469="",0,$G4469))</f>
        <v/>
      </c>
      <c r="I4469" s="12" t="n"/>
      <c r="J4469" s="12" t="n"/>
      <c r="K4469" s="12" t="n"/>
      <c r="L4469" s="14" t="n"/>
      <c r="M4469" s="12" t="n"/>
      <c r="N4469" s="12" t="n"/>
      <c r="O4469" s="12" t="n"/>
    </row>
    <row r="4470">
      <c r="A4470" s="12" t="n"/>
      <c r="B4470" s="13">
        <f>IF($A4470="","",IFERROR(INDEX(Emp_Names,MATCH($A4470,Emp_Codes,0)),"NOT FOUND"))</f>
        <v/>
      </c>
      <c r="C4470" s="14" t="n"/>
      <c r="D4470" s="15" t="n"/>
      <c r="E4470" s="15" t="n"/>
      <c r="F4470" s="15" t="n"/>
      <c r="G4470" s="15" t="n"/>
      <c r="H4470" s="16">
        <f>IF($A4470="","",$D4470+IF($E4470="",0,$E4470)+IF($F4470="",0,$F4470)-IF($G4470="",0,$G4470))</f>
        <v/>
      </c>
      <c r="I4470" s="12" t="n"/>
      <c r="J4470" s="12" t="n"/>
      <c r="K4470" s="12" t="n"/>
      <c r="L4470" s="14" t="n"/>
      <c r="M4470" s="12" t="n"/>
      <c r="N4470" s="12" t="n"/>
      <c r="O4470" s="12" t="n"/>
    </row>
    <row r="4471">
      <c r="A4471" s="12" t="n"/>
      <c r="B4471" s="13">
        <f>IF($A4471="","",IFERROR(INDEX(Emp_Names,MATCH($A4471,Emp_Codes,0)),"NOT FOUND"))</f>
        <v/>
      </c>
      <c r="C4471" s="14" t="n"/>
      <c r="D4471" s="15" t="n"/>
      <c r="E4471" s="15" t="n"/>
      <c r="F4471" s="15" t="n"/>
      <c r="G4471" s="15" t="n"/>
      <c r="H4471" s="16">
        <f>IF($A4471="","",$D4471+IF($E4471="",0,$E4471)+IF($F4471="",0,$F4471)-IF($G4471="",0,$G4471))</f>
        <v/>
      </c>
      <c r="I4471" s="12" t="n"/>
      <c r="J4471" s="12" t="n"/>
      <c r="K4471" s="12" t="n"/>
      <c r="L4471" s="14" t="n"/>
      <c r="M4471" s="12" t="n"/>
      <c r="N4471" s="12" t="n"/>
      <c r="O4471" s="12" t="n"/>
    </row>
    <row r="4472">
      <c r="A4472" s="12" t="n"/>
      <c r="B4472" s="13">
        <f>IF($A4472="","",IFERROR(INDEX(Emp_Names,MATCH($A4472,Emp_Codes,0)),"NOT FOUND"))</f>
        <v/>
      </c>
      <c r="C4472" s="14" t="n"/>
      <c r="D4472" s="15" t="n"/>
      <c r="E4472" s="15" t="n"/>
      <c r="F4472" s="15" t="n"/>
      <c r="G4472" s="15" t="n"/>
      <c r="H4472" s="16">
        <f>IF($A4472="","",$D4472+IF($E4472="",0,$E4472)+IF($F4472="",0,$F4472)-IF($G4472="",0,$G4472))</f>
        <v/>
      </c>
      <c r="I4472" s="12" t="n"/>
      <c r="J4472" s="12" t="n"/>
      <c r="K4472" s="12" t="n"/>
      <c r="L4472" s="14" t="n"/>
      <c r="M4472" s="12" t="n"/>
      <c r="N4472" s="12" t="n"/>
      <c r="O4472" s="12" t="n"/>
    </row>
    <row r="4473">
      <c r="A4473" s="12" t="n"/>
      <c r="B4473" s="13">
        <f>IF($A4473="","",IFERROR(INDEX(Emp_Names,MATCH($A4473,Emp_Codes,0)),"NOT FOUND"))</f>
        <v/>
      </c>
      <c r="C4473" s="14" t="n"/>
      <c r="D4473" s="15" t="n"/>
      <c r="E4473" s="15" t="n"/>
      <c r="F4473" s="15" t="n"/>
      <c r="G4473" s="15" t="n"/>
      <c r="H4473" s="16">
        <f>IF($A4473="","",$D4473+IF($E4473="",0,$E4473)+IF($F4473="",0,$F4473)-IF($G4473="",0,$G4473))</f>
        <v/>
      </c>
      <c r="I4473" s="12" t="n"/>
      <c r="J4473" s="12" t="n"/>
      <c r="K4473" s="12" t="n"/>
      <c r="L4473" s="14" t="n"/>
      <c r="M4473" s="12" t="n"/>
      <c r="N4473" s="12" t="n"/>
      <c r="O4473" s="12" t="n"/>
    </row>
    <row r="4474">
      <c r="A4474" s="12" t="n"/>
      <c r="B4474" s="13">
        <f>IF($A4474="","",IFERROR(INDEX(Emp_Names,MATCH($A4474,Emp_Codes,0)),"NOT FOUND"))</f>
        <v/>
      </c>
      <c r="C4474" s="14" t="n"/>
      <c r="D4474" s="15" t="n"/>
      <c r="E4474" s="15" t="n"/>
      <c r="F4474" s="15" t="n"/>
      <c r="G4474" s="15" t="n"/>
      <c r="H4474" s="16">
        <f>IF($A4474="","",$D4474+IF($E4474="",0,$E4474)+IF($F4474="",0,$F4474)-IF($G4474="",0,$G4474))</f>
        <v/>
      </c>
      <c r="I4474" s="12" t="n"/>
      <c r="J4474" s="12" t="n"/>
      <c r="K4474" s="12" t="n"/>
      <c r="L4474" s="14" t="n"/>
      <c r="M4474" s="12" t="n"/>
      <c r="N4474" s="12" t="n"/>
      <c r="O4474" s="12" t="n"/>
    </row>
    <row r="4475">
      <c r="A4475" s="12" t="n"/>
      <c r="B4475" s="13">
        <f>IF($A4475="","",IFERROR(INDEX(Emp_Names,MATCH($A4475,Emp_Codes,0)),"NOT FOUND"))</f>
        <v/>
      </c>
      <c r="C4475" s="14" t="n"/>
      <c r="D4475" s="15" t="n"/>
      <c r="E4475" s="15" t="n"/>
      <c r="F4475" s="15" t="n"/>
      <c r="G4475" s="15" t="n"/>
      <c r="H4475" s="16">
        <f>IF($A4475="","",$D4475+IF($E4475="",0,$E4475)+IF($F4475="",0,$F4475)-IF($G4475="",0,$G4475))</f>
        <v/>
      </c>
      <c r="I4475" s="12" t="n"/>
      <c r="J4475" s="12" t="n"/>
      <c r="K4475" s="12" t="n"/>
      <c r="L4475" s="14" t="n"/>
      <c r="M4475" s="12" t="n"/>
      <c r="N4475" s="12" t="n"/>
      <c r="O4475" s="12" t="n"/>
    </row>
    <row r="4476">
      <c r="A4476" s="12" t="n"/>
      <c r="B4476" s="13">
        <f>IF($A4476="","",IFERROR(INDEX(Emp_Names,MATCH($A4476,Emp_Codes,0)),"NOT FOUND"))</f>
        <v/>
      </c>
      <c r="C4476" s="14" t="n"/>
      <c r="D4476" s="15" t="n"/>
      <c r="E4476" s="15" t="n"/>
      <c r="F4476" s="15" t="n"/>
      <c r="G4476" s="15" t="n"/>
      <c r="H4476" s="16">
        <f>IF($A4476="","",$D4476+IF($E4476="",0,$E4476)+IF($F4476="",0,$F4476)-IF($G4476="",0,$G4476))</f>
        <v/>
      </c>
      <c r="I4476" s="12" t="n"/>
      <c r="J4476" s="12" t="n"/>
      <c r="K4476" s="12" t="n"/>
      <c r="L4476" s="14" t="n"/>
      <c r="M4476" s="12" t="n"/>
      <c r="N4476" s="12" t="n"/>
      <c r="O4476" s="12" t="n"/>
    </row>
    <row r="4477">
      <c r="A4477" s="12" t="n"/>
      <c r="B4477" s="13">
        <f>IF($A4477="","",IFERROR(INDEX(Emp_Names,MATCH($A4477,Emp_Codes,0)),"NOT FOUND"))</f>
        <v/>
      </c>
      <c r="C4477" s="14" t="n"/>
      <c r="D4477" s="15" t="n"/>
      <c r="E4477" s="15" t="n"/>
      <c r="F4477" s="15" t="n"/>
      <c r="G4477" s="15" t="n"/>
      <c r="H4477" s="16">
        <f>IF($A4477="","",$D4477+IF($E4477="",0,$E4477)+IF($F4477="",0,$F4477)-IF($G4477="",0,$G4477))</f>
        <v/>
      </c>
      <c r="I4477" s="12" t="n"/>
      <c r="J4477" s="12" t="n"/>
      <c r="K4477" s="12" t="n"/>
      <c r="L4477" s="14" t="n"/>
      <c r="M4477" s="12" t="n"/>
      <c r="N4477" s="12" t="n"/>
      <c r="O4477" s="12" t="n"/>
    </row>
    <row r="4478">
      <c r="A4478" s="12" t="n"/>
      <c r="B4478" s="13">
        <f>IF($A4478="","",IFERROR(INDEX(Emp_Names,MATCH($A4478,Emp_Codes,0)),"NOT FOUND"))</f>
        <v/>
      </c>
      <c r="C4478" s="14" t="n"/>
      <c r="D4478" s="15" t="n"/>
      <c r="E4478" s="15" t="n"/>
      <c r="F4478" s="15" t="n"/>
      <c r="G4478" s="15" t="n"/>
      <c r="H4478" s="16">
        <f>IF($A4478="","",$D4478+IF($E4478="",0,$E4478)+IF($F4478="",0,$F4478)-IF($G4478="",0,$G4478))</f>
        <v/>
      </c>
      <c r="I4478" s="12" t="n"/>
      <c r="J4478" s="12" t="n"/>
      <c r="K4478" s="12" t="n"/>
      <c r="L4478" s="14" t="n"/>
      <c r="M4478" s="12" t="n"/>
      <c r="N4478" s="12" t="n"/>
      <c r="O4478" s="12" t="n"/>
    </row>
    <row r="4479">
      <c r="A4479" s="12" t="n"/>
      <c r="B4479" s="13">
        <f>IF($A4479="","",IFERROR(INDEX(Emp_Names,MATCH($A4479,Emp_Codes,0)),"NOT FOUND"))</f>
        <v/>
      </c>
      <c r="C4479" s="14" t="n"/>
      <c r="D4479" s="15" t="n"/>
      <c r="E4479" s="15" t="n"/>
      <c r="F4479" s="15" t="n"/>
      <c r="G4479" s="15" t="n"/>
      <c r="H4479" s="16">
        <f>IF($A4479="","",$D4479+IF($E4479="",0,$E4479)+IF($F4479="",0,$F4479)-IF($G4479="",0,$G4479))</f>
        <v/>
      </c>
      <c r="I4479" s="12" t="n"/>
      <c r="J4479" s="12" t="n"/>
      <c r="K4479" s="12" t="n"/>
      <c r="L4479" s="14" t="n"/>
      <c r="M4479" s="12" t="n"/>
      <c r="N4479" s="12" t="n"/>
      <c r="O4479" s="12" t="n"/>
    </row>
    <row r="4480">
      <c r="A4480" s="12" t="n"/>
      <c r="B4480" s="13">
        <f>IF($A4480="","",IFERROR(INDEX(Emp_Names,MATCH($A4480,Emp_Codes,0)),"NOT FOUND"))</f>
        <v/>
      </c>
      <c r="C4480" s="14" t="n"/>
      <c r="D4480" s="15" t="n"/>
      <c r="E4480" s="15" t="n"/>
      <c r="F4480" s="15" t="n"/>
      <c r="G4480" s="15" t="n"/>
      <c r="H4480" s="16">
        <f>IF($A4480="","",$D4480+IF($E4480="",0,$E4480)+IF($F4480="",0,$F4480)-IF($G4480="",0,$G4480))</f>
        <v/>
      </c>
      <c r="I4480" s="12" t="n"/>
      <c r="J4480" s="12" t="n"/>
      <c r="K4480" s="12" t="n"/>
      <c r="L4480" s="14" t="n"/>
      <c r="M4480" s="12" t="n"/>
      <c r="N4480" s="12" t="n"/>
      <c r="O4480" s="12" t="n"/>
    </row>
    <row r="4481">
      <c r="A4481" s="12" t="n"/>
      <c r="B4481" s="13">
        <f>IF($A4481="","",IFERROR(INDEX(Emp_Names,MATCH($A4481,Emp_Codes,0)),"NOT FOUND"))</f>
        <v/>
      </c>
      <c r="C4481" s="14" t="n"/>
      <c r="D4481" s="15" t="n"/>
      <c r="E4481" s="15" t="n"/>
      <c r="F4481" s="15" t="n"/>
      <c r="G4481" s="15" t="n"/>
      <c r="H4481" s="16">
        <f>IF($A4481="","",$D4481+IF($E4481="",0,$E4481)+IF($F4481="",0,$F4481)-IF($G4481="",0,$G4481))</f>
        <v/>
      </c>
      <c r="I4481" s="12" t="n"/>
      <c r="J4481" s="12" t="n"/>
      <c r="K4481" s="12" t="n"/>
      <c r="L4481" s="14" t="n"/>
      <c r="M4481" s="12" t="n"/>
      <c r="N4481" s="12" t="n"/>
      <c r="O4481" s="12" t="n"/>
    </row>
    <row r="4482">
      <c r="A4482" s="12" t="n"/>
      <c r="B4482" s="13">
        <f>IF($A4482="","",IFERROR(INDEX(Emp_Names,MATCH($A4482,Emp_Codes,0)),"NOT FOUND"))</f>
        <v/>
      </c>
      <c r="C4482" s="14" t="n"/>
      <c r="D4482" s="15" t="n"/>
      <c r="E4482" s="15" t="n"/>
      <c r="F4482" s="15" t="n"/>
      <c r="G4482" s="15" t="n"/>
      <c r="H4482" s="16">
        <f>IF($A4482="","",$D4482+IF($E4482="",0,$E4482)+IF($F4482="",0,$F4482)-IF($G4482="",0,$G4482))</f>
        <v/>
      </c>
      <c r="I4482" s="12" t="n"/>
      <c r="J4482" s="12" t="n"/>
      <c r="K4482" s="12" t="n"/>
      <c r="L4482" s="14" t="n"/>
      <c r="M4482" s="12" t="n"/>
      <c r="N4482" s="12" t="n"/>
      <c r="O4482" s="12" t="n"/>
    </row>
    <row r="4483">
      <c r="A4483" s="12" t="n"/>
      <c r="B4483" s="13">
        <f>IF($A4483="","",IFERROR(INDEX(Emp_Names,MATCH($A4483,Emp_Codes,0)),"NOT FOUND"))</f>
        <v/>
      </c>
      <c r="C4483" s="14" t="n"/>
      <c r="D4483" s="15" t="n"/>
      <c r="E4483" s="15" t="n"/>
      <c r="F4483" s="15" t="n"/>
      <c r="G4483" s="15" t="n"/>
      <c r="H4483" s="16">
        <f>IF($A4483="","",$D4483+IF($E4483="",0,$E4483)+IF($F4483="",0,$F4483)-IF($G4483="",0,$G4483))</f>
        <v/>
      </c>
      <c r="I4483" s="12" t="n"/>
      <c r="J4483" s="12" t="n"/>
      <c r="K4483" s="12" t="n"/>
      <c r="L4483" s="14" t="n"/>
      <c r="M4483" s="12" t="n"/>
      <c r="N4483" s="12" t="n"/>
      <c r="O4483" s="12" t="n"/>
    </row>
    <row r="4484">
      <c r="A4484" s="12" t="n"/>
      <c r="B4484" s="13">
        <f>IF($A4484="","",IFERROR(INDEX(Emp_Names,MATCH($A4484,Emp_Codes,0)),"NOT FOUND"))</f>
        <v/>
      </c>
      <c r="C4484" s="14" t="n"/>
      <c r="D4484" s="15" t="n"/>
      <c r="E4484" s="15" t="n"/>
      <c r="F4484" s="15" t="n"/>
      <c r="G4484" s="15" t="n"/>
      <c r="H4484" s="16">
        <f>IF($A4484="","",$D4484+IF($E4484="",0,$E4484)+IF($F4484="",0,$F4484)-IF($G4484="",0,$G4484))</f>
        <v/>
      </c>
      <c r="I4484" s="12" t="n"/>
      <c r="J4484" s="12" t="n"/>
      <c r="K4484" s="12" t="n"/>
      <c r="L4484" s="14" t="n"/>
      <c r="M4484" s="12" t="n"/>
      <c r="N4484" s="12" t="n"/>
      <c r="O4484" s="12" t="n"/>
    </row>
    <row r="4485">
      <c r="A4485" s="12" t="n"/>
      <c r="B4485" s="13">
        <f>IF($A4485="","",IFERROR(INDEX(Emp_Names,MATCH($A4485,Emp_Codes,0)),"NOT FOUND"))</f>
        <v/>
      </c>
      <c r="C4485" s="14" t="n"/>
      <c r="D4485" s="15" t="n"/>
      <c r="E4485" s="15" t="n"/>
      <c r="F4485" s="15" t="n"/>
      <c r="G4485" s="15" t="n"/>
      <c r="H4485" s="16">
        <f>IF($A4485="","",$D4485+IF($E4485="",0,$E4485)+IF($F4485="",0,$F4485)-IF($G4485="",0,$G4485))</f>
        <v/>
      </c>
      <c r="I4485" s="12" t="n"/>
      <c r="J4485" s="12" t="n"/>
      <c r="K4485" s="12" t="n"/>
      <c r="L4485" s="14" t="n"/>
      <c r="M4485" s="12" t="n"/>
      <c r="N4485" s="12" t="n"/>
      <c r="O4485" s="12" t="n"/>
    </row>
    <row r="4486">
      <c r="A4486" s="12" t="n"/>
      <c r="B4486" s="13">
        <f>IF($A4486="","",IFERROR(INDEX(Emp_Names,MATCH($A4486,Emp_Codes,0)),"NOT FOUND"))</f>
        <v/>
      </c>
      <c r="C4486" s="14" t="n"/>
      <c r="D4486" s="15" t="n"/>
      <c r="E4486" s="15" t="n"/>
      <c r="F4486" s="15" t="n"/>
      <c r="G4486" s="15" t="n"/>
      <c r="H4486" s="16">
        <f>IF($A4486="","",$D4486+IF($E4486="",0,$E4486)+IF($F4486="",0,$F4486)-IF($G4486="",0,$G4486))</f>
        <v/>
      </c>
      <c r="I4486" s="12" t="n"/>
      <c r="J4486" s="12" t="n"/>
      <c r="K4486" s="12" t="n"/>
      <c r="L4486" s="14" t="n"/>
      <c r="M4486" s="12" t="n"/>
      <c r="N4486" s="12" t="n"/>
      <c r="O4486" s="12" t="n"/>
    </row>
    <row r="4487">
      <c r="A4487" s="12" t="n"/>
      <c r="B4487" s="13">
        <f>IF($A4487="","",IFERROR(INDEX(Emp_Names,MATCH($A4487,Emp_Codes,0)),"NOT FOUND"))</f>
        <v/>
      </c>
      <c r="C4487" s="14" t="n"/>
      <c r="D4487" s="15" t="n"/>
      <c r="E4487" s="15" t="n"/>
      <c r="F4487" s="15" t="n"/>
      <c r="G4487" s="15" t="n"/>
      <c r="H4487" s="16">
        <f>IF($A4487="","",$D4487+IF($E4487="",0,$E4487)+IF($F4487="",0,$F4487)-IF($G4487="",0,$G4487))</f>
        <v/>
      </c>
      <c r="I4487" s="12" t="n"/>
      <c r="J4487" s="12" t="n"/>
      <c r="K4487" s="12" t="n"/>
      <c r="L4487" s="14" t="n"/>
      <c r="M4487" s="12" t="n"/>
      <c r="N4487" s="12" t="n"/>
      <c r="O4487" s="12" t="n"/>
    </row>
    <row r="4488">
      <c r="A4488" s="12" t="n"/>
      <c r="B4488" s="13">
        <f>IF($A4488="","",IFERROR(INDEX(Emp_Names,MATCH($A4488,Emp_Codes,0)),"NOT FOUND"))</f>
        <v/>
      </c>
      <c r="C4488" s="14" t="n"/>
      <c r="D4488" s="15" t="n"/>
      <c r="E4488" s="15" t="n"/>
      <c r="F4488" s="15" t="n"/>
      <c r="G4488" s="15" t="n"/>
      <c r="H4488" s="16">
        <f>IF($A4488="","",$D4488+IF($E4488="",0,$E4488)+IF($F4488="",0,$F4488)-IF($G4488="",0,$G4488))</f>
        <v/>
      </c>
      <c r="I4488" s="12" t="n"/>
      <c r="J4488" s="12" t="n"/>
      <c r="K4488" s="12" t="n"/>
      <c r="L4488" s="14" t="n"/>
      <c r="M4488" s="12" t="n"/>
      <c r="N4488" s="12" t="n"/>
      <c r="O4488" s="12" t="n"/>
    </row>
    <row r="4489">
      <c r="A4489" s="12" t="n"/>
      <c r="B4489" s="13">
        <f>IF($A4489="","",IFERROR(INDEX(Emp_Names,MATCH($A4489,Emp_Codes,0)),"NOT FOUND"))</f>
        <v/>
      </c>
      <c r="C4489" s="14" t="n"/>
      <c r="D4489" s="15" t="n"/>
      <c r="E4489" s="15" t="n"/>
      <c r="F4489" s="15" t="n"/>
      <c r="G4489" s="15" t="n"/>
      <c r="H4489" s="16">
        <f>IF($A4489="","",$D4489+IF($E4489="",0,$E4489)+IF($F4489="",0,$F4489)-IF($G4489="",0,$G4489))</f>
        <v/>
      </c>
      <c r="I4489" s="12" t="n"/>
      <c r="J4489" s="12" t="n"/>
      <c r="K4489" s="12" t="n"/>
      <c r="L4489" s="14" t="n"/>
      <c r="M4489" s="12" t="n"/>
      <c r="N4489" s="12" t="n"/>
      <c r="O4489" s="12" t="n"/>
    </row>
    <row r="4490">
      <c r="A4490" s="12" t="n"/>
      <c r="B4490" s="13">
        <f>IF($A4490="","",IFERROR(INDEX(Emp_Names,MATCH($A4490,Emp_Codes,0)),"NOT FOUND"))</f>
        <v/>
      </c>
      <c r="C4490" s="14" t="n"/>
      <c r="D4490" s="15" t="n"/>
      <c r="E4490" s="15" t="n"/>
      <c r="F4490" s="15" t="n"/>
      <c r="G4490" s="15" t="n"/>
      <c r="H4490" s="16">
        <f>IF($A4490="","",$D4490+IF($E4490="",0,$E4490)+IF($F4490="",0,$F4490)-IF($G4490="",0,$G4490))</f>
        <v/>
      </c>
      <c r="I4490" s="12" t="n"/>
      <c r="J4490" s="12" t="n"/>
      <c r="K4490" s="12" t="n"/>
      <c r="L4490" s="14" t="n"/>
      <c r="M4490" s="12" t="n"/>
      <c r="N4490" s="12" t="n"/>
      <c r="O4490" s="12" t="n"/>
    </row>
    <row r="4491">
      <c r="A4491" s="12" t="n"/>
      <c r="B4491" s="13">
        <f>IF($A4491="","",IFERROR(INDEX(Emp_Names,MATCH($A4491,Emp_Codes,0)),"NOT FOUND"))</f>
        <v/>
      </c>
      <c r="C4491" s="14" t="n"/>
      <c r="D4491" s="15" t="n"/>
      <c r="E4491" s="15" t="n"/>
      <c r="F4491" s="15" t="n"/>
      <c r="G4491" s="15" t="n"/>
      <c r="H4491" s="16">
        <f>IF($A4491="","",$D4491+IF($E4491="",0,$E4491)+IF($F4491="",0,$F4491)-IF($G4491="",0,$G4491))</f>
        <v/>
      </c>
      <c r="I4491" s="12" t="n"/>
      <c r="J4491" s="12" t="n"/>
      <c r="K4491" s="12" t="n"/>
      <c r="L4491" s="14" t="n"/>
      <c r="M4491" s="12" t="n"/>
      <c r="N4491" s="12" t="n"/>
      <c r="O4491" s="12" t="n"/>
    </row>
    <row r="4492">
      <c r="A4492" s="12" t="n"/>
      <c r="B4492" s="13">
        <f>IF($A4492="","",IFERROR(INDEX(Emp_Names,MATCH($A4492,Emp_Codes,0)),"NOT FOUND"))</f>
        <v/>
      </c>
      <c r="C4492" s="14" t="n"/>
      <c r="D4492" s="15" t="n"/>
      <c r="E4492" s="15" t="n"/>
      <c r="F4492" s="15" t="n"/>
      <c r="G4492" s="15" t="n"/>
      <c r="H4492" s="16">
        <f>IF($A4492="","",$D4492+IF($E4492="",0,$E4492)+IF($F4492="",0,$F4492)-IF($G4492="",0,$G4492))</f>
        <v/>
      </c>
      <c r="I4492" s="12" t="n"/>
      <c r="J4492" s="12" t="n"/>
      <c r="K4492" s="12" t="n"/>
      <c r="L4492" s="14" t="n"/>
      <c r="M4492" s="12" t="n"/>
      <c r="N4492" s="12" t="n"/>
      <c r="O4492" s="12" t="n"/>
    </row>
    <row r="4493">
      <c r="A4493" s="12" t="n"/>
      <c r="B4493" s="13">
        <f>IF($A4493="","",IFERROR(INDEX(Emp_Names,MATCH($A4493,Emp_Codes,0)),"NOT FOUND"))</f>
        <v/>
      </c>
      <c r="C4493" s="14" t="n"/>
      <c r="D4493" s="15" t="n"/>
      <c r="E4493" s="15" t="n"/>
      <c r="F4493" s="15" t="n"/>
      <c r="G4493" s="15" t="n"/>
      <c r="H4493" s="16">
        <f>IF($A4493="","",$D4493+IF($E4493="",0,$E4493)+IF($F4493="",0,$F4493)-IF($G4493="",0,$G4493))</f>
        <v/>
      </c>
      <c r="I4493" s="12" t="n"/>
      <c r="J4493" s="12" t="n"/>
      <c r="K4493" s="12" t="n"/>
      <c r="L4493" s="14" t="n"/>
      <c r="M4493" s="12" t="n"/>
      <c r="N4493" s="12" t="n"/>
      <c r="O4493" s="12" t="n"/>
    </row>
    <row r="4494">
      <c r="A4494" s="12" t="n"/>
      <c r="B4494" s="13">
        <f>IF($A4494="","",IFERROR(INDEX(Emp_Names,MATCH($A4494,Emp_Codes,0)),"NOT FOUND"))</f>
        <v/>
      </c>
      <c r="C4494" s="14" t="n"/>
      <c r="D4494" s="15" t="n"/>
      <c r="E4494" s="15" t="n"/>
      <c r="F4494" s="15" t="n"/>
      <c r="G4494" s="15" t="n"/>
      <c r="H4494" s="16">
        <f>IF($A4494="","",$D4494+IF($E4494="",0,$E4494)+IF($F4494="",0,$F4494)-IF($G4494="",0,$G4494))</f>
        <v/>
      </c>
      <c r="I4494" s="12" t="n"/>
      <c r="J4494" s="12" t="n"/>
      <c r="K4494" s="12" t="n"/>
      <c r="L4494" s="14" t="n"/>
      <c r="M4494" s="12" t="n"/>
      <c r="N4494" s="12" t="n"/>
      <c r="O4494" s="12" t="n"/>
    </row>
    <row r="4495">
      <c r="A4495" s="12" t="n"/>
      <c r="B4495" s="13">
        <f>IF($A4495="","",IFERROR(INDEX(Emp_Names,MATCH($A4495,Emp_Codes,0)),"NOT FOUND"))</f>
        <v/>
      </c>
      <c r="C4495" s="14" t="n"/>
      <c r="D4495" s="15" t="n"/>
      <c r="E4495" s="15" t="n"/>
      <c r="F4495" s="15" t="n"/>
      <c r="G4495" s="15" t="n"/>
      <c r="H4495" s="16">
        <f>IF($A4495="","",$D4495+IF($E4495="",0,$E4495)+IF($F4495="",0,$F4495)-IF($G4495="",0,$G4495))</f>
        <v/>
      </c>
      <c r="I4495" s="12" t="n"/>
      <c r="J4495" s="12" t="n"/>
      <c r="K4495" s="12" t="n"/>
      <c r="L4495" s="14" t="n"/>
      <c r="M4495" s="12" t="n"/>
      <c r="N4495" s="12" t="n"/>
      <c r="O4495" s="12" t="n"/>
    </row>
    <row r="4496">
      <c r="A4496" s="12" t="n"/>
      <c r="B4496" s="13">
        <f>IF($A4496="","",IFERROR(INDEX(Emp_Names,MATCH($A4496,Emp_Codes,0)),"NOT FOUND"))</f>
        <v/>
      </c>
      <c r="C4496" s="14" t="n"/>
      <c r="D4496" s="15" t="n"/>
      <c r="E4496" s="15" t="n"/>
      <c r="F4496" s="15" t="n"/>
      <c r="G4496" s="15" t="n"/>
      <c r="H4496" s="16">
        <f>IF($A4496="","",$D4496+IF($E4496="",0,$E4496)+IF($F4496="",0,$F4496)-IF($G4496="",0,$G4496))</f>
        <v/>
      </c>
      <c r="I4496" s="12" t="n"/>
      <c r="J4496" s="12" t="n"/>
      <c r="K4496" s="12" t="n"/>
      <c r="L4496" s="14" t="n"/>
      <c r="M4496" s="12" t="n"/>
      <c r="N4496" s="12" t="n"/>
      <c r="O4496" s="12" t="n"/>
    </row>
    <row r="4497">
      <c r="A4497" s="12" t="n"/>
      <c r="B4497" s="13">
        <f>IF($A4497="","",IFERROR(INDEX(Emp_Names,MATCH($A4497,Emp_Codes,0)),"NOT FOUND"))</f>
        <v/>
      </c>
      <c r="C4497" s="14" t="n"/>
      <c r="D4497" s="15" t="n"/>
      <c r="E4497" s="15" t="n"/>
      <c r="F4497" s="15" t="n"/>
      <c r="G4497" s="15" t="n"/>
      <c r="H4497" s="16">
        <f>IF($A4497="","",$D4497+IF($E4497="",0,$E4497)+IF($F4497="",0,$F4497)-IF($G4497="",0,$G4497))</f>
        <v/>
      </c>
      <c r="I4497" s="12" t="n"/>
      <c r="J4497" s="12" t="n"/>
      <c r="K4497" s="12" t="n"/>
      <c r="L4497" s="14" t="n"/>
      <c r="M4497" s="12" t="n"/>
      <c r="N4497" s="12" t="n"/>
      <c r="O4497" s="12" t="n"/>
    </row>
    <row r="4498">
      <c r="A4498" s="12" t="n"/>
      <c r="B4498" s="13">
        <f>IF($A4498="","",IFERROR(INDEX(Emp_Names,MATCH($A4498,Emp_Codes,0)),"NOT FOUND"))</f>
        <v/>
      </c>
      <c r="C4498" s="14" t="n"/>
      <c r="D4498" s="15" t="n"/>
      <c r="E4498" s="15" t="n"/>
      <c r="F4498" s="15" t="n"/>
      <c r="G4498" s="15" t="n"/>
      <c r="H4498" s="16">
        <f>IF($A4498="","",$D4498+IF($E4498="",0,$E4498)+IF($F4498="",0,$F4498)-IF($G4498="",0,$G4498))</f>
        <v/>
      </c>
      <c r="I4498" s="12" t="n"/>
      <c r="J4498" s="12" t="n"/>
      <c r="K4498" s="12" t="n"/>
      <c r="L4498" s="14" t="n"/>
      <c r="M4498" s="12" t="n"/>
      <c r="N4498" s="12" t="n"/>
      <c r="O4498" s="12" t="n"/>
    </row>
    <row r="4499">
      <c r="A4499" s="12" t="n"/>
      <c r="B4499" s="13">
        <f>IF($A4499="","",IFERROR(INDEX(Emp_Names,MATCH($A4499,Emp_Codes,0)),"NOT FOUND"))</f>
        <v/>
      </c>
      <c r="C4499" s="14" t="n"/>
      <c r="D4499" s="15" t="n"/>
      <c r="E4499" s="15" t="n"/>
      <c r="F4499" s="15" t="n"/>
      <c r="G4499" s="15" t="n"/>
      <c r="H4499" s="16">
        <f>IF($A4499="","",$D4499+IF($E4499="",0,$E4499)+IF($F4499="",0,$F4499)-IF($G4499="",0,$G4499))</f>
        <v/>
      </c>
      <c r="I4499" s="12" t="n"/>
      <c r="J4499" s="12" t="n"/>
      <c r="K4499" s="12" t="n"/>
      <c r="L4499" s="14" t="n"/>
      <c r="M4499" s="12" t="n"/>
      <c r="N4499" s="12" t="n"/>
      <c r="O4499" s="12" t="n"/>
    </row>
    <row r="4500">
      <c r="A4500" s="12" t="n"/>
      <c r="B4500" s="13">
        <f>IF($A4500="","",IFERROR(INDEX(Emp_Names,MATCH($A4500,Emp_Codes,0)),"NOT FOUND"))</f>
        <v/>
      </c>
      <c r="C4500" s="14" t="n"/>
      <c r="D4500" s="15" t="n"/>
      <c r="E4500" s="15" t="n"/>
      <c r="F4500" s="15" t="n"/>
      <c r="G4500" s="15" t="n"/>
      <c r="H4500" s="16">
        <f>IF($A4500="","",$D4500+IF($E4500="",0,$E4500)+IF($F4500="",0,$F4500)-IF($G4500="",0,$G4500))</f>
        <v/>
      </c>
      <c r="I4500" s="12" t="n"/>
      <c r="J4500" s="12" t="n"/>
      <c r="K4500" s="12" t="n"/>
      <c r="L4500" s="14" t="n"/>
      <c r="M4500" s="12" t="n"/>
      <c r="N4500" s="12" t="n"/>
      <c r="O4500" s="12" t="n"/>
    </row>
    <row r="4501">
      <c r="A4501" s="12" t="n"/>
      <c r="B4501" s="13">
        <f>IF($A4501="","",IFERROR(INDEX(Emp_Names,MATCH($A4501,Emp_Codes,0)),"NOT FOUND"))</f>
        <v/>
      </c>
      <c r="C4501" s="14" t="n"/>
      <c r="D4501" s="15" t="n"/>
      <c r="E4501" s="15" t="n"/>
      <c r="F4501" s="15" t="n"/>
      <c r="G4501" s="15" t="n"/>
      <c r="H4501" s="16">
        <f>IF($A4501="","",$D4501+IF($E4501="",0,$E4501)+IF($F4501="",0,$F4501)-IF($G4501="",0,$G4501))</f>
        <v/>
      </c>
      <c r="I4501" s="12" t="n"/>
      <c r="J4501" s="12" t="n"/>
      <c r="K4501" s="12" t="n"/>
      <c r="L4501" s="14" t="n"/>
      <c r="M4501" s="12" t="n"/>
      <c r="N4501" s="12" t="n"/>
      <c r="O4501" s="12" t="n"/>
    </row>
    <row r="4502">
      <c r="A4502" s="12" t="n"/>
      <c r="B4502" s="13">
        <f>IF($A4502="","",IFERROR(INDEX(Emp_Names,MATCH($A4502,Emp_Codes,0)),"NOT FOUND"))</f>
        <v/>
      </c>
      <c r="C4502" s="14" t="n"/>
      <c r="D4502" s="15" t="n"/>
      <c r="E4502" s="15" t="n"/>
      <c r="F4502" s="15" t="n"/>
      <c r="G4502" s="15" t="n"/>
      <c r="H4502" s="16">
        <f>IF($A4502="","",$D4502+IF($E4502="",0,$E4502)+IF($F4502="",0,$F4502)-IF($G4502="",0,$G4502))</f>
        <v/>
      </c>
      <c r="I4502" s="12" t="n"/>
      <c r="J4502" s="12" t="n"/>
      <c r="K4502" s="12" t="n"/>
      <c r="L4502" s="14" t="n"/>
      <c r="M4502" s="12" t="n"/>
      <c r="N4502" s="12" t="n"/>
      <c r="O4502" s="12" t="n"/>
    </row>
    <row r="4503">
      <c r="A4503" s="12" t="n"/>
      <c r="B4503" s="13">
        <f>IF($A4503="","",IFERROR(INDEX(Emp_Names,MATCH($A4503,Emp_Codes,0)),"NOT FOUND"))</f>
        <v/>
      </c>
      <c r="C4503" s="14" t="n"/>
      <c r="D4503" s="15" t="n"/>
      <c r="E4503" s="15" t="n"/>
      <c r="F4503" s="15" t="n"/>
      <c r="G4503" s="15" t="n"/>
      <c r="H4503" s="16">
        <f>IF($A4503="","",$D4503+IF($E4503="",0,$E4503)+IF($F4503="",0,$F4503)-IF($G4503="",0,$G4503))</f>
        <v/>
      </c>
      <c r="I4503" s="12" t="n"/>
      <c r="J4503" s="12" t="n"/>
      <c r="K4503" s="12" t="n"/>
      <c r="L4503" s="14" t="n"/>
      <c r="M4503" s="12" t="n"/>
      <c r="N4503" s="12" t="n"/>
      <c r="O4503" s="12" t="n"/>
    </row>
    <row r="4504">
      <c r="A4504" s="12" t="n"/>
      <c r="B4504" s="13">
        <f>IF($A4504="","",IFERROR(INDEX(Emp_Names,MATCH($A4504,Emp_Codes,0)),"NOT FOUND"))</f>
        <v/>
      </c>
      <c r="C4504" s="14" t="n"/>
      <c r="D4504" s="15" t="n"/>
      <c r="E4504" s="15" t="n"/>
      <c r="F4504" s="15" t="n"/>
      <c r="G4504" s="15" t="n"/>
      <c r="H4504" s="16">
        <f>IF($A4504="","",$D4504+IF($E4504="",0,$E4504)+IF($F4504="",0,$F4504)-IF($G4504="",0,$G4504))</f>
        <v/>
      </c>
      <c r="I4504" s="12" t="n"/>
      <c r="J4504" s="12" t="n"/>
      <c r="K4504" s="12" t="n"/>
      <c r="L4504" s="14" t="n"/>
      <c r="M4504" s="12" t="n"/>
      <c r="N4504" s="12" t="n"/>
      <c r="O4504" s="12" t="n"/>
    </row>
    <row r="4505">
      <c r="A4505" s="12" t="n"/>
      <c r="B4505" s="13">
        <f>IF($A4505="","",IFERROR(INDEX(Emp_Names,MATCH($A4505,Emp_Codes,0)),"NOT FOUND"))</f>
        <v/>
      </c>
      <c r="C4505" s="14" t="n"/>
      <c r="D4505" s="15" t="n"/>
      <c r="E4505" s="15" t="n"/>
      <c r="F4505" s="15" t="n"/>
      <c r="G4505" s="15" t="n"/>
      <c r="H4505" s="16">
        <f>IF($A4505="","",$D4505+IF($E4505="",0,$E4505)+IF($F4505="",0,$F4505)-IF($G4505="",0,$G4505))</f>
        <v/>
      </c>
      <c r="I4505" s="12" t="n"/>
      <c r="J4505" s="12" t="n"/>
      <c r="K4505" s="12" t="n"/>
      <c r="L4505" s="14" t="n"/>
      <c r="M4505" s="12" t="n"/>
      <c r="N4505" s="12" t="n"/>
      <c r="O4505" s="12" t="n"/>
    </row>
    <row r="4506">
      <c r="A4506" s="12" t="n"/>
      <c r="B4506" s="13">
        <f>IF($A4506="","",IFERROR(INDEX(Emp_Names,MATCH($A4506,Emp_Codes,0)),"NOT FOUND"))</f>
        <v/>
      </c>
      <c r="C4506" s="14" t="n"/>
      <c r="D4506" s="15" t="n"/>
      <c r="E4506" s="15" t="n"/>
      <c r="F4506" s="15" t="n"/>
      <c r="G4506" s="15" t="n"/>
      <c r="H4506" s="16">
        <f>IF($A4506="","",$D4506+IF($E4506="",0,$E4506)+IF($F4506="",0,$F4506)-IF($G4506="",0,$G4506))</f>
        <v/>
      </c>
      <c r="I4506" s="12" t="n"/>
      <c r="J4506" s="12" t="n"/>
      <c r="K4506" s="12" t="n"/>
      <c r="L4506" s="14" t="n"/>
      <c r="M4506" s="12" t="n"/>
      <c r="N4506" s="12" t="n"/>
      <c r="O4506" s="12" t="n"/>
    </row>
    <row r="4507">
      <c r="A4507" s="12" t="n"/>
      <c r="B4507" s="13">
        <f>IF($A4507="","",IFERROR(INDEX(Emp_Names,MATCH($A4507,Emp_Codes,0)),"NOT FOUND"))</f>
        <v/>
      </c>
      <c r="C4507" s="14" t="n"/>
      <c r="D4507" s="15" t="n"/>
      <c r="E4507" s="15" t="n"/>
      <c r="F4507" s="15" t="n"/>
      <c r="G4507" s="15" t="n"/>
      <c r="H4507" s="16">
        <f>IF($A4507="","",$D4507+IF($E4507="",0,$E4507)+IF($F4507="",0,$F4507)-IF($G4507="",0,$G4507))</f>
        <v/>
      </c>
      <c r="I4507" s="12" t="n"/>
      <c r="J4507" s="12" t="n"/>
      <c r="K4507" s="12" t="n"/>
      <c r="L4507" s="14" t="n"/>
      <c r="M4507" s="12" t="n"/>
      <c r="N4507" s="12" t="n"/>
      <c r="O4507" s="12" t="n"/>
    </row>
    <row r="4508">
      <c r="A4508" s="12" t="n"/>
      <c r="B4508" s="13">
        <f>IF($A4508="","",IFERROR(INDEX(Emp_Names,MATCH($A4508,Emp_Codes,0)),"NOT FOUND"))</f>
        <v/>
      </c>
      <c r="C4508" s="14" t="n"/>
      <c r="D4508" s="15" t="n"/>
      <c r="E4508" s="15" t="n"/>
      <c r="F4508" s="15" t="n"/>
      <c r="G4508" s="15" t="n"/>
      <c r="H4508" s="16">
        <f>IF($A4508="","",$D4508+IF($E4508="",0,$E4508)+IF($F4508="",0,$F4508)-IF($G4508="",0,$G4508))</f>
        <v/>
      </c>
      <c r="I4508" s="12" t="n"/>
      <c r="J4508" s="12" t="n"/>
      <c r="K4508" s="12" t="n"/>
      <c r="L4508" s="14" t="n"/>
      <c r="M4508" s="12" t="n"/>
      <c r="N4508" s="12" t="n"/>
      <c r="O4508" s="12" t="n"/>
    </row>
    <row r="4509">
      <c r="A4509" s="12" t="n"/>
      <c r="B4509" s="13">
        <f>IF($A4509="","",IFERROR(INDEX(Emp_Names,MATCH($A4509,Emp_Codes,0)),"NOT FOUND"))</f>
        <v/>
      </c>
      <c r="C4509" s="14" t="n"/>
      <c r="D4509" s="15" t="n"/>
      <c r="E4509" s="15" t="n"/>
      <c r="F4509" s="15" t="n"/>
      <c r="G4509" s="15" t="n"/>
      <c r="H4509" s="16">
        <f>IF($A4509="","",$D4509+IF($E4509="",0,$E4509)+IF($F4509="",0,$F4509)-IF($G4509="",0,$G4509))</f>
        <v/>
      </c>
      <c r="I4509" s="12" t="n"/>
      <c r="J4509" s="12" t="n"/>
      <c r="K4509" s="12" t="n"/>
      <c r="L4509" s="14" t="n"/>
      <c r="M4509" s="12" t="n"/>
      <c r="N4509" s="12" t="n"/>
      <c r="O4509" s="12" t="n"/>
    </row>
    <row r="4510">
      <c r="A4510" s="12" t="n"/>
      <c r="B4510" s="13">
        <f>IF($A4510="","",IFERROR(INDEX(Emp_Names,MATCH($A4510,Emp_Codes,0)),"NOT FOUND"))</f>
        <v/>
      </c>
      <c r="C4510" s="14" t="n"/>
      <c r="D4510" s="15" t="n"/>
      <c r="E4510" s="15" t="n"/>
      <c r="F4510" s="15" t="n"/>
      <c r="G4510" s="15" t="n"/>
      <c r="H4510" s="16">
        <f>IF($A4510="","",$D4510+IF($E4510="",0,$E4510)+IF($F4510="",0,$F4510)-IF($G4510="",0,$G4510))</f>
        <v/>
      </c>
      <c r="I4510" s="12" t="n"/>
      <c r="J4510" s="12" t="n"/>
      <c r="K4510" s="12" t="n"/>
      <c r="L4510" s="14" t="n"/>
      <c r="M4510" s="12" t="n"/>
      <c r="N4510" s="12" t="n"/>
      <c r="O4510" s="12" t="n"/>
    </row>
    <row r="4511">
      <c r="A4511" s="12" t="n"/>
      <c r="B4511" s="13">
        <f>IF($A4511="","",IFERROR(INDEX(Emp_Names,MATCH($A4511,Emp_Codes,0)),"NOT FOUND"))</f>
        <v/>
      </c>
      <c r="C4511" s="14" t="n"/>
      <c r="D4511" s="15" t="n"/>
      <c r="E4511" s="15" t="n"/>
      <c r="F4511" s="15" t="n"/>
      <c r="G4511" s="15" t="n"/>
      <c r="H4511" s="16">
        <f>IF($A4511="","",$D4511+IF($E4511="",0,$E4511)+IF($F4511="",0,$F4511)-IF($G4511="",0,$G4511))</f>
        <v/>
      </c>
      <c r="I4511" s="12" t="n"/>
      <c r="J4511" s="12" t="n"/>
      <c r="K4511" s="12" t="n"/>
      <c r="L4511" s="14" t="n"/>
      <c r="M4511" s="12" t="n"/>
      <c r="N4511" s="12" t="n"/>
      <c r="O4511" s="12" t="n"/>
    </row>
    <row r="4512">
      <c r="A4512" s="12" t="n"/>
      <c r="B4512" s="13">
        <f>IF($A4512="","",IFERROR(INDEX(Emp_Names,MATCH($A4512,Emp_Codes,0)),"NOT FOUND"))</f>
        <v/>
      </c>
      <c r="C4512" s="14" t="n"/>
      <c r="D4512" s="15" t="n"/>
      <c r="E4512" s="15" t="n"/>
      <c r="F4512" s="15" t="n"/>
      <c r="G4512" s="15" t="n"/>
      <c r="H4512" s="16">
        <f>IF($A4512="","",$D4512+IF($E4512="",0,$E4512)+IF($F4512="",0,$F4512)-IF($G4512="",0,$G4512))</f>
        <v/>
      </c>
      <c r="I4512" s="12" t="n"/>
      <c r="J4512" s="12" t="n"/>
      <c r="K4512" s="12" t="n"/>
      <c r="L4512" s="14" t="n"/>
      <c r="M4512" s="12" t="n"/>
      <c r="N4512" s="12" t="n"/>
      <c r="O4512" s="12" t="n"/>
    </row>
    <row r="4513">
      <c r="A4513" s="12" t="n"/>
      <c r="B4513" s="13">
        <f>IF($A4513="","",IFERROR(INDEX(Emp_Names,MATCH($A4513,Emp_Codes,0)),"NOT FOUND"))</f>
        <v/>
      </c>
      <c r="C4513" s="14" t="n"/>
      <c r="D4513" s="15" t="n"/>
      <c r="E4513" s="15" t="n"/>
      <c r="F4513" s="15" t="n"/>
      <c r="G4513" s="15" t="n"/>
      <c r="H4513" s="16">
        <f>IF($A4513="","",$D4513+IF($E4513="",0,$E4513)+IF($F4513="",0,$F4513)-IF($G4513="",0,$G4513))</f>
        <v/>
      </c>
      <c r="I4513" s="12" t="n"/>
      <c r="J4513" s="12" t="n"/>
      <c r="K4513" s="12" t="n"/>
      <c r="L4513" s="14" t="n"/>
      <c r="M4513" s="12" t="n"/>
      <c r="N4513" s="12" t="n"/>
      <c r="O4513" s="12" t="n"/>
    </row>
    <row r="4514">
      <c r="A4514" s="12" t="n"/>
      <c r="B4514" s="13">
        <f>IF($A4514="","",IFERROR(INDEX(Emp_Names,MATCH($A4514,Emp_Codes,0)),"NOT FOUND"))</f>
        <v/>
      </c>
      <c r="C4514" s="14" t="n"/>
      <c r="D4514" s="15" t="n"/>
      <c r="E4514" s="15" t="n"/>
      <c r="F4514" s="15" t="n"/>
      <c r="G4514" s="15" t="n"/>
      <c r="H4514" s="16">
        <f>IF($A4514="","",$D4514+IF($E4514="",0,$E4514)+IF($F4514="",0,$F4514)-IF($G4514="",0,$G4514))</f>
        <v/>
      </c>
      <c r="I4514" s="12" t="n"/>
      <c r="J4514" s="12" t="n"/>
      <c r="K4514" s="12" t="n"/>
      <c r="L4514" s="14" t="n"/>
      <c r="M4514" s="12" t="n"/>
      <c r="N4514" s="12" t="n"/>
      <c r="O4514" s="12" t="n"/>
    </row>
    <row r="4515">
      <c r="A4515" s="12" t="n"/>
      <c r="B4515" s="13">
        <f>IF($A4515="","",IFERROR(INDEX(Emp_Names,MATCH($A4515,Emp_Codes,0)),"NOT FOUND"))</f>
        <v/>
      </c>
      <c r="C4515" s="14" t="n"/>
      <c r="D4515" s="15" t="n"/>
      <c r="E4515" s="15" t="n"/>
      <c r="F4515" s="15" t="n"/>
      <c r="G4515" s="15" t="n"/>
      <c r="H4515" s="16">
        <f>IF($A4515="","",$D4515+IF($E4515="",0,$E4515)+IF($F4515="",0,$F4515)-IF($G4515="",0,$G4515))</f>
        <v/>
      </c>
      <c r="I4515" s="12" t="n"/>
      <c r="J4515" s="12" t="n"/>
      <c r="K4515" s="12" t="n"/>
      <c r="L4515" s="14" t="n"/>
      <c r="M4515" s="12" t="n"/>
      <c r="N4515" s="12" t="n"/>
      <c r="O4515" s="12" t="n"/>
    </row>
    <row r="4516">
      <c r="A4516" s="12" t="n"/>
      <c r="B4516" s="13">
        <f>IF($A4516="","",IFERROR(INDEX(Emp_Names,MATCH($A4516,Emp_Codes,0)),"NOT FOUND"))</f>
        <v/>
      </c>
      <c r="C4516" s="14" t="n"/>
      <c r="D4516" s="15" t="n"/>
      <c r="E4516" s="15" t="n"/>
      <c r="F4516" s="15" t="n"/>
      <c r="G4516" s="15" t="n"/>
      <c r="H4516" s="16">
        <f>IF($A4516="","",$D4516+IF($E4516="",0,$E4516)+IF($F4516="",0,$F4516)-IF($G4516="",0,$G4516))</f>
        <v/>
      </c>
      <c r="I4516" s="12" t="n"/>
      <c r="J4516" s="12" t="n"/>
      <c r="K4516" s="12" t="n"/>
      <c r="L4516" s="14" t="n"/>
      <c r="M4516" s="12" t="n"/>
      <c r="N4516" s="12" t="n"/>
      <c r="O4516" s="12" t="n"/>
    </row>
    <row r="4517">
      <c r="A4517" s="12" t="n"/>
      <c r="B4517" s="13">
        <f>IF($A4517="","",IFERROR(INDEX(Emp_Names,MATCH($A4517,Emp_Codes,0)),"NOT FOUND"))</f>
        <v/>
      </c>
      <c r="C4517" s="14" t="n"/>
      <c r="D4517" s="15" t="n"/>
      <c r="E4517" s="15" t="n"/>
      <c r="F4517" s="15" t="n"/>
      <c r="G4517" s="15" t="n"/>
      <c r="H4517" s="16">
        <f>IF($A4517="","",$D4517+IF($E4517="",0,$E4517)+IF($F4517="",0,$F4517)-IF($G4517="",0,$G4517))</f>
        <v/>
      </c>
      <c r="I4517" s="12" t="n"/>
      <c r="J4517" s="12" t="n"/>
      <c r="K4517" s="12" t="n"/>
      <c r="L4517" s="14" t="n"/>
      <c r="M4517" s="12" t="n"/>
      <c r="N4517" s="12" t="n"/>
      <c r="O4517" s="12" t="n"/>
    </row>
    <row r="4518">
      <c r="A4518" s="12" t="n"/>
      <c r="B4518" s="13">
        <f>IF($A4518="","",IFERROR(INDEX(Emp_Names,MATCH($A4518,Emp_Codes,0)),"NOT FOUND"))</f>
        <v/>
      </c>
      <c r="C4518" s="14" t="n"/>
      <c r="D4518" s="15" t="n"/>
      <c r="E4518" s="15" t="n"/>
      <c r="F4518" s="15" t="n"/>
      <c r="G4518" s="15" t="n"/>
      <c r="H4518" s="16">
        <f>IF($A4518="","",$D4518+IF($E4518="",0,$E4518)+IF($F4518="",0,$F4518)-IF($G4518="",0,$G4518))</f>
        <v/>
      </c>
      <c r="I4518" s="12" t="n"/>
      <c r="J4518" s="12" t="n"/>
      <c r="K4518" s="12" t="n"/>
      <c r="L4518" s="14" t="n"/>
      <c r="M4518" s="12" t="n"/>
      <c r="N4518" s="12" t="n"/>
      <c r="O4518" s="12" t="n"/>
    </row>
    <row r="4519">
      <c r="A4519" s="12" t="n"/>
      <c r="B4519" s="13">
        <f>IF($A4519="","",IFERROR(INDEX(Emp_Names,MATCH($A4519,Emp_Codes,0)),"NOT FOUND"))</f>
        <v/>
      </c>
      <c r="C4519" s="14" t="n"/>
      <c r="D4519" s="15" t="n"/>
      <c r="E4519" s="15" t="n"/>
      <c r="F4519" s="15" t="n"/>
      <c r="G4519" s="15" t="n"/>
      <c r="H4519" s="16">
        <f>IF($A4519="","",$D4519+IF($E4519="",0,$E4519)+IF($F4519="",0,$F4519)-IF($G4519="",0,$G4519))</f>
        <v/>
      </c>
      <c r="I4519" s="12" t="n"/>
      <c r="J4519" s="12" t="n"/>
      <c r="K4519" s="12" t="n"/>
      <c r="L4519" s="14" t="n"/>
      <c r="M4519" s="12" t="n"/>
      <c r="N4519" s="12" t="n"/>
      <c r="O4519" s="12" t="n"/>
    </row>
    <row r="4520">
      <c r="A4520" s="12" t="n"/>
      <c r="B4520" s="13">
        <f>IF($A4520="","",IFERROR(INDEX(Emp_Names,MATCH($A4520,Emp_Codes,0)),"NOT FOUND"))</f>
        <v/>
      </c>
      <c r="C4520" s="14" t="n"/>
      <c r="D4520" s="15" t="n"/>
      <c r="E4520" s="15" t="n"/>
      <c r="F4520" s="15" t="n"/>
      <c r="G4520" s="15" t="n"/>
      <c r="H4520" s="16">
        <f>IF($A4520="","",$D4520+IF($E4520="",0,$E4520)+IF($F4520="",0,$F4520)-IF($G4520="",0,$G4520))</f>
        <v/>
      </c>
      <c r="I4520" s="12" t="n"/>
      <c r="J4520" s="12" t="n"/>
      <c r="K4520" s="12" t="n"/>
      <c r="L4520" s="14" t="n"/>
      <c r="M4520" s="12" t="n"/>
      <c r="N4520" s="12" t="n"/>
      <c r="O4520" s="12" t="n"/>
    </row>
    <row r="4521">
      <c r="A4521" s="12" t="n"/>
      <c r="B4521" s="13">
        <f>IF($A4521="","",IFERROR(INDEX(Emp_Names,MATCH($A4521,Emp_Codes,0)),"NOT FOUND"))</f>
        <v/>
      </c>
      <c r="C4521" s="14" t="n"/>
      <c r="D4521" s="15" t="n"/>
      <c r="E4521" s="15" t="n"/>
      <c r="F4521" s="15" t="n"/>
      <c r="G4521" s="15" t="n"/>
      <c r="H4521" s="16">
        <f>IF($A4521="","",$D4521+IF($E4521="",0,$E4521)+IF($F4521="",0,$F4521)-IF($G4521="",0,$G4521))</f>
        <v/>
      </c>
      <c r="I4521" s="12" t="n"/>
      <c r="J4521" s="12" t="n"/>
      <c r="K4521" s="12" t="n"/>
      <c r="L4521" s="14" t="n"/>
      <c r="M4521" s="12" t="n"/>
      <c r="N4521" s="12" t="n"/>
      <c r="O4521" s="12" t="n"/>
    </row>
    <row r="4522">
      <c r="A4522" s="12" t="n"/>
      <c r="B4522" s="13">
        <f>IF($A4522="","",IFERROR(INDEX(Emp_Names,MATCH($A4522,Emp_Codes,0)),"NOT FOUND"))</f>
        <v/>
      </c>
      <c r="C4522" s="14" t="n"/>
      <c r="D4522" s="15" t="n"/>
      <c r="E4522" s="15" t="n"/>
      <c r="F4522" s="15" t="n"/>
      <c r="G4522" s="15" t="n"/>
      <c r="H4522" s="16">
        <f>IF($A4522="","",$D4522+IF($E4522="",0,$E4522)+IF($F4522="",0,$F4522)-IF($G4522="",0,$G4522))</f>
        <v/>
      </c>
      <c r="I4522" s="12" t="n"/>
      <c r="J4522" s="12" t="n"/>
      <c r="K4522" s="12" t="n"/>
      <c r="L4522" s="14" t="n"/>
      <c r="M4522" s="12" t="n"/>
      <c r="N4522" s="12" t="n"/>
      <c r="O4522" s="12" t="n"/>
    </row>
    <row r="4523">
      <c r="A4523" s="12" t="n"/>
      <c r="B4523" s="13">
        <f>IF($A4523="","",IFERROR(INDEX(Emp_Names,MATCH($A4523,Emp_Codes,0)),"NOT FOUND"))</f>
        <v/>
      </c>
      <c r="C4523" s="14" t="n"/>
      <c r="D4523" s="15" t="n"/>
      <c r="E4523" s="15" t="n"/>
      <c r="F4523" s="15" t="n"/>
      <c r="G4523" s="15" t="n"/>
      <c r="H4523" s="16">
        <f>IF($A4523="","",$D4523+IF($E4523="",0,$E4523)+IF($F4523="",0,$F4523)-IF($G4523="",0,$G4523))</f>
        <v/>
      </c>
      <c r="I4523" s="12" t="n"/>
      <c r="J4523" s="12" t="n"/>
      <c r="K4523" s="12" t="n"/>
      <c r="L4523" s="14" t="n"/>
      <c r="M4523" s="12" t="n"/>
      <c r="N4523" s="12" t="n"/>
      <c r="O4523" s="12" t="n"/>
    </row>
    <row r="4524">
      <c r="A4524" s="12" t="n"/>
      <c r="B4524" s="13">
        <f>IF($A4524="","",IFERROR(INDEX(Emp_Names,MATCH($A4524,Emp_Codes,0)),"NOT FOUND"))</f>
        <v/>
      </c>
      <c r="C4524" s="14" t="n"/>
      <c r="D4524" s="15" t="n"/>
      <c r="E4524" s="15" t="n"/>
      <c r="F4524" s="15" t="n"/>
      <c r="G4524" s="15" t="n"/>
      <c r="H4524" s="16">
        <f>IF($A4524="","",$D4524+IF($E4524="",0,$E4524)+IF($F4524="",0,$F4524)-IF($G4524="",0,$G4524))</f>
        <v/>
      </c>
      <c r="I4524" s="12" t="n"/>
      <c r="J4524" s="12" t="n"/>
      <c r="K4524" s="12" t="n"/>
      <c r="L4524" s="14" t="n"/>
      <c r="M4524" s="12" t="n"/>
      <c r="N4524" s="12" t="n"/>
      <c r="O4524" s="12" t="n"/>
    </row>
    <row r="4525">
      <c r="A4525" s="12" t="n"/>
      <c r="B4525" s="13">
        <f>IF($A4525="","",IFERROR(INDEX(Emp_Names,MATCH($A4525,Emp_Codes,0)),"NOT FOUND"))</f>
        <v/>
      </c>
      <c r="C4525" s="14" t="n"/>
      <c r="D4525" s="15" t="n"/>
      <c r="E4525" s="15" t="n"/>
      <c r="F4525" s="15" t="n"/>
      <c r="G4525" s="15" t="n"/>
      <c r="H4525" s="16">
        <f>IF($A4525="","",$D4525+IF($E4525="",0,$E4525)+IF($F4525="",0,$F4525)-IF($G4525="",0,$G4525))</f>
        <v/>
      </c>
      <c r="I4525" s="12" t="n"/>
      <c r="J4525" s="12" t="n"/>
      <c r="K4525" s="12" t="n"/>
      <c r="L4525" s="14" t="n"/>
      <c r="M4525" s="12" t="n"/>
      <c r="N4525" s="12" t="n"/>
      <c r="O4525" s="12" t="n"/>
    </row>
    <row r="4526">
      <c r="A4526" s="12" t="n"/>
      <c r="B4526" s="13">
        <f>IF($A4526="","",IFERROR(INDEX(Emp_Names,MATCH($A4526,Emp_Codes,0)),"NOT FOUND"))</f>
        <v/>
      </c>
      <c r="C4526" s="14" t="n"/>
      <c r="D4526" s="15" t="n"/>
      <c r="E4526" s="15" t="n"/>
      <c r="F4526" s="15" t="n"/>
      <c r="G4526" s="15" t="n"/>
      <c r="H4526" s="16">
        <f>IF($A4526="","",$D4526+IF($E4526="",0,$E4526)+IF($F4526="",0,$F4526)-IF($G4526="",0,$G4526))</f>
        <v/>
      </c>
      <c r="I4526" s="12" t="n"/>
      <c r="J4526" s="12" t="n"/>
      <c r="K4526" s="12" t="n"/>
      <c r="L4526" s="14" t="n"/>
      <c r="M4526" s="12" t="n"/>
      <c r="N4526" s="12" t="n"/>
      <c r="O4526" s="12" t="n"/>
    </row>
    <row r="4527">
      <c r="A4527" s="12" t="n"/>
      <c r="B4527" s="13">
        <f>IF($A4527="","",IFERROR(INDEX(Emp_Names,MATCH($A4527,Emp_Codes,0)),"NOT FOUND"))</f>
        <v/>
      </c>
      <c r="C4527" s="14" t="n"/>
      <c r="D4527" s="15" t="n"/>
      <c r="E4527" s="15" t="n"/>
      <c r="F4527" s="15" t="n"/>
      <c r="G4527" s="15" t="n"/>
      <c r="H4527" s="16">
        <f>IF($A4527="","",$D4527+IF($E4527="",0,$E4527)+IF($F4527="",0,$F4527)-IF($G4527="",0,$G4527))</f>
        <v/>
      </c>
      <c r="I4527" s="12" t="n"/>
      <c r="J4527" s="12" t="n"/>
      <c r="K4527" s="12" t="n"/>
      <c r="L4527" s="14" t="n"/>
      <c r="M4527" s="12" t="n"/>
      <c r="N4527" s="12" t="n"/>
      <c r="O4527" s="12" t="n"/>
    </row>
    <row r="4528">
      <c r="A4528" s="12" t="n"/>
      <c r="B4528" s="13">
        <f>IF($A4528="","",IFERROR(INDEX(Emp_Names,MATCH($A4528,Emp_Codes,0)),"NOT FOUND"))</f>
        <v/>
      </c>
      <c r="C4528" s="14" t="n"/>
      <c r="D4528" s="15" t="n"/>
      <c r="E4528" s="15" t="n"/>
      <c r="F4528" s="15" t="n"/>
      <c r="G4528" s="15" t="n"/>
      <c r="H4528" s="16">
        <f>IF($A4528="","",$D4528+IF($E4528="",0,$E4528)+IF($F4528="",0,$F4528)-IF($G4528="",0,$G4528))</f>
        <v/>
      </c>
      <c r="I4528" s="12" t="n"/>
      <c r="J4528" s="12" t="n"/>
      <c r="K4528" s="12" t="n"/>
      <c r="L4528" s="14" t="n"/>
      <c r="M4528" s="12" t="n"/>
      <c r="N4528" s="12" t="n"/>
      <c r="O4528" s="12" t="n"/>
    </row>
    <row r="4529">
      <c r="A4529" s="12" t="n"/>
      <c r="B4529" s="13">
        <f>IF($A4529="","",IFERROR(INDEX(Emp_Names,MATCH($A4529,Emp_Codes,0)),"NOT FOUND"))</f>
        <v/>
      </c>
      <c r="C4529" s="14" t="n"/>
      <c r="D4529" s="15" t="n"/>
      <c r="E4529" s="15" t="n"/>
      <c r="F4529" s="15" t="n"/>
      <c r="G4529" s="15" t="n"/>
      <c r="H4529" s="16">
        <f>IF($A4529="","",$D4529+IF($E4529="",0,$E4529)+IF($F4529="",0,$F4529)-IF($G4529="",0,$G4529))</f>
        <v/>
      </c>
      <c r="I4529" s="12" t="n"/>
      <c r="J4529" s="12" t="n"/>
      <c r="K4529" s="12" t="n"/>
      <c r="L4529" s="14" t="n"/>
      <c r="M4529" s="12" t="n"/>
      <c r="N4529" s="12" t="n"/>
      <c r="O4529" s="12" t="n"/>
    </row>
    <row r="4530">
      <c r="A4530" s="12" t="n"/>
      <c r="B4530" s="13">
        <f>IF($A4530="","",IFERROR(INDEX(Emp_Names,MATCH($A4530,Emp_Codes,0)),"NOT FOUND"))</f>
        <v/>
      </c>
      <c r="C4530" s="14" t="n"/>
      <c r="D4530" s="15" t="n"/>
      <c r="E4530" s="15" t="n"/>
      <c r="F4530" s="15" t="n"/>
      <c r="G4530" s="15" t="n"/>
      <c r="H4530" s="16">
        <f>IF($A4530="","",$D4530+IF($E4530="",0,$E4530)+IF($F4530="",0,$F4530)-IF($G4530="",0,$G4530))</f>
        <v/>
      </c>
      <c r="I4530" s="12" t="n"/>
      <c r="J4530" s="12" t="n"/>
      <c r="K4530" s="12" t="n"/>
      <c r="L4530" s="14" t="n"/>
      <c r="M4530" s="12" t="n"/>
      <c r="N4530" s="12" t="n"/>
      <c r="O4530" s="12" t="n"/>
    </row>
    <row r="4531">
      <c r="A4531" s="12" t="n"/>
      <c r="B4531" s="13">
        <f>IF($A4531="","",IFERROR(INDEX(Emp_Names,MATCH($A4531,Emp_Codes,0)),"NOT FOUND"))</f>
        <v/>
      </c>
      <c r="C4531" s="14" t="n"/>
      <c r="D4531" s="15" t="n"/>
      <c r="E4531" s="15" t="n"/>
      <c r="F4531" s="15" t="n"/>
      <c r="G4531" s="15" t="n"/>
      <c r="H4531" s="16">
        <f>IF($A4531="","",$D4531+IF($E4531="",0,$E4531)+IF($F4531="",0,$F4531)-IF($G4531="",0,$G4531))</f>
        <v/>
      </c>
      <c r="I4531" s="12" t="n"/>
      <c r="J4531" s="12" t="n"/>
      <c r="K4531" s="12" t="n"/>
      <c r="L4531" s="14" t="n"/>
      <c r="M4531" s="12" t="n"/>
      <c r="N4531" s="12" t="n"/>
      <c r="O4531" s="12" t="n"/>
    </row>
    <row r="4532">
      <c r="A4532" s="12" t="n"/>
      <c r="B4532" s="13">
        <f>IF($A4532="","",IFERROR(INDEX(Emp_Names,MATCH($A4532,Emp_Codes,0)),"NOT FOUND"))</f>
        <v/>
      </c>
      <c r="C4532" s="14" t="n"/>
      <c r="D4532" s="15" t="n"/>
      <c r="E4532" s="15" t="n"/>
      <c r="F4532" s="15" t="n"/>
      <c r="G4532" s="15" t="n"/>
      <c r="H4532" s="16">
        <f>IF($A4532="","",$D4532+IF($E4532="",0,$E4532)+IF($F4532="",0,$F4532)-IF($G4532="",0,$G4532))</f>
        <v/>
      </c>
      <c r="I4532" s="12" t="n"/>
      <c r="J4532" s="12" t="n"/>
      <c r="K4532" s="12" t="n"/>
      <c r="L4532" s="14" t="n"/>
      <c r="M4532" s="12" t="n"/>
      <c r="N4532" s="12" t="n"/>
      <c r="O4532" s="12" t="n"/>
    </row>
    <row r="4533">
      <c r="A4533" s="12" t="n"/>
      <c r="B4533" s="13">
        <f>IF($A4533="","",IFERROR(INDEX(Emp_Names,MATCH($A4533,Emp_Codes,0)),"NOT FOUND"))</f>
        <v/>
      </c>
      <c r="C4533" s="14" t="n"/>
      <c r="D4533" s="15" t="n"/>
      <c r="E4533" s="15" t="n"/>
      <c r="F4533" s="15" t="n"/>
      <c r="G4533" s="15" t="n"/>
      <c r="H4533" s="16">
        <f>IF($A4533="","",$D4533+IF($E4533="",0,$E4533)+IF($F4533="",0,$F4533)-IF($G4533="",0,$G4533))</f>
        <v/>
      </c>
      <c r="I4533" s="12" t="n"/>
      <c r="J4533" s="12" t="n"/>
      <c r="K4533" s="12" t="n"/>
      <c r="L4533" s="14" t="n"/>
      <c r="M4533" s="12" t="n"/>
      <c r="N4533" s="12" t="n"/>
      <c r="O4533" s="12" t="n"/>
    </row>
    <row r="4534">
      <c r="A4534" s="12" t="n"/>
      <c r="B4534" s="13">
        <f>IF($A4534="","",IFERROR(INDEX(Emp_Names,MATCH($A4534,Emp_Codes,0)),"NOT FOUND"))</f>
        <v/>
      </c>
      <c r="C4534" s="14" t="n"/>
      <c r="D4534" s="15" t="n"/>
      <c r="E4534" s="15" t="n"/>
      <c r="F4534" s="15" t="n"/>
      <c r="G4534" s="15" t="n"/>
      <c r="H4534" s="16">
        <f>IF($A4534="","",$D4534+IF($E4534="",0,$E4534)+IF($F4534="",0,$F4534)-IF($G4534="",0,$G4534))</f>
        <v/>
      </c>
      <c r="I4534" s="12" t="n"/>
      <c r="J4534" s="12" t="n"/>
      <c r="K4534" s="12" t="n"/>
      <c r="L4534" s="14" t="n"/>
      <c r="M4534" s="12" t="n"/>
      <c r="N4534" s="12" t="n"/>
      <c r="O4534" s="12" t="n"/>
    </row>
    <row r="4535">
      <c r="A4535" s="12" t="n"/>
      <c r="B4535" s="13">
        <f>IF($A4535="","",IFERROR(INDEX(Emp_Names,MATCH($A4535,Emp_Codes,0)),"NOT FOUND"))</f>
        <v/>
      </c>
      <c r="C4535" s="14" t="n"/>
      <c r="D4535" s="15" t="n"/>
      <c r="E4535" s="15" t="n"/>
      <c r="F4535" s="15" t="n"/>
      <c r="G4535" s="15" t="n"/>
      <c r="H4535" s="16">
        <f>IF($A4535="","",$D4535+IF($E4535="",0,$E4535)+IF($F4535="",0,$F4535)-IF($G4535="",0,$G4535))</f>
        <v/>
      </c>
      <c r="I4535" s="12" t="n"/>
      <c r="J4535" s="12" t="n"/>
      <c r="K4535" s="12" t="n"/>
      <c r="L4535" s="14" t="n"/>
      <c r="M4535" s="12" t="n"/>
      <c r="N4535" s="12" t="n"/>
      <c r="O4535" s="12" t="n"/>
    </row>
    <row r="4536">
      <c r="A4536" s="12" t="n"/>
      <c r="B4536" s="13">
        <f>IF($A4536="","",IFERROR(INDEX(Emp_Names,MATCH($A4536,Emp_Codes,0)),"NOT FOUND"))</f>
        <v/>
      </c>
      <c r="C4536" s="14" t="n"/>
      <c r="D4536" s="15" t="n"/>
      <c r="E4536" s="15" t="n"/>
      <c r="F4536" s="15" t="n"/>
      <c r="G4536" s="15" t="n"/>
      <c r="H4536" s="16">
        <f>IF($A4536="","",$D4536+IF($E4536="",0,$E4536)+IF($F4536="",0,$F4536)-IF($G4536="",0,$G4536))</f>
        <v/>
      </c>
      <c r="I4536" s="12" t="n"/>
      <c r="J4536" s="12" t="n"/>
      <c r="K4536" s="12" t="n"/>
      <c r="L4536" s="14" t="n"/>
      <c r="M4536" s="12" t="n"/>
      <c r="N4536" s="12" t="n"/>
      <c r="O4536" s="12" t="n"/>
    </row>
    <row r="4537">
      <c r="A4537" s="12" t="n"/>
      <c r="B4537" s="13">
        <f>IF($A4537="","",IFERROR(INDEX(Emp_Names,MATCH($A4537,Emp_Codes,0)),"NOT FOUND"))</f>
        <v/>
      </c>
      <c r="C4537" s="14" t="n"/>
      <c r="D4537" s="15" t="n"/>
      <c r="E4537" s="15" t="n"/>
      <c r="F4537" s="15" t="n"/>
      <c r="G4537" s="15" t="n"/>
      <c r="H4537" s="16">
        <f>IF($A4537="","",$D4537+IF($E4537="",0,$E4537)+IF($F4537="",0,$F4537)-IF($G4537="",0,$G4537))</f>
        <v/>
      </c>
      <c r="I4537" s="12" t="n"/>
      <c r="J4537" s="12" t="n"/>
      <c r="K4537" s="12" t="n"/>
      <c r="L4537" s="14" t="n"/>
      <c r="M4537" s="12" t="n"/>
      <c r="N4537" s="12" t="n"/>
      <c r="O4537" s="12" t="n"/>
    </row>
    <row r="4538">
      <c r="A4538" s="12" t="n"/>
      <c r="B4538" s="13">
        <f>IF($A4538="","",IFERROR(INDEX(Emp_Names,MATCH($A4538,Emp_Codes,0)),"NOT FOUND"))</f>
        <v/>
      </c>
      <c r="C4538" s="14" t="n"/>
      <c r="D4538" s="15" t="n"/>
      <c r="E4538" s="15" t="n"/>
      <c r="F4538" s="15" t="n"/>
      <c r="G4538" s="15" t="n"/>
      <c r="H4538" s="16">
        <f>IF($A4538="","",$D4538+IF($E4538="",0,$E4538)+IF($F4538="",0,$F4538)-IF($G4538="",0,$G4538))</f>
        <v/>
      </c>
      <c r="I4538" s="12" t="n"/>
      <c r="J4538" s="12" t="n"/>
      <c r="K4538" s="12" t="n"/>
      <c r="L4538" s="14" t="n"/>
      <c r="M4538" s="12" t="n"/>
      <c r="N4538" s="12" t="n"/>
      <c r="O4538" s="12" t="n"/>
    </row>
    <row r="4539">
      <c r="A4539" s="12" t="n"/>
      <c r="B4539" s="13">
        <f>IF($A4539="","",IFERROR(INDEX(Emp_Names,MATCH($A4539,Emp_Codes,0)),"NOT FOUND"))</f>
        <v/>
      </c>
      <c r="C4539" s="14" t="n"/>
      <c r="D4539" s="15" t="n"/>
      <c r="E4539" s="15" t="n"/>
      <c r="F4539" s="15" t="n"/>
      <c r="G4539" s="15" t="n"/>
      <c r="H4539" s="16">
        <f>IF($A4539="","",$D4539+IF($E4539="",0,$E4539)+IF($F4539="",0,$F4539)-IF($G4539="",0,$G4539))</f>
        <v/>
      </c>
      <c r="I4539" s="12" t="n"/>
      <c r="J4539" s="12" t="n"/>
      <c r="K4539" s="12" t="n"/>
      <c r="L4539" s="14" t="n"/>
      <c r="M4539" s="12" t="n"/>
      <c r="N4539" s="12" t="n"/>
      <c r="O4539" s="12" t="n"/>
    </row>
    <row r="4540">
      <c r="A4540" s="12" t="n"/>
      <c r="B4540" s="13">
        <f>IF($A4540="","",IFERROR(INDEX(Emp_Names,MATCH($A4540,Emp_Codes,0)),"NOT FOUND"))</f>
        <v/>
      </c>
      <c r="C4540" s="14" t="n"/>
      <c r="D4540" s="15" t="n"/>
      <c r="E4540" s="15" t="n"/>
      <c r="F4540" s="15" t="n"/>
      <c r="G4540" s="15" t="n"/>
      <c r="H4540" s="16">
        <f>IF($A4540="","",$D4540+IF($E4540="",0,$E4540)+IF($F4540="",0,$F4540)-IF($G4540="",0,$G4540))</f>
        <v/>
      </c>
      <c r="I4540" s="12" t="n"/>
      <c r="J4540" s="12" t="n"/>
      <c r="K4540" s="12" t="n"/>
      <c r="L4540" s="14" t="n"/>
      <c r="M4540" s="12" t="n"/>
      <c r="N4540" s="12" t="n"/>
      <c r="O4540" s="12" t="n"/>
    </row>
    <row r="4541">
      <c r="A4541" s="12" t="n"/>
      <c r="B4541" s="13">
        <f>IF($A4541="","",IFERROR(INDEX(Emp_Names,MATCH($A4541,Emp_Codes,0)),"NOT FOUND"))</f>
        <v/>
      </c>
      <c r="C4541" s="14" t="n"/>
      <c r="D4541" s="15" t="n"/>
      <c r="E4541" s="15" t="n"/>
      <c r="F4541" s="15" t="n"/>
      <c r="G4541" s="15" t="n"/>
      <c r="H4541" s="16">
        <f>IF($A4541="","",$D4541+IF($E4541="",0,$E4541)+IF($F4541="",0,$F4541)-IF($G4541="",0,$G4541))</f>
        <v/>
      </c>
      <c r="I4541" s="12" t="n"/>
      <c r="J4541" s="12" t="n"/>
      <c r="K4541" s="12" t="n"/>
      <c r="L4541" s="14" t="n"/>
      <c r="M4541" s="12" t="n"/>
      <c r="N4541" s="12" t="n"/>
      <c r="O4541" s="12" t="n"/>
    </row>
    <row r="4542">
      <c r="A4542" s="12" t="n"/>
      <c r="B4542" s="13">
        <f>IF($A4542="","",IFERROR(INDEX(Emp_Names,MATCH($A4542,Emp_Codes,0)),"NOT FOUND"))</f>
        <v/>
      </c>
      <c r="C4542" s="14" t="n"/>
      <c r="D4542" s="15" t="n"/>
      <c r="E4542" s="15" t="n"/>
      <c r="F4542" s="15" t="n"/>
      <c r="G4542" s="15" t="n"/>
      <c r="H4542" s="16">
        <f>IF($A4542="","",$D4542+IF($E4542="",0,$E4542)+IF($F4542="",0,$F4542)-IF($G4542="",0,$G4542))</f>
        <v/>
      </c>
      <c r="I4542" s="12" t="n"/>
      <c r="J4542" s="12" t="n"/>
      <c r="K4542" s="12" t="n"/>
      <c r="L4542" s="14" t="n"/>
      <c r="M4542" s="12" t="n"/>
      <c r="N4542" s="12" t="n"/>
      <c r="O4542" s="12" t="n"/>
    </row>
    <row r="4543">
      <c r="A4543" s="12" t="n"/>
      <c r="B4543" s="13">
        <f>IF($A4543="","",IFERROR(INDEX(Emp_Names,MATCH($A4543,Emp_Codes,0)),"NOT FOUND"))</f>
        <v/>
      </c>
      <c r="C4543" s="14" t="n"/>
      <c r="D4543" s="15" t="n"/>
      <c r="E4543" s="15" t="n"/>
      <c r="F4543" s="15" t="n"/>
      <c r="G4543" s="15" t="n"/>
      <c r="H4543" s="16">
        <f>IF($A4543="","",$D4543+IF($E4543="",0,$E4543)+IF($F4543="",0,$F4543)-IF($G4543="",0,$G4543))</f>
        <v/>
      </c>
      <c r="I4543" s="12" t="n"/>
      <c r="J4543" s="12" t="n"/>
      <c r="K4543" s="12" t="n"/>
      <c r="L4543" s="14" t="n"/>
      <c r="M4543" s="12" t="n"/>
      <c r="N4543" s="12" t="n"/>
      <c r="O4543" s="12" t="n"/>
    </row>
    <row r="4544">
      <c r="A4544" s="12" t="n"/>
      <c r="B4544" s="13">
        <f>IF($A4544="","",IFERROR(INDEX(Emp_Names,MATCH($A4544,Emp_Codes,0)),"NOT FOUND"))</f>
        <v/>
      </c>
      <c r="C4544" s="14" t="n"/>
      <c r="D4544" s="15" t="n"/>
      <c r="E4544" s="15" t="n"/>
      <c r="F4544" s="15" t="n"/>
      <c r="G4544" s="15" t="n"/>
      <c r="H4544" s="16">
        <f>IF($A4544="","",$D4544+IF($E4544="",0,$E4544)+IF($F4544="",0,$F4544)-IF($G4544="",0,$G4544))</f>
        <v/>
      </c>
      <c r="I4544" s="12" t="n"/>
      <c r="J4544" s="12" t="n"/>
      <c r="K4544" s="12" t="n"/>
      <c r="L4544" s="14" t="n"/>
      <c r="M4544" s="12" t="n"/>
      <c r="N4544" s="12" t="n"/>
      <c r="O4544" s="12" t="n"/>
    </row>
    <row r="4545">
      <c r="A4545" s="12" t="n"/>
      <c r="B4545" s="13">
        <f>IF($A4545="","",IFERROR(INDEX(Emp_Names,MATCH($A4545,Emp_Codes,0)),"NOT FOUND"))</f>
        <v/>
      </c>
      <c r="C4545" s="14" t="n"/>
      <c r="D4545" s="15" t="n"/>
      <c r="E4545" s="15" t="n"/>
      <c r="F4545" s="15" t="n"/>
      <c r="G4545" s="15" t="n"/>
      <c r="H4545" s="16">
        <f>IF($A4545="","",$D4545+IF($E4545="",0,$E4545)+IF($F4545="",0,$F4545)-IF($G4545="",0,$G4545))</f>
        <v/>
      </c>
      <c r="I4545" s="12" t="n"/>
      <c r="J4545" s="12" t="n"/>
      <c r="K4545" s="12" t="n"/>
      <c r="L4545" s="14" t="n"/>
      <c r="M4545" s="12" t="n"/>
      <c r="N4545" s="12" t="n"/>
      <c r="O4545" s="12" t="n"/>
    </row>
    <row r="4546">
      <c r="A4546" s="12" t="n"/>
      <c r="B4546" s="13">
        <f>IF($A4546="","",IFERROR(INDEX(Emp_Names,MATCH($A4546,Emp_Codes,0)),"NOT FOUND"))</f>
        <v/>
      </c>
      <c r="C4546" s="14" t="n"/>
      <c r="D4546" s="15" t="n"/>
      <c r="E4546" s="15" t="n"/>
      <c r="F4546" s="15" t="n"/>
      <c r="G4546" s="15" t="n"/>
      <c r="H4546" s="16">
        <f>IF($A4546="","",$D4546+IF($E4546="",0,$E4546)+IF($F4546="",0,$F4546)-IF($G4546="",0,$G4546))</f>
        <v/>
      </c>
      <c r="I4546" s="12" t="n"/>
      <c r="J4546" s="12" t="n"/>
      <c r="K4546" s="12" t="n"/>
      <c r="L4546" s="14" t="n"/>
      <c r="M4546" s="12" t="n"/>
      <c r="N4546" s="12" t="n"/>
      <c r="O4546" s="12" t="n"/>
    </row>
    <row r="4547">
      <c r="A4547" s="12" t="n"/>
      <c r="B4547" s="13">
        <f>IF($A4547="","",IFERROR(INDEX(Emp_Names,MATCH($A4547,Emp_Codes,0)),"NOT FOUND"))</f>
        <v/>
      </c>
      <c r="C4547" s="14" t="n"/>
      <c r="D4547" s="15" t="n"/>
      <c r="E4547" s="15" t="n"/>
      <c r="F4547" s="15" t="n"/>
      <c r="G4547" s="15" t="n"/>
      <c r="H4547" s="16">
        <f>IF($A4547="","",$D4547+IF($E4547="",0,$E4547)+IF($F4547="",0,$F4547)-IF($G4547="",0,$G4547))</f>
        <v/>
      </c>
      <c r="I4547" s="12" t="n"/>
      <c r="J4547" s="12" t="n"/>
      <c r="K4547" s="12" t="n"/>
      <c r="L4547" s="14" t="n"/>
      <c r="M4547" s="12" t="n"/>
      <c r="N4547" s="12" t="n"/>
      <c r="O4547" s="12" t="n"/>
    </row>
    <row r="4548">
      <c r="A4548" s="12" t="n"/>
      <c r="B4548" s="13">
        <f>IF($A4548="","",IFERROR(INDEX(Emp_Names,MATCH($A4548,Emp_Codes,0)),"NOT FOUND"))</f>
        <v/>
      </c>
      <c r="C4548" s="14" t="n"/>
      <c r="D4548" s="15" t="n"/>
      <c r="E4548" s="15" t="n"/>
      <c r="F4548" s="15" t="n"/>
      <c r="G4548" s="15" t="n"/>
      <c r="H4548" s="16">
        <f>IF($A4548="","",$D4548+IF($E4548="",0,$E4548)+IF($F4548="",0,$F4548)-IF($G4548="",0,$G4548))</f>
        <v/>
      </c>
      <c r="I4548" s="12" t="n"/>
      <c r="J4548" s="12" t="n"/>
      <c r="K4548" s="12" t="n"/>
      <c r="L4548" s="14" t="n"/>
      <c r="M4548" s="12" t="n"/>
      <c r="N4548" s="12" t="n"/>
      <c r="O4548" s="12" t="n"/>
    </row>
    <row r="4549">
      <c r="A4549" s="12" t="n"/>
      <c r="B4549" s="13">
        <f>IF($A4549="","",IFERROR(INDEX(Emp_Names,MATCH($A4549,Emp_Codes,0)),"NOT FOUND"))</f>
        <v/>
      </c>
      <c r="C4549" s="14" t="n"/>
      <c r="D4549" s="15" t="n"/>
      <c r="E4549" s="15" t="n"/>
      <c r="F4549" s="15" t="n"/>
      <c r="G4549" s="15" t="n"/>
      <c r="H4549" s="16">
        <f>IF($A4549="","",$D4549+IF($E4549="",0,$E4549)+IF($F4549="",0,$F4549)-IF($G4549="",0,$G4549))</f>
        <v/>
      </c>
      <c r="I4549" s="12" t="n"/>
      <c r="J4549" s="12" t="n"/>
      <c r="K4549" s="12" t="n"/>
      <c r="L4549" s="14" t="n"/>
      <c r="M4549" s="12" t="n"/>
      <c r="N4549" s="12" t="n"/>
      <c r="O4549" s="12" t="n"/>
    </row>
    <row r="4550">
      <c r="A4550" s="12" t="n"/>
      <c r="B4550" s="13">
        <f>IF($A4550="","",IFERROR(INDEX(Emp_Names,MATCH($A4550,Emp_Codes,0)),"NOT FOUND"))</f>
        <v/>
      </c>
      <c r="C4550" s="14" t="n"/>
      <c r="D4550" s="15" t="n"/>
      <c r="E4550" s="15" t="n"/>
      <c r="F4550" s="15" t="n"/>
      <c r="G4550" s="15" t="n"/>
      <c r="H4550" s="16">
        <f>IF($A4550="","",$D4550+IF($E4550="",0,$E4550)+IF($F4550="",0,$F4550)-IF($G4550="",0,$G4550))</f>
        <v/>
      </c>
      <c r="I4550" s="12" t="n"/>
      <c r="J4550" s="12" t="n"/>
      <c r="K4550" s="12" t="n"/>
      <c r="L4550" s="14" t="n"/>
      <c r="M4550" s="12" t="n"/>
      <c r="N4550" s="12" t="n"/>
      <c r="O4550" s="12" t="n"/>
    </row>
    <row r="4551">
      <c r="A4551" s="12" t="n"/>
      <c r="B4551" s="13">
        <f>IF($A4551="","",IFERROR(INDEX(Emp_Names,MATCH($A4551,Emp_Codes,0)),"NOT FOUND"))</f>
        <v/>
      </c>
      <c r="C4551" s="14" t="n"/>
      <c r="D4551" s="15" t="n"/>
      <c r="E4551" s="15" t="n"/>
      <c r="F4551" s="15" t="n"/>
      <c r="G4551" s="15" t="n"/>
      <c r="H4551" s="16">
        <f>IF($A4551="","",$D4551+IF($E4551="",0,$E4551)+IF($F4551="",0,$F4551)-IF($G4551="",0,$G4551))</f>
        <v/>
      </c>
      <c r="I4551" s="12" t="n"/>
      <c r="J4551" s="12" t="n"/>
      <c r="K4551" s="12" t="n"/>
      <c r="L4551" s="14" t="n"/>
      <c r="M4551" s="12" t="n"/>
      <c r="N4551" s="12" t="n"/>
      <c r="O4551" s="12" t="n"/>
    </row>
    <row r="4552">
      <c r="A4552" s="12" t="n"/>
      <c r="B4552" s="13">
        <f>IF($A4552="","",IFERROR(INDEX(Emp_Names,MATCH($A4552,Emp_Codes,0)),"NOT FOUND"))</f>
        <v/>
      </c>
      <c r="C4552" s="14" t="n"/>
      <c r="D4552" s="15" t="n"/>
      <c r="E4552" s="15" t="n"/>
      <c r="F4552" s="15" t="n"/>
      <c r="G4552" s="15" t="n"/>
      <c r="H4552" s="16">
        <f>IF($A4552="","",$D4552+IF($E4552="",0,$E4552)+IF($F4552="",0,$F4552)-IF($G4552="",0,$G4552))</f>
        <v/>
      </c>
      <c r="I4552" s="12" t="n"/>
      <c r="J4552" s="12" t="n"/>
      <c r="K4552" s="12" t="n"/>
      <c r="L4552" s="14" t="n"/>
      <c r="M4552" s="12" t="n"/>
      <c r="N4552" s="12" t="n"/>
      <c r="O4552" s="12" t="n"/>
    </row>
    <row r="4553">
      <c r="A4553" s="12" t="n"/>
      <c r="B4553" s="13">
        <f>IF($A4553="","",IFERROR(INDEX(Emp_Names,MATCH($A4553,Emp_Codes,0)),"NOT FOUND"))</f>
        <v/>
      </c>
      <c r="C4553" s="14" t="n"/>
      <c r="D4553" s="15" t="n"/>
      <c r="E4553" s="15" t="n"/>
      <c r="F4553" s="15" t="n"/>
      <c r="G4553" s="15" t="n"/>
      <c r="H4553" s="16">
        <f>IF($A4553="","",$D4553+IF($E4553="",0,$E4553)+IF($F4553="",0,$F4553)-IF($G4553="",0,$G4553))</f>
        <v/>
      </c>
      <c r="I4553" s="12" t="n"/>
      <c r="J4553" s="12" t="n"/>
      <c r="K4553" s="12" t="n"/>
      <c r="L4553" s="14" t="n"/>
      <c r="M4553" s="12" t="n"/>
      <c r="N4553" s="12" t="n"/>
      <c r="O4553" s="12" t="n"/>
    </row>
    <row r="4554">
      <c r="A4554" s="12" t="n"/>
      <c r="B4554" s="13">
        <f>IF($A4554="","",IFERROR(INDEX(Emp_Names,MATCH($A4554,Emp_Codes,0)),"NOT FOUND"))</f>
        <v/>
      </c>
      <c r="C4554" s="14" t="n"/>
      <c r="D4554" s="15" t="n"/>
      <c r="E4554" s="15" t="n"/>
      <c r="F4554" s="15" t="n"/>
      <c r="G4554" s="15" t="n"/>
      <c r="H4554" s="16">
        <f>IF($A4554="","",$D4554+IF($E4554="",0,$E4554)+IF($F4554="",0,$F4554)-IF($G4554="",0,$G4554))</f>
        <v/>
      </c>
      <c r="I4554" s="12" t="n"/>
      <c r="J4554" s="12" t="n"/>
      <c r="K4554" s="12" t="n"/>
      <c r="L4554" s="14" t="n"/>
      <c r="M4554" s="12" t="n"/>
      <c r="N4554" s="12" t="n"/>
      <c r="O4554" s="12" t="n"/>
    </row>
    <row r="4555">
      <c r="A4555" s="12" t="n"/>
      <c r="B4555" s="13">
        <f>IF($A4555="","",IFERROR(INDEX(Emp_Names,MATCH($A4555,Emp_Codes,0)),"NOT FOUND"))</f>
        <v/>
      </c>
      <c r="C4555" s="14" t="n"/>
      <c r="D4555" s="15" t="n"/>
      <c r="E4555" s="15" t="n"/>
      <c r="F4555" s="15" t="n"/>
      <c r="G4555" s="15" t="n"/>
      <c r="H4555" s="16">
        <f>IF($A4555="","",$D4555+IF($E4555="",0,$E4555)+IF($F4555="",0,$F4555)-IF($G4555="",0,$G4555))</f>
        <v/>
      </c>
      <c r="I4555" s="12" t="n"/>
      <c r="J4555" s="12" t="n"/>
      <c r="K4555" s="12" t="n"/>
      <c r="L4555" s="14" t="n"/>
      <c r="M4555" s="12" t="n"/>
      <c r="N4555" s="12" t="n"/>
      <c r="O4555" s="12" t="n"/>
    </row>
    <row r="4556">
      <c r="A4556" s="12" t="n"/>
      <c r="B4556" s="13">
        <f>IF($A4556="","",IFERROR(INDEX(Emp_Names,MATCH($A4556,Emp_Codes,0)),"NOT FOUND"))</f>
        <v/>
      </c>
      <c r="C4556" s="14" t="n"/>
      <c r="D4556" s="15" t="n"/>
      <c r="E4556" s="15" t="n"/>
      <c r="F4556" s="15" t="n"/>
      <c r="G4556" s="15" t="n"/>
      <c r="H4556" s="16">
        <f>IF($A4556="","",$D4556+IF($E4556="",0,$E4556)+IF($F4556="",0,$F4556)-IF($G4556="",0,$G4556))</f>
        <v/>
      </c>
      <c r="I4556" s="12" t="n"/>
      <c r="J4556" s="12" t="n"/>
      <c r="K4556" s="12" t="n"/>
      <c r="L4556" s="14" t="n"/>
      <c r="M4556" s="12" t="n"/>
      <c r="N4556" s="12" t="n"/>
      <c r="O4556" s="12" t="n"/>
    </row>
    <row r="4557">
      <c r="A4557" s="12" t="n"/>
      <c r="B4557" s="13">
        <f>IF($A4557="","",IFERROR(INDEX(Emp_Names,MATCH($A4557,Emp_Codes,0)),"NOT FOUND"))</f>
        <v/>
      </c>
      <c r="C4557" s="14" t="n"/>
      <c r="D4557" s="15" t="n"/>
      <c r="E4557" s="15" t="n"/>
      <c r="F4557" s="15" t="n"/>
      <c r="G4557" s="15" t="n"/>
      <c r="H4557" s="16">
        <f>IF($A4557="","",$D4557+IF($E4557="",0,$E4557)+IF($F4557="",0,$F4557)-IF($G4557="",0,$G4557))</f>
        <v/>
      </c>
      <c r="I4557" s="12" t="n"/>
      <c r="J4557" s="12" t="n"/>
      <c r="K4557" s="12" t="n"/>
      <c r="L4557" s="14" t="n"/>
      <c r="M4557" s="12" t="n"/>
      <c r="N4557" s="12" t="n"/>
      <c r="O4557" s="12" t="n"/>
    </row>
    <row r="4558">
      <c r="A4558" s="12" t="n"/>
      <c r="B4558" s="13">
        <f>IF($A4558="","",IFERROR(INDEX(Emp_Names,MATCH($A4558,Emp_Codes,0)),"NOT FOUND"))</f>
        <v/>
      </c>
      <c r="C4558" s="14" t="n"/>
      <c r="D4558" s="15" t="n"/>
      <c r="E4558" s="15" t="n"/>
      <c r="F4558" s="15" t="n"/>
      <c r="G4558" s="15" t="n"/>
      <c r="H4558" s="16">
        <f>IF($A4558="","",$D4558+IF($E4558="",0,$E4558)+IF($F4558="",0,$F4558)-IF($G4558="",0,$G4558))</f>
        <v/>
      </c>
      <c r="I4558" s="12" t="n"/>
      <c r="J4558" s="12" t="n"/>
      <c r="K4558" s="12" t="n"/>
      <c r="L4558" s="14" t="n"/>
      <c r="M4558" s="12" t="n"/>
      <c r="N4558" s="12" t="n"/>
      <c r="O4558" s="12" t="n"/>
    </row>
    <row r="4559">
      <c r="A4559" s="12" t="n"/>
      <c r="B4559" s="13">
        <f>IF($A4559="","",IFERROR(INDEX(Emp_Names,MATCH($A4559,Emp_Codes,0)),"NOT FOUND"))</f>
        <v/>
      </c>
      <c r="C4559" s="14" t="n"/>
      <c r="D4559" s="15" t="n"/>
      <c r="E4559" s="15" t="n"/>
      <c r="F4559" s="15" t="n"/>
      <c r="G4559" s="15" t="n"/>
      <c r="H4559" s="16">
        <f>IF($A4559="","",$D4559+IF($E4559="",0,$E4559)+IF($F4559="",0,$F4559)-IF($G4559="",0,$G4559))</f>
        <v/>
      </c>
      <c r="I4559" s="12" t="n"/>
      <c r="J4559" s="12" t="n"/>
      <c r="K4559" s="12" t="n"/>
      <c r="L4559" s="14" t="n"/>
      <c r="M4559" s="12" t="n"/>
      <c r="N4559" s="12" t="n"/>
      <c r="O4559" s="12" t="n"/>
    </row>
    <row r="4560">
      <c r="A4560" s="12" t="n"/>
      <c r="B4560" s="13">
        <f>IF($A4560="","",IFERROR(INDEX(Emp_Names,MATCH($A4560,Emp_Codes,0)),"NOT FOUND"))</f>
        <v/>
      </c>
      <c r="C4560" s="14" t="n"/>
      <c r="D4560" s="15" t="n"/>
      <c r="E4560" s="15" t="n"/>
      <c r="F4560" s="15" t="n"/>
      <c r="G4560" s="15" t="n"/>
      <c r="H4560" s="16">
        <f>IF($A4560="","",$D4560+IF($E4560="",0,$E4560)+IF($F4560="",0,$F4560)-IF($G4560="",0,$G4560))</f>
        <v/>
      </c>
      <c r="I4560" s="12" t="n"/>
      <c r="J4560" s="12" t="n"/>
      <c r="K4560" s="12" t="n"/>
      <c r="L4560" s="14" t="n"/>
      <c r="M4560" s="12" t="n"/>
      <c r="N4560" s="12" t="n"/>
      <c r="O4560" s="12" t="n"/>
    </row>
    <row r="4561">
      <c r="A4561" s="12" t="n"/>
      <c r="B4561" s="13">
        <f>IF($A4561="","",IFERROR(INDEX(Emp_Names,MATCH($A4561,Emp_Codes,0)),"NOT FOUND"))</f>
        <v/>
      </c>
      <c r="C4561" s="14" t="n"/>
      <c r="D4561" s="15" t="n"/>
      <c r="E4561" s="15" t="n"/>
      <c r="F4561" s="15" t="n"/>
      <c r="G4561" s="15" t="n"/>
      <c r="H4561" s="16">
        <f>IF($A4561="","",$D4561+IF($E4561="",0,$E4561)+IF($F4561="",0,$F4561)-IF($G4561="",0,$G4561))</f>
        <v/>
      </c>
      <c r="I4561" s="12" t="n"/>
      <c r="J4561" s="12" t="n"/>
      <c r="K4561" s="12" t="n"/>
      <c r="L4561" s="14" t="n"/>
      <c r="M4561" s="12" t="n"/>
      <c r="N4561" s="12" t="n"/>
      <c r="O4561" s="12" t="n"/>
    </row>
    <row r="4562">
      <c r="A4562" s="12" t="n"/>
      <c r="B4562" s="13">
        <f>IF($A4562="","",IFERROR(INDEX(Emp_Names,MATCH($A4562,Emp_Codes,0)),"NOT FOUND"))</f>
        <v/>
      </c>
      <c r="C4562" s="14" t="n"/>
      <c r="D4562" s="15" t="n"/>
      <c r="E4562" s="15" t="n"/>
      <c r="F4562" s="15" t="n"/>
      <c r="G4562" s="15" t="n"/>
      <c r="H4562" s="16">
        <f>IF($A4562="","",$D4562+IF($E4562="",0,$E4562)+IF($F4562="",0,$F4562)-IF($G4562="",0,$G4562))</f>
        <v/>
      </c>
      <c r="I4562" s="12" t="n"/>
      <c r="J4562" s="12" t="n"/>
      <c r="K4562" s="12" t="n"/>
      <c r="L4562" s="14" t="n"/>
      <c r="M4562" s="12" t="n"/>
      <c r="N4562" s="12" t="n"/>
      <c r="O4562" s="12" t="n"/>
    </row>
    <row r="4563">
      <c r="A4563" s="12" t="n"/>
      <c r="B4563" s="13">
        <f>IF($A4563="","",IFERROR(INDEX(Emp_Names,MATCH($A4563,Emp_Codes,0)),"NOT FOUND"))</f>
        <v/>
      </c>
      <c r="C4563" s="14" t="n"/>
      <c r="D4563" s="15" t="n"/>
      <c r="E4563" s="15" t="n"/>
      <c r="F4563" s="15" t="n"/>
      <c r="G4563" s="15" t="n"/>
      <c r="H4563" s="16">
        <f>IF($A4563="","",$D4563+IF($E4563="",0,$E4563)+IF($F4563="",0,$F4563)-IF($G4563="",0,$G4563))</f>
        <v/>
      </c>
      <c r="I4563" s="12" t="n"/>
      <c r="J4563" s="12" t="n"/>
      <c r="K4563" s="12" t="n"/>
      <c r="L4563" s="14" t="n"/>
      <c r="M4563" s="12" t="n"/>
      <c r="N4563" s="12" t="n"/>
      <c r="O4563" s="12" t="n"/>
    </row>
    <row r="4564">
      <c r="A4564" s="12" t="n"/>
      <c r="B4564" s="13">
        <f>IF($A4564="","",IFERROR(INDEX(Emp_Names,MATCH($A4564,Emp_Codes,0)),"NOT FOUND"))</f>
        <v/>
      </c>
      <c r="C4564" s="14" t="n"/>
      <c r="D4564" s="15" t="n"/>
      <c r="E4564" s="15" t="n"/>
      <c r="F4564" s="15" t="n"/>
      <c r="G4564" s="15" t="n"/>
      <c r="H4564" s="16">
        <f>IF($A4564="","",$D4564+IF($E4564="",0,$E4564)+IF($F4564="",0,$F4564)-IF($G4564="",0,$G4564))</f>
        <v/>
      </c>
      <c r="I4564" s="12" t="n"/>
      <c r="J4564" s="12" t="n"/>
      <c r="K4564" s="12" t="n"/>
      <c r="L4564" s="14" t="n"/>
      <c r="M4564" s="12" t="n"/>
      <c r="N4564" s="12" t="n"/>
      <c r="O4564" s="12" t="n"/>
    </row>
    <row r="4565">
      <c r="A4565" s="12" t="n"/>
      <c r="B4565" s="13">
        <f>IF($A4565="","",IFERROR(INDEX(Emp_Names,MATCH($A4565,Emp_Codes,0)),"NOT FOUND"))</f>
        <v/>
      </c>
      <c r="C4565" s="14" t="n"/>
      <c r="D4565" s="15" t="n"/>
      <c r="E4565" s="15" t="n"/>
      <c r="F4565" s="15" t="n"/>
      <c r="G4565" s="15" t="n"/>
      <c r="H4565" s="16">
        <f>IF($A4565="","",$D4565+IF($E4565="",0,$E4565)+IF($F4565="",0,$F4565)-IF($G4565="",0,$G4565))</f>
        <v/>
      </c>
      <c r="I4565" s="12" t="n"/>
      <c r="J4565" s="12" t="n"/>
      <c r="K4565" s="12" t="n"/>
      <c r="L4565" s="14" t="n"/>
      <c r="M4565" s="12" t="n"/>
      <c r="N4565" s="12" t="n"/>
      <c r="O4565" s="12" t="n"/>
    </row>
    <row r="4566">
      <c r="A4566" s="12" t="n"/>
      <c r="B4566" s="13">
        <f>IF($A4566="","",IFERROR(INDEX(Emp_Names,MATCH($A4566,Emp_Codes,0)),"NOT FOUND"))</f>
        <v/>
      </c>
      <c r="C4566" s="14" t="n"/>
      <c r="D4566" s="15" t="n"/>
      <c r="E4566" s="15" t="n"/>
      <c r="F4566" s="15" t="n"/>
      <c r="G4566" s="15" t="n"/>
      <c r="H4566" s="16">
        <f>IF($A4566="","",$D4566+IF($E4566="",0,$E4566)+IF($F4566="",0,$F4566)-IF($G4566="",0,$G4566))</f>
        <v/>
      </c>
      <c r="I4566" s="12" t="n"/>
      <c r="J4566" s="12" t="n"/>
      <c r="K4566" s="12" t="n"/>
      <c r="L4566" s="14" t="n"/>
      <c r="M4566" s="12" t="n"/>
      <c r="N4566" s="12" t="n"/>
      <c r="O4566" s="12" t="n"/>
    </row>
    <row r="4567">
      <c r="A4567" s="12" t="n"/>
      <c r="B4567" s="13">
        <f>IF($A4567="","",IFERROR(INDEX(Emp_Names,MATCH($A4567,Emp_Codes,0)),"NOT FOUND"))</f>
        <v/>
      </c>
      <c r="C4567" s="14" t="n"/>
      <c r="D4567" s="15" t="n"/>
      <c r="E4567" s="15" t="n"/>
      <c r="F4567" s="15" t="n"/>
      <c r="G4567" s="15" t="n"/>
      <c r="H4567" s="16">
        <f>IF($A4567="","",$D4567+IF($E4567="",0,$E4567)+IF($F4567="",0,$F4567)-IF($G4567="",0,$G4567))</f>
        <v/>
      </c>
      <c r="I4567" s="12" t="n"/>
      <c r="J4567" s="12" t="n"/>
      <c r="K4567" s="12" t="n"/>
      <c r="L4567" s="14" t="n"/>
      <c r="M4567" s="12" t="n"/>
      <c r="N4567" s="12" t="n"/>
      <c r="O4567" s="12" t="n"/>
    </row>
    <row r="4568">
      <c r="A4568" s="12" t="n"/>
      <c r="B4568" s="13">
        <f>IF($A4568="","",IFERROR(INDEX(Emp_Names,MATCH($A4568,Emp_Codes,0)),"NOT FOUND"))</f>
        <v/>
      </c>
      <c r="C4568" s="14" t="n"/>
      <c r="D4568" s="15" t="n"/>
      <c r="E4568" s="15" t="n"/>
      <c r="F4568" s="15" t="n"/>
      <c r="G4568" s="15" t="n"/>
      <c r="H4568" s="16">
        <f>IF($A4568="","",$D4568+IF($E4568="",0,$E4568)+IF($F4568="",0,$F4568)-IF($G4568="",0,$G4568))</f>
        <v/>
      </c>
      <c r="I4568" s="12" t="n"/>
      <c r="J4568" s="12" t="n"/>
      <c r="K4568" s="12" t="n"/>
      <c r="L4568" s="14" t="n"/>
      <c r="M4568" s="12" t="n"/>
      <c r="N4568" s="12" t="n"/>
      <c r="O4568" s="12" t="n"/>
    </row>
    <row r="4569">
      <c r="A4569" s="12" t="n"/>
      <c r="B4569" s="13">
        <f>IF($A4569="","",IFERROR(INDEX(Emp_Names,MATCH($A4569,Emp_Codes,0)),"NOT FOUND"))</f>
        <v/>
      </c>
      <c r="C4569" s="14" t="n"/>
      <c r="D4569" s="15" t="n"/>
      <c r="E4569" s="15" t="n"/>
      <c r="F4569" s="15" t="n"/>
      <c r="G4569" s="15" t="n"/>
      <c r="H4569" s="16">
        <f>IF($A4569="","",$D4569+IF($E4569="",0,$E4569)+IF($F4569="",0,$F4569)-IF($G4569="",0,$G4569))</f>
        <v/>
      </c>
      <c r="I4569" s="12" t="n"/>
      <c r="J4569" s="12" t="n"/>
      <c r="K4569" s="12" t="n"/>
      <c r="L4569" s="14" t="n"/>
      <c r="M4569" s="12" t="n"/>
      <c r="N4569" s="12" t="n"/>
      <c r="O4569" s="12" t="n"/>
    </row>
    <row r="4570">
      <c r="A4570" s="12" t="n"/>
      <c r="B4570" s="13">
        <f>IF($A4570="","",IFERROR(INDEX(Emp_Names,MATCH($A4570,Emp_Codes,0)),"NOT FOUND"))</f>
        <v/>
      </c>
      <c r="C4570" s="14" t="n"/>
      <c r="D4570" s="15" t="n"/>
      <c r="E4570" s="15" t="n"/>
      <c r="F4570" s="15" t="n"/>
      <c r="G4570" s="15" t="n"/>
      <c r="H4570" s="16">
        <f>IF($A4570="","",$D4570+IF($E4570="",0,$E4570)+IF($F4570="",0,$F4570)-IF($G4570="",0,$G4570))</f>
        <v/>
      </c>
      <c r="I4570" s="12" t="n"/>
      <c r="J4570" s="12" t="n"/>
      <c r="K4570" s="12" t="n"/>
      <c r="L4570" s="14" t="n"/>
      <c r="M4570" s="12" t="n"/>
      <c r="N4570" s="12" t="n"/>
      <c r="O4570" s="12" t="n"/>
    </row>
    <row r="4571">
      <c r="A4571" s="12" t="n"/>
      <c r="B4571" s="13">
        <f>IF($A4571="","",IFERROR(INDEX(Emp_Names,MATCH($A4571,Emp_Codes,0)),"NOT FOUND"))</f>
        <v/>
      </c>
      <c r="C4571" s="14" t="n"/>
      <c r="D4571" s="15" t="n"/>
      <c r="E4571" s="15" t="n"/>
      <c r="F4571" s="15" t="n"/>
      <c r="G4571" s="15" t="n"/>
      <c r="H4571" s="16">
        <f>IF($A4571="","",$D4571+IF($E4571="",0,$E4571)+IF($F4571="",0,$F4571)-IF($G4571="",0,$G4571))</f>
        <v/>
      </c>
      <c r="I4571" s="12" t="n"/>
      <c r="J4571" s="12" t="n"/>
      <c r="K4571" s="12" t="n"/>
      <c r="L4571" s="14" t="n"/>
      <c r="M4571" s="12" t="n"/>
      <c r="N4571" s="12" t="n"/>
      <c r="O4571" s="12" t="n"/>
    </row>
    <row r="4572">
      <c r="A4572" s="12" t="n"/>
      <c r="B4572" s="13">
        <f>IF($A4572="","",IFERROR(INDEX(Emp_Names,MATCH($A4572,Emp_Codes,0)),"NOT FOUND"))</f>
        <v/>
      </c>
      <c r="C4572" s="14" t="n"/>
      <c r="D4572" s="15" t="n"/>
      <c r="E4572" s="15" t="n"/>
      <c r="F4572" s="15" t="n"/>
      <c r="G4572" s="15" t="n"/>
      <c r="H4572" s="16">
        <f>IF($A4572="","",$D4572+IF($E4572="",0,$E4572)+IF($F4572="",0,$F4572)-IF($G4572="",0,$G4572))</f>
        <v/>
      </c>
      <c r="I4572" s="12" t="n"/>
      <c r="J4572" s="12" t="n"/>
      <c r="K4572" s="12" t="n"/>
      <c r="L4572" s="14" t="n"/>
      <c r="M4572" s="12" t="n"/>
      <c r="N4572" s="12" t="n"/>
      <c r="O4572" s="12" t="n"/>
    </row>
    <row r="4573">
      <c r="A4573" s="12" t="n"/>
      <c r="B4573" s="13">
        <f>IF($A4573="","",IFERROR(INDEX(Emp_Names,MATCH($A4573,Emp_Codes,0)),"NOT FOUND"))</f>
        <v/>
      </c>
      <c r="C4573" s="14" t="n"/>
      <c r="D4573" s="15" t="n"/>
      <c r="E4573" s="15" t="n"/>
      <c r="F4573" s="15" t="n"/>
      <c r="G4573" s="15" t="n"/>
      <c r="H4573" s="16">
        <f>IF($A4573="","",$D4573+IF($E4573="",0,$E4573)+IF($F4573="",0,$F4573)-IF($G4573="",0,$G4573))</f>
        <v/>
      </c>
      <c r="I4573" s="12" t="n"/>
      <c r="J4573" s="12" t="n"/>
      <c r="K4573" s="12" t="n"/>
      <c r="L4573" s="14" t="n"/>
      <c r="M4573" s="12" t="n"/>
      <c r="N4573" s="12" t="n"/>
      <c r="O4573" s="12" t="n"/>
    </row>
    <row r="4574">
      <c r="A4574" s="12" t="n"/>
      <c r="B4574" s="13">
        <f>IF($A4574="","",IFERROR(INDEX(Emp_Names,MATCH($A4574,Emp_Codes,0)),"NOT FOUND"))</f>
        <v/>
      </c>
      <c r="C4574" s="14" t="n"/>
      <c r="D4574" s="15" t="n"/>
      <c r="E4574" s="15" t="n"/>
      <c r="F4574" s="15" t="n"/>
      <c r="G4574" s="15" t="n"/>
      <c r="H4574" s="16">
        <f>IF($A4574="","",$D4574+IF($E4574="",0,$E4574)+IF($F4574="",0,$F4574)-IF($G4574="",0,$G4574))</f>
        <v/>
      </c>
      <c r="I4574" s="12" t="n"/>
      <c r="J4574" s="12" t="n"/>
      <c r="K4574" s="12" t="n"/>
      <c r="L4574" s="14" t="n"/>
      <c r="M4574" s="12" t="n"/>
      <c r="N4574" s="12" t="n"/>
      <c r="O4574" s="12" t="n"/>
    </row>
    <row r="4575">
      <c r="A4575" s="12" t="n"/>
      <c r="B4575" s="13">
        <f>IF($A4575="","",IFERROR(INDEX(Emp_Names,MATCH($A4575,Emp_Codes,0)),"NOT FOUND"))</f>
        <v/>
      </c>
      <c r="C4575" s="14" t="n"/>
      <c r="D4575" s="15" t="n"/>
      <c r="E4575" s="15" t="n"/>
      <c r="F4575" s="15" t="n"/>
      <c r="G4575" s="15" t="n"/>
      <c r="H4575" s="16">
        <f>IF($A4575="","",$D4575+IF($E4575="",0,$E4575)+IF($F4575="",0,$F4575)-IF($G4575="",0,$G4575))</f>
        <v/>
      </c>
      <c r="I4575" s="12" t="n"/>
      <c r="J4575" s="12" t="n"/>
      <c r="K4575" s="12" t="n"/>
      <c r="L4575" s="14" t="n"/>
      <c r="M4575" s="12" t="n"/>
      <c r="N4575" s="12" t="n"/>
      <c r="O4575" s="12" t="n"/>
    </row>
    <row r="4576">
      <c r="A4576" s="12" t="n"/>
      <c r="B4576" s="13">
        <f>IF($A4576="","",IFERROR(INDEX(Emp_Names,MATCH($A4576,Emp_Codes,0)),"NOT FOUND"))</f>
        <v/>
      </c>
      <c r="C4576" s="14" t="n"/>
      <c r="D4576" s="15" t="n"/>
      <c r="E4576" s="15" t="n"/>
      <c r="F4576" s="15" t="n"/>
      <c r="G4576" s="15" t="n"/>
      <c r="H4576" s="16">
        <f>IF($A4576="","",$D4576+IF($E4576="",0,$E4576)+IF($F4576="",0,$F4576)-IF($G4576="",0,$G4576))</f>
        <v/>
      </c>
      <c r="I4576" s="12" t="n"/>
      <c r="J4576" s="12" t="n"/>
      <c r="K4576" s="12" t="n"/>
      <c r="L4576" s="14" t="n"/>
      <c r="M4576" s="12" t="n"/>
      <c r="N4576" s="12" t="n"/>
      <c r="O4576" s="12" t="n"/>
    </row>
    <row r="4577">
      <c r="A4577" s="12" t="n"/>
      <c r="B4577" s="13">
        <f>IF($A4577="","",IFERROR(INDEX(Emp_Names,MATCH($A4577,Emp_Codes,0)),"NOT FOUND"))</f>
        <v/>
      </c>
      <c r="C4577" s="14" t="n"/>
      <c r="D4577" s="15" t="n"/>
      <c r="E4577" s="15" t="n"/>
      <c r="F4577" s="15" t="n"/>
      <c r="G4577" s="15" t="n"/>
      <c r="H4577" s="16">
        <f>IF($A4577="","",$D4577+IF($E4577="",0,$E4577)+IF($F4577="",0,$F4577)-IF($G4577="",0,$G4577))</f>
        <v/>
      </c>
      <c r="I4577" s="12" t="n"/>
      <c r="J4577" s="12" t="n"/>
      <c r="K4577" s="12" t="n"/>
      <c r="L4577" s="14" t="n"/>
      <c r="M4577" s="12" t="n"/>
      <c r="N4577" s="12" t="n"/>
      <c r="O4577" s="12" t="n"/>
    </row>
    <row r="4578">
      <c r="A4578" s="12" t="n"/>
      <c r="B4578" s="13">
        <f>IF($A4578="","",IFERROR(INDEX(Emp_Names,MATCH($A4578,Emp_Codes,0)),"NOT FOUND"))</f>
        <v/>
      </c>
      <c r="C4578" s="14" t="n"/>
      <c r="D4578" s="15" t="n"/>
      <c r="E4578" s="15" t="n"/>
      <c r="F4578" s="15" t="n"/>
      <c r="G4578" s="15" t="n"/>
      <c r="H4578" s="16">
        <f>IF($A4578="","",$D4578+IF($E4578="",0,$E4578)+IF($F4578="",0,$F4578)-IF($G4578="",0,$G4578))</f>
        <v/>
      </c>
      <c r="I4578" s="12" t="n"/>
      <c r="J4578" s="12" t="n"/>
      <c r="K4578" s="12" t="n"/>
      <c r="L4578" s="14" t="n"/>
      <c r="M4578" s="12" t="n"/>
      <c r="N4578" s="12" t="n"/>
      <c r="O4578" s="12" t="n"/>
    </row>
    <row r="4579">
      <c r="A4579" s="12" t="n"/>
      <c r="B4579" s="13">
        <f>IF($A4579="","",IFERROR(INDEX(Emp_Names,MATCH($A4579,Emp_Codes,0)),"NOT FOUND"))</f>
        <v/>
      </c>
      <c r="C4579" s="14" t="n"/>
      <c r="D4579" s="15" t="n"/>
      <c r="E4579" s="15" t="n"/>
      <c r="F4579" s="15" t="n"/>
      <c r="G4579" s="15" t="n"/>
      <c r="H4579" s="16">
        <f>IF($A4579="","",$D4579+IF($E4579="",0,$E4579)+IF($F4579="",0,$F4579)-IF($G4579="",0,$G4579))</f>
        <v/>
      </c>
      <c r="I4579" s="12" t="n"/>
      <c r="J4579" s="12" t="n"/>
      <c r="K4579" s="12" t="n"/>
      <c r="L4579" s="14" t="n"/>
      <c r="M4579" s="12" t="n"/>
      <c r="N4579" s="12" t="n"/>
      <c r="O4579" s="12" t="n"/>
    </row>
    <row r="4580">
      <c r="A4580" s="12" t="n"/>
      <c r="B4580" s="13">
        <f>IF($A4580="","",IFERROR(INDEX(Emp_Names,MATCH($A4580,Emp_Codes,0)),"NOT FOUND"))</f>
        <v/>
      </c>
      <c r="C4580" s="14" t="n"/>
      <c r="D4580" s="15" t="n"/>
      <c r="E4580" s="15" t="n"/>
      <c r="F4580" s="15" t="n"/>
      <c r="G4580" s="15" t="n"/>
      <c r="H4580" s="16">
        <f>IF($A4580="","",$D4580+IF($E4580="",0,$E4580)+IF($F4580="",0,$F4580)-IF($G4580="",0,$G4580))</f>
        <v/>
      </c>
      <c r="I4580" s="12" t="n"/>
      <c r="J4580" s="12" t="n"/>
      <c r="K4580" s="12" t="n"/>
      <c r="L4580" s="14" t="n"/>
      <c r="M4580" s="12" t="n"/>
      <c r="N4580" s="12" t="n"/>
      <c r="O4580" s="12" t="n"/>
    </row>
    <row r="4581">
      <c r="A4581" s="12" t="n"/>
      <c r="B4581" s="13">
        <f>IF($A4581="","",IFERROR(INDEX(Emp_Names,MATCH($A4581,Emp_Codes,0)),"NOT FOUND"))</f>
        <v/>
      </c>
      <c r="C4581" s="14" t="n"/>
      <c r="D4581" s="15" t="n"/>
      <c r="E4581" s="15" t="n"/>
      <c r="F4581" s="15" t="n"/>
      <c r="G4581" s="15" t="n"/>
      <c r="H4581" s="16">
        <f>IF($A4581="","",$D4581+IF($E4581="",0,$E4581)+IF($F4581="",0,$F4581)-IF($G4581="",0,$G4581))</f>
        <v/>
      </c>
      <c r="I4581" s="12" t="n"/>
      <c r="J4581" s="12" t="n"/>
      <c r="K4581" s="12" t="n"/>
      <c r="L4581" s="14" t="n"/>
      <c r="M4581" s="12" t="n"/>
      <c r="N4581" s="12" t="n"/>
      <c r="O4581" s="12" t="n"/>
    </row>
    <row r="4582">
      <c r="A4582" s="12" t="n"/>
      <c r="B4582" s="13">
        <f>IF($A4582="","",IFERROR(INDEX(Emp_Names,MATCH($A4582,Emp_Codes,0)),"NOT FOUND"))</f>
        <v/>
      </c>
      <c r="C4582" s="14" t="n"/>
      <c r="D4582" s="15" t="n"/>
      <c r="E4582" s="15" t="n"/>
      <c r="F4582" s="15" t="n"/>
      <c r="G4582" s="15" t="n"/>
      <c r="H4582" s="16">
        <f>IF($A4582="","",$D4582+IF($E4582="",0,$E4582)+IF($F4582="",0,$F4582)-IF($G4582="",0,$G4582))</f>
        <v/>
      </c>
      <c r="I4582" s="12" t="n"/>
      <c r="J4582" s="12" t="n"/>
      <c r="K4582" s="12" t="n"/>
      <c r="L4582" s="14" t="n"/>
      <c r="M4582" s="12" t="n"/>
      <c r="N4582" s="12" t="n"/>
      <c r="O4582" s="12" t="n"/>
    </row>
    <row r="4583">
      <c r="A4583" s="12" t="n"/>
      <c r="B4583" s="13">
        <f>IF($A4583="","",IFERROR(INDEX(Emp_Names,MATCH($A4583,Emp_Codes,0)),"NOT FOUND"))</f>
        <v/>
      </c>
      <c r="C4583" s="14" t="n"/>
      <c r="D4583" s="15" t="n"/>
      <c r="E4583" s="15" t="n"/>
      <c r="F4583" s="15" t="n"/>
      <c r="G4583" s="15" t="n"/>
      <c r="H4583" s="16">
        <f>IF($A4583="","",$D4583+IF($E4583="",0,$E4583)+IF($F4583="",0,$F4583)-IF($G4583="",0,$G4583))</f>
        <v/>
      </c>
      <c r="I4583" s="12" t="n"/>
      <c r="J4583" s="12" t="n"/>
      <c r="K4583" s="12" t="n"/>
      <c r="L4583" s="14" t="n"/>
      <c r="M4583" s="12" t="n"/>
      <c r="N4583" s="12" t="n"/>
      <c r="O4583" s="12" t="n"/>
    </row>
    <row r="4584">
      <c r="A4584" s="12" t="n"/>
      <c r="B4584" s="13">
        <f>IF($A4584="","",IFERROR(INDEX(Emp_Names,MATCH($A4584,Emp_Codes,0)),"NOT FOUND"))</f>
        <v/>
      </c>
      <c r="C4584" s="14" t="n"/>
      <c r="D4584" s="15" t="n"/>
      <c r="E4584" s="15" t="n"/>
      <c r="F4584" s="15" t="n"/>
      <c r="G4584" s="15" t="n"/>
      <c r="H4584" s="16">
        <f>IF($A4584="","",$D4584+IF($E4584="",0,$E4584)+IF($F4584="",0,$F4584)-IF($G4584="",0,$G4584))</f>
        <v/>
      </c>
      <c r="I4584" s="12" t="n"/>
      <c r="J4584" s="12" t="n"/>
      <c r="K4584" s="12" t="n"/>
      <c r="L4584" s="14" t="n"/>
      <c r="M4584" s="12" t="n"/>
      <c r="N4584" s="12" t="n"/>
      <c r="O4584" s="12" t="n"/>
    </row>
    <row r="4585">
      <c r="A4585" s="12" t="n"/>
      <c r="B4585" s="13">
        <f>IF($A4585="","",IFERROR(INDEX(Emp_Names,MATCH($A4585,Emp_Codes,0)),"NOT FOUND"))</f>
        <v/>
      </c>
      <c r="C4585" s="14" t="n"/>
      <c r="D4585" s="15" t="n"/>
      <c r="E4585" s="15" t="n"/>
      <c r="F4585" s="15" t="n"/>
      <c r="G4585" s="15" t="n"/>
      <c r="H4585" s="16">
        <f>IF($A4585="","",$D4585+IF($E4585="",0,$E4585)+IF($F4585="",0,$F4585)-IF($G4585="",0,$G4585))</f>
        <v/>
      </c>
      <c r="I4585" s="12" t="n"/>
      <c r="J4585" s="12" t="n"/>
      <c r="K4585" s="12" t="n"/>
      <c r="L4585" s="14" t="n"/>
      <c r="M4585" s="12" t="n"/>
      <c r="N4585" s="12" t="n"/>
      <c r="O4585" s="12" t="n"/>
    </row>
    <row r="4586">
      <c r="A4586" s="12" t="n"/>
      <c r="B4586" s="13">
        <f>IF($A4586="","",IFERROR(INDEX(Emp_Names,MATCH($A4586,Emp_Codes,0)),"NOT FOUND"))</f>
        <v/>
      </c>
      <c r="C4586" s="14" t="n"/>
      <c r="D4586" s="15" t="n"/>
      <c r="E4586" s="15" t="n"/>
      <c r="F4586" s="15" t="n"/>
      <c r="G4586" s="15" t="n"/>
      <c r="H4586" s="16">
        <f>IF($A4586="","",$D4586+IF($E4586="",0,$E4586)+IF($F4586="",0,$F4586)-IF($G4586="",0,$G4586))</f>
        <v/>
      </c>
      <c r="I4586" s="12" t="n"/>
      <c r="J4586" s="12" t="n"/>
      <c r="K4586" s="12" t="n"/>
      <c r="L4586" s="14" t="n"/>
      <c r="M4586" s="12" t="n"/>
      <c r="N4586" s="12" t="n"/>
      <c r="O4586" s="12" t="n"/>
    </row>
    <row r="4587">
      <c r="A4587" s="12" t="n"/>
      <c r="B4587" s="13">
        <f>IF($A4587="","",IFERROR(INDEX(Emp_Names,MATCH($A4587,Emp_Codes,0)),"NOT FOUND"))</f>
        <v/>
      </c>
      <c r="C4587" s="14" t="n"/>
      <c r="D4587" s="15" t="n"/>
      <c r="E4587" s="15" t="n"/>
      <c r="F4587" s="15" t="n"/>
      <c r="G4587" s="15" t="n"/>
      <c r="H4587" s="16">
        <f>IF($A4587="","",$D4587+IF($E4587="",0,$E4587)+IF($F4587="",0,$F4587)-IF($G4587="",0,$G4587))</f>
        <v/>
      </c>
      <c r="I4587" s="12" t="n"/>
      <c r="J4587" s="12" t="n"/>
      <c r="K4587" s="12" t="n"/>
      <c r="L4587" s="14" t="n"/>
      <c r="M4587" s="12" t="n"/>
      <c r="N4587" s="12" t="n"/>
      <c r="O4587" s="12" t="n"/>
    </row>
    <row r="4588">
      <c r="A4588" s="12" t="n"/>
      <c r="B4588" s="13">
        <f>IF($A4588="","",IFERROR(INDEX(Emp_Names,MATCH($A4588,Emp_Codes,0)),"NOT FOUND"))</f>
        <v/>
      </c>
      <c r="C4588" s="14" t="n"/>
      <c r="D4588" s="15" t="n"/>
      <c r="E4588" s="15" t="n"/>
      <c r="F4588" s="15" t="n"/>
      <c r="G4588" s="15" t="n"/>
      <c r="H4588" s="16">
        <f>IF($A4588="","",$D4588+IF($E4588="",0,$E4588)+IF($F4588="",0,$F4588)-IF($G4588="",0,$G4588))</f>
        <v/>
      </c>
      <c r="I4588" s="12" t="n"/>
      <c r="J4588" s="12" t="n"/>
      <c r="K4588" s="12" t="n"/>
      <c r="L4588" s="14" t="n"/>
      <c r="M4588" s="12" t="n"/>
      <c r="N4588" s="12" t="n"/>
      <c r="O4588" s="12" t="n"/>
    </row>
    <row r="4589">
      <c r="A4589" s="12" t="n"/>
      <c r="B4589" s="13">
        <f>IF($A4589="","",IFERROR(INDEX(Emp_Names,MATCH($A4589,Emp_Codes,0)),"NOT FOUND"))</f>
        <v/>
      </c>
      <c r="C4589" s="14" t="n"/>
      <c r="D4589" s="15" t="n"/>
      <c r="E4589" s="15" t="n"/>
      <c r="F4589" s="15" t="n"/>
      <c r="G4589" s="15" t="n"/>
      <c r="H4589" s="16">
        <f>IF($A4589="","",$D4589+IF($E4589="",0,$E4589)+IF($F4589="",0,$F4589)-IF($G4589="",0,$G4589))</f>
        <v/>
      </c>
      <c r="I4589" s="12" t="n"/>
      <c r="J4589" s="12" t="n"/>
      <c r="K4589" s="12" t="n"/>
      <c r="L4589" s="14" t="n"/>
      <c r="M4589" s="12" t="n"/>
      <c r="N4589" s="12" t="n"/>
      <c r="O4589" s="12" t="n"/>
    </row>
    <row r="4590">
      <c r="A4590" s="12" t="n"/>
      <c r="B4590" s="13">
        <f>IF($A4590="","",IFERROR(INDEX(Emp_Names,MATCH($A4590,Emp_Codes,0)),"NOT FOUND"))</f>
        <v/>
      </c>
      <c r="C4590" s="14" t="n"/>
      <c r="D4590" s="15" t="n"/>
      <c r="E4590" s="15" t="n"/>
      <c r="F4590" s="15" t="n"/>
      <c r="G4590" s="15" t="n"/>
      <c r="H4590" s="16">
        <f>IF($A4590="","",$D4590+IF($E4590="",0,$E4590)+IF($F4590="",0,$F4590)-IF($G4590="",0,$G4590))</f>
        <v/>
      </c>
      <c r="I4590" s="12" t="n"/>
      <c r="J4590" s="12" t="n"/>
      <c r="K4590" s="12" t="n"/>
      <c r="L4590" s="14" t="n"/>
      <c r="M4590" s="12" t="n"/>
      <c r="N4590" s="12" t="n"/>
      <c r="O4590" s="12" t="n"/>
    </row>
    <row r="4591">
      <c r="A4591" s="12" t="n"/>
      <c r="B4591" s="13">
        <f>IF($A4591="","",IFERROR(INDEX(Emp_Names,MATCH($A4591,Emp_Codes,0)),"NOT FOUND"))</f>
        <v/>
      </c>
      <c r="C4591" s="14" t="n"/>
      <c r="D4591" s="15" t="n"/>
      <c r="E4591" s="15" t="n"/>
      <c r="F4591" s="15" t="n"/>
      <c r="G4591" s="15" t="n"/>
      <c r="H4591" s="16">
        <f>IF($A4591="","",$D4591+IF($E4591="",0,$E4591)+IF($F4591="",0,$F4591)-IF($G4591="",0,$G4591))</f>
        <v/>
      </c>
      <c r="I4591" s="12" t="n"/>
      <c r="J4591" s="12" t="n"/>
      <c r="K4591" s="12" t="n"/>
      <c r="L4591" s="14" t="n"/>
      <c r="M4591" s="12" t="n"/>
      <c r="N4591" s="12" t="n"/>
      <c r="O4591" s="12" t="n"/>
    </row>
    <row r="4592">
      <c r="A4592" s="12" t="n"/>
      <c r="B4592" s="13">
        <f>IF($A4592="","",IFERROR(INDEX(Emp_Names,MATCH($A4592,Emp_Codes,0)),"NOT FOUND"))</f>
        <v/>
      </c>
      <c r="C4592" s="14" t="n"/>
      <c r="D4592" s="15" t="n"/>
      <c r="E4592" s="15" t="n"/>
      <c r="F4592" s="15" t="n"/>
      <c r="G4592" s="15" t="n"/>
      <c r="H4592" s="16">
        <f>IF($A4592="","",$D4592+IF($E4592="",0,$E4592)+IF($F4592="",0,$F4592)-IF($G4592="",0,$G4592))</f>
        <v/>
      </c>
      <c r="I4592" s="12" t="n"/>
      <c r="J4592" s="12" t="n"/>
      <c r="K4592" s="12" t="n"/>
      <c r="L4592" s="14" t="n"/>
      <c r="M4592" s="12" t="n"/>
      <c r="N4592" s="12" t="n"/>
      <c r="O4592" s="12" t="n"/>
    </row>
    <row r="4593">
      <c r="A4593" s="12" t="n"/>
      <c r="B4593" s="13">
        <f>IF($A4593="","",IFERROR(INDEX(Emp_Names,MATCH($A4593,Emp_Codes,0)),"NOT FOUND"))</f>
        <v/>
      </c>
      <c r="C4593" s="14" t="n"/>
      <c r="D4593" s="15" t="n"/>
      <c r="E4593" s="15" t="n"/>
      <c r="F4593" s="15" t="n"/>
      <c r="G4593" s="15" t="n"/>
      <c r="H4593" s="16">
        <f>IF($A4593="","",$D4593+IF($E4593="",0,$E4593)+IF($F4593="",0,$F4593)-IF($G4593="",0,$G4593))</f>
        <v/>
      </c>
      <c r="I4593" s="12" t="n"/>
      <c r="J4593" s="12" t="n"/>
      <c r="K4593" s="12" t="n"/>
      <c r="L4593" s="14" t="n"/>
      <c r="M4593" s="12" t="n"/>
      <c r="N4593" s="12" t="n"/>
      <c r="O4593" s="12" t="n"/>
    </row>
    <row r="4594">
      <c r="A4594" s="12" t="n"/>
      <c r="B4594" s="13">
        <f>IF($A4594="","",IFERROR(INDEX(Emp_Names,MATCH($A4594,Emp_Codes,0)),"NOT FOUND"))</f>
        <v/>
      </c>
      <c r="C4594" s="14" t="n"/>
      <c r="D4594" s="15" t="n"/>
      <c r="E4594" s="15" t="n"/>
      <c r="F4594" s="15" t="n"/>
      <c r="G4594" s="15" t="n"/>
      <c r="H4594" s="16">
        <f>IF($A4594="","",$D4594+IF($E4594="",0,$E4594)+IF($F4594="",0,$F4594)-IF($G4594="",0,$G4594))</f>
        <v/>
      </c>
      <c r="I4594" s="12" t="n"/>
      <c r="J4594" s="12" t="n"/>
      <c r="K4594" s="12" t="n"/>
      <c r="L4594" s="14" t="n"/>
      <c r="M4594" s="12" t="n"/>
      <c r="N4594" s="12" t="n"/>
      <c r="O4594" s="12" t="n"/>
    </row>
    <row r="4595">
      <c r="A4595" s="12" t="n"/>
      <c r="B4595" s="13">
        <f>IF($A4595="","",IFERROR(INDEX(Emp_Names,MATCH($A4595,Emp_Codes,0)),"NOT FOUND"))</f>
        <v/>
      </c>
      <c r="C4595" s="14" t="n"/>
      <c r="D4595" s="15" t="n"/>
      <c r="E4595" s="15" t="n"/>
      <c r="F4595" s="15" t="n"/>
      <c r="G4595" s="15" t="n"/>
      <c r="H4595" s="16">
        <f>IF($A4595="","",$D4595+IF($E4595="",0,$E4595)+IF($F4595="",0,$F4595)-IF($G4595="",0,$G4595))</f>
        <v/>
      </c>
      <c r="I4595" s="12" t="n"/>
      <c r="J4595" s="12" t="n"/>
      <c r="K4595" s="12" t="n"/>
      <c r="L4595" s="14" t="n"/>
      <c r="M4595" s="12" t="n"/>
      <c r="N4595" s="12" t="n"/>
      <c r="O4595" s="12" t="n"/>
    </row>
    <row r="4596">
      <c r="A4596" s="12" t="n"/>
      <c r="B4596" s="13">
        <f>IF($A4596="","",IFERROR(INDEX(Emp_Names,MATCH($A4596,Emp_Codes,0)),"NOT FOUND"))</f>
        <v/>
      </c>
      <c r="C4596" s="14" t="n"/>
      <c r="D4596" s="15" t="n"/>
      <c r="E4596" s="15" t="n"/>
      <c r="F4596" s="15" t="n"/>
      <c r="G4596" s="15" t="n"/>
      <c r="H4596" s="16">
        <f>IF($A4596="","",$D4596+IF($E4596="",0,$E4596)+IF($F4596="",0,$F4596)-IF($G4596="",0,$G4596))</f>
        <v/>
      </c>
      <c r="I4596" s="12" t="n"/>
      <c r="J4596" s="12" t="n"/>
      <c r="K4596" s="12" t="n"/>
      <c r="L4596" s="14" t="n"/>
      <c r="M4596" s="12" t="n"/>
      <c r="N4596" s="12" t="n"/>
      <c r="O4596" s="12" t="n"/>
    </row>
    <row r="4597">
      <c r="A4597" s="12" t="n"/>
      <c r="B4597" s="13">
        <f>IF($A4597="","",IFERROR(INDEX(Emp_Names,MATCH($A4597,Emp_Codes,0)),"NOT FOUND"))</f>
        <v/>
      </c>
      <c r="C4597" s="14" t="n"/>
      <c r="D4597" s="15" t="n"/>
      <c r="E4597" s="15" t="n"/>
      <c r="F4597" s="15" t="n"/>
      <c r="G4597" s="15" t="n"/>
      <c r="H4597" s="16">
        <f>IF($A4597="","",$D4597+IF($E4597="",0,$E4597)+IF($F4597="",0,$F4597)-IF($G4597="",0,$G4597))</f>
        <v/>
      </c>
      <c r="I4597" s="12" t="n"/>
      <c r="J4597" s="12" t="n"/>
      <c r="K4597" s="12" t="n"/>
      <c r="L4597" s="14" t="n"/>
      <c r="M4597" s="12" t="n"/>
      <c r="N4597" s="12" t="n"/>
      <c r="O4597" s="12" t="n"/>
    </row>
    <row r="4598">
      <c r="A4598" s="12" t="n"/>
      <c r="B4598" s="13">
        <f>IF($A4598="","",IFERROR(INDEX(Emp_Names,MATCH($A4598,Emp_Codes,0)),"NOT FOUND"))</f>
        <v/>
      </c>
      <c r="C4598" s="14" t="n"/>
      <c r="D4598" s="15" t="n"/>
      <c r="E4598" s="15" t="n"/>
      <c r="F4598" s="15" t="n"/>
      <c r="G4598" s="15" t="n"/>
      <c r="H4598" s="16">
        <f>IF($A4598="","",$D4598+IF($E4598="",0,$E4598)+IF($F4598="",0,$F4598)-IF($G4598="",0,$G4598))</f>
        <v/>
      </c>
      <c r="I4598" s="12" t="n"/>
      <c r="J4598" s="12" t="n"/>
      <c r="K4598" s="12" t="n"/>
      <c r="L4598" s="14" t="n"/>
      <c r="M4598" s="12" t="n"/>
      <c r="N4598" s="12" t="n"/>
      <c r="O4598" s="12" t="n"/>
    </row>
    <row r="4599">
      <c r="A4599" s="12" t="n"/>
      <c r="B4599" s="13">
        <f>IF($A4599="","",IFERROR(INDEX(Emp_Names,MATCH($A4599,Emp_Codes,0)),"NOT FOUND"))</f>
        <v/>
      </c>
      <c r="C4599" s="14" t="n"/>
      <c r="D4599" s="15" t="n"/>
      <c r="E4599" s="15" t="n"/>
      <c r="F4599" s="15" t="n"/>
      <c r="G4599" s="15" t="n"/>
      <c r="H4599" s="16">
        <f>IF($A4599="","",$D4599+IF($E4599="",0,$E4599)+IF($F4599="",0,$F4599)-IF($G4599="",0,$G4599))</f>
        <v/>
      </c>
      <c r="I4599" s="12" t="n"/>
      <c r="J4599" s="12" t="n"/>
      <c r="K4599" s="12" t="n"/>
      <c r="L4599" s="14" t="n"/>
      <c r="M4599" s="12" t="n"/>
      <c r="N4599" s="12" t="n"/>
      <c r="O4599" s="12" t="n"/>
    </row>
    <row r="4600">
      <c r="A4600" s="12" t="n"/>
      <c r="B4600" s="13">
        <f>IF($A4600="","",IFERROR(INDEX(Emp_Names,MATCH($A4600,Emp_Codes,0)),"NOT FOUND"))</f>
        <v/>
      </c>
      <c r="C4600" s="14" t="n"/>
      <c r="D4600" s="15" t="n"/>
      <c r="E4600" s="15" t="n"/>
      <c r="F4600" s="15" t="n"/>
      <c r="G4600" s="15" t="n"/>
      <c r="H4600" s="16">
        <f>IF($A4600="","",$D4600+IF($E4600="",0,$E4600)+IF($F4600="",0,$F4600)-IF($G4600="",0,$G4600))</f>
        <v/>
      </c>
      <c r="I4600" s="12" t="n"/>
      <c r="J4600" s="12" t="n"/>
      <c r="K4600" s="12" t="n"/>
      <c r="L4600" s="14" t="n"/>
      <c r="M4600" s="12" t="n"/>
      <c r="N4600" s="12" t="n"/>
      <c r="O4600" s="12" t="n"/>
    </row>
    <row r="4601">
      <c r="A4601" s="12" t="n"/>
      <c r="B4601" s="13">
        <f>IF($A4601="","",IFERROR(INDEX(Emp_Names,MATCH($A4601,Emp_Codes,0)),"NOT FOUND"))</f>
        <v/>
      </c>
      <c r="C4601" s="14" t="n"/>
      <c r="D4601" s="15" t="n"/>
      <c r="E4601" s="15" t="n"/>
      <c r="F4601" s="15" t="n"/>
      <c r="G4601" s="15" t="n"/>
      <c r="H4601" s="16">
        <f>IF($A4601="","",$D4601+IF($E4601="",0,$E4601)+IF($F4601="",0,$F4601)-IF($G4601="",0,$G4601))</f>
        <v/>
      </c>
      <c r="I4601" s="12" t="n"/>
      <c r="J4601" s="12" t="n"/>
      <c r="K4601" s="12" t="n"/>
      <c r="L4601" s="14" t="n"/>
      <c r="M4601" s="12" t="n"/>
      <c r="N4601" s="12" t="n"/>
      <c r="O4601" s="12" t="n"/>
    </row>
    <row r="4602">
      <c r="A4602" s="12" t="n"/>
      <c r="B4602" s="13">
        <f>IF($A4602="","",IFERROR(INDEX(Emp_Names,MATCH($A4602,Emp_Codes,0)),"NOT FOUND"))</f>
        <v/>
      </c>
      <c r="C4602" s="14" t="n"/>
      <c r="D4602" s="15" t="n"/>
      <c r="E4602" s="15" t="n"/>
      <c r="F4602" s="15" t="n"/>
      <c r="G4602" s="15" t="n"/>
      <c r="H4602" s="16">
        <f>IF($A4602="","",$D4602+IF($E4602="",0,$E4602)+IF($F4602="",0,$F4602)-IF($G4602="",0,$G4602))</f>
        <v/>
      </c>
      <c r="I4602" s="12" t="n"/>
      <c r="J4602" s="12" t="n"/>
      <c r="K4602" s="12" t="n"/>
      <c r="L4602" s="14" t="n"/>
      <c r="M4602" s="12" t="n"/>
      <c r="N4602" s="12" t="n"/>
      <c r="O4602" s="12" t="n"/>
    </row>
    <row r="4603">
      <c r="A4603" s="12" t="n"/>
      <c r="B4603" s="13">
        <f>IF($A4603="","",IFERROR(INDEX(Emp_Names,MATCH($A4603,Emp_Codes,0)),"NOT FOUND"))</f>
        <v/>
      </c>
      <c r="C4603" s="14" t="n"/>
      <c r="D4603" s="15" t="n"/>
      <c r="E4603" s="15" t="n"/>
      <c r="F4603" s="15" t="n"/>
      <c r="G4603" s="15" t="n"/>
      <c r="H4603" s="16">
        <f>IF($A4603="","",$D4603+IF($E4603="",0,$E4603)+IF($F4603="",0,$F4603)-IF($G4603="",0,$G4603))</f>
        <v/>
      </c>
      <c r="I4603" s="12" t="n"/>
      <c r="J4603" s="12" t="n"/>
      <c r="K4603" s="12" t="n"/>
      <c r="L4603" s="14" t="n"/>
      <c r="M4603" s="12" t="n"/>
      <c r="N4603" s="12" t="n"/>
      <c r="O4603" s="12" t="n"/>
    </row>
    <row r="4604">
      <c r="A4604" s="12" t="n"/>
      <c r="B4604" s="13">
        <f>IF($A4604="","",IFERROR(INDEX(Emp_Names,MATCH($A4604,Emp_Codes,0)),"NOT FOUND"))</f>
        <v/>
      </c>
      <c r="C4604" s="14" t="n"/>
      <c r="D4604" s="15" t="n"/>
      <c r="E4604" s="15" t="n"/>
      <c r="F4604" s="15" t="n"/>
      <c r="G4604" s="15" t="n"/>
      <c r="H4604" s="16">
        <f>IF($A4604="","",$D4604+IF($E4604="",0,$E4604)+IF($F4604="",0,$F4604)-IF($G4604="",0,$G4604))</f>
        <v/>
      </c>
      <c r="I4604" s="12" t="n"/>
      <c r="J4604" s="12" t="n"/>
      <c r="K4604" s="12" t="n"/>
      <c r="L4604" s="14" t="n"/>
      <c r="M4604" s="12" t="n"/>
      <c r="N4604" s="12" t="n"/>
      <c r="O4604" s="12" t="n"/>
    </row>
    <row r="4605">
      <c r="A4605" s="12" t="n"/>
      <c r="B4605" s="13">
        <f>IF($A4605="","",IFERROR(INDEX(Emp_Names,MATCH($A4605,Emp_Codes,0)),"NOT FOUND"))</f>
        <v/>
      </c>
      <c r="C4605" s="14" t="n"/>
      <c r="D4605" s="15" t="n"/>
      <c r="E4605" s="15" t="n"/>
      <c r="F4605" s="15" t="n"/>
      <c r="G4605" s="15" t="n"/>
      <c r="H4605" s="16">
        <f>IF($A4605="","",$D4605+IF($E4605="",0,$E4605)+IF($F4605="",0,$F4605)-IF($G4605="",0,$G4605))</f>
        <v/>
      </c>
      <c r="I4605" s="12" t="n"/>
      <c r="J4605" s="12" t="n"/>
      <c r="K4605" s="12" t="n"/>
      <c r="L4605" s="14" t="n"/>
      <c r="M4605" s="12" t="n"/>
      <c r="N4605" s="12" t="n"/>
      <c r="O4605" s="12" t="n"/>
    </row>
    <row r="4606">
      <c r="A4606" s="12" t="n"/>
      <c r="B4606" s="13">
        <f>IF($A4606="","",IFERROR(INDEX(Emp_Names,MATCH($A4606,Emp_Codes,0)),"NOT FOUND"))</f>
        <v/>
      </c>
      <c r="C4606" s="14" t="n"/>
      <c r="D4606" s="15" t="n"/>
      <c r="E4606" s="15" t="n"/>
      <c r="F4606" s="15" t="n"/>
      <c r="G4606" s="15" t="n"/>
      <c r="H4606" s="16">
        <f>IF($A4606="","",$D4606+IF($E4606="",0,$E4606)+IF($F4606="",0,$F4606)-IF($G4606="",0,$G4606))</f>
        <v/>
      </c>
      <c r="I4606" s="12" t="n"/>
      <c r="J4606" s="12" t="n"/>
      <c r="K4606" s="12" t="n"/>
      <c r="L4606" s="14" t="n"/>
      <c r="M4606" s="12" t="n"/>
      <c r="N4606" s="12" t="n"/>
      <c r="O4606" s="12" t="n"/>
    </row>
    <row r="4607">
      <c r="A4607" s="12" t="n"/>
      <c r="B4607" s="13">
        <f>IF($A4607="","",IFERROR(INDEX(Emp_Names,MATCH($A4607,Emp_Codes,0)),"NOT FOUND"))</f>
        <v/>
      </c>
      <c r="C4607" s="14" t="n"/>
      <c r="D4607" s="15" t="n"/>
      <c r="E4607" s="15" t="n"/>
      <c r="F4607" s="15" t="n"/>
      <c r="G4607" s="15" t="n"/>
      <c r="H4607" s="16">
        <f>IF($A4607="","",$D4607+IF($E4607="",0,$E4607)+IF($F4607="",0,$F4607)-IF($G4607="",0,$G4607))</f>
        <v/>
      </c>
      <c r="I4607" s="12" t="n"/>
      <c r="J4607" s="12" t="n"/>
      <c r="K4607" s="12" t="n"/>
      <c r="L4607" s="14" t="n"/>
      <c r="M4607" s="12" t="n"/>
      <c r="N4607" s="12" t="n"/>
      <c r="O4607" s="12" t="n"/>
    </row>
    <row r="4608">
      <c r="A4608" s="12" t="n"/>
      <c r="B4608" s="13">
        <f>IF($A4608="","",IFERROR(INDEX(Emp_Names,MATCH($A4608,Emp_Codes,0)),"NOT FOUND"))</f>
        <v/>
      </c>
      <c r="C4608" s="14" t="n"/>
      <c r="D4608" s="15" t="n"/>
      <c r="E4608" s="15" t="n"/>
      <c r="F4608" s="15" t="n"/>
      <c r="G4608" s="15" t="n"/>
      <c r="H4608" s="16">
        <f>IF($A4608="","",$D4608+IF($E4608="",0,$E4608)+IF($F4608="",0,$F4608)-IF($G4608="",0,$G4608))</f>
        <v/>
      </c>
      <c r="I4608" s="12" t="n"/>
      <c r="J4608" s="12" t="n"/>
      <c r="K4608" s="12" t="n"/>
      <c r="L4608" s="14" t="n"/>
      <c r="M4608" s="12" t="n"/>
      <c r="N4608" s="12" t="n"/>
      <c r="O4608" s="12" t="n"/>
    </row>
    <row r="4609">
      <c r="A4609" s="12" t="n"/>
      <c r="B4609" s="13">
        <f>IF($A4609="","",IFERROR(INDEX(Emp_Names,MATCH($A4609,Emp_Codes,0)),"NOT FOUND"))</f>
        <v/>
      </c>
      <c r="C4609" s="14" t="n"/>
      <c r="D4609" s="15" t="n"/>
      <c r="E4609" s="15" t="n"/>
      <c r="F4609" s="15" t="n"/>
      <c r="G4609" s="15" t="n"/>
      <c r="H4609" s="16">
        <f>IF($A4609="","",$D4609+IF($E4609="",0,$E4609)+IF($F4609="",0,$F4609)-IF($G4609="",0,$G4609))</f>
        <v/>
      </c>
      <c r="I4609" s="12" t="n"/>
      <c r="J4609" s="12" t="n"/>
      <c r="K4609" s="12" t="n"/>
      <c r="L4609" s="14" t="n"/>
      <c r="M4609" s="12" t="n"/>
      <c r="N4609" s="12" t="n"/>
      <c r="O4609" s="12" t="n"/>
    </row>
    <row r="4610">
      <c r="A4610" s="12" t="n"/>
      <c r="B4610" s="13">
        <f>IF($A4610="","",IFERROR(INDEX(Emp_Names,MATCH($A4610,Emp_Codes,0)),"NOT FOUND"))</f>
        <v/>
      </c>
      <c r="C4610" s="14" t="n"/>
      <c r="D4610" s="15" t="n"/>
      <c r="E4610" s="15" t="n"/>
      <c r="F4610" s="15" t="n"/>
      <c r="G4610" s="15" t="n"/>
      <c r="H4610" s="16">
        <f>IF($A4610="","",$D4610+IF($E4610="",0,$E4610)+IF($F4610="",0,$F4610)-IF($G4610="",0,$G4610))</f>
        <v/>
      </c>
      <c r="I4610" s="12" t="n"/>
      <c r="J4610" s="12" t="n"/>
      <c r="K4610" s="12" t="n"/>
      <c r="L4610" s="14" t="n"/>
      <c r="M4610" s="12" t="n"/>
      <c r="N4610" s="12" t="n"/>
      <c r="O4610" s="12" t="n"/>
    </row>
    <row r="4611">
      <c r="A4611" s="12" t="n"/>
      <c r="B4611" s="13">
        <f>IF($A4611="","",IFERROR(INDEX(Emp_Names,MATCH($A4611,Emp_Codes,0)),"NOT FOUND"))</f>
        <v/>
      </c>
      <c r="C4611" s="14" t="n"/>
      <c r="D4611" s="15" t="n"/>
      <c r="E4611" s="15" t="n"/>
      <c r="F4611" s="15" t="n"/>
      <c r="G4611" s="15" t="n"/>
      <c r="H4611" s="16">
        <f>IF($A4611="","",$D4611+IF($E4611="",0,$E4611)+IF($F4611="",0,$F4611)-IF($G4611="",0,$G4611))</f>
        <v/>
      </c>
      <c r="I4611" s="12" t="n"/>
      <c r="J4611" s="12" t="n"/>
      <c r="K4611" s="12" t="n"/>
      <c r="L4611" s="14" t="n"/>
      <c r="M4611" s="12" t="n"/>
      <c r="N4611" s="12" t="n"/>
      <c r="O4611" s="12" t="n"/>
    </row>
    <row r="4612">
      <c r="A4612" s="12" t="n"/>
      <c r="B4612" s="13">
        <f>IF($A4612="","",IFERROR(INDEX(Emp_Names,MATCH($A4612,Emp_Codes,0)),"NOT FOUND"))</f>
        <v/>
      </c>
      <c r="C4612" s="14" t="n"/>
      <c r="D4612" s="15" t="n"/>
      <c r="E4612" s="15" t="n"/>
      <c r="F4612" s="15" t="n"/>
      <c r="G4612" s="15" t="n"/>
      <c r="H4612" s="16">
        <f>IF($A4612="","",$D4612+IF($E4612="",0,$E4612)+IF($F4612="",0,$F4612)-IF($G4612="",0,$G4612))</f>
        <v/>
      </c>
      <c r="I4612" s="12" t="n"/>
      <c r="J4612" s="12" t="n"/>
      <c r="K4612" s="12" t="n"/>
      <c r="L4612" s="14" t="n"/>
      <c r="M4612" s="12" t="n"/>
      <c r="N4612" s="12" t="n"/>
      <c r="O4612" s="12" t="n"/>
    </row>
    <row r="4613">
      <c r="A4613" s="12" t="n"/>
      <c r="B4613" s="13">
        <f>IF($A4613="","",IFERROR(INDEX(Emp_Names,MATCH($A4613,Emp_Codes,0)),"NOT FOUND"))</f>
        <v/>
      </c>
      <c r="C4613" s="14" t="n"/>
      <c r="D4613" s="15" t="n"/>
      <c r="E4613" s="15" t="n"/>
      <c r="F4613" s="15" t="n"/>
      <c r="G4613" s="15" t="n"/>
      <c r="H4613" s="16">
        <f>IF($A4613="","",$D4613+IF($E4613="",0,$E4613)+IF($F4613="",0,$F4613)-IF($G4613="",0,$G4613))</f>
        <v/>
      </c>
      <c r="I4613" s="12" t="n"/>
      <c r="J4613" s="12" t="n"/>
      <c r="K4613" s="12" t="n"/>
      <c r="L4613" s="14" t="n"/>
      <c r="M4613" s="12" t="n"/>
      <c r="N4613" s="12" t="n"/>
      <c r="O4613" s="12" t="n"/>
    </row>
    <row r="4614">
      <c r="A4614" s="12" t="n"/>
      <c r="B4614" s="13">
        <f>IF($A4614="","",IFERROR(INDEX(Emp_Names,MATCH($A4614,Emp_Codes,0)),"NOT FOUND"))</f>
        <v/>
      </c>
      <c r="C4614" s="14" t="n"/>
      <c r="D4614" s="15" t="n"/>
      <c r="E4614" s="15" t="n"/>
      <c r="F4614" s="15" t="n"/>
      <c r="G4614" s="15" t="n"/>
      <c r="H4614" s="16">
        <f>IF($A4614="","",$D4614+IF($E4614="",0,$E4614)+IF($F4614="",0,$F4614)-IF($G4614="",0,$G4614))</f>
        <v/>
      </c>
      <c r="I4614" s="12" t="n"/>
      <c r="J4614" s="12" t="n"/>
      <c r="K4614" s="12" t="n"/>
      <c r="L4614" s="14" t="n"/>
      <c r="M4614" s="12" t="n"/>
      <c r="N4614" s="12" t="n"/>
      <c r="O4614" s="12" t="n"/>
    </row>
    <row r="4615">
      <c r="A4615" s="12" t="n"/>
      <c r="B4615" s="13">
        <f>IF($A4615="","",IFERROR(INDEX(Emp_Names,MATCH($A4615,Emp_Codes,0)),"NOT FOUND"))</f>
        <v/>
      </c>
      <c r="C4615" s="14" t="n"/>
      <c r="D4615" s="15" t="n"/>
      <c r="E4615" s="15" t="n"/>
      <c r="F4615" s="15" t="n"/>
      <c r="G4615" s="15" t="n"/>
      <c r="H4615" s="16">
        <f>IF($A4615="","",$D4615+IF($E4615="",0,$E4615)+IF($F4615="",0,$F4615)-IF($G4615="",0,$G4615))</f>
        <v/>
      </c>
      <c r="I4615" s="12" t="n"/>
      <c r="J4615" s="12" t="n"/>
      <c r="K4615" s="12" t="n"/>
      <c r="L4615" s="14" t="n"/>
      <c r="M4615" s="12" t="n"/>
      <c r="N4615" s="12" t="n"/>
      <c r="O4615" s="12" t="n"/>
    </row>
    <row r="4616">
      <c r="A4616" s="12" t="n"/>
      <c r="B4616" s="13">
        <f>IF($A4616="","",IFERROR(INDEX(Emp_Names,MATCH($A4616,Emp_Codes,0)),"NOT FOUND"))</f>
        <v/>
      </c>
      <c r="C4616" s="14" t="n"/>
      <c r="D4616" s="15" t="n"/>
      <c r="E4616" s="15" t="n"/>
      <c r="F4616" s="15" t="n"/>
      <c r="G4616" s="15" t="n"/>
      <c r="H4616" s="16">
        <f>IF($A4616="","",$D4616+IF($E4616="",0,$E4616)+IF($F4616="",0,$F4616)-IF($G4616="",0,$G4616))</f>
        <v/>
      </c>
      <c r="I4616" s="12" t="n"/>
      <c r="J4616" s="12" t="n"/>
      <c r="K4616" s="12" t="n"/>
      <c r="L4616" s="14" t="n"/>
      <c r="M4616" s="12" t="n"/>
      <c r="N4616" s="12" t="n"/>
      <c r="O4616" s="12" t="n"/>
    </row>
    <row r="4617">
      <c r="A4617" s="12" t="n"/>
      <c r="B4617" s="13">
        <f>IF($A4617="","",IFERROR(INDEX(Emp_Names,MATCH($A4617,Emp_Codes,0)),"NOT FOUND"))</f>
        <v/>
      </c>
      <c r="C4617" s="14" t="n"/>
      <c r="D4617" s="15" t="n"/>
      <c r="E4617" s="15" t="n"/>
      <c r="F4617" s="15" t="n"/>
      <c r="G4617" s="15" t="n"/>
      <c r="H4617" s="16">
        <f>IF($A4617="","",$D4617+IF($E4617="",0,$E4617)+IF($F4617="",0,$F4617)-IF($G4617="",0,$G4617))</f>
        <v/>
      </c>
      <c r="I4617" s="12" t="n"/>
      <c r="J4617" s="12" t="n"/>
      <c r="K4617" s="12" t="n"/>
      <c r="L4617" s="14" t="n"/>
      <c r="M4617" s="12" t="n"/>
      <c r="N4617" s="12" t="n"/>
      <c r="O4617" s="12" t="n"/>
    </row>
    <row r="4618">
      <c r="A4618" s="12" t="n"/>
      <c r="B4618" s="13">
        <f>IF($A4618="","",IFERROR(INDEX(Emp_Names,MATCH($A4618,Emp_Codes,0)),"NOT FOUND"))</f>
        <v/>
      </c>
      <c r="C4618" s="14" t="n"/>
      <c r="D4618" s="15" t="n"/>
      <c r="E4618" s="15" t="n"/>
      <c r="F4618" s="15" t="n"/>
      <c r="G4618" s="15" t="n"/>
      <c r="H4618" s="16">
        <f>IF($A4618="","",$D4618+IF($E4618="",0,$E4618)+IF($F4618="",0,$F4618)-IF($G4618="",0,$G4618))</f>
        <v/>
      </c>
      <c r="I4618" s="12" t="n"/>
      <c r="J4618" s="12" t="n"/>
      <c r="K4618" s="12" t="n"/>
      <c r="L4618" s="14" t="n"/>
      <c r="M4618" s="12" t="n"/>
      <c r="N4618" s="12" t="n"/>
      <c r="O4618" s="12" t="n"/>
    </row>
    <row r="4619">
      <c r="A4619" s="12" t="n"/>
      <c r="B4619" s="13">
        <f>IF($A4619="","",IFERROR(INDEX(Emp_Names,MATCH($A4619,Emp_Codes,0)),"NOT FOUND"))</f>
        <v/>
      </c>
      <c r="C4619" s="14" t="n"/>
      <c r="D4619" s="15" t="n"/>
      <c r="E4619" s="15" t="n"/>
      <c r="F4619" s="15" t="n"/>
      <c r="G4619" s="15" t="n"/>
      <c r="H4619" s="16">
        <f>IF($A4619="","",$D4619+IF($E4619="",0,$E4619)+IF($F4619="",0,$F4619)-IF($G4619="",0,$G4619))</f>
        <v/>
      </c>
      <c r="I4619" s="12" t="n"/>
      <c r="J4619" s="12" t="n"/>
      <c r="K4619" s="12" t="n"/>
      <c r="L4619" s="14" t="n"/>
      <c r="M4619" s="12" t="n"/>
      <c r="N4619" s="12" t="n"/>
      <c r="O4619" s="12" t="n"/>
    </row>
    <row r="4620">
      <c r="A4620" s="12" t="n"/>
      <c r="B4620" s="13">
        <f>IF($A4620="","",IFERROR(INDEX(Emp_Names,MATCH($A4620,Emp_Codes,0)),"NOT FOUND"))</f>
        <v/>
      </c>
      <c r="C4620" s="14" t="n"/>
      <c r="D4620" s="15" t="n"/>
      <c r="E4620" s="15" t="n"/>
      <c r="F4620" s="15" t="n"/>
      <c r="G4620" s="15" t="n"/>
      <c r="H4620" s="16">
        <f>IF($A4620="","",$D4620+IF($E4620="",0,$E4620)+IF($F4620="",0,$F4620)-IF($G4620="",0,$G4620))</f>
        <v/>
      </c>
      <c r="I4620" s="12" t="n"/>
      <c r="J4620" s="12" t="n"/>
      <c r="K4620" s="12" t="n"/>
      <c r="L4620" s="14" t="n"/>
      <c r="M4620" s="12" t="n"/>
      <c r="N4620" s="12" t="n"/>
      <c r="O4620" s="12" t="n"/>
    </row>
    <row r="4621">
      <c r="A4621" s="12" t="n"/>
      <c r="B4621" s="13">
        <f>IF($A4621="","",IFERROR(INDEX(Emp_Names,MATCH($A4621,Emp_Codes,0)),"NOT FOUND"))</f>
        <v/>
      </c>
      <c r="C4621" s="14" t="n"/>
      <c r="D4621" s="15" t="n"/>
      <c r="E4621" s="15" t="n"/>
      <c r="F4621" s="15" t="n"/>
      <c r="G4621" s="15" t="n"/>
      <c r="H4621" s="16">
        <f>IF($A4621="","",$D4621+IF($E4621="",0,$E4621)+IF($F4621="",0,$F4621)-IF($G4621="",0,$G4621))</f>
        <v/>
      </c>
      <c r="I4621" s="12" t="n"/>
      <c r="J4621" s="12" t="n"/>
      <c r="K4621" s="12" t="n"/>
      <c r="L4621" s="14" t="n"/>
      <c r="M4621" s="12" t="n"/>
      <c r="N4621" s="12" t="n"/>
      <c r="O4621" s="12" t="n"/>
    </row>
    <row r="4622">
      <c r="A4622" s="12" t="n"/>
      <c r="B4622" s="13">
        <f>IF($A4622="","",IFERROR(INDEX(Emp_Names,MATCH($A4622,Emp_Codes,0)),"NOT FOUND"))</f>
        <v/>
      </c>
      <c r="C4622" s="14" t="n"/>
      <c r="D4622" s="15" t="n"/>
      <c r="E4622" s="15" t="n"/>
      <c r="F4622" s="15" t="n"/>
      <c r="G4622" s="15" t="n"/>
      <c r="H4622" s="16">
        <f>IF($A4622="","",$D4622+IF($E4622="",0,$E4622)+IF($F4622="",0,$F4622)-IF($G4622="",0,$G4622))</f>
        <v/>
      </c>
      <c r="I4622" s="12" t="n"/>
      <c r="J4622" s="12" t="n"/>
      <c r="K4622" s="12" t="n"/>
      <c r="L4622" s="14" t="n"/>
      <c r="M4622" s="12" t="n"/>
      <c r="N4622" s="12" t="n"/>
      <c r="O4622" s="12" t="n"/>
    </row>
    <row r="4623">
      <c r="A4623" s="12" t="n"/>
      <c r="B4623" s="13">
        <f>IF($A4623="","",IFERROR(INDEX(Emp_Names,MATCH($A4623,Emp_Codes,0)),"NOT FOUND"))</f>
        <v/>
      </c>
      <c r="C4623" s="14" t="n"/>
      <c r="D4623" s="15" t="n"/>
      <c r="E4623" s="15" t="n"/>
      <c r="F4623" s="15" t="n"/>
      <c r="G4623" s="15" t="n"/>
      <c r="H4623" s="16">
        <f>IF($A4623="","",$D4623+IF($E4623="",0,$E4623)+IF($F4623="",0,$F4623)-IF($G4623="",0,$G4623))</f>
        <v/>
      </c>
      <c r="I4623" s="12" t="n"/>
      <c r="J4623" s="12" t="n"/>
      <c r="K4623" s="12" t="n"/>
      <c r="L4623" s="14" t="n"/>
      <c r="M4623" s="12" t="n"/>
      <c r="N4623" s="12" t="n"/>
      <c r="O4623" s="12" t="n"/>
    </row>
    <row r="4624">
      <c r="A4624" s="12" t="n"/>
      <c r="B4624" s="13">
        <f>IF($A4624="","",IFERROR(INDEX(Emp_Names,MATCH($A4624,Emp_Codes,0)),"NOT FOUND"))</f>
        <v/>
      </c>
      <c r="C4624" s="14" t="n"/>
      <c r="D4624" s="15" t="n"/>
      <c r="E4624" s="15" t="n"/>
      <c r="F4624" s="15" t="n"/>
      <c r="G4624" s="15" t="n"/>
      <c r="H4624" s="16">
        <f>IF($A4624="","",$D4624+IF($E4624="",0,$E4624)+IF($F4624="",0,$F4624)-IF($G4624="",0,$G4624))</f>
        <v/>
      </c>
      <c r="I4624" s="12" t="n"/>
      <c r="J4624" s="12" t="n"/>
      <c r="K4624" s="12" t="n"/>
      <c r="L4624" s="14" t="n"/>
      <c r="M4624" s="12" t="n"/>
      <c r="N4624" s="12" t="n"/>
      <c r="O4624" s="12" t="n"/>
    </row>
    <row r="4625">
      <c r="A4625" s="12" t="n"/>
      <c r="B4625" s="13">
        <f>IF($A4625="","",IFERROR(INDEX(Emp_Names,MATCH($A4625,Emp_Codes,0)),"NOT FOUND"))</f>
        <v/>
      </c>
      <c r="C4625" s="14" t="n"/>
      <c r="D4625" s="15" t="n"/>
      <c r="E4625" s="15" t="n"/>
      <c r="F4625" s="15" t="n"/>
      <c r="G4625" s="15" t="n"/>
      <c r="H4625" s="16">
        <f>IF($A4625="","",$D4625+IF($E4625="",0,$E4625)+IF($F4625="",0,$F4625)-IF($G4625="",0,$G4625))</f>
        <v/>
      </c>
      <c r="I4625" s="12" t="n"/>
      <c r="J4625" s="12" t="n"/>
      <c r="K4625" s="12" t="n"/>
      <c r="L4625" s="14" t="n"/>
      <c r="M4625" s="12" t="n"/>
      <c r="N4625" s="12" t="n"/>
      <c r="O4625" s="12" t="n"/>
    </row>
    <row r="4626">
      <c r="A4626" s="12" t="n"/>
      <c r="B4626" s="13">
        <f>IF($A4626="","",IFERROR(INDEX(Emp_Names,MATCH($A4626,Emp_Codes,0)),"NOT FOUND"))</f>
        <v/>
      </c>
      <c r="C4626" s="14" t="n"/>
      <c r="D4626" s="15" t="n"/>
      <c r="E4626" s="15" t="n"/>
      <c r="F4626" s="15" t="n"/>
      <c r="G4626" s="15" t="n"/>
      <c r="H4626" s="16">
        <f>IF($A4626="","",$D4626+IF($E4626="",0,$E4626)+IF($F4626="",0,$F4626)-IF($G4626="",0,$G4626))</f>
        <v/>
      </c>
      <c r="I4626" s="12" t="n"/>
      <c r="J4626" s="12" t="n"/>
      <c r="K4626" s="12" t="n"/>
      <c r="L4626" s="14" t="n"/>
      <c r="M4626" s="12" t="n"/>
      <c r="N4626" s="12" t="n"/>
      <c r="O4626" s="12" t="n"/>
    </row>
    <row r="4627">
      <c r="A4627" s="12" t="n"/>
      <c r="B4627" s="13">
        <f>IF($A4627="","",IFERROR(INDEX(Emp_Names,MATCH($A4627,Emp_Codes,0)),"NOT FOUND"))</f>
        <v/>
      </c>
      <c r="C4627" s="14" t="n"/>
      <c r="D4627" s="15" t="n"/>
      <c r="E4627" s="15" t="n"/>
      <c r="F4627" s="15" t="n"/>
      <c r="G4627" s="15" t="n"/>
      <c r="H4627" s="16">
        <f>IF($A4627="","",$D4627+IF($E4627="",0,$E4627)+IF($F4627="",0,$F4627)-IF($G4627="",0,$G4627))</f>
        <v/>
      </c>
      <c r="I4627" s="12" t="n"/>
      <c r="J4627" s="12" t="n"/>
      <c r="K4627" s="12" t="n"/>
      <c r="L4627" s="14" t="n"/>
      <c r="M4627" s="12" t="n"/>
      <c r="N4627" s="12" t="n"/>
      <c r="O4627" s="12" t="n"/>
    </row>
    <row r="4628">
      <c r="A4628" s="12" t="n"/>
      <c r="B4628" s="13">
        <f>IF($A4628="","",IFERROR(INDEX(Emp_Names,MATCH($A4628,Emp_Codes,0)),"NOT FOUND"))</f>
        <v/>
      </c>
      <c r="C4628" s="14" t="n"/>
      <c r="D4628" s="15" t="n"/>
      <c r="E4628" s="15" t="n"/>
      <c r="F4628" s="15" t="n"/>
      <c r="G4628" s="15" t="n"/>
      <c r="H4628" s="16">
        <f>IF($A4628="","",$D4628+IF($E4628="",0,$E4628)+IF($F4628="",0,$F4628)-IF($G4628="",0,$G4628))</f>
        <v/>
      </c>
      <c r="I4628" s="12" t="n"/>
      <c r="J4628" s="12" t="n"/>
      <c r="K4628" s="12" t="n"/>
      <c r="L4628" s="14" t="n"/>
      <c r="M4628" s="12" t="n"/>
      <c r="N4628" s="12" t="n"/>
      <c r="O4628" s="12" t="n"/>
    </row>
    <row r="4629">
      <c r="A4629" s="12" t="n"/>
      <c r="B4629" s="13">
        <f>IF($A4629="","",IFERROR(INDEX(Emp_Names,MATCH($A4629,Emp_Codes,0)),"NOT FOUND"))</f>
        <v/>
      </c>
      <c r="C4629" s="14" t="n"/>
      <c r="D4629" s="15" t="n"/>
      <c r="E4629" s="15" t="n"/>
      <c r="F4629" s="15" t="n"/>
      <c r="G4629" s="15" t="n"/>
      <c r="H4629" s="16">
        <f>IF($A4629="","",$D4629+IF($E4629="",0,$E4629)+IF($F4629="",0,$F4629)-IF($G4629="",0,$G4629))</f>
        <v/>
      </c>
      <c r="I4629" s="12" t="n"/>
      <c r="J4629" s="12" t="n"/>
      <c r="K4629" s="12" t="n"/>
      <c r="L4629" s="14" t="n"/>
      <c r="M4629" s="12" t="n"/>
      <c r="N4629" s="12" t="n"/>
      <c r="O4629" s="12" t="n"/>
    </row>
    <row r="4630">
      <c r="A4630" s="12" t="n"/>
      <c r="B4630" s="13">
        <f>IF($A4630="","",IFERROR(INDEX(Emp_Names,MATCH($A4630,Emp_Codes,0)),"NOT FOUND"))</f>
        <v/>
      </c>
      <c r="C4630" s="14" t="n"/>
      <c r="D4630" s="15" t="n"/>
      <c r="E4630" s="15" t="n"/>
      <c r="F4630" s="15" t="n"/>
      <c r="G4630" s="15" t="n"/>
      <c r="H4630" s="16">
        <f>IF($A4630="","",$D4630+IF($E4630="",0,$E4630)+IF($F4630="",0,$F4630)-IF($G4630="",0,$G4630))</f>
        <v/>
      </c>
      <c r="I4630" s="12" t="n"/>
      <c r="J4630" s="12" t="n"/>
      <c r="K4630" s="12" t="n"/>
      <c r="L4630" s="14" t="n"/>
      <c r="M4630" s="12" t="n"/>
      <c r="N4630" s="12" t="n"/>
      <c r="O4630" s="12" t="n"/>
    </row>
    <row r="4631">
      <c r="A4631" s="12" t="n"/>
      <c r="B4631" s="13">
        <f>IF($A4631="","",IFERROR(INDEX(Emp_Names,MATCH($A4631,Emp_Codes,0)),"NOT FOUND"))</f>
        <v/>
      </c>
      <c r="C4631" s="14" t="n"/>
      <c r="D4631" s="15" t="n"/>
      <c r="E4631" s="15" t="n"/>
      <c r="F4631" s="15" t="n"/>
      <c r="G4631" s="15" t="n"/>
      <c r="H4631" s="16">
        <f>IF($A4631="","",$D4631+IF($E4631="",0,$E4631)+IF($F4631="",0,$F4631)-IF($G4631="",0,$G4631))</f>
        <v/>
      </c>
      <c r="I4631" s="12" t="n"/>
      <c r="J4631" s="12" t="n"/>
      <c r="K4631" s="12" t="n"/>
      <c r="L4631" s="14" t="n"/>
      <c r="M4631" s="12" t="n"/>
      <c r="N4631" s="12" t="n"/>
      <c r="O4631" s="12" t="n"/>
    </row>
    <row r="4632">
      <c r="A4632" s="12" t="n"/>
      <c r="B4632" s="13">
        <f>IF($A4632="","",IFERROR(INDEX(Emp_Names,MATCH($A4632,Emp_Codes,0)),"NOT FOUND"))</f>
        <v/>
      </c>
      <c r="C4632" s="14" t="n"/>
      <c r="D4632" s="15" t="n"/>
      <c r="E4632" s="15" t="n"/>
      <c r="F4632" s="15" t="n"/>
      <c r="G4632" s="15" t="n"/>
      <c r="H4632" s="16">
        <f>IF($A4632="","",$D4632+IF($E4632="",0,$E4632)+IF($F4632="",0,$F4632)-IF($G4632="",0,$G4632))</f>
        <v/>
      </c>
      <c r="I4632" s="12" t="n"/>
      <c r="J4632" s="12" t="n"/>
      <c r="K4632" s="12" t="n"/>
      <c r="L4632" s="14" t="n"/>
      <c r="M4632" s="12" t="n"/>
      <c r="N4632" s="12" t="n"/>
      <c r="O4632" s="12" t="n"/>
    </row>
    <row r="4633">
      <c r="A4633" s="12" t="n"/>
      <c r="B4633" s="13">
        <f>IF($A4633="","",IFERROR(INDEX(Emp_Names,MATCH($A4633,Emp_Codes,0)),"NOT FOUND"))</f>
        <v/>
      </c>
      <c r="C4633" s="14" t="n"/>
      <c r="D4633" s="15" t="n"/>
      <c r="E4633" s="15" t="n"/>
      <c r="F4633" s="15" t="n"/>
      <c r="G4633" s="15" t="n"/>
      <c r="H4633" s="16">
        <f>IF($A4633="","",$D4633+IF($E4633="",0,$E4633)+IF($F4633="",0,$F4633)-IF($G4633="",0,$G4633))</f>
        <v/>
      </c>
      <c r="I4633" s="12" t="n"/>
      <c r="J4633" s="12" t="n"/>
      <c r="K4633" s="12" t="n"/>
      <c r="L4633" s="14" t="n"/>
      <c r="M4633" s="12" t="n"/>
      <c r="N4633" s="12" t="n"/>
      <c r="O4633" s="12" t="n"/>
    </row>
    <row r="4634">
      <c r="A4634" s="12" t="n"/>
      <c r="B4634" s="13">
        <f>IF($A4634="","",IFERROR(INDEX(Emp_Names,MATCH($A4634,Emp_Codes,0)),"NOT FOUND"))</f>
        <v/>
      </c>
      <c r="C4634" s="14" t="n"/>
      <c r="D4634" s="15" t="n"/>
      <c r="E4634" s="15" t="n"/>
      <c r="F4634" s="15" t="n"/>
      <c r="G4634" s="15" t="n"/>
      <c r="H4634" s="16">
        <f>IF($A4634="","",$D4634+IF($E4634="",0,$E4634)+IF($F4634="",0,$F4634)-IF($G4634="",0,$G4634))</f>
        <v/>
      </c>
      <c r="I4634" s="12" t="n"/>
      <c r="J4634" s="12" t="n"/>
      <c r="K4634" s="12" t="n"/>
      <c r="L4634" s="14" t="n"/>
      <c r="M4634" s="12" t="n"/>
      <c r="N4634" s="12" t="n"/>
      <c r="O4634" s="12" t="n"/>
    </row>
    <row r="4635">
      <c r="A4635" s="12" t="n"/>
      <c r="B4635" s="13">
        <f>IF($A4635="","",IFERROR(INDEX(Emp_Names,MATCH($A4635,Emp_Codes,0)),"NOT FOUND"))</f>
        <v/>
      </c>
      <c r="C4635" s="14" t="n"/>
      <c r="D4635" s="15" t="n"/>
      <c r="E4635" s="15" t="n"/>
      <c r="F4635" s="15" t="n"/>
      <c r="G4635" s="15" t="n"/>
      <c r="H4635" s="16">
        <f>IF($A4635="","",$D4635+IF($E4635="",0,$E4635)+IF($F4635="",0,$F4635)-IF($G4635="",0,$G4635))</f>
        <v/>
      </c>
      <c r="I4635" s="12" t="n"/>
      <c r="J4635" s="12" t="n"/>
      <c r="K4635" s="12" t="n"/>
      <c r="L4635" s="14" t="n"/>
      <c r="M4635" s="12" t="n"/>
      <c r="N4635" s="12" t="n"/>
      <c r="O4635" s="12" t="n"/>
    </row>
    <row r="4636">
      <c r="A4636" s="12" t="n"/>
      <c r="B4636" s="13">
        <f>IF($A4636="","",IFERROR(INDEX(Emp_Names,MATCH($A4636,Emp_Codes,0)),"NOT FOUND"))</f>
        <v/>
      </c>
      <c r="C4636" s="14" t="n"/>
      <c r="D4636" s="15" t="n"/>
      <c r="E4636" s="15" t="n"/>
      <c r="F4636" s="15" t="n"/>
      <c r="G4636" s="15" t="n"/>
      <c r="H4636" s="16">
        <f>IF($A4636="","",$D4636+IF($E4636="",0,$E4636)+IF($F4636="",0,$F4636)-IF($G4636="",0,$G4636))</f>
        <v/>
      </c>
      <c r="I4636" s="12" t="n"/>
      <c r="J4636" s="12" t="n"/>
      <c r="K4636" s="12" t="n"/>
      <c r="L4636" s="14" t="n"/>
      <c r="M4636" s="12" t="n"/>
      <c r="N4636" s="12" t="n"/>
      <c r="O4636" s="12" t="n"/>
    </row>
    <row r="4637">
      <c r="A4637" s="12" t="n"/>
      <c r="B4637" s="13">
        <f>IF($A4637="","",IFERROR(INDEX(Emp_Names,MATCH($A4637,Emp_Codes,0)),"NOT FOUND"))</f>
        <v/>
      </c>
      <c r="C4637" s="14" t="n"/>
      <c r="D4637" s="15" t="n"/>
      <c r="E4637" s="15" t="n"/>
      <c r="F4637" s="15" t="n"/>
      <c r="G4637" s="15" t="n"/>
      <c r="H4637" s="16">
        <f>IF($A4637="","",$D4637+IF($E4637="",0,$E4637)+IF($F4637="",0,$F4637)-IF($G4637="",0,$G4637))</f>
        <v/>
      </c>
      <c r="I4637" s="12" t="n"/>
      <c r="J4637" s="12" t="n"/>
      <c r="K4637" s="12" t="n"/>
      <c r="L4637" s="14" t="n"/>
      <c r="M4637" s="12" t="n"/>
      <c r="N4637" s="12" t="n"/>
      <c r="O4637" s="12" t="n"/>
    </row>
    <row r="4638">
      <c r="A4638" s="12" t="n"/>
      <c r="B4638" s="13">
        <f>IF($A4638="","",IFERROR(INDEX(Emp_Names,MATCH($A4638,Emp_Codes,0)),"NOT FOUND"))</f>
        <v/>
      </c>
      <c r="C4638" s="14" t="n"/>
      <c r="D4638" s="15" t="n"/>
      <c r="E4638" s="15" t="n"/>
      <c r="F4638" s="15" t="n"/>
      <c r="G4638" s="15" t="n"/>
      <c r="H4638" s="16">
        <f>IF($A4638="","",$D4638+IF($E4638="",0,$E4638)+IF($F4638="",0,$F4638)-IF($G4638="",0,$G4638))</f>
        <v/>
      </c>
      <c r="I4638" s="12" t="n"/>
      <c r="J4638" s="12" t="n"/>
      <c r="K4638" s="12" t="n"/>
      <c r="L4638" s="14" t="n"/>
      <c r="M4638" s="12" t="n"/>
      <c r="N4638" s="12" t="n"/>
      <c r="O4638" s="12" t="n"/>
    </row>
    <row r="4639">
      <c r="A4639" s="12" t="n"/>
      <c r="B4639" s="13">
        <f>IF($A4639="","",IFERROR(INDEX(Emp_Names,MATCH($A4639,Emp_Codes,0)),"NOT FOUND"))</f>
        <v/>
      </c>
      <c r="C4639" s="14" t="n"/>
      <c r="D4639" s="15" t="n"/>
      <c r="E4639" s="15" t="n"/>
      <c r="F4639" s="15" t="n"/>
      <c r="G4639" s="15" t="n"/>
      <c r="H4639" s="16">
        <f>IF($A4639="","",$D4639+IF($E4639="",0,$E4639)+IF($F4639="",0,$F4639)-IF($G4639="",0,$G4639))</f>
        <v/>
      </c>
      <c r="I4639" s="12" t="n"/>
      <c r="J4639" s="12" t="n"/>
      <c r="K4639" s="12" t="n"/>
      <c r="L4639" s="14" t="n"/>
      <c r="M4639" s="12" t="n"/>
      <c r="N4639" s="12" t="n"/>
      <c r="O4639" s="12" t="n"/>
    </row>
    <row r="4640">
      <c r="A4640" s="12" t="n"/>
      <c r="B4640" s="13">
        <f>IF($A4640="","",IFERROR(INDEX(Emp_Names,MATCH($A4640,Emp_Codes,0)),"NOT FOUND"))</f>
        <v/>
      </c>
      <c r="C4640" s="14" t="n"/>
      <c r="D4640" s="15" t="n"/>
      <c r="E4640" s="15" t="n"/>
      <c r="F4640" s="15" t="n"/>
      <c r="G4640" s="15" t="n"/>
      <c r="H4640" s="16">
        <f>IF($A4640="","",$D4640+IF($E4640="",0,$E4640)+IF($F4640="",0,$F4640)-IF($G4640="",0,$G4640))</f>
        <v/>
      </c>
      <c r="I4640" s="12" t="n"/>
      <c r="J4640" s="12" t="n"/>
      <c r="K4640" s="12" t="n"/>
      <c r="L4640" s="14" t="n"/>
      <c r="M4640" s="12" t="n"/>
      <c r="N4640" s="12" t="n"/>
      <c r="O4640" s="12" t="n"/>
    </row>
    <row r="4641">
      <c r="A4641" s="12" t="n"/>
      <c r="B4641" s="13">
        <f>IF($A4641="","",IFERROR(INDEX(Emp_Names,MATCH($A4641,Emp_Codes,0)),"NOT FOUND"))</f>
        <v/>
      </c>
      <c r="C4641" s="14" t="n"/>
      <c r="D4641" s="15" t="n"/>
      <c r="E4641" s="15" t="n"/>
      <c r="F4641" s="15" t="n"/>
      <c r="G4641" s="15" t="n"/>
      <c r="H4641" s="16">
        <f>IF($A4641="","",$D4641+IF($E4641="",0,$E4641)+IF($F4641="",0,$F4641)-IF($G4641="",0,$G4641))</f>
        <v/>
      </c>
      <c r="I4641" s="12" t="n"/>
      <c r="J4641" s="12" t="n"/>
      <c r="K4641" s="12" t="n"/>
      <c r="L4641" s="14" t="n"/>
      <c r="M4641" s="12" t="n"/>
      <c r="N4641" s="12" t="n"/>
      <c r="O4641" s="12" t="n"/>
    </row>
    <row r="4642">
      <c r="A4642" s="12" t="n"/>
      <c r="B4642" s="13">
        <f>IF($A4642="","",IFERROR(INDEX(Emp_Names,MATCH($A4642,Emp_Codes,0)),"NOT FOUND"))</f>
        <v/>
      </c>
      <c r="C4642" s="14" t="n"/>
      <c r="D4642" s="15" t="n"/>
      <c r="E4642" s="15" t="n"/>
      <c r="F4642" s="15" t="n"/>
      <c r="G4642" s="15" t="n"/>
      <c r="H4642" s="16">
        <f>IF($A4642="","",$D4642+IF($E4642="",0,$E4642)+IF($F4642="",0,$F4642)-IF($G4642="",0,$G4642))</f>
        <v/>
      </c>
      <c r="I4642" s="12" t="n"/>
      <c r="J4642" s="12" t="n"/>
      <c r="K4642" s="12" t="n"/>
      <c r="L4642" s="14" t="n"/>
      <c r="M4642" s="12" t="n"/>
      <c r="N4642" s="12" t="n"/>
      <c r="O4642" s="12" t="n"/>
    </row>
    <row r="4643">
      <c r="A4643" s="12" t="n"/>
      <c r="B4643" s="13">
        <f>IF($A4643="","",IFERROR(INDEX(Emp_Names,MATCH($A4643,Emp_Codes,0)),"NOT FOUND"))</f>
        <v/>
      </c>
      <c r="C4643" s="14" t="n"/>
      <c r="D4643" s="15" t="n"/>
      <c r="E4643" s="15" t="n"/>
      <c r="F4643" s="15" t="n"/>
      <c r="G4643" s="15" t="n"/>
      <c r="H4643" s="16">
        <f>IF($A4643="","",$D4643+IF($E4643="",0,$E4643)+IF($F4643="",0,$F4643)-IF($G4643="",0,$G4643))</f>
        <v/>
      </c>
      <c r="I4643" s="12" t="n"/>
      <c r="J4643" s="12" t="n"/>
      <c r="K4643" s="12" t="n"/>
      <c r="L4643" s="14" t="n"/>
      <c r="M4643" s="12" t="n"/>
      <c r="N4643" s="12" t="n"/>
      <c r="O4643" s="12" t="n"/>
    </row>
    <row r="4644">
      <c r="A4644" s="12" t="n"/>
      <c r="B4644" s="13">
        <f>IF($A4644="","",IFERROR(INDEX(Emp_Names,MATCH($A4644,Emp_Codes,0)),"NOT FOUND"))</f>
        <v/>
      </c>
      <c r="C4644" s="14" t="n"/>
      <c r="D4644" s="15" t="n"/>
      <c r="E4644" s="15" t="n"/>
      <c r="F4644" s="15" t="n"/>
      <c r="G4644" s="15" t="n"/>
      <c r="H4644" s="16">
        <f>IF($A4644="","",$D4644+IF($E4644="",0,$E4644)+IF($F4644="",0,$F4644)-IF($G4644="",0,$G4644))</f>
        <v/>
      </c>
      <c r="I4644" s="12" t="n"/>
      <c r="J4644" s="12" t="n"/>
      <c r="K4644" s="12" t="n"/>
      <c r="L4644" s="14" t="n"/>
      <c r="M4644" s="12" t="n"/>
      <c r="N4644" s="12" t="n"/>
      <c r="O4644" s="12" t="n"/>
    </row>
    <row r="4645">
      <c r="A4645" s="12" t="n"/>
      <c r="B4645" s="13">
        <f>IF($A4645="","",IFERROR(INDEX(Emp_Names,MATCH($A4645,Emp_Codes,0)),"NOT FOUND"))</f>
        <v/>
      </c>
      <c r="C4645" s="14" t="n"/>
      <c r="D4645" s="15" t="n"/>
      <c r="E4645" s="15" t="n"/>
      <c r="F4645" s="15" t="n"/>
      <c r="G4645" s="15" t="n"/>
      <c r="H4645" s="16">
        <f>IF($A4645="","",$D4645+IF($E4645="",0,$E4645)+IF($F4645="",0,$F4645)-IF($G4645="",0,$G4645))</f>
        <v/>
      </c>
      <c r="I4645" s="12" t="n"/>
      <c r="J4645" s="12" t="n"/>
      <c r="K4645" s="12" t="n"/>
      <c r="L4645" s="14" t="n"/>
      <c r="M4645" s="12" t="n"/>
      <c r="N4645" s="12" t="n"/>
      <c r="O4645" s="12" t="n"/>
    </row>
    <row r="4646">
      <c r="A4646" s="12" t="n"/>
      <c r="B4646" s="13">
        <f>IF($A4646="","",IFERROR(INDEX(Emp_Names,MATCH($A4646,Emp_Codes,0)),"NOT FOUND"))</f>
        <v/>
      </c>
      <c r="C4646" s="14" t="n"/>
      <c r="D4646" s="15" t="n"/>
      <c r="E4646" s="15" t="n"/>
      <c r="F4646" s="15" t="n"/>
      <c r="G4646" s="15" t="n"/>
      <c r="H4646" s="16">
        <f>IF($A4646="","",$D4646+IF($E4646="",0,$E4646)+IF($F4646="",0,$F4646)-IF($G4646="",0,$G4646))</f>
        <v/>
      </c>
      <c r="I4646" s="12" t="n"/>
      <c r="J4646" s="12" t="n"/>
      <c r="K4646" s="12" t="n"/>
      <c r="L4646" s="14" t="n"/>
      <c r="M4646" s="12" t="n"/>
      <c r="N4646" s="12" t="n"/>
      <c r="O4646" s="12" t="n"/>
    </row>
    <row r="4647">
      <c r="A4647" s="12" t="n"/>
      <c r="B4647" s="13">
        <f>IF($A4647="","",IFERROR(INDEX(Emp_Names,MATCH($A4647,Emp_Codes,0)),"NOT FOUND"))</f>
        <v/>
      </c>
      <c r="C4647" s="14" t="n"/>
      <c r="D4647" s="15" t="n"/>
      <c r="E4647" s="15" t="n"/>
      <c r="F4647" s="15" t="n"/>
      <c r="G4647" s="15" t="n"/>
      <c r="H4647" s="16">
        <f>IF($A4647="","",$D4647+IF($E4647="",0,$E4647)+IF($F4647="",0,$F4647)-IF($G4647="",0,$G4647))</f>
        <v/>
      </c>
      <c r="I4647" s="12" t="n"/>
      <c r="J4647" s="12" t="n"/>
      <c r="K4647" s="12" t="n"/>
      <c r="L4647" s="14" t="n"/>
      <c r="M4647" s="12" t="n"/>
      <c r="N4647" s="12" t="n"/>
      <c r="O4647" s="12" t="n"/>
    </row>
    <row r="4648">
      <c r="A4648" s="12" t="n"/>
      <c r="B4648" s="13">
        <f>IF($A4648="","",IFERROR(INDEX(Emp_Names,MATCH($A4648,Emp_Codes,0)),"NOT FOUND"))</f>
        <v/>
      </c>
      <c r="C4648" s="14" t="n"/>
      <c r="D4648" s="15" t="n"/>
      <c r="E4648" s="15" t="n"/>
      <c r="F4648" s="15" t="n"/>
      <c r="G4648" s="15" t="n"/>
      <c r="H4648" s="16">
        <f>IF($A4648="","",$D4648+IF($E4648="",0,$E4648)+IF($F4648="",0,$F4648)-IF($G4648="",0,$G4648))</f>
        <v/>
      </c>
      <c r="I4648" s="12" t="n"/>
      <c r="J4648" s="12" t="n"/>
      <c r="K4648" s="12" t="n"/>
      <c r="L4648" s="14" t="n"/>
      <c r="M4648" s="12" t="n"/>
      <c r="N4648" s="12" t="n"/>
      <c r="O4648" s="12" t="n"/>
    </row>
    <row r="4649">
      <c r="A4649" s="12" t="n"/>
      <c r="B4649" s="13">
        <f>IF($A4649="","",IFERROR(INDEX(Emp_Names,MATCH($A4649,Emp_Codes,0)),"NOT FOUND"))</f>
        <v/>
      </c>
      <c r="C4649" s="14" t="n"/>
      <c r="D4649" s="15" t="n"/>
      <c r="E4649" s="15" t="n"/>
      <c r="F4649" s="15" t="n"/>
      <c r="G4649" s="15" t="n"/>
      <c r="H4649" s="16">
        <f>IF($A4649="","",$D4649+IF($E4649="",0,$E4649)+IF($F4649="",0,$F4649)-IF($G4649="",0,$G4649))</f>
        <v/>
      </c>
      <c r="I4649" s="12" t="n"/>
      <c r="J4649" s="12" t="n"/>
      <c r="K4649" s="12" t="n"/>
      <c r="L4649" s="14" t="n"/>
      <c r="M4649" s="12" t="n"/>
      <c r="N4649" s="12" t="n"/>
      <c r="O4649" s="12" t="n"/>
    </row>
    <row r="4650">
      <c r="A4650" s="12" t="n"/>
      <c r="B4650" s="13">
        <f>IF($A4650="","",IFERROR(INDEX(Emp_Names,MATCH($A4650,Emp_Codes,0)),"NOT FOUND"))</f>
        <v/>
      </c>
      <c r="C4650" s="14" t="n"/>
      <c r="D4650" s="15" t="n"/>
      <c r="E4650" s="15" t="n"/>
      <c r="F4650" s="15" t="n"/>
      <c r="G4650" s="15" t="n"/>
      <c r="H4650" s="16">
        <f>IF($A4650="","",$D4650+IF($E4650="",0,$E4650)+IF($F4650="",0,$F4650)-IF($G4650="",0,$G4650))</f>
        <v/>
      </c>
      <c r="I4650" s="12" t="n"/>
      <c r="J4650" s="12" t="n"/>
      <c r="K4650" s="12" t="n"/>
      <c r="L4650" s="14" t="n"/>
      <c r="M4650" s="12" t="n"/>
      <c r="N4650" s="12" t="n"/>
      <c r="O4650" s="12" t="n"/>
    </row>
    <row r="4651">
      <c r="A4651" s="12" t="n"/>
      <c r="B4651" s="13">
        <f>IF($A4651="","",IFERROR(INDEX(Emp_Names,MATCH($A4651,Emp_Codes,0)),"NOT FOUND"))</f>
        <v/>
      </c>
      <c r="C4651" s="14" t="n"/>
      <c r="D4651" s="15" t="n"/>
      <c r="E4651" s="15" t="n"/>
      <c r="F4651" s="15" t="n"/>
      <c r="G4651" s="15" t="n"/>
      <c r="H4651" s="16">
        <f>IF($A4651="","",$D4651+IF($E4651="",0,$E4651)+IF($F4651="",0,$F4651)-IF($G4651="",0,$G4651))</f>
        <v/>
      </c>
      <c r="I4651" s="12" t="n"/>
      <c r="J4651" s="12" t="n"/>
      <c r="K4651" s="12" t="n"/>
      <c r="L4651" s="14" t="n"/>
      <c r="M4651" s="12" t="n"/>
      <c r="N4651" s="12" t="n"/>
      <c r="O4651" s="12" t="n"/>
    </row>
    <row r="4652">
      <c r="A4652" s="12" t="n"/>
      <c r="B4652" s="13">
        <f>IF($A4652="","",IFERROR(INDEX(Emp_Names,MATCH($A4652,Emp_Codes,0)),"NOT FOUND"))</f>
        <v/>
      </c>
      <c r="C4652" s="14" t="n"/>
      <c r="D4652" s="15" t="n"/>
      <c r="E4652" s="15" t="n"/>
      <c r="F4652" s="15" t="n"/>
      <c r="G4652" s="15" t="n"/>
      <c r="H4652" s="16">
        <f>IF($A4652="","",$D4652+IF($E4652="",0,$E4652)+IF($F4652="",0,$F4652)-IF($G4652="",0,$G4652))</f>
        <v/>
      </c>
      <c r="I4652" s="12" t="n"/>
      <c r="J4652" s="12" t="n"/>
      <c r="K4652" s="12" t="n"/>
      <c r="L4652" s="14" t="n"/>
      <c r="M4652" s="12" t="n"/>
      <c r="N4652" s="12" t="n"/>
      <c r="O4652" s="12" t="n"/>
    </row>
    <row r="4653">
      <c r="A4653" s="12" t="n"/>
      <c r="B4653" s="13">
        <f>IF($A4653="","",IFERROR(INDEX(Emp_Names,MATCH($A4653,Emp_Codes,0)),"NOT FOUND"))</f>
        <v/>
      </c>
      <c r="C4653" s="14" t="n"/>
      <c r="D4653" s="15" t="n"/>
      <c r="E4653" s="15" t="n"/>
      <c r="F4653" s="15" t="n"/>
      <c r="G4653" s="15" t="n"/>
      <c r="H4653" s="16">
        <f>IF($A4653="","",$D4653+IF($E4653="",0,$E4653)+IF($F4653="",0,$F4653)-IF($G4653="",0,$G4653))</f>
        <v/>
      </c>
      <c r="I4653" s="12" t="n"/>
      <c r="J4653" s="12" t="n"/>
      <c r="K4653" s="12" t="n"/>
      <c r="L4653" s="14" t="n"/>
      <c r="M4653" s="12" t="n"/>
      <c r="N4653" s="12" t="n"/>
      <c r="O4653" s="12" t="n"/>
    </row>
    <row r="4654">
      <c r="A4654" s="12" t="n"/>
      <c r="B4654" s="13">
        <f>IF($A4654="","",IFERROR(INDEX(Emp_Names,MATCH($A4654,Emp_Codes,0)),"NOT FOUND"))</f>
        <v/>
      </c>
      <c r="C4654" s="14" t="n"/>
      <c r="D4654" s="15" t="n"/>
      <c r="E4654" s="15" t="n"/>
      <c r="F4654" s="15" t="n"/>
      <c r="G4654" s="15" t="n"/>
      <c r="H4654" s="16">
        <f>IF($A4654="","",$D4654+IF($E4654="",0,$E4654)+IF($F4654="",0,$F4654)-IF($G4654="",0,$G4654))</f>
        <v/>
      </c>
      <c r="I4654" s="12" t="n"/>
      <c r="J4654" s="12" t="n"/>
      <c r="K4654" s="12" t="n"/>
      <c r="L4654" s="14" t="n"/>
      <c r="M4654" s="12" t="n"/>
      <c r="N4654" s="12" t="n"/>
      <c r="O4654" s="12" t="n"/>
    </row>
    <row r="4655">
      <c r="A4655" s="12" t="n"/>
      <c r="B4655" s="13">
        <f>IF($A4655="","",IFERROR(INDEX(Emp_Names,MATCH($A4655,Emp_Codes,0)),"NOT FOUND"))</f>
        <v/>
      </c>
      <c r="C4655" s="14" t="n"/>
      <c r="D4655" s="15" t="n"/>
      <c r="E4655" s="15" t="n"/>
      <c r="F4655" s="15" t="n"/>
      <c r="G4655" s="15" t="n"/>
      <c r="H4655" s="16">
        <f>IF($A4655="","",$D4655+IF($E4655="",0,$E4655)+IF($F4655="",0,$F4655)-IF($G4655="",0,$G4655))</f>
        <v/>
      </c>
      <c r="I4655" s="12" t="n"/>
      <c r="J4655" s="12" t="n"/>
      <c r="K4655" s="12" t="n"/>
      <c r="L4655" s="14" t="n"/>
      <c r="M4655" s="12" t="n"/>
      <c r="N4655" s="12" t="n"/>
      <c r="O4655" s="12" t="n"/>
    </row>
    <row r="4656">
      <c r="A4656" s="12" t="n"/>
      <c r="B4656" s="13">
        <f>IF($A4656="","",IFERROR(INDEX(Emp_Names,MATCH($A4656,Emp_Codes,0)),"NOT FOUND"))</f>
        <v/>
      </c>
      <c r="C4656" s="14" t="n"/>
      <c r="D4656" s="15" t="n"/>
      <c r="E4656" s="15" t="n"/>
      <c r="F4656" s="15" t="n"/>
      <c r="G4656" s="15" t="n"/>
      <c r="H4656" s="16">
        <f>IF($A4656="","",$D4656+IF($E4656="",0,$E4656)+IF($F4656="",0,$F4656)-IF($G4656="",0,$G4656))</f>
        <v/>
      </c>
      <c r="I4656" s="12" t="n"/>
      <c r="J4656" s="12" t="n"/>
      <c r="K4656" s="12" t="n"/>
      <c r="L4656" s="14" t="n"/>
      <c r="M4656" s="12" t="n"/>
      <c r="N4656" s="12" t="n"/>
      <c r="O4656" s="12" t="n"/>
    </row>
    <row r="4657">
      <c r="A4657" s="12" t="n"/>
      <c r="B4657" s="13">
        <f>IF($A4657="","",IFERROR(INDEX(Emp_Names,MATCH($A4657,Emp_Codes,0)),"NOT FOUND"))</f>
        <v/>
      </c>
      <c r="C4657" s="14" t="n"/>
      <c r="D4657" s="15" t="n"/>
      <c r="E4657" s="15" t="n"/>
      <c r="F4657" s="15" t="n"/>
      <c r="G4657" s="15" t="n"/>
      <c r="H4657" s="16">
        <f>IF($A4657="","",$D4657+IF($E4657="",0,$E4657)+IF($F4657="",0,$F4657)-IF($G4657="",0,$G4657))</f>
        <v/>
      </c>
      <c r="I4657" s="12" t="n"/>
      <c r="J4657" s="12" t="n"/>
      <c r="K4657" s="12" t="n"/>
      <c r="L4657" s="14" t="n"/>
      <c r="M4657" s="12" t="n"/>
      <c r="N4657" s="12" t="n"/>
      <c r="O4657" s="12" t="n"/>
    </row>
    <row r="4658">
      <c r="A4658" s="12" t="n"/>
      <c r="B4658" s="13">
        <f>IF($A4658="","",IFERROR(INDEX(Emp_Names,MATCH($A4658,Emp_Codes,0)),"NOT FOUND"))</f>
        <v/>
      </c>
      <c r="C4658" s="14" t="n"/>
      <c r="D4658" s="15" t="n"/>
      <c r="E4658" s="15" t="n"/>
      <c r="F4658" s="15" t="n"/>
      <c r="G4658" s="15" t="n"/>
      <c r="H4658" s="16">
        <f>IF($A4658="","",$D4658+IF($E4658="",0,$E4658)+IF($F4658="",0,$F4658)-IF($G4658="",0,$G4658))</f>
        <v/>
      </c>
      <c r="I4658" s="12" t="n"/>
      <c r="J4658" s="12" t="n"/>
      <c r="K4658" s="12" t="n"/>
      <c r="L4658" s="14" t="n"/>
      <c r="M4658" s="12" t="n"/>
      <c r="N4658" s="12" t="n"/>
      <c r="O4658" s="12" t="n"/>
    </row>
    <row r="4659">
      <c r="A4659" s="12" t="n"/>
      <c r="B4659" s="13">
        <f>IF($A4659="","",IFERROR(INDEX(Emp_Names,MATCH($A4659,Emp_Codes,0)),"NOT FOUND"))</f>
        <v/>
      </c>
      <c r="C4659" s="14" t="n"/>
      <c r="D4659" s="15" t="n"/>
      <c r="E4659" s="15" t="n"/>
      <c r="F4659" s="15" t="n"/>
      <c r="G4659" s="15" t="n"/>
      <c r="H4659" s="16">
        <f>IF($A4659="","",$D4659+IF($E4659="",0,$E4659)+IF($F4659="",0,$F4659)-IF($G4659="",0,$G4659))</f>
        <v/>
      </c>
      <c r="I4659" s="12" t="n"/>
      <c r="J4659" s="12" t="n"/>
      <c r="K4659" s="12" t="n"/>
      <c r="L4659" s="14" t="n"/>
      <c r="M4659" s="12" t="n"/>
      <c r="N4659" s="12" t="n"/>
      <c r="O4659" s="12" t="n"/>
    </row>
    <row r="4660">
      <c r="A4660" s="12" t="n"/>
      <c r="B4660" s="13">
        <f>IF($A4660="","",IFERROR(INDEX(Emp_Names,MATCH($A4660,Emp_Codes,0)),"NOT FOUND"))</f>
        <v/>
      </c>
      <c r="C4660" s="14" t="n"/>
      <c r="D4660" s="15" t="n"/>
      <c r="E4660" s="15" t="n"/>
      <c r="F4660" s="15" t="n"/>
      <c r="G4660" s="15" t="n"/>
      <c r="H4660" s="16">
        <f>IF($A4660="","",$D4660+IF($E4660="",0,$E4660)+IF($F4660="",0,$F4660)-IF($G4660="",0,$G4660))</f>
        <v/>
      </c>
      <c r="I4660" s="12" t="n"/>
      <c r="J4660" s="12" t="n"/>
      <c r="K4660" s="12" t="n"/>
      <c r="L4660" s="14" t="n"/>
      <c r="M4660" s="12" t="n"/>
      <c r="N4660" s="12" t="n"/>
      <c r="O4660" s="12" t="n"/>
    </row>
    <row r="4661">
      <c r="A4661" s="12" t="n"/>
      <c r="B4661" s="13">
        <f>IF($A4661="","",IFERROR(INDEX(Emp_Names,MATCH($A4661,Emp_Codes,0)),"NOT FOUND"))</f>
        <v/>
      </c>
      <c r="C4661" s="14" t="n"/>
      <c r="D4661" s="15" t="n"/>
      <c r="E4661" s="15" t="n"/>
      <c r="F4661" s="15" t="n"/>
      <c r="G4661" s="15" t="n"/>
      <c r="H4661" s="16">
        <f>IF($A4661="","",$D4661+IF($E4661="",0,$E4661)+IF($F4661="",0,$F4661)-IF($G4661="",0,$G4661))</f>
        <v/>
      </c>
      <c r="I4661" s="12" t="n"/>
      <c r="J4661" s="12" t="n"/>
      <c r="K4661" s="12" t="n"/>
      <c r="L4661" s="14" t="n"/>
      <c r="M4661" s="12" t="n"/>
      <c r="N4661" s="12" t="n"/>
      <c r="O4661" s="12" t="n"/>
    </row>
    <row r="4662">
      <c r="A4662" s="12" t="n"/>
      <c r="B4662" s="13">
        <f>IF($A4662="","",IFERROR(INDEX(Emp_Names,MATCH($A4662,Emp_Codes,0)),"NOT FOUND"))</f>
        <v/>
      </c>
      <c r="C4662" s="14" t="n"/>
      <c r="D4662" s="15" t="n"/>
      <c r="E4662" s="15" t="n"/>
      <c r="F4662" s="15" t="n"/>
      <c r="G4662" s="15" t="n"/>
      <c r="H4662" s="16">
        <f>IF($A4662="","",$D4662+IF($E4662="",0,$E4662)+IF($F4662="",0,$F4662)-IF($G4662="",0,$G4662))</f>
        <v/>
      </c>
      <c r="I4662" s="12" t="n"/>
      <c r="J4662" s="12" t="n"/>
      <c r="K4662" s="12" t="n"/>
      <c r="L4662" s="14" t="n"/>
      <c r="M4662" s="12" t="n"/>
      <c r="N4662" s="12" t="n"/>
      <c r="O4662" s="12" t="n"/>
    </row>
    <row r="4663">
      <c r="A4663" s="12" t="n"/>
      <c r="B4663" s="13">
        <f>IF($A4663="","",IFERROR(INDEX(Emp_Names,MATCH($A4663,Emp_Codes,0)),"NOT FOUND"))</f>
        <v/>
      </c>
      <c r="C4663" s="14" t="n"/>
      <c r="D4663" s="15" t="n"/>
      <c r="E4663" s="15" t="n"/>
      <c r="F4663" s="15" t="n"/>
      <c r="G4663" s="15" t="n"/>
      <c r="H4663" s="16">
        <f>IF($A4663="","",$D4663+IF($E4663="",0,$E4663)+IF($F4663="",0,$F4663)-IF($G4663="",0,$G4663))</f>
        <v/>
      </c>
      <c r="I4663" s="12" t="n"/>
      <c r="J4663" s="12" t="n"/>
      <c r="K4663" s="12" t="n"/>
      <c r="L4663" s="14" t="n"/>
      <c r="M4663" s="12" t="n"/>
      <c r="N4663" s="12" t="n"/>
      <c r="O4663" s="12" t="n"/>
    </row>
    <row r="4664">
      <c r="A4664" s="12" t="n"/>
      <c r="B4664" s="13">
        <f>IF($A4664="","",IFERROR(INDEX(Emp_Names,MATCH($A4664,Emp_Codes,0)),"NOT FOUND"))</f>
        <v/>
      </c>
      <c r="C4664" s="14" t="n"/>
      <c r="D4664" s="15" t="n"/>
      <c r="E4664" s="15" t="n"/>
      <c r="F4664" s="15" t="n"/>
      <c r="G4664" s="15" t="n"/>
      <c r="H4664" s="16">
        <f>IF($A4664="","",$D4664+IF($E4664="",0,$E4664)+IF($F4664="",0,$F4664)-IF($G4664="",0,$G4664))</f>
        <v/>
      </c>
      <c r="I4664" s="12" t="n"/>
      <c r="J4664" s="12" t="n"/>
      <c r="K4664" s="12" t="n"/>
      <c r="L4664" s="14" t="n"/>
      <c r="M4664" s="12" t="n"/>
      <c r="N4664" s="12" t="n"/>
      <c r="O4664" s="12" t="n"/>
    </row>
    <row r="4665">
      <c r="A4665" s="12" t="n"/>
      <c r="B4665" s="13">
        <f>IF($A4665="","",IFERROR(INDEX(Emp_Names,MATCH($A4665,Emp_Codes,0)),"NOT FOUND"))</f>
        <v/>
      </c>
      <c r="C4665" s="14" t="n"/>
      <c r="D4665" s="15" t="n"/>
      <c r="E4665" s="15" t="n"/>
      <c r="F4665" s="15" t="n"/>
      <c r="G4665" s="15" t="n"/>
      <c r="H4665" s="16">
        <f>IF($A4665="","",$D4665+IF($E4665="",0,$E4665)+IF($F4665="",0,$F4665)-IF($G4665="",0,$G4665))</f>
        <v/>
      </c>
      <c r="I4665" s="12" t="n"/>
      <c r="J4665" s="12" t="n"/>
      <c r="K4665" s="12" t="n"/>
      <c r="L4665" s="14" t="n"/>
      <c r="M4665" s="12" t="n"/>
      <c r="N4665" s="12" t="n"/>
      <c r="O4665" s="12" t="n"/>
    </row>
    <row r="4666">
      <c r="A4666" s="12" t="n"/>
      <c r="B4666" s="13">
        <f>IF($A4666="","",IFERROR(INDEX(Emp_Names,MATCH($A4666,Emp_Codes,0)),"NOT FOUND"))</f>
        <v/>
      </c>
      <c r="C4666" s="14" t="n"/>
      <c r="D4666" s="15" t="n"/>
      <c r="E4666" s="15" t="n"/>
      <c r="F4666" s="15" t="n"/>
      <c r="G4666" s="15" t="n"/>
      <c r="H4666" s="16">
        <f>IF($A4666="","",$D4666+IF($E4666="",0,$E4666)+IF($F4666="",0,$F4666)-IF($G4666="",0,$G4666))</f>
        <v/>
      </c>
      <c r="I4666" s="12" t="n"/>
      <c r="J4666" s="12" t="n"/>
      <c r="K4666" s="12" t="n"/>
      <c r="L4666" s="14" t="n"/>
      <c r="M4666" s="12" t="n"/>
      <c r="N4666" s="12" t="n"/>
      <c r="O4666" s="12" t="n"/>
    </row>
    <row r="4667">
      <c r="A4667" s="12" t="n"/>
      <c r="B4667" s="13">
        <f>IF($A4667="","",IFERROR(INDEX(Emp_Names,MATCH($A4667,Emp_Codes,0)),"NOT FOUND"))</f>
        <v/>
      </c>
      <c r="C4667" s="14" t="n"/>
      <c r="D4667" s="15" t="n"/>
      <c r="E4667" s="15" t="n"/>
      <c r="F4667" s="15" t="n"/>
      <c r="G4667" s="15" t="n"/>
      <c r="H4667" s="16">
        <f>IF($A4667="","",$D4667+IF($E4667="",0,$E4667)+IF($F4667="",0,$F4667)-IF($G4667="",0,$G4667))</f>
        <v/>
      </c>
      <c r="I4667" s="12" t="n"/>
      <c r="J4667" s="12" t="n"/>
      <c r="K4667" s="12" t="n"/>
      <c r="L4667" s="14" t="n"/>
      <c r="M4667" s="12" t="n"/>
      <c r="N4667" s="12" t="n"/>
      <c r="O4667" s="12" t="n"/>
    </row>
    <row r="4668">
      <c r="A4668" s="12" t="n"/>
      <c r="B4668" s="13">
        <f>IF($A4668="","",IFERROR(INDEX(Emp_Names,MATCH($A4668,Emp_Codes,0)),"NOT FOUND"))</f>
        <v/>
      </c>
      <c r="C4668" s="14" t="n"/>
      <c r="D4668" s="15" t="n"/>
      <c r="E4668" s="15" t="n"/>
      <c r="F4668" s="15" t="n"/>
      <c r="G4668" s="15" t="n"/>
      <c r="H4668" s="16">
        <f>IF($A4668="","",$D4668+IF($E4668="",0,$E4668)+IF($F4668="",0,$F4668)-IF($G4668="",0,$G4668))</f>
        <v/>
      </c>
      <c r="I4668" s="12" t="n"/>
      <c r="J4668" s="12" t="n"/>
      <c r="K4668" s="12" t="n"/>
      <c r="L4668" s="14" t="n"/>
      <c r="M4668" s="12" t="n"/>
      <c r="N4668" s="12" t="n"/>
      <c r="O4668" s="12" t="n"/>
    </row>
    <row r="4669">
      <c r="A4669" s="12" t="n"/>
      <c r="B4669" s="13">
        <f>IF($A4669="","",IFERROR(INDEX(Emp_Names,MATCH($A4669,Emp_Codes,0)),"NOT FOUND"))</f>
        <v/>
      </c>
      <c r="C4669" s="14" t="n"/>
      <c r="D4669" s="15" t="n"/>
      <c r="E4669" s="15" t="n"/>
      <c r="F4669" s="15" t="n"/>
      <c r="G4669" s="15" t="n"/>
      <c r="H4669" s="16">
        <f>IF($A4669="","",$D4669+IF($E4669="",0,$E4669)+IF($F4669="",0,$F4669)-IF($G4669="",0,$G4669))</f>
        <v/>
      </c>
      <c r="I4669" s="12" t="n"/>
      <c r="J4669" s="12" t="n"/>
      <c r="K4669" s="12" t="n"/>
      <c r="L4669" s="14" t="n"/>
      <c r="M4669" s="12" t="n"/>
      <c r="N4669" s="12" t="n"/>
      <c r="O4669" s="12" t="n"/>
    </row>
    <row r="4670">
      <c r="A4670" s="12" t="n"/>
      <c r="B4670" s="13">
        <f>IF($A4670="","",IFERROR(INDEX(Emp_Names,MATCH($A4670,Emp_Codes,0)),"NOT FOUND"))</f>
        <v/>
      </c>
      <c r="C4670" s="14" t="n"/>
      <c r="D4670" s="15" t="n"/>
      <c r="E4670" s="15" t="n"/>
      <c r="F4670" s="15" t="n"/>
      <c r="G4670" s="15" t="n"/>
      <c r="H4670" s="16">
        <f>IF($A4670="","",$D4670+IF($E4670="",0,$E4670)+IF($F4670="",0,$F4670)-IF($G4670="",0,$G4670))</f>
        <v/>
      </c>
      <c r="I4670" s="12" t="n"/>
      <c r="J4670" s="12" t="n"/>
      <c r="K4670" s="12" t="n"/>
      <c r="L4670" s="14" t="n"/>
      <c r="M4670" s="12" t="n"/>
      <c r="N4670" s="12" t="n"/>
      <c r="O4670" s="12" t="n"/>
    </row>
    <row r="4671">
      <c r="A4671" s="12" t="n"/>
      <c r="B4671" s="13">
        <f>IF($A4671="","",IFERROR(INDEX(Emp_Names,MATCH($A4671,Emp_Codes,0)),"NOT FOUND"))</f>
        <v/>
      </c>
      <c r="C4671" s="14" t="n"/>
      <c r="D4671" s="15" t="n"/>
      <c r="E4671" s="15" t="n"/>
      <c r="F4671" s="15" t="n"/>
      <c r="G4671" s="15" t="n"/>
      <c r="H4671" s="16">
        <f>IF($A4671="","",$D4671+IF($E4671="",0,$E4671)+IF($F4671="",0,$F4671)-IF($G4671="",0,$G4671))</f>
        <v/>
      </c>
      <c r="I4671" s="12" t="n"/>
      <c r="J4671" s="12" t="n"/>
      <c r="K4671" s="12" t="n"/>
      <c r="L4671" s="14" t="n"/>
      <c r="M4671" s="12" t="n"/>
      <c r="N4671" s="12" t="n"/>
      <c r="O4671" s="12" t="n"/>
    </row>
    <row r="4672">
      <c r="A4672" s="12" t="n"/>
      <c r="B4672" s="13">
        <f>IF($A4672="","",IFERROR(INDEX(Emp_Names,MATCH($A4672,Emp_Codes,0)),"NOT FOUND"))</f>
        <v/>
      </c>
      <c r="C4672" s="14" t="n"/>
      <c r="D4672" s="15" t="n"/>
      <c r="E4672" s="15" t="n"/>
      <c r="F4672" s="15" t="n"/>
      <c r="G4672" s="15" t="n"/>
      <c r="H4672" s="16">
        <f>IF($A4672="","",$D4672+IF($E4672="",0,$E4672)+IF($F4672="",0,$F4672)-IF($G4672="",0,$G4672))</f>
        <v/>
      </c>
      <c r="I4672" s="12" t="n"/>
      <c r="J4672" s="12" t="n"/>
      <c r="K4672" s="12" t="n"/>
      <c r="L4672" s="14" t="n"/>
      <c r="M4672" s="12" t="n"/>
      <c r="N4672" s="12" t="n"/>
      <c r="O4672" s="12" t="n"/>
    </row>
    <row r="4673">
      <c r="A4673" s="12" t="n"/>
      <c r="B4673" s="13">
        <f>IF($A4673="","",IFERROR(INDEX(Emp_Names,MATCH($A4673,Emp_Codes,0)),"NOT FOUND"))</f>
        <v/>
      </c>
      <c r="C4673" s="14" t="n"/>
      <c r="D4673" s="15" t="n"/>
      <c r="E4673" s="15" t="n"/>
      <c r="F4673" s="15" t="n"/>
      <c r="G4673" s="15" t="n"/>
      <c r="H4673" s="16">
        <f>IF($A4673="","",$D4673+IF($E4673="",0,$E4673)+IF($F4673="",0,$F4673)-IF($G4673="",0,$G4673))</f>
        <v/>
      </c>
      <c r="I4673" s="12" t="n"/>
      <c r="J4673" s="12" t="n"/>
      <c r="K4673" s="12" t="n"/>
      <c r="L4673" s="14" t="n"/>
      <c r="M4673" s="12" t="n"/>
      <c r="N4673" s="12" t="n"/>
      <c r="O4673" s="12" t="n"/>
    </row>
    <row r="4674">
      <c r="A4674" s="12" t="n"/>
      <c r="B4674" s="13">
        <f>IF($A4674="","",IFERROR(INDEX(Emp_Names,MATCH($A4674,Emp_Codes,0)),"NOT FOUND"))</f>
        <v/>
      </c>
      <c r="C4674" s="14" t="n"/>
      <c r="D4674" s="15" t="n"/>
      <c r="E4674" s="15" t="n"/>
      <c r="F4674" s="15" t="n"/>
      <c r="G4674" s="15" t="n"/>
      <c r="H4674" s="16">
        <f>IF($A4674="","",$D4674+IF($E4674="",0,$E4674)+IF($F4674="",0,$F4674)-IF($G4674="",0,$G4674))</f>
        <v/>
      </c>
      <c r="I4674" s="12" t="n"/>
      <c r="J4674" s="12" t="n"/>
      <c r="K4674" s="12" t="n"/>
      <c r="L4674" s="14" t="n"/>
      <c r="M4674" s="12" t="n"/>
      <c r="N4674" s="12" t="n"/>
      <c r="O4674" s="12" t="n"/>
    </row>
    <row r="4675">
      <c r="A4675" s="12" t="n"/>
      <c r="B4675" s="13">
        <f>IF($A4675="","",IFERROR(INDEX(Emp_Names,MATCH($A4675,Emp_Codes,0)),"NOT FOUND"))</f>
        <v/>
      </c>
      <c r="C4675" s="14" t="n"/>
      <c r="D4675" s="15" t="n"/>
      <c r="E4675" s="15" t="n"/>
      <c r="F4675" s="15" t="n"/>
      <c r="G4675" s="15" t="n"/>
      <c r="H4675" s="16">
        <f>IF($A4675="","",$D4675+IF($E4675="",0,$E4675)+IF($F4675="",0,$F4675)-IF($G4675="",0,$G4675))</f>
        <v/>
      </c>
      <c r="I4675" s="12" t="n"/>
      <c r="J4675" s="12" t="n"/>
      <c r="K4675" s="12" t="n"/>
      <c r="L4675" s="14" t="n"/>
      <c r="M4675" s="12" t="n"/>
      <c r="N4675" s="12" t="n"/>
      <c r="O4675" s="12" t="n"/>
    </row>
    <row r="4676">
      <c r="A4676" s="12" t="n"/>
      <c r="B4676" s="13">
        <f>IF($A4676="","",IFERROR(INDEX(Emp_Names,MATCH($A4676,Emp_Codes,0)),"NOT FOUND"))</f>
        <v/>
      </c>
      <c r="C4676" s="14" t="n"/>
      <c r="D4676" s="15" t="n"/>
      <c r="E4676" s="15" t="n"/>
      <c r="F4676" s="15" t="n"/>
      <c r="G4676" s="15" t="n"/>
      <c r="H4676" s="16">
        <f>IF($A4676="","",$D4676+IF($E4676="",0,$E4676)+IF($F4676="",0,$F4676)-IF($G4676="",0,$G4676))</f>
        <v/>
      </c>
      <c r="I4676" s="12" t="n"/>
      <c r="J4676" s="12" t="n"/>
      <c r="K4676" s="12" t="n"/>
      <c r="L4676" s="14" t="n"/>
      <c r="M4676" s="12" t="n"/>
      <c r="N4676" s="12" t="n"/>
      <c r="O4676" s="12" t="n"/>
    </row>
    <row r="4677">
      <c r="A4677" s="12" t="n"/>
      <c r="B4677" s="13">
        <f>IF($A4677="","",IFERROR(INDEX(Emp_Names,MATCH($A4677,Emp_Codes,0)),"NOT FOUND"))</f>
        <v/>
      </c>
      <c r="C4677" s="14" t="n"/>
      <c r="D4677" s="15" t="n"/>
      <c r="E4677" s="15" t="n"/>
      <c r="F4677" s="15" t="n"/>
      <c r="G4677" s="15" t="n"/>
      <c r="H4677" s="16">
        <f>IF($A4677="","",$D4677+IF($E4677="",0,$E4677)+IF($F4677="",0,$F4677)-IF($G4677="",0,$G4677))</f>
        <v/>
      </c>
      <c r="I4677" s="12" t="n"/>
      <c r="J4677" s="12" t="n"/>
      <c r="K4677" s="12" t="n"/>
      <c r="L4677" s="14" t="n"/>
      <c r="M4677" s="12" t="n"/>
      <c r="N4677" s="12" t="n"/>
      <c r="O4677" s="12" t="n"/>
    </row>
    <row r="4678">
      <c r="A4678" s="12" t="n"/>
      <c r="B4678" s="13">
        <f>IF($A4678="","",IFERROR(INDEX(Emp_Names,MATCH($A4678,Emp_Codes,0)),"NOT FOUND"))</f>
        <v/>
      </c>
      <c r="C4678" s="14" t="n"/>
      <c r="D4678" s="15" t="n"/>
      <c r="E4678" s="15" t="n"/>
      <c r="F4678" s="15" t="n"/>
      <c r="G4678" s="15" t="n"/>
      <c r="H4678" s="16">
        <f>IF($A4678="","",$D4678+IF($E4678="",0,$E4678)+IF($F4678="",0,$F4678)-IF($G4678="",0,$G4678))</f>
        <v/>
      </c>
      <c r="I4678" s="12" t="n"/>
      <c r="J4678" s="12" t="n"/>
      <c r="K4678" s="12" t="n"/>
      <c r="L4678" s="14" t="n"/>
      <c r="M4678" s="12" t="n"/>
      <c r="N4678" s="12" t="n"/>
      <c r="O4678" s="12" t="n"/>
    </row>
    <row r="4679">
      <c r="A4679" s="12" t="n"/>
      <c r="B4679" s="13">
        <f>IF($A4679="","",IFERROR(INDEX(Emp_Names,MATCH($A4679,Emp_Codes,0)),"NOT FOUND"))</f>
        <v/>
      </c>
      <c r="C4679" s="14" t="n"/>
      <c r="D4679" s="15" t="n"/>
      <c r="E4679" s="15" t="n"/>
      <c r="F4679" s="15" t="n"/>
      <c r="G4679" s="15" t="n"/>
      <c r="H4679" s="16">
        <f>IF($A4679="","",$D4679+IF($E4679="",0,$E4679)+IF($F4679="",0,$F4679)-IF($G4679="",0,$G4679))</f>
        <v/>
      </c>
      <c r="I4679" s="12" t="n"/>
      <c r="J4679" s="12" t="n"/>
      <c r="K4679" s="12" t="n"/>
      <c r="L4679" s="14" t="n"/>
      <c r="M4679" s="12" t="n"/>
      <c r="N4679" s="12" t="n"/>
      <c r="O4679" s="12" t="n"/>
    </row>
    <row r="4680">
      <c r="A4680" s="12" t="n"/>
      <c r="B4680" s="13">
        <f>IF($A4680="","",IFERROR(INDEX(Emp_Names,MATCH($A4680,Emp_Codes,0)),"NOT FOUND"))</f>
        <v/>
      </c>
      <c r="C4680" s="14" t="n"/>
      <c r="D4680" s="15" t="n"/>
      <c r="E4680" s="15" t="n"/>
      <c r="F4680" s="15" t="n"/>
      <c r="G4680" s="15" t="n"/>
      <c r="H4680" s="16">
        <f>IF($A4680="","",$D4680+IF($E4680="",0,$E4680)+IF($F4680="",0,$F4680)-IF($G4680="",0,$G4680))</f>
        <v/>
      </c>
      <c r="I4680" s="12" t="n"/>
      <c r="J4680" s="12" t="n"/>
      <c r="K4680" s="12" t="n"/>
      <c r="L4680" s="14" t="n"/>
      <c r="M4680" s="12" t="n"/>
      <c r="N4680" s="12" t="n"/>
      <c r="O4680" s="12" t="n"/>
    </row>
    <row r="4681">
      <c r="A4681" s="12" t="n"/>
      <c r="B4681" s="13">
        <f>IF($A4681="","",IFERROR(INDEX(Emp_Names,MATCH($A4681,Emp_Codes,0)),"NOT FOUND"))</f>
        <v/>
      </c>
      <c r="C4681" s="14" t="n"/>
      <c r="D4681" s="15" t="n"/>
      <c r="E4681" s="15" t="n"/>
      <c r="F4681" s="15" t="n"/>
      <c r="G4681" s="15" t="n"/>
      <c r="H4681" s="16">
        <f>IF($A4681="","",$D4681+IF($E4681="",0,$E4681)+IF($F4681="",0,$F4681)-IF($G4681="",0,$G4681))</f>
        <v/>
      </c>
      <c r="I4681" s="12" t="n"/>
      <c r="J4681" s="12" t="n"/>
      <c r="K4681" s="12" t="n"/>
      <c r="L4681" s="14" t="n"/>
      <c r="M4681" s="12" t="n"/>
      <c r="N4681" s="12" t="n"/>
      <c r="O4681" s="12" t="n"/>
    </row>
    <row r="4682">
      <c r="A4682" s="12" t="n"/>
      <c r="B4682" s="13">
        <f>IF($A4682="","",IFERROR(INDEX(Emp_Names,MATCH($A4682,Emp_Codes,0)),"NOT FOUND"))</f>
        <v/>
      </c>
      <c r="C4682" s="14" t="n"/>
      <c r="D4682" s="15" t="n"/>
      <c r="E4682" s="15" t="n"/>
      <c r="F4682" s="15" t="n"/>
      <c r="G4682" s="15" t="n"/>
      <c r="H4682" s="16">
        <f>IF($A4682="","",$D4682+IF($E4682="",0,$E4682)+IF($F4682="",0,$F4682)-IF($G4682="",0,$G4682))</f>
        <v/>
      </c>
      <c r="I4682" s="12" t="n"/>
      <c r="J4682" s="12" t="n"/>
      <c r="K4682" s="12" t="n"/>
      <c r="L4682" s="14" t="n"/>
      <c r="M4682" s="12" t="n"/>
      <c r="N4682" s="12" t="n"/>
      <c r="O4682" s="12" t="n"/>
    </row>
    <row r="4683">
      <c r="A4683" s="12" t="n"/>
      <c r="B4683" s="13">
        <f>IF($A4683="","",IFERROR(INDEX(Emp_Names,MATCH($A4683,Emp_Codes,0)),"NOT FOUND"))</f>
        <v/>
      </c>
      <c r="C4683" s="14" t="n"/>
      <c r="D4683" s="15" t="n"/>
      <c r="E4683" s="15" t="n"/>
      <c r="F4683" s="15" t="n"/>
      <c r="G4683" s="15" t="n"/>
      <c r="H4683" s="16">
        <f>IF($A4683="","",$D4683+IF($E4683="",0,$E4683)+IF($F4683="",0,$F4683)-IF($G4683="",0,$G4683))</f>
        <v/>
      </c>
      <c r="I4683" s="12" t="n"/>
      <c r="J4683" s="12" t="n"/>
      <c r="K4683" s="12" t="n"/>
      <c r="L4683" s="14" t="n"/>
      <c r="M4683" s="12" t="n"/>
      <c r="N4683" s="12" t="n"/>
      <c r="O4683" s="12" t="n"/>
    </row>
    <row r="4684">
      <c r="A4684" s="12" t="n"/>
      <c r="B4684" s="13">
        <f>IF($A4684="","",IFERROR(INDEX(Emp_Names,MATCH($A4684,Emp_Codes,0)),"NOT FOUND"))</f>
        <v/>
      </c>
      <c r="C4684" s="14" t="n"/>
      <c r="D4684" s="15" t="n"/>
      <c r="E4684" s="15" t="n"/>
      <c r="F4684" s="15" t="n"/>
      <c r="G4684" s="15" t="n"/>
      <c r="H4684" s="16">
        <f>IF($A4684="","",$D4684+IF($E4684="",0,$E4684)+IF($F4684="",0,$F4684)-IF($G4684="",0,$G4684))</f>
        <v/>
      </c>
      <c r="I4684" s="12" t="n"/>
      <c r="J4684" s="12" t="n"/>
      <c r="K4684" s="12" t="n"/>
      <c r="L4684" s="14" t="n"/>
      <c r="M4684" s="12" t="n"/>
      <c r="N4684" s="12" t="n"/>
      <c r="O4684" s="12" t="n"/>
    </row>
    <row r="4685">
      <c r="A4685" s="12" t="n"/>
      <c r="B4685" s="13">
        <f>IF($A4685="","",IFERROR(INDEX(Emp_Names,MATCH($A4685,Emp_Codes,0)),"NOT FOUND"))</f>
        <v/>
      </c>
      <c r="C4685" s="14" t="n"/>
      <c r="D4685" s="15" t="n"/>
      <c r="E4685" s="15" t="n"/>
      <c r="F4685" s="15" t="n"/>
      <c r="G4685" s="15" t="n"/>
      <c r="H4685" s="16">
        <f>IF($A4685="","",$D4685+IF($E4685="",0,$E4685)+IF($F4685="",0,$F4685)-IF($G4685="",0,$G4685))</f>
        <v/>
      </c>
      <c r="I4685" s="12" t="n"/>
      <c r="J4685" s="12" t="n"/>
      <c r="K4685" s="12" t="n"/>
      <c r="L4685" s="14" t="n"/>
      <c r="M4685" s="12" t="n"/>
      <c r="N4685" s="12" t="n"/>
      <c r="O4685" s="12" t="n"/>
    </row>
    <row r="4686">
      <c r="A4686" s="12" t="n"/>
      <c r="B4686" s="13">
        <f>IF($A4686="","",IFERROR(INDEX(Emp_Names,MATCH($A4686,Emp_Codes,0)),"NOT FOUND"))</f>
        <v/>
      </c>
      <c r="C4686" s="14" t="n"/>
      <c r="D4686" s="15" t="n"/>
      <c r="E4686" s="15" t="n"/>
      <c r="F4686" s="15" t="n"/>
      <c r="G4686" s="15" t="n"/>
      <c r="H4686" s="16">
        <f>IF($A4686="","",$D4686+IF($E4686="",0,$E4686)+IF($F4686="",0,$F4686)-IF($G4686="",0,$G4686))</f>
        <v/>
      </c>
      <c r="I4686" s="12" t="n"/>
      <c r="J4686" s="12" t="n"/>
      <c r="K4686" s="12" t="n"/>
      <c r="L4686" s="14" t="n"/>
      <c r="M4686" s="12" t="n"/>
      <c r="N4686" s="12" t="n"/>
      <c r="O4686" s="12" t="n"/>
    </row>
    <row r="4687">
      <c r="A4687" s="12" t="n"/>
      <c r="B4687" s="13">
        <f>IF($A4687="","",IFERROR(INDEX(Emp_Names,MATCH($A4687,Emp_Codes,0)),"NOT FOUND"))</f>
        <v/>
      </c>
      <c r="C4687" s="14" t="n"/>
      <c r="D4687" s="15" t="n"/>
      <c r="E4687" s="15" t="n"/>
      <c r="F4687" s="15" t="n"/>
      <c r="G4687" s="15" t="n"/>
      <c r="H4687" s="16">
        <f>IF($A4687="","",$D4687+IF($E4687="",0,$E4687)+IF($F4687="",0,$F4687)-IF($G4687="",0,$G4687))</f>
        <v/>
      </c>
      <c r="I4687" s="12" t="n"/>
      <c r="J4687" s="12" t="n"/>
      <c r="K4687" s="12" t="n"/>
      <c r="L4687" s="14" t="n"/>
      <c r="M4687" s="12" t="n"/>
      <c r="N4687" s="12" t="n"/>
      <c r="O4687" s="12" t="n"/>
    </row>
    <row r="4688">
      <c r="A4688" s="12" t="n"/>
      <c r="B4688" s="13">
        <f>IF($A4688="","",IFERROR(INDEX(Emp_Names,MATCH($A4688,Emp_Codes,0)),"NOT FOUND"))</f>
        <v/>
      </c>
      <c r="C4688" s="14" t="n"/>
      <c r="D4688" s="15" t="n"/>
      <c r="E4688" s="15" t="n"/>
      <c r="F4688" s="15" t="n"/>
      <c r="G4688" s="15" t="n"/>
      <c r="H4688" s="16">
        <f>IF($A4688="","",$D4688+IF($E4688="",0,$E4688)+IF($F4688="",0,$F4688)-IF($G4688="",0,$G4688))</f>
        <v/>
      </c>
      <c r="I4688" s="12" t="n"/>
      <c r="J4688" s="12" t="n"/>
      <c r="K4688" s="12" t="n"/>
      <c r="L4688" s="14" t="n"/>
      <c r="M4688" s="12" t="n"/>
      <c r="N4688" s="12" t="n"/>
      <c r="O4688" s="12" t="n"/>
    </row>
    <row r="4689">
      <c r="A4689" s="12" t="n"/>
      <c r="B4689" s="13">
        <f>IF($A4689="","",IFERROR(INDEX(Emp_Names,MATCH($A4689,Emp_Codes,0)),"NOT FOUND"))</f>
        <v/>
      </c>
      <c r="C4689" s="14" t="n"/>
      <c r="D4689" s="15" t="n"/>
      <c r="E4689" s="15" t="n"/>
      <c r="F4689" s="15" t="n"/>
      <c r="G4689" s="15" t="n"/>
      <c r="H4689" s="16">
        <f>IF($A4689="","",$D4689+IF($E4689="",0,$E4689)+IF($F4689="",0,$F4689)-IF($G4689="",0,$G4689))</f>
        <v/>
      </c>
      <c r="I4689" s="12" t="n"/>
      <c r="J4689" s="12" t="n"/>
      <c r="K4689" s="12" t="n"/>
      <c r="L4689" s="14" t="n"/>
      <c r="M4689" s="12" t="n"/>
      <c r="N4689" s="12" t="n"/>
      <c r="O4689" s="12" t="n"/>
    </row>
    <row r="4690">
      <c r="A4690" s="12" t="n"/>
      <c r="B4690" s="13">
        <f>IF($A4690="","",IFERROR(INDEX(Emp_Names,MATCH($A4690,Emp_Codes,0)),"NOT FOUND"))</f>
        <v/>
      </c>
      <c r="C4690" s="14" t="n"/>
      <c r="D4690" s="15" t="n"/>
      <c r="E4690" s="15" t="n"/>
      <c r="F4690" s="15" t="n"/>
      <c r="G4690" s="15" t="n"/>
      <c r="H4690" s="16">
        <f>IF($A4690="","",$D4690+IF($E4690="",0,$E4690)+IF($F4690="",0,$F4690)-IF($G4690="",0,$G4690))</f>
        <v/>
      </c>
      <c r="I4690" s="12" t="n"/>
      <c r="J4690" s="12" t="n"/>
      <c r="K4690" s="12" t="n"/>
      <c r="L4690" s="14" t="n"/>
      <c r="M4690" s="12" t="n"/>
      <c r="N4690" s="12" t="n"/>
      <c r="O4690" s="12" t="n"/>
    </row>
    <row r="4691">
      <c r="A4691" s="12" t="n"/>
      <c r="B4691" s="13">
        <f>IF($A4691="","",IFERROR(INDEX(Emp_Names,MATCH($A4691,Emp_Codes,0)),"NOT FOUND"))</f>
        <v/>
      </c>
      <c r="C4691" s="14" t="n"/>
      <c r="D4691" s="15" t="n"/>
      <c r="E4691" s="15" t="n"/>
      <c r="F4691" s="15" t="n"/>
      <c r="G4691" s="15" t="n"/>
      <c r="H4691" s="16">
        <f>IF($A4691="","",$D4691+IF($E4691="",0,$E4691)+IF($F4691="",0,$F4691)-IF($G4691="",0,$G4691))</f>
        <v/>
      </c>
      <c r="I4691" s="12" t="n"/>
      <c r="J4691" s="12" t="n"/>
      <c r="K4691" s="12" t="n"/>
      <c r="L4691" s="14" t="n"/>
      <c r="M4691" s="12" t="n"/>
      <c r="N4691" s="12" t="n"/>
      <c r="O4691" s="12" t="n"/>
    </row>
    <row r="4692">
      <c r="A4692" s="12" t="n"/>
      <c r="B4692" s="13">
        <f>IF($A4692="","",IFERROR(INDEX(Emp_Names,MATCH($A4692,Emp_Codes,0)),"NOT FOUND"))</f>
        <v/>
      </c>
      <c r="C4692" s="14" t="n"/>
      <c r="D4692" s="15" t="n"/>
      <c r="E4692" s="15" t="n"/>
      <c r="F4692" s="15" t="n"/>
      <c r="G4692" s="15" t="n"/>
      <c r="H4692" s="16">
        <f>IF($A4692="","",$D4692+IF($E4692="",0,$E4692)+IF($F4692="",0,$F4692)-IF($G4692="",0,$G4692))</f>
        <v/>
      </c>
      <c r="I4692" s="12" t="n"/>
      <c r="J4692" s="12" t="n"/>
      <c r="K4692" s="12" t="n"/>
      <c r="L4692" s="14" t="n"/>
      <c r="M4692" s="12" t="n"/>
      <c r="N4692" s="12" t="n"/>
      <c r="O4692" s="12" t="n"/>
    </row>
    <row r="4693">
      <c r="A4693" s="12" t="n"/>
      <c r="B4693" s="13">
        <f>IF($A4693="","",IFERROR(INDEX(Emp_Names,MATCH($A4693,Emp_Codes,0)),"NOT FOUND"))</f>
        <v/>
      </c>
      <c r="C4693" s="14" t="n"/>
      <c r="D4693" s="15" t="n"/>
      <c r="E4693" s="15" t="n"/>
      <c r="F4693" s="15" t="n"/>
      <c r="G4693" s="15" t="n"/>
      <c r="H4693" s="16">
        <f>IF($A4693="","",$D4693+IF($E4693="",0,$E4693)+IF($F4693="",0,$F4693)-IF($G4693="",0,$G4693))</f>
        <v/>
      </c>
      <c r="I4693" s="12" t="n"/>
      <c r="J4693" s="12" t="n"/>
      <c r="K4693" s="12" t="n"/>
      <c r="L4693" s="14" t="n"/>
      <c r="M4693" s="12" t="n"/>
      <c r="N4693" s="12" t="n"/>
      <c r="O4693" s="12" t="n"/>
    </row>
    <row r="4694">
      <c r="A4694" s="12" t="n"/>
      <c r="B4694" s="13">
        <f>IF($A4694="","",IFERROR(INDEX(Emp_Names,MATCH($A4694,Emp_Codes,0)),"NOT FOUND"))</f>
        <v/>
      </c>
      <c r="C4694" s="14" t="n"/>
      <c r="D4694" s="15" t="n"/>
      <c r="E4694" s="15" t="n"/>
      <c r="F4694" s="15" t="n"/>
      <c r="G4694" s="15" t="n"/>
      <c r="H4694" s="16">
        <f>IF($A4694="","",$D4694+IF($E4694="",0,$E4694)+IF($F4694="",0,$F4694)-IF($G4694="",0,$G4694))</f>
        <v/>
      </c>
      <c r="I4694" s="12" t="n"/>
      <c r="J4694" s="12" t="n"/>
      <c r="K4694" s="12" t="n"/>
      <c r="L4694" s="14" t="n"/>
      <c r="M4694" s="12" t="n"/>
      <c r="N4694" s="12" t="n"/>
      <c r="O4694" s="12" t="n"/>
    </row>
    <row r="4695">
      <c r="A4695" s="12" t="n"/>
      <c r="B4695" s="13">
        <f>IF($A4695="","",IFERROR(INDEX(Emp_Names,MATCH($A4695,Emp_Codes,0)),"NOT FOUND"))</f>
        <v/>
      </c>
      <c r="C4695" s="14" t="n"/>
      <c r="D4695" s="15" t="n"/>
      <c r="E4695" s="15" t="n"/>
      <c r="F4695" s="15" t="n"/>
      <c r="G4695" s="15" t="n"/>
      <c r="H4695" s="16">
        <f>IF($A4695="","",$D4695+IF($E4695="",0,$E4695)+IF($F4695="",0,$F4695)-IF($G4695="",0,$G4695))</f>
        <v/>
      </c>
      <c r="I4695" s="12" t="n"/>
      <c r="J4695" s="12" t="n"/>
      <c r="K4695" s="12" t="n"/>
      <c r="L4695" s="14" t="n"/>
      <c r="M4695" s="12" t="n"/>
      <c r="N4695" s="12" t="n"/>
      <c r="O4695" s="12" t="n"/>
    </row>
    <row r="4696">
      <c r="A4696" s="12" t="n"/>
      <c r="B4696" s="13">
        <f>IF($A4696="","",IFERROR(INDEX(Emp_Names,MATCH($A4696,Emp_Codes,0)),"NOT FOUND"))</f>
        <v/>
      </c>
      <c r="C4696" s="14" t="n"/>
      <c r="D4696" s="15" t="n"/>
      <c r="E4696" s="15" t="n"/>
      <c r="F4696" s="15" t="n"/>
      <c r="G4696" s="15" t="n"/>
      <c r="H4696" s="16">
        <f>IF($A4696="","",$D4696+IF($E4696="",0,$E4696)+IF($F4696="",0,$F4696)-IF($G4696="",0,$G4696))</f>
        <v/>
      </c>
      <c r="I4696" s="12" t="n"/>
      <c r="J4696" s="12" t="n"/>
      <c r="K4696" s="12" t="n"/>
      <c r="L4696" s="14" t="n"/>
      <c r="M4696" s="12" t="n"/>
      <c r="N4696" s="12" t="n"/>
      <c r="O4696" s="12" t="n"/>
    </row>
    <row r="4697">
      <c r="A4697" s="12" t="n"/>
      <c r="B4697" s="13">
        <f>IF($A4697="","",IFERROR(INDEX(Emp_Names,MATCH($A4697,Emp_Codes,0)),"NOT FOUND"))</f>
        <v/>
      </c>
      <c r="C4697" s="14" t="n"/>
      <c r="D4697" s="15" t="n"/>
      <c r="E4697" s="15" t="n"/>
      <c r="F4697" s="15" t="n"/>
      <c r="G4697" s="15" t="n"/>
      <c r="H4697" s="16">
        <f>IF($A4697="","",$D4697+IF($E4697="",0,$E4697)+IF($F4697="",0,$F4697)-IF($G4697="",0,$G4697))</f>
        <v/>
      </c>
      <c r="I4697" s="12" t="n"/>
      <c r="J4697" s="12" t="n"/>
      <c r="K4697" s="12" t="n"/>
      <c r="L4697" s="14" t="n"/>
      <c r="M4697" s="12" t="n"/>
      <c r="N4697" s="12" t="n"/>
      <c r="O4697" s="12" t="n"/>
    </row>
    <row r="4698">
      <c r="A4698" s="12" t="n"/>
      <c r="B4698" s="13">
        <f>IF($A4698="","",IFERROR(INDEX(Emp_Names,MATCH($A4698,Emp_Codes,0)),"NOT FOUND"))</f>
        <v/>
      </c>
      <c r="C4698" s="14" t="n"/>
      <c r="D4698" s="15" t="n"/>
      <c r="E4698" s="15" t="n"/>
      <c r="F4698" s="15" t="n"/>
      <c r="G4698" s="15" t="n"/>
      <c r="H4698" s="16">
        <f>IF($A4698="","",$D4698+IF($E4698="",0,$E4698)+IF($F4698="",0,$F4698)-IF($G4698="",0,$G4698))</f>
        <v/>
      </c>
      <c r="I4698" s="12" t="n"/>
      <c r="J4698" s="12" t="n"/>
      <c r="K4698" s="12" t="n"/>
      <c r="L4698" s="14" t="n"/>
      <c r="M4698" s="12" t="n"/>
      <c r="N4698" s="12" t="n"/>
      <c r="O4698" s="12" t="n"/>
    </row>
    <row r="4699">
      <c r="A4699" s="12" t="n"/>
      <c r="B4699" s="13">
        <f>IF($A4699="","",IFERROR(INDEX(Emp_Names,MATCH($A4699,Emp_Codes,0)),"NOT FOUND"))</f>
        <v/>
      </c>
      <c r="C4699" s="14" t="n"/>
      <c r="D4699" s="15" t="n"/>
      <c r="E4699" s="15" t="n"/>
      <c r="F4699" s="15" t="n"/>
      <c r="G4699" s="15" t="n"/>
      <c r="H4699" s="16">
        <f>IF($A4699="","",$D4699+IF($E4699="",0,$E4699)+IF($F4699="",0,$F4699)-IF($G4699="",0,$G4699))</f>
        <v/>
      </c>
      <c r="I4699" s="12" t="n"/>
      <c r="J4699" s="12" t="n"/>
      <c r="K4699" s="12" t="n"/>
      <c r="L4699" s="14" t="n"/>
      <c r="M4699" s="12" t="n"/>
      <c r="N4699" s="12" t="n"/>
      <c r="O4699" s="12" t="n"/>
    </row>
    <row r="4700">
      <c r="A4700" s="12" t="n"/>
      <c r="B4700" s="13">
        <f>IF($A4700="","",IFERROR(INDEX(Emp_Names,MATCH($A4700,Emp_Codes,0)),"NOT FOUND"))</f>
        <v/>
      </c>
      <c r="C4700" s="14" t="n"/>
      <c r="D4700" s="15" t="n"/>
      <c r="E4700" s="15" t="n"/>
      <c r="F4700" s="15" t="n"/>
      <c r="G4700" s="15" t="n"/>
      <c r="H4700" s="16">
        <f>IF($A4700="","",$D4700+IF($E4700="",0,$E4700)+IF($F4700="",0,$F4700)-IF($G4700="",0,$G4700))</f>
        <v/>
      </c>
      <c r="I4700" s="12" t="n"/>
      <c r="J4700" s="12" t="n"/>
      <c r="K4700" s="12" t="n"/>
      <c r="L4700" s="14" t="n"/>
      <c r="M4700" s="12" t="n"/>
      <c r="N4700" s="12" t="n"/>
      <c r="O4700" s="12" t="n"/>
    </row>
    <row r="4701">
      <c r="A4701" s="12" t="n"/>
      <c r="B4701" s="13">
        <f>IF($A4701="","",IFERROR(INDEX(Emp_Names,MATCH($A4701,Emp_Codes,0)),"NOT FOUND"))</f>
        <v/>
      </c>
      <c r="C4701" s="14" t="n"/>
      <c r="D4701" s="15" t="n"/>
      <c r="E4701" s="15" t="n"/>
      <c r="F4701" s="15" t="n"/>
      <c r="G4701" s="15" t="n"/>
      <c r="H4701" s="16">
        <f>IF($A4701="","",$D4701+IF($E4701="",0,$E4701)+IF($F4701="",0,$F4701)-IF($G4701="",0,$G4701))</f>
        <v/>
      </c>
      <c r="I4701" s="12" t="n"/>
      <c r="J4701" s="12" t="n"/>
      <c r="K4701" s="12" t="n"/>
      <c r="L4701" s="14" t="n"/>
      <c r="M4701" s="12" t="n"/>
      <c r="N4701" s="12" t="n"/>
      <c r="O4701" s="12" t="n"/>
    </row>
    <row r="4702">
      <c r="A4702" s="12" t="n"/>
      <c r="B4702" s="13">
        <f>IF($A4702="","",IFERROR(INDEX(Emp_Names,MATCH($A4702,Emp_Codes,0)),"NOT FOUND"))</f>
        <v/>
      </c>
      <c r="C4702" s="14" t="n"/>
      <c r="D4702" s="15" t="n"/>
      <c r="E4702" s="15" t="n"/>
      <c r="F4702" s="15" t="n"/>
      <c r="G4702" s="15" t="n"/>
      <c r="H4702" s="16">
        <f>IF($A4702="","",$D4702+IF($E4702="",0,$E4702)+IF($F4702="",0,$F4702)-IF($G4702="",0,$G4702))</f>
        <v/>
      </c>
      <c r="I4702" s="12" t="n"/>
      <c r="J4702" s="12" t="n"/>
      <c r="K4702" s="12" t="n"/>
      <c r="L4702" s="14" t="n"/>
      <c r="M4702" s="12" t="n"/>
      <c r="N4702" s="12" t="n"/>
      <c r="O4702" s="12" t="n"/>
    </row>
    <row r="4703">
      <c r="A4703" s="12" t="n"/>
      <c r="B4703" s="13">
        <f>IF($A4703="","",IFERROR(INDEX(Emp_Names,MATCH($A4703,Emp_Codes,0)),"NOT FOUND"))</f>
        <v/>
      </c>
      <c r="C4703" s="14" t="n"/>
      <c r="D4703" s="15" t="n"/>
      <c r="E4703" s="15" t="n"/>
      <c r="F4703" s="15" t="n"/>
      <c r="G4703" s="15" t="n"/>
      <c r="H4703" s="16">
        <f>IF($A4703="","",$D4703+IF($E4703="",0,$E4703)+IF($F4703="",0,$F4703)-IF($G4703="",0,$G4703))</f>
        <v/>
      </c>
      <c r="I4703" s="12" t="n"/>
      <c r="J4703" s="12" t="n"/>
      <c r="K4703" s="12" t="n"/>
      <c r="L4703" s="14" t="n"/>
      <c r="M4703" s="12" t="n"/>
      <c r="N4703" s="12" t="n"/>
      <c r="O4703" s="12" t="n"/>
    </row>
    <row r="4704">
      <c r="A4704" s="12" t="n"/>
      <c r="B4704" s="13">
        <f>IF($A4704="","",IFERROR(INDEX(Emp_Names,MATCH($A4704,Emp_Codes,0)),"NOT FOUND"))</f>
        <v/>
      </c>
      <c r="C4704" s="14" t="n"/>
      <c r="D4704" s="15" t="n"/>
      <c r="E4704" s="15" t="n"/>
      <c r="F4704" s="15" t="n"/>
      <c r="G4704" s="15" t="n"/>
      <c r="H4704" s="16">
        <f>IF($A4704="","",$D4704+IF($E4704="",0,$E4704)+IF($F4704="",0,$F4704)-IF($G4704="",0,$G4704))</f>
        <v/>
      </c>
      <c r="I4704" s="12" t="n"/>
      <c r="J4704" s="12" t="n"/>
      <c r="K4704" s="12" t="n"/>
      <c r="L4704" s="14" t="n"/>
      <c r="M4704" s="12" t="n"/>
      <c r="N4704" s="12" t="n"/>
      <c r="O4704" s="12" t="n"/>
    </row>
    <row r="4705">
      <c r="A4705" s="12" t="n"/>
      <c r="B4705" s="13">
        <f>IF($A4705="","",IFERROR(INDEX(Emp_Names,MATCH($A4705,Emp_Codes,0)),"NOT FOUND"))</f>
        <v/>
      </c>
      <c r="C4705" s="14" t="n"/>
      <c r="D4705" s="15" t="n"/>
      <c r="E4705" s="15" t="n"/>
      <c r="F4705" s="15" t="n"/>
      <c r="G4705" s="15" t="n"/>
      <c r="H4705" s="16">
        <f>IF($A4705="","",$D4705+IF($E4705="",0,$E4705)+IF($F4705="",0,$F4705)-IF($G4705="",0,$G4705))</f>
        <v/>
      </c>
      <c r="I4705" s="12" t="n"/>
      <c r="J4705" s="12" t="n"/>
      <c r="K4705" s="12" t="n"/>
      <c r="L4705" s="14" t="n"/>
      <c r="M4705" s="12" t="n"/>
      <c r="N4705" s="12" t="n"/>
      <c r="O4705" s="12" t="n"/>
    </row>
    <row r="4706">
      <c r="A4706" s="12" t="n"/>
      <c r="B4706" s="13">
        <f>IF($A4706="","",IFERROR(INDEX(Emp_Names,MATCH($A4706,Emp_Codes,0)),"NOT FOUND"))</f>
        <v/>
      </c>
      <c r="C4706" s="14" t="n"/>
      <c r="D4706" s="15" t="n"/>
      <c r="E4706" s="15" t="n"/>
      <c r="F4706" s="15" t="n"/>
      <c r="G4706" s="15" t="n"/>
      <c r="H4706" s="16">
        <f>IF($A4706="","",$D4706+IF($E4706="",0,$E4706)+IF($F4706="",0,$F4706)-IF($G4706="",0,$G4706))</f>
        <v/>
      </c>
      <c r="I4706" s="12" t="n"/>
      <c r="J4706" s="12" t="n"/>
      <c r="K4706" s="12" t="n"/>
      <c r="L4706" s="14" t="n"/>
      <c r="M4706" s="12" t="n"/>
      <c r="N4706" s="12" t="n"/>
      <c r="O4706" s="12" t="n"/>
    </row>
    <row r="4707">
      <c r="A4707" s="12" t="n"/>
      <c r="B4707" s="13">
        <f>IF($A4707="","",IFERROR(INDEX(Emp_Names,MATCH($A4707,Emp_Codes,0)),"NOT FOUND"))</f>
        <v/>
      </c>
      <c r="C4707" s="14" t="n"/>
      <c r="D4707" s="15" t="n"/>
      <c r="E4707" s="15" t="n"/>
      <c r="F4707" s="15" t="n"/>
      <c r="G4707" s="15" t="n"/>
      <c r="H4707" s="16">
        <f>IF($A4707="","",$D4707+IF($E4707="",0,$E4707)+IF($F4707="",0,$F4707)-IF($G4707="",0,$G4707))</f>
        <v/>
      </c>
      <c r="I4707" s="12" t="n"/>
      <c r="J4707" s="12" t="n"/>
      <c r="K4707" s="12" t="n"/>
      <c r="L4707" s="14" t="n"/>
      <c r="M4707" s="12" t="n"/>
      <c r="N4707" s="12" t="n"/>
      <c r="O4707" s="12" t="n"/>
    </row>
    <row r="4708">
      <c r="A4708" s="12" t="n"/>
      <c r="B4708" s="13">
        <f>IF($A4708="","",IFERROR(INDEX(Emp_Names,MATCH($A4708,Emp_Codes,0)),"NOT FOUND"))</f>
        <v/>
      </c>
      <c r="C4708" s="14" t="n"/>
      <c r="D4708" s="15" t="n"/>
      <c r="E4708" s="15" t="n"/>
      <c r="F4708" s="15" t="n"/>
      <c r="G4708" s="15" t="n"/>
      <c r="H4708" s="16">
        <f>IF($A4708="","",$D4708+IF($E4708="",0,$E4708)+IF($F4708="",0,$F4708)-IF($G4708="",0,$G4708))</f>
        <v/>
      </c>
      <c r="I4708" s="12" t="n"/>
      <c r="J4708" s="12" t="n"/>
      <c r="K4708" s="12" t="n"/>
      <c r="L4708" s="14" t="n"/>
      <c r="M4708" s="12" t="n"/>
      <c r="N4708" s="12" t="n"/>
      <c r="O4708" s="12" t="n"/>
    </row>
    <row r="4709">
      <c r="A4709" s="12" t="n"/>
      <c r="B4709" s="13">
        <f>IF($A4709="","",IFERROR(INDEX(Emp_Names,MATCH($A4709,Emp_Codes,0)),"NOT FOUND"))</f>
        <v/>
      </c>
      <c r="C4709" s="14" t="n"/>
      <c r="D4709" s="15" t="n"/>
      <c r="E4709" s="15" t="n"/>
      <c r="F4709" s="15" t="n"/>
      <c r="G4709" s="15" t="n"/>
      <c r="H4709" s="16">
        <f>IF($A4709="","",$D4709+IF($E4709="",0,$E4709)+IF($F4709="",0,$F4709)-IF($G4709="",0,$G4709))</f>
        <v/>
      </c>
      <c r="I4709" s="12" t="n"/>
      <c r="J4709" s="12" t="n"/>
      <c r="K4709" s="12" t="n"/>
      <c r="L4709" s="14" t="n"/>
      <c r="M4709" s="12" t="n"/>
      <c r="N4709" s="12" t="n"/>
      <c r="O4709" s="12" t="n"/>
    </row>
    <row r="4710">
      <c r="A4710" s="12" t="n"/>
      <c r="B4710" s="13">
        <f>IF($A4710="","",IFERROR(INDEX(Emp_Names,MATCH($A4710,Emp_Codes,0)),"NOT FOUND"))</f>
        <v/>
      </c>
      <c r="C4710" s="14" t="n"/>
      <c r="D4710" s="15" t="n"/>
      <c r="E4710" s="15" t="n"/>
      <c r="F4710" s="15" t="n"/>
      <c r="G4710" s="15" t="n"/>
      <c r="H4710" s="16">
        <f>IF($A4710="","",$D4710+IF($E4710="",0,$E4710)+IF($F4710="",0,$F4710)-IF($G4710="",0,$G4710))</f>
        <v/>
      </c>
      <c r="I4710" s="12" t="n"/>
      <c r="J4710" s="12" t="n"/>
      <c r="K4710" s="12" t="n"/>
      <c r="L4710" s="14" t="n"/>
      <c r="M4710" s="12" t="n"/>
      <c r="N4710" s="12" t="n"/>
      <c r="O4710" s="12" t="n"/>
    </row>
    <row r="4711">
      <c r="A4711" s="12" t="n"/>
      <c r="B4711" s="13">
        <f>IF($A4711="","",IFERROR(INDEX(Emp_Names,MATCH($A4711,Emp_Codes,0)),"NOT FOUND"))</f>
        <v/>
      </c>
      <c r="C4711" s="14" t="n"/>
      <c r="D4711" s="15" t="n"/>
      <c r="E4711" s="15" t="n"/>
      <c r="F4711" s="15" t="n"/>
      <c r="G4711" s="15" t="n"/>
      <c r="H4711" s="16">
        <f>IF($A4711="","",$D4711+IF($E4711="",0,$E4711)+IF($F4711="",0,$F4711)-IF($G4711="",0,$G4711))</f>
        <v/>
      </c>
      <c r="I4711" s="12" t="n"/>
      <c r="J4711" s="12" t="n"/>
      <c r="K4711" s="12" t="n"/>
      <c r="L4711" s="14" t="n"/>
      <c r="M4711" s="12" t="n"/>
      <c r="N4711" s="12" t="n"/>
      <c r="O4711" s="12" t="n"/>
    </row>
    <row r="4712">
      <c r="A4712" s="12" t="n"/>
      <c r="B4712" s="13">
        <f>IF($A4712="","",IFERROR(INDEX(Emp_Names,MATCH($A4712,Emp_Codes,0)),"NOT FOUND"))</f>
        <v/>
      </c>
      <c r="C4712" s="14" t="n"/>
      <c r="D4712" s="15" t="n"/>
      <c r="E4712" s="15" t="n"/>
      <c r="F4712" s="15" t="n"/>
      <c r="G4712" s="15" t="n"/>
      <c r="H4712" s="16">
        <f>IF($A4712="","",$D4712+IF($E4712="",0,$E4712)+IF($F4712="",0,$F4712)-IF($G4712="",0,$G4712))</f>
        <v/>
      </c>
      <c r="I4712" s="12" t="n"/>
      <c r="J4712" s="12" t="n"/>
      <c r="K4712" s="12" t="n"/>
      <c r="L4712" s="14" t="n"/>
      <c r="M4712" s="12" t="n"/>
      <c r="N4712" s="12" t="n"/>
      <c r="O4712" s="12" t="n"/>
    </row>
    <row r="4713">
      <c r="A4713" s="12" t="n"/>
      <c r="B4713" s="13">
        <f>IF($A4713="","",IFERROR(INDEX(Emp_Names,MATCH($A4713,Emp_Codes,0)),"NOT FOUND"))</f>
        <v/>
      </c>
      <c r="C4713" s="14" t="n"/>
      <c r="D4713" s="15" t="n"/>
      <c r="E4713" s="15" t="n"/>
      <c r="F4713" s="15" t="n"/>
      <c r="G4713" s="15" t="n"/>
      <c r="H4713" s="16">
        <f>IF($A4713="","",$D4713+IF($E4713="",0,$E4713)+IF($F4713="",0,$F4713)-IF($G4713="",0,$G4713))</f>
        <v/>
      </c>
      <c r="I4713" s="12" t="n"/>
      <c r="J4713" s="12" t="n"/>
      <c r="K4713" s="12" t="n"/>
      <c r="L4713" s="14" t="n"/>
      <c r="M4713" s="12" t="n"/>
      <c r="N4713" s="12" t="n"/>
      <c r="O4713" s="12" t="n"/>
    </row>
    <row r="4714">
      <c r="A4714" s="12" t="n"/>
      <c r="B4714" s="13">
        <f>IF($A4714="","",IFERROR(INDEX(Emp_Names,MATCH($A4714,Emp_Codes,0)),"NOT FOUND"))</f>
        <v/>
      </c>
      <c r="C4714" s="14" t="n"/>
      <c r="D4714" s="15" t="n"/>
      <c r="E4714" s="15" t="n"/>
      <c r="F4714" s="15" t="n"/>
      <c r="G4714" s="15" t="n"/>
      <c r="H4714" s="16">
        <f>IF($A4714="","",$D4714+IF($E4714="",0,$E4714)+IF($F4714="",0,$F4714)-IF($G4714="",0,$G4714))</f>
        <v/>
      </c>
      <c r="I4714" s="12" t="n"/>
      <c r="J4714" s="12" t="n"/>
      <c r="K4714" s="12" t="n"/>
      <c r="L4714" s="14" t="n"/>
      <c r="M4714" s="12" t="n"/>
      <c r="N4714" s="12" t="n"/>
      <c r="O4714" s="12" t="n"/>
    </row>
    <row r="4715">
      <c r="A4715" s="12" t="n"/>
      <c r="B4715" s="13">
        <f>IF($A4715="","",IFERROR(INDEX(Emp_Names,MATCH($A4715,Emp_Codes,0)),"NOT FOUND"))</f>
        <v/>
      </c>
      <c r="C4715" s="14" t="n"/>
      <c r="D4715" s="15" t="n"/>
      <c r="E4715" s="15" t="n"/>
      <c r="F4715" s="15" t="n"/>
      <c r="G4715" s="15" t="n"/>
      <c r="H4715" s="16">
        <f>IF($A4715="","",$D4715+IF($E4715="",0,$E4715)+IF($F4715="",0,$F4715)-IF($G4715="",0,$G4715))</f>
        <v/>
      </c>
      <c r="I4715" s="12" t="n"/>
      <c r="J4715" s="12" t="n"/>
      <c r="K4715" s="12" t="n"/>
      <c r="L4715" s="14" t="n"/>
      <c r="M4715" s="12" t="n"/>
      <c r="N4715" s="12" t="n"/>
      <c r="O4715" s="12" t="n"/>
    </row>
    <row r="4716">
      <c r="A4716" s="12" t="n"/>
      <c r="B4716" s="13">
        <f>IF($A4716="","",IFERROR(INDEX(Emp_Names,MATCH($A4716,Emp_Codes,0)),"NOT FOUND"))</f>
        <v/>
      </c>
      <c r="C4716" s="14" t="n"/>
      <c r="D4716" s="15" t="n"/>
      <c r="E4716" s="15" t="n"/>
      <c r="F4716" s="15" t="n"/>
      <c r="G4716" s="15" t="n"/>
      <c r="H4716" s="16">
        <f>IF($A4716="","",$D4716+IF($E4716="",0,$E4716)+IF($F4716="",0,$F4716)-IF($G4716="",0,$G4716))</f>
        <v/>
      </c>
      <c r="I4716" s="12" t="n"/>
      <c r="J4716" s="12" t="n"/>
      <c r="K4716" s="12" t="n"/>
      <c r="L4716" s="14" t="n"/>
      <c r="M4716" s="12" t="n"/>
      <c r="N4716" s="12" t="n"/>
      <c r="O4716" s="12" t="n"/>
    </row>
    <row r="4717">
      <c r="A4717" s="12" t="n"/>
      <c r="B4717" s="13">
        <f>IF($A4717="","",IFERROR(INDEX(Emp_Names,MATCH($A4717,Emp_Codes,0)),"NOT FOUND"))</f>
        <v/>
      </c>
      <c r="C4717" s="14" t="n"/>
      <c r="D4717" s="15" t="n"/>
      <c r="E4717" s="15" t="n"/>
      <c r="F4717" s="15" t="n"/>
      <c r="G4717" s="15" t="n"/>
      <c r="H4717" s="16">
        <f>IF($A4717="","",$D4717+IF($E4717="",0,$E4717)+IF($F4717="",0,$F4717)-IF($G4717="",0,$G4717))</f>
        <v/>
      </c>
      <c r="I4717" s="12" t="n"/>
      <c r="J4717" s="12" t="n"/>
      <c r="K4717" s="12" t="n"/>
      <c r="L4717" s="14" t="n"/>
      <c r="M4717" s="12" t="n"/>
      <c r="N4717" s="12" t="n"/>
      <c r="O4717" s="12" t="n"/>
    </row>
    <row r="4718">
      <c r="A4718" s="12" t="n"/>
      <c r="B4718" s="13">
        <f>IF($A4718="","",IFERROR(INDEX(Emp_Names,MATCH($A4718,Emp_Codes,0)),"NOT FOUND"))</f>
        <v/>
      </c>
      <c r="C4718" s="14" t="n"/>
      <c r="D4718" s="15" t="n"/>
      <c r="E4718" s="15" t="n"/>
      <c r="F4718" s="15" t="n"/>
      <c r="G4718" s="15" t="n"/>
      <c r="H4718" s="16">
        <f>IF($A4718="","",$D4718+IF($E4718="",0,$E4718)+IF($F4718="",0,$F4718)-IF($G4718="",0,$G4718))</f>
        <v/>
      </c>
      <c r="I4718" s="12" t="n"/>
      <c r="J4718" s="12" t="n"/>
      <c r="K4718" s="12" t="n"/>
      <c r="L4718" s="14" t="n"/>
      <c r="M4718" s="12" t="n"/>
      <c r="N4718" s="12" t="n"/>
      <c r="O4718" s="12" t="n"/>
    </row>
    <row r="4719">
      <c r="A4719" s="12" t="n"/>
      <c r="B4719" s="13">
        <f>IF($A4719="","",IFERROR(INDEX(Emp_Names,MATCH($A4719,Emp_Codes,0)),"NOT FOUND"))</f>
        <v/>
      </c>
      <c r="C4719" s="14" t="n"/>
      <c r="D4719" s="15" t="n"/>
      <c r="E4719" s="15" t="n"/>
      <c r="F4719" s="15" t="n"/>
      <c r="G4719" s="15" t="n"/>
      <c r="H4719" s="16">
        <f>IF($A4719="","",$D4719+IF($E4719="",0,$E4719)+IF($F4719="",0,$F4719)-IF($G4719="",0,$G4719))</f>
        <v/>
      </c>
      <c r="I4719" s="12" t="n"/>
      <c r="J4719" s="12" t="n"/>
      <c r="K4719" s="12" t="n"/>
      <c r="L4719" s="14" t="n"/>
      <c r="M4719" s="12" t="n"/>
      <c r="N4719" s="12" t="n"/>
      <c r="O4719" s="12" t="n"/>
    </row>
    <row r="4720">
      <c r="A4720" s="12" t="n"/>
      <c r="B4720" s="13">
        <f>IF($A4720="","",IFERROR(INDEX(Emp_Names,MATCH($A4720,Emp_Codes,0)),"NOT FOUND"))</f>
        <v/>
      </c>
      <c r="C4720" s="14" t="n"/>
      <c r="D4720" s="15" t="n"/>
      <c r="E4720" s="15" t="n"/>
      <c r="F4720" s="15" t="n"/>
      <c r="G4720" s="15" t="n"/>
      <c r="H4720" s="16">
        <f>IF($A4720="","",$D4720+IF($E4720="",0,$E4720)+IF($F4720="",0,$F4720)-IF($G4720="",0,$G4720))</f>
        <v/>
      </c>
      <c r="I4720" s="12" t="n"/>
      <c r="J4720" s="12" t="n"/>
      <c r="K4720" s="12" t="n"/>
      <c r="L4720" s="14" t="n"/>
      <c r="M4720" s="12" t="n"/>
      <c r="N4720" s="12" t="n"/>
      <c r="O4720" s="12" t="n"/>
    </row>
    <row r="4721">
      <c r="A4721" s="12" t="n"/>
      <c r="B4721" s="13">
        <f>IF($A4721="","",IFERROR(INDEX(Emp_Names,MATCH($A4721,Emp_Codes,0)),"NOT FOUND"))</f>
        <v/>
      </c>
      <c r="C4721" s="14" t="n"/>
      <c r="D4721" s="15" t="n"/>
      <c r="E4721" s="15" t="n"/>
      <c r="F4721" s="15" t="n"/>
      <c r="G4721" s="15" t="n"/>
      <c r="H4721" s="16">
        <f>IF($A4721="","",$D4721+IF($E4721="",0,$E4721)+IF($F4721="",0,$F4721)-IF($G4721="",0,$G4721))</f>
        <v/>
      </c>
      <c r="I4721" s="12" t="n"/>
      <c r="J4721" s="12" t="n"/>
      <c r="K4721" s="12" t="n"/>
      <c r="L4721" s="14" t="n"/>
      <c r="M4721" s="12" t="n"/>
      <c r="N4721" s="12" t="n"/>
      <c r="O4721" s="12" t="n"/>
    </row>
    <row r="4722">
      <c r="A4722" s="12" t="n"/>
      <c r="B4722" s="13">
        <f>IF($A4722="","",IFERROR(INDEX(Emp_Names,MATCH($A4722,Emp_Codes,0)),"NOT FOUND"))</f>
        <v/>
      </c>
      <c r="C4722" s="14" t="n"/>
      <c r="D4722" s="15" t="n"/>
      <c r="E4722" s="15" t="n"/>
      <c r="F4722" s="15" t="n"/>
      <c r="G4722" s="15" t="n"/>
      <c r="H4722" s="16">
        <f>IF($A4722="","",$D4722+IF($E4722="",0,$E4722)+IF($F4722="",0,$F4722)-IF($G4722="",0,$G4722))</f>
        <v/>
      </c>
      <c r="I4722" s="12" t="n"/>
      <c r="J4722" s="12" t="n"/>
      <c r="K4722" s="12" t="n"/>
      <c r="L4722" s="14" t="n"/>
      <c r="M4722" s="12" t="n"/>
      <c r="N4722" s="12" t="n"/>
      <c r="O4722" s="12" t="n"/>
    </row>
    <row r="4723">
      <c r="A4723" s="12" t="n"/>
      <c r="B4723" s="13">
        <f>IF($A4723="","",IFERROR(INDEX(Emp_Names,MATCH($A4723,Emp_Codes,0)),"NOT FOUND"))</f>
        <v/>
      </c>
      <c r="C4723" s="14" t="n"/>
      <c r="D4723" s="15" t="n"/>
      <c r="E4723" s="15" t="n"/>
      <c r="F4723" s="15" t="n"/>
      <c r="G4723" s="15" t="n"/>
      <c r="H4723" s="16">
        <f>IF($A4723="","",$D4723+IF($E4723="",0,$E4723)+IF($F4723="",0,$F4723)-IF($G4723="",0,$G4723))</f>
        <v/>
      </c>
      <c r="I4723" s="12" t="n"/>
      <c r="J4723" s="12" t="n"/>
      <c r="K4723" s="12" t="n"/>
      <c r="L4723" s="14" t="n"/>
      <c r="M4723" s="12" t="n"/>
      <c r="N4723" s="12" t="n"/>
      <c r="O4723" s="12" t="n"/>
    </row>
    <row r="4724">
      <c r="A4724" s="12" t="n"/>
      <c r="B4724" s="13">
        <f>IF($A4724="","",IFERROR(INDEX(Emp_Names,MATCH($A4724,Emp_Codes,0)),"NOT FOUND"))</f>
        <v/>
      </c>
      <c r="C4724" s="14" t="n"/>
      <c r="D4724" s="15" t="n"/>
      <c r="E4724" s="15" t="n"/>
      <c r="F4724" s="15" t="n"/>
      <c r="G4724" s="15" t="n"/>
      <c r="H4724" s="16">
        <f>IF($A4724="","",$D4724+IF($E4724="",0,$E4724)+IF($F4724="",0,$F4724)-IF($G4724="",0,$G4724))</f>
        <v/>
      </c>
      <c r="I4724" s="12" t="n"/>
      <c r="J4724" s="12" t="n"/>
      <c r="K4724" s="12" t="n"/>
      <c r="L4724" s="14" t="n"/>
      <c r="M4724" s="12" t="n"/>
      <c r="N4724" s="12" t="n"/>
      <c r="O4724" s="12" t="n"/>
    </row>
    <row r="4725">
      <c r="A4725" s="12" t="n"/>
      <c r="B4725" s="13">
        <f>IF($A4725="","",IFERROR(INDEX(Emp_Names,MATCH($A4725,Emp_Codes,0)),"NOT FOUND"))</f>
        <v/>
      </c>
      <c r="C4725" s="14" t="n"/>
      <c r="D4725" s="15" t="n"/>
      <c r="E4725" s="15" t="n"/>
      <c r="F4725" s="15" t="n"/>
      <c r="G4725" s="15" t="n"/>
      <c r="H4725" s="16">
        <f>IF($A4725="","",$D4725+IF($E4725="",0,$E4725)+IF($F4725="",0,$F4725)-IF($G4725="",0,$G4725))</f>
        <v/>
      </c>
      <c r="I4725" s="12" t="n"/>
      <c r="J4725" s="12" t="n"/>
      <c r="K4725" s="12" t="n"/>
      <c r="L4725" s="14" t="n"/>
      <c r="M4725" s="12" t="n"/>
      <c r="N4725" s="12" t="n"/>
      <c r="O4725" s="12" t="n"/>
    </row>
    <row r="4726">
      <c r="A4726" s="12" t="n"/>
      <c r="B4726" s="13">
        <f>IF($A4726="","",IFERROR(INDEX(Emp_Names,MATCH($A4726,Emp_Codes,0)),"NOT FOUND"))</f>
        <v/>
      </c>
      <c r="C4726" s="14" t="n"/>
      <c r="D4726" s="15" t="n"/>
      <c r="E4726" s="15" t="n"/>
      <c r="F4726" s="15" t="n"/>
      <c r="G4726" s="15" t="n"/>
      <c r="H4726" s="16">
        <f>IF($A4726="","",$D4726+IF($E4726="",0,$E4726)+IF($F4726="",0,$F4726)-IF($G4726="",0,$G4726))</f>
        <v/>
      </c>
      <c r="I4726" s="12" t="n"/>
      <c r="J4726" s="12" t="n"/>
      <c r="K4726" s="12" t="n"/>
      <c r="L4726" s="14" t="n"/>
      <c r="M4726" s="12" t="n"/>
      <c r="N4726" s="12" t="n"/>
      <c r="O4726" s="12" t="n"/>
    </row>
    <row r="4727">
      <c r="A4727" s="12" t="n"/>
      <c r="B4727" s="13">
        <f>IF($A4727="","",IFERROR(INDEX(Emp_Names,MATCH($A4727,Emp_Codes,0)),"NOT FOUND"))</f>
        <v/>
      </c>
      <c r="C4727" s="14" t="n"/>
      <c r="D4727" s="15" t="n"/>
      <c r="E4727" s="15" t="n"/>
      <c r="F4727" s="15" t="n"/>
      <c r="G4727" s="15" t="n"/>
      <c r="H4727" s="16">
        <f>IF($A4727="","",$D4727+IF($E4727="",0,$E4727)+IF($F4727="",0,$F4727)-IF($G4727="",0,$G4727))</f>
        <v/>
      </c>
      <c r="I4727" s="12" t="n"/>
      <c r="J4727" s="12" t="n"/>
      <c r="K4727" s="12" t="n"/>
      <c r="L4727" s="14" t="n"/>
      <c r="M4727" s="12" t="n"/>
      <c r="N4727" s="12" t="n"/>
      <c r="O4727" s="12" t="n"/>
    </row>
    <row r="4728">
      <c r="A4728" s="12" t="n"/>
      <c r="B4728" s="13">
        <f>IF($A4728="","",IFERROR(INDEX(Emp_Names,MATCH($A4728,Emp_Codes,0)),"NOT FOUND"))</f>
        <v/>
      </c>
      <c r="C4728" s="14" t="n"/>
      <c r="D4728" s="15" t="n"/>
      <c r="E4728" s="15" t="n"/>
      <c r="F4728" s="15" t="n"/>
      <c r="G4728" s="15" t="n"/>
      <c r="H4728" s="16">
        <f>IF($A4728="","",$D4728+IF($E4728="",0,$E4728)+IF($F4728="",0,$F4728)-IF($G4728="",0,$G4728))</f>
        <v/>
      </c>
      <c r="I4728" s="12" t="n"/>
      <c r="J4728" s="12" t="n"/>
      <c r="K4728" s="12" t="n"/>
      <c r="L4728" s="14" t="n"/>
      <c r="M4728" s="12" t="n"/>
      <c r="N4728" s="12" t="n"/>
      <c r="O4728" s="12" t="n"/>
    </row>
    <row r="4729">
      <c r="A4729" s="12" t="n"/>
      <c r="B4729" s="13">
        <f>IF($A4729="","",IFERROR(INDEX(Emp_Names,MATCH($A4729,Emp_Codes,0)),"NOT FOUND"))</f>
        <v/>
      </c>
      <c r="C4729" s="14" t="n"/>
      <c r="D4729" s="15" t="n"/>
      <c r="E4729" s="15" t="n"/>
      <c r="F4729" s="15" t="n"/>
      <c r="G4729" s="15" t="n"/>
      <c r="H4729" s="16">
        <f>IF($A4729="","",$D4729+IF($E4729="",0,$E4729)+IF($F4729="",0,$F4729)-IF($G4729="",0,$G4729))</f>
        <v/>
      </c>
      <c r="I4729" s="12" t="n"/>
      <c r="J4729" s="12" t="n"/>
      <c r="K4729" s="12" t="n"/>
      <c r="L4729" s="14" t="n"/>
      <c r="M4729" s="12" t="n"/>
      <c r="N4729" s="12" t="n"/>
      <c r="O4729" s="12" t="n"/>
    </row>
    <row r="4730">
      <c r="A4730" s="12" t="n"/>
      <c r="B4730" s="13">
        <f>IF($A4730="","",IFERROR(INDEX(Emp_Names,MATCH($A4730,Emp_Codes,0)),"NOT FOUND"))</f>
        <v/>
      </c>
      <c r="C4730" s="14" t="n"/>
      <c r="D4730" s="15" t="n"/>
      <c r="E4730" s="15" t="n"/>
      <c r="F4730" s="15" t="n"/>
      <c r="G4730" s="15" t="n"/>
      <c r="H4730" s="16">
        <f>IF($A4730="","",$D4730+IF($E4730="",0,$E4730)+IF($F4730="",0,$F4730)-IF($G4730="",0,$G4730))</f>
        <v/>
      </c>
      <c r="I4730" s="12" t="n"/>
      <c r="J4730" s="12" t="n"/>
      <c r="K4730" s="12" t="n"/>
      <c r="L4730" s="14" t="n"/>
      <c r="M4730" s="12" t="n"/>
      <c r="N4730" s="12" t="n"/>
      <c r="O4730" s="12" t="n"/>
    </row>
    <row r="4731">
      <c r="A4731" s="12" t="n"/>
      <c r="B4731" s="13">
        <f>IF($A4731="","",IFERROR(INDEX(Emp_Names,MATCH($A4731,Emp_Codes,0)),"NOT FOUND"))</f>
        <v/>
      </c>
      <c r="C4731" s="14" t="n"/>
      <c r="D4731" s="15" t="n"/>
      <c r="E4731" s="15" t="n"/>
      <c r="F4731" s="15" t="n"/>
      <c r="G4731" s="15" t="n"/>
      <c r="H4731" s="16">
        <f>IF($A4731="","",$D4731+IF($E4731="",0,$E4731)+IF($F4731="",0,$F4731)-IF($G4731="",0,$G4731))</f>
        <v/>
      </c>
      <c r="I4731" s="12" t="n"/>
      <c r="J4731" s="12" t="n"/>
      <c r="K4731" s="12" t="n"/>
      <c r="L4731" s="14" t="n"/>
      <c r="M4731" s="12" t="n"/>
      <c r="N4731" s="12" t="n"/>
      <c r="O4731" s="12" t="n"/>
    </row>
    <row r="4732">
      <c r="A4732" s="12" t="n"/>
      <c r="B4732" s="13">
        <f>IF($A4732="","",IFERROR(INDEX(Emp_Names,MATCH($A4732,Emp_Codes,0)),"NOT FOUND"))</f>
        <v/>
      </c>
      <c r="C4732" s="14" t="n"/>
      <c r="D4732" s="15" t="n"/>
      <c r="E4732" s="15" t="n"/>
      <c r="F4732" s="15" t="n"/>
      <c r="G4732" s="15" t="n"/>
      <c r="H4732" s="16">
        <f>IF($A4732="","",$D4732+IF($E4732="",0,$E4732)+IF($F4732="",0,$F4732)-IF($G4732="",0,$G4732))</f>
        <v/>
      </c>
      <c r="I4732" s="12" t="n"/>
      <c r="J4732" s="12" t="n"/>
      <c r="K4732" s="12" t="n"/>
      <c r="L4732" s="14" t="n"/>
      <c r="M4732" s="12" t="n"/>
      <c r="N4732" s="12" t="n"/>
      <c r="O4732" s="12" t="n"/>
    </row>
    <row r="4733">
      <c r="A4733" s="12" t="n"/>
      <c r="B4733" s="13">
        <f>IF($A4733="","",IFERROR(INDEX(Emp_Names,MATCH($A4733,Emp_Codes,0)),"NOT FOUND"))</f>
        <v/>
      </c>
      <c r="C4733" s="14" t="n"/>
      <c r="D4733" s="15" t="n"/>
      <c r="E4733" s="15" t="n"/>
      <c r="F4733" s="15" t="n"/>
      <c r="G4733" s="15" t="n"/>
      <c r="H4733" s="16">
        <f>IF($A4733="","",$D4733+IF($E4733="",0,$E4733)+IF($F4733="",0,$F4733)-IF($G4733="",0,$G4733))</f>
        <v/>
      </c>
      <c r="I4733" s="12" t="n"/>
      <c r="J4733" s="12" t="n"/>
      <c r="K4733" s="12" t="n"/>
      <c r="L4733" s="14" t="n"/>
      <c r="M4733" s="12" t="n"/>
      <c r="N4733" s="12" t="n"/>
      <c r="O4733" s="12" t="n"/>
    </row>
    <row r="4734">
      <c r="A4734" s="12" t="n"/>
      <c r="B4734" s="13">
        <f>IF($A4734="","",IFERROR(INDEX(Emp_Names,MATCH($A4734,Emp_Codes,0)),"NOT FOUND"))</f>
        <v/>
      </c>
      <c r="C4734" s="14" t="n"/>
      <c r="D4734" s="15" t="n"/>
      <c r="E4734" s="15" t="n"/>
      <c r="F4734" s="15" t="n"/>
      <c r="G4734" s="15" t="n"/>
      <c r="H4734" s="16">
        <f>IF($A4734="","",$D4734+IF($E4734="",0,$E4734)+IF($F4734="",0,$F4734)-IF($G4734="",0,$G4734))</f>
        <v/>
      </c>
      <c r="I4734" s="12" t="n"/>
      <c r="J4734" s="12" t="n"/>
      <c r="K4734" s="12" t="n"/>
      <c r="L4734" s="14" t="n"/>
      <c r="M4734" s="12" t="n"/>
      <c r="N4734" s="12" t="n"/>
      <c r="O4734" s="12" t="n"/>
    </row>
    <row r="4735">
      <c r="A4735" s="12" t="n"/>
      <c r="B4735" s="13">
        <f>IF($A4735="","",IFERROR(INDEX(Emp_Names,MATCH($A4735,Emp_Codes,0)),"NOT FOUND"))</f>
        <v/>
      </c>
      <c r="C4735" s="14" t="n"/>
      <c r="D4735" s="15" t="n"/>
      <c r="E4735" s="15" t="n"/>
      <c r="F4735" s="15" t="n"/>
      <c r="G4735" s="15" t="n"/>
      <c r="H4735" s="16">
        <f>IF($A4735="","",$D4735+IF($E4735="",0,$E4735)+IF($F4735="",0,$F4735)-IF($G4735="",0,$G4735))</f>
        <v/>
      </c>
      <c r="I4735" s="12" t="n"/>
      <c r="J4735" s="12" t="n"/>
      <c r="K4735" s="12" t="n"/>
      <c r="L4735" s="14" t="n"/>
      <c r="M4735" s="12" t="n"/>
      <c r="N4735" s="12" t="n"/>
      <c r="O4735" s="12" t="n"/>
    </row>
    <row r="4736">
      <c r="A4736" s="12" t="n"/>
      <c r="B4736" s="13">
        <f>IF($A4736="","",IFERROR(INDEX(Emp_Names,MATCH($A4736,Emp_Codes,0)),"NOT FOUND"))</f>
        <v/>
      </c>
      <c r="C4736" s="14" t="n"/>
      <c r="D4736" s="15" t="n"/>
      <c r="E4736" s="15" t="n"/>
      <c r="F4736" s="15" t="n"/>
      <c r="G4736" s="15" t="n"/>
      <c r="H4736" s="16">
        <f>IF($A4736="","",$D4736+IF($E4736="",0,$E4736)+IF($F4736="",0,$F4736)-IF($G4736="",0,$G4736))</f>
        <v/>
      </c>
      <c r="I4736" s="12" t="n"/>
      <c r="J4736" s="12" t="n"/>
      <c r="K4736" s="12" t="n"/>
      <c r="L4736" s="14" t="n"/>
      <c r="M4736" s="12" t="n"/>
      <c r="N4736" s="12" t="n"/>
      <c r="O4736" s="12" t="n"/>
    </row>
    <row r="4737">
      <c r="A4737" s="12" t="n"/>
      <c r="B4737" s="13">
        <f>IF($A4737="","",IFERROR(INDEX(Emp_Names,MATCH($A4737,Emp_Codes,0)),"NOT FOUND"))</f>
        <v/>
      </c>
      <c r="C4737" s="14" t="n"/>
      <c r="D4737" s="15" t="n"/>
      <c r="E4737" s="15" t="n"/>
      <c r="F4737" s="15" t="n"/>
      <c r="G4737" s="15" t="n"/>
      <c r="H4737" s="16">
        <f>IF($A4737="","",$D4737+IF($E4737="",0,$E4737)+IF($F4737="",0,$F4737)-IF($G4737="",0,$G4737))</f>
        <v/>
      </c>
      <c r="I4737" s="12" t="n"/>
      <c r="J4737" s="12" t="n"/>
      <c r="K4737" s="12" t="n"/>
      <c r="L4737" s="14" t="n"/>
      <c r="M4737" s="12" t="n"/>
      <c r="N4737" s="12" t="n"/>
      <c r="O4737" s="12" t="n"/>
    </row>
    <row r="4738">
      <c r="A4738" s="12" t="n"/>
      <c r="B4738" s="13">
        <f>IF($A4738="","",IFERROR(INDEX(Emp_Names,MATCH($A4738,Emp_Codes,0)),"NOT FOUND"))</f>
        <v/>
      </c>
      <c r="C4738" s="14" t="n"/>
      <c r="D4738" s="15" t="n"/>
      <c r="E4738" s="15" t="n"/>
      <c r="F4738" s="15" t="n"/>
      <c r="G4738" s="15" t="n"/>
      <c r="H4738" s="16">
        <f>IF($A4738="","",$D4738+IF($E4738="",0,$E4738)+IF($F4738="",0,$F4738)-IF($G4738="",0,$G4738))</f>
        <v/>
      </c>
      <c r="I4738" s="12" t="n"/>
      <c r="J4738" s="12" t="n"/>
      <c r="K4738" s="12" t="n"/>
      <c r="L4738" s="14" t="n"/>
      <c r="M4738" s="12" t="n"/>
      <c r="N4738" s="12" t="n"/>
      <c r="O4738" s="12" t="n"/>
    </row>
    <row r="4739">
      <c r="A4739" s="12" t="n"/>
      <c r="B4739" s="13">
        <f>IF($A4739="","",IFERROR(INDEX(Emp_Names,MATCH($A4739,Emp_Codes,0)),"NOT FOUND"))</f>
        <v/>
      </c>
      <c r="C4739" s="14" t="n"/>
      <c r="D4739" s="15" t="n"/>
      <c r="E4739" s="15" t="n"/>
      <c r="F4739" s="15" t="n"/>
      <c r="G4739" s="15" t="n"/>
      <c r="H4739" s="16">
        <f>IF($A4739="","",$D4739+IF($E4739="",0,$E4739)+IF($F4739="",0,$F4739)-IF($G4739="",0,$G4739))</f>
        <v/>
      </c>
      <c r="I4739" s="12" t="n"/>
      <c r="J4739" s="12" t="n"/>
      <c r="K4739" s="12" t="n"/>
      <c r="L4739" s="14" t="n"/>
      <c r="M4739" s="12" t="n"/>
      <c r="N4739" s="12" t="n"/>
      <c r="O4739" s="12" t="n"/>
    </row>
    <row r="4740">
      <c r="A4740" s="12" t="n"/>
      <c r="B4740" s="13">
        <f>IF($A4740="","",IFERROR(INDEX(Emp_Names,MATCH($A4740,Emp_Codes,0)),"NOT FOUND"))</f>
        <v/>
      </c>
      <c r="C4740" s="14" t="n"/>
      <c r="D4740" s="15" t="n"/>
      <c r="E4740" s="15" t="n"/>
      <c r="F4740" s="15" t="n"/>
      <c r="G4740" s="15" t="n"/>
      <c r="H4740" s="16">
        <f>IF($A4740="","",$D4740+IF($E4740="",0,$E4740)+IF($F4740="",0,$F4740)-IF($G4740="",0,$G4740))</f>
        <v/>
      </c>
      <c r="I4740" s="12" t="n"/>
      <c r="J4740" s="12" t="n"/>
      <c r="K4740" s="12" t="n"/>
      <c r="L4740" s="14" t="n"/>
      <c r="M4740" s="12" t="n"/>
      <c r="N4740" s="12" t="n"/>
      <c r="O4740" s="12" t="n"/>
    </row>
    <row r="4741">
      <c r="A4741" s="12" t="n"/>
      <c r="B4741" s="13">
        <f>IF($A4741="","",IFERROR(INDEX(Emp_Names,MATCH($A4741,Emp_Codes,0)),"NOT FOUND"))</f>
        <v/>
      </c>
      <c r="C4741" s="14" t="n"/>
      <c r="D4741" s="15" t="n"/>
      <c r="E4741" s="15" t="n"/>
      <c r="F4741" s="15" t="n"/>
      <c r="G4741" s="15" t="n"/>
      <c r="H4741" s="16">
        <f>IF($A4741="","",$D4741+IF($E4741="",0,$E4741)+IF($F4741="",0,$F4741)-IF($G4741="",0,$G4741))</f>
        <v/>
      </c>
      <c r="I4741" s="12" t="n"/>
      <c r="J4741" s="12" t="n"/>
      <c r="K4741" s="12" t="n"/>
      <c r="L4741" s="14" t="n"/>
      <c r="M4741" s="12" t="n"/>
      <c r="N4741" s="12" t="n"/>
      <c r="O4741" s="12" t="n"/>
    </row>
    <row r="4742">
      <c r="A4742" s="12" t="n"/>
      <c r="B4742" s="13">
        <f>IF($A4742="","",IFERROR(INDEX(Emp_Names,MATCH($A4742,Emp_Codes,0)),"NOT FOUND"))</f>
        <v/>
      </c>
      <c r="C4742" s="14" t="n"/>
      <c r="D4742" s="15" t="n"/>
      <c r="E4742" s="15" t="n"/>
      <c r="F4742" s="15" t="n"/>
      <c r="G4742" s="15" t="n"/>
      <c r="H4742" s="16">
        <f>IF($A4742="","",$D4742+IF($E4742="",0,$E4742)+IF($F4742="",0,$F4742)-IF($G4742="",0,$G4742))</f>
        <v/>
      </c>
      <c r="I4742" s="12" t="n"/>
      <c r="J4742" s="12" t="n"/>
      <c r="K4742" s="12" t="n"/>
      <c r="L4742" s="14" t="n"/>
      <c r="M4742" s="12" t="n"/>
      <c r="N4742" s="12" t="n"/>
      <c r="O4742" s="12" t="n"/>
    </row>
    <row r="4743">
      <c r="A4743" s="12" t="n"/>
      <c r="B4743" s="13">
        <f>IF($A4743="","",IFERROR(INDEX(Emp_Names,MATCH($A4743,Emp_Codes,0)),"NOT FOUND"))</f>
        <v/>
      </c>
      <c r="C4743" s="14" t="n"/>
      <c r="D4743" s="15" t="n"/>
      <c r="E4743" s="15" t="n"/>
      <c r="F4743" s="15" t="n"/>
      <c r="G4743" s="15" t="n"/>
      <c r="H4743" s="16">
        <f>IF($A4743="","",$D4743+IF($E4743="",0,$E4743)+IF($F4743="",0,$F4743)-IF($G4743="",0,$G4743))</f>
        <v/>
      </c>
      <c r="I4743" s="12" t="n"/>
      <c r="J4743" s="12" t="n"/>
      <c r="K4743" s="12" t="n"/>
      <c r="L4743" s="14" t="n"/>
      <c r="M4743" s="12" t="n"/>
      <c r="N4743" s="12" t="n"/>
      <c r="O4743" s="12" t="n"/>
    </row>
    <row r="4744">
      <c r="A4744" s="12" t="n"/>
      <c r="B4744" s="13">
        <f>IF($A4744="","",IFERROR(INDEX(Emp_Names,MATCH($A4744,Emp_Codes,0)),"NOT FOUND"))</f>
        <v/>
      </c>
      <c r="C4744" s="14" t="n"/>
      <c r="D4744" s="15" t="n"/>
      <c r="E4744" s="15" t="n"/>
      <c r="F4744" s="15" t="n"/>
      <c r="G4744" s="15" t="n"/>
      <c r="H4744" s="16">
        <f>IF($A4744="","",$D4744+IF($E4744="",0,$E4744)+IF($F4744="",0,$F4744)-IF($G4744="",0,$G4744))</f>
        <v/>
      </c>
      <c r="I4744" s="12" t="n"/>
      <c r="J4744" s="12" t="n"/>
      <c r="K4744" s="12" t="n"/>
      <c r="L4744" s="14" t="n"/>
      <c r="M4744" s="12" t="n"/>
      <c r="N4744" s="12" t="n"/>
      <c r="O4744" s="12" t="n"/>
    </row>
    <row r="4745">
      <c r="A4745" s="12" t="n"/>
      <c r="B4745" s="13">
        <f>IF($A4745="","",IFERROR(INDEX(Emp_Names,MATCH($A4745,Emp_Codes,0)),"NOT FOUND"))</f>
        <v/>
      </c>
      <c r="C4745" s="14" t="n"/>
      <c r="D4745" s="15" t="n"/>
      <c r="E4745" s="15" t="n"/>
      <c r="F4745" s="15" t="n"/>
      <c r="G4745" s="15" t="n"/>
      <c r="H4745" s="16">
        <f>IF($A4745="","",$D4745+IF($E4745="",0,$E4745)+IF($F4745="",0,$F4745)-IF($G4745="",0,$G4745))</f>
        <v/>
      </c>
      <c r="I4745" s="12" t="n"/>
      <c r="J4745" s="12" t="n"/>
      <c r="K4745" s="12" t="n"/>
      <c r="L4745" s="14" t="n"/>
      <c r="M4745" s="12" t="n"/>
      <c r="N4745" s="12" t="n"/>
      <c r="O4745" s="12" t="n"/>
    </row>
    <row r="4746">
      <c r="A4746" s="12" t="n"/>
      <c r="B4746" s="13">
        <f>IF($A4746="","",IFERROR(INDEX(Emp_Names,MATCH($A4746,Emp_Codes,0)),"NOT FOUND"))</f>
        <v/>
      </c>
      <c r="C4746" s="14" t="n"/>
      <c r="D4746" s="15" t="n"/>
      <c r="E4746" s="15" t="n"/>
      <c r="F4746" s="15" t="n"/>
      <c r="G4746" s="15" t="n"/>
      <c r="H4746" s="16">
        <f>IF($A4746="","",$D4746+IF($E4746="",0,$E4746)+IF($F4746="",0,$F4746)-IF($G4746="",0,$G4746))</f>
        <v/>
      </c>
      <c r="I4746" s="12" t="n"/>
      <c r="J4746" s="12" t="n"/>
      <c r="K4746" s="12" t="n"/>
      <c r="L4746" s="14" t="n"/>
      <c r="M4746" s="12" t="n"/>
      <c r="N4746" s="12" t="n"/>
      <c r="O4746" s="12" t="n"/>
    </row>
    <row r="4747">
      <c r="A4747" s="12" t="n"/>
      <c r="B4747" s="13">
        <f>IF($A4747="","",IFERROR(INDEX(Emp_Names,MATCH($A4747,Emp_Codes,0)),"NOT FOUND"))</f>
        <v/>
      </c>
      <c r="C4747" s="14" t="n"/>
      <c r="D4747" s="15" t="n"/>
      <c r="E4747" s="15" t="n"/>
      <c r="F4747" s="15" t="n"/>
      <c r="G4747" s="15" t="n"/>
      <c r="H4747" s="16">
        <f>IF($A4747="","",$D4747+IF($E4747="",0,$E4747)+IF($F4747="",0,$F4747)-IF($G4747="",0,$G4747))</f>
        <v/>
      </c>
      <c r="I4747" s="12" t="n"/>
      <c r="J4747" s="12" t="n"/>
      <c r="K4747" s="12" t="n"/>
      <c r="L4747" s="14" t="n"/>
      <c r="M4747" s="12" t="n"/>
      <c r="N4747" s="12" t="n"/>
      <c r="O4747" s="12" t="n"/>
    </row>
    <row r="4748">
      <c r="A4748" s="12" t="n"/>
      <c r="B4748" s="13">
        <f>IF($A4748="","",IFERROR(INDEX(Emp_Names,MATCH($A4748,Emp_Codes,0)),"NOT FOUND"))</f>
        <v/>
      </c>
      <c r="C4748" s="14" t="n"/>
      <c r="D4748" s="15" t="n"/>
      <c r="E4748" s="15" t="n"/>
      <c r="F4748" s="15" t="n"/>
      <c r="G4748" s="15" t="n"/>
      <c r="H4748" s="16">
        <f>IF($A4748="","",$D4748+IF($E4748="",0,$E4748)+IF($F4748="",0,$F4748)-IF($G4748="",0,$G4748))</f>
        <v/>
      </c>
      <c r="I4748" s="12" t="n"/>
      <c r="J4748" s="12" t="n"/>
      <c r="K4748" s="12" t="n"/>
      <c r="L4748" s="14" t="n"/>
      <c r="M4748" s="12" t="n"/>
      <c r="N4748" s="12" t="n"/>
      <c r="O4748" s="12" t="n"/>
    </row>
    <row r="4749">
      <c r="A4749" s="12" t="n"/>
      <c r="B4749" s="13">
        <f>IF($A4749="","",IFERROR(INDEX(Emp_Names,MATCH($A4749,Emp_Codes,0)),"NOT FOUND"))</f>
        <v/>
      </c>
      <c r="C4749" s="14" t="n"/>
      <c r="D4749" s="15" t="n"/>
      <c r="E4749" s="15" t="n"/>
      <c r="F4749" s="15" t="n"/>
      <c r="G4749" s="15" t="n"/>
      <c r="H4749" s="16">
        <f>IF($A4749="","",$D4749+IF($E4749="",0,$E4749)+IF($F4749="",0,$F4749)-IF($G4749="",0,$G4749))</f>
        <v/>
      </c>
      <c r="I4749" s="12" t="n"/>
      <c r="J4749" s="12" t="n"/>
      <c r="K4749" s="12" t="n"/>
      <c r="L4749" s="14" t="n"/>
      <c r="M4749" s="12" t="n"/>
      <c r="N4749" s="12" t="n"/>
      <c r="O4749" s="12" t="n"/>
    </row>
    <row r="4750">
      <c r="A4750" s="12" t="n"/>
      <c r="B4750" s="13">
        <f>IF($A4750="","",IFERROR(INDEX(Emp_Names,MATCH($A4750,Emp_Codes,0)),"NOT FOUND"))</f>
        <v/>
      </c>
      <c r="C4750" s="14" t="n"/>
      <c r="D4750" s="15" t="n"/>
      <c r="E4750" s="15" t="n"/>
      <c r="F4750" s="15" t="n"/>
      <c r="G4750" s="15" t="n"/>
      <c r="H4750" s="16">
        <f>IF($A4750="","",$D4750+IF($E4750="",0,$E4750)+IF($F4750="",0,$F4750)-IF($G4750="",0,$G4750))</f>
        <v/>
      </c>
      <c r="I4750" s="12" t="n"/>
      <c r="J4750" s="12" t="n"/>
      <c r="K4750" s="12" t="n"/>
      <c r="L4750" s="14" t="n"/>
      <c r="M4750" s="12" t="n"/>
      <c r="N4750" s="12" t="n"/>
      <c r="O4750" s="12" t="n"/>
    </row>
    <row r="4751">
      <c r="A4751" s="12" t="n"/>
      <c r="B4751" s="13">
        <f>IF($A4751="","",IFERROR(INDEX(Emp_Names,MATCH($A4751,Emp_Codes,0)),"NOT FOUND"))</f>
        <v/>
      </c>
      <c r="C4751" s="14" t="n"/>
      <c r="D4751" s="15" t="n"/>
      <c r="E4751" s="15" t="n"/>
      <c r="F4751" s="15" t="n"/>
      <c r="G4751" s="15" t="n"/>
      <c r="H4751" s="16">
        <f>IF($A4751="","",$D4751+IF($E4751="",0,$E4751)+IF($F4751="",0,$F4751)-IF($G4751="",0,$G4751))</f>
        <v/>
      </c>
      <c r="I4751" s="12" t="n"/>
      <c r="J4751" s="12" t="n"/>
      <c r="K4751" s="12" t="n"/>
      <c r="L4751" s="14" t="n"/>
      <c r="M4751" s="12" t="n"/>
      <c r="N4751" s="12" t="n"/>
      <c r="O4751" s="12" t="n"/>
    </row>
    <row r="4752">
      <c r="A4752" s="12" t="n"/>
      <c r="B4752" s="13">
        <f>IF($A4752="","",IFERROR(INDEX(Emp_Names,MATCH($A4752,Emp_Codes,0)),"NOT FOUND"))</f>
        <v/>
      </c>
      <c r="C4752" s="14" t="n"/>
      <c r="D4752" s="15" t="n"/>
      <c r="E4752" s="15" t="n"/>
      <c r="F4752" s="15" t="n"/>
      <c r="G4752" s="15" t="n"/>
      <c r="H4752" s="16">
        <f>IF($A4752="","",$D4752+IF($E4752="",0,$E4752)+IF($F4752="",0,$F4752)-IF($G4752="",0,$G4752))</f>
        <v/>
      </c>
      <c r="I4752" s="12" t="n"/>
      <c r="J4752" s="12" t="n"/>
      <c r="K4752" s="12" t="n"/>
      <c r="L4752" s="14" t="n"/>
      <c r="M4752" s="12" t="n"/>
      <c r="N4752" s="12" t="n"/>
      <c r="O4752" s="12" t="n"/>
    </row>
    <row r="4753">
      <c r="A4753" s="12" t="n"/>
      <c r="B4753" s="13">
        <f>IF($A4753="","",IFERROR(INDEX(Emp_Names,MATCH($A4753,Emp_Codes,0)),"NOT FOUND"))</f>
        <v/>
      </c>
      <c r="C4753" s="14" t="n"/>
      <c r="D4753" s="15" t="n"/>
      <c r="E4753" s="15" t="n"/>
      <c r="F4753" s="15" t="n"/>
      <c r="G4753" s="15" t="n"/>
      <c r="H4753" s="16">
        <f>IF($A4753="","",$D4753+IF($E4753="",0,$E4753)+IF($F4753="",0,$F4753)-IF($G4753="",0,$G4753))</f>
        <v/>
      </c>
      <c r="I4753" s="12" t="n"/>
      <c r="J4753" s="12" t="n"/>
      <c r="K4753" s="12" t="n"/>
      <c r="L4753" s="14" t="n"/>
      <c r="M4753" s="12" t="n"/>
      <c r="N4753" s="12" t="n"/>
      <c r="O4753" s="12" t="n"/>
    </row>
    <row r="4754">
      <c r="A4754" s="12" t="n"/>
      <c r="B4754" s="13">
        <f>IF($A4754="","",IFERROR(INDEX(Emp_Names,MATCH($A4754,Emp_Codes,0)),"NOT FOUND"))</f>
        <v/>
      </c>
      <c r="C4754" s="14" t="n"/>
      <c r="D4754" s="15" t="n"/>
      <c r="E4754" s="15" t="n"/>
      <c r="F4754" s="15" t="n"/>
      <c r="G4754" s="15" t="n"/>
      <c r="H4754" s="16">
        <f>IF($A4754="","",$D4754+IF($E4754="",0,$E4754)+IF($F4754="",0,$F4754)-IF($G4754="",0,$G4754))</f>
        <v/>
      </c>
      <c r="I4754" s="12" t="n"/>
      <c r="J4754" s="12" t="n"/>
      <c r="K4754" s="12" t="n"/>
      <c r="L4754" s="14" t="n"/>
      <c r="M4754" s="12" t="n"/>
      <c r="N4754" s="12" t="n"/>
      <c r="O4754" s="12" t="n"/>
    </row>
    <row r="4755">
      <c r="A4755" s="12" t="n"/>
      <c r="B4755" s="13">
        <f>IF($A4755="","",IFERROR(INDEX(Emp_Names,MATCH($A4755,Emp_Codes,0)),"NOT FOUND"))</f>
        <v/>
      </c>
      <c r="C4755" s="14" t="n"/>
      <c r="D4755" s="15" t="n"/>
      <c r="E4755" s="15" t="n"/>
      <c r="F4755" s="15" t="n"/>
      <c r="G4755" s="15" t="n"/>
      <c r="H4755" s="16">
        <f>IF($A4755="","",$D4755+IF($E4755="",0,$E4755)+IF($F4755="",0,$F4755)-IF($G4755="",0,$G4755))</f>
        <v/>
      </c>
      <c r="I4755" s="12" t="n"/>
      <c r="J4755" s="12" t="n"/>
      <c r="K4755" s="12" t="n"/>
      <c r="L4755" s="14" t="n"/>
      <c r="M4755" s="12" t="n"/>
      <c r="N4755" s="12" t="n"/>
      <c r="O4755" s="12" t="n"/>
    </row>
    <row r="4756">
      <c r="A4756" s="12" t="n"/>
      <c r="B4756" s="13">
        <f>IF($A4756="","",IFERROR(INDEX(Emp_Names,MATCH($A4756,Emp_Codes,0)),"NOT FOUND"))</f>
        <v/>
      </c>
      <c r="C4756" s="14" t="n"/>
      <c r="D4756" s="15" t="n"/>
      <c r="E4756" s="15" t="n"/>
      <c r="F4756" s="15" t="n"/>
      <c r="G4756" s="15" t="n"/>
      <c r="H4756" s="16">
        <f>IF($A4756="","",$D4756+IF($E4756="",0,$E4756)+IF($F4756="",0,$F4756)-IF($G4756="",0,$G4756))</f>
        <v/>
      </c>
      <c r="I4756" s="12" t="n"/>
      <c r="J4756" s="12" t="n"/>
      <c r="K4756" s="12" t="n"/>
      <c r="L4756" s="14" t="n"/>
      <c r="M4756" s="12" t="n"/>
      <c r="N4756" s="12" t="n"/>
      <c r="O4756" s="12" t="n"/>
    </row>
    <row r="4757">
      <c r="A4757" s="12" t="n"/>
      <c r="B4757" s="13">
        <f>IF($A4757="","",IFERROR(INDEX(Emp_Names,MATCH($A4757,Emp_Codes,0)),"NOT FOUND"))</f>
        <v/>
      </c>
      <c r="C4757" s="14" t="n"/>
      <c r="D4757" s="15" t="n"/>
      <c r="E4757" s="15" t="n"/>
      <c r="F4757" s="15" t="n"/>
      <c r="G4757" s="15" t="n"/>
      <c r="H4757" s="16">
        <f>IF($A4757="","",$D4757+IF($E4757="",0,$E4757)+IF($F4757="",0,$F4757)-IF($G4757="",0,$G4757))</f>
        <v/>
      </c>
      <c r="I4757" s="12" t="n"/>
      <c r="J4757" s="12" t="n"/>
      <c r="K4757" s="12" t="n"/>
      <c r="L4757" s="14" t="n"/>
      <c r="M4757" s="12" t="n"/>
      <c r="N4757" s="12" t="n"/>
      <c r="O4757" s="12" t="n"/>
    </row>
    <row r="4758">
      <c r="A4758" s="12" t="n"/>
      <c r="B4758" s="13">
        <f>IF($A4758="","",IFERROR(INDEX(Emp_Names,MATCH($A4758,Emp_Codes,0)),"NOT FOUND"))</f>
        <v/>
      </c>
      <c r="C4758" s="14" t="n"/>
      <c r="D4758" s="15" t="n"/>
      <c r="E4758" s="15" t="n"/>
      <c r="F4758" s="15" t="n"/>
      <c r="G4758" s="15" t="n"/>
      <c r="H4758" s="16">
        <f>IF($A4758="","",$D4758+IF($E4758="",0,$E4758)+IF($F4758="",0,$F4758)-IF($G4758="",0,$G4758))</f>
        <v/>
      </c>
      <c r="I4758" s="12" t="n"/>
      <c r="J4758" s="12" t="n"/>
      <c r="K4758" s="12" t="n"/>
      <c r="L4758" s="14" t="n"/>
      <c r="M4758" s="12" t="n"/>
      <c r="N4758" s="12" t="n"/>
      <c r="O4758" s="12" t="n"/>
    </row>
    <row r="4759">
      <c r="A4759" s="12" t="n"/>
      <c r="B4759" s="13">
        <f>IF($A4759="","",IFERROR(INDEX(Emp_Names,MATCH($A4759,Emp_Codes,0)),"NOT FOUND"))</f>
        <v/>
      </c>
      <c r="C4759" s="14" t="n"/>
      <c r="D4759" s="15" t="n"/>
      <c r="E4759" s="15" t="n"/>
      <c r="F4759" s="15" t="n"/>
      <c r="G4759" s="15" t="n"/>
      <c r="H4759" s="16">
        <f>IF($A4759="","",$D4759+IF($E4759="",0,$E4759)+IF($F4759="",0,$F4759)-IF($G4759="",0,$G4759))</f>
        <v/>
      </c>
      <c r="I4759" s="12" t="n"/>
      <c r="J4759" s="12" t="n"/>
      <c r="K4759" s="12" t="n"/>
      <c r="L4759" s="14" t="n"/>
      <c r="M4759" s="12" t="n"/>
      <c r="N4759" s="12" t="n"/>
      <c r="O4759" s="12" t="n"/>
    </row>
    <row r="4760">
      <c r="A4760" s="12" t="n"/>
      <c r="B4760" s="13">
        <f>IF($A4760="","",IFERROR(INDEX(Emp_Names,MATCH($A4760,Emp_Codes,0)),"NOT FOUND"))</f>
        <v/>
      </c>
      <c r="C4760" s="14" t="n"/>
      <c r="D4760" s="15" t="n"/>
      <c r="E4760" s="15" t="n"/>
      <c r="F4760" s="15" t="n"/>
      <c r="G4760" s="15" t="n"/>
      <c r="H4760" s="16">
        <f>IF($A4760="","",$D4760+IF($E4760="",0,$E4760)+IF($F4760="",0,$F4760)-IF($G4760="",0,$G4760))</f>
        <v/>
      </c>
      <c r="I4760" s="12" t="n"/>
      <c r="J4760" s="12" t="n"/>
      <c r="K4760" s="12" t="n"/>
      <c r="L4760" s="14" t="n"/>
      <c r="M4760" s="12" t="n"/>
      <c r="N4760" s="12" t="n"/>
      <c r="O4760" s="12" t="n"/>
    </row>
    <row r="4761">
      <c r="A4761" s="12" t="n"/>
      <c r="B4761" s="13">
        <f>IF($A4761="","",IFERROR(INDEX(Emp_Names,MATCH($A4761,Emp_Codes,0)),"NOT FOUND"))</f>
        <v/>
      </c>
      <c r="C4761" s="14" t="n"/>
      <c r="D4761" s="15" t="n"/>
      <c r="E4761" s="15" t="n"/>
      <c r="F4761" s="15" t="n"/>
      <c r="G4761" s="15" t="n"/>
      <c r="H4761" s="16">
        <f>IF($A4761="","",$D4761+IF($E4761="",0,$E4761)+IF($F4761="",0,$F4761)-IF($G4761="",0,$G4761))</f>
        <v/>
      </c>
      <c r="I4761" s="12" t="n"/>
      <c r="J4761" s="12" t="n"/>
      <c r="K4761" s="12" t="n"/>
      <c r="L4761" s="14" t="n"/>
      <c r="M4761" s="12" t="n"/>
      <c r="N4761" s="12" t="n"/>
      <c r="O4761" s="12" t="n"/>
    </row>
    <row r="4762">
      <c r="A4762" s="12" t="n"/>
      <c r="B4762" s="13">
        <f>IF($A4762="","",IFERROR(INDEX(Emp_Names,MATCH($A4762,Emp_Codes,0)),"NOT FOUND"))</f>
        <v/>
      </c>
      <c r="C4762" s="14" t="n"/>
      <c r="D4762" s="15" t="n"/>
      <c r="E4762" s="15" t="n"/>
      <c r="F4762" s="15" t="n"/>
      <c r="G4762" s="15" t="n"/>
      <c r="H4762" s="16">
        <f>IF($A4762="","",$D4762+IF($E4762="",0,$E4762)+IF($F4762="",0,$F4762)-IF($G4762="",0,$G4762))</f>
        <v/>
      </c>
      <c r="I4762" s="12" t="n"/>
      <c r="J4762" s="12" t="n"/>
      <c r="K4762" s="12" t="n"/>
      <c r="L4762" s="14" t="n"/>
      <c r="M4762" s="12" t="n"/>
      <c r="N4762" s="12" t="n"/>
      <c r="O4762" s="12" t="n"/>
    </row>
    <row r="4763">
      <c r="A4763" s="12" t="n"/>
      <c r="B4763" s="13">
        <f>IF($A4763="","",IFERROR(INDEX(Emp_Names,MATCH($A4763,Emp_Codes,0)),"NOT FOUND"))</f>
        <v/>
      </c>
      <c r="C4763" s="14" t="n"/>
      <c r="D4763" s="15" t="n"/>
      <c r="E4763" s="15" t="n"/>
      <c r="F4763" s="15" t="n"/>
      <c r="G4763" s="15" t="n"/>
      <c r="H4763" s="16">
        <f>IF($A4763="","",$D4763+IF($E4763="",0,$E4763)+IF($F4763="",0,$F4763)-IF($G4763="",0,$G4763))</f>
        <v/>
      </c>
      <c r="I4763" s="12" t="n"/>
      <c r="J4763" s="12" t="n"/>
      <c r="K4763" s="12" t="n"/>
      <c r="L4763" s="14" t="n"/>
      <c r="M4763" s="12" t="n"/>
      <c r="N4763" s="12" t="n"/>
      <c r="O4763" s="12" t="n"/>
    </row>
    <row r="4764">
      <c r="A4764" s="12" t="n"/>
      <c r="B4764" s="13">
        <f>IF($A4764="","",IFERROR(INDEX(Emp_Names,MATCH($A4764,Emp_Codes,0)),"NOT FOUND"))</f>
        <v/>
      </c>
      <c r="C4764" s="14" t="n"/>
      <c r="D4764" s="15" t="n"/>
      <c r="E4764" s="15" t="n"/>
      <c r="F4764" s="15" t="n"/>
      <c r="G4764" s="15" t="n"/>
      <c r="H4764" s="16">
        <f>IF($A4764="","",$D4764+IF($E4764="",0,$E4764)+IF($F4764="",0,$F4764)-IF($G4764="",0,$G4764))</f>
        <v/>
      </c>
      <c r="I4764" s="12" t="n"/>
      <c r="J4764" s="12" t="n"/>
      <c r="K4764" s="12" t="n"/>
      <c r="L4764" s="14" t="n"/>
      <c r="M4764" s="12" t="n"/>
      <c r="N4764" s="12" t="n"/>
      <c r="O4764" s="12" t="n"/>
    </row>
    <row r="4765">
      <c r="A4765" s="12" t="n"/>
      <c r="B4765" s="13">
        <f>IF($A4765="","",IFERROR(INDEX(Emp_Names,MATCH($A4765,Emp_Codes,0)),"NOT FOUND"))</f>
        <v/>
      </c>
      <c r="C4765" s="14" t="n"/>
      <c r="D4765" s="15" t="n"/>
      <c r="E4765" s="15" t="n"/>
      <c r="F4765" s="15" t="n"/>
      <c r="G4765" s="15" t="n"/>
      <c r="H4765" s="16">
        <f>IF($A4765="","",$D4765+IF($E4765="",0,$E4765)+IF($F4765="",0,$F4765)-IF($G4765="",0,$G4765))</f>
        <v/>
      </c>
      <c r="I4765" s="12" t="n"/>
      <c r="J4765" s="12" t="n"/>
      <c r="K4765" s="12" t="n"/>
      <c r="L4765" s="14" t="n"/>
      <c r="M4765" s="12" t="n"/>
      <c r="N4765" s="12" t="n"/>
      <c r="O4765" s="12" t="n"/>
    </row>
    <row r="4766">
      <c r="A4766" s="12" t="n"/>
      <c r="B4766" s="13">
        <f>IF($A4766="","",IFERROR(INDEX(Emp_Names,MATCH($A4766,Emp_Codes,0)),"NOT FOUND"))</f>
        <v/>
      </c>
      <c r="C4766" s="14" t="n"/>
      <c r="D4766" s="15" t="n"/>
      <c r="E4766" s="15" t="n"/>
      <c r="F4766" s="15" t="n"/>
      <c r="G4766" s="15" t="n"/>
      <c r="H4766" s="16">
        <f>IF($A4766="","",$D4766+IF($E4766="",0,$E4766)+IF($F4766="",0,$F4766)-IF($G4766="",0,$G4766))</f>
        <v/>
      </c>
      <c r="I4766" s="12" t="n"/>
      <c r="J4766" s="12" t="n"/>
      <c r="K4766" s="12" t="n"/>
      <c r="L4766" s="14" t="n"/>
      <c r="M4766" s="12" t="n"/>
      <c r="N4766" s="12" t="n"/>
      <c r="O4766" s="12" t="n"/>
    </row>
    <row r="4767">
      <c r="A4767" s="12" t="n"/>
      <c r="B4767" s="13">
        <f>IF($A4767="","",IFERROR(INDEX(Emp_Names,MATCH($A4767,Emp_Codes,0)),"NOT FOUND"))</f>
        <v/>
      </c>
      <c r="C4767" s="14" t="n"/>
      <c r="D4767" s="15" t="n"/>
      <c r="E4767" s="15" t="n"/>
      <c r="F4767" s="15" t="n"/>
      <c r="G4767" s="15" t="n"/>
      <c r="H4767" s="16">
        <f>IF($A4767="","",$D4767+IF($E4767="",0,$E4767)+IF($F4767="",0,$F4767)-IF($G4767="",0,$G4767))</f>
        <v/>
      </c>
      <c r="I4767" s="12" t="n"/>
      <c r="J4767" s="12" t="n"/>
      <c r="K4767" s="12" t="n"/>
      <c r="L4767" s="14" t="n"/>
      <c r="M4767" s="12" t="n"/>
      <c r="N4767" s="12" t="n"/>
      <c r="O4767" s="12" t="n"/>
    </row>
    <row r="4768">
      <c r="A4768" s="12" t="n"/>
      <c r="B4768" s="13">
        <f>IF($A4768="","",IFERROR(INDEX(Emp_Names,MATCH($A4768,Emp_Codes,0)),"NOT FOUND"))</f>
        <v/>
      </c>
      <c r="C4768" s="14" t="n"/>
      <c r="D4768" s="15" t="n"/>
      <c r="E4768" s="15" t="n"/>
      <c r="F4768" s="15" t="n"/>
      <c r="G4768" s="15" t="n"/>
      <c r="H4768" s="16">
        <f>IF($A4768="","",$D4768+IF($E4768="",0,$E4768)+IF($F4768="",0,$F4768)-IF($G4768="",0,$G4768))</f>
        <v/>
      </c>
      <c r="I4768" s="12" t="n"/>
      <c r="J4768" s="12" t="n"/>
      <c r="K4768" s="12" t="n"/>
      <c r="L4768" s="14" t="n"/>
      <c r="M4768" s="12" t="n"/>
      <c r="N4768" s="12" t="n"/>
      <c r="O4768" s="12" t="n"/>
    </row>
    <row r="4769">
      <c r="A4769" s="12" t="n"/>
      <c r="B4769" s="13">
        <f>IF($A4769="","",IFERROR(INDEX(Emp_Names,MATCH($A4769,Emp_Codes,0)),"NOT FOUND"))</f>
        <v/>
      </c>
      <c r="C4769" s="14" t="n"/>
      <c r="D4769" s="15" t="n"/>
      <c r="E4769" s="15" t="n"/>
      <c r="F4769" s="15" t="n"/>
      <c r="G4769" s="15" t="n"/>
      <c r="H4769" s="16">
        <f>IF($A4769="","",$D4769+IF($E4769="",0,$E4769)+IF($F4769="",0,$F4769)-IF($G4769="",0,$G4769))</f>
        <v/>
      </c>
      <c r="I4769" s="12" t="n"/>
      <c r="J4769" s="12" t="n"/>
      <c r="K4769" s="12" t="n"/>
      <c r="L4769" s="14" t="n"/>
      <c r="M4769" s="12" t="n"/>
      <c r="N4769" s="12" t="n"/>
      <c r="O4769" s="12" t="n"/>
    </row>
    <row r="4770">
      <c r="A4770" s="12" t="n"/>
      <c r="B4770" s="13">
        <f>IF($A4770="","",IFERROR(INDEX(Emp_Names,MATCH($A4770,Emp_Codes,0)),"NOT FOUND"))</f>
        <v/>
      </c>
      <c r="C4770" s="14" t="n"/>
      <c r="D4770" s="15" t="n"/>
      <c r="E4770" s="15" t="n"/>
      <c r="F4770" s="15" t="n"/>
      <c r="G4770" s="15" t="n"/>
      <c r="H4770" s="16">
        <f>IF($A4770="","",$D4770+IF($E4770="",0,$E4770)+IF($F4770="",0,$F4770)-IF($G4770="",0,$G4770))</f>
        <v/>
      </c>
      <c r="I4770" s="12" t="n"/>
      <c r="J4770" s="12" t="n"/>
      <c r="K4770" s="12" t="n"/>
      <c r="L4770" s="14" t="n"/>
      <c r="M4770" s="12" t="n"/>
      <c r="N4770" s="12" t="n"/>
      <c r="O4770" s="12" t="n"/>
    </row>
    <row r="4771">
      <c r="A4771" s="12" t="n"/>
      <c r="B4771" s="13">
        <f>IF($A4771="","",IFERROR(INDEX(Emp_Names,MATCH($A4771,Emp_Codes,0)),"NOT FOUND"))</f>
        <v/>
      </c>
      <c r="C4771" s="14" t="n"/>
      <c r="D4771" s="15" t="n"/>
      <c r="E4771" s="15" t="n"/>
      <c r="F4771" s="15" t="n"/>
      <c r="G4771" s="15" t="n"/>
      <c r="H4771" s="16">
        <f>IF($A4771="","",$D4771+IF($E4771="",0,$E4771)+IF($F4771="",0,$F4771)-IF($G4771="",0,$G4771))</f>
        <v/>
      </c>
      <c r="I4771" s="12" t="n"/>
      <c r="J4771" s="12" t="n"/>
      <c r="K4771" s="12" t="n"/>
      <c r="L4771" s="14" t="n"/>
      <c r="M4771" s="12" t="n"/>
      <c r="N4771" s="12" t="n"/>
      <c r="O4771" s="12" t="n"/>
    </row>
    <row r="4772">
      <c r="A4772" s="12" t="n"/>
      <c r="B4772" s="13">
        <f>IF($A4772="","",IFERROR(INDEX(Emp_Names,MATCH($A4772,Emp_Codes,0)),"NOT FOUND"))</f>
        <v/>
      </c>
      <c r="C4772" s="14" t="n"/>
      <c r="D4772" s="15" t="n"/>
      <c r="E4772" s="15" t="n"/>
      <c r="F4772" s="15" t="n"/>
      <c r="G4772" s="15" t="n"/>
      <c r="H4772" s="16">
        <f>IF($A4772="","",$D4772+IF($E4772="",0,$E4772)+IF($F4772="",0,$F4772)-IF($G4772="",0,$G4772))</f>
        <v/>
      </c>
      <c r="I4772" s="12" t="n"/>
      <c r="J4772" s="12" t="n"/>
      <c r="K4772" s="12" t="n"/>
      <c r="L4772" s="14" t="n"/>
      <c r="M4772" s="12" t="n"/>
      <c r="N4772" s="12" t="n"/>
      <c r="O4772" s="12" t="n"/>
    </row>
    <row r="4773">
      <c r="A4773" s="12" t="n"/>
      <c r="B4773" s="13">
        <f>IF($A4773="","",IFERROR(INDEX(Emp_Names,MATCH($A4773,Emp_Codes,0)),"NOT FOUND"))</f>
        <v/>
      </c>
      <c r="C4773" s="14" t="n"/>
      <c r="D4773" s="15" t="n"/>
      <c r="E4773" s="15" t="n"/>
      <c r="F4773" s="15" t="n"/>
      <c r="G4773" s="15" t="n"/>
      <c r="H4773" s="16">
        <f>IF($A4773="","",$D4773+IF($E4773="",0,$E4773)+IF($F4773="",0,$F4773)-IF($G4773="",0,$G4773))</f>
        <v/>
      </c>
      <c r="I4773" s="12" t="n"/>
      <c r="J4773" s="12" t="n"/>
      <c r="K4773" s="12" t="n"/>
      <c r="L4773" s="14" t="n"/>
      <c r="M4773" s="12" t="n"/>
      <c r="N4773" s="12" t="n"/>
      <c r="O4773" s="12" t="n"/>
    </row>
    <row r="4774">
      <c r="A4774" s="12" t="n"/>
      <c r="B4774" s="13">
        <f>IF($A4774="","",IFERROR(INDEX(Emp_Names,MATCH($A4774,Emp_Codes,0)),"NOT FOUND"))</f>
        <v/>
      </c>
      <c r="C4774" s="14" t="n"/>
      <c r="D4774" s="15" t="n"/>
      <c r="E4774" s="15" t="n"/>
      <c r="F4774" s="15" t="n"/>
      <c r="G4774" s="15" t="n"/>
      <c r="H4774" s="16">
        <f>IF($A4774="","",$D4774+IF($E4774="",0,$E4774)+IF($F4774="",0,$F4774)-IF($G4774="",0,$G4774))</f>
        <v/>
      </c>
      <c r="I4774" s="12" t="n"/>
      <c r="J4774" s="12" t="n"/>
      <c r="K4774" s="12" t="n"/>
      <c r="L4774" s="14" t="n"/>
      <c r="M4774" s="12" t="n"/>
      <c r="N4774" s="12" t="n"/>
      <c r="O4774" s="12" t="n"/>
    </row>
    <row r="4775">
      <c r="A4775" s="12" t="n"/>
      <c r="B4775" s="13">
        <f>IF($A4775="","",IFERROR(INDEX(Emp_Names,MATCH($A4775,Emp_Codes,0)),"NOT FOUND"))</f>
        <v/>
      </c>
      <c r="C4775" s="14" t="n"/>
      <c r="D4775" s="15" t="n"/>
      <c r="E4775" s="15" t="n"/>
      <c r="F4775" s="15" t="n"/>
      <c r="G4775" s="15" t="n"/>
      <c r="H4775" s="16">
        <f>IF($A4775="","",$D4775+IF($E4775="",0,$E4775)+IF($F4775="",0,$F4775)-IF($G4775="",0,$G4775))</f>
        <v/>
      </c>
      <c r="I4775" s="12" t="n"/>
      <c r="J4775" s="12" t="n"/>
      <c r="K4775" s="12" t="n"/>
      <c r="L4775" s="14" t="n"/>
      <c r="M4775" s="12" t="n"/>
      <c r="N4775" s="12" t="n"/>
      <c r="O4775" s="12" t="n"/>
    </row>
    <row r="4776">
      <c r="A4776" s="12" t="n"/>
      <c r="B4776" s="13">
        <f>IF($A4776="","",IFERROR(INDEX(Emp_Names,MATCH($A4776,Emp_Codes,0)),"NOT FOUND"))</f>
        <v/>
      </c>
      <c r="C4776" s="14" t="n"/>
      <c r="D4776" s="15" t="n"/>
      <c r="E4776" s="15" t="n"/>
      <c r="F4776" s="15" t="n"/>
      <c r="G4776" s="15" t="n"/>
      <c r="H4776" s="16">
        <f>IF($A4776="","",$D4776+IF($E4776="",0,$E4776)+IF($F4776="",0,$F4776)-IF($G4776="",0,$G4776))</f>
        <v/>
      </c>
      <c r="I4776" s="12" t="n"/>
      <c r="J4776" s="12" t="n"/>
      <c r="K4776" s="12" t="n"/>
      <c r="L4776" s="14" t="n"/>
      <c r="M4776" s="12" t="n"/>
      <c r="N4776" s="12" t="n"/>
      <c r="O4776" s="12" t="n"/>
    </row>
    <row r="4777">
      <c r="A4777" s="12" t="n"/>
      <c r="B4777" s="13">
        <f>IF($A4777="","",IFERROR(INDEX(Emp_Names,MATCH($A4777,Emp_Codes,0)),"NOT FOUND"))</f>
        <v/>
      </c>
      <c r="C4777" s="14" t="n"/>
      <c r="D4777" s="15" t="n"/>
      <c r="E4777" s="15" t="n"/>
      <c r="F4777" s="15" t="n"/>
      <c r="G4777" s="15" t="n"/>
      <c r="H4777" s="16">
        <f>IF($A4777="","",$D4777+IF($E4777="",0,$E4777)+IF($F4777="",0,$F4777)-IF($G4777="",0,$G4777))</f>
        <v/>
      </c>
      <c r="I4777" s="12" t="n"/>
      <c r="J4777" s="12" t="n"/>
      <c r="K4777" s="12" t="n"/>
      <c r="L4777" s="14" t="n"/>
      <c r="M4777" s="12" t="n"/>
      <c r="N4777" s="12" t="n"/>
      <c r="O4777" s="12" t="n"/>
    </row>
    <row r="4778">
      <c r="A4778" s="12" t="n"/>
      <c r="B4778" s="13">
        <f>IF($A4778="","",IFERROR(INDEX(Emp_Names,MATCH($A4778,Emp_Codes,0)),"NOT FOUND"))</f>
        <v/>
      </c>
      <c r="C4778" s="14" t="n"/>
      <c r="D4778" s="15" t="n"/>
      <c r="E4778" s="15" t="n"/>
      <c r="F4778" s="15" t="n"/>
      <c r="G4778" s="15" t="n"/>
      <c r="H4778" s="16">
        <f>IF($A4778="","",$D4778+IF($E4778="",0,$E4778)+IF($F4778="",0,$F4778)-IF($G4778="",0,$G4778))</f>
        <v/>
      </c>
      <c r="I4778" s="12" t="n"/>
      <c r="J4778" s="12" t="n"/>
      <c r="K4778" s="12" t="n"/>
      <c r="L4778" s="14" t="n"/>
      <c r="M4778" s="12" t="n"/>
      <c r="N4778" s="12" t="n"/>
      <c r="O4778" s="12" t="n"/>
    </row>
    <row r="4779">
      <c r="A4779" s="12" t="n"/>
      <c r="B4779" s="13">
        <f>IF($A4779="","",IFERROR(INDEX(Emp_Names,MATCH($A4779,Emp_Codes,0)),"NOT FOUND"))</f>
        <v/>
      </c>
      <c r="C4779" s="14" t="n"/>
      <c r="D4779" s="15" t="n"/>
      <c r="E4779" s="15" t="n"/>
      <c r="F4779" s="15" t="n"/>
      <c r="G4779" s="15" t="n"/>
      <c r="H4779" s="16">
        <f>IF($A4779="","",$D4779+IF($E4779="",0,$E4779)+IF($F4779="",0,$F4779)-IF($G4779="",0,$G4779))</f>
        <v/>
      </c>
      <c r="I4779" s="12" t="n"/>
      <c r="J4779" s="12" t="n"/>
      <c r="K4779" s="12" t="n"/>
      <c r="L4779" s="14" t="n"/>
      <c r="M4779" s="12" t="n"/>
      <c r="N4779" s="12" t="n"/>
      <c r="O4779" s="12" t="n"/>
    </row>
    <row r="4780">
      <c r="A4780" s="12" t="n"/>
      <c r="B4780" s="13">
        <f>IF($A4780="","",IFERROR(INDEX(Emp_Names,MATCH($A4780,Emp_Codes,0)),"NOT FOUND"))</f>
        <v/>
      </c>
      <c r="C4780" s="14" t="n"/>
      <c r="D4780" s="15" t="n"/>
      <c r="E4780" s="15" t="n"/>
      <c r="F4780" s="15" t="n"/>
      <c r="G4780" s="15" t="n"/>
      <c r="H4780" s="16">
        <f>IF($A4780="","",$D4780+IF($E4780="",0,$E4780)+IF($F4780="",0,$F4780)-IF($G4780="",0,$G4780))</f>
        <v/>
      </c>
      <c r="I4780" s="12" t="n"/>
      <c r="J4780" s="12" t="n"/>
      <c r="K4780" s="12" t="n"/>
      <c r="L4780" s="14" t="n"/>
      <c r="M4780" s="12" t="n"/>
      <c r="N4780" s="12" t="n"/>
      <c r="O4780" s="12" t="n"/>
    </row>
    <row r="4781">
      <c r="A4781" s="12" t="n"/>
      <c r="B4781" s="13">
        <f>IF($A4781="","",IFERROR(INDEX(Emp_Names,MATCH($A4781,Emp_Codes,0)),"NOT FOUND"))</f>
        <v/>
      </c>
      <c r="C4781" s="14" t="n"/>
      <c r="D4781" s="15" t="n"/>
      <c r="E4781" s="15" t="n"/>
      <c r="F4781" s="15" t="n"/>
      <c r="G4781" s="15" t="n"/>
      <c r="H4781" s="16">
        <f>IF($A4781="","",$D4781+IF($E4781="",0,$E4781)+IF($F4781="",0,$F4781)-IF($G4781="",0,$G4781))</f>
        <v/>
      </c>
      <c r="I4781" s="12" t="n"/>
      <c r="J4781" s="12" t="n"/>
      <c r="K4781" s="12" t="n"/>
      <c r="L4781" s="14" t="n"/>
      <c r="M4781" s="12" t="n"/>
      <c r="N4781" s="12" t="n"/>
      <c r="O4781" s="12" t="n"/>
    </row>
    <row r="4782">
      <c r="A4782" s="12" t="n"/>
      <c r="B4782" s="13">
        <f>IF($A4782="","",IFERROR(INDEX(Emp_Names,MATCH($A4782,Emp_Codes,0)),"NOT FOUND"))</f>
        <v/>
      </c>
      <c r="C4782" s="14" t="n"/>
      <c r="D4782" s="15" t="n"/>
      <c r="E4782" s="15" t="n"/>
      <c r="F4782" s="15" t="n"/>
      <c r="G4782" s="15" t="n"/>
      <c r="H4782" s="16">
        <f>IF($A4782="","",$D4782+IF($E4782="",0,$E4782)+IF($F4782="",0,$F4782)-IF($G4782="",0,$G4782))</f>
        <v/>
      </c>
      <c r="I4782" s="12" t="n"/>
      <c r="J4782" s="12" t="n"/>
      <c r="K4782" s="12" t="n"/>
      <c r="L4782" s="14" t="n"/>
      <c r="M4782" s="12" t="n"/>
      <c r="N4782" s="12" t="n"/>
      <c r="O4782" s="12" t="n"/>
    </row>
    <row r="4783">
      <c r="A4783" s="12" t="n"/>
      <c r="B4783" s="13">
        <f>IF($A4783="","",IFERROR(INDEX(Emp_Names,MATCH($A4783,Emp_Codes,0)),"NOT FOUND"))</f>
        <v/>
      </c>
      <c r="C4783" s="14" t="n"/>
      <c r="D4783" s="15" t="n"/>
      <c r="E4783" s="15" t="n"/>
      <c r="F4783" s="15" t="n"/>
      <c r="G4783" s="15" t="n"/>
      <c r="H4783" s="16">
        <f>IF($A4783="","",$D4783+IF($E4783="",0,$E4783)+IF($F4783="",0,$F4783)-IF($G4783="",0,$G4783))</f>
        <v/>
      </c>
      <c r="I4783" s="12" t="n"/>
      <c r="J4783" s="12" t="n"/>
      <c r="K4783" s="12" t="n"/>
      <c r="L4783" s="14" t="n"/>
      <c r="M4783" s="12" t="n"/>
      <c r="N4783" s="12" t="n"/>
      <c r="O4783" s="12" t="n"/>
    </row>
    <row r="4784">
      <c r="A4784" s="12" t="n"/>
      <c r="B4784" s="13">
        <f>IF($A4784="","",IFERROR(INDEX(Emp_Names,MATCH($A4784,Emp_Codes,0)),"NOT FOUND"))</f>
        <v/>
      </c>
      <c r="C4784" s="14" t="n"/>
      <c r="D4784" s="15" t="n"/>
      <c r="E4784" s="15" t="n"/>
      <c r="F4784" s="15" t="n"/>
      <c r="G4784" s="15" t="n"/>
      <c r="H4784" s="16">
        <f>IF($A4784="","",$D4784+IF($E4784="",0,$E4784)+IF($F4784="",0,$F4784)-IF($G4784="",0,$G4784))</f>
        <v/>
      </c>
      <c r="I4784" s="12" t="n"/>
      <c r="J4784" s="12" t="n"/>
      <c r="K4784" s="12" t="n"/>
      <c r="L4784" s="14" t="n"/>
      <c r="M4784" s="12" t="n"/>
      <c r="N4784" s="12" t="n"/>
      <c r="O4784" s="12" t="n"/>
    </row>
    <row r="4785">
      <c r="A4785" s="12" t="n"/>
      <c r="B4785" s="13">
        <f>IF($A4785="","",IFERROR(INDEX(Emp_Names,MATCH($A4785,Emp_Codes,0)),"NOT FOUND"))</f>
        <v/>
      </c>
      <c r="C4785" s="14" t="n"/>
      <c r="D4785" s="15" t="n"/>
      <c r="E4785" s="15" t="n"/>
      <c r="F4785" s="15" t="n"/>
      <c r="G4785" s="15" t="n"/>
      <c r="H4785" s="16">
        <f>IF($A4785="","",$D4785+IF($E4785="",0,$E4785)+IF($F4785="",0,$F4785)-IF($G4785="",0,$G4785))</f>
        <v/>
      </c>
      <c r="I4785" s="12" t="n"/>
      <c r="J4785" s="12" t="n"/>
      <c r="K4785" s="12" t="n"/>
      <c r="L4785" s="14" t="n"/>
      <c r="M4785" s="12" t="n"/>
      <c r="N4785" s="12" t="n"/>
      <c r="O4785" s="12" t="n"/>
    </row>
    <row r="4786">
      <c r="A4786" s="12" t="n"/>
      <c r="B4786" s="13">
        <f>IF($A4786="","",IFERROR(INDEX(Emp_Names,MATCH($A4786,Emp_Codes,0)),"NOT FOUND"))</f>
        <v/>
      </c>
      <c r="C4786" s="14" t="n"/>
      <c r="D4786" s="15" t="n"/>
      <c r="E4786" s="15" t="n"/>
      <c r="F4786" s="15" t="n"/>
      <c r="G4786" s="15" t="n"/>
      <c r="H4786" s="16">
        <f>IF($A4786="","",$D4786+IF($E4786="",0,$E4786)+IF($F4786="",0,$F4786)-IF($G4786="",0,$G4786))</f>
        <v/>
      </c>
      <c r="I4786" s="12" t="n"/>
      <c r="J4786" s="12" t="n"/>
      <c r="K4786" s="12" t="n"/>
      <c r="L4786" s="14" t="n"/>
      <c r="M4786" s="12" t="n"/>
      <c r="N4786" s="12" t="n"/>
      <c r="O4786" s="12" t="n"/>
    </row>
    <row r="4787">
      <c r="A4787" s="12" t="n"/>
      <c r="B4787" s="13">
        <f>IF($A4787="","",IFERROR(INDEX(Emp_Names,MATCH($A4787,Emp_Codes,0)),"NOT FOUND"))</f>
        <v/>
      </c>
      <c r="C4787" s="14" t="n"/>
      <c r="D4787" s="15" t="n"/>
      <c r="E4787" s="15" t="n"/>
      <c r="F4787" s="15" t="n"/>
      <c r="G4787" s="15" t="n"/>
      <c r="H4787" s="16">
        <f>IF($A4787="","",$D4787+IF($E4787="",0,$E4787)+IF($F4787="",0,$F4787)-IF($G4787="",0,$G4787))</f>
        <v/>
      </c>
      <c r="I4787" s="12" t="n"/>
      <c r="J4787" s="12" t="n"/>
      <c r="K4787" s="12" t="n"/>
      <c r="L4787" s="14" t="n"/>
      <c r="M4787" s="12" t="n"/>
      <c r="N4787" s="12" t="n"/>
      <c r="O4787" s="12" t="n"/>
    </row>
    <row r="4788">
      <c r="A4788" s="12" t="n"/>
      <c r="B4788" s="13">
        <f>IF($A4788="","",IFERROR(INDEX(Emp_Names,MATCH($A4788,Emp_Codes,0)),"NOT FOUND"))</f>
        <v/>
      </c>
      <c r="C4788" s="14" t="n"/>
      <c r="D4788" s="15" t="n"/>
      <c r="E4788" s="15" t="n"/>
      <c r="F4788" s="15" t="n"/>
      <c r="G4788" s="15" t="n"/>
      <c r="H4788" s="16">
        <f>IF($A4788="","",$D4788+IF($E4788="",0,$E4788)+IF($F4788="",0,$F4788)-IF($G4788="",0,$G4788))</f>
        <v/>
      </c>
      <c r="I4788" s="12" t="n"/>
      <c r="J4788" s="12" t="n"/>
      <c r="K4788" s="12" t="n"/>
      <c r="L4788" s="14" t="n"/>
      <c r="M4788" s="12" t="n"/>
      <c r="N4788" s="12" t="n"/>
      <c r="O4788" s="12" t="n"/>
    </row>
    <row r="4789">
      <c r="A4789" s="12" t="n"/>
      <c r="B4789" s="13">
        <f>IF($A4789="","",IFERROR(INDEX(Emp_Names,MATCH($A4789,Emp_Codes,0)),"NOT FOUND"))</f>
        <v/>
      </c>
      <c r="C4789" s="14" t="n"/>
      <c r="D4789" s="15" t="n"/>
      <c r="E4789" s="15" t="n"/>
      <c r="F4789" s="15" t="n"/>
      <c r="G4789" s="15" t="n"/>
      <c r="H4789" s="16">
        <f>IF($A4789="","",$D4789+IF($E4789="",0,$E4789)+IF($F4789="",0,$F4789)-IF($G4789="",0,$G4789))</f>
        <v/>
      </c>
      <c r="I4789" s="12" t="n"/>
      <c r="J4789" s="12" t="n"/>
      <c r="K4789" s="12" t="n"/>
      <c r="L4789" s="14" t="n"/>
      <c r="M4789" s="12" t="n"/>
      <c r="N4789" s="12" t="n"/>
      <c r="O4789" s="12" t="n"/>
    </row>
    <row r="4790">
      <c r="A4790" s="12" t="n"/>
      <c r="B4790" s="13">
        <f>IF($A4790="","",IFERROR(INDEX(Emp_Names,MATCH($A4790,Emp_Codes,0)),"NOT FOUND"))</f>
        <v/>
      </c>
      <c r="C4790" s="14" t="n"/>
      <c r="D4790" s="15" t="n"/>
      <c r="E4790" s="15" t="n"/>
      <c r="F4790" s="15" t="n"/>
      <c r="G4790" s="15" t="n"/>
      <c r="H4790" s="16">
        <f>IF($A4790="","",$D4790+IF($E4790="",0,$E4790)+IF($F4790="",0,$F4790)-IF($G4790="",0,$G4790))</f>
        <v/>
      </c>
      <c r="I4790" s="12" t="n"/>
      <c r="J4790" s="12" t="n"/>
      <c r="K4790" s="12" t="n"/>
      <c r="L4790" s="14" t="n"/>
      <c r="M4790" s="12" t="n"/>
      <c r="N4790" s="12" t="n"/>
      <c r="O4790" s="12" t="n"/>
    </row>
    <row r="4791">
      <c r="A4791" s="12" t="n"/>
      <c r="B4791" s="13">
        <f>IF($A4791="","",IFERROR(INDEX(Emp_Names,MATCH($A4791,Emp_Codes,0)),"NOT FOUND"))</f>
        <v/>
      </c>
      <c r="C4791" s="14" t="n"/>
      <c r="D4791" s="15" t="n"/>
      <c r="E4791" s="15" t="n"/>
      <c r="F4791" s="15" t="n"/>
      <c r="G4791" s="15" t="n"/>
      <c r="H4791" s="16">
        <f>IF($A4791="","",$D4791+IF($E4791="",0,$E4791)+IF($F4791="",0,$F4791)-IF($G4791="",0,$G4791))</f>
        <v/>
      </c>
      <c r="I4791" s="12" t="n"/>
      <c r="J4791" s="12" t="n"/>
      <c r="K4791" s="12" t="n"/>
      <c r="L4791" s="14" t="n"/>
      <c r="M4791" s="12" t="n"/>
      <c r="N4791" s="12" t="n"/>
      <c r="O4791" s="12" t="n"/>
    </row>
    <row r="4792">
      <c r="A4792" s="12" t="n"/>
      <c r="B4792" s="13">
        <f>IF($A4792="","",IFERROR(INDEX(Emp_Names,MATCH($A4792,Emp_Codes,0)),"NOT FOUND"))</f>
        <v/>
      </c>
      <c r="C4792" s="14" t="n"/>
      <c r="D4792" s="15" t="n"/>
      <c r="E4792" s="15" t="n"/>
      <c r="F4792" s="15" t="n"/>
      <c r="G4792" s="15" t="n"/>
      <c r="H4792" s="16">
        <f>IF($A4792="","",$D4792+IF($E4792="",0,$E4792)+IF($F4792="",0,$F4792)-IF($G4792="",0,$G4792))</f>
        <v/>
      </c>
      <c r="I4792" s="12" t="n"/>
      <c r="J4792" s="12" t="n"/>
      <c r="K4792" s="12" t="n"/>
      <c r="L4792" s="14" t="n"/>
      <c r="M4792" s="12" t="n"/>
      <c r="N4792" s="12" t="n"/>
      <c r="O4792" s="12" t="n"/>
    </row>
    <row r="4793">
      <c r="A4793" s="12" t="n"/>
      <c r="B4793" s="13">
        <f>IF($A4793="","",IFERROR(INDEX(Emp_Names,MATCH($A4793,Emp_Codes,0)),"NOT FOUND"))</f>
        <v/>
      </c>
      <c r="C4793" s="14" t="n"/>
      <c r="D4793" s="15" t="n"/>
      <c r="E4793" s="15" t="n"/>
      <c r="F4793" s="15" t="n"/>
      <c r="G4793" s="15" t="n"/>
      <c r="H4793" s="16">
        <f>IF($A4793="","",$D4793+IF($E4793="",0,$E4793)+IF($F4793="",0,$F4793)-IF($G4793="",0,$G4793))</f>
        <v/>
      </c>
      <c r="I4793" s="12" t="n"/>
      <c r="J4793" s="12" t="n"/>
      <c r="K4793" s="12" t="n"/>
      <c r="L4793" s="14" t="n"/>
      <c r="M4793" s="12" t="n"/>
      <c r="N4793" s="12" t="n"/>
      <c r="O4793" s="12" t="n"/>
    </row>
    <row r="4794">
      <c r="A4794" s="12" t="n"/>
      <c r="B4794" s="13">
        <f>IF($A4794="","",IFERROR(INDEX(Emp_Names,MATCH($A4794,Emp_Codes,0)),"NOT FOUND"))</f>
        <v/>
      </c>
      <c r="C4794" s="14" t="n"/>
      <c r="D4794" s="15" t="n"/>
      <c r="E4794" s="15" t="n"/>
      <c r="F4794" s="15" t="n"/>
      <c r="G4794" s="15" t="n"/>
      <c r="H4794" s="16">
        <f>IF($A4794="","",$D4794+IF($E4794="",0,$E4794)+IF($F4794="",0,$F4794)-IF($G4794="",0,$G4794))</f>
        <v/>
      </c>
      <c r="I4794" s="12" t="n"/>
      <c r="J4794" s="12" t="n"/>
      <c r="K4794" s="12" t="n"/>
      <c r="L4794" s="14" t="n"/>
      <c r="M4794" s="12" t="n"/>
      <c r="N4794" s="12" t="n"/>
      <c r="O4794" s="12" t="n"/>
    </row>
    <row r="4795">
      <c r="A4795" s="12" t="n"/>
      <c r="B4795" s="13">
        <f>IF($A4795="","",IFERROR(INDEX(Emp_Names,MATCH($A4795,Emp_Codes,0)),"NOT FOUND"))</f>
        <v/>
      </c>
      <c r="C4795" s="14" t="n"/>
      <c r="D4795" s="15" t="n"/>
      <c r="E4795" s="15" t="n"/>
      <c r="F4795" s="15" t="n"/>
      <c r="G4795" s="15" t="n"/>
      <c r="H4795" s="16">
        <f>IF($A4795="","",$D4795+IF($E4795="",0,$E4795)+IF($F4795="",0,$F4795)-IF($G4795="",0,$G4795))</f>
        <v/>
      </c>
      <c r="I4795" s="12" t="n"/>
      <c r="J4795" s="12" t="n"/>
      <c r="K4795" s="12" t="n"/>
      <c r="L4795" s="14" t="n"/>
      <c r="M4795" s="12" t="n"/>
      <c r="N4795" s="12" t="n"/>
      <c r="O4795" s="12" t="n"/>
    </row>
    <row r="4796">
      <c r="A4796" s="12" t="n"/>
      <c r="B4796" s="13">
        <f>IF($A4796="","",IFERROR(INDEX(Emp_Names,MATCH($A4796,Emp_Codes,0)),"NOT FOUND"))</f>
        <v/>
      </c>
      <c r="C4796" s="14" t="n"/>
      <c r="D4796" s="15" t="n"/>
      <c r="E4796" s="15" t="n"/>
      <c r="F4796" s="15" t="n"/>
      <c r="G4796" s="15" t="n"/>
      <c r="H4796" s="16">
        <f>IF($A4796="","",$D4796+IF($E4796="",0,$E4796)+IF($F4796="",0,$F4796)-IF($G4796="",0,$G4796))</f>
        <v/>
      </c>
      <c r="I4796" s="12" t="n"/>
      <c r="J4796" s="12" t="n"/>
      <c r="K4796" s="12" t="n"/>
      <c r="L4796" s="14" t="n"/>
      <c r="M4796" s="12" t="n"/>
      <c r="N4796" s="12" t="n"/>
      <c r="O4796" s="12" t="n"/>
    </row>
    <row r="4797">
      <c r="A4797" s="12" t="n"/>
      <c r="B4797" s="13">
        <f>IF($A4797="","",IFERROR(INDEX(Emp_Names,MATCH($A4797,Emp_Codes,0)),"NOT FOUND"))</f>
        <v/>
      </c>
      <c r="C4797" s="14" t="n"/>
      <c r="D4797" s="15" t="n"/>
      <c r="E4797" s="15" t="n"/>
      <c r="F4797" s="15" t="n"/>
      <c r="G4797" s="15" t="n"/>
      <c r="H4797" s="16">
        <f>IF($A4797="","",$D4797+IF($E4797="",0,$E4797)+IF($F4797="",0,$F4797)-IF($G4797="",0,$G4797))</f>
        <v/>
      </c>
      <c r="I4797" s="12" t="n"/>
      <c r="J4797" s="12" t="n"/>
      <c r="K4797" s="12" t="n"/>
      <c r="L4797" s="14" t="n"/>
      <c r="M4797" s="12" t="n"/>
      <c r="N4797" s="12" t="n"/>
      <c r="O4797" s="12" t="n"/>
    </row>
    <row r="4798">
      <c r="A4798" s="12" t="n"/>
      <c r="B4798" s="13">
        <f>IF($A4798="","",IFERROR(INDEX(Emp_Names,MATCH($A4798,Emp_Codes,0)),"NOT FOUND"))</f>
        <v/>
      </c>
      <c r="C4798" s="14" t="n"/>
      <c r="D4798" s="15" t="n"/>
      <c r="E4798" s="15" t="n"/>
      <c r="F4798" s="15" t="n"/>
      <c r="G4798" s="15" t="n"/>
      <c r="H4798" s="16">
        <f>IF($A4798="","",$D4798+IF($E4798="",0,$E4798)+IF($F4798="",0,$F4798)-IF($G4798="",0,$G4798))</f>
        <v/>
      </c>
      <c r="I4798" s="12" t="n"/>
      <c r="J4798" s="12" t="n"/>
      <c r="K4798" s="12" t="n"/>
      <c r="L4798" s="14" t="n"/>
      <c r="M4798" s="12" t="n"/>
      <c r="N4798" s="12" t="n"/>
      <c r="O4798" s="12" t="n"/>
    </row>
    <row r="4799">
      <c r="A4799" s="12" t="n"/>
      <c r="B4799" s="13">
        <f>IF($A4799="","",IFERROR(INDEX(Emp_Names,MATCH($A4799,Emp_Codes,0)),"NOT FOUND"))</f>
        <v/>
      </c>
      <c r="C4799" s="14" t="n"/>
      <c r="D4799" s="15" t="n"/>
      <c r="E4799" s="15" t="n"/>
      <c r="F4799" s="15" t="n"/>
      <c r="G4799" s="15" t="n"/>
      <c r="H4799" s="16">
        <f>IF($A4799="","",$D4799+IF($E4799="",0,$E4799)+IF($F4799="",0,$F4799)-IF($G4799="",0,$G4799))</f>
        <v/>
      </c>
      <c r="I4799" s="12" t="n"/>
      <c r="J4799" s="12" t="n"/>
      <c r="K4799" s="12" t="n"/>
      <c r="L4799" s="14" t="n"/>
      <c r="M4799" s="12" t="n"/>
      <c r="N4799" s="12" t="n"/>
      <c r="O4799" s="12" t="n"/>
    </row>
    <row r="4800">
      <c r="A4800" s="12" t="n"/>
      <c r="B4800" s="13">
        <f>IF($A4800="","",IFERROR(INDEX(Emp_Names,MATCH($A4800,Emp_Codes,0)),"NOT FOUND"))</f>
        <v/>
      </c>
      <c r="C4800" s="14" t="n"/>
      <c r="D4800" s="15" t="n"/>
      <c r="E4800" s="15" t="n"/>
      <c r="F4800" s="15" t="n"/>
      <c r="G4800" s="15" t="n"/>
      <c r="H4800" s="16">
        <f>IF($A4800="","",$D4800+IF($E4800="",0,$E4800)+IF($F4800="",0,$F4800)-IF($G4800="",0,$G4800))</f>
        <v/>
      </c>
      <c r="I4800" s="12" t="n"/>
      <c r="J4800" s="12" t="n"/>
      <c r="K4800" s="12" t="n"/>
      <c r="L4800" s="14" t="n"/>
      <c r="M4800" s="12" t="n"/>
      <c r="N4800" s="12" t="n"/>
      <c r="O4800" s="12" t="n"/>
    </row>
    <row r="4801">
      <c r="A4801" s="12" t="n"/>
      <c r="B4801" s="13">
        <f>IF($A4801="","",IFERROR(INDEX(Emp_Names,MATCH($A4801,Emp_Codes,0)),"NOT FOUND"))</f>
        <v/>
      </c>
      <c r="C4801" s="14" t="n"/>
      <c r="D4801" s="15" t="n"/>
      <c r="E4801" s="15" t="n"/>
      <c r="F4801" s="15" t="n"/>
      <c r="G4801" s="15" t="n"/>
      <c r="H4801" s="16">
        <f>IF($A4801="","",$D4801+IF($E4801="",0,$E4801)+IF($F4801="",0,$F4801)-IF($G4801="",0,$G4801))</f>
        <v/>
      </c>
      <c r="I4801" s="12" t="n"/>
      <c r="J4801" s="12" t="n"/>
      <c r="K4801" s="12" t="n"/>
      <c r="L4801" s="14" t="n"/>
      <c r="M4801" s="12" t="n"/>
      <c r="N4801" s="12" t="n"/>
      <c r="O4801" s="12" t="n"/>
    </row>
    <row r="4802">
      <c r="A4802" s="12" t="n"/>
      <c r="B4802" s="13">
        <f>IF($A4802="","",IFERROR(INDEX(Emp_Names,MATCH($A4802,Emp_Codes,0)),"NOT FOUND"))</f>
        <v/>
      </c>
      <c r="C4802" s="14" t="n"/>
      <c r="D4802" s="15" t="n"/>
      <c r="E4802" s="15" t="n"/>
      <c r="F4802" s="15" t="n"/>
      <c r="G4802" s="15" t="n"/>
      <c r="H4802" s="16">
        <f>IF($A4802="","",$D4802+IF($E4802="",0,$E4802)+IF($F4802="",0,$F4802)-IF($G4802="",0,$G4802))</f>
        <v/>
      </c>
      <c r="I4802" s="12" t="n"/>
      <c r="J4802" s="12" t="n"/>
      <c r="K4802" s="12" t="n"/>
      <c r="L4802" s="14" t="n"/>
      <c r="M4802" s="12" t="n"/>
      <c r="N4802" s="12" t="n"/>
      <c r="O4802" s="12" t="n"/>
    </row>
    <row r="4803">
      <c r="A4803" s="12" t="n"/>
      <c r="B4803" s="13">
        <f>IF($A4803="","",IFERROR(INDEX(Emp_Names,MATCH($A4803,Emp_Codes,0)),"NOT FOUND"))</f>
        <v/>
      </c>
      <c r="C4803" s="14" t="n"/>
      <c r="D4803" s="15" t="n"/>
      <c r="E4803" s="15" t="n"/>
      <c r="F4803" s="15" t="n"/>
      <c r="G4803" s="15" t="n"/>
      <c r="H4803" s="16">
        <f>IF($A4803="","",$D4803+IF($E4803="",0,$E4803)+IF($F4803="",0,$F4803)-IF($G4803="",0,$G4803))</f>
        <v/>
      </c>
      <c r="I4803" s="12" t="n"/>
      <c r="J4803" s="12" t="n"/>
      <c r="K4803" s="12" t="n"/>
      <c r="L4803" s="14" t="n"/>
      <c r="M4803" s="12" t="n"/>
      <c r="N4803" s="12" t="n"/>
      <c r="O4803" s="12" t="n"/>
    </row>
    <row r="4804">
      <c r="A4804" s="12" t="n"/>
      <c r="B4804" s="13">
        <f>IF($A4804="","",IFERROR(INDEX(Emp_Names,MATCH($A4804,Emp_Codes,0)),"NOT FOUND"))</f>
        <v/>
      </c>
      <c r="C4804" s="14" t="n"/>
      <c r="D4804" s="15" t="n"/>
      <c r="E4804" s="15" t="n"/>
      <c r="F4804" s="15" t="n"/>
      <c r="G4804" s="15" t="n"/>
      <c r="H4804" s="16">
        <f>IF($A4804="","",$D4804+IF($E4804="",0,$E4804)+IF($F4804="",0,$F4804)-IF($G4804="",0,$G4804))</f>
        <v/>
      </c>
      <c r="I4804" s="12" t="n"/>
      <c r="J4804" s="12" t="n"/>
      <c r="K4804" s="12" t="n"/>
      <c r="L4804" s="14" t="n"/>
      <c r="M4804" s="12" t="n"/>
      <c r="N4804" s="12" t="n"/>
      <c r="O4804" s="12" t="n"/>
    </row>
    <row r="4805">
      <c r="A4805" s="12" t="n"/>
      <c r="B4805" s="13">
        <f>IF($A4805="","",IFERROR(INDEX(Emp_Names,MATCH($A4805,Emp_Codes,0)),"NOT FOUND"))</f>
        <v/>
      </c>
      <c r="C4805" s="14" t="n"/>
      <c r="D4805" s="15" t="n"/>
      <c r="E4805" s="15" t="n"/>
      <c r="F4805" s="15" t="n"/>
      <c r="G4805" s="15" t="n"/>
      <c r="H4805" s="16">
        <f>IF($A4805="","",$D4805+IF($E4805="",0,$E4805)+IF($F4805="",0,$F4805)-IF($G4805="",0,$G4805))</f>
        <v/>
      </c>
      <c r="I4805" s="12" t="n"/>
      <c r="J4805" s="12" t="n"/>
      <c r="K4805" s="12" t="n"/>
      <c r="L4805" s="14" t="n"/>
      <c r="M4805" s="12" t="n"/>
      <c r="N4805" s="12" t="n"/>
      <c r="O4805" s="12" t="n"/>
    </row>
    <row r="4806">
      <c r="A4806" s="12" t="n"/>
      <c r="B4806" s="13">
        <f>IF($A4806="","",IFERROR(INDEX(Emp_Names,MATCH($A4806,Emp_Codes,0)),"NOT FOUND"))</f>
        <v/>
      </c>
      <c r="C4806" s="14" t="n"/>
      <c r="D4806" s="15" t="n"/>
      <c r="E4806" s="15" t="n"/>
      <c r="F4806" s="15" t="n"/>
      <c r="G4806" s="15" t="n"/>
      <c r="H4806" s="16">
        <f>IF($A4806="","",$D4806+IF($E4806="",0,$E4806)+IF($F4806="",0,$F4806)-IF($G4806="",0,$G4806))</f>
        <v/>
      </c>
      <c r="I4806" s="12" t="n"/>
      <c r="J4806" s="12" t="n"/>
      <c r="K4806" s="12" t="n"/>
      <c r="L4806" s="14" t="n"/>
      <c r="M4806" s="12" t="n"/>
      <c r="N4806" s="12" t="n"/>
      <c r="O4806" s="12" t="n"/>
    </row>
    <row r="4807">
      <c r="A4807" s="12" t="n"/>
      <c r="B4807" s="13">
        <f>IF($A4807="","",IFERROR(INDEX(Emp_Names,MATCH($A4807,Emp_Codes,0)),"NOT FOUND"))</f>
        <v/>
      </c>
      <c r="C4807" s="14" t="n"/>
      <c r="D4807" s="15" t="n"/>
      <c r="E4807" s="15" t="n"/>
      <c r="F4807" s="15" t="n"/>
      <c r="G4807" s="15" t="n"/>
      <c r="H4807" s="16">
        <f>IF($A4807="","",$D4807+IF($E4807="",0,$E4807)+IF($F4807="",0,$F4807)-IF($G4807="",0,$G4807))</f>
        <v/>
      </c>
      <c r="I4807" s="12" t="n"/>
      <c r="J4807" s="12" t="n"/>
      <c r="K4807" s="12" t="n"/>
      <c r="L4807" s="14" t="n"/>
      <c r="M4807" s="12" t="n"/>
      <c r="N4807" s="12" t="n"/>
      <c r="O4807" s="12" t="n"/>
    </row>
    <row r="4808">
      <c r="A4808" s="12" t="n"/>
      <c r="B4808" s="13">
        <f>IF($A4808="","",IFERROR(INDEX(Emp_Names,MATCH($A4808,Emp_Codes,0)),"NOT FOUND"))</f>
        <v/>
      </c>
      <c r="C4808" s="14" t="n"/>
      <c r="D4808" s="15" t="n"/>
      <c r="E4808" s="15" t="n"/>
      <c r="F4808" s="15" t="n"/>
      <c r="G4808" s="15" t="n"/>
      <c r="H4808" s="16">
        <f>IF($A4808="","",$D4808+IF($E4808="",0,$E4808)+IF($F4808="",0,$F4808)-IF($G4808="",0,$G4808))</f>
        <v/>
      </c>
      <c r="I4808" s="12" t="n"/>
      <c r="J4808" s="12" t="n"/>
      <c r="K4808" s="12" t="n"/>
      <c r="L4808" s="14" t="n"/>
      <c r="M4808" s="12" t="n"/>
      <c r="N4808" s="12" t="n"/>
      <c r="O4808" s="12" t="n"/>
    </row>
    <row r="4809">
      <c r="A4809" s="12" t="n"/>
      <c r="B4809" s="13">
        <f>IF($A4809="","",IFERROR(INDEX(Emp_Names,MATCH($A4809,Emp_Codes,0)),"NOT FOUND"))</f>
        <v/>
      </c>
      <c r="C4809" s="14" t="n"/>
      <c r="D4809" s="15" t="n"/>
      <c r="E4809" s="15" t="n"/>
      <c r="F4809" s="15" t="n"/>
      <c r="G4809" s="15" t="n"/>
      <c r="H4809" s="16">
        <f>IF($A4809="","",$D4809+IF($E4809="",0,$E4809)+IF($F4809="",0,$F4809)-IF($G4809="",0,$G4809))</f>
        <v/>
      </c>
      <c r="I4809" s="12" t="n"/>
      <c r="J4809" s="12" t="n"/>
      <c r="K4809" s="12" t="n"/>
      <c r="L4809" s="14" t="n"/>
      <c r="M4809" s="12" t="n"/>
      <c r="N4809" s="12" t="n"/>
      <c r="O4809" s="12" t="n"/>
    </row>
    <row r="4810">
      <c r="A4810" s="12" t="n"/>
      <c r="B4810" s="13">
        <f>IF($A4810="","",IFERROR(INDEX(Emp_Names,MATCH($A4810,Emp_Codes,0)),"NOT FOUND"))</f>
        <v/>
      </c>
      <c r="C4810" s="14" t="n"/>
      <c r="D4810" s="15" t="n"/>
      <c r="E4810" s="15" t="n"/>
      <c r="F4810" s="15" t="n"/>
      <c r="G4810" s="15" t="n"/>
      <c r="H4810" s="16">
        <f>IF($A4810="","",$D4810+IF($E4810="",0,$E4810)+IF($F4810="",0,$F4810)-IF($G4810="",0,$G4810))</f>
        <v/>
      </c>
      <c r="I4810" s="12" t="n"/>
      <c r="J4810" s="12" t="n"/>
      <c r="K4810" s="12" t="n"/>
      <c r="L4810" s="14" t="n"/>
      <c r="M4810" s="12" t="n"/>
      <c r="N4810" s="12" t="n"/>
      <c r="O4810" s="12" t="n"/>
    </row>
    <row r="4811">
      <c r="A4811" s="12" t="n"/>
      <c r="B4811" s="13">
        <f>IF($A4811="","",IFERROR(INDEX(Emp_Names,MATCH($A4811,Emp_Codes,0)),"NOT FOUND"))</f>
        <v/>
      </c>
      <c r="C4811" s="14" t="n"/>
      <c r="D4811" s="15" t="n"/>
      <c r="E4811" s="15" t="n"/>
      <c r="F4811" s="15" t="n"/>
      <c r="G4811" s="15" t="n"/>
      <c r="H4811" s="16">
        <f>IF($A4811="","",$D4811+IF($E4811="",0,$E4811)+IF($F4811="",0,$F4811)-IF($G4811="",0,$G4811))</f>
        <v/>
      </c>
      <c r="I4811" s="12" t="n"/>
      <c r="J4811" s="12" t="n"/>
      <c r="K4811" s="12" t="n"/>
      <c r="L4811" s="14" t="n"/>
      <c r="M4811" s="12" t="n"/>
      <c r="N4811" s="12" t="n"/>
      <c r="O4811" s="12" t="n"/>
    </row>
    <row r="4812">
      <c r="A4812" s="12" t="n"/>
      <c r="B4812" s="13">
        <f>IF($A4812="","",IFERROR(INDEX(Emp_Names,MATCH($A4812,Emp_Codes,0)),"NOT FOUND"))</f>
        <v/>
      </c>
      <c r="C4812" s="14" t="n"/>
      <c r="D4812" s="15" t="n"/>
      <c r="E4812" s="15" t="n"/>
      <c r="F4812" s="15" t="n"/>
      <c r="G4812" s="15" t="n"/>
      <c r="H4812" s="16">
        <f>IF($A4812="","",$D4812+IF($E4812="",0,$E4812)+IF($F4812="",0,$F4812)-IF($G4812="",0,$G4812))</f>
        <v/>
      </c>
      <c r="I4812" s="12" t="n"/>
      <c r="J4812" s="12" t="n"/>
      <c r="K4812" s="12" t="n"/>
      <c r="L4812" s="14" t="n"/>
      <c r="M4812" s="12" t="n"/>
      <c r="N4812" s="12" t="n"/>
      <c r="O4812" s="12" t="n"/>
    </row>
    <row r="4813">
      <c r="A4813" s="12" t="n"/>
      <c r="B4813" s="13">
        <f>IF($A4813="","",IFERROR(INDEX(Emp_Names,MATCH($A4813,Emp_Codes,0)),"NOT FOUND"))</f>
        <v/>
      </c>
      <c r="C4813" s="14" t="n"/>
      <c r="D4813" s="15" t="n"/>
      <c r="E4813" s="15" t="n"/>
      <c r="F4813" s="15" t="n"/>
      <c r="G4813" s="15" t="n"/>
      <c r="H4813" s="16">
        <f>IF($A4813="","",$D4813+IF($E4813="",0,$E4813)+IF($F4813="",0,$F4813)-IF($G4813="",0,$G4813))</f>
        <v/>
      </c>
      <c r="I4813" s="12" t="n"/>
      <c r="J4813" s="12" t="n"/>
      <c r="K4813" s="12" t="n"/>
      <c r="L4813" s="14" t="n"/>
      <c r="M4813" s="12" t="n"/>
      <c r="N4813" s="12" t="n"/>
      <c r="O4813" s="12" t="n"/>
    </row>
    <row r="4814">
      <c r="A4814" s="12" t="n"/>
      <c r="B4814" s="13">
        <f>IF($A4814="","",IFERROR(INDEX(Emp_Names,MATCH($A4814,Emp_Codes,0)),"NOT FOUND"))</f>
        <v/>
      </c>
      <c r="C4814" s="14" t="n"/>
      <c r="D4814" s="15" t="n"/>
      <c r="E4814" s="15" t="n"/>
      <c r="F4814" s="15" t="n"/>
      <c r="G4814" s="15" t="n"/>
      <c r="H4814" s="16">
        <f>IF($A4814="","",$D4814+IF($E4814="",0,$E4814)+IF($F4814="",0,$F4814)-IF($G4814="",0,$G4814))</f>
        <v/>
      </c>
      <c r="I4814" s="12" t="n"/>
      <c r="J4814" s="12" t="n"/>
      <c r="K4814" s="12" t="n"/>
      <c r="L4814" s="14" t="n"/>
      <c r="M4814" s="12" t="n"/>
      <c r="N4814" s="12" t="n"/>
      <c r="O4814" s="12" t="n"/>
    </row>
    <row r="4815">
      <c r="A4815" s="12" t="n"/>
      <c r="B4815" s="13">
        <f>IF($A4815="","",IFERROR(INDEX(Emp_Names,MATCH($A4815,Emp_Codes,0)),"NOT FOUND"))</f>
        <v/>
      </c>
      <c r="C4815" s="14" t="n"/>
      <c r="D4815" s="15" t="n"/>
      <c r="E4815" s="15" t="n"/>
      <c r="F4815" s="15" t="n"/>
      <c r="G4815" s="15" t="n"/>
      <c r="H4815" s="16">
        <f>IF($A4815="","",$D4815+IF($E4815="",0,$E4815)+IF($F4815="",0,$F4815)-IF($G4815="",0,$G4815))</f>
        <v/>
      </c>
      <c r="I4815" s="12" t="n"/>
      <c r="J4815" s="12" t="n"/>
      <c r="K4815" s="12" t="n"/>
      <c r="L4815" s="14" t="n"/>
      <c r="M4815" s="12" t="n"/>
      <c r="N4815" s="12" t="n"/>
      <c r="O4815" s="12" t="n"/>
    </row>
    <row r="4816">
      <c r="A4816" s="12" t="n"/>
      <c r="B4816" s="13">
        <f>IF($A4816="","",IFERROR(INDEX(Emp_Names,MATCH($A4816,Emp_Codes,0)),"NOT FOUND"))</f>
        <v/>
      </c>
      <c r="C4816" s="14" t="n"/>
      <c r="D4816" s="15" t="n"/>
      <c r="E4816" s="15" t="n"/>
      <c r="F4816" s="15" t="n"/>
      <c r="G4816" s="15" t="n"/>
      <c r="H4816" s="16">
        <f>IF($A4816="","",$D4816+IF($E4816="",0,$E4816)+IF($F4816="",0,$F4816)-IF($G4816="",0,$G4816))</f>
        <v/>
      </c>
      <c r="I4816" s="12" t="n"/>
      <c r="J4816" s="12" t="n"/>
      <c r="K4816" s="12" t="n"/>
      <c r="L4816" s="14" t="n"/>
      <c r="M4816" s="12" t="n"/>
      <c r="N4816" s="12" t="n"/>
      <c r="O4816" s="12" t="n"/>
    </row>
    <row r="4817">
      <c r="A4817" s="12" t="n"/>
      <c r="B4817" s="13">
        <f>IF($A4817="","",IFERROR(INDEX(Emp_Names,MATCH($A4817,Emp_Codes,0)),"NOT FOUND"))</f>
        <v/>
      </c>
      <c r="C4817" s="14" t="n"/>
      <c r="D4817" s="15" t="n"/>
      <c r="E4817" s="15" t="n"/>
      <c r="F4817" s="15" t="n"/>
      <c r="G4817" s="15" t="n"/>
      <c r="H4817" s="16">
        <f>IF($A4817="","",$D4817+IF($E4817="",0,$E4817)+IF($F4817="",0,$F4817)-IF($G4817="",0,$G4817))</f>
        <v/>
      </c>
      <c r="I4817" s="12" t="n"/>
      <c r="J4817" s="12" t="n"/>
      <c r="K4817" s="12" t="n"/>
      <c r="L4817" s="14" t="n"/>
      <c r="M4817" s="12" t="n"/>
      <c r="N4817" s="12" t="n"/>
      <c r="O4817" s="12" t="n"/>
    </row>
    <row r="4818">
      <c r="A4818" s="12" t="n"/>
      <c r="B4818" s="13">
        <f>IF($A4818="","",IFERROR(INDEX(Emp_Names,MATCH($A4818,Emp_Codes,0)),"NOT FOUND"))</f>
        <v/>
      </c>
      <c r="C4818" s="14" t="n"/>
      <c r="D4818" s="15" t="n"/>
      <c r="E4818" s="15" t="n"/>
      <c r="F4818" s="15" t="n"/>
      <c r="G4818" s="15" t="n"/>
      <c r="H4818" s="16">
        <f>IF($A4818="","",$D4818+IF($E4818="",0,$E4818)+IF($F4818="",0,$F4818)-IF($G4818="",0,$G4818))</f>
        <v/>
      </c>
      <c r="I4818" s="12" t="n"/>
      <c r="J4818" s="12" t="n"/>
      <c r="K4818" s="12" t="n"/>
      <c r="L4818" s="14" t="n"/>
      <c r="M4818" s="12" t="n"/>
      <c r="N4818" s="12" t="n"/>
      <c r="O4818" s="12" t="n"/>
    </row>
    <row r="4819">
      <c r="A4819" s="12" t="n"/>
      <c r="B4819" s="13">
        <f>IF($A4819="","",IFERROR(INDEX(Emp_Names,MATCH($A4819,Emp_Codes,0)),"NOT FOUND"))</f>
        <v/>
      </c>
      <c r="C4819" s="14" t="n"/>
      <c r="D4819" s="15" t="n"/>
      <c r="E4819" s="15" t="n"/>
      <c r="F4819" s="15" t="n"/>
      <c r="G4819" s="15" t="n"/>
      <c r="H4819" s="16">
        <f>IF($A4819="","",$D4819+IF($E4819="",0,$E4819)+IF($F4819="",0,$F4819)-IF($G4819="",0,$G4819))</f>
        <v/>
      </c>
      <c r="I4819" s="12" t="n"/>
      <c r="J4819" s="12" t="n"/>
      <c r="K4819" s="12" t="n"/>
      <c r="L4819" s="14" t="n"/>
      <c r="M4819" s="12" t="n"/>
      <c r="N4819" s="12" t="n"/>
      <c r="O4819" s="12" t="n"/>
    </row>
    <row r="4820">
      <c r="A4820" s="12" t="n"/>
      <c r="B4820" s="13">
        <f>IF($A4820="","",IFERROR(INDEX(Emp_Names,MATCH($A4820,Emp_Codes,0)),"NOT FOUND"))</f>
        <v/>
      </c>
      <c r="C4820" s="14" t="n"/>
      <c r="D4820" s="15" t="n"/>
      <c r="E4820" s="15" t="n"/>
      <c r="F4820" s="15" t="n"/>
      <c r="G4820" s="15" t="n"/>
      <c r="H4820" s="16">
        <f>IF($A4820="","",$D4820+IF($E4820="",0,$E4820)+IF($F4820="",0,$F4820)-IF($G4820="",0,$G4820))</f>
        <v/>
      </c>
      <c r="I4820" s="12" t="n"/>
      <c r="J4820" s="12" t="n"/>
      <c r="K4820" s="12" t="n"/>
      <c r="L4820" s="14" t="n"/>
      <c r="M4820" s="12" t="n"/>
      <c r="N4820" s="12" t="n"/>
      <c r="O4820" s="12" t="n"/>
    </row>
    <row r="4821">
      <c r="A4821" s="12" t="n"/>
      <c r="B4821" s="13">
        <f>IF($A4821="","",IFERROR(INDEX(Emp_Names,MATCH($A4821,Emp_Codes,0)),"NOT FOUND"))</f>
        <v/>
      </c>
      <c r="C4821" s="14" t="n"/>
      <c r="D4821" s="15" t="n"/>
      <c r="E4821" s="15" t="n"/>
      <c r="F4821" s="15" t="n"/>
      <c r="G4821" s="15" t="n"/>
      <c r="H4821" s="16">
        <f>IF($A4821="","",$D4821+IF($E4821="",0,$E4821)+IF($F4821="",0,$F4821)-IF($G4821="",0,$G4821))</f>
        <v/>
      </c>
      <c r="I4821" s="12" t="n"/>
      <c r="J4821" s="12" t="n"/>
      <c r="K4821" s="12" t="n"/>
      <c r="L4821" s="14" t="n"/>
      <c r="M4821" s="12" t="n"/>
      <c r="N4821" s="12" t="n"/>
      <c r="O4821" s="12" t="n"/>
    </row>
    <row r="4822">
      <c r="A4822" s="12" t="n"/>
      <c r="B4822" s="13">
        <f>IF($A4822="","",IFERROR(INDEX(Emp_Names,MATCH($A4822,Emp_Codes,0)),"NOT FOUND"))</f>
        <v/>
      </c>
      <c r="C4822" s="14" t="n"/>
      <c r="D4822" s="15" t="n"/>
      <c r="E4822" s="15" t="n"/>
      <c r="F4822" s="15" t="n"/>
      <c r="G4822" s="15" t="n"/>
      <c r="H4822" s="16">
        <f>IF($A4822="","",$D4822+IF($E4822="",0,$E4822)+IF($F4822="",0,$F4822)-IF($G4822="",0,$G4822))</f>
        <v/>
      </c>
      <c r="I4822" s="12" t="n"/>
      <c r="J4822" s="12" t="n"/>
      <c r="K4822" s="12" t="n"/>
      <c r="L4822" s="14" t="n"/>
      <c r="M4822" s="12" t="n"/>
      <c r="N4822" s="12" t="n"/>
      <c r="O4822" s="12" t="n"/>
    </row>
    <row r="4823">
      <c r="A4823" s="12" t="n"/>
      <c r="B4823" s="13">
        <f>IF($A4823="","",IFERROR(INDEX(Emp_Names,MATCH($A4823,Emp_Codes,0)),"NOT FOUND"))</f>
        <v/>
      </c>
      <c r="C4823" s="14" t="n"/>
      <c r="D4823" s="15" t="n"/>
      <c r="E4823" s="15" t="n"/>
      <c r="F4823" s="15" t="n"/>
      <c r="G4823" s="15" t="n"/>
      <c r="H4823" s="16">
        <f>IF($A4823="","",$D4823+IF($E4823="",0,$E4823)+IF($F4823="",0,$F4823)-IF($G4823="",0,$G4823))</f>
        <v/>
      </c>
      <c r="I4823" s="12" t="n"/>
      <c r="J4823" s="12" t="n"/>
      <c r="K4823" s="12" t="n"/>
      <c r="L4823" s="14" t="n"/>
      <c r="M4823" s="12" t="n"/>
      <c r="N4823" s="12" t="n"/>
      <c r="O4823" s="12" t="n"/>
    </row>
    <row r="4824">
      <c r="A4824" s="12" t="n"/>
      <c r="B4824" s="13">
        <f>IF($A4824="","",IFERROR(INDEX(Emp_Names,MATCH($A4824,Emp_Codes,0)),"NOT FOUND"))</f>
        <v/>
      </c>
      <c r="C4824" s="14" t="n"/>
      <c r="D4824" s="15" t="n"/>
      <c r="E4824" s="15" t="n"/>
      <c r="F4824" s="15" t="n"/>
      <c r="G4824" s="15" t="n"/>
      <c r="H4824" s="16">
        <f>IF($A4824="","",$D4824+IF($E4824="",0,$E4824)+IF($F4824="",0,$F4824)-IF($G4824="",0,$G4824))</f>
        <v/>
      </c>
      <c r="I4824" s="12" t="n"/>
      <c r="J4824" s="12" t="n"/>
      <c r="K4824" s="12" t="n"/>
      <c r="L4824" s="14" t="n"/>
      <c r="M4824" s="12" t="n"/>
      <c r="N4824" s="12" t="n"/>
      <c r="O4824" s="12" t="n"/>
    </row>
    <row r="4825">
      <c r="A4825" s="12" t="n"/>
      <c r="B4825" s="13">
        <f>IF($A4825="","",IFERROR(INDEX(Emp_Names,MATCH($A4825,Emp_Codes,0)),"NOT FOUND"))</f>
        <v/>
      </c>
      <c r="C4825" s="14" t="n"/>
      <c r="D4825" s="15" t="n"/>
      <c r="E4825" s="15" t="n"/>
      <c r="F4825" s="15" t="n"/>
      <c r="G4825" s="15" t="n"/>
      <c r="H4825" s="16">
        <f>IF($A4825="","",$D4825+IF($E4825="",0,$E4825)+IF($F4825="",0,$F4825)-IF($G4825="",0,$G4825))</f>
        <v/>
      </c>
      <c r="I4825" s="12" t="n"/>
      <c r="J4825" s="12" t="n"/>
      <c r="K4825" s="12" t="n"/>
      <c r="L4825" s="14" t="n"/>
      <c r="M4825" s="12" t="n"/>
      <c r="N4825" s="12" t="n"/>
      <c r="O4825" s="12" t="n"/>
    </row>
    <row r="4826">
      <c r="A4826" s="12" t="n"/>
      <c r="B4826" s="13">
        <f>IF($A4826="","",IFERROR(INDEX(Emp_Names,MATCH($A4826,Emp_Codes,0)),"NOT FOUND"))</f>
        <v/>
      </c>
      <c r="C4826" s="14" t="n"/>
      <c r="D4826" s="15" t="n"/>
      <c r="E4826" s="15" t="n"/>
      <c r="F4826" s="15" t="n"/>
      <c r="G4826" s="15" t="n"/>
      <c r="H4826" s="16">
        <f>IF($A4826="","",$D4826+IF($E4826="",0,$E4826)+IF($F4826="",0,$F4826)-IF($G4826="",0,$G4826))</f>
        <v/>
      </c>
      <c r="I4826" s="12" t="n"/>
      <c r="J4826" s="12" t="n"/>
      <c r="K4826" s="12" t="n"/>
      <c r="L4826" s="14" t="n"/>
      <c r="M4826" s="12" t="n"/>
      <c r="N4826" s="12" t="n"/>
      <c r="O4826" s="12" t="n"/>
    </row>
    <row r="4827">
      <c r="A4827" s="12" t="n"/>
      <c r="B4827" s="13">
        <f>IF($A4827="","",IFERROR(INDEX(Emp_Names,MATCH($A4827,Emp_Codes,0)),"NOT FOUND"))</f>
        <v/>
      </c>
      <c r="C4827" s="14" t="n"/>
      <c r="D4827" s="15" t="n"/>
      <c r="E4827" s="15" t="n"/>
      <c r="F4827" s="15" t="n"/>
      <c r="G4827" s="15" t="n"/>
      <c r="H4827" s="16">
        <f>IF($A4827="","",$D4827+IF($E4827="",0,$E4827)+IF($F4827="",0,$F4827)-IF($G4827="",0,$G4827))</f>
        <v/>
      </c>
      <c r="I4827" s="12" t="n"/>
      <c r="J4827" s="12" t="n"/>
      <c r="K4827" s="12" t="n"/>
      <c r="L4827" s="14" t="n"/>
      <c r="M4827" s="12" t="n"/>
      <c r="N4827" s="12" t="n"/>
      <c r="O4827" s="12" t="n"/>
    </row>
    <row r="4828">
      <c r="A4828" s="12" t="n"/>
      <c r="B4828" s="13">
        <f>IF($A4828="","",IFERROR(INDEX(Emp_Names,MATCH($A4828,Emp_Codes,0)),"NOT FOUND"))</f>
        <v/>
      </c>
      <c r="C4828" s="14" t="n"/>
      <c r="D4828" s="15" t="n"/>
      <c r="E4828" s="15" t="n"/>
      <c r="F4828" s="15" t="n"/>
      <c r="G4828" s="15" t="n"/>
      <c r="H4828" s="16">
        <f>IF($A4828="","",$D4828+IF($E4828="",0,$E4828)+IF($F4828="",0,$F4828)-IF($G4828="",0,$G4828))</f>
        <v/>
      </c>
      <c r="I4828" s="12" t="n"/>
      <c r="J4828" s="12" t="n"/>
      <c r="K4828" s="12" t="n"/>
      <c r="L4828" s="14" t="n"/>
      <c r="M4828" s="12" t="n"/>
      <c r="N4828" s="12" t="n"/>
      <c r="O4828" s="12" t="n"/>
    </row>
    <row r="4829">
      <c r="A4829" s="12" t="n"/>
      <c r="B4829" s="13">
        <f>IF($A4829="","",IFERROR(INDEX(Emp_Names,MATCH($A4829,Emp_Codes,0)),"NOT FOUND"))</f>
        <v/>
      </c>
      <c r="C4829" s="14" t="n"/>
      <c r="D4829" s="15" t="n"/>
      <c r="E4829" s="15" t="n"/>
      <c r="F4829" s="15" t="n"/>
      <c r="G4829" s="15" t="n"/>
      <c r="H4829" s="16">
        <f>IF($A4829="","",$D4829+IF($E4829="",0,$E4829)+IF($F4829="",0,$F4829)-IF($G4829="",0,$G4829))</f>
        <v/>
      </c>
      <c r="I4829" s="12" t="n"/>
      <c r="J4829" s="12" t="n"/>
      <c r="K4829" s="12" t="n"/>
      <c r="L4829" s="14" t="n"/>
      <c r="M4829" s="12" t="n"/>
      <c r="N4829" s="12" t="n"/>
      <c r="O4829" s="12" t="n"/>
    </row>
    <row r="4830">
      <c r="A4830" s="12" t="n"/>
      <c r="B4830" s="13">
        <f>IF($A4830="","",IFERROR(INDEX(Emp_Names,MATCH($A4830,Emp_Codes,0)),"NOT FOUND"))</f>
        <v/>
      </c>
      <c r="C4830" s="14" t="n"/>
      <c r="D4830" s="15" t="n"/>
      <c r="E4830" s="15" t="n"/>
      <c r="F4830" s="15" t="n"/>
      <c r="G4830" s="15" t="n"/>
      <c r="H4830" s="16">
        <f>IF($A4830="","",$D4830+IF($E4830="",0,$E4830)+IF($F4830="",0,$F4830)-IF($G4830="",0,$G4830))</f>
        <v/>
      </c>
      <c r="I4830" s="12" t="n"/>
      <c r="J4830" s="12" t="n"/>
      <c r="K4830" s="12" t="n"/>
      <c r="L4830" s="14" t="n"/>
      <c r="M4830" s="12" t="n"/>
      <c r="N4830" s="12" t="n"/>
      <c r="O4830" s="12" t="n"/>
    </row>
    <row r="4831">
      <c r="A4831" s="12" t="n"/>
      <c r="B4831" s="13">
        <f>IF($A4831="","",IFERROR(INDEX(Emp_Names,MATCH($A4831,Emp_Codes,0)),"NOT FOUND"))</f>
        <v/>
      </c>
      <c r="C4831" s="14" t="n"/>
      <c r="D4831" s="15" t="n"/>
      <c r="E4831" s="15" t="n"/>
      <c r="F4831" s="15" t="n"/>
      <c r="G4831" s="15" t="n"/>
      <c r="H4831" s="16">
        <f>IF($A4831="","",$D4831+IF($E4831="",0,$E4831)+IF($F4831="",0,$F4831)-IF($G4831="",0,$G4831))</f>
        <v/>
      </c>
      <c r="I4831" s="12" t="n"/>
      <c r="J4831" s="12" t="n"/>
      <c r="K4831" s="12" t="n"/>
      <c r="L4831" s="14" t="n"/>
      <c r="M4831" s="12" t="n"/>
      <c r="N4831" s="12" t="n"/>
      <c r="O4831" s="12" t="n"/>
    </row>
    <row r="4832">
      <c r="A4832" s="12" t="n"/>
      <c r="B4832" s="13">
        <f>IF($A4832="","",IFERROR(INDEX(Emp_Names,MATCH($A4832,Emp_Codes,0)),"NOT FOUND"))</f>
        <v/>
      </c>
      <c r="C4832" s="14" t="n"/>
      <c r="D4832" s="15" t="n"/>
      <c r="E4832" s="15" t="n"/>
      <c r="F4832" s="15" t="n"/>
      <c r="G4832" s="15" t="n"/>
      <c r="H4832" s="16">
        <f>IF($A4832="","",$D4832+IF($E4832="",0,$E4832)+IF($F4832="",0,$F4832)-IF($G4832="",0,$G4832))</f>
        <v/>
      </c>
      <c r="I4832" s="12" t="n"/>
      <c r="J4832" s="12" t="n"/>
      <c r="K4832" s="12" t="n"/>
      <c r="L4832" s="14" t="n"/>
      <c r="M4832" s="12" t="n"/>
      <c r="N4832" s="12" t="n"/>
      <c r="O4832" s="12" t="n"/>
    </row>
    <row r="4833">
      <c r="A4833" s="12" t="n"/>
      <c r="B4833" s="13">
        <f>IF($A4833="","",IFERROR(INDEX(Emp_Names,MATCH($A4833,Emp_Codes,0)),"NOT FOUND"))</f>
        <v/>
      </c>
      <c r="C4833" s="14" t="n"/>
      <c r="D4833" s="15" t="n"/>
      <c r="E4833" s="15" t="n"/>
      <c r="F4833" s="15" t="n"/>
      <c r="G4833" s="15" t="n"/>
      <c r="H4833" s="16">
        <f>IF($A4833="","",$D4833+IF($E4833="",0,$E4833)+IF($F4833="",0,$F4833)-IF($G4833="",0,$G4833))</f>
        <v/>
      </c>
      <c r="I4833" s="12" t="n"/>
      <c r="J4833" s="12" t="n"/>
      <c r="K4833" s="12" t="n"/>
      <c r="L4833" s="14" t="n"/>
      <c r="M4833" s="12" t="n"/>
      <c r="N4833" s="12" t="n"/>
      <c r="O4833" s="12" t="n"/>
    </row>
    <row r="4834">
      <c r="A4834" s="12" t="n"/>
      <c r="B4834" s="13">
        <f>IF($A4834="","",IFERROR(INDEX(Emp_Names,MATCH($A4834,Emp_Codes,0)),"NOT FOUND"))</f>
        <v/>
      </c>
      <c r="C4834" s="14" t="n"/>
      <c r="D4834" s="15" t="n"/>
      <c r="E4834" s="15" t="n"/>
      <c r="F4834" s="15" t="n"/>
      <c r="G4834" s="15" t="n"/>
      <c r="H4834" s="16">
        <f>IF($A4834="","",$D4834+IF($E4834="",0,$E4834)+IF($F4834="",0,$F4834)-IF($G4834="",0,$G4834))</f>
        <v/>
      </c>
      <c r="I4834" s="12" t="n"/>
      <c r="J4834" s="12" t="n"/>
      <c r="K4834" s="12" t="n"/>
      <c r="L4834" s="14" t="n"/>
      <c r="M4834" s="12" t="n"/>
      <c r="N4834" s="12" t="n"/>
      <c r="O4834" s="12" t="n"/>
    </row>
    <row r="4835">
      <c r="A4835" s="12" t="n"/>
      <c r="B4835" s="13">
        <f>IF($A4835="","",IFERROR(INDEX(Emp_Names,MATCH($A4835,Emp_Codes,0)),"NOT FOUND"))</f>
        <v/>
      </c>
      <c r="C4835" s="14" t="n"/>
      <c r="D4835" s="15" t="n"/>
      <c r="E4835" s="15" t="n"/>
      <c r="F4835" s="15" t="n"/>
      <c r="G4835" s="15" t="n"/>
      <c r="H4835" s="16">
        <f>IF($A4835="","",$D4835+IF($E4835="",0,$E4835)+IF($F4835="",0,$F4835)-IF($G4835="",0,$G4835))</f>
        <v/>
      </c>
      <c r="I4835" s="12" t="n"/>
      <c r="J4835" s="12" t="n"/>
      <c r="K4835" s="12" t="n"/>
      <c r="L4835" s="14" t="n"/>
      <c r="M4835" s="12" t="n"/>
      <c r="N4835" s="12" t="n"/>
      <c r="O4835" s="12" t="n"/>
    </row>
    <row r="4836">
      <c r="A4836" s="12" t="n"/>
      <c r="B4836" s="13">
        <f>IF($A4836="","",IFERROR(INDEX(Emp_Names,MATCH($A4836,Emp_Codes,0)),"NOT FOUND"))</f>
        <v/>
      </c>
      <c r="C4836" s="14" t="n"/>
      <c r="D4836" s="15" t="n"/>
      <c r="E4836" s="15" t="n"/>
      <c r="F4836" s="15" t="n"/>
      <c r="G4836" s="15" t="n"/>
      <c r="H4836" s="16">
        <f>IF($A4836="","",$D4836+IF($E4836="",0,$E4836)+IF($F4836="",0,$F4836)-IF($G4836="",0,$G4836))</f>
        <v/>
      </c>
      <c r="I4836" s="12" t="n"/>
      <c r="J4836" s="12" t="n"/>
      <c r="K4836" s="12" t="n"/>
      <c r="L4836" s="14" t="n"/>
      <c r="M4836" s="12" t="n"/>
      <c r="N4836" s="12" t="n"/>
      <c r="O4836" s="12" t="n"/>
    </row>
    <row r="4837">
      <c r="A4837" s="12" t="n"/>
      <c r="B4837" s="13">
        <f>IF($A4837="","",IFERROR(INDEX(Emp_Names,MATCH($A4837,Emp_Codes,0)),"NOT FOUND"))</f>
        <v/>
      </c>
      <c r="C4837" s="14" t="n"/>
      <c r="D4837" s="15" t="n"/>
      <c r="E4837" s="15" t="n"/>
      <c r="F4837" s="15" t="n"/>
      <c r="G4837" s="15" t="n"/>
      <c r="H4837" s="16">
        <f>IF($A4837="","",$D4837+IF($E4837="",0,$E4837)+IF($F4837="",0,$F4837)-IF($G4837="",0,$G4837))</f>
        <v/>
      </c>
      <c r="I4837" s="12" t="n"/>
      <c r="J4837" s="12" t="n"/>
      <c r="K4837" s="12" t="n"/>
      <c r="L4837" s="14" t="n"/>
      <c r="M4837" s="12" t="n"/>
      <c r="N4837" s="12" t="n"/>
      <c r="O4837" s="12" t="n"/>
    </row>
    <row r="4838">
      <c r="A4838" s="12" t="n"/>
      <c r="B4838" s="13">
        <f>IF($A4838="","",IFERROR(INDEX(Emp_Names,MATCH($A4838,Emp_Codes,0)),"NOT FOUND"))</f>
        <v/>
      </c>
      <c r="C4838" s="14" t="n"/>
      <c r="D4838" s="15" t="n"/>
      <c r="E4838" s="15" t="n"/>
      <c r="F4838" s="15" t="n"/>
      <c r="G4838" s="15" t="n"/>
      <c r="H4838" s="16">
        <f>IF($A4838="","",$D4838+IF($E4838="",0,$E4838)+IF($F4838="",0,$F4838)-IF($G4838="",0,$G4838))</f>
        <v/>
      </c>
      <c r="I4838" s="12" t="n"/>
      <c r="J4838" s="12" t="n"/>
      <c r="K4838" s="12" t="n"/>
      <c r="L4838" s="14" t="n"/>
      <c r="M4838" s="12" t="n"/>
      <c r="N4838" s="12" t="n"/>
      <c r="O4838" s="12" t="n"/>
    </row>
    <row r="4839">
      <c r="A4839" s="12" t="n"/>
      <c r="B4839" s="13">
        <f>IF($A4839="","",IFERROR(INDEX(Emp_Names,MATCH($A4839,Emp_Codes,0)),"NOT FOUND"))</f>
        <v/>
      </c>
      <c r="C4839" s="14" t="n"/>
      <c r="D4839" s="15" t="n"/>
      <c r="E4839" s="15" t="n"/>
      <c r="F4839" s="15" t="n"/>
      <c r="G4839" s="15" t="n"/>
      <c r="H4839" s="16">
        <f>IF($A4839="","",$D4839+IF($E4839="",0,$E4839)+IF($F4839="",0,$F4839)-IF($G4839="",0,$G4839))</f>
        <v/>
      </c>
      <c r="I4839" s="12" t="n"/>
      <c r="J4839" s="12" t="n"/>
      <c r="K4839" s="12" t="n"/>
      <c r="L4839" s="14" t="n"/>
      <c r="M4839" s="12" t="n"/>
      <c r="N4839" s="12" t="n"/>
      <c r="O4839" s="12" t="n"/>
    </row>
    <row r="4840">
      <c r="A4840" s="12" t="n"/>
      <c r="B4840" s="13">
        <f>IF($A4840="","",IFERROR(INDEX(Emp_Names,MATCH($A4840,Emp_Codes,0)),"NOT FOUND"))</f>
        <v/>
      </c>
      <c r="C4840" s="14" t="n"/>
      <c r="D4840" s="15" t="n"/>
      <c r="E4840" s="15" t="n"/>
      <c r="F4840" s="15" t="n"/>
      <c r="G4840" s="15" t="n"/>
      <c r="H4840" s="16">
        <f>IF($A4840="","",$D4840+IF($E4840="",0,$E4840)+IF($F4840="",0,$F4840)-IF($G4840="",0,$G4840))</f>
        <v/>
      </c>
      <c r="I4840" s="12" t="n"/>
      <c r="J4840" s="12" t="n"/>
      <c r="K4840" s="12" t="n"/>
      <c r="L4840" s="14" t="n"/>
      <c r="M4840" s="12" t="n"/>
      <c r="N4840" s="12" t="n"/>
      <c r="O4840" s="12" t="n"/>
    </row>
    <row r="4841">
      <c r="A4841" s="12" t="n"/>
      <c r="B4841" s="13">
        <f>IF($A4841="","",IFERROR(INDEX(Emp_Names,MATCH($A4841,Emp_Codes,0)),"NOT FOUND"))</f>
        <v/>
      </c>
      <c r="C4841" s="14" t="n"/>
      <c r="D4841" s="15" t="n"/>
      <c r="E4841" s="15" t="n"/>
      <c r="F4841" s="15" t="n"/>
      <c r="G4841" s="15" t="n"/>
      <c r="H4841" s="16">
        <f>IF($A4841="","",$D4841+IF($E4841="",0,$E4841)+IF($F4841="",0,$F4841)-IF($G4841="",0,$G4841))</f>
        <v/>
      </c>
      <c r="I4841" s="12" t="n"/>
      <c r="J4841" s="12" t="n"/>
      <c r="K4841" s="12" t="n"/>
      <c r="L4841" s="14" t="n"/>
      <c r="M4841" s="12" t="n"/>
      <c r="N4841" s="12" t="n"/>
      <c r="O4841" s="12" t="n"/>
    </row>
    <row r="4842">
      <c r="A4842" s="12" t="n"/>
      <c r="B4842" s="13">
        <f>IF($A4842="","",IFERROR(INDEX(Emp_Names,MATCH($A4842,Emp_Codes,0)),"NOT FOUND"))</f>
        <v/>
      </c>
      <c r="C4842" s="14" t="n"/>
      <c r="D4842" s="15" t="n"/>
      <c r="E4842" s="15" t="n"/>
      <c r="F4842" s="15" t="n"/>
      <c r="G4842" s="15" t="n"/>
      <c r="H4842" s="16">
        <f>IF($A4842="","",$D4842+IF($E4842="",0,$E4842)+IF($F4842="",0,$F4842)-IF($G4842="",0,$G4842))</f>
        <v/>
      </c>
      <c r="I4842" s="12" t="n"/>
      <c r="J4842" s="12" t="n"/>
      <c r="K4842" s="12" t="n"/>
      <c r="L4842" s="14" t="n"/>
      <c r="M4842" s="12" t="n"/>
      <c r="N4842" s="12" t="n"/>
      <c r="O4842" s="12" t="n"/>
    </row>
    <row r="4843">
      <c r="A4843" s="12" t="n"/>
      <c r="B4843" s="13">
        <f>IF($A4843="","",IFERROR(INDEX(Emp_Names,MATCH($A4843,Emp_Codes,0)),"NOT FOUND"))</f>
        <v/>
      </c>
      <c r="C4843" s="14" t="n"/>
      <c r="D4843" s="15" t="n"/>
      <c r="E4843" s="15" t="n"/>
      <c r="F4843" s="15" t="n"/>
      <c r="G4843" s="15" t="n"/>
      <c r="H4843" s="16">
        <f>IF($A4843="","",$D4843+IF($E4843="",0,$E4843)+IF($F4843="",0,$F4843)-IF($G4843="",0,$G4843))</f>
        <v/>
      </c>
      <c r="I4843" s="12" t="n"/>
      <c r="J4843" s="12" t="n"/>
      <c r="K4843" s="12" t="n"/>
      <c r="L4843" s="14" t="n"/>
      <c r="M4843" s="12" t="n"/>
      <c r="N4843" s="12" t="n"/>
      <c r="O4843" s="12" t="n"/>
    </row>
    <row r="4844">
      <c r="A4844" s="12" t="n"/>
      <c r="B4844" s="13">
        <f>IF($A4844="","",IFERROR(INDEX(Emp_Names,MATCH($A4844,Emp_Codes,0)),"NOT FOUND"))</f>
        <v/>
      </c>
      <c r="C4844" s="14" t="n"/>
      <c r="D4844" s="15" t="n"/>
      <c r="E4844" s="15" t="n"/>
      <c r="F4844" s="15" t="n"/>
      <c r="G4844" s="15" t="n"/>
      <c r="H4844" s="16">
        <f>IF($A4844="","",$D4844+IF($E4844="",0,$E4844)+IF($F4844="",0,$F4844)-IF($G4844="",0,$G4844))</f>
        <v/>
      </c>
      <c r="I4844" s="12" t="n"/>
      <c r="J4844" s="12" t="n"/>
      <c r="K4844" s="12" t="n"/>
      <c r="L4844" s="14" t="n"/>
      <c r="M4844" s="12" t="n"/>
      <c r="N4844" s="12" t="n"/>
      <c r="O4844" s="12" t="n"/>
    </row>
    <row r="4845">
      <c r="A4845" s="12" t="n"/>
      <c r="B4845" s="13">
        <f>IF($A4845="","",IFERROR(INDEX(Emp_Names,MATCH($A4845,Emp_Codes,0)),"NOT FOUND"))</f>
        <v/>
      </c>
      <c r="C4845" s="14" t="n"/>
      <c r="D4845" s="15" t="n"/>
      <c r="E4845" s="15" t="n"/>
      <c r="F4845" s="15" t="n"/>
      <c r="G4845" s="15" t="n"/>
      <c r="H4845" s="16">
        <f>IF($A4845="","",$D4845+IF($E4845="",0,$E4845)+IF($F4845="",0,$F4845)-IF($G4845="",0,$G4845))</f>
        <v/>
      </c>
      <c r="I4845" s="12" t="n"/>
      <c r="J4845" s="12" t="n"/>
      <c r="K4845" s="12" t="n"/>
      <c r="L4845" s="14" t="n"/>
      <c r="M4845" s="12" t="n"/>
      <c r="N4845" s="12" t="n"/>
      <c r="O4845" s="12" t="n"/>
    </row>
    <row r="4846">
      <c r="A4846" s="12" t="n"/>
      <c r="B4846" s="13">
        <f>IF($A4846="","",IFERROR(INDEX(Emp_Names,MATCH($A4846,Emp_Codes,0)),"NOT FOUND"))</f>
        <v/>
      </c>
      <c r="C4846" s="14" t="n"/>
      <c r="D4846" s="15" t="n"/>
      <c r="E4846" s="15" t="n"/>
      <c r="F4846" s="15" t="n"/>
      <c r="G4846" s="15" t="n"/>
      <c r="H4846" s="16">
        <f>IF($A4846="","",$D4846+IF($E4846="",0,$E4846)+IF($F4846="",0,$F4846)-IF($G4846="",0,$G4846))</f>
        <v/>
      </c>
      <c r="I4846" s="12" t="n"/>
      <c r="J4846" s="12" t="n"/>
      <c r="K4846" s="12" t="n"/>
      <c r="L4846" s="14" t="n"/>
      <c r="M4846" s="12" t="n"/>
      <c r="N4846" s="12" t="n"/>
      <c r="O4846" s="12" t="n"/>
    </row>
    <row r="4847">
      <c r="A4847" s="12" t="n"/>
      <c r="B4847" s="13">
        <f>IF($A4847="","",IFERROR(INDEX(Emp_Names,MATCH($A4847,Emp_Codes,0)),"NOT FOUND"))</f>
        <v/>
      </c>
      <c r="C4847" s="14" t="n"/>
      <c r="D4847" s="15" t="n"/>
      <c r="E4847" s="15" t="n"/>
      <c r="F4847" s="15" t="n"/>
      <c r="G4847" s="15" t="n"/>
      <c r="H4847" s="16">
        <f>IF($A4847="","",$D4847+IF($E4847="",0,$E4847)+IF($F4847="",0,$F4847)-IF($G4847="",0,$G4847))</f>
        <v/>
      </c>
      <c r="I4847" s="12" t="n"/>
      <c r="J4847" s="12" t="n"/>
      <c r="K4847" s="12" t="n"/>
      <c r="L4847" s="14" t="n"/>
      <c r="M4847" s="12" t="n"/>
      <c r="N4847" s="12" t="n"/>
      <c r="O4847" s="12" t="n"/>
    </row>
    <row r="4848">
      <c r="A4848" s="12" t="n"/>
      <c r="B4848" s="13">
        <f>IF($A4848="","",IFERROR(INDEX(Emp_Names,MATCH($A4848,Emp_Codes,0)),"NOT FOUND"))</f>
        <v/>
      </c>
      <c r="C4848" s="14" t="n"/>
      <c r="D4848" s="15" t="n"/>
      <c r="E4848" s="15" t="n"/>
      <c r="F4848" s="15" t="n"/>
      <c r="G4848" s="15" t="n"/>
      <c r="H4848" s="16">
        <f>IF($A4848="","",$D4848+IF($E4848="",0,$E4848)+IF($F4848="",0,$F4848)-IF($G4848="",0,$G4848))</f>
        <v/>
      </c>
      <c r="I4848" s="12" t="n"/>
      <c r="J4848" s="12" t="n"/>
      <c r="K4848" s="12" t="n"/>
      <c r="L4848" s="14" t="n"/>
      <c r="M4848" s="12" t="n"/>
      <c r="N4848" s="12" t="n"/>
      <c r="O4848" s="12" t="n"/>
    </row>
    <row r="4849">
      <c r="A4849" s="12" t="n"/>
      <c r="B4849" s="13">
        <f>IF($A4849="","",IFERROR(INDEX(Emp_Names,MATCH($A4849,Emp_Codes,0)),"NOT FOUND"))</f>
        <v/>
      </c>
      <c r="C4849" s="14" t="n"/>
      <c r="D4849" s="15" t="n"/>
      <c r="E4849" s="15" t="n"/>
      <c r="F4849" s="15" t="n"/>
      <c r="G4849" s="15" t="n"/>
      <c r="H4849" s="16">
        <f>IF($A4849="","",$D4849+IF($E4849="",0,$E4849)+IF($F4849="",0,$F4849)-IF($G4849="",0,$G4849))</f>
        <v/>
      </c>
      <c r="I4849" s="12" t="n"/>
      <c r="J4849" s="12" t="n"/>
      <c r="K4849" s="12" t="n"/>
      <c r="L4849" s="14" t="n"/>
      <c r="M4849" s="12" t="n"/>
      <c r="N4849" s="12" t="n"/>
      <c r="O4849" s="12" t="n"/>
    </row>
    <row r="4850">
      <c r="A4850" s="12" t="n"/>
      <c r="B4850" s="13">
        <f>IF($A4850="","",IFERROR(INDEX(Emp_Names,MATCH($A4850,Emp_Codes,0)),"NOT FOUND"))</f>
        <v/>
      </c>
      <c r="C4850" s="14" t="n"/>
      <c r="D4850" s="15" t="n"/>
      <c r="E4850" s="15" t="n"/>
      <c r="F4850" s="15" t="n"/>
      <c r="G4850" s="15" t="n"/>
      <c r="H4850" s="16">
        <f>IF($A4850="","",$D4850+IF($E4850="",0,$E4850)+IF($F4850="",0,$F4850)-IF($G4850="",0,$G4850))</f>
        <v/>
      </c>
      <c r="I4850" s="12" t="n"/>
      <c r="J4850" s="12" t="n"/>
      <c r="K4850" s="12" t="n"/>
      <c r="L4850" s="14" t="n"/>
      <c r="M4850" s="12" t="n"/>
      <c r="N4850" s="12" t="n"/>
      <c r="O4850" s="12" t="n"/>
    </row>
    <row r="4851">
      <c r="A4851" s="12" t="n"/>
      <c r="B4851" s="13">
        <f>IF($A4851="","",IFERROR(INDEX(Emp_Names,MATCH($A4851,Emp_Codes,0)),"NOT FOUND"))</f>
        <v/>
      </c>
      <c r="C4851" s="14" t="n"/>
      <c r="D4851" s="15" t="n"/>
      <c r="E4851" s="15" t="n"/>
      <c r="F4851" s="15" t="n"/>
      <c r="G4851" s="15" t="n"/>
      <c r="H4851" s="16">
        <f>IF($A4851="","",$D4851+IF($E4851="",0,$E4851)+IF($F4851="",0,$F4851)-IF($G4851="",0,$G4851))</f>
        <v/>
      </c>
      <c r="I4851" s="12" t="n"/>
      <c r="J4851" s="12" t="n"/>
      <c r="K4851" s="12" t="n"/>
      <c r="L4851" s="14" t="n"/>
      <c r="M4851" s="12" t="n"/>
      <c r="N4851" s="12" t="n"/>
      <c r="O4851" s="12" t="n"/>
    </row>
    <row r="4852">
      <c r="A4852" s="12" t="n"/>
      <c r="B4852" s="13">
        <f>IF($A4852="","",IFERROR(INDEX(Emp_Names,MATCH($A4852,Emp_Codes,0)),"NOT FOUND"))</f>
        <v/>
      </c>
      <c r="C4852" s="14" t="n"/>
      <c r="D4852" s="15" t="n"/>
      <c r="E4852" s="15" t="n"/>
      <c r="F4852" s="15" t="n"/>
      <c r="G4852" s="15" t="n"/>
      <c r="H4852" s="16">
        <f>IF($A4852="","",$D4852+IF($E4852="",0,$E4852)+IF($F4852="",0,$F4852)-IF($G4852="",0,$G4852))</f>
        <v/>
      </c>
      <c r="I4852" s="12" t="n"/>
      <c r="J4852" s="12" t="n"/>
      <c r="K4852" s="12" t="n"/>
      <c r="L4852" s="14" t="n"/>
      <c r="M4852" s="12" t="n"/>
      <c r="N4852" s="12" t="n"/>
      <c r="O4852" s="12" t="n"/>
    </row>
    <row r="4853">
      <c r="A4853" s="12" t="n"/>
      <c r="B4853" s="13">
        <f>IF($A4853="","",IFERROR(INDEX(Emp_Names,MATCH($A4853,Emp_Codes,0)),"NOT FOUND"))</f>
        <v/>
      </c>
      <c r="C4853" s="14" t="n"/>
      <c r="D4853" s="15" t="n"/>
      <c r="E4853" s="15" t="n"/>
      <c r="F4853" s="15" t="n"/>
      <c r="G4853" s="15" t="n"/>
      <c r="H4853" s="16">
        <f>IF($A4853="","",$D4853+IF($E4853="",0,$E4853)+IF($F4853="",0,$F4853)-IF($G4853="",0,$G4853))</f>
        <v/>
      </c>
      <c r="I4853" s="12" t="n"/>
      <c r="J4853" s="12" t="n"/>
      <c r="K4853" s="12" t="n"/>
      <c r="L4853" s="14" t="n"/>
      <c r="M4853" s="12" t="n"/>
      <c r="N4853" s="12" t="n"/>
      <c r="O4853" s="12" t="n"/>
    </row>
    <row r="4854">
      <c r="A4854" s="12" t="n"/>
      <c r="B4854" s="13">
        <f>IF($A4854="","",IFERROR(INDEX(Emp_Names,MATCH($A4854,Emp_Codes,0)),"NOT FOUND"))</f>
        <v/>
      </c>
      <c r="C4854" s="14" t="n"/>
      <c r="D4854" s="15" t="n"/>
      <c r="E4854" s="15" t="n"/>
      <c r="F4854" s="15" t="n"/>
      <c r="G4854" s="15" t="n"/>
      <c r="H4854" s="16">
        <f>IF($A4854="","",$D4854+IF($E4854="",0,$E4854)+IF($F4854="",0,$F4854)-IF($G4854="",0,$G4854))</f>
        <v/>
      </c>
      <c r="I4854" s="12" t="n"/>
      <c r="J4854" s="12" t="n"/>
      <c r="K4854" s="12" t="n"/>
      <c r="L4854" s="14" t="n"/>
      <c r="M4854" s="12" t="n"/>
      <c r="N4854" s="12" t="n"/>
      <c r="O4854" s="12" t="n"/>
    </row>
    <row r="4855">
      <c r="A4855" s="12" t="n"/>
      <c r="B4855" s="13">
        <f>IF($A4855="","",IFERROR(INDEX(Emp_Names,MATCH($A4855,Emp_Codes,0)),"NOT FOUND"))</f>
        <v/>
      </c>
      <c r="C4855" s="14" t="n"/>
      <c r="D4855" s="15" t="n"/>
      <c r="E4855" s="15" t="n"/>
      <c r="F4855" s="15" t="n"/>
      <c r="G4855" s="15" t="n"/>
      <c r="H4855" s="16">
        <f>IF($A4855="","",$D4855+IF($E4855="",0,$E4855)+IF($F4855="",0,$F4855)-IF($G4855="",0,$G4855))</f>
        <v/>
      </c>
      <c r="I4855" s="12" t="n"/>
      <c r="J4855" s="12" t="n"/>
      <c r="K4855" s="12" t="n"/>
      <c r="L4855" s="14" t="n"/>
      <c r="M4855" s="12" t="n"/>
      <c r="N4855" s="12" t="n"/>
      <c r="O4855" s="12" t="n"/>
    </row>
    <row r="4856">
      <c r="A4856" s="12" t="n"/>
      <c r="B4856" s="13">
        <f>IF($A4856="","",IFERROR(INDEX(Emp_Names,MATCH($A4856,Emp_Codes,0)),"NOT FOUND"))</f>
        <v/>
      </c>
      <c r="C4856" s="14" t="n"/>
      <c r="D4856" s="15" t="n"/>
      <c r="E4856" s="15" t="n"/>
      <c r="F4856" s="15" t="n"/>
      <c r="G4856" s="15" t="n"/>
      <c r="H4856" s="16">
        <f>IF($A4856="","",$D4856+IF($E4856="",0,$E4856)+IF($F4856="",0,$F4856)-IF($G4856="",0,$G4856))</f>
        <v/>
      </c>
      <c r="I4856" s="12" t="n"/>
      <c r="J4856" s="12" t="n"/>
      <c r="K4856" s="12" t="n"/>
      <c r="L4856" s="14" t="n"/>
      <c r="M4856" s="12" t="n"/>
      <c r="N4856" s="12" t="n"/>
      <c r="O4856" s="12" t="n"/>
    </row>
    <row r="4857">
      <c r="A4857" s="12" t="n"/>
      <c r="B4857" s="13">
        <f>IF($A4857="","",IFERROR(INDEX(Emp_Names,MATCH($A4857,Emp_Codes,0)),"NOT FOUND"))</f>
        <v/>
      </c>
      <c r="C4857" s="14" t="n"/>
      <c r="D4857" s="15" t="n"/>
      <c r="E4857" s="15" t="n"/>
      <c r="F4857" s="15" t="n"/>
      <c r="G4857" s="15" t="n"/>
      <c r="H4857" s="16">
        <f>IF($A4857="","",$D4857+IF($E4857="",0,$E4857)+IF($F4857="",0,$F4857)-IF($G4857="",0,$G4857))</f>
        <v/>
      </c>
      <c r="I4857" s="12" t="n"/>
      <c r="J4857" s="12" t="n"/>
      <c r="K4857" s="12" t="n"/>
      <c r="L4857" s="14" t="n"/>
      <c r="M4857" s="12" t="n"/>
      <c r="N4857" s="12" t="n"/>
      <c r="O4857" s="12" t="n"/>
    </row>
    <row r="4858">
      <c r="A4858" s="12" t="n"/>
      <c r="B4858" s="13">
        <f>IF($A4858="","",IFERROR(INDEX(Emp_Names,MATCH($A4858,Emp_Codes,0)),"NOT FOUND"))</f>
        <v/>
      </c>
      <c r="C4858" s="14" t="n"/>
      <c r="D4858" s="15" t="n"/>
      <c r="E4858" s="15" t="n"/>
      <c r="F4858" s="15" t="n"/>
      <c r="G4858" s="15" t="n"/>
      <c r="H4858" s="16">
        <f>IF($A4858="","",$D4858+IF($E4858="",0,$E4858)+IF($F4858="",0,$F4858)-IF($G4858="",0,$G4858))</f>
        <v/>
      </c>
      <c r="I4858" s="12" t="n"/>
      <c r="J4858" s="12" t="n"/>
      <c r="K4858" s="12" t="n"/>
      <c r="L4858" s="14" t="n"/>
      <c r="M4858" s="12" t="n"/>
      <c r="N4858" s="12" t="n"/>
      <c r="O4858" s="12" t="n"/>
    </row>
    <row r="4859">
      <c r="A4859" s="12" t="n"/>
      <c r="B4859" s="13">
        <f>IF($A4859="","",IFERROR(INDEX(Emp_Names,MATCH($A4859,Emp_Codes,0)),"NOT FOUND"))</f>
        <v/>
      </c>
      <c r="C4859" s="14" t="n"/>
      <c r="D4859" s="15" t="n"/>
      <c r="E4859" s="15" t="n"/>
      <c r="F4859" s="15" t="n"/>
      <c r="G4859" s="15" t="n"/>
      <c r="H4859" s="16">
        <f>IF($A4859="","",$D4859+IF($E4859="",0,$E4859)+IF($F4859="",0,$F4859)-IF($G4859="",0,$G4859))</f>
        <v/>
      </c>
      <c r="I4859" s="12" t="n"/>
      <c r="J4859" s="12" t="n"/>
      <c r="K4859" s="12" t="n"/>
      <c r="L4859" s="14" t="n"/>
      <c r="M4859" s="12" t="n"/>
      <c r="N4859" s="12" t="n"/>
      <c r="O4859" s="12" t="n"/>
    </row>
    <row r="4860">
      <c r="A4860" s="12" t="n"/>
      <c r="B4860" s="13">
        <f>IF($A4860="","",IFERROR(INDEX(Emp_Names,MATCH($A4860,Emp_Codes,0)),"NOT FOUND"))</f>
        <v/>
      </c>
      <c r="C4860" s="14" t="n"/>
      <c r="D4860" s="15" t="n"/>
      <c r="E4860" s="15" t="n"/>
      <c r="F4860" s="15" t="n"/>
      <c r="G4860" s="15" t="n"/>
      <c r="H4860" s="16">
        <f>IF($A4860="","",$D4860+IF($E4860="",0,$E4860)+IF($F4860="",0,$F4860)-IF($G4860="",0,$G4860))</f>
        <v/>
      </c>
      <c r="I4860" s="12" t="n"/>
      <c r="J4860" s="12" t="n"/>
      <c r="K4860" s="12" t="n"/>
      <c r="L4860" s="14" t="n"/>
      <c r="M4860" s="12" t="n"/>
      <c r="N4860" s="12" t="n"/>
      <c r="O4860" s="12" t="n"/>
    </row>
    <row r="4861">
      <c r="A4861" s="12" t="n"/>
      <c r="B4861" s="13">
        <f>IF($A4861="","",IFERROR(INDEX(Emp_Names,MATCH($A4861,Emp_Codes,0)),"NOT FOUND"))</f>
        <v/>
      </c>
      <c r="C4861" s="14" t="n"/>
      <c r="D4861" s="15" t="n"/>
      <c r="E4861" s="15" t="n"/>
      <c r="F4861" s="15" t="n"/>
      <c r="G4861" s="15" t="n"/>
      <c r="H4861" s="16">
        <f>IF($A4861="","",$D4861+IF($E4861="",0,$E4861)+IF($F4861="",0,$F4861)-IF($G4861="",0,$G4861))</f>
        <v/>
      </c>
      <c r="I4861" s="12" t="n"/>
      <c r="J4861" s="12" t="n"/>
      <c r="K4861" s="12" t="n"/>
      <c r="L4861" s="14" t="n"/>
      <c r="M4861" s="12" t="n"/>
      <c r="N4861" s="12" t="n"/>
      <c r="O4861" s="12" t="n"/>
    </row>
    <row r="4862">
      <c r="A4862" s="12" t="n"/>
      <c r="B4862" s="13">
        <f>IF($A4862="","",IFERROR(INDEX(Emp_Names,MATCH($A4862,Emp_Codes,0)),"NOT FOUND"))</f>
        <v/>
      </c>
      <c r="C4862" s="14" t="n"/>
      <c r="D4862" s="15" t="n"/>
      <c r="E4862" s="15" t="n"/>
      <c r="F4862" s="15" t="n"/>
      <c r="G4862" s="15" t="n"/>
      <c r="H4862" s="16">
        <f>IF($A4862="","",$D4862+IF($E4862="",0,$E4862)+IF($F4862="",0,$F4862)-IF($G4862="",0,$G4862))</f>
        <v/>
      </c>
      <c r="I4862" s="12" t="n"/>
      <c r="J4862" s="12" t="n"/>
      <c r="K4862" s="12" t="n"/>
      <c r="L4862" s="14" t="n"/>
      <c r="M4862" s="12" t="n"/>
      <c r="N4862" s="12" t="n"/>
      <c r="O4862" s="12" t="n"/>
    </row>
    <row r="4863">
      <c r="A4863" s="12" t="n"/>
      <c r="B4863" s="13">
        <f>IF($A4863="","",IFERROR(INDEX(Emp_Names,MATCH($A4863,Emp_Codes,0)),"NOT FOUND"))</f>
        <v/>
      </c>
      <c r="C4863" s="14" t="n"/>
      <c r="D4863" s="15" t="n"/>
      <c r="E4863" s="15" t="n"/>
      <c r="F4863" s="15" t="n"/>
      <c r="G4863" s="15" t="n"/>
      <c r="H4863" s="16">
        <f>IF($A4863="","",$D4863+IF($E4863="",0,$E4863)+IF($F4863="",0,$F4863)-IF($G4863="",0,$G4863))</f>
        <v/>
      </c>
      <c r="I4863" s="12" t="n"/>
      <c r="J4863" s="12" t="n"/>
      <c r="K4863" s="12" t="n"/>
      <c r="L4863" s="14" t="n"/>
      <c r="M4863" s="12" t="n"/>
      <c r="N4863" s="12" t="n"/>
      <c r="O4863" s="12" t="n"/>
    </row>
    <row r="4864">
      <c r="A4864" s="12" t="n"/>
      <c r="B4864" s="13">
        <f>IF($A4864="","",IFERROR(INDEX(Emp_Names,MATCH($A4864,Emp_Codes,0)),"NOT FOUND"))</f>
        <v/>
      </c>
      <c r="C4864" s="14" t="n"/>
      <c r="D4864" s="15" t="n"/>
      <c r="E4864" s="15" t="n"/>
      <c r="F4864" s="15" t="n"/>
      <c r="G4864" s="15" t="n"/>
      <c r="H4864" s="16">
        <f>IF($A4864="","",$D4864+IF($E4864="",0,$E4864)+IF($F4864="",0,$F4864)-IF($G4864="",0,$G4864))</f>
        <v/>
      </c>
      <c r="I4864" s="12" t="n"/>
      <c r="J4864" s="12" t="n"/>
      <c r="K4864" s="12" t="n"/>
      <c r="L4864" s="14" t="n"/>
      <c r="M4864" s="12" t="n"/>
      <c r="N4864" s="12" t="n"/>
      <c r="O4864" s="12" t="n"/>
    </row>
    <row r="4865">
      <c r="A4865" s="12" t="n"/>
      <c r="B4865" s="13">
        <f>IF($A4865="","",IFERROR(INDEX(Emp_Names,MATCH($A4865,Emp_Codes,0)),"NOT FOUND"))</f>
        <v/>
      </c>
      <c r="C4865" s="14" t="n"/>
      <c r="D4865" s="15" t="n"/>
      <c r="E4865" s="15" t="n"/>
      <c r="F4865" s="15" t="n"/>
      <c r="G4865" s="15" t="n"/>
      <c r="H4865" s="16">
        <f>IF($A4865="","",$D4865+IF($E4865="",0,$E4865)+IF($F4865="",0,$F4865)-IF($G4865="",0,$G4865))</f>
        <v/>
      </c>
      <c r="I4865" s="12" t="n"/>
      <c r="J4865" s="12" t="n"/>
      <c r="K4865" s="12" t="n"/>
      <c r="L4865" s="14" t="n"/>
      <c r="M4865" s="12" t="n"/>
      <c r="N4865" s="12" t="n"/>
      <c r="O4865" s="12" t="n"/>
    </row>
    <row r="4866">
      <c r="A4866" s="12" t="n"/>
      <c r="B4866" s="13">
        <f>IF($A4866="","",IFERROR(INDEX(Emp_Names,MATCH($A4866,Emp_Codes,0)),"NOT FOUND"))</f>
        <v/>
      </c>
      <c r="C4866" s="14" t="n"/>
      <c r="D4866" s="15" t="n"/>
      <c r="E4866" s="15" t="n"/>
      <c r="F4866" s="15" t="n"/>
      <c r="G4866" s="15" t="n"/>
      <c r="H4866" s="16">
        <f>IF($A4866="","",$D4866+IF($E4866="",0,$E4866)+IF($F4866="",0,$F4866)-IF($G4866="",0,$G4866))</f>
        <v/>
      </c>
      <c r="I4866" s="12" t="n"/>
      <c r="J4866" s="12" t="n"/>
      <c r="K4866" s="12" t="n"/>
      <c r="L4866" s="14" t="n"/>
      <c r="M4866" s="12" t="n"/>
      <c r="N4866" s="12" t="n"/>
      <c r="O4866" s="12" t="n"/>
    </row>
    <row r="4867">
      <c r="A4867" s="12" t="n"/>
      <c r="B4867" s="13">
        <f>IF($A4867="","",IFERROR(INDEX(Emp_Names,MATCH($A4867,Emp_Codes,0)),"NOT FOUND"))</f>
        <v/>
      </c>
      <c r="C4867" s="14" t="n"/>
      <c r="D4867" s="15" t="n"/>
      <c r="E4867" s="15" t="n"/>
      <c r="F4867" s="15" t="n"/>
      <c r="G4867" s="15" t="n"/>
      <c r="H4867" s="16">
        <f>IF($A4867="","",$D4867+IF($E4867="",0,$E4867)+IF($F4867="",0,$F4867)-IF($G4867="",0,$G4867))</f>
        <v/>
      </c>
      <c r="I4867" s="12" t="n"/>
      <c r="J4867" s="12" t="n"/>
      <c r="K4867" s="12" t="n"/>
      <c r="L4867" s="14" t="n"/>
      <c r="M4867" s="12" t="n"/>
      <c r="N4867" s="12" t="n"/>
      <c r="O4867" s="12" t="n"/>
    </row>
    <row r="4868">
      <c r="A4868" s="12" t="n"/>
      <c r="B4868" s="13">
        <f>IF($A4868="","",IFERROR(INDEX(Emp_Names,MATCH($A4868,Emp_Codes,0)),"NOT FOUND"))</f>
        <v/>
      </c>
      <c r="C4868" s="14" t="n"/>
      <c r="D4868" s="15" t="n"/>
      <c r="E4868" s="15" t="n"/>
      <c r="F4868" s="15" t="n"/>
      <c r="G4868" s="15" t="n"/>
      <c r="H4868" s="16">
        <f>IF($A4868="","",$D4868+IF($E4868="",0,$E4868)+IF($F4868="",0,$F4868)-IF($G4868="",0,$G4868))</f>
        <v/>
      </c>
      <c r="I4868" s="12" t="n"/>
      <c r="J4868" s="12" t="n"/>
      <c r="K4868" s="12" t="n"/>
      <c r="L4868" s="14" t="n"/>
      <c r="M4868" s="12" t="n"/>
      <c r="N4868" s="12" t="n"/>
      <c r="O4868" s="12" t="n"/>
    </row>
    <row r="4869">
      <c r="A4869" s="12" t="n"/>
      <c r="B4869" s="13">
        <f>IF($A4869="","",IFERROR(INDEX(Emp_Names,MATCH($A4869,Emp_Codes,0)),"NOT FOUND"))</f>
        <v/>
      </c>
      <c r="C4869" s="14" t="n"/>
      <c r="D4869" s="15" t="n"/>
      <c r="E4869" s="15" t="n"/>
      <c r="F4869" s="15" t="n"/>
      <c r="G4869" s="15" t="n"/>
      <c r="H4869" s="16">
        <f>IF($A4869="","",$D4869+IF($E4869="",0,$E4869)+IF($F4869="",0,$F4869)-IF($G4869="",0,$G4869))</f>
        <v/>
      </c>
      <c r="I4869" s="12" t="n"/>
      <c r="J4869" s="12" t="n"/>
      <c r="K4869" s="12" t="n"/>
      <c r="L4869" s="14" t="n"/>
      <c r="M4869" s="12" t="n"/>
      <c r="N4869" s="12" t="n"/>
      <c r="O4869" s="12" t="n"/>
    </row>
    <row r="4870">
      <c r="A4870" s="12" t="n"/>
      <c r="B4870" s="13">
        <f>IF($A4870="","",IFERROR(INDEX(Emp_Names,MATCH($A4870,Emp_Codes,0)),"NOT FOUND"))</f>
        <v/>
      </c>
      <c r="C4870" s="14" t="n"/>
      <c r="D4870" s="15" t="n"/>
      <c r="E4870" s="15" t="n"/>
      <c r="F4870" s="15" t="n"/>
      <c r="G4870" s="15" t="n"/>
      <c r="H4870" s="16">
        <f>IF($A4870="","",$D4870+IF($E4870="",0,$E4870)+IF($F4870="",0,$F4870)-IF($G4870="",0,$G4870))</f>
        <v/>
      </c>
      <c r="I4870" s="12" t="n"/>
      <c r="J4870" s="12" t="n"/>
      <c r="K4870" s="12" t="n"/>
      <c r="L4870" s="14" t="n"/>
      <c r="M4870" s="12" t="n"/>
      <c r="N4870" s="12" t="n"/>
      <c r="O4870" s="12" t="n"/>
    </row>
    <row r="4871">
      <c r="A4871" s="12" t="n"/>
      <c r="B4871" s="13">
        <f>IF($A4871="","",IFERROR(INDEX(Emp_Names,MATCH($A4871,Emp_Codes,0)),"NOT FOUND"))</f>
        <v/>
      </c>
      <c r="C4871" s="14" t="n"/>
      <c r="D4871" s="15" t="n"/>
      <c r="E4871" s="15" t="n"/>
      <c r="F4871" s="15" t="n"/>
      <c r="G4871" s="15" t="n"/>
      <c r="H4871" s="16">
        <f>IF($A4871="","",$D4871+IF($E4871="",0,$E4871)+IF($F4871="",0,$F4871)-IF($G4871="",0,$G4871))</f>
        <v/>
      </c>
      <c r="I4871" s="12" t="n"/>
      <c r="J4871" s="12" t="n"/>
      <c r="K4871" s="12" t="n"/>
      <c r="L4871" s="14" t="n"/>
      <c r="M4871" s="12" t="n"/>
      <c r="N4871" s="12" t="n"/>
      <c r="O4871" s="12" t="n"/>
    </row>
    <row r="4872">
      <c r="A4872" s="12" t="n"/>
      <c r="B4872" s="13">
        <f>IF($A4872="","",IFERROR(INDEX(Emp_Names,MATCH($A4872,Emp_Codes,0)),"NOT FOUND"))</f>
        <v/>
      </c>
      <c r="C4872" s="14" t="n"/>
      <c r="D4872" s="15" t="n"/>
      <c r="E4872" s="15" t="n"/>
      <c r="F4872" s="15" t="n"/>
      <c r="G4872" s="15" t="n"/>
      <c r="H4872" s="16">
        <f>IF($A4872="","",$D4872+IF($E4872="",0,$E4872)+IF($F4872="",0,$F4872)-IF($G4872="",0,$G4872))</f>
        <v/>
      </c>
      <c r="I4872" s="12" t="n"/>
      <c r="J4872" s="12" t="n"/>
      <c r="K4872" s="12" t="n"/>
      <c r="L4872" s="14" t="n"/>
      <c r="M4872" s="12" t="n"/>
      <c r="N4872" s="12" t="n"/>
      <c r="O4872" s="12" t="n"/>
    </row>
    <row r="4873">
      <c r="A4873" s="12" t="n"/>
      <c r="B4873" s="13">
        <f>IF($A4873="","",IFERROR(INDEX(Emp_Names,MATCH($A4873,Emp_Codes,0)),"NOT FOUND"))</f>
        <v/>
      </c>
      <c r="C4873" s="14" t="n"/>
      <c r="D4873" s="15" t="n"/>
      <c r="E4873" s="15" t="n"/>
      <c r="F4873" s="15" t="n"/>
      <c r="G4873" s="15" t="n"/>
      <c r="H4873" s="16">
        <f>IF($A4873="","",$D4873+IF($E4873="",0,$E4873)+IF($F4873="",0,$F4873)-IF($G4873="",0,$G4873))</f>
        <v/>
      </c>
      <c r="I4873" s="12" t="n"/>
      <c r="J4873" s="12" t="n"/>
      <c r="K4873" s="12" t="n"/>
      <c r="L4873" s="14" t="n"/>
      <c r="M4873" s="12" t="n"/>
      <c r="N4873" s="12" t="n"/>
      <c r="O4873" s="12" t="n"/>
    </row>
    <row r="4874">
      <c r="A4874" s="12" t="n"/>
      <c r="B4874" s="13">
        <f>IF($A4874="","",IFERROR(INDEX(Emp_Names,MATCH($A4874,Emp_Codes,0)),"NOT FOUND"))</f>
        <v/>
      </c>
      <c r="C4874" s="14" t="n"/>
      <c r="D4874" s="15" t="n"/>
      <c r="E4874" s="15" t="n"/>
      <c r="F4874" s="15" t="n"/>
      <c r="G4874" s="15" t="n"/>
      <c r="H4874" s="16">
        <f>IF($A4874="","",$D4874+IF($E4874="",0,$E4874)+IF($F4874="",0,$F4874)-IF($G4874="",0,$G4874))</f>
        <v/>
      </c>
      <c r="I4874" s="12" t="n"/>
      <c r="J4874" s="12" t="n"/>
      <c r="K4874" s="12" t="n"/>
      <c r="L4874" s="14" t="n"/>
      <c r="M4874" s="12" t="n"/>
      <c r="N4874" s="12" t="n"/>
      <c r="O4874" s="12" t="n"/>
    </row>
    <row r="4875">
      <c r="A4875" s="12" t="n"/>
      <c r="B4875" s="13">
        <f>IF($A4875="","",IFERROR(INDEX(Emp_Names,MATCH($A4875,Emp_Codes,0)),"NOT FOUND"))</f>
        <v/>
      </c>
      <c r="C4875" s="14" t="n"/>
      <c r="D4875" s="15" t="n"/>
      <c r="E4875" s="15" t="n"/>
      <c r="F4875" s="15" t="n"/>
      <c r="G4875" s="15" t="n"/>
      <c r="H4875" s="16">
        <f>IF($A4875="","",$D4875+IF($E4875="",0,$E4875)+IF($F4875="",0,$F4875)-IF($G4875="",0,$G4875))</f>
        <v/>
      </c>
      <c r="I4875" s="12" t="n"/>
      <c r="J4875" s="12" t="n"/>
      <c r="K4875" s="12" t="n"/>
      <c r="L4875" s="14" t="n"/>
      <c r="M4875" s="12" t="n"/>
      <c r="N4875" s="12" t="n"/>
      <c r="O4875" s="12" t="n"/>
    </row>
    <row r="4876">
      <c r="A4876" s="12" t="n"/>
      <c r="B4876" s="13">
        <f>IF($A4876="","",IFERROR(INDEX(Emp_Names,MATCH($A4876,Emp_Codes,0)),"NOT FOUND"))</f>
        <v/>
      </c>
      <c r="C4876" s="14" t="n"/>
      <c r="D4876" s="15" t="n"/>
      <c r="E4876" s="15" t="n"/>
      <c r="F4876" s="15" t="n"/>
      <c r="G4876" s="15" t="n"/>
      <c r="H4876" s="16">
        <f>IF($A4876="","",$D4876+IF($E4876="",0,$E4876)+IF($F4876="",0,$F4876)-IF($G4876="",0,$G4876))</f>
        <v/>
      </c>
      <c r="I4876" s="12" t="n"/>
      <c r="J4876" s="12" t="n"/>
      <c r="K4876" s="12" t="n"/>
      <c r="L4876" s="14" t="n"/>
      <c r="M4876" s="12" t="n"/>
      <c r="N4876" s="12" t="n"/>
      <c r="O4876" s="12" t="n"/>
    </row>
    <row r="4877">
      <c r="A4877" s="12" t="n"/>
      <c r="B4877" s="13">
        <f>IF($A4877="","",IFERROR(INDEX(Emp_Names,MATCH($A4877,Emp_Codes,0)),"NOT FOUND"))</f>
        <v/>
      </c>
      <c r="C4877" s="14" t="n"/>
      <c r="D4877" s="15" t="n"/>
      <c r="E4877" s="15" t="n"/>
      <c r="F4877" s="15" t="n"/>
      <c r="G4877" s="15" t="n"/>
      <c r="H4877" s="16">
        <f>IF($A4877="","",$D4877+IF($E4877="",0,$E4877)+IF($F4877="",0,$F4877)-IF($G4877="",0,$G4877))</f>
        <v/>
      </c>
      <c r="I4877" s="12" t="n"/>
      <c r="J4877" s="12" t="n"/>
      <c r="K4877" s="12" t="n"/>
      <c r="L4877" s="14" t="n"/>
      <c r="M4877" s="12" t="n"/>
      <c r="N4877" s="12" t="n"/>
      <c r="O4877" s="12" t="n"/>
    </row>
    <row r="4878">
      <c r="A4878" s="12" t="n"/>
      <c r="B4878" s="13">
        <f>IF($A4878="","",IFERROR(INDEX(Emp_Names,MATCH($A4878,Emp_Codes,0)),"NOT FOUND"))</f>
        <v/>
      </c>
      <c r="C4878" s="14" t="n"/>
      <c r="D4878" s="15" t="n"/>
      <c r="E4878" s="15" t="n"/>
      <c r="F4878" s="15" t="n"/>
      <c r="G4878" s="15" t="n"/>
      <c r="H4878" s="16">
        <f>IF($A4878="","",$D4878+IF($E4878="",0,$E4878)+IF($F4878="",0,$F4878)-IF($G4878="",0,$G4878))</f>
        <v/>
      </c>
      <c r="I4878" s="12" t="n"/>
      <c r="J4878" s="12" t="n"/>
      <c r="K4878" s="12" t="n"/>
      <c r="L4878" s="14" t="n"/>
      <c r="M4878" s="12" t="n"/>
      <c r="N4878" s="12" t="n"/>
      <c r="O4878" s="12" t="n"/>
    </row>
    <row r="4879">
      <c r="A4879" s="12" t="n"/>
      <c r="B4879" s="13">
        <f>IF($A4879="","",IFERROR(INDEX(Emp_Names,MATCH($A4879,Emp_Codes,0)),"NOT FOUND"))</f>
        <v/>
      </c>
      <c r="C4879" s="14" t="n"/>
      <c r="D4879" s="15" t="n"/>
      <c r="E4879" s="15" t="n"/>
      <c r="F4879" s="15" t="n"/>
      <c r="G4879" s="15" t="n"/>
      <c r="H4879" s="16">
        <f>IF($A4879="","",$D4879+IF($E4879="",0,$E4879)+IF($F4879="",0,$F4879)-IF($G4879="",0,$G4879))</f>
        <v/>
      </c>
      <c r="I4879" s="12" t="n"/>
      <c r="J4879" s="12" t="n"/>
      <c r="K4879" s="12" t="n"/>
      <c r="L4879" s="14" t="n"/>
      <c r="M4879" s="12" t="n"/>
      <c r="N4879" s="12" t="n"/>
      <c r="O4879" s="12" t="n"/>
    </row>
    <row r="4880">
      <c r="A4880" s="12" t="n"/>
      <c r="B4880" s="13">
        <f>IF($A4880="","",IFERROR(INDEX(Emp_Names,MATCH($A4880,Emp_Codes,0)),"NOT FOUND"))</f>
        <v/>
      </c>
      <c r="C4880" s="14" t="n"/>
      <c r="D4880" s="15" t="n"/>
      <c r="E4880" s="15" t="n"/>
      <c r="F4880" s="15" t="n"/>
      <c r="G4880" s="15" t="n"/>
      <c r="H4880" s="16">
        <f>IF($A4880="","",$D4880+IF($E4880="",0,$E4880)+IF($F4880="",0,$F4880)-IF($G4880="",0,$G4880))</f>
        <v/>
      </c>
      <c r="I4880" s="12" t="n"/>
      <c r="J4880" s="12" t="n"/>
      <c r="K4880" s="12" t="n"/>
      <c r="L4880" s="14" t="n"/>
      <c r="M4880" s="12" t="n"/>
      <c r="N4880" s="12" t="n"/>
      <c r="O4880" s="12" t="n"/>
    </row>
    <row r="4881">
      <c r="A4881" s="12" t="n"/>
      <c r="B4881" s="13">
        <f>IF($A4881="","",IFERROR(INDEX(Emp_Names,MATCH($A4881,Emp_Codes,0)),"NOT FOUND"))</f>
        <v/>
      </c>
      <c r="C4881" s="14" t="n"/>
      <c r="D4881" s="15" t="n"/>
      <c r="E4881" s="15" t="n"/>
      <c r="F4881" s="15" t="n"/>
      <c r="G4881" s="15" t="n"/>
      <c r="H4881" s="16">
        <f>IF($A4881="","",$D4881+IF($E4881="",0,$E4881)+IF($F4881="",0,$F4881)-IF($G4881="",0,$G4881))</f>
        <v/>
      </c>
      <c r="I4881" s="12" t="n"/>
      <c r="J4881" s="12" t="n"/>
      <c r="K4881" s="12" t="n"/>
      <c r="L4881" s="14" t="n"/>
      <c r="M4881" s="12" t="n"/>
      <c r="N4881" s="12" t="n"/>
      <c r="O4881" s="12" t="n"/>
    </row>
    <row r="4882">
      <c r="A4882" s="12" t="n"/>
      <c r="B4882" s="13">
        <f>IF($A4882="","",IFERROR(INDEX(Emp_Names,MATCH($A4882,Emp_Codes,0)),"NOT FOUND"))</f>
        <v/>
      </c>
      <c r="C4882" s="14" t="n"/>
      <c r="D4882" s="15" t="n"/>
      <c r="E4882" s="15" t="n"/>
      <c r="F4882" s="15" t="n"/>
      <c r="G4882" s="15" t="n"/>
      <c r="H4882" s="16">
        <f>IF($A4882="","",$D4882+IF($E4882="",0,$E4882)+IF($F4882="",0,$F4882)-IF($G4882="",0,$G4882))</f>
        <v/>
      </c>
      <c r="I4882" s="12" t="n"/>
      <c r="J4882" s="12" t="n"/>
      <c r="K4882" s="12" t="n"/>
      <c r="L4882" s="14" t="n"/>
      <c r="M4882" s="12" t="n"/>
      <c r="N4882" s="12" t="n"/>
      <c r="O4882" s="12" t="n"/>
    </row>
    <row r="4883">
      <c r="A4883" s="12" t="n"/>
      <c r="B4883" s="13">
        <f>IF($A4883="","",IFERROR(INDEX(Emp_Names,MATCH($A4883,Emp_Codes,0)),"NOT FOUND"))</f>
        <v/>
      </c>
      <c r="C4883" s="14" t="n"/>
      <c r="D4883" s="15" t="n"/>
      <c r="E4883" s="15" t="n"/>
      <c r="F4883" s="15" t="n"/>
      <c r="G4883" s="15" t="n"/>
      <c r="H4883" s="16">
        <f>IF($A4883="","",$D4883+IF($E4883="",0,$E4883)+IF($F4883="",0,$F4883)-IF($G4883="",0,$G4883))</f>
        <v/>
      </c>
      <c r="I4883" s="12" t="n"/>
      <c r="J4883" s="12" t="n"/>
      <c r="K4883" s="12" t="n"/>
      <c r="L4883" s="14" t="n"/>
      <c r="M4883" s="12" t="n"/>
      <c r="N4883" s="12" t="n"/>
      <c r="O4883" s="12" t="n"/>
    </row>
    <row r="4884">
      <c r="A4884" s="12" t="n"/>
      <c r="B4884" s="13">
        <f>IF($A4884="","",IFERROR(INDEX(Emp_Names,MATCH($A4884,Emp_Codes,0)),"NOT FOUND"))</f>
        <v/>
      </c>
      <c r="C4884" s="14" t="n"/>
      <c r="D4884" s="15" t="n"/>
      <c r="E4884" s="15" t="n"/>
      <c r="F4884" s="15" t="n"/>
      <c r="G4884" s="15" t="n"/>
      <c r="H4884" s="16">
        <f>IF($A4884="","",$D4884+IF($E4884="",0,$E4884)+IF($F4884="",0,$F4884)-IF($G4884="",0,$G4884))</f>
        <v/>
      </c>
      <c r="I4884" s="12" t="n"/>
      <c r="J4884" s="12" t="n"/>
      <c r="K4884" s="12" t="n"/>
      <c r="L4884" s="14" t="n"/>
      <c r="M4884" s="12" t="n"/>
      <c r="N4884" s="12" t="n"/>
      <c r="O4884" s="12" t="n"/>
    </row>
    <row r="4885">
      <c r="A4885" s="12" t="n"/>
      <c r="B4885" s="13">
        <f>IF($A4885="","",IFERROR(INDEX(Emp_Names,MATCH($A4885,Emp_Codes,0)),"NOT FOUND"))</f>
        <v/>
      </c>
      <c r="C4885" s="14" t="n"/>
      <c r="D4885" s="15" t="n"/>
      <c r="E4885" s="15" t="n"/>
      <c r="F4885" s="15" t="n"/>
      <c r="G4885" s="15" t="n"/>
      <c r="H4885" s="16">
        <f>IF($A4885="","",$D4885+IF($E4885="",0,$E4885)+IF($F4885="",0,$F4885)-IF($G4885="",0,$G4885))</f>
        <v/>
      </c>
      <c r="I4885" s="12" t="n"/>
      <c r="J4885" s="12" t="n"/>
      <c r="K4885" s="12" t="n"/>
      <c r="L4885" s="14" t="n"/>
      <c r="M4885" s="12" t="n"/>
      <c r="N4885" s="12" t="n"/>
      <c r="O4885" s="12" t="n"/>
    </row>
    <row r="4886">
      <c r="A4886" s="12" t="n"/>
      <c r="B4886" s="13">
        <f>IF($A4886="","",IFERROR(INDEX(Emp_Names,MATCH($A4886,Emp_Codes,0)),"NOT FOUND"))</f>
        <v/>
      </c>
      <c r="C4886" s="14" t="n"/>
      <c r="D4886" s="15" t="n"/>
      <c r="E4886" s="15" t="n"/>
      <c r="F4886" s="15" t="n"/>
      <c r="G4886" s="15" t="n"/>
      <c r="H4886" s="16">
        <f>IF($A4886="","",$D4886+IF($E4886="",0,$E4886)+IF($F4886="",0,$F4886)-IF($G4886="",0,$G4886))</f>
        <v/>
      </c>
      <c r="I4886" s="12" t="n"/>
      <c r="J4886" s="12" t="n"/>
      <c r="K4886" s="12" t="n"/>
      <c r="L4886" s="14" t="n"/>
      <c r="M4886" s="12" t="n"/>
      <c r="N4886" s="12" t="n"/>
      <c r="O4886" s="12" t="n"/>
    </row>
    <row r="4887">
      <c r="A4887" s="12" t="n"/>
      <c r="B4887" s="13">
        <f>IF($A4887="","",IFERROR(INDEX(Emp_Names,MATCH($A4887,Emp_Codes,0)),"NOT FOUND"))</f>
        <v/>
      </c>
      <c r="C4887" s="14" t="n"/>
      <c r="D4887" s="15" t="n"/>
      <c r="E4887" s="15" t="n"/>
      <c r="F4887" s="15" t="n"/>
      <c r="G4887" s="15" t="n"/>
      <c r="H4887" s="16">
        <f>IF($A4887="","",$D4887+IF($E4887="",0,$E4887)+IF($F4887="",0,$F4887)-IF($G4887="",0,$G4887))</f>
        <v/>
      </c>
      <c r="I4887" s="12" t="n"/>
      <c r="J4887" s="12" t="n"/>
      <c r="K4887" s="12" t="n"/>
      <c r="L4887" s="14" t="n"/>
      <c r="M4887" s="12" t="n"/>
      <c r="N4887" s="12" t="n"/>
      <c r="O4887" s="12" t="n"/>
    </row>
    <row r="4888">
      <c r="A4888" s="12" t="n"/>
      <c r="B4888" s="13">
        <f>IF($A4888="","",IFERROR(INDEX(Emp_Names,MATCH($A4888,Emp_Codes,0)),"NOT FOUND"))</f>
        <v/>
      </c>
      <c r="C4888" s="14" t="n"/>
      <c r="D4888" s="15" t="n"/>
      <c r="E4888" s="15" t="n"/>
      <c r="F4888" s="15" t="n"/>
      <c r="G4888" s="15" t="n"/>
      <c r="H4888" s="16">
        <f>IF($A4888="","",$D4888+IF($E4888="",0,$E4888)+IF($F4888="",0,$F4888)-IF($G4888="",0,$G4888))</f>
        <v/>
      </c>
      <c r="I4888" s="12" t="n"/>
      <c r="J4888" s="12" t="n"/>
      <c r="K4888" s="12" t="n"/>
      <c r="L4888" s="14" t="n"/>
      <c r="M4888" s="12" t="n"/>
      <c r="N4888" s="12" t="n"/>
      <c r="O4888" s="12" t="n"/>
    </row>
    <row r="4889">
      <c r="A4889" s="12" t="n"/>
      <c r="B4889" s="13">
        <f>IF($A4889="","",IFERROR(INDEX(Emp_Names,MATCH($A4889,Emp_Codes,0)),"NOT FOUND"))</f>
        <v/>
      </c>
      <c r="C4889" s="14" t="n"/>
      <c r="D4889" s="15" t="n"/>
      <c r="E4889" s="15" t="n"/>
      <c r="F4889" s="15" t="n"/>
      <c r="G4889" s="15" t="n"/>
      <c r="H4889" s="16">
        <f>IF($A4889="","",$D4889+IF($E4889="",0,$E4889)+IF($F4889="",0,$F4889)-IF($G4889="",0,$G4889))</f>
        <v/>
      </c>
      <c r="I4889" s="12" t="n"/>
      <c r="J4889" s="12" t="n"/>
      <c r="K4889" s="12" t="n"/>
      <c r="L4889" s="14" t="n"/>
      <c r="M4889" s="12" t="n"/>
      <c r="N4889" s="12" t="n"/>
      <c r="O4889" s="12" t="n"/>
    </row>
    <row r="4890">
      <c r="A4890" s="12" t="n"/>
      <c r="B4890" s="13">
        <f>IF($A4890="","",IFERROR(INDEX(Emp_Names,MATCH($A4890,Emp_Codes,0)),"NOT FOUND"))</f>
        <v/>
      </c>
      <c r="C4890" s="14" t="n"/>
      <c r="D4890" s="15" t="n"/>
      <c r="E4890" s="15" t="n"/>
      <c r="F4890" s="15" t="n"/>
      <c r="G4890" s="15" t="n"/>
      <c r="H4890" s="16">
        <f>IF($A4890="","",$D4890+IF($E4890="",0,$E4890)+IF($F4890="",0,$F4890)-IF($G4890="",0,$G4890))</f>
        <v/>
      </c>
      <c r="I4890" s="12" t="n"/>
      <c r="J4890" s="12" t="n"/>
      <c r="K4890" s="12" t="n"/>
      <c r="L4890" s="14" t="n"/>
      <c r="M4890" s="12" t="n"/>
      <c r="N4890" s="12" t="n"/>
      <c r="O4890" s="12" t="n"/>
    </row>
    <row r="4891">
      <c r="A4891" s="12" t="n"/>
      <c r="B4891" s="13">
        <f>IF($A4891="","",IFERROR(INDEX(Emp_Names,MATCH($A4891,Emp_Codes,0)),"NOT FOUND"))</f>
        <v/>
      </c>
      <c r="C4891" s="14" t="n"/>
      <c r="D4891" s="15" t="n"/>
      <c r="E4891" s="15" t="n"/>
      <c r="F4891" s="15" t="n"/>
      <c r="G4891" s="15" t="n"/>
      <c r="H4891" s="16">
        <f>IF($A4891="","",$D4891+IF($E4891="",0,$E4891)+IF($F4891="",0,$F4891)-IF($G4891="",0,$G4891))</f>
        <v/>
      </c>
      <c r="I4891" s="12" t="n"/>
      <c r="J4891" s="12" t="n"/>
      <c r="K4891" s="12" t="n"/>
      <c r="L4891" s="14" t="n"/>
      <c r="M4891" s="12" t="n"/>
      <c r="N4891" s="12" t="n"/>
      <c r="O4891" s="12" t="n"/>
    </row>
    <row r="4892">
      <c r="A4892" s="12" t="n"/>
      <c r="B4892" s="13">
        <f>IF($A4892="","",IFERROR(INDEX(Emp_Names,MATCH($A4892,Emp_Codes,0)),"NOT FOUND"))</f>
        <v/>
      </c>
      <c r="C4892" s="14" t="n"/>
      <c r="D4892" s="15" t="n"/>
      <c r="E4892" s="15" t="n"/>
      <c r="F4892" s="15" t="n"/>
      <c r="G4892" s="15" t="n"/>
      <c r="H4892" s="16">
        <f>IF($A4892="","",$D4892+IF($E4892="",0,$E4892)+IF($F4892="",0,$F4892)-IF($G4892="",0,$G4892))</f>
        <v/>
      </c>
      <c r="I4892" s="12" t="n"/>
      <c r="J4892" s="12" t="n"/>
      <c r="K4892" s="12" t="n"/>
      <c r="L4892" s="14" t="n"/>
      <c r="M4892" s="12" t="n"/>
      <c r="N4892" s="12" t="n"/>
      <c r="O4892" s="12" t="n"/>
    </row>
    <row r="4893">
      <c r="A4893" s="12" t="n"/>
      <c r="B4893" s="13">
        <f>IF($A4893="","",IFERROR(INDEX(Emp_Names,MATCH($A4893,Emp_Codes,0)),"NOT FOUND"))</f>
        <v/>
      </c>
      <c r="C4893" s="14" t="n"/>
      <c r="D4893" s="15" t="n"/>
      <c r="E4893" s="15" t="n"/>
      <c r="F4893" s="15" t="n"/>
      <c r="G4893" s="15" t="n"/>
      <c r="H4893" s="16">
        <f>IF($A4893="","",$D4893+IF($E4893="",0,$E4893)+IF($F4893="",0,$F4893)-IF($G4893="",0,$G4893))</f>
        <v/>
      </c>
      <c r="I4893" s="12" t="n"/>
      <c r="J4893" s="12" t="n"/>
      <c r="K4893" s="12" t="n"/>
      <c r="L4893" s="14" t="n"/>
      <c r="M4893" s="12" t="n"/>
      <c r="N4893" s="12" t="n"/>
      <c r="O4893" s="12" t="n"/>
    </row>
    <row r="4894">
      <c r="A4894" s="12" t="n"/>
      <c r="B4894" s="13">
        <f>IF($A4894="","",IFERROR(INDEX(Emp_Names,MATCH($A4894,Emp_Codes,0)),"NOT FOUND"))</f>
        <v/>
      </c>
      <c r="C4894" s="14" t="n"/>
      <c r="D4894" s="15" t="n"/>
      <c r="E4894" s="15" t="n"/>
      <c r="F4894" s="15" t="n"/>
      <c r="G4894" s="15" t="n"/>
      <c r="H4894" s="16">
        <f>IF($A4894="","",$D4894+IF($E4894="",0,$E4894)+IF($F4894="",0,$F4894)-IF($G4894="",0,$G4894))</f>
        <v/>
      </c>
      <c r="I4894" s="12" t="n"/>
      <c r="J4894" s="12" t="n"/>
      <c r="K4894" s="12" t="n"/>
      <c r="L4894" s="14" t="n"/>
      <c r="M4894" s="12" t="n"/>
      <c r="N4894" s="12" t="n"/>
      <c r="O4894" s="12" t="n"/>
    </row>
    <row r="4895">
      <c r="A4895" s="12" t="n"/>
      <c r="B4895" s="13">
        <f>IF($A4895="","",IFERROR(INDEX(Emp_Names,MATCH($A4895,Emp_Codes,0)),"NOT FOUND"))</f>
        <v/>
      </c>
      <c r="C4895" s="14" t="n"/>
      <c r="D4895" s="15" t="n"/>
      <c r="E4895" s="15" t="n"/>
      <c r="F4895" s="15" t="n"/>
      <c r="G4895" s="15" t="n"/>
      <c r="H4895" s="16">
        <f>IF($A4895="","",$D4895+IF($E4895="",0,$E4895)+IF($F4895="",0,$F4895)-IF($G4895="",0,$G4895))</f>
        <v/>
      </c>
      <c r="I4895" s="12" t="n"/>
      <c r="J4895" s="12" t="n"/>
      <c r="K4895" s="12" t="n"/>
      <c r="L4895" s="14" t="n"/>
      <c r="M4895" s="12" t="n"/>
      <c r="N4895" s="12" t="n"/>
      <c r="O4895" s="12" t="n"/>
    </row>
    <row r="4896">
      <c r="A4896" s="12" t="n"/>
      <c r="B4896" s="13">
        <f>IF($A4896="","",IFERROR(INDEX(Emp_Names,MATCH($A4896,Emp_Codes,0)),"NOT FOUND"))</f>
        <v/>
      </c>
      <c r="C4896" s="14" t="n"/>
      <c r="D4896" s="15" t="n"/>
      <c r="E4896" s="15" t="n"/>
      <c r="F4896" s="15" t="n"/>
      <c r="G4896" s="15" t="n"/>
      <c r="H4896" s="16">
        <f>IF($A4896="","",$D4896+IF($E4896="",0,$E4896)+IF($F4896="",0,$F4896)-IF($G4896="",0,$G4896))</f>
        <v/>
      </c>
      <c r="I4896" s="12" t="n"/>
      <c r="J4896" s="12" t="n"/>
      <c r="K4896" s="12" t="n"/>
      <c r="L4896" s="14" t="n"/>
      <c r="M4896" s="12" t="n"/>
      <c r="N4896" s="12" t="n"/>
      <c r="O4896" s="12" t="n"/>
    </row>
    <row r="4897">
      <c r="A4897" s="12" t="n"/>
      <c r="B4897" s="13">
        <f>IF($A4897="","",IFERROR(INDEX(Emp_Names,MATCH($A4897,Emp_Codes,0)),"NOT FOUND"))</f>
        <v/>
      </c>
      <c r="C4897" s="14" t="n"/>
      <c r="D4897" s="15" t="n"/>
      <c r="E4897" s="15" t="n"/>
      <c r="F4897" s="15" t="n"/>
      <c r="G4897" s="15" t="n"/>
      <c r="H4897" s="16">
        <f>IF($A4897="","",$D4897+IF($E4897="",0,$E4897)+IF($F4897="",0,$F4897)-IF($G4897="",0,$G4897))</f>
        <v/>
      </c>
      <c r="I4897" s="12" t="n"/>
      <c r="J4897" s="12" t="n"/>
      <c r="K4897" s="12" t="n"/>
      <c r="L4897" s="14" t="n"/>
      <c r="M4897" s="12" t="n"/>
      <c r="N4897" s="12" t="n"/>
      <c r="O4897" s="12" t="n"/>
    </row>
    <row r="4898">
      <c r="A4898" s="12" t="n"/>
      <c r="B4898" s="13">
        <f>IF($A4898="","",IFERROR(INDEX(Emp_Names,MATCH($A4898,Emp_Codes,0)),"NOT FOUND"))</f>
        <v/>
      </c>
      <c r="C4898" s="14" t="n"/>
      <c r="D4898" s="15" t="n"/>
      <c r="E4898" s="15" t="n"/>
      <c r="F4898" s="15" t="n"/>
      <c r="G4898" s="15" t="n"/>
      <c r="H4898" s="16">
        <f>IF($A4898="","",$D4898+IF($E4898="",0,$E4898)+IF($F4898="",0,$F4898)-IF($G4898="",0,$G4898))</f>
        <v/>
      </c>
      <c r="I4898" s="12" t="n"/>
      <c r="J4898" s="12" t="n"/>
      <c r="K4898" s="12" t="n"/>
      <c r="L4898" s="14" t="n"/>
      <c r="M4898" s="12" t="n"/>
      <c r="N4898" s="12" t="n"/>
      <c r="O4898" s="12" t="n"/>
    </row>
    <row r="4899">
      <c r="A4899" s="12" t="n"/>
      <c r="B4899" s="13">
        <f>IF($A4899="","",IFERROR(INDEX(Emp_Names,MATCH($A4899,Emp_Codes,0)),"NOT FOUND"))</f>
        <v/>
      </c>
      <c r="C4899" s="14" t="n"/>
      <c r="D4899" s="15" t="n"/>
      <c r="E4899" s="15" t="n"/>
      <c r="F4899" s="15" t="n"/>
      <c r="G4899" s="15" t="n"/>
      <c r="H4899" s="16">
        <f>IF($A4899="","",$D4899+IF($E4899="",0,$E4899)+IF($F4899="",0,$F4899)-IF($G4899="",0,$G4899))</f>
        <v/>
      </c>
      <c r="I4899" s="12" t="n"/>
      <c r="J4899" s="12" t="n"/>
      <c r="K4899" s="12" t="n"/>
      <c r="L4899" s="14" t="n"/>
      <c r="M4899" s="12" t="n"/>
      <c r="N4899" s="12" t="n"/>
      <c r="O4899" s="12" t="n"/>
    </row>
    <row r="4900">
      <c r="A4900" s="12" t="n"/>
      <c r="B4900" s="13">
        <f>IF($A4900="","",IFERROR(INDEX(Emp_Names,MATCH($A4900,Emp_Codes,0)),"NOT FOUND"))</f>
        <v/>
      </c>
      <c r="C4900" s="14" t="n"/>
      <c r="D4900" s="15" t="n"/>
      <c r="E4900" s="15" t="n"/>
      <c r="F4900" s="15" t="n"/>
      <c r="G4900" s="15" t="n"/>
      <c r="H4900" s="16">
        <f>IF($A4900="","",$D4900+IF($E4900="",0,$E4900)+IF($F4900="",0,$F4900)-IF($G4900="",0,$G4900))</f>
        <v/>
      </c>
      <c r="I4900" s="12" t="n"/>
      <c r="J4900" s="12" t="n"/>
      <c r="K4900" s="12" t="n"/>
      <c r="L4900" s="14" t="n"/>
      <c r="M4900" s="12" t="n"/>
      <c r="N4900" s="12" t="n"/>
      <c r="O4900" s="12" t="n"/>
    </row>
    <row r="4901">
      <c r="A4901" s="12" t="n"/>
      <c r="B4901" s="13">
        <f>IF($A4901="","",IFERROR(INDEX(Emp_Names,MATCH($A4901,Emp_Codes,0)),"NOT FOUND"))</f>
        <v/>
      </c>
      <c r="C4901" s="14" t="n"/>
      <c r="D4901" s="15" t="n"/>
      <c r="E4901" s="15" t="n"/>
      <c r="F4901" s="15" t="n"/>
      <c r="G4901" s="15" t="n"/>
      <c r="H4901" s="16">
        <f>IF($A4901="","",$D4901+IF($E4901="",0,$E4901)+IF($F4901="",0,$F4901)-IF($G4901="",0,$G4901))</f>
        <v/>
      </c>
      <c r="I4901" s="12" t="n"/>
      <c r="J4901" s="12" t="n"/>
      <c r="K4901" s="12" t="n"/>
      <c r="L4901" s="14" t="n"/>
      <c r="M4901" s="12" t="n"/>
      <c r="N4901" s="12" t="n"/>
      <c r="O4901" s="12" t="n"/>
    </row>
    <row r="4902">
      <c r="A4902" s="12" t="n"/>
      <c r="B4902" s="13">
        <f>IF($A4902="","",IFERROR(INDEX(Emp_Names,MATCH($A4902,Emp_Codes,0)),"NOT FOUND"))</f>
        <v/>
      </c>
      <c r="C4902" s="14" t="n"/>
      <c r="D4902" s="15" t="n"/>
      <c r="E4902" s="15" t="n"/>
      <c r="F4902" s="15" t="n"/>
      <c r="G4902" s="15" t="n"/>
      <c r="H4902" s="16">
        <f>IF($A4902="","",$D4902+IF($E4902="",0,$E4902)+IF($F4902="",0,$F4902)-IF($G4902="",0,$G4902))</f>
        <v/>
      </c>
      <c r="I4902" s="12" t="n"/>
      <c r="J4902" s="12" t="n"/>
      <c r="K4902" s="12" t="n"/>
      <c r="L4902" s="14" t="n"/>
      <c r="M4902" s="12" t="n"/>
      <c r="N4902" s="12" t="n"/>
      <c r="O4902" s="12" t="n"/>
    </row>
    <row r="4903">
      <c r="A4903" s="12" t="n"/>
      <c r="B4903" s="13">
        <f>IF($A4903="","",IFERROR(INDEX(Emp_Names,MATCH($A4903,Emp_Codes,0)),"NOT FOUND"))</f>
        <v/>
      </c>
      <c r="C4903" s="14" t="n"/>
      <c r="D4903" s="15" t="n"/>
      <c r="E4903" s="15" t="n"/>
      <c r="F4903" s="15" t="n"/>
      <c r="G4903" s="15" t="n"/>
      <c r="H4903" s="16">
        <f>IF($A4903="","",$D4903+IF($E4903="",0,$E4903)+IF($F4903="",0,$F4903)-IF($G4903="",0,$G4903))</f>
        <v/>
      </c>
      <c r="I4903" s="12" t="n"/>
      <c r="J4903" s="12" t="n"/>
      <c r="K4903" s="12" t="n"/>
      <c r="L4903" s="14" t="n"/>
      <c r="M4903" s="12" t="n"/>
      <c r="N4903" s="12" t="n"/>
      <c r="O4903" s="12" t="n"/>
    </row>
    <row r="4904">
      <c r="A4904" s="12" t="n"/>
      <c r="B4904" s="13">
        <f>IF($A4904="","",IFERROR(INDEX(Emp_Names,MATCH($A4904,Emp_Codes,0)),"NOT FOUND"))</f>
        <v/>
      </c>
      <c r="C4904" s="14" t="n"/>
      <c r="D4904" s="15" t="n"/>
      <c r="E4904" s="15" t="n"/>
      <c r="F4904" s="15" t="n"/>
      <c r="G4904" s="15" t="n"/>
      <c r="H4904" s="16">
        <f>IF($A4904="","",$D4904+IF($E4904="",0,$E4904)+IF($F4904="",0,$F4904)-IF($G4904="",0,$G4904))</f>
        <v/>
      </c>
      <c r="I4904" s="12" t="n"/>
      <c r="J4904" s="12" t="n"/>
      <c r="K4904" s="12" t="n"/>
      <c r="L4904" s="14" t="n"/>
      <c r="M4904" s="12" t="n"/>
      <c r="N4904" s="12" t="n"/>
      <c r="O4904" s="12" t="n"/>
    </row>
    <row r="4905">
      <c r="A4905" s="12" t="n"/>
      <c r="B4905" s="13">
        <f>IF($A4905="","",IFERROR(INDEX(Emp_Names,MATCH($A4905,Emp_Codes,0)),"NOT FOUND"))</f>
        <v/>
      </c>
      <c r="C4905" s="14" t="n"/>
      <c r="D4905" s="15" t="n"/>
      <c r="E4905" s="15" t="n"/>
      <c r="F4905" s="15" t="n"/>
      <c r="G4905" s="15" t="n"/>
      <c r="H4905" s="16">
        <f>IF($A4905="","",$D4905+IF($E4905="",0,$E4905)+IF($F4905="",0,$F4905)-IF($G4905="",0,$G4905))</f>
        <v/>
      </c>
      <c r="I4905" s="12" t="n"/>
      <c r="J4905" s="12" t="n"/>
      <c r="K4905" s="12" t="n"/>
      <c r="L4905" s="14" t="n"/>
      <c r="M4905" s="12" t="n"/>
      <c r="N4905" s="12" t="n"/>
      <c r="O4905" s="12" t="n"/>
    </row>
    <row r="4906">
      <c r="A4906" s="12" t="n"/>
      <c r="B4906" s="13">
        <f>IF($A4906="","",IFERROR(INDEX(Emp_Names,MATCH($A4906,Emp_Codes,0)),"NOT FOUND"))</f>
        <v/>
      </c>
      <c r="C4906" s="14" t="n"/>
      <c r="D4906" s="15" t="n"/>
      <c r="E4906" s="15" t="n"/>
      <c r="F4906" s="15" t="n"/>
      <c r="G4906" s="15" t="n"/>
      <c r="H4906" s="16">
        <f>IF($A4906="","",$D4906+IF($E4906="",0,$E4906)+IF($F4906="",0,$F4906)-IF($G4906="",0,$G4906))</f>
        <v/>
      </c>
      <c r="I4906" s="12" t="n"/>
      <c r="J4906" s="12" t="n"/>
      <c r="K4906" s="12" t="n"/>
      <c r="L4906" s="14" t="n"/>
      <c r="M4906" s="12" t="n"/>
      <c r="N4906" s="12" t="n"/>
      <c r="O4906" s="12" t="n"/>
    </row>
    <row r="4907">
      <c r="A4907" s="12" t="n"/>
      <c r="B4907" s="13">
        <f>IF($A4907="","",IFERROR(INDEX(Emp_Names,MATCH($A4907,Emp_Codes,0)),"NOT FOUND"))</f>
        <v/>
      </c>
      <c r="C4907" s="14" t="n"/>
      <c r="D4907" s="15" t="n"/>
      <c r="E4907" s="15" t="n"/>
      <c r="F4907" s="15" t="n"/>
      <c r="G4907" s="15" t="n"/>
      <c r="H4907" s="16">
        <f>IF($A4907="","",$D4907+IF($E4907="",0,$E4907)+IF($F4907="",0,$F4907)-IF($G4907="",0,$G4907))</f>
        <v/>
      </c>
      <c r="I4907" s="12" t="n"/>
      <c r="J4907" s="12" t="n"/>
      <c r="K4907" s="12" t="n"/>
      <c r="L4907" s="14" t="n"/>
      <c r="M4907" s="12" t="n"/>
      <c r="N4907" s="12" t="n"/>
      <c r="O4907" s="12" t="n"/>
    </row>
    <row r="4908">
      <c r="A4908" s="12" t="n"/>
      <c r="B4908" s="13">
        <f>IF($A4908="","",IFERROR(INDEX(Emp_Names,MATCH($A4908,Emp_Codes,0)),"NOT FOUND"))</f>
        <v/>
      </c>
      <c r="C4908" s="14" t="n"/>
      <c r="D4908" s="15" t="n"/>
      <c r="E4908" s="15" t="n"/>
      <c r="F4908" s="15" t="n"/>
      <c r="G4908" s="15" t="n"/>
      <c r="H4908" s="16">
        <f>IF($A4908="","",$D4908+IF($E4908="",0,$E4908)+IF($F4908="",0,$F4908)-IF($G4908="",0,$G4908))</f>
        <v/>
      </c>
      <c r="I4908" s="12" t="n"/>
      <c r="J4908" s="12" t="n"/>
      <c r="K4908" s="12" t="n"/>
      <c r="L4908" s="14" t="n"/>
      <c r="M4908" s="12" t="n"/>
      <c r="N4908" s="12" t="n"/>
      <c r="O4908" s="12" t="n"/>
    </row>
    <row r="4909">
      <c r="A4909" s="12" t="n"/>
      <c r="B4909" s="13">
        <f>IF($A4909="","",IFERROR(INDEX(Emp_Names,MATCH($A4909,Emp_Codes,0)),"NOT FOUND"))</f>
        <v/>
      </c>
      <c r="C4909" s="14" t="n"/>
      <c r="D4909" s="15" t="n"/>
      <c r="E4909" s="15" t="n"/>
      <c r="F4909" s="15" t="n"/>
      <c r="G4909" s="15" t="n"/>
      <c r="H4909" s="16">
        <f>IF($A4909="","",$D4909+IF($E4909="",0,$E4909)+IF($F4909="",0,$F4909)-IF($G4909="",0,$G4909))</f>
        <v/>
      </c>
      <c r="I4909" s="12" t="n"/>
      <c r="J4909" s="12" t="n"/>
      <c r="K4909" s="12" t="n"/>
      <c r="L4909" s="14" t="n"/>
      <c r="M4909" s="12" t="n"/>
      <c r="N4909" s="12" t="n"/>
      <c r="O4909" s="12" t="n"/>
    </row>
    <row r="4910">
      <c r="A4910" s="12" t="n"/>
      <c r="B4910" s="13">
        <f>IF($A4910="","",IFERROR(INDEX(Emp_Names,MATCH($A4910,Emp_Codes,0)),"NOT FOUND"))</f>
        <v/>
      </c>
      <c r="C4910" s="14" t="n"/>
      <c r="D4910" s="15" t="n"/>
      <c r="E4910" s="15" t="n"/>
      <c r="F4910" s="15" t="n"/>
      <c r="G4910" s="15" t="n"/>
      <c r="H4910" s="16">
        <f>IF($A4910="","",$D4910+IF($E4910="",0,$E4910)+IF($F4910="",0,$F4910)-IF($G4910="",0,$G4910))</f>
        <v/>
      </c>
      <c r="I4910" s="12" t="n"/>
      <c r="J4910" s="12" t="n"/>
      <c r="K4910" s="12" t="n"/>
      <c r="L4910" s="14" t="n"/>
      <c r="M4910" s="12" t="n"/>
      <c r="N4910" s="12" t="n"/>
      <c r="O4910" s="12" t="n"/>
    </row>
    <row r="4911">
      <c r="A4911" s="12" t="n"/>
      <c r="B4911" s="13">
        <f>IF($A4911="","",IFERROR(INDEX(Emp_Names,MATCH($A4911,Emp_Codes,0)),"NOT FOUND"))</f>
        <v/>
      </c>
      <c r="C4911" s="14" t="n"/>
      <c r="D4911" s="15" t="n"/>
      <c r="E4911" s="15" t="n"/>
      <c r="F4911" s="15" t="n"/>
      <c r="G4911" s="15" t="n"/>
      <c r="H4911" s="16">
        <f>IF($A4911="","",$D4911+IF($E4911="",0,$E4911)+IF($F4911="",0,$F4911)-IF($G4911="",0,$G4911))</f>
        <v/>
      </c>
      <c r="I4911" s="12" t="n"/>
      <c r="J4911" s="12" t="n"/>
      <c r="K4911" s="12" t="n"/>
      <c r="L4911" s="14" t="n"/>
      <c r="M4911" s="12" t="n"/>
      <c r="N4911" s="12" t="n"/>
      <c r="O4911" s="12" t="n"/>
    </row>
    <row r="4912">
      <c r="A4912" s="12" t="n"/>
      <c r="B4912" s="13">
        <f>IF($A4912="","",IFERROR(INDEX(Emp_Names,MATCH($A4912,Emp_Codes,0)),"NOT FOUND"))</f>
        <v/>
      </c>
      <c r="C4912" s="14" t="n"/>
      <c r="D4912" s="15" t="n"/>
      <c r="E4912" s="15" t="n"/>
      <c r="F4912" s="15" t="n"/>
      <c r="G4912" s="15" t="n"/>
      <c r="H4912" s="16">
        <f>IF($A4912="","",$D4912+IF($E4912="",0,$E4912)+IF($F4912="",0,$F4912)-IF($G4912="",0,$G4912))</f>
        <v/>
      </c>
      <c r="I4912" s="12" t="n"/>
      <c r="J4912" s="12" t="n"/>
      <c r="K4912" s="12" t="n"/>
      <c r="L4912" s="14" t="n"/>
      <c r="M4912" s="12" t="n"/>
      <c r="N4912" s="12" t="n"/>
      <c r="O4912" s="12" t="n"/>
    </row>
    <row r="4913">
      <c r="A4913" s="12" t="n"/>
      <c r="B4913" s="13">
        <f>IF($A4913="","",IFERROR(INDEX(Emp_Names,MATCH($A4913,Emp_Codes,0)),"NOT FOUND"))</f>
        <v/>
      </c>
      <c r="C4913" s="14" t="n"/>
      <c r="D4913" s="15" t="n"/>
      <c r="E4913" s="15" t="n"/>
      <c r="F4913" s="15" t="n"/>
      <c r="G4913" s="15" t="n"/>
      <c r="H4913" s="16">
        <f>IF($A4913="","",$D4913+IF($E4913="",0,$E4913)+IF($F4913="",0,$F4913)-IF($G4913="",0,$G4913))</f>
        <v/>
      </c>
      <c r="I4913" s="12" t="n"/>
      <c r="J4913" s="12" t="n"/>
      <c r="K4913" s="12" t="n"/>
      <c r="L4913" s="14" t="n"/>
      <c r="M4913" s="12" t="n"/>
      <c r="N4913" s="12" t="n"/>
      <c r="O4913" s="12" t="n"/>
    </row>
    <row r="4914">
      <c r="A4914" s="12" t="n"/>
      <c r="B4914" s="13">
        <f>IF($A4914="","",IFERROR(INDEX(Emp_Names,MATCH($A4914,Emp_Codes,0)),"NOT FOUND"))</f>
        <v/>
      </c>
      <c r="C4914" s="14" t="n"/>
      <c r="D4914" s="15" t="n"/>
      <c r="E4914" s="15" t="n"/>
      <c r="F4914" s="15" t="n"/>
      <c r="G4914" s="15" t="n"/>
      <c r="H4914" s="16">
        <f>IF($A4914="","",$D4914+IF($E4914="",0,$E4914)+IF($F4914="",0,$F4914)-IF($G4914="",0,$G4914))</f>
        <v/>
      </c>
      <c r="I4914" s="12" t="n"/>
      <c r="J4914" s="12" t="n"/>
      <c r="K4914" s="12" t="n"/>
      <c r="L4914" s="14" t="n"/>
      <c r="M4914" s="12" t="n"/>
      <c r="N4914" s="12" t="n"/>
      <c r="O4914" s="12" t="n"/>
    </row>
    <row r="4915">
      <c r="A4915" s="12" t="n"/>
      <c r="B4915" s="13">
        <f>IF($A4915="","",IFERROR(INDEX(Emp_Names,MATCH($A4915,Emp_Codes,0)),"NOT FOUND"))</f>
        <v/>
      </c>
      <c r="C4915" s="14" t="n"/>
      <c r="D4915" s="15" t="n"/>
      <c r="E4915" s="15" t="n"/>
      <c r="F4915" s="15" t="n"/>
      <c r="G4915" s="15" t="n"/>
      <c r="H4915" s="16">
        <f>IF($A4915="","",$D4915+IF($E4915="",0,$E4915)+IF($F4915="",0,$F4915)-IF($G4915="",0,$G4915))</f>
        <v/>
      </c>
      <c r="I4915" s="12" t="n"/>
      <c r="J4915" s="12" t="n"/>
      <c r="K4915" s="12" t="n"/>
      <c r="L4915" s="14" t="n"/>
      <c r="M4915" s="12" t="n"/>
      <c r="N4915" s="12" t="n"/>
      <c r="O4915" s="12" t="n"/>
    </row>
    <row r="4916">
      <c r="A4916" s="12" t="n"/>
      <c r="B4916" s="13">
        <f>IF($A4916="","",IFERROR(INDEX(Emp_Names,MATCH($A4916,Emp_Codes,0)),"NOT FOUND"))</f>
        <v/>
      </c>
      <c r="C4916" s="14" t="n"/>
      <c r="D4916" s="15" t="n"/>
      <c r="E4916" s="15" t="n"/>
      <c r="F4916" s="15" t="n"/>
      <c r="G4916" s="15" t="n"/>
      <c r="H4916" s="16">
        <f>IF($A4916="","",$D4916+IF($E4916="",0,$E4916)+IF($F4916="",0,$F4916)-IF($G4916="",0,$G4916))</f>
        <v/>
      </c>
      <c r="I4916" s="12" t="n"/>
      <c r="J4916" s="12" t="n"/>
      <c r="K4916" s="12" t="n"/>
      <c r="L4916" s="14" t="n"/>
      <c r="M4916" s="12" t="n"/>
      <c r="N4916" s="12" t="n"/>
      <c r="O4916" s="12" t="n"/>
    </row>
    <row r="4917">
      <c r="A4917" s="12" t="n"/>
      <c r="B4917" s="13">
        <f>IF($A4917="","",IFERROR(INDEX(Emp_Names,MATCH($A4917,Emp_Codes,0)),"NOT FOUND"))</f>
        <v/>
      </c>
      <c r="C4917" s="14" t="n"/>
      <c r="D4917" s="15" t="n"/>
      <c r="E4917" s="15" t="n"/>
      <c r="F4917" s="15" t="n"/>
      <c r="G4917" s="15" t="n"/>
      <c r="H4917" s="16">
        <f>IF($A4917="","",$D4917+IF($E4917="",0,$E4917)+IF($F4917="",0,$F4917)-IF($G4917="",0,$G4917))</f>
        <v/>
      </c>
      <c r="I4917" s="12" t="n"/>
      <c r="J4917" s="12" t="n"/>
      <c r="K4917" s="12" t="n"/>
      <c r="L4917" s="14" t="n"/>
      <c r="M4917" s="12" t="n"/>
      <c r="N4917" s="12" t="n"/>
      <c r="O4917" s="12" t="n"/>
    </row>
    <row r="4918">
      <c r="A4918" s="12" t="n"/>
      <c r="B4918" s="13">
        <f>IF($A4918="","",IFERROR(INDEX(Emp_Names,MATCH($A4918,Emp_Codes,0)),"NOT FOUND"))</f>
        <v/>
      </c>
      <c r="C4918" s="14" t="n"/>
      <c r="D4918" s="15" t="n"/>
      <c r="E4918" s="15" t="n"/>
      <c r="F4918" s="15" t="n"/>
      <c r="G4918" s="15" t="n"/>
      <c r="H4918" s="16">
        <f>IF($A4918="","",$D4918+IF($E4918="",0,$E4918)+IF($F4918="",0,$F4918)-IF($G4918="",0,$G4918))</f>
        <v/>
      </c>
      <c r="I4918" s="12" t="n"/>
      <c r="J4918" s="12" t="n"/>
      <c r="K4918" s="12" t="n"/>
      <c r="L4918" s="14" t="n"/>
      <c r="M4918" s="12" t="n"/>
      <c r="N4918" s="12" t="n"/>
      <c r="O4918" s="12" t="n"/>
    </row>
    <row r="4919">
      <c r="A4919" s="12" t="n"/>
      <c r="B4919" s="13">
        <f>IF($A4919="","",IFERROR(INDEX(Emp_Names,MATCH($A4919,Emp_Codes,0)),"NOT FOUND"))</f>
        <v/>
      </c>
      <c r="C4919" s="14" t="n"/>
      <c r="D4919" s="15" t="n"/>
      <c r="E4919" s="15" t="n"/>
      <c r="F4919" s="15" t="n"/>
      <c r="G4919" s="15" t="n"/>
      <c r="H4919" s="16">
        <f>IF($A4919="","",$D4919+IF($E4919="",0,$E4919)+IF($F4919="",0,$F4919)-IF($G4919="",0,$G4919))</f>
        <v/>
      </c>
      <c r="I4919" s="12" t="n"/>
      <c r="J4919" s="12" t="n"/>
      <c r="K4919" s="12" t="n"/>
      <c r="L4919" s="14" t="n"/>
      <c r="M4919" s="12" t="n"/>
      <c r="N4919" s="12" t="n"/>
      <c r="O4919" s="12" t="n"/>
    </row>
    <row r="4920">
      <c r="A4920" s="12" t="n"/>
      <c r="B4920" s="13">
        <f>IF($A4920="","",IFERROR(INDEX(Emp_Names,MATCH($A4920,Emp_Codes,0)),"NOT FOUND"))</f>
        <v/>
      </c>
      <c r="C4920" s="14" t="n"/>
      <c r="D4920" s="15" t="n"/>
      <c r="E4920" s="15" t="n"/>
      <c r="F4920" s="15" t="n"/>
      <c r="G4920" s="15" t="n"/>
      <c r="H4920" s="16">
        <f>IF($A4920="","",$D4920+IF($E4920="",0,$E4920)+IF($F4920="",0,$F4920)-IF($G4920="",0,$G4920))</f>
        <v/>
      </c>
      <c r="I4920" s="12" t="n"/>
      <c r="J4920" s="12" t="n"/>
      <c r="K4920" s="12" t="n"/>
      <c r="L4920" s="14" t="n"/>
      <c r="M4920" s="12" t="n"/>
      <c r="N4920" s="12" t="n"/>
      <c r="O4920" s="12" t="n"/>
    </row>
    <row r="4921">
      <c r="A4921" s="12" t="n"/>
      <c r="B4921" s="13">
        <f>IF($A4921="","",IFERROR(INDEX(Emp_Names,MATCH($A4921,Emp_Codes,0)),"NOT FOUND"))</f>
        <v/>
      </c>
      <c r="C4921" s="14" t="n"/>
      <c r="D4921" s="15" t="n"/>
      <c r="E4921" s="15" t="n"/>
      <c r="F4921" s="15" t="n"/>
      <c r="G4921" s="15" t="n"/>
      <c r="H4921" s="16">
        <f>IF($A4921="","",$D4921+IF($E4921="",0,$E4921)+IF($F4921="",0,$F4921)-IF($G4921="",0,$G4921))</f>
        <v/>
      </c>
      <c r="I4921" s="12" t="n"/>
      <c r="J4921" s="12" t="n"/>
      <c r="K4921" s="12" t="n"/>
      <c r="L4921" s="14" t="n"/>
      <c r="M4921" s="12" t="n"/>
      <c r="N4921" s="12" t="n"/>
      <c r="O4921" s="12" t="n"/>
    </row>
    <row r="4922">
      <c r="A4922" s="12" t="n"/>
      <c r="B4922" s="13">
        <f>IF($A4922="","",IFERROR(INDEX(Emp_Names,MATCH($A4922,Emp_Codes,0)),"NOT FOUND"))</f>
        <v/>
      </c>
      <c r="C4922" s="14" t="n"/>
      <c r="D4922" s="15" t="n"/>
      <c r="E4922" s="15" t="n"/>
      <c r="F4922" s="15" t="n"/>
      <c r="G4922" s="15" t="n"/>
      <c r="H4922" s="16">
        <f>IF($A4922="","",$D4922+IF($E4922="",0,$E4922)+IF($F4922="",0,$F4922)-IF($G4922="",0,$G4922))</f>
        <v/>
      </c>
      <c r="I4922" s="12" t="n"/>
      <c r="J4922" s="12" t="n"/>
      <c r="K4922" s="12" t="n"/>
      <c r="L4922" s="14" t="n"/>
      <c r="M4922" s="12" t="n"/>
      <c r="N4922" s="12" t="n"/>
      <c r="O4922" s="12" t="n"/>
    </row>
    <row r="4923">
      <c r="A4923" s="12" t="n"/>
      <c r="B4923" s="13">
        <f>IF($A4923="","",IFERROR(INDEX(Emp_Names,MATCH($A4923,Emp_Codes,0)),"NOT FOUND"))</f>
        <v/>
      </c>
      <c r="C4923" s="14" t="n"/>
      <c r="D4923" s="15" t="n"/>
      <c r="E4923" s="15" t="n"/>
      <c r="F4923" s="15" t="n"/>
      <c r="G4923" s="15" t="n"/>
      <c r="H4923" s="16">
        <f>IF($A4923="","",$D4923+IF($E4923="",0,$E4923)+IF($F4923="",0,$F4923)-IF($G4923="",0,$G4923))</f>
        <v/>
      </c>
      <c r="I4923" s="12" t="n"/>
      <c r="J4923" s="12" t="n"/>
      <c r="K4923" s="12" t="n"/>
      <c r="L4923" s="14" t="n"/>
      <c r="M4923" s="12" t="n"/>
      <c r="N4923" s="12" t="n"/>
      <c r="O4923" s="12" t="n"/>
    </row>
    <row r="4924">
      <c r="A4924" s="12" t="n"/>
      <c r="B4924" s="13">
        <f>IF($A4924="","",IFERROR(INDEX(Emp_Names,MATCH($A4924,Emp_Codes,0)),"NOT FOUND"))</f>
        <v/>
      </c>
      <c r="C4924" s="14" t="n"/>
      <c r="D4924" s="15" t="n"/>
      <c r="E4924" s="15" t="n"/>
      <c r="F4924" s="15" t="n"/>
      <c r="G4924" s="15" t="n"/>
      <c r="H4924" s="16">
        <f>IF($A4924="","",$D4924+IF($E4924="",0,$E4924)+IF($F4924="",0,$F4924)-IF($G4924="",0,$G4924))</f>
        <v/>
      </c>
      <c r="I4924" s="12" t="n"/>
      <c r="J4924" s="12" t="n"/>
      <c r="K4924" s="12" t="n"/>
      <c r="L4924" s="14" t="n"/>
      <c r="M4924" s="12" t="n"/>
      <c r="N4924" s="12" t="n"/>
      <c r="O4924" s="12" t="n"/>
    </row>
    <row r="4925">
      <c r="A4925" s="12" t="n"/>
      <c r="B4925" s="13">
        <f>IF($A4925="","",IFERROR(INDEX(Emp_Names,MATCH($A4925,Emp_Codes,0)),"NOT FOUND"))</f>
        <v/>
      </c>
      <c r="C4925" s="14" t="n"/>
      <c r="D4925" s="15" t="n"/>
      <c r="E4925" s="15" t="n"/>
      <c r="F4925" s="15" t="n"/>
      <c r="G4925" s="15" t="n"/>
      <c r="H4925" s="16">
        <f>IF($A4925="","",$D4925+IF($E4925="",0,$E4925)+IF($F4925="",0,$F4925)-IF($G4925="",0,$G4925))</f>
        <v/>
      </c>
      <c r="I4925" s="12" t="n"/>
      <c r="J4925" s="12" t="n"/>
      <c r="K4925" s="12" t="n"/>
      <c r="L4925" s="14" t="n"/>
      <c r="M4925" s="12" t="n"/>
      <c r="N4925" s="12" t="n"/>
      <c r="O4925" s="12" t="n"/>
    </row>
    <row r="4926">
      <c r="A4926" s="12" t="n"/>
      <c r="B4926" s="13">
        <f>IF($A4926="","",IFERROR(INDEX(Emp_Names,MATCH($A4926,Emp_Codes,0)),"NOT FOUND"))</f>
        <v/>
      </c>
      <c r="C4926" s="14" t="n"/>
      <c r="D4926" s="15" t="n"/>
      <c r="E4926" s="15" t="n"/>
      <c r="F4926" s="15" t="n"/>
      <c r="G4926" s="15" t="n"/>
      <c r="H4926" s="16">
        <f>IF($A4926="","",$D4926+IF($E4926="",0,$E4926)+IF($F4926="",0,$F4926)-IF($G4926="",0,$G4926))</f>
        <v/>
      </c>
      <c r="I4926" s="12" t="n"/>
      <c r="J4926" s="12" t="n"/>
      <c r="K4926" s="12" t="n"/>
      <c r="L4926" s="14" t="n"/>
      <c r="M4926" s="12" t="n"/>
      <c r="N4926" s="12" t="n"/>
      <c r="O4926" s="12" t="n"/>
    </row>
    <row r="4927">
      <c r="A4927" s="12" t="n"/>
      <c r="B4927" s="13">
        <f>IF($A4927="","",IFERROR(INDEX(Emp_Names,MATCH($A4927,Emp_Codes,0)),"NOT FOUND"))</f>
        <v/>
      </c>
      <c r="C4927" s="14" t="n"/>
      <c r="D4927" s="15" t="n"/>
      <c r="E4927" s="15" t="n"/>
      <c r="F4927" s="15" t="n"/>
      <c r="G4927" s="15" t="n"/>
      <c r="H4927" s="16">
        <f>IF($A4927="","",$D4927+IF($E4927="",0,$E4927)+IF($F4927="",0,$F4927)-IF($G4927="",0,$G4927))</f>
        <v/>
      </c>
      <c r="I4927" s="12" t="n"/>
      <c r="J4927" s="12" t="n"/>
      <c r="K4927" s="12" t="n"/>
      <c r="L4927" s="14" t="n"/>
      <c r="M4927" s="12" t="n"/>
      <c r="N4927" s="12" t="n"/>
      <c r="O4927" s="12" t="n"/>
    </row>
    <row r="4928">
      <c r="A4928" s="12" t="n"/>
      <c r="B4928" s="13">
        <f>IF($A4928="","",IFERROR(INDEX(Emp_Names,MATCH($A4928,Emp_Codes,0)),"NOT FOUND"))</f>
        <v/>
      </c>
      <c r="C4928" s="14" t="n"/>
      <c r="D4928" s="15" t="n"/>
      <c r="E4928" s="15" t="n"/>
      <c r="F4928" s="15" t="n"/>
      <c r="G4928" s="15" t="n"/>
      <c r="H4928" s="16">
        <f>IF($A4928="","",$D4928+IF($E4928="",0,$E4928)+IF($F4928="",0,$F4928)-IF($G4928="",0,$G4928))</f>
        <v/>
      </c>
      <c r="I4928" s="12" t="n"/>
      <c r="J4928" s="12" t="n"/>
      <c r="K4928" s="12" t="n"/>
      <c r="L4928" s="14" t="n"/>
      <c r="M4928" s="12" t="n"/>
      <c r="N4928" s="12" t="n"/>
      <c r="O4928" s="12" t="n"/>
    </row>
    <row r="4929">
      <c r="A4929" s="12" t="n"/>
      <c r="B4929" s="13">
        <f>IF($A4929="","",IFERROR(INDEX(Emp_Names,MATCH($A4929,Emp_Codes,0)),"NOT FOUND"))</f>
        <v/>
      </c>
      <c r="C4929" s="14" t="n"/>
      <c r="D4929" s="15" t="n"/>
      <c r="E4929" s="15" t="n"/>
      <c r="F4929" s="15" t="n"/>
      <c r="G4929" s="15" t="n"/>
      <c r="H4929" s="16">
        <f>IF($A4929="","",$D4929+IF($E4929="",0,$E4929)+IF($F4929="",0,$F4929)-IF($G4929="",0,$G4929))</f>
        <v/>
      </c>
      <c r="I4929" s="12" t="n"/>
      <c r="J4929" s="12" t="n"/>
      <c r="K4929" s="12" t="n"/>
      <c r="L4929" s="14" t="n"/>
      <c r="M4929" s="12" t="n"/>
      <c r="N4929" s="12" t="n"/>
      <c r="O4929" s="12" t="n"/>
    </row>
    <row r="4930">
      <c r="A4930" s="12" t="n"/>
      <c r="B4930" s="13">
        <f>IF($A4930="","",IFERROR(INDEX(Emp_Names,MATCH($A4930,Emp_Codes,0)),"NOT FOUND"))</f>
        <v/>
      </c>
      <c r="C4930" s="14" t="n"/>
      <c r="D4930" s="15" t="n"/>
      <c r="E4930" s="15" t="n"/>
      <c r="F4930" s="15" t="n"/>
      <c r="G4930" s="15" t="n"/>
      <c r="H4930" s="16">
        <f>IF($A4930="","",$D4930+IF($E4930="",0,$E4930)+IF($F4930="",0,$F4930)-IF($G4930="",0,$G4930))</f>
        <v/>
      </c>
      <c r="I4930" s="12" t="n"/>
      <c r="J4930" s="12" t="n"/>
      <c r="K4930" s="12" t="n"/>
      <c r="L4930" s="14" t="n"/>
      <c r="M4930" s="12" t="n"/>
      <c r="N4930" s="12" t="n"/>
      <c r="O4930" s="12" t="n"/>
    </row>
    <row r="4931">
      <c r="A4931" s="12" t="n"/>
      <c r="B4931" s="13">
        <f>IF($A4931="","",IFERROR(INDEX(Emp_Names,MATCH($A4931,Emp_Codes,0)),"NOT FOUND"))</f>
        <v/>
      </c>
      <c r="C4931" s="14" t="n"/>
      <c r="D4931" s="15" t="n"/>
      <c r="E4931" s="15" t="n"/>
      <c r="F4931" s="15" t="n"/>
      <c r="G4931" s="15" t="n"/>
      <c r="H4931" s="16">
        <f>IF($A4931="","",$D4931+IF($E4931="",0,$E4931)+IF($F4931="",0,$F4931)-IF($G4931="",0,$G4931))</f>
        <v/>
      </c>
      <c r="I4931" s="12" t="n"/>
      <c r="J4931" s="12" t="n"/>
      <c r="K4931" s="12" t="n"/>
      <c r="L4931" s="14" t="n"/>
      <c r="M4931" s="12" t="n"/>
      <c r="N4931" s="12" t="n"/>
      <c r="O4931" s="12" t="n"/>
    </row>
    <row r="4932">
      <c r="A4932" s="12" t="n"/>
      <c r="B4932" s="13">
        <f>IF($A4932="","",IFERROR(INDEX(Emp_Names,MATCH($A4932,Emp_Codes,0)),"NOT FOUND"))</f>
        <v/>
      </c>
      <c r="C4932" s="14" t="n"/>
      <c r="D4932" s="15" t="n"/>
      <c r="E4932" s="15" t="n"/>
      <c r="F4932" s="15" t="n"/>
      <c r="G4932" s="15" t="n"/>
      <c r="H4932" s="16">
        <f>IF($A4932="","",$D4932+IF($E4932="",0,$E4932)+IF($F4932="",0,$F4932)-IF($G4932="",0,$G4932))</f>
        <v/>
      </c>
      <c r="I4932" s="12" t="n"/>
      <c r="J4932" s="12" t="n"/>
      <c r="K4932" s="12" t="n"/>
      <c r="L4932" s="14" t="n"/>
      <c r="M4932" s="12" t="n"/>
      <c r="N4932" s="12" t="n"/>
      <c r="O4932" s="12" t="n"/>
    </row>
    <row r="4933">
      <c r="A4933" s="12" t="n"/>
      <c r="B4933" s="13">
        <f>IF($A4933="","",IFERROR(INDEX(Emp_Names,MATCH($A4933,Emp_Codes,0)),"NOT FOUND"))</f>
        <v/>
      </c>
      <c r="C4933" s="14" t="n"/>
      <c r="D4933" s="15" t="n"/>
      <c r="E4933" s="15" t="n"/>
      <c r="F4933" s="15" t="n"/>
      <c r="G4933" s="15" t="n"/>
      <c r="H4933" s="16">
        <f>IF($A4933="","",$D4933+IF($E4933="",0,$E4933)+IF($F4933="",0,$F4933)-IF($G4933="",0,$G4933))</f>
        <v/>
      </c>
      <c r="I4933" s="12" t="n"/>
      <c r="J4933" s="12" t="n"/>
      <c r="K4933" s="12" t="n"/>
      <c r="L4933" s="14" t="n"/>
      <c r="M4933" s="12" t="n"/>
      <c r="N4933" s="12" t="n"/>
      <c r="O4933" s="12" t="n"/>
    </row>
    <row r="4934">
      <c r="A4934" s="12" t="n"/>
      <c r="B4934" s="13">
        <f>IF($A4934="","",IFERROR(INDEX(Emp_Names,MATCH($A4934,Emp_Codes,0)),"NOT FOUND"))</f>
        <v/>
      </c>
      <c r="C4934" s="14" t="n"/>
      <c r="D4934" s="15" t="n"/>
      <c r="E4934" s="15" t="n"/>
      <c r="F4934" s="15" t="n"/>
      <c r="G4934" s="15" t="n"/>
      <c r="H4934" s="16">
        <f>IF($A4934="","",$D4934+IF($E4934="",0,$E4934)+IF($F4934="",0,$F4934)-IF($G4934="",0,$G4934))</f>
        <v/>
      </c>
      <c r="I4934" s="12" t="n"/>
      <c r="J4934" s="12" t="n"/>
      <c r="K4934" s="12" t="n"/>
      <c r="L4934" s="14" t="n"/>
      <c r="M4934" s="12" t="n"/>
      <c r="N4934" s="12" t="n"/>
      <c r="O4934" s="12" t="n"/>
    </row>
    <row r="4935">
      <c r="A4935" s="12" t="n"/>
      <c r="B4935" s="13">
        <f>IF($A4935="","",IFERROR(INDEX(Emp_Names,MATCH($A4935,Emp_Codes,0)),"NOT FOUND"))</f>
        <v/>
      </c>
      <c r="C4935" s="14" t="n"/>
      <c r="D4935" s="15" t="n"/>
      <c r="E4935" s="15" t="n"/>
      <c r="F4935" s="15" t="n"/>
      <c r="G4935" s="15" t="n"/>
      <c r="H4935" s="16">
        <f>IF($A4935="","",$D4935+IF($E4935="",0,$E4935)+IF($F4935="",0,$F4935)-IF($G4935="",0,$G4935))</f>
        <v/>
      </c>
      <c r="I4935" s="12" t="n"/>
      <c r="J4935" s="12" t="n"/>
      <c r="K4935" s="12" t="n"/>
      <c r="L4935" s="14" t="n"/>
      <c r="M4935" s="12" t="n"/>
      <c r="N4935" s="12" t="n"/>
      <c r="O4935" s="12" t="n"/>
    </row>
    <row r="4936">
      <c r="A4936" s="12" t="n"/>
      <c r="B4936" s="13">
        <f>IF($A4936="","",IFERROR(INDEX(Emp_Names,MATCH($A4936,Emp_Codes,0)),"NOT FOUND"))</f>
        <v/>
      </c>
      <c r="C4936" s="14" t="n"/>
      <c r="D4936" s="15" t="n"/>
      <c r="E4936" s="15" t="n"/>
      <c r="F4936" s="15" t="n"/>
      <c r="G4936" s="15" t="n"/>
      <c r="H4936" s="16">
        <f>IF($A4936="","",$D4936+IF($E4936="",0,$E4936)+IF($F4936="",0,$F4936)-IF($G4936="",0,$G4936))</f>
        <v/>
      </c>
      <c r="I4936" s="12" t="n"/>
      <c r="J4936" s="12" t="n"/>
      <c r="K4936" s="12" t="n"/>
      <c r="L4936" s="14" t="n"/>
      <c r="M4936" s="12" t="n"/>
      <c r="N4936" s="12" t="n"/>
      <c r="O4936" s="12" t="n"/>
    </row>
    <row r="4937">
      <c r="A4937" s="12" t="n"/>
      <c r="B4937" s="13">
        <f>IF($A4937="","",IFERROR(INDEX(Emp_Names,MATCH($A4937,Emp_Codes,0)),"NOT FOUND"))</f>
        <v/>
      </c>
      <c r="C4937" s="14" t="n"/>
      <c r="D4937" s="15" t="n"/>
      <c r="E4937" s="15" t="n"/>
      <c r="F4937" s="15" t="n"/>
      <c r="G4937" s="15" t="n"/>
      <c r="H4937" s="16">
        <f>IF($A4937="","",$D4937+IF($E4937="",0,$E4937)+IF($F4937="",0,$F4937)-IF($G4937="",0,$G4937))</f>
        <v/>
      </c>
      <c r="I4937" s="12" t="n"/>
      <c r="J4937" s="12" t="n"/>
      <c r="K4937" s="12" t="n"/>
      <c r="L4937" s="14" t="n"/>
      <c r="M4937" s="12" t="n"/>
      <c r="N4937" s="12" t="n"/>
      <c r="O4937" s="12" t="n"/>
    </row>
    <row r="4938">
      <c r="A4938" s="12" t="n"/>
      <c r="B4938" s="13">
        <f>IF($A4938="","",IFERROR(INDEX(Emp_Names,MATCH($A4938,Emp_Codes,0)),"NOT FOUND"))</f>
        <v/>
      </c>
      <c r="C4938" s="14" t="n"/>
      <c r="D4938" s="15" t="n"/>
      <c r="E4938" s="15" t="n"/>
      <c r="F4938" s="15" t="n"/>
      <c r="G4938" s="15" t="n"/>
      <c r="H4938" s="16">
        <f>IF($A4938="","",$D4938+IF($E4938="",0,$E4938)+IF($F4938="",0,$F4938)-IF($G4938="",0,$G4938))</f>
        <v/>
      </c>
      <c r="I4938" s="12" t="n"/>
      <c r="J4938" s="12" t="n"/>
      <c r="K4938" s="12" t="n"/>
      <c r="L4938" s="14" t="n"/>
      <c r="M4938" s="12" t="n"/>
      <c r="N4938" s="12" t="n"/>
      <c r="O4938" s="12" t="n"/>
    </row>
    <row r="4939">
      <c r="A4939" s="12" t="n"/>
      <c r="B4939" s="13">
        <f>IF($A4939="","",IFERROR(INDEX(Emp_Names,MATCH($A4939,Emp_Codes,0)),"NOT FOUND"))</f>
        <v/>
      </c>
      <c r="C4939" s="14" t="n"/>
      <c r="D4939" s="15" t="n"/>
      <c r="E4939" s="15" t="n"/>
      <c r="F4939" s="15" t="n"/>
      <c r="G4939" s="15" t="n"/>
      <c r="H4939" s="16">
        <f>IF($A4939="","",$D4939+IF($E4939="",0,$E4939)+IF($F4939="",0,$F4939)-IF($G4939="",0,$G4939))</f>
        <v/>
      </c>
      <c r="I4939" s="12" t="n"/>
      <c r="J4939" s="12" t="n"/>
      <c r="K4939" s="12" t="n"/>
      <c r="L4939" s="14" t="n"/>
      <c r="M4939" s="12" t="n"/>
      <c r="N4939" s="12" t="n"/>
      <c r="O4939" s="12" t="n"/>
    </row>
    <row r="4940">
      <c r="A4940" s="12" t="n"/>
      <c r="B4940" s="13">
        <f>IF($A4940="","",IFERROR(INDEX(Emp_Names,MATCH($A4940,Emp_Codes,0)),"NOT FOUND"))</f>
        <v/>
      </c>
      <c r="C4940" s="14" t="n"/>
      <c r="D4940" s="15" t="n"/>
      <c r="E4940" s="15" t="n"/>
      <c r="F4940" s="15" t="n"/>
      <c r="G4940" s="15" t="n"/>
      <c r="H4940" s="16">
        <f>IF($A4940="","",$D4940+IF($E4940="",0,$E4940)+IF($F4940="",0,$F4940)-IF($G4940="",0,$G4940))</f>
        <v/>
      </c>
      <c r="I4940" s="12" t="n"/>
      <c r="J4940" s="12" t="n"/>
      <c r="K4940" s="12" t="n"/>
      <c r="L4940" s="14" t="n"/>
      <c r="M4940" s="12" t="n"/>
      <c r="N4940" s="12" t="n"/>
      <c r="O4940" s="12" t="n"/>
    </row>
    <row r="4941">
      <c r="A4941" s="12" t="n"/>
      <c r="B4941" s="13">
        <f>IF($A4941="","",IFERROR(INDEX(Emp_Names,MATCH($A4941,Emp_Codes,0)),"NOT FOUND"))</f>
        <v/>
      </c>
      <c r="C4941" s="14" t="n"/>
      <c r="D4941" s="15" t="n"/>
      <c r="E4941" s="15" t="n"/>
      <c r="F4941" s="15" t="n"/>
      <c r="G4941" s="15" t="n"/>
      <c r="H4941" s="16">
        <f>IF($A4941="","",$D4941+IF($E4941="",0,$E4941)+IF($F4941="",0,$F4941)-IF($G4941="",0,$G4941))</f>
        <v/>
      </c>
      <c r="I4941" s="12" t="n"/>
      <c r="J4941" s="12" t="n"/>
      <c r="K4941" s="12" t="n"/>
      <c r="L4941" s="14" t="n"/>
      <c r="M4941" s="12" t="n"/>
      <c r="N4941" s="12" t="n"/>
      <c r="O4941" s="12" t="n"/>
    </row>
    <row r="4942">
      <c r="A4942" s="12" t="n"/>
      <c r="B4942" s="13">
        <f>IF($A4942="","",IFERROR(INDEX(Emp_Names,MATCH($A4942,Emp_Codes,0)),"NOT FOUND"))</f>
        <v/>
      </c>
      <c r="C4942" s="14" t="n"/>
      <c r="D4942" s="15" t="n"/>
      <c r="E4942" s="15" t="n"/>
      <c r="F4942" s="15" t="n"/>
      <c r="G4942" s="15" t="n"/>
      <c r="H4942" s="16">
        <f>IF($A4942="","",$D4942+IF($E4942="",0,$E4942)+IF($F4942="",0,$F4942)-IF($G4942="",0,$G4942))</f>
        <v/>
      </c>
      <c r="I4942" s="12" t="n"/>
      <c r="J4942" s="12" t="n"/>
      <c r="K4942" s="12" t="n"/>
      <c r="L4942" s="14" t="n"/>
      <c r="M4942" s="12" t="n"/>
      <c r="N4942" s="12" t="n"/>
      <c r="O4942" s="12" t="n"/>
    </row>
    <row r="4943">
      <c r="A4943" s="12" t="n"/>
      <c r="B4943" s="13">
        <f>IF($A4943="","",IFERROR(INDEX(Emp_Names,MATCH($A4943,Emp_Codes,0)),"NOT FOUND"))</f>
        <v/>
      </c>
      <c r="C4943" s="14" t="n"/>
      <c r="D4943" s="15" t="n"/>
      <c r="E4943" s="15" t="n"/>
      <c r="F4943" s="15" t="n"/>
      <c r="G4943" s="15" t="n"/>
      <c r="H4943" s="16">
        <f>IF($A4943="","",$D4943+IF($E4943="",0,$E4943)+IF($F4943="",0,$F4943)-IF($G4943="",0,$G4943))</f>
        <v/>
      </c>
      <c r="I4943" s="12" t="n"/>
      <c r="J4943" s="12" t="n"/>
      <c r="K4943" s="12" t="n"/>
      <c r="L4943" s="14" t="n"/>
      <c r="M4943" s="12" t="n"/>
      <c r="N4943" s="12" t="n"/>
      <c r="O4943" s="12" t="n"/>
    </row>
    <row r="4944">
      <c r="A4944" s="12" t="n"/>
      <c r="B4944" s="13">
        <f>IF($A4944="","",IFERROR(INDEX(Emp_Names,MATCH($A4944,Emp_Codes,0)),"NOT FOUND"))</f>
        <v/>
      </c>
      <c r="C4944" s="14" t="n"/>
      <c r="D4944" s="15" t="n"/>
      <c r="E4944" s="15" t="n"/>
      <c r="F4944" s="15" t="n"/>
      <c r="G4944" s="15" t="n"/>
      <c r="H4944" s="16">
        <f>IF($A4944="","",$D4944+IF($E4944="",0,$E4944)+IF($F4944="",0,$F4944)-IF($G4944="",0,$G4944))</f>
        <v/>
      </c>
      <c r="I4944" s="12" t="n"/>
      <c r="J4944" s="12" t="n"/>
      <c r="K4944" s="12" t="n"/>
      <c r="L4944" s="14" t="n"/>
      <c r="M4944" s="12" t="n"/>
      <c r="N4944" s="12" t="n"/>
      <c r="O4944" s="12" t="n"/>
    </row>
    <row r="4945">
      <c r="A4945" s="12" t="n"/>
      <c r="B4945" s="13">
        <f>IF($A4945="","",IFERROR(INDEX(Emp_Names,MATCH($A4945,Emp_Codes,0)),"NOT FOUND"))</f>
        <v/>
      </c>
      <c r="C4945" s="14" t="n"/>
      <c r="D4945" s="15" t="n"/>
      <c r="E4945" s="15" t="n"/>
      <c r="F4945" s="15" t="n"/>
      <c r="G4945" s="15" t="n"/>
      <c r="H4945" s="16">
        <f>IF($A4945="","",$D4945+IF($E4945="",0,$E4945)+IF($F4945="",0,$F4945)-IF($G4945="",0,$G4945))</f>
        <v/>
      </c>
      <c r="I4945" s="12" t="n"/>
      <c r="J4945" s="12" t="n"/>
      <c r="K4945" s="12" t="n"/>
      <c r="L4945" s="14" t="n"/>
      <c r="M4945" s="12" t="n"/>
      <c r="N4945" s="12" t="n"/>
      <c r="O4945" s="12" t="n"/>
    </row>
    <row r="4946">
      <c r="A4946" s="12" t="n"/>
      <c r="B4946" s="13">
        <f>IF($A4946="","",IFERROR(INDEX(Emp_Names,MATCH($A4946,Emp_Codes,0)),"NOT FOUND"))</f>
        <v/>
      </c>
      <c r="C4946" s="14" t="n"/>
      <c r="D4946" s="15" t="n"/>
      <c r="E4946" s="15" t="n"/>
      <c r="F4946" s="15" t="n"/>
      <c r="G4946" s="15" t="n"/>
      <c r="H4946" s="16">
        <f>IF($A4946="","",$D4946+IF($E4946="",0,$E4946)+IF($F4946="",0,$F4946)-IF($G4946="",0,$G4946))</f>
        <v/>
      </c>
      <c r="I4946" s="12" t="n"/>
      <c r="J4946" s="12" t="n"/>
      <c r="K4946" s="12" t="n"/>
      <c r="L4946" s="14" t="n"/>
      <c r="M4946" s="12" t="n"/>
      <c r="N4946" s="12" t="n"/>
      <c r="O4946" s="12" t="n"/>
    </row>
    <row r="4947">
      <c r="A4947" s="12" t="n"/>
      <c r="B4947" s="13">
        <f>IF($A4947="","",IFERROR(INDEX(Emp_Names,MATCH($A4947,Emp_Codes,0)),"NOT FOUND"))</f>
        <v/>
      </c>
      <c r="C4947" s="14" t="n"/>
      <c r="D4947" s="15" t="n"/>
      <c r="E4947" s="15" t="n"/>
      <c r="F4947" s="15" t="n"/>
      <c r="G4947" s="15" t="n"/>
      <c r="H4947" s="16">
        <f>IF($A4947="","",$D4947+IF($E4947="",0,$E4947)+IF($F4947="",0,$F4947)-IF($G4947="",0,$G4947))</f>
        <v/>
      </c>
      <c r="I4947" s="12" t="n"/>
      <c r="J4947" s="12" t="n"/>
      <c r="K4947" s="12" t="n"/>
      <c r="L4947" s="14" t="n"/>
      <c r="M4947" s="12" t="n"/>
      <c r="N4947" s="12" t="n"/>
      <c r="O4947" s="12" t="n"/>
    </row>
    <row r="4948">
      <c r="A4948" s="12" t="n"/>
      <c r="B4948" s="13">
        <f>IF($A4948="","",IFERROR(INDEX(Emp_Names,MATCH($A4948,Emp_Codes,0)),"NOT FOUND"))</f>
        <v/>
      </c>
      <c r="C4948" s="14" t="n"/>
      <c r="D4948" s="15" t="n"/>
      <c r="E4948" s="15" t="n"/>
      <c r="F4948" s="15" t="n"/>
      <c r="G4948" s="15" t="n"/>
      <c r="H4948" s="16">
        <f>IF($A4948="","",$D4948+IF($E4948="",0,$E4948)+IF($F4948="",0,$F4948)-IF($G4948="",0,$G4948))</f>
        <v/>
      </c>
      <c r="I4948" s="12" t="n"/>
      <c r="J4948" s="12" t="n"/>
      <c r="K4948" s="12" t="n"/>
      <c r="L4948" s="14" t="n"/>
      <c r="M4948" s="12" t="n"/>
      <c r="N4948" s="12" t="n"/>
      <c r="O4948" s="12" t="n"/>
    </row>
    <row r="4949">
      <c r="A4949" s="12" t="n"/>
      <c r="B4949" s="13">
        <f>IF($A4949="","",IFERROR(INDEX(Emp_Names,MATCH($A4949,Emp_Codes,0)),"NOT FOUND"))</f>
        <v/>
      </c>
      <c r="C4949" s="14" t="n"/>
      <c r="D4949" s="15" t="n"/>
      <c r="E4949" s="15" t="n"/>
      <c r="F4949" s="15" t="n"/>
      <c r="G4949" s="15" t="n"/>
      <c r="H4949" s="16">
        <f>IF($A4949="","",$D4949+IF($E4949="",0,$E4949)+IF($F4949="",0,$F4949)-IF($G4949="",0,$G4949))</f>
        <v/>
      </c>
      <c r="I4949" s="12" t="n"/>
      <c r="J4949" s="12" t="n"/>
      <c r="K4949" s="12" t="n"/>
      <c r="L4949" s="14" t="n"/>
      <c r="M4949" s="12" t="n"/>
      <c r="N4949" s="12" t="n"/>
      <c r="O4949" s="12" t="n"/>
    </row>
    <row r="4950">
      <c r="A4950" s="12" t="n"/>
      <c r="B4950" s="13">
        <f>IF($A4950="","",IFERROR(INDEX(Emp_Names,MATCH($A4950,Emp_Codes,0)),"NOT FOUND"))</f>
        <v/>
      </c>
      <c r="C4950" s="14" t="n"/>
      <c r="D4950" s="15" t="n"/>
      <c r="E4950" s="15" t="n"/>
      <c r="F4950" s="15" t="n"/>
      <c r="G4950" s="15" t="n"/>
      <c r="H4950" s="16">
        <f>IF($A4950="","",$D4950+IF($E4950="",0,$E4950)+IF($F4950="",0,$F4950)-IF($G4950="",0,$G4950))</f>
        <v/>
      </c>
      <c r="I4950" s="12" t="n"/>
      <c r="J4950" s="12" t="n"/>
      <c r="K4950" s="12" t="n"/>
      <c r="L4950" s="14" t="n"/>
      <c r="M4950" s="12" t="n"/>
      <c r="N4950" s="12" t="n"/>
      <c r="O4950" s="12" t="n"/>
    </row>
    <row r="4951">
      <c r="A4951" s="12" t="n"/>
      <c r="B4951" s="13">
        <f>IF($A4951="","",IFERROR(INDEX(Emp_Names,MATCH($A4951,Emp_Codes,0)),"NOT FOUND"))</f>
        <v/>
      </c>
      <c r="C4951" s="14" t="n"/>
      <c r="D4951" s="15" t="n"/>
      <c r="E4951" s="15" t="n"/>
      <c r="F4951" s="15" t="n"/>
      <c r="G4951" s="15" t="n"/>
      <c r="H4951" s="16">
        <f>IF($A4951="","",$D4951+IF($E4951="",0,$E4951)+IF($F4951="",0,$F4951)-IF($G4951="",0,$G4951))</f>
        <v/>
      </c>
      <c r="I4951" s="12" t="n"/>
      <c r="J4951" s="12" t="n"/>
      <c r="K4951" s="12" t="n"/>
      <c r="L4951" s="14" t="n"/>
      <c r="M4951" s="12" t="n"/>
      <c r="N4951" s="12" t="n"/>
      <c r="O4951" s="12" t="n"/>
    </row>
    <row r="4952">
      <c r="A4952" s="12" t="n"/>
      <c r="B4952" s="13">
        <f>IF($A4952="","",IFERROR(INDEX(Emp_Names,MATCH($A4952,Emp_Codes,0)),"NOT FOUND"))</f>
        <v/>
      </c>
      <c r="C4952" s="14" t="n"/>
      <c r="D4952" s="15" t="n"/>
      <c r="E4952" s="15" t="n"/>
      <c r="F4952" s="15" t="n"/>
      <c r="G4952" s="15" t="n"/>
      <c r="H4952" s="16">
        <f>IF($A4952="","",$D4952+IF($E4952="",0,$E4952)+IF($F4952="",0,$F4952)-IF($G4952="",0,$G4952))</f>
        <v/>
      </c>
      <c r="I4952" s="12" t="n"/>
      <c r="J4952" s="12" t="n"/>
      <c r="K4952" s="12" t="n"/>
      <c r="L4952" s="14" t="n"/>
      <c r="M4952" s="12" t="n"/>
      <c r="N4952" s="12" t="n"/>
      <c r="O4952" s="12" t="n"/>
    </row>
    <row r="4953">
      <c r="A4953" s="12" t="n"/>
      <c r="B4953" s="13">
        <f>IF($A4953="","",IFERROR(INDEX(Emp_Names,MATCH($A4953,Emp_Codes,0)),"NOT FOUND"))</f>
        <v/>
      </c>
      <c r="C4953" s="14" t="n"/>
      <c r="D4953" s="15" t="n"/>
      <c r="E4953" s="15" t="n"/>
      <c r="F4953" s="15" t="n"/>
      <c r="G4953" s="15" t="n"/>
      <c r="H4953" s="16">
        <f>IF($A4953="","",$D4953+IF($E4953="",0,$E4953)+IF($F4953="",0,$F4953)-IF($G4953="",0,$G4953))</f>
        <v/>
      </c>
      <c r="I4953" s="12" t="n"/>
      <c r="J4953" s="12" t="n"/>
      <c r="K4953" s="12" t="n"/>
      <c r="L4953" s="14" t="n"/>
      <c r="M4953" s="12" t="n"/>
      <c r="N4953" s="12" t="n"/>
      <c r="O4953" s="12" t="n"/>
    </row>
    <row r="4954">
      <c r="A4954" s="12" t="n"/>
      <c r="B4954" s="13">
        <f>IF($A4954="","",IFERROR(INDEX(Emp_Names,MATCH($A4954,Emp_Codes,0)),"NOT FOUND"))</f>
        <v/>
      </c>
      <c r="C4954" s="14" t="n"/>
      <c r="D4954" s="15" t="n"/>
      <c r="E4954" s="15" t="n"/>
      <c r="F4954" s="15" t="n"/>
      <c r="G4954" s="15" t="n"/>
      <c r="H4954" s="16">
        <f>IF($A4954="","",$D4954+IF($E4954="",0,$E4954)+IF($F4954="",0,$F4954)-IF($G4954="",0,$G4954))</f>
        <v/>
      </c>
      <c r="I4954" s="12" t="n"/>
      <c r="J4954" s="12" t="n"/>
      <c r="K4954" s="12" t="n"/>
      <c r="L4954" s="14" t="n"/>
      <c r="M4954" s="12" t="n"/>
      <c r="N4954" s="12" t="n"/>
      <c r="O4954" s="12" t="n"/>
    </row>
    <row r="4955">
      <c r="A4955" s="12" t="n"/>
      <c r="B4955" s="13">
        <f>IF($A4955="","",IFERROR(INDEX(Emp_Names,MATCH($A4955,Emp_Codes,0)),"NOT FOUND"))</f>
        <v/>
      </c>
      <c r="C4955" s="14" t="n"/>
      <c r="D4955" s="15" t="n"/>
      <c r="E4955" s="15" t="n"/>
      <c r="F4955" s="15" t="n"/>
      <c r="G4955" s="15" t="n"/>
      <c r="H4955" s="16">
        <f>IF($A4955="","",$D4955+IF($E4955="",0,$E4955)+IF($F4955="",0,$F4955)-IF($G4955="",0,$G4955))</f>
        <v/>
      </c>
      <c r="I4955" s="12" t="n"/>
      <c r="J4955" s="12" t="n"/>
      <c r="K4955" s="12" t="n"/>
      <c r="L4955" s="14" t="n"/>
      <c r="M4955" s="12" t="n"/>
      <c r="N4955" s="12" t="n"/>
      <c r="O4955" s="12" t="n"/>
    </row>
    <row r="4956">
      <c r="A4956" s="12" t="n"/>
      <c r="B4956" s="13">
        <f>IF($A4956="","",IFERROR(INDEX(Emp_Names,MATCH($A4956,Emp_Codes,0)),"NOT FOUND"))</f>
        <v/>
      </c>
      <c r="C4956" s="14" t="n"/>
      <c r="D4956" s="15" t="n"/>
      <c r="E4956" s="15" t="n"/>
      <c r="F4956" s="15" t="n"/>
      <c r="G4956" s="15" t="n"/>
      <c r="H4956" s="16">
        <f>IF($A4956="","",$D4956+IF($E4956="",0,$E4956)+IF($F4956="",0,$F4956)-IF($G4956="",0,$G4956))</f>
        <v/>
      </c>
      <c r="I4956" s="12" t="n"/>
      <c r="J4956" s="12" t="n"/>
      <c r="K4956" s="12" t="n"/>
      <c r="L4956" s="14" t="n"/>
      <c r="M4956" s="12" t="n"/>
      <c r="N4956" s="12" t="n"/>
      <c r="O4956" s="12" t="n"/>
    </row>
    <row r="4957">
      <c r="A4957" s="12" t="n"/>
      <c r="B4957" s="13">
        <f>IF($A4957="","",IFERROR(INDEX(Emp_Names,MATCH($A4957,Emp_Codes,0)),"NOT FOUND"))</f>
        <v/>
      </c>
      <c r="C4957" s="14" t="n"/>
      <c r="D4957" s="15" t="n"/>
      <c r="E4957" s="15" t="n"/>
      <c r="F4957" s="15" t="n"/>
      <c r="G4957" s="15" t="n"/>
      <c r="H4957" s="16">
        <f>IF($A4957="","",$D4957+IF($E4957="",0,$E4957)+IF($F4957="",0,$F4957)-IF($G4957="",0,$G4957))</f>
        <v/>
      </c>
      <c r="I4957" s="12" t="n"/>
      <c r="J4957" s="12" t="n"/>
      <c r="K4957" s="12" t="n"/>
      <c r="L4957" s="14" t="n"/>
      <c r="M4957" s="12" t="n"/>
      <c r="N4957" s="12" t="n"/>
      <c r="O4957" s="12" t="n"/>
    </row>
    <row r="4958">
      <c r="A4958" s="12" t="n"/>
      <c r="B4958" s="13">
        <f>IF($A4958="","",IFERROR(INDEX(Emp_Names,MATCH($A4958,Emp_Codes,0)),"NOT FOUND"))</f>
        <v/>
      </c>
      <c r="C4958" s="14" t="n"/>
      <c r="D4958" s="15" t="n"/>
      <c r="E4958" s="15" t="n"/>
      <c r="F4958" s="15" t="n"/>
      <c r="G4958" s="15" t="n"/>
      <c r="H4958" s="16">
        <f>IF($A4958="","",$D4958+IF($E4958="",0,$E4958)+IF($F4958="",0,$F4958)-IF($G4958="",0,$G4958))</f>
        <v/>
      </c>
      <c r="I4958" s="12" t="n"/>
      <c r="J4958" s="12" t="n"/>
      <c r="K4958" s="12" t="n"/>
      <c r="L4958" s="14" t="n"/>
      <c r="M4958" s="12" t="n"/>
      <c r="N4958" s="12" t="n"/>
      <c r="O4958" s="12" t="n"/>
    </row>
    <row r="4959">
      <c r="A4959" s="12" t="n"/>
      <c r="B4959" s="13">
        <f>IF($A4959="","",IFERROR(INDEX(Emp_Names,MATCH($A4959,Emp_Codes,0)),"NOT FOUND"))</f>
        <v/>
      </c>
      <c r="C4959" s="14" t="n"/>
      <c r="D4959" s="15" t="n"/>
      <c r="E4959" s="15" t="n"/>
      <c r="F4959" s="15" t="n"/>
      <c r="G4959" s="15" t="n"/>
      <c r="H4959" s="16">
        <f>IF($A4959="","",$D4959+IF($E4959="",0,$E4959)+IF($F4959="",0,$F4959)-IF($G4959="",0,$G4959))</f>
        <v/>
      </c>
      <c r="I4959" s="12" t="n"/>
      <c r="J4959" s="12" t="n"/>
      <c r="K4959" s="12" t="n"/>
      <c r="L4959" s="14" t="n"/>
      <c r="M4959" s="12" t="n"/>
      <c r="N4959" s="12" t="n"/>
      <c r="O4959" s="12" t="n"/>
    </row>
    <row r="4960">
      <c r="A4960" s="12" t="n"/>
      <c r="B4960" s="13">
        <f>IF($A4960="","",IFERROR(INDEX(Emp_Names,MATCH($A4960,Emp_Codes,0)),"NOT FOUND"))</f>
        <v/>
      </c>
      <c r="C4960" s="14" t="n"/>
      <c r="D4960" s="15" t="n"/>
      <c r="E4960" s="15" t="n"/>
      <c r="F4960" s="15" t="n"/>
      <c r="G4960" s="15" t="n"/>
      <c r="H4960" s="16">
        <f>IF($A4960="","",$D4960+IF($E4960="",0,$E4960)+IF($F4960="",0,$F4960)-IF($G4960="",0,$G4960))</f>
        <v/>
      </c>
      <c r="I4960" s="12" t="n"/>
      <c r="J4960" s="12" t="n"/>
      <c r="K4960" s="12" t="n"/>
      <c r="L4960" s="14" t="n"/>
      <c r="M4960" s="12" t="n"/>
      <c r="N4960" s="12" t="n"/>
      <c r="O4960" s="12" t="n"/>
    </row>
    <row r="4961">
      <c r="A4961" s="12" t="n"/>
      <c r="B4961" s="13">
        <f>IF($A4961="","",IFERROR(INDEX(Emp_Names,MATCH($A4961,Emp_Codes,0)),"NOT FOUND"))</f>
        <v/>
      </c>
      <c r="C4961" s="14" t="n"/>
      <c r="D4961" s="15" t="n"/>
      <c r="E4961" s="15" t="n"/>
      <c r="F4961" s="15" t="n"/>
      <c r="G4961" s="15" t="n"/>
      <c r="H4961" s="16">
        <f>IF($A4961="","",$D4961+IF($E4961="",0,$E4961)+IF($F4961="",0,$F4961)-IF($G4961="",0,$G4961))</f>
        <v/>
      </c>
      <c r="I4961" s="12" t="n"/>
      <c r="J4961" s="12" t="n"/>
      <c r="K4961" s="12" t="n"/>
      <c r="L4961" s="14" t="n"/>
      <c r="M4961" s="12" t="n"/>
      <c r="N4961" s="12" t="n"/>
      <c r="O4961" s="12" t="n"/>
    </row>
    <row r="4962">
      <c r="A4962" s="12" t="n"/>
      <c r="B4962" s="13">
        <f>IF($A4962="","",IFERROR(INDEX(Emp_Names,MATCH($A4962,Emp_Codes,0)),"NOT FOUND"))</f>
        <v/>
      </c>
      <c r="C4962" s="14" t="n"/>
      <c r="D4962" s="15" t="n"/>
      <c r="E4962" s="15" t="n"/>
      <c r="F4962" s="15" t="n"/>
      <c r="G4962" s="15" t="n"/>
      <c r="H4962" s="16">
        <f>IF($A4962="","",$D4962+IF($E4962="",0,$E4962)+IF($F4962="",0,$F4962)-IF($G4962="",0,$G4962))</f>
        <v/>
      </c>
      <c r="I4962" s="12" t="n"/>
      <c r="J4962" s="12" t="n"/>
      <c r="K4962" s="12" t="n"/>
      <c r="L4962" s="14" t="n"/>
      <c r="M4962" s="12" t="n"/>
      <c r="N4962" s="12" t="n"/>
      <c r="O4962" s="12" t="n"/>
    </row>
    <row r="4963">
      <c r="A4963" s="12" t="n"/>
      <c r="B4963" s="13">
        <f>IF($A4963="","",IFERROR(INDEX(Emp_Names,MATCH($A4963,Emp_Codes,0)),"NOT FOUND"))</f>
        <v/>
      </c>
      <c r="C4963" s="14" t="n"/>
      <c r="D4963" s="15" t="n"/>
      <c r="E4963" s="15" t="n"/>
      <c r="F4963" s="15" t="n"/>
      <c r="G4963" s="15" t="n"/>
      <c r="H4963" s="16">
        <f>IF($A4963="","",$D4963+IF($E4963="",0,$E4963)+IF($F4963="",0,$F4963)-IF($G4963="",0,$G4963))</f>
        <v/>
      </c>
      <c r="I4963" s="12" t="n"/>
      <c r="J4963" s="12" t="n"/>
      <c r="K4963" s="12" t="n"/>
      <c r="L4963" s="14" t="n"/>
      <c r="M4963" s="12" t="n"/>
      <c r="N4963" s="12" t="n"/>
      <c r="O4963" s="12" t="n"/>
    </row>
    <row r="4964">
      <c r="A4964" s="12" t="n"/>
      <c r="B4964" s="13">
        <f>IF($A4964="","",IFERROR(INDEX(Emp_Names,MATCH($A4964,Emp_Codes,0)),"NOT FOUND"))</f>
        <v/>
      </c>
      <c r="C4964" s="14" t="n"/>
      <c r="D4964" s="15" t="n"/>
      <c r="E4964" s="15" t="n"/>
      <c r="F4964" s="15" t="n"/>
      <c r="G4964" s="15" t="n"/>
      <c r="H4964" s="16">
        <f>IF($A4964="","",$D4964+IF($E4964="",0,$E4964)+IF($F4964="",0,$F4964)-IF($G4964="",0,$G4964))</f>
        <v/>
      </c>
      <c r="I4964" s="12" t="n"/>
      <c r="J4964" s="12" t="n"/>
      <c r="K4964" s="12" t="n"/>
      <c r="L4964" s="14" t="n"/>
      <c r="M4964" s="12" t="n"/>
      <c r="N4964" s="12" t="n"/>
      <c r="O4964" s="12" t="n"/>
    </row>
    <row r="4965">
      <c r="A4965" s="12" t="n"/>
      <c r="B4965" s="13">
        <f>IF($A4965="","",IFERROR(INDEX(Emp_Names,MATCH($A4965,Emp_Codes,0)),"NOT FOUND"))</f>
        <v/>
      </c>
      <c r="C4965" s="14" t="n"/>
      <c r="D4965" s="15" t="n"/>
      <c r="E4965" s="15" t="n"/>
      <c r="F4965" s="15" t="n"/>
      <c r="G4965" s="15" t="n"/>
      <c r="H4965" s="16">
        <f>IF($A4965="","",$D4965+IF($E4965="",0,$E4965)+IF($F4965="",0,$F4965)-IF($G4965="",0,$G4965))</f>
        <v/>
      </c>
      <c r="I4965" s="12" t="n"/>
      <c r="J4965" s="12" t="n"/>
      <c r="K4965" s="12" t="n"/>
      <c r="L4965" s="14" t="n"/>
      <c r="M4965" s="12" t="n"/>
      <c r="N4965" s="12" t="n"/>
      <c r="O4965" s="12" t="n"/>
    </row>
    <row r="4966">
      <c r="A4966" s="12" t="n"/>
      <c r="B4966" s="13">
        <f>IF($A4966="","",IFERROR(INDEX(Emp_Names,MATCH($A4966,Emp_Codes,0)),"NOT FOUND"))</f>
        <v/>
      </c>
      <c r="C4966" s="14" t="n"/>
      <c r="D4966" s="15" t="n"/>
      <c r="E4966" s="15" t="n"/>
      <c r="F4966" s="15" t="n"/>
      <c r="G4966" s="15" t="n"/>
      <c r="H4966" s="16">
        <f>IF($A4966="","",$D4966+IF($E4966="",0,$E4966)+IF($F4966="",0,$F4966)-IF($G4966="",0,$G4966))</f>
        <v/>
      </c>
      <c r="I4966" s="12" t="n"/>
      <c r="J4966" s="12" t="n"/>
      <c r="K4966" s="12" t="n"/>
      <c r="L4966" s="14" t="n"/>
      <c r="M4966" s="12" t="n"/>
      <c r="N4966" s="12" t="n"/>
      <c r="O4966" s="12" t="n"/>
    </row>
    <row r="4967">
      <c r="A4967" s="12" t="n"/>
      <c r="B4967" s="13">
        <f>IF($A4967="","",IFERROR(INDEX(Emp_Names,MATCH($A4967,Emp_Codes,0)),"NOT FOUND"))</f>
        <v/>
      </c>
      <c r="C4967" s="14" t="n"/>
      <c r="D4967" s="15" t="n"/>
      <c r="E4967" s="15" t="n"/>
      <c r="F4967" s="15" t="n"/>
      <c r="G4967" s="15" t="n"/>
      <c r="H4967" s="16">
        <f>IF($A4967="","",$D4967+IF($E4967="",0,$E4967)+IF($F4967="",0,$F4967)-IF($G4967="",0,$G4967))</f>
        <v/>
      </c>
      <c r="I4967" s="12" t="n"/>
      <c r="J4967" s="12" t="n"/>
      <c r="K4967" s="12" t="n"/>
      <c r="L4967" s="14" t="n"/>
      <c r="M4967" s="12" t="n"/>
      <c r="N4967" s="12" t="n"/>
      <c r="O4967" s="12" t="n"/>
    </row>
    <row r="4968">
      <c r="A4968" s="12" t="n"/>
      <c r="B4968" s="13">
        <f>IF($A4968="","",IFERROR(INDEX(Emp_Names,MATCH($A4968,Emp_Codes,0)),"NOT FOUND"))</f>
        <v/>
      </c>
      <c r="C4968" s="14" t="n"/>
      <c r="D4968" s="15" t="n"/>
      <c r="E4968" s="15" t="n"/>
      <c r="F4968" s="15" t="n"/>
      <c r="G4968" s="15" t="n"/>
      <c r="H4968" s="16">
        <f>IF($A4968="","",$D4968+IF($E4968="",0,$E4968)+IF($F4968="",0,$F4968)-IF($G4968="",0,$G4968))</f>
        <v/>
      </c>
      <c r="I4968" s="12" t="n"/>
      <c r="J4968" s="12" t="n"/>
      <c r="K4968" s="12" t="n"/>
      <c r="L4968" s="14" t="n"/>
      <c r="M4968" s="12" t="n"/>
      <c r="N4968" s="12" t="n"/>
      <c r="O4968" s="12" t="n"/>
    </row>
    <row r="4969">
      <c r="A4969" s="12" t="n"/>
      <c r="B4969" s="13">
        <f>IF($A4969="","",IFERROR(INDEX(Emp_Names,MATCH($A4969,Emp_Codes,0)),"NOT FOUND"))</f>
        <v/>
      </c>
      <c r="C4969" s="14" t="n"/>
      <c r="D4969" s="15" t="n"/>
      <c r="E4969" s="15" t="n"/>
      <c r="F4969" s="15" t="n"/>
      <c r="G4969" s="15" t="n"/>
      <c r="H4969" s="16">
        <f>IF($A4969="","",$D4969+IF($E4969="",0,$E4969)+IF($F4969="",0,$F4969)-IF($G4969="",0,$G4969))</f>
        <v/>
      </c>
      <c r="I4969" s="12" t="n"/>
      <c r="J4969" s="12" t="n"/>
      <c r="K4969" s="12" t="n"/>
      <c r="L4969" s="14" t="n"/>
      <c r="M4969" s="12" t="n"/>
      <c r="N4969" s="12" t="n"/>
      <c r="O4969" s="12" t="n"/>
    </row>
    <row r="4970">
      <c r="A4970" s="12" t="n"/>
      <c r="B4970" s="13">
        <f>IF($A4970="","",IFERROR(INDEX(Emp_Names,MATCH($A4970,Emp_Codes,0)),"NOT FOUND"))</f>
        <v/>
      </c>
      <c r="C4970" s="14" t="n"/>
      <c r="D4970" s="15" t="n"/>
      <c r="E4970" s="15" t="n"/>
      <c r="F4970" s="15" t="n"/>
      <c r="G4970" s="15" t="n"/>
      <c r="H4970" s="16">
        <f>IF($A4970="","",$D4970+IF($E4970="",0,$E4970)+IF($F4970="",0,$F4970)-IF($G4970="",0,$G4970))</f>
        <v/>
      </c>
      <c r="I4970" s="12" t="n"/>
      <c r="J4970" s="12" t="n"/>
      <c r="K4970" s="12" t="n"/>
      <c r="L4970" s="14" t="n"/>
      <c r="M4970" s="12" t="n"/>
      <c r="N4970" s="12" t="n"/>
      <c r="O4970" s="12" t="n"/>
    </row>
    <row r="4971">
      <c r="A4971" s="12" t="n"/>
      <c r="B4971" s="13">
        <f>IF($A4971="","",IFERROR(INDEX(Emp_Names,MATCH($A4971,Emp_Codes,0)),"NOT FOUND"))</f>
        <v/>
      </c>
      <c r="C4971" s="14" t="n"/>
      <c r="D4971" s="15" t="n"/>
      <c r="E4971" s="15" t="n"/>
      <c r="F4971" s="15" t="n"/>
      <c r="G4971" s="15" t="n"/>
      <c r="H4971" s="16">
        <f>IF($A4971="","",$D4971+IF($E4971="",0,$E4971)+IF($F4971="",0,$F4971)-IF($G4971="",0,$G4971))</f>
        <v/>
      </c>
      <c r="I4971" s="12" t="n"/>
      <c r="J4971" s="12" t="n"/>
      <c r="K4971" s="12" t="n"/>
      <c r="L4971" s="14" t="n"/>
      <c r="M4971" s="12" t="n"/>
      <c r="N4971" s="12" t="n"/>
      <c r="O4971" s="12" t="n"/>
    </row>
    <row r="4972">
      <c r="A4972" s="12" t="n"/>
      <c r="B4972" s="13">
        <f>IF($A4972="","",IFERROR(INDEX(Emp_Names,MATCH($A4972,Emp_Codes,0)),"NOT FOUND"))</f>
        <v/>
      </c>
      <c r="C4972" s="14" t="n"/>
      <c r="D4972" s="15" t="n"/>
      <c r="E4972" s="15" t="n"/>
      <c r="F4972" s="15" t="n"/>
      <c r="G4972" s="15" t="n"/>
      <c r="H4972" s="16">
        <f>IF($A4972="","",$D4972+IF($E4972="",0,$E4972)+IF($F4972="",0,$F4972)-IF($G4972="",0,$G4972))</f>
        <v/>
      </c>
      <c r="I4972" s="12" t="n"/>
      <c r="J4972" s="12" t="n"/>
      <c r="K4972" s="12" t="n"/>
      <c r="L4972" s="14" t="n"/>
      <c r="M4972" s="12" t="n"/>
      <c r="N4972" s="12" t="n"/>
      <c r="O4972" s="12" t="n"/>
    </row>
    <row r="4973">
      <c r="A4973" s="12" t="n"/>
      <c r="B4973" s="13">
        <f>IF($A4973="","",IFERROR(INDEX(Emp_Names,MATCH($A4973,Emp_Codes,0)),"NOT FOUND"))</f>
        <v/>
      </c>
      <c r="C4973" s="14" t="n"/>
      <c r="D4973" s="15" t="n"/>
      <c r="E4973" s="15" t="n"/>
      <c r="F4973" s="15" t="n"/>
      <c r="G4973" s="15" t="n"/>
      <c r="H4973" s="16">
        <f>IF($A4973="","",$D4973+IF($E4973="",0,$E4973)+IF($F4973="",0,$F4973)-IF($G4973="",0,$G4973))</f>
        <v/>
      </c>
      <c r="I4973" s="12" t="n"/>
      <c r="J4973" s="12" t="n"/>
      <c r="K4973" s="12" t="n"/>
      <c r="L4973" s="14" t="n"/>
      <c r="M4973" s="12" t="n"/>
      <c r="N4973" s="12" t="n"/>
      <c r="O4973" s="12" t="n"/>
    </row>
    <row r="4974">
      <c r="A4974" s="12" t="n"/>
      <c r="B4974" s="13">
        <f>IF($A4974="","",IFERROR(INDEX(Emp_Names,MATCH($A4974,Emp_Codes,0)),"NOT FOUND"))</f>
        <v/>
      </c>
      <c r="C4974" s="14" t="n"/>
      <c r="D4974" s="15" t="n"/>
      <c r="E4974" s="15" t="n"/>
      <c r="F4974" s="15" t="n"/>
      <c r="G4974" s="15" t="n"/>
      <c r="H4974" s="16">
        <f>IF($A4974="","",$D4974+IF($E4974="",0,$E4974)+IF($F4974="",0,$F4974)-IF($G4974="",0,$G4974))</f>
        <v/>
      </c>
      <c r="I4974" s="12" t="n"/>
      <c r="J4974" s="12" t="n"/>
      <c r="K4974" s="12" t="n"/>
      <c r="L4974" s="14" t="n"/>
      <c r="M4974" s="12" t="n"/>
      <c r="N4974" s="12" t="n"/>
      <c r="O4974" s="12" t="n"/>
    </row>
    <row r="4975">
      <c r="A4975" s="12" t="n"/>
      <c r="B4975" s="13">
        <f>IF($A4975="","",IFERROR(INDEX(Emp_Names,MATCH($A4975,Emp_Codes,0)),"NOT FOUND"))</f>
        <v/>
      </c>
      <c r="C4975" s="14" t="n"/>
      <c r="D4975" s="15" t="n"/>
      <c r="E4975" s="15" t="n"/>
      <c r="F4975" s="15" t="n"/>
      <c r="G4975" s="15" t="n"/>
      <c r="H4975" s="16">
        <f>IF($A4975="","",$D4975+IF($E4975="",0,$E4975)+IF($F4975="",0,$F4975)-IF($G4975="",0,$G4975))</f>
        <v/>
      </c>
      <c r="I4975" s="12" t="n"/>
      <c r="J4975" s="12" t="n"/>
      <c r="K4975" s="12" t="n"/>
      <c r="L4975" s="14" t="n"/>
      <c r="M4975" s="12" t="n"/>
      <c r="N4975" s="12" t="n"/>
      <c r="O4975" s="12" t="n"/>
    </row>
    <row r="4976">
      <c r="A4976" s="12" t="n"/>
      <c r="B4976" s="13">
        <f>IF($A4976="","",IFERROR(INDEX(Emp_Names,MATCH($A4976,Emp_Codes,0)),"NOT FOUND"))</f>
        <v/>
      </c>
      <c r="C4976" s="14" t="n"/>
      <c r="D4976" s="15" t="n"/>
      <c r="E4976" s="15" t="n"/>
      <c r="F4976" s="15" t="n"/>
      <c r="G4976" s="15" t="n"/>
      <c r="H4976" s="16">
        <f>IF($A4976="","",$D4976+IF($E4976="",0,$E4976)+IF($F4976="",0,$F4976)-IF($G4976="",0,$G4976))</f>
        <v/>
      </c>
      <c r="I4976" s="12" t="n"/>
      <c r="J4976" s="12" t="n"/>
      <c r="K4976" s="12" t="n"/>
      <c r="L4976" s="14" t="n"/>
      <c r="M4976" s="12" t="n"/>
      <c r="N4976" s="12" t="n"/>
      <c r="O4976" s="12" t="n"/>
    </row>
    <row r="4977">
      <c r="A4977" s="12" t="n"/>
      <c r="B4977" s="13">
        <f>IF($A4977="","",IFERROR(INDEX(Emp_Names,MATCH($A4977,Emp_Codes,0)),"NOT FOUND"))</f>
        <v/>
      </c>
      <c r="C4977" s="14" t="n"/>
      <c r="D4977" s="15" t="n"/>
      <c r="E4977" s="15" t="n"/>
      <c r="F4977" s="15" t="n"/>
      <c r="G4977" s="15" t="n"/>
      <c r="H4977" s="16">
        <f>IF($A4977="","",$D4977+IF($E4977="",0,$E4977)+IF($F4977="",0,$F4977)-IF($G4977="",0,$G4977))</f>
        <v/>
      </c>
      <c r="I4977" s="12" t="n"/>
      <c r="J4977" s="12" t="n"/>
      <c r="K4977" s="12" t="n"/>
      <c r="L4977" s="14" t="n"/>
      <c r="M4977" s="12" t="n"/>
      <c r="N4977" s="12" t="n"/>
      <c r="O4977" s="12" t="n"/>
    </row>
    <row r="4978">
      <c r="A4978" s="12" t="n"/>
      <c r="B4978" s="13">
        <f>IF($A4978="","",IFERROR(INDEX(Emp_Names,MATCH($A4978,Emp_Codes,0)),"NOT FOUND"))</f>
        <v/>
      </c>
      <c r="C4978" s="14" t="n"/>
      <c r="D4978" s="15" t="n"/>
      <c r="E4978" s="15" t="n"/>
      <c r="F4978" s="15" t="n"/>
      <c r="G4978" s="15" t="n"/>
      <c r="H4978" s="16">
        <f>IF($A4978="","",$D4978+IF($E4978="",0,$E4978)+IF($F4978="",0,$F4978)-IF($G4978="",0,$G4978))</f>
        <v/>
      </c>
      <c r="I4978" s="12" t="n"/>
      <c r="J4978" s="12" t="n"/>
      <c r="K4978" s="12" t="n"/>
      <c r="L4978" s="14" t="n"/>
      <c r="M4978" s="12" t="n"/>
      <c r="N4978" s="12" t="n"/>
      <c r="O4978" s="12" t="n"/>
    </row>
    <row r="4979">
      <c r="A4979" s="12" t="n"/>
      <c r="B4979" s="13">
        <f>IF($A4979="","",IFERROR(INDEX(Emp_Names,MATCH($A4979,Emp_Codes,0)),"NOT FOUND"))</f>
        <v/>
      </c>
      <c r="C4979" s="14" t="n"/>
      <c r="D4979" s="15" t="n"/>
      <c r="E4979" s="15" t="n"/>
      <c r="F4979" s="15" t="n"/>
      <c r="G4979" s="15" t="n"/>
      <c r="H4979" s="16">
        <f>IF($A4979="","",$D4979+IF($E4979="",0,$E4979)+IF($F4979="",0,$F4979)-IF($G4979="",0,$G4979))</f>
        <v/>
      </c>
      <c r="I4979" s="12" t="n"/>
      <c r="J4979" s="12" t="n"/>
      <c r="K4979" s="12" t="n"/>
      <c r="L4979" s="14" t="n"/>
      <c r="M4979" s="12" t="n"/>
      <c r="N4979" s="12" t="n"/>
      <c r="O4979" s="12" t="n"/>
    </row>
    <row r="4980">
      <c r="A4980" s="12" t="n"/>
      <c r="B4980" s="13">
        <f>IF($A4980="","",IFERROR(INDEX(Emp_Names,MATCH($A4980,Emp_Codes,0)),"NOT FOUND"))</f>
        <v/>
      </c>
      <c r="C4980" s="14" t="n"/>
      <c r="D4980" s="15" t="n"/>
      <c r="E4980" s="15" t="n"/>
      <c r="F4980" s="15" t="n"/>
      <c r="G4980" s="15" t="n"/>
      <c r="H4980" s="16">
        <f>IF($A4980="","",$D4980+IF($E4980="",0,$E4980)+IF($F4980="",0,$F4980)-IF($G4980="",0,$G4980))</f>
        <v/>
      </c>
      <c r="I4980" s="12" t="n"/>
      <c r="J4980" s="12" t="n"/>
      <c r="K4980" s="12" t="n"/>
      <c r="L4980" s="14" t="n"/>
      <c r="M4980" s="12" t="n"/>
      <c r="N4980" s="12" t="n"/>
      <c r="O4980" s="12" t="n"/>
    </row>
    <row r="4981">
      <c r="A4981" s="12" t="n"/>
      <c r="B4981" s="13">
        <f>IF($A4981="","",IFERROR(INDEX(Emp_Names,MATCH($A4981,Emp_Codes,0)),"NOT FOUND"))</f>
        <v/>
      </c>
      <c r="C4981" s="14" t="n"/>
      <c r="D4981" s="15" t="n"/>
      <c r="E4981" s="15" t="n"/>
      <c r="F4981" s="15" t="n"/>
      <c r="G4981" s="15" t="n"/>
      <c r="H4981" s="16">
        <f>IF($A4981="","",$D4981+IF($E4981="",0,$E4981)+IF($F4981="",0,$F4981)-IF($G4981="",0,$G4981))</f>
        <v/>
      </c>
      <c r="I4981" s="12" t="n"/>
      <c r="J4981" s="12" t="n"/>
      <c r="K4981" s="12" t="n"/>
      <c r="L4981" s="14" t="n"/>
      <c r="M4981" s="12" t="n"/>
      <c r="N4981" s="12" t="n"/>
      <c r="O4981" s="12" t="n"/>
    </row>
    <row r="4982">
      <c r="A4982" s="12" t="n"/>
      <c r="B4982" s="13">
        <f>IF($A4982="","",IFERROR(INDEX(Emp_Names,MATCH($A4982,Emp_Codes,0)),"NOT FOUND"))</f>
        <v/>
      </c>
      <c r="C4982" s="14" t="n"/>
      <c r="D4982" s="15" t="n"/>
      <c r="E4982" s="15" t="n"/>
      <c r="F4982" s="15" t="n"/>
      <c r="G4982" s="15" t="n"/>
      <c r="H4982" s="16">
        <f>IF($A4982="","",$D4982+IF($E4982="",0,$E4982)+IF($F4982="",0,$F4982)-IF($G4982="",0,$G4982))</f>
        <v/>
      </c>
      <c r="I4982" s="12" t="n"/>
      <c r="J4982" s="12" t="n"/>
      <c r="K4982" s="12" t="n"/>
      <c r="L4982" s="14" t="n"/>
      <c r="M4982" s="12" t="n"/>
      <c r="N4982" s="12" t="n"/>
      <c r="O4982" s="12" t="n"/>
    </row>
    <row r="4983">
      <c r="A4983" s="12" t="n"/>
      <c r="B4983" s="13">
        <f>IF($A4983="","",IFERROR(INDEX(Emp_Names,MATCH($A4983,Emp_Codes,0)),"NOT FOUND"))</f>
        <v/>
      </c>
      <c r="C4983" s="14" t="n"/>
      <c r="D4983" s="15" t="n"/>
      <c r="E4983" s="15" t="n"/>
      <c r="F4983" s="15" t="n"/>
      <c r="G4983" s="15" t="n"/>
      <c r="H4983" s="16">
        <f>IF($A4983="","",$D4983+IF($E4983="",0,$E4983)+IF($F4983="",0,$F4983)-IF($G4983="",0,$G4983))</f>
        <v/>
      </c>
      <c r="I4983" s="12" t="n"/>
      <c r="J4983" s="12" t="n"/>
      <c r="K4983" s="12" t="n"/>
      <c r="L4983" s="14" t="n"/>
      <c r="M4983" s="12" t="n"/>
      <c r="N4983" s="12" t="n"/>
      <c r="O4983" s="12" t="n"/>
    </row>
    <row r="4984">
      <c r="A4984" s="12" t="n"/>
      <c r="B4984" s="13">
        <f>IF($A4984="","",IFERROR(INDEX(Emp_Names,MATCH($A4984,Emp_Codes,0)),"NOT FOUND"))</f>
        <v/>
      </c>
      <c r="C4984" s="14" t="n"/>
      <c r="D4984" s="15" t="n"/>
      <c r="E4984" s="15" t="n"/>
      <c r="F4984" s="15" t="n"/>
      <c r="G4984" s="15" t="n"/>
      <c r="H4984" s="16">
        <f>IF($A4984="","",$D4984+IF($E4984="",0,$E4984)+IF($F4984="",0,$F4984)-IF($G4984="",0,$G4984))</f>
        <v/>
      </c>
      <c r="I4984" s="12" t="n"/>
      <c r="J4984" s="12" t="n"/>
      <c r="K4984" s="12" t="n"/>
      <c r="L4984" s="14" t="n"/>
      <c r="M4984" s="12" t="n"/>
      <c r="N4984" s="12" t="n"/>
      <c r="O4984" s="12" t="n"/>
    </row>
    <row r="4985">
      <c r="A4985" s="12" t="n"/>
      <c r="B4985" s="13">
        <f>IF($A4985="","",IFERROR(INDEX(Emp_Names,MATCH($A4985,Emp_Codes,0)),"NOT FOUND"))</f>
        <v/>
      </c>
      <c r="C4985" s="14" t="n"/>
      <c r="D4985" s="15" t="n"/>
      <c r="E4985" s="15" t="n"/>
      <c r="F4985" s="15" t="n"/>
      <c r="G4985" s="15" t="n"/>
      <c r="H4985" s="16">
        <f>IF($A4985="","",$D4985+IF($E4985="",0,$E4985)+IF($F4985="",0,$F4985)-IF($G4985="",0,$G4985))</f>
        <v/>
      </c>
      <c r="I4985" s="12" t="n"/>
      <c r="J4985" s="12" t="n"/>
      <c r="K4985" s="12" t="n"/>
      <c r="L4985" s="14" t="n"/>
      <c r="M4985" s="12" t="n"/>
      <c r="N4985" s="12" t="n"/>
      <c r="O4985" s="12" t="n"/>
    </row>
    <row r="4986">
      <c r="A4986" s="12" t="n"/>
      <c r="B4986" s="13">
        <f>IF($A4986="","",IFERROR(INDEX(Emp_Names,MATCH($A4986,Emp_Codes,0)),"NOT FOUND"))</f>
        <v/>
      </c>
      <c r="C4986" s="14" t="n"/>
      <c r="D4986" s="15" t="n"/>
      <c r="E4986" s="15" t="n"/>
      <c r="F4986" s="15" t="n"/>
      <c r="G4986" s="15" t="n"/>
      <c r="H4986" s="16">
        <f>IF($A4986="","",$D4986+IF($E4986="",0,$E4986)+IF($F4986="",0,$F4986)-IF($G4986="",0,$G4986))</f>
        <v/>
      </c>
      <c r="I4986" s="12" t="n"/>
      <c r="J4986" s="12" t="n"/>
      <c r="K4986" s="12" t="n"/>
      <c r="L4986" s="14" t="n"/>
      <c r="M4986" s="12" t="n"/>
      <c r="N4986" s="12" t="n"/>
      <c r="O4986" s="12" t="n"/>
    </row>
    <row r="4987">
      <c r="A4987" s="12" t="n"/>
      <c r="B4987" s="13">
        <f>IF($A4987="","",IFERROR(INDEX(Emp_Names,MATCH($A4987,Emp_Codes,0)),"NOT FOUND"))</f>
        <v/>
      </c>
      <c r="C4987" s="14" t="n"/>
      <c r="D4987" s="15" t="n"/>
      <c r="E4987" s="15" t="n"/>
      <c r="F4987" s="15" t="n"/>
      <c r="G4987" s="15" t="n"/>
      <c r="H4987" s="16">
        <f>IF($A4987="","",$D4987+IF($E4987="",0,$E4987)+IF($F4987="",0,$F4987)-IF($G4987="",0,$G4987))</f>
        <v/>
      </c>
      <c r="I4987" s="12" t="n"/>
      <c r="J4987" s="12" t="n"/>
      <c r="K4987" s="12" t="n"/>
      <c r="L4987" s="14" t="n"/>
      <c r="M4987" s="12" t="n"/>
      <c r="N4987" s="12" t="n"/>
      <c r="O4987" s="12" t="n"/>
    </row>
    <row r="4988">
      <c r="A4988" s="12" t="n"/>
      <c r="B4988" s="13">
        <f>IF($A4988="","",IFERROR(INDEX(Emp_Names,MATCH($A4988,Emp_Codes,0)),"NOT FOUND"))</f>
        <v/>
      </c>
      <c r="C4988" s="14" t="n"/>
      <c r="D4988" s="15" t="n"/>
      <c r="E4988" s="15" t="n"/>
      <c r="F4988" s="15" t="n"/>
      <c r="G4988" s="15" t="n"/>
      <c r="H4988" s="16">
        <f>IF($A4988="","",$D4988+IF($E4988="",0,$E4988)+IF($F4988="",0,$F4988)-IF($G4988="",0,$G4988))</f>
        <v/>
      </c>
      <c r="I4988" s="12" t="n"/>
      <c r="J4988" s="12" t="n"/>
      <c r="K4988" s="12" t="n"/>
      <c r="L4988" s="14" t="n"/>
      <c r="M4988" s="12" t="n"/>
      <c r="N4988" s="12" t="n"/>
      <c r="O4988" s="12" t="n"/>
    </row>
    <row r="4989">
      <c r="A4989" s="12" t="n"/>
      <c r="B4989" s="13">
        <f>IF($A4989="","",IFERROR(INDEX(Emp_Names,MATCH($A4989,Emp_Codes,0)),"NOT FOUND"))</f>
        <v/>
      </c>
      <c r="C4989" s="14" t="n"/>
      <c r="D4989" s="15" t="n"/>
      <c r="E4989" s="15" t="n"/>
      <c r="F4989" s="15" t="n"/>
      <c r="G4989" s="15" t="n"/>
      <c r="H4989" s="16">
        <f>IF($A4989="","",$D4989+IF($E4989="",0,$E4989)+IF($F4989="",0,$F4989)-IF($G4989="",0,$G4989))</f>
        <v/>
      </c>
      <c r="I4989" s="12" t="n"/>
      <c r="J4989" s="12" t="n"/>
      <c r="K4989" s="12" t="n"/>
      <c r="L4989" s="14" t="n"/>
      <c r="M4989" s="12" t="n"/>
      <c r="N4989" s="12" t="n"/>
      <c r="O4989" s="12" t="n"/>
    </row>
    <row r="4990">
      <c r="A4990" s="12" t="n"/>
      <c r="B4990" s="13">
        <f>IF($A4990="","",IFERROR(INDEX(Emp_Names,MATCH($A4990,Emp_Codes,0)),"NOT FOUND"))</f>
        <v/>
      </c>
      <c r="C4990" s="14" t="n"/>
      <c r="D4990" s="15" t="n"/>
      <c r="E4990" s="15" t="n"/>
      <c r="F4990" s="15" t="n"/>
      <c r="G4990" s="15" t="n"/>
      <c r="H4990" s="16">
        <f>IF($A4990="","",$D4990+IF($E4990="",0,$E4990)+IF($F4990="",0,$F4990)-IF($G4990="",0,$G4990))</f>
        <v/>
      </c>
      <c r="I4990" s="12" t="n"/>
      <c r="J4990" s="12" t="n"/>
      <c r="K4990" s="12" t="n"/>
      <c r="L4990" s="14" t="n"/>
      <c r="M4990" s="12" t="n"/>
      <c r="N4990" s="12" t="n"/>
      <c r="O4990" s="12" t="n"/>
    </row>
    <row r="4991">
      <c r="A4991" s="12" t="n"/>
      <c r="B4991" s="13">
        <f>IF($A4991="","",IFERROR(INDEX(Emp_Names,MATCH($A4991,Emp_Codes,0)),"NOT FOUND"))</f>
        <v/>
      </c>
      <c r="C4991" s="14" t="n"/>
      <c r="D4991" s="15" t="n"/>
      <c r="E4991" s="15" t="n"/>
      <c r="F4991" s="15" t="n"/>
      <c r="G4991" s="15" t="n"/>
      <c r="H4991" s="16">
        <f>IF($A4991="","",$D4991+IF($E4991="",0,$E4991)+IF($F4991="",0,$F4991)-IF($G4991="",0,$G4991))</f>
        <v/>
      </c>
      <c r="I4991" s="12" t="n"/>
      <c r="J4991" s="12" t="n"/>
      <c r="K4991" s="12" t="n"/>
      <c r="L4991" s="14" t="n"/>
      <c r="M4991" s="12" t="n"/>
      <c r="N4991" s="12" t="n"/>
      <c r="O4991" s="12" t="n"/>
    </row>
    <row r="4992">
      <c r="A4992" s="12" t="n"/>
      <c r="B4992" s="13">
        <f>IF($A4992="","",IFERROR(INDEX(Emp_Names,MATCH($A4992,Emp_Codes,0)),"NOT FOUND"))</f>
        <v/>
      </c>
      <c r="C4992" s="14" t="n"/>
      <c r="D4992" s="15" t="n"/>
      <c r="E4992" s="15" t="n"/>
      <c r="F4992" s="15" t="n"/>
      <c r="G4992" s="15" t="n"/>
      <c r="H4992" s="16">
        <f>IF($A4992="","",$D4992+IF($E4992="",0,$E4992)+IF($F4992="",0,$F4992)-IF($G4992="",0,$G4992))</f>
        <v/>
      </c>
      <c r="I4992" s="12" t="n"/>
      <c r="J4992" s="12" t="n"/>
      <c r="K4992" s="12" t="n"/>
      <c r="L4992" s="14" t="n"/>
      <c r="M4992" s="12" t="n"/>
      <c r="N4992" s="12" t="n"/>
      <c r="O4992" s="12" t="n"/>
    </row>
    <row r="4993">
      <c r="A4993" s="12" t="n"/>
      <c r="B4993" s="13">
        <f>IF($A4993="","",IFERROR(INDEX(Emp_Names,MATCH($A4993,Emp_Codes,0)),"NOT FOUND"))</f>
        <v/>
      </c>
      <c r="C4993" s="14" t="n"/>
      <c r="D4993" s="15" t="n"/>
      <c r="E4993" s="15" t="n"/>
      <c r="F4993" s="15" t="n"/>
      <c r="G4993" s="15" t="n"/>
      <c r="H4993" s="16">
        <f>IF($A4993="","",$D4993+IF($E4993="",0,$E4993)+IF($F4993="",0,$F4993)-IF($G4993="",0,$G4993))</f>
        <v/>
      </c>
      <c r="I4993" s="12" t="n"/>
      <c r="J4993" s="12" t="n"/>
      <c r="K4993" s="12" t="n"/>
      <c r="L4993" s="14" t="n"/>
      <c r="M4993" s="12" t="n"/>
      <c r="N4993" s="12" t="n"/>
      <c r="O4993" s="12" t="n"/>
    </row>
    <row r="4994">
      <c r="A4994" s="12" t="n"/>
      <c r="B4994" s="13">
        <f>IF($A4994="","",IFERROR(INDEX(Emp_Names,MATCH($A4994,Emp_Codes,0)),"NOT FOUND"))</f>
        <v/>
      </c>
      <c r="C4994" s="14" t="n"/>
      <c r="D4994" s="15" t="n"/>
      <c r="E4994" s="15" t="n"/>
      <c r="F4994" s="15" t="n"/>
      <c r="G4994" s="15" t="n"/>
      <c r="H4994" s="16">
        <f>IF($A4994="","",$D4994+IF($E4994="",0,$E4994)+IF($F4994="",0,$F4994)-IF($G4994="",0,$G4994))</f>
        <v/>
      </c>
      <c r="I4994" s="12" t="n"/>
      <c r="J4994" s="12" t="n"/>
      <c r="K4994" s="12" t="n"/>
      <c r="L4994" s="14" t="n"/>
      <c r="M4994" s="12" t="n"/>
      <c r="N4994" s="12" t="n"/>
      <c r="O4994" s="12" t="n"/>
    </row>
    <row r="4995">
      <c r="A4995" s="12" t="n"/>
      <c r="B4995" s="13">
        <f>IF($A4995="","",IFERROR(INDEX(Emp_Names,MATCH($A4995,Emp_Codes,0)),"NOT FOUND"))</f>
        <v/>
      </c>
      <c r="C4995" s="14" t="n"/>
      <c r="D4995" s="15" t="n"/>
      <c r="E4995" s="15" t="n"/>
      <c r="F4995" s="15" t="n"/>
      <c r="G4995" s="15" t="n"/>
      <c r="H4995" s="16">
        <f>IF($A4995="","",$D4995+IF($E4995="",0,$E4995)+IF($F4995="",0,$F4995)-IF($G4995="",0,$G4995))</f>
        <v/>
      </c>
      <c r="I4995" s="12" t="n"/>
      <c r="J4995" s="12" t="n"/>
      <c r="K4995" s="12" t="n"/>
      <c r="L4995" s="14" t="n"/>
      <c r="M4995" s="12" t="n"/>
      <c r="N4995" s="12" t="n"/>
      <c r="O4995" s="12" t="n"/>
    </row>
    <row r="4996">
      <c r="A4996" s="12" t="n"/>
      <c r="B4996" s="13">
        <f>IF($A4996="","",IFERROR(INDEX(Emp_Names,MATCH($A4996,Emp_Codes,0)),"NOT FOUND"))</f>
        <v/>
      </c>
      <c r="C4996" s="14" t="n"/>
      <c r="D4996" s="15" t="n"/>
      <c r="E4996" s="15" t="n"/>
      <c r="F4996" s="15" t="n"/>
      <c r="G4996" s="15" t="n"/>
      <c r="H4996" s="16">
        <f>IF($A4996="","",$D4996+IF($E4996="",0,$E4996)+IF($F4996="",0,$F4996)-IF($G4996="",0,$G4996))</f>
        <v/>
      </c>
      <c r="I4996" s="12" t="n"/>
      <c r="J4996" s="12" t="n"/>
      <c r="K4996" s="12" t="n"/>
      <c r="L4996" s="14" t="n"/>
      <c r="M4996" s="12" t="n"/>
      <c r="N4996" s="12" t="n"/>
      <c r="O4996" s="12" t="n"/>
    </row>
    <row r="4997">
      <c r="A4997" s="12" t="n"/>
      <c r="B4997" s="13">
        <f>IF($A4997="","",IFERROR(INDEX(Emp_Names,MATCH($A4997,Emp_Codes,0)),"NOT FOUND"))</f>
        <v/>
      </c>
      <c r="C4997" s="14" t="n"/>
      <c r="D4997" s="15" t="n"/>
      <c r="E4997" s="15" t="n"/>
      <c r="F4997" s="15" t="n"/>
      <c r="G4997" s="15" t="n"/>
      <c r="H4997" s="16">
        <f>IF($A4997="","",$D4997+IF($E4997="",0,$E4997)+IF($F4997="",0,$F4997)-IF($G4997="",0,$G4997))</f>
        <v/>
      </c>
      <c r="I4997" s="12" t="n"/>
      <c r="J4997" s="12" t="n"/>
      <c r="K4997" s="12" t="n"/>
      <c r="L4997" s="14" t="n"/>
      <c r="M4997" s="12" t="n"/>
      <c r="N4997" s="12" t="n"/>
      <c r="O4997" s="12" t="n"/>
    </row>
    <row r="4998">
      <c r="A4998" s="12" t="n"/>
      <c r="B4998" s="13">
        <f>IF($A4998="","",IFERROR(INDEX(Emp_Names,MATCH($A4998,Emp_Codes,0)),"NOT FOUND"))</f>
        <v/>
      </c>
      <c r="C4998" s="14" t="n"/>
      <c r="D4998" s="15" t="n"/>
      <c r="E4998" s="15" t="n"/>
      <c r="F4998" s="15" t="n"/>
      <c r="G4998" s="15" t="n"/>
      <c r="H4998" s="16">
        <f>IF($A4998="","",$D4998+IF($E4998="",0,$E4998)+IF($F4998="",0,$F4998)-IF($G4998="",0,$G4998))</f>
        <v/>
      </c>
      <c r="I4998" s="12" t="n"/>
      <c r="J4998" s="12" t="n"/>
      <c r="K4998" s="12" t="n"/>
      <c r="L4998" s="14" t="n"/>
      <c r="M4998" s="12" t="n"/>
      <c r="N4998" s="12" t="n"/>
      <c r="O4998" s="12" t="n"/>
    </row>
    <row r="4999">
      <c r="A4999" s="12" t="n"/>
      <c r="B4999" s="13">
        <f>IF($A4999="","",IFERROR(INDEX(Emp_Names,MATCH($A4999,Emp_Codes,0)),"NOT FOUND"))</f>
        <v/>
      </c>
      <c r="C4999" s="14" t="n"/>
      <c r="D4999" s="15" t="n"/>
      <c r="E4999" s="15" t="n"/>
      <c r="F4999" s="15" t="n"/>
      <c r="G4999" s="15" t="n"/>
      <c r="H4999" s="16">
        <f>IF($A4999="","",$D4999+IF($E4999="",0,$E4999)+IF($F4999="",0,$F4999)-IF($G4999="",0,$G4999))</f>
        <v/>
      </c>
      <c r="I4999" s="12" t="n"/>
      <c r="J4999" s="12" t="n"/>
      <c r="K4999" s="12" t="n"/>
      <c r="L4999" s="14" t="n"/>
      <c r="M4999" s="12" t="n"/>
      <c r="N4999" s="12" t="n"/>
      <c r="O4999" s="12" t="n"/>
    </row>
    <row r="5000">
      <c r="A5000" s="12" t="n"/>
      <c r="B5000" s="13">
        <f>IF($A5000="","",IFERROR(INDEX(Emp_Names,MATCH($A5000,Emp_Codes,0)),"NOT FOUND"))</f>
        <v/>
      </c>
      <c r="C5000" s="14" t="n"/>
      <c r="D5000" s="15" t="n"/>
      <c r="E5000" s="15" t="n"/>
      <c r="F5000" s="15" t="n"/>
      <c r="G5000" s="15" t="n"/>
      <c r="H5000" s="16">
        <f>IF($A5000="","",$D5000+IF($E5000="",0,$E5000)+IF($F5000="",0,$F5000)-IF($G5000="",0,$G5000))</f>
        <v/>
      </c>
      <c r="I5000" s="12" t="n"/>
      <c r="J5000" s="12" t="n"/>
      <c r="K5000" s="12" t="n"/>
      <c r="L5000" s="14" t="n"/>
      <c r="M5000" s="12" t="n"/>
      <c r="N5000" s="12" t="n"/>
      <c r="O5000" s="12" t="n"/>
    </row>
    <row r="5001">
      <c r="A5001" s="12" t="n"/>
      <c r="B5001" s="13">
        <f>IF($A5001="","",IFERROR(INDEX(Emp_Names,MATCH($A5001,Emp_Codes,0)),"NOT FOUND"))</f>
        <v/>
      </c>
      <c r="C5001" s="14" t="n"/>
      <c r="D5001" s="15" t="n"/>
      <c r="E5001" s="15" t="n"/>
      <c r="F5001" s="15" t="n"/>
      <c r="G5001" s="15" t="n"/>
      <c r="H5001" s="16">
        <f>IF($A5001="","",$D5001+IF($E5001="",0,$E5001)+IF($F5001="",0,$F5001)-IF($G5001="",0,$G5001))</f>
        <v/>
      </c>
      <c r="I5001" s="12" t="n"/>
      <c r="J5001" s="12" t="n"/>
      <c r="K5001" s="12" t="n"/>
      <c r="L5001" s="14" t="n"/>
      <c r="M5001" s="12" t="n"/>
      <c r="N5001" s="12" t="n"/>
      <c r="O5001" s="12" t="n"/>
    </row>
    <row r="5002">
      <c r="A5002" s="12" t="n"/>
      <c r="B5002" s="13">
        <f>IF($A5002="","",IFERROR(INDEX(Emp_Names,MATCH($A5002,Emp_Codes,0)),"NOT FOUND"))</f>
        <v/>
      </c>
      <c r="C5002" s="14" t="n"/>
      <c r="D5002" s="15" t="n"/>
      <c r="E5002" s="15" t="n"/>
      <c r="F5002" s="15" t="n"/>
      <c r="G5002" s="15" t="n"/>
      <c r="H5002" s="16">
        <f>IF($A5002="","",$D5002+IF($E5002="",0,$E5002)+IF($F5002="",0,$F5002)-IF($G5002="",0,$G5002))</f>
        <v/>
      </c>
      <c r="I5002" s="12" t="n"/>
      <c r="J5002" s="12" t="n"/>
      <c r="K5002" s="12" t="n"/>
      <c r="L5002" s="14" t="n"/>
      <c r="M5002" s="12" t="n"/>
      <c r="N5002" s="12" t="n"/>
      <c r="O5002" s="12" t="n"/>
    </row>
    <row r="5003">
      <c r="A5003" s="12" t="n"/>
      <c r="B5003" s="13">
        <f>IF($A5003="","",IFERROR(INDEX(Emp_Names,MATCH($A5003,Emp_Codes,0)),"NOT FOUND"))</f>
        <v/>
      </c>
      <c r="C5003" s="14" t="n"/>
      <c r="D5003" s="15" t="n"/>
      <c r="E5003" s="15" t="n"/>
      <c r="F5003" s="15" t="n"/>
      <c r="G5003" s="15" t="n"/>
      <c r="H5003" s="16">
        <f>IF($A5003="","",$D5003+IF($E5003="",0,$E5003)+IF($F5003="",0,$F5003)-IF($G5003="",0,$G5003))</f>
        <v/>
      </c>
      <c r="I5003" s="12" t="n"/>
      <c r="J5003" s="12" t="n"/>
      <c r="K5003" s="12" t="n"/>
      <c r="L5003" s="14" t="n"/>
      <c r="M5003" s="12" t="n"/>
      <c r="N5003" s="12" t="n"/>
      <c r="O5003" s="12" t="n"/>
    </row>
    <row r="5004">
      <c r="A5004" s="12" t="n"/>
      <c r="B5004" s="13">
        <f>IF($A5004="","",IFERROR(INDEX(Emp_Names,MATCH($A5004,Emp_Codes,0)),"NOT FOUND"))</f>
        <v/>
      </c>
      <c r="C5004" s="14" t="n"/>
      <c r="D5004" s="15" t="n"/>
      <c r="E5004" s="15" t="n"/>
      <c r="F5004" s="15" t="n"/>
      <c r="G5004" s="15" t="n"/>
      <c r="H5004" s="16">
        <f>IF($A5004="","",$D5004+IF($E5004="",0,$E5004)+IF($F5004="",0,$F5004)-IF($G5004="",0,$G5004))</f>
        <v/>
      </c>
      <c r="I5004" s="12" t="n"/>
      <c r="J5004" s="12" t="n"/>
      <c r="K5004" s="12" t="n"/>
      <c r="L5004" s="14" t="n"/>
      <c r="M5004" s="12" t="n"/>
      <c r="N5004" s="12" t="n"/>
      <c r="O5004" s="12" t="n"/>
    </row>
    <row r="5005">
      <c r="A5005" s="12" t="n"/>
      <c r="B5005" s="13">
        <f>IF($A5005="","",IFERROR(INDEX(Emp_Names,MATCH($A5005,Emp_Codes,0)),"NOT FOUND"))</f>
        <v/>
      </c>
      <c r="C5005" s="14" t="n"/>
      <c r="D5005" s="15" t="n"/>
      <c r="E5005" s="15" t="n"/>
      <c r="F5005" s="15" t="n"/>
      <c r="G5005" s="15" t="n"/>
      <c r="H5005" s="16">
        <f>IF($A5005="","",$D5005+IF($E5005="",0,$E5005)+IF($F5005="",0,$F5005)-IF($G5005="",0,$G5005))</f>
        <v/>
      </c>
      <c r="I5005" s="12" t="n"/>
      <c r="J5005" s="12" t="n"/>
      <c r="K5005" s="12" t="n"/>
      <c r="L5005" s="14" t="n"/>
      <c r="M5005" s="12" t="n"/>
      <c r="N5005" s="12" t="n"/>
      <c r="O5005" s="12" t="n"/>
    </row>
    <row r="5006">
      <c r="A5006" s="12" t="n"/>
      <c r="B5006" s="13">
        <f>IF($A5006="","",IFERROR(INDEX(Emp_Names,MATCH($A5006,Emp_Codes,0)),"NOT FOUND"))</f>
        <v/>
      </c>
      <c r="C5006" s="14" t="n"/>
      <c r="D5006" s="15" t="n"/>
      <c r="E5006" s="15" t="n"/>
      <c r="F5006" s="15" t="n"/>
      <c r="G5006" s="15" t="n"/>
      <c r="H5006" s="16">
        <f>IF($A5006="","",$D5006+IF($E5006="",0,$E5006)+IF($F5006="",0,$F5006)-IF($G5006="",0,$G5006))</f>
        <v/>
      </c>
      <c r="I5006" s="12" t="n"/>
      <c r="J5006" s="12" t="n"/>
      <c r="K5006" s="12" t="n"/>
      <c r="L5006" s="14" t="n"/>
      <c r="M5006" s="12" t="n"/>
      <c r="N5006" s="12" t="n"/>
      <c r="O5006" s="12" t="n"/>
    </row>
    <row r="5007">
      <c r="A5007" s="12" t="n"/>
      <c r="B5007" s="13">
        <f>IF($A5007="","",IFERROR(INDEX(Emp_Names,MATCH($A5007,Emp_Codes,0)),"NOT FOUND"))</f>
        <v/>
      </c>
      <c r="C5007" s="14" t="n"/>
      <c r="D5007" s="15" t="n"/>
      <c r="E5007" s="15" t="n"/>
      <c r="F5007" s="15" t="n"/>
      <c r="G5007" s="15" t="n"/>
      <c r="H5007" s="16">
        <f>IF($A5007="","",$D5007+IF($E5007="",0,$E5007)+IF($F5007="",0,$F5007)-IF($G5007="",0,$G5007))</f>
        <v/>
      </c>
      <c r="I5007" s="12" t="n"/>
      <c r="J5007" s="12" t="n"/>
      <c r="K5007" s="12" t="n"/>
      <c r="L5007" s="14" t="n"/>
      <c r="M5007" s="12" t="n"/>
      <c r="N5007" s="12" t="n"/>
      <c r="O5007" s="12" t="n"/>
    </row>
    <row r="5008">
      <c r="A5008" s="12" t="n"/>
      <c r="B5008" s="13">
        <f>IF($A5008="","",IFERROR(INDEX(Emp_Names,MATCH($A5008,Emp_Codes,0)),"NOT FOUND"))</f>
        <v/>
      </c>
      <c r="C5008" s="14" t="n"/>
      <c r="D5008" s="15" t="n"/>
      <c r="E5008" s="15" t="n"/>
      <c r="F5008" s="15" t="n"/>
      <c r="G5008" s="15" t="n"/>
      <c r="H5008" s="16">
        <f>IF($A5008="","",$D5008+IF($E5008="",0,$E5008)+IF($F5008="",0,$F5008)-IF($G5008="",0,$G5008))</f>
        <v/>
      </c>
      <c r="I5008" s="12" t="n"/>
      <c r="J5008" s="12" t="n"/>
      <c r="K5008" s="12" t="n"/>
      <c r="L5008" s="14" t="n"/>
      <c r="M5008" s="12" t="n"/>
      <c r="N5008" s="12" t="n"/>
      <c r="O5008" s="12" t="n"/>
    </row>
    <row r="5009">
      <c r="A5009" s="12" t="n"/>
      <c r="B5009" s="13">
        <f>IF($A5009="","",IFERROR(INDEX(Emp_Names,MATCH($A5009,Emp_Codes,0)),"NOT FOUND"))</f>
        <v/>
      </c>
      <c r="C5009" s="14" t="n"/>
      <c r="D5009" s="15" t="n"/>
      <c r="E5009" s="15" t="n"/>
      <c r="F5009" s="15" t="n"/>
      <c r="G5009" s="15" t="n"/>
      <c r="H5009" s="16">
        <f>IF($A5009="","",$D5009+IF($E5009="",0,$E5009)+IF($F5009="",0,$F5009)-IF($G5009="",0,$G5009))</f>
        <v/>
      </c>
      <c r="I5009" s="12" t="n"/>
      <c r="J5009" s="12" t="n"/>
      <c r="K5009" s="12" t="n"/>
      <c r="L5009" s="14" t="n"/>
      <c r="M5009" s="12" t="n"/>
      <c r="N5009" s="12" t="n"/>
      <c r="O5009" s="12" t="n"/>
    </row>
    <row r="5010">
      <c r="A5010" s="12" t="n"/>
      <c r="B5010" s="13">
        <f>IF($A5010="","",IFERROR(INDEX(Emp_Names,MATCH($A5010,Emp_Codes,0)),"NOT FOUND"))</f>
        <v/>
      </c>
      <c r="C5010" s="14" t="n"/>
      <c r="D5010" s="15" t="n"/>
      <c r="E5010" s="15" t="n"/>
      <c r="F5010" s="15" t="n"/>
      <c r="G5010" s="15" t="n"/>
      <c r="H5010" s="16">
        <f>IF($A5010="","",$D5010+IF($E5010="",0,$E5010)+IF($F5010="",0,$F5010)-IF($G5010="",0,$G5010))</f>
        <v/>
      </c>
      <c r="I5010" s="12" t="n"/>
      <c r="J5010" s="12" t="n"/>
      <c r="K5010" s="12" t="n"/>
      <c r="L5010" s="14" t="n"/>
      <c r="M5010" s="12" t="n"/>
      <c r="N5010" s="12" t="n"/>
      <c r="O5010" s="12" t="n"/>
    </row>
    <row r="5011">
      <c r="A5011" s="12" t="n"/>
      <c r="B5011" s="13">
        <f>IF($A5011="","",IFERROR(INDEX(Emp_Names,MATCH($A5011,Emp_Codes,0)),"NOT FOUND"))</f>
        <v/>
      </c>
      <c r="C5011" s="14" t="n"/>
      <c r="D5011" s="15" t="n"/>
      <c r="E5011" s="15" t="n"/>
      <c r="F5011" s="15" t="n"/>
      <c r="G5011" s="15" t="n"/>
      <c r="H5011" s="16">
        <f>IF($A5011="","",$D5011+IF($E5011="",0,$E5011)+IF($F5011="",0,$F5011)-IF($G5011="",0,$G5011))</f>
        <v/>
      </c>
      <c r="I5011" s="12" t="n"/>
      <c r="J5011" s="12" t="n"/>
      <c r="K5011" s="12" t="n"/>
      <c r="L5011" s="14" t="n"/>
      <c r="M5011" s="12" t="n"/>
      <c r="N5011" s="12" t="n"/>
      <c r="O5011" s="12" t="n"/>
    </row>
    <row r="5012">
      <c r="A5012" s="12" t="n"/>
      <c r="B5012" s="13">
        <f>IF($A5012="","",IFERROR(INDEX(Emp_Names,MATCH($A5012,Emp_Codes,0)),"NOT FOUND"))</f>
        <v/>
      </c>
      <c r="C5012" s="14" t="n"/>
      <c r="D5012" s="15" t="n"/>
      <c r="E5012" s="15" t="n"/>
      <c r="F5012" s="15" t="n"/>
      <c r="G5012" s="15" t="n"/>
      <c r="H5012" s="16">
        <f>IF($A5012="","",$D5012+IF($E5012="",0,$E5012)+IF($F5012="",0,$F5012)-IF($G5012="",0,$G5012))</f>
        <v/>
      </c>
      <c r="I5012" s="12" t="n"/>
      <c r="J5012" s="12" t="n"/>
      <c r="K5012" s="12" t="n"/>
      <c r="L5012" s="14" t="n"/>
      <c r="M5012" s="12" t="n"/>
      <c r="N5012" s="12" t="n"/>
      <c r="O5012" s="12" t="n"/>
    </row>
    <row r="5013">
      <c r="A5013" s="12" t="n"/>
      <c r="B5013" s="13">
        <f>IF($A5013="","",IFERROR(INDEX(Emp_Names,MATCH($A5013,Emp_Codes,0)),"NOT FOUND"))</f>
        <v/>
      </c>
      <c r="C5013" s="14" t="n"/>
      <c r="D5013" s="15" t="n"/>
      <c r="E5013" s="15" t="n"/>
      <c r="F5013" s="15" t="n"/>
      <c r="G5013" s="15" t="n"/>
      <c r="H5013" s="16">
        <f>IF($A5013="","",$D5013+IF($E5013="",0,$E5013)+IF($F5013="",0,$F5013)-IF($G5013="",0,$G5013))</f>
        <v/>
      </c>
      <c r="I5013" s="12" t="n"/>
      <c r="J5013" s="12" t="n"/>
      <c r="K5013" s="12" t="n"/>
      <c r="L5013" s="14" t="n"/>
      <c r="M5013" s="12" t="n"/>
      <c r="N5013" s="12" t="n"/>
      <c r="O5013" s="12" t="n"/>
    </row>
    <row r="5014">
      <c r="A5014" s="12" t="n"/>
      <c r="B5014" s="13">
        <f>IF($A5014="","",IFERROR(INDEX(Emp_Names,MATCH($A5014,Emp_Codes,0)),"NOT FOUND"))</f>
        <v/>
      </c>
      <c r="C5014" s="14" t="n"/>
      <c r="D5014" s="15" t="n"/>
      <c r="E5014" s="15" t="n"/>
      <c r="F5014" s="15" t="n"/>
      <c r="G5014" s="15" t="n"/>
      <c r="H5014" s="16">
        <f>IF($A5014="","",$D5014+IF($E5014="",0,$E5014)+IF($F5014="",0,$F5014)-IF($G5014="",0,$G5014))</f>
        <v/>
      </c>
      <c r="I5014" s="12" t="n"/>
      <c r="J5014" s="12" t="n"/>
      <c r="K5014" s="12" t="n"/>
      <c r="L5014" s="14" t="n"/>
      <c r="M5014" s="12" t="n"/>
      <c r="N5014" s="12" t="n"/>
      <c r="O5014" s="12" t="n"/>
    </row>
    <row r="5015">
      <c r="A5015" s="12" t="n"/>
      <c r="B5015" s="13">
        <f>IF($A5015="","",IFERROR(INDEX(Emp_Names,MATCH($A5015,Emp_Codes,0)),"NOT FOUND"))</f>
        <v/>
      </c>
      <c r="C5015" s="14" t="n"/>
      <c r="D5015" s="15" t="n"/>
      <c r="E5015" s="15" t="n"/>
      <c r="F5015" s="15" t="n"/>
      <c r="G5015" s="15" t="n"/>
      <c r="H5015" s="16">
        <f>IF($A5015="","",$D5015+IF($E5015="",0,$E5015)+IF($F5015="",0,$F5015)-IF($G5015="",0,$G5015))</f>
        <v/>
      </c>
      <c r="I5015" s="12" t="n"/>
      <c r="J5015" s="12" t="n"/>
      <c r="K5015" s="12" t="n"/>
      <c r="L5015" s="14" t="n"/>
      <c r="M5015" s="12" t="n"/>
      <c r="N5015" s="12" t="n"/>
      <c r="O5015" s="12" t="n"/>
    </row>
    <row r="5016">
      <c r="A5016" s="12" t="n"/>
      <c r="B5016" s="13">
        <f>IF($A5016="","",IFERROR(INDEX(Emp_Names,MATCH($A5016,Emp_Codes,0)),"NOT FOUND"))</f>
        <v/>
      </c>
      <c r="C5016" s="14" t="n"/>
      <c r="D5016" s="15" t="n"/>
      <c r="E5016" s="15" t="n"/>
      <c r="F5016" s="15" t="n"/>
      <c r="G5016" s="15" t="n"/>
      <c r="H5016" s="16">
        <f>IF($A5016="","",$D5016+IF($E5016="",0,$E5016)+IF($F5016="",0,$F5016)-IF($G5016="",0,$G5016))</f>
        <v/>
      </c>
      <c r="I5016" s="12" t="n"/>
      <c r="J5016" s="12" t="n"/>
      <c r="K5016" s="12" t="n"/>
      <c r="L5016" s="14" t="n"/>
      <c r="M5016" s="12" t="n"/>
      <c r="N5016" s="12" t="n"/>
      <c r="O5016" s="12" t="n"/>
    </row>
    <row r="5017">
      <c r="A5017" s="12" t="n"/>
      <c r="B5017" s="13">
        <f>IF($A5017="","",IFERROR(INDEX(Emp_Names,MATCH($A5017,Emp_Codes,0)),"NOT FOUND"))</f>
        <v/>
      </c>
      <c r="C5017" s="14" t="n"/>
      <c r="D5017" s="15" t="n"/>
      <c r="E5017" s="15" t="n"/>
      <c r="F5017" s="15" t="n"/>
      <c r="G5017" s="15" t="n"/>
      <c r="H5017" s="16">
        <f>IF($A5017="","",$D5017+IF($E5017="",0,$E5017)+IF($F5017="",0,$F5017)-IF($G5017="",0,$G5017))</f>
        <v/>
      </c>
      <c r="I5017" s="12" t="n"/>
      <c r="J5017" s="12" t="n"/>
      <c r="K5017" s="12" t="n"/>
      <c r="L5017" s="14" t="n"/>
      <c r="M5017" s="12" t="n"/>
      <c r="N5017" s="12" t="n"/>
      <c r="O5017" s="12" t="n"/>
    </row>
    <row r="5018">
      <c r="A5018" s="12" t="n"/>
      <c r="B5018" s="13">
        <f>IF($A5018="","",IFERROR(INDEX(Emp_Names,MATCH($A5018,Emp_Codes,0)),"NOT FOUND"))</f>
        <v/>
      </c>
      <c r="C5018" s="14" t="n"/>
      <c r="D5018" s="15" t="n"/>
      <c r="E5018" s="15" t="n"/>
      <c r="F5018" s="15" t="n"/>
      <c r="G5018" s="15" t="n"/>
      <c r="H5018" s="16">
        <f>IF($A5018="","",$D5018+IF($E5018="",0,$E5018)+IF($F5018="",0,$F5018)-IF($G5018="",0,$G5018))</f>
        <v/>
      </c>
      <c r="I5018" s="12" t="n"/>
      <c r="J5018" s="12" t="n"/>
      <c r="K5018" s="12" t="n"/>
      <c r="L5018" s="14" t="n"/>
      <c r="M5018" s="12" t="n"/>
      <c r="N5018" s="12" t="n"/>
      <c r="O5018" s="12" t="n"/>
    </row>
    <row r="5019">
      <c r="A5019" s="12" t="n"/>
      <c r="B5019" s="13">
        <f>IF($A5019="","",IFERROR(INDEX(Emp_Names,MATCH($A5019,Emp_Codes,0)),"NOT FOUND"))</f>
        <v/>
      </c>
      <c r="C5019" s="14" t="n"/>
      <c r="D5019" s="15" t="n"/>
      <c r="E5019" s="15" t="n"/>
      <c r="F5019" s="15" t="n"/>
      <c r="G5019" s="15" t="n"/>
      <c r="H5019" s="16">
        <f>IF($A5019="","",$D5019+IF($E5019="",0,$E5019)+IF($F5019="",0,$F5019)-IF($G5019="",0,$G5019))</f>
        <v/>
      </c>
      <c r="I5019" s="12" t="n"/>
      <c r="J5019" s="12" t="n"/>
      <c r="K5019" s="12" t="n"/>
      <c r="L5019" s="14" t="n"/>
      <c r="M5019" s="12" t="n"/>
      <c r="N5019" s="12" t="n"/>
      <c r="O5019" s="12" t="n"/>
    </row>
    <row r="5020">
      <c r="A5020" s="12" t="n"/>
      <c r="B5020" s="13">
        <f>IF($A5020="","",IFERROR(INDEX(Emp_Names,MATCH($A5020,Emp_Codes,0)),"NOT FOUND"))</f>
        <v/>
      </c>
      <c r="C5020" s="14" t="n"/>
      <c r="D5020" s="15" t="n"/>
      <c r="E5020" s="15" t="n"/>
      <c r="F5020" s="15" t="n"/>
      <c r="G5020" s="15" t="n"/>
      <c r="H5020" s="16">
        <f>IF($A5020="","",$D5020+IF($E5020="",0,$E5020)+IF($F5020="",0,$F5020)-IF($G5020="",0,$G5020))</f>
        <v/>
      </c>
      <c r="I5020" s="12" t="n"/>
      <c r="J5020" s="12" t="n"/>
      <c r="K5020" s="12" t="n"/>
      <c r="L5020" s="14" t="n"/>
      <c r="M5020" s="12" t="n"/>
      <c r="N5020" s="12" t="n"/>
      <c r="O5020" s="12" t="n"/>
    </row>
    <row r="5021">
      <c r="A5021" s="12" t="n"/>
      <c r="B5021" s="13">
        <f>IF($A5021="","",IFERROR(INDEX(Emp_Names,MATCH($A5021,Emp_Codes,0)),"NOT FOUND"))</f>
        <v/>
      </c>
      <c r="C5021" s="14" t="n"/>
      <c r="D5021" s="15" t="n"/>
      <c r="E5021" s="15" t="n"/>
      <c r="F5021" s="15" t="n"/>
      <c r="G5021" s="15" t="n"/>
      <c r="H5021" s="16">
        <f>IF($A5021="","",$D5021+IF($E5021="",0,$E5021)+IF($F5021="",0,$F5021)-IF($G5021="",0,$G5021))</f>
        <v/>
      </c>
      <c r="I5021" s="12" t="n"/>
      <c r="J5021" s="12" t="n"/>
      <c r="K5021" s="12" t="n"/>
      <c r="L5021" s="14" t="n"/>
      <c r="M5021" s="12" t="n"/>
      <c r="N5021" s="12" t="n"/>
      <c r="O5021" s="12" t="n"/>
    </row>
    <row r="5022">
      <c r="A5022" s="12" t="n"/>
      <c r="B5022" s="13">
        <f>IF($A5022="","",IFERROR(INDEX(Emp_Names,MATCH($A5022,Emp_Codes,0)),"NOT FOUND"))</f>
        <v/>
      </c>
      <c r="C5022" s="14" t="n"/>
      <c r="D5022" s="15" t="n"/>
      <c r="E5022" s="15" t="n"/>
      <c r="F5022" s="15" t="n"/>
      <c r="G5022" s="15" t="n"/>
      <c r="H5022" s="16">
        <f>IF($A5022="","",$D5022+IF($E5022="",0,$E5022)+IF($F5022="",0,$F5022)-IF($G5022="",0,$G5022))</f>
        <v/>
      </c>
      <c r="I5022" s="12" t="n"/>
      <c r="J5022" s="12" t="n"/>
      <c r="K5022" s="12" t="n"/>
      <c r="L5022" s="14" t="n"/>
      <c r="M5022" s="12" t="n"/>
      <c r="N5022" s="12" t="n"/>
      <c r="O5022" s="12" t="n"/>
    </row>
    <row r="5023">
      <c r="A5023" s="12" t="n"/>
      <c r="B5023" s="13">
        <f>IF($A5023="","",IFERROR(INDEX(Emp_Names,MATCH($A5023,Emp_Codes,0)),"NOT FOUND"))</f>
        <v/>
      </c>
      <c r="C5023" s="14" t="n"/>
      <c r="D5023" s="15" t="n"/>
      <c r="E5023" s="15" t="n"/>
      <c r="F5023" s="15" t="n"/>
      <c r="G5023" s="15" t="n"/>
      <c r="H5023" s="16">
        <f>IF($A5023="","",$D5023+IF($E5023="",0,$E5023)+IF($F5023="",0,$F5023)-IF($G5023="",0,$G5023))</f>
        <v/>
      </c>
      <c r="I5023" s="12" t="n"/>
      <c r="J5023" s="12" t="n"/>
      <c r="K5023" s="12" t="n"/>
      <c r="L5023" s="14" t="n"/>
      <c r="M5023" s="12" t="n"/>
      <c r="N5023" s="12" t="n"/>
      <c r="O5023" s="12" t="n"/>
    </row>
    <row r="5024">
      <c r="A5024" s="12" t="n"/>
      <c r="B5024" s="13">
        <f>IF($A5024="","",IFERROR(INDEX(Emp_Names,MATCH($A5024,Emp_Codes,0)),"NOT FOUND"))</f>
        <v/>
      </c>
      <c r="C5024" s="14" t="n"/>
      <c r="D5024" s="15" t="n"/>
      <c r="E5024" s="15" t="n"/>
      <c r="F5024" s="15" t="n"/>
      <c r="G5024" s="15" t="n"/>
      <c r="H5024" s="16">
        <f>IF($A5024="","",$D5024+IF($E5024="",0,$E5024)+IF($F5024="",0,$F5024)-IF($G5024="",0,$G5024))</f>
        <v/>
      </c>
      <c r="I5024" s="12" t="n"/>
      <c r="J5024" s="12" t="n"/>
      <c r="K5024" s="12" t="n"/>
      <c r="L5024" s="14" t="n"/>
      <c r="M5024" s="12" t="n"/>
      <c r="N5024" s="12" t="n"/>
      <c r="O5024" s="12" t="n"/>
    </row>
    <row r="5025">
      <c r="A5025" s="12" t="n"/>
      <c r="B5025" s="13">
        <f>IF($A5025="","",IFERROR(INDEX(Emp_Names,MATCH($A5025,Emp_Codes,0)),"NOT FOUND"))</f>
        <v/>
      </c>
      <c r="C5025" s="14" t="n"/>
      <c r="D5025" s="15" t="n"/>
      <c r="E5025" s="15" t="n"/>
      <c r="F5025" s="15" t="n"/>
      <c r="G5025" s="15" t="n"/>
      <c r="H5025" s="16">
        <f>IF($A5025="","",$D5025+IF($E5025="",0,$E5025)+IF($F5025="",0,$F5025)-IF($G5025="",0,$G5025))</f>
        <v/>
      </c>
      <c r="I5025" s="12" t="n"/>
      <c r="J5025" s="12" t="n"/>
      <c r="K5025" s="12" t="n"/>
      <c r="L5025" s="14" t="n"/>
      <c r="M5025" s="12" t="n"/>
      <c r="N5025" s="12" t="n"/>
      <c r="O5025" s="12" t="n"/>
    </row>
    <row r="5026">
      <c r="A5026" s="12" t="n"/>
      <c r="B5026" s="13">
        <f>IF($A5026="","",IFERROR(INDEX(Emp_Names,MATCH($A5026,Emp_Codes,0)),"NOT FOUND"))</f>
        <v/>
      </c>
      <c r="C5026" s="14" t="n"/>
      <c r="D5026" s="15" t="n"/>
      <c r="E5026" s="15" t="n"/>
      <c r="F5026" s="15" t="n"/>
      <c r="G5026" s="15" t="n"/>
      <c r="H5026" s="16">
        <f>IF($A5026="","",$D5026+IF($E5026="",0,$E5026)+IF($F5026="",0,$F5026)-IF($G5026="",0,$G5026))</f>
        <v/>
      </c>
      <c r="I5026" s="12" t="n"/>
      <c r="J5026" s="12" t="n"/>
      <c r="K5026" s="12" t="n"/>
      <c r="L5026" s="14" t="n"/>
      <c r="M5026" s="12" t="n"/>
      <c r="N5026" s="12" t="n"/>
      <c r="O5026" s="12" t="n"/>
    </row>
    <row r="5027">
      <c r="A5027" s="12" t="n"/>
      <c r="B5027" s="13">
        <f>IF($A5027="","",IFERROR(INDEX(Emp_Names,MATCH($A5027,Emp_Codes,0)),"NOT FOUND"))</f>
        <v/>
      </c>
      <c r="C5027" s="14" t="n"/>
      <c r="D5027" s="15" t="n"/>
      <c r="E5027" s="15" t="n"/>
      <c r="F5027" s="15" t="n"/>
      <c r="G5027" s="15" t="n"/>
      <c r="H5027" s="16">
        <f>IF($A5027="","",$D5027+IF($E5027="",0,$E5027)+IF($F5027="",0,$F5027)-IF($G5027="",0,$G5027))</f>
        <v/>
      </c>
      <c r="I5027" s="12" t="n"/>
      <c r="J5027" s="12" t="n"/>
      <c r="K5027" s="12" t="n"/>
      <c r="L5027" s="14" t="n"/>
      <c r="M5027" s="12" t="n"/>
      <c r="N5027" s="12" t="n"/>
      <c r="O5027" s="12" t="n"/>
    </row>
    <row r="5028">
      <c r="A5028" s="12" t="n"/>
      <c r="B5028" s="13">
        <f>IF($A5028="","",IFERROR(INDEX(Emp_Names,MATCH($A5028,Emp_Codes,0)),"NOT FOUND"))</f>
        <v/>
      </c>
      <c r="C5028" s="14" t="n"/>
      <c r="D5028" s="15" t="n"/>
      <c r="E5028" s="15" t="n"/>
      <c r="F5028" s="15" t="n"/>
      <c r="G5028" s="15" t="n"/>
      <c r="H5028" s="16">
        <f>IF($A5028="","",$D5028+IF($E5028="",0,$E5028)+IF($F5028="",0,$F5028)-IF($G5028="",0,$G5028))</f>
        <v/>
      </c>
      <c r="I5028" s="12" t="n"/>
      <c r="J5028" s="12" t="n"/>
      <c r="K5028" s="12" t="n"/>
      <c r="L5028" s="14" t="n"/>
      <c r="M5028" s="12" t="n"/>
      <c r="N5028" s="12" t="n"/>
      <c r="O5028" s="12" t="n"/>
    </row>
    <row r="5029">
      <c r="A5029" s="12" t="n"/>
      <c r="B5029" s="13">
        <f>IF($A5029="","",IFERROR(INDEX(Emp_Names,MATCH($A5029,Emp_Codes,0)),"NOT FOUND"))</f>
        <v/>
      </c>
      <c r="C5029" s="14" t="n"/>
      <c r="D5029" s="15" t="n"/>
      <c r="E5029" s="15" t="n"/>
      <c r="F5029" s="15" t="n"/>
      <c r="G5029" s="15" t="n"/>
      <c r="H5029" s="16">
        <f>IF($A5029="","",$D5029+IF($E5029="",0,$E5029)+IF($F5029="",0,$F5029)-IF($G5029="",0,$G5029))</f>
        <v/>
      </c>
      <c r="I5029" s="12" t="n"/>
      <c r="J5029" s="12" t="n"/>
      <c r="K5029" s="12" t="n"/>
      <c r="L5029" s="14" t="n"/>
      <c r="M5029" s="12" t="n"/>
      <c r="N5029" s="12" t="n"/>
      <c r="O5029" s="12" t="n"/>
    </row>
    <row r="5030">
      <c r="A5030" s="12" t="n"/>
      <c r="B5030" s="13">
        <f>IF($A5030="","",IFERROR(INDEX(Emp_Names,MATCH($A5030,Emp_Codes,0)),"NOT FOUND"))</f>
        <v/>
      </c>
      <c r="C5030" s="14" t="n"/>
      <c r="D5030" s="15" t="n"/>
      <c r="E5030" s="15" t="n"/>
      <c r="F5030" s="15" t="n"/>
      <c r="G5030" s="15" t="n"/>
      <c r="H5030" s="16">
        <f>IF($A5030="","",$D5030+IF($E5030="",0,$E5030)+IF($F5030="",0,$F5030)-IF($G5030="",0,$G5030))</f>
        <v/>
      </c>
      <c r="I5030" s="12" t="n"/>
      <c r="J5030" s="12" t="n"/>
      <c r="K5030" s="12" t="n"/>
      <c r="L5030" s="14" t="n"/>
      <c r="M5030" s="12" t="n"/>
      <c r="N5030" s="12" t="n"/>
      <c r="O5030" s="12" t="n"/>
    </row>
    <row r="5031">
      <c r="A5031" s="12" t="n"/>
      <c r="B5031" s="13">
        <f>IF($A5031="","",IFERROR(INDEX(Emp_Names,MATCH($A5031,Emp_Codes,0)),"NOT FOUND"))</f>
        <v/>
      </c>
      <c r="C5031" s="14" t="n"/>
      <c r="D5031" s="15" t="n"/>
      <c r="E5031" s="15" t="n"/>
      <c r="F5031" s="15" t="n"/>
      <c r="G5031" s="15" t="n"/>
      <c r="H5031" s="16">
        <f>IF($A5031="","",$D5031+IF($E5031="",0,$E5031)+IF($F5031="",0,$F5031)-IF($G5031="",0,$G5031))</f>
        <v/>
      </c>
      <c r="I5031" s="12" t="n"/>
      <c r="J5031" s="12" t="n"/>
      <c r="K5031" s="12" t="n"/>
      <c r="L5031" s="14" t="n"/>
      <c r="M5031" s="12" t="n"/>
      <c r="N5031" s="12" t="n"/>
      <c r="O5031" s="12" t="n"/>
    </row>
    <row r="5032">
      <c r="A5032" s="12" t="n"/>
      <c r="B5032" s="13">
        <f>IF($A5032="","",IFERROR(INDEX(Emp_Names,MATCH($A5032,Emp_Codes,0)),"NOT FOUND"))</f>
        <v/>
      </c>
      <c r="C5032" s="14" t="n"/>
      <c r="D5032" s="15" t="n"/>
      <c r="E5032" s="15" t="n"/>
      <c r="F5032" s="15" t="n"/>
      <c r="G5032" s="15" t="n"/>
      <c r="H5032" s="16">
        <f>IF($A5032="","",$D5032+IF($E5032="",0,$E5032)+IF($F5032="",0,$F5032)-IF($G5032="",0,$G5032))</f>
        <v/>
      </c>
      <c r="I5032" s="12" t="n"/>
      <c r="J5032" s="12" t="n"/>
      <c r="K5032" s="12" t="n"/>
      <c r="L5032" s="14" t="n"/>
      <c r="M5032" s="12" t="n"/>
      <c r="N5032" s="12" t="n"/>
      <c r="O5032" s="12" t="n"/>
    </row>
    <row r="5033">
      <c r="A5033" s="12" t="n"/>
      <c r="B5033" s="13">
        <f>IF($A5033="","",IFERROR(INDEX(Emp_Names,MATCH($A5033,Emp_Codes,0)),"NOT FOUND"))</f>
        <v/>
      </c>
      <c r="C5033" s="14" t="n"/>
      <c r="D5033" s="15" t="n"/>
      <c r="E5033" s="15" t="n"/>
      <c r="F5033" s="15" t="n"/>
      <c r="G5033" s="15" t="n"/>
      <c r="H5033" s="16">
        <f>IF($A5033="","",$D5033+IF($E5033="",0,$E5033)+IF($F5033="",0,$F5033)-IF($G5033="",0,$G5033))</f>
        <v/>
      </c>
      <c r="I5033" s="12" t="n"/>
      <c r="J5033" s="12" t="n"/>
      <c r="K5033" s="12" t="n"/>
      <c r="L5033" s="14" t="n"/>
      <c r="M5033" s="12" t="n"/>
      <c r="N5033" s="12" t="n"/>
      <c r="O5033" s="12" t="n"/>
    </row>
    <row r="5034">
      <c r="A5034" s="12" t="n"/>
      <c r="B5034" s="13">
        <f>IF($A5034="","",IFERROR(INDEX(Emp_Names,MATCH($A5034,Emp_Codes,0)),"NOT FOUND"))</f>
        <v/>
      </c>
      <c r="C5034" s="14" t="n"/>
      <c r="D5034" s="15" t="n"/>
      <c r="E5034" s="15" t="n"/>
      <c r="F5034" s="15" t="n"/>
      <c r="G5034" s="15" t="n"/>
      <c r="H5034" s="16">
        <f>IF($A5034="","",$D5034+IF($E5034="",0,$E5034)+IF($F5034="",0,$F5034)-IF($G5034="",0,$G5034))</f>
        <v/>
      </c>
      <c r="I5034" s="12" t="n"/>
      <c r="J5034" s="12" t="n"/>
      <c r="K5034" s="12" t="n"/>
      <c r="L5034" s="14" t="n"/>
      <c r="M5034" s="12" t="n"/>
      <c r="N5034" s="12" t="n"/>
      <c r="O5034" s="12" t="n"/>
    </row>
    <row r="5035">
      <c r="A5035" s="12" t="n"/>
      <c r="B5035" s="13">
        <f>IF($A5035="","",IFERROR(INDEX(Emp_Names,MATCH($A5035,Emp_Codes,0)),"NOT FOUND"))</f>
        <v/>
      </c>
      <c r="C5035" s="14" t="n"/>
      <c r="D5035" s="15" t="n"/>
      <c r="E5035" s="15" t="n"/>
      <c r="F5035" s="15" t="n"/>
      <c r="G5035" s="15" t="n"/>
      <c r="H5035" s="16">
        <f>IF($A5035="","",$D5035+IF($E5035="",0,$E5035)+IF($F5035="",0,$F5035)-IF($G5035="",0,$G5035))</f>
        <v/>
      </c>
      <c r="I5035" s="12" t="n"/>
      <c r="J5035" s="12" t="n"/>
      <c r="K5035" s="12" t="n"/>
      <c r="L5035" s="14" t="n"/>
      <c r="M5035" s="12" t="n"/>
      <c r="N5035" s="12" t="n"/>
      <c r="O5035" s="12" t="n"/>
    </row>
    <row r="5036">
      <c r="A5036" s="12" t="n"/>
      <c r="B5036" s="13">
        <f>IF($A5036="","",IFERROR(INDEX(Emp_Names,MATCH($A5036,Emp_Codes,0)),"NOT FOUND"))</f>
        <v/>
      </c>
      <c r="C5036" s="14" t="n"/>
      <c r="D5036" s="15" t="n"/>
      <c r="E5036" s="15" t="n"/>
      <c r="F5036" s="15" t="n"/>
      <c r="G5036" s="15" t="n"/>
      <c r="H5036" s="16">
        <f>IF($A5036="","",$D5036+IF($E5036="",0,$E5036)+IF($F5036="",0,$F5036)-IF($G5036="",0,$G5036))</f>
        <v/>
      </c>
      <c r="I5036" s="12" t="n"/>
      <c r="J5036" s="12" t="n"/>
      <c r="K5036" s="12" t="n"/>
      <c r="L5036" s="14" t="n"/>
      <c r="M5036" s="12" t="n"/>
      <c r="N5036" s="12" t="n"/>
      <c r="O5036" s="12" t="n"/>
    </row>
    <row r="5037">
      <c r="A5037" s="12" t="n"/>
      <c r="B5037" s="13">
        <f>IF($A5037="","",IFERROR(INDEX(Emp_Names,MATCH($A5037,Emp_Codes,0)),"NOT FOUND"))</f>
        <v/>
      </c>
      <c r="C5037" s="14" t="n"/>
      <c r="D5037" s="15" t="n"/>
      <c r="E5037" s="15" t="n"/>
      <c r="F5037" s="15" t="n"/>
      <c r="G5037" s="15" t="n"/>
      <c r="H5037" s="16">
        <f>IF($A5037="","",$D5037+IF($E5037="",0,$E5037)+IF($F5037="",0,$F5037)-IF($G5037="",0,$G5037))</f>
        <v/>
      </c>
      <c r="I5037" s="12" t="n"/>
      <c r="J5037" s="12" t="n"/>
      <c r="K5037" s="12" t="n"/>
      <c r="L5037" s="14" t="n"/>
      <c r="M5037" s="12" t="n"/>
      <c r="N5037" s="12" t="n"/>
      <c r="O5037" s="12" t="n"/>
    </row>
    <row r="5038">
      <c r="A5038" s="12" t="n"/>
      <c r="B5038" s="13">
        <f>IF($A5038="","",IFERROR(INDEX(Emp_Names,MATCH($A5038,Emp_Codes,0)),"NOT FOUND"))</f>
        <v/>
      </c>
      <c r="C5038" s="14" t="n"/>
      <c r="D5038" s="15" t="n"/>
      <c r="E5038" s="15" t="n"/>
      <c r="F5038" s="15" t="n"/>
      <c r="G5038" s="15" t="n"/>
      <c r="H5038" s="16">
        <f>IF($A5038="","",$D5038+IF($E5038="",0,$E5038)+IF($F5038="",0,$F5038)-IF($G5038="",0,$G5038))</f>
        <v/>
      </c>
      <c r="I5038" s="12" t="n"/>
      <c r="J5038" s="12" t="n"/>
      <c r="K5038" s="12" t="n"/>
      <c r="L5038" s="14" t="n"/>
      <c r="M5038" s="12" t="n"/>
      <c r="N5038" s="12" t="n"/>
      <c r="O5038" s="12" t="n"/>
    </row>
    <row r="5039">
      <c r="A5039" s="12" t="n"/>
      <c r="B5039" s="13">
        <f>IF($A5039="","",IFERROR(INDEX(Emp_Names,MATCH($A5039,Emp_Codes,0)),"NOT FOUND"))</f>
        <v/>
      </c>
      <c r="C5039" s="14" t="n"/>
      <c r="D5039" s="15" t="n"/>
      <c r="E5039" s="15" t="n"/>
      <c r="F5039" s="15" t="n"/>
      <c r="G5039" s="15" t="n"/>
      <c r="H5039" s="16">
        <f>IF($A5039="","",$D5039+IF($E5039="",0,$E5039)+IF($F5039="",0,$F5039)-IF($G5039="",0,$G5039))</f>
        <v/>
      </c>
      <c r="I5039" s="12" t="n"/>
      <c r="J5039" s="12" t="n"/>
      <c r="K5039" s="12" t="n"/>
      <c r="L5039" s="14" t="n"/>
      <c r="M5039" s="12" t="n"/>
      <c r="N5039" s="12" t="n"/>
      <c r="O5039" s="12" t="n"/>
    </row>
    <row r="5040">
      <c r="A5040" s="12" t="n"/>
      <c r="B5040" s="13">
        <f>IF($A5040="","",IFERROR(INDEX(Emp_Names,MATCH($A5040,Emp_Codes,0)),"NOT FOUND"))</f>
        <v/>
      </c>
      <c r="C5040" s="14" t="n"/>
      <c r="D5040" s="15" t="n"/>
      <c r="E5040" s="15" t="n"/>
      <c r="F5040" s="15" t="n"/>
      <c r="G5040" s="15" t="n"/>
      <c r="H5040" s="16">
        <f>IF($A5040="","",$D5040+IF($E5040="",0,$E5040)+IF($F5040="",0,$F5040)-IF($G5040="",0,$G5040))</f>
        <v/>
      </c>
      <c r="I5040" s="12" t="n"/>
      <c r="J5040" s="12" t="n"/>
      <c r="K5040" s="12" t="n"/>
      <c r="L5040" s="14" t="n"/>
      <c r="M5040" s="12" t="n"/>
      <c r="N5040" s="12" t="n"/>
      <c r="O5040" s="12" t="n"/>
    </row>
    <row r="5041">
      <c r="A5041" s="12" t="n"/>
      <c r="B5041" s="13">
        <f>IF($A5041="","",IFERROR(INDEX(Emp_Names,MATCH($A5041,Emp_Codes,0)),"NOT FOUND"))</f>
        <v/>
      </c>
      <c r="C5041" s="14" t="n"/>
      <c r="D5041" s="15" t="n"/>
      <c r="E5041" s="15" t="n"/>
      <c r="F5041" s="15" t="n"/>
      <c r="G5041" s="15" t="n"/>
      <c r="H5041" s="16">
        <f>IF($A5041="","",$D5041+IF($E5041="",0,$E5041)+IF($F5041="",0,$F5041)-IF($G5041="",0,$G5041))</f>
        <v/>
      </c>
      <c r="I5041" s="12" t="n"/>
      <c r="J5041" s="12" t="n"/>
      <c r="K5041" s="12" t="n"/>
      <c r="L5041" s="14" t="n"/>
      <c r="M5041" s="12" t="n"/>
      <c r="N5041" s="12" t="n"/>
      <c r="O5041" s="12" t="n"/>
    </row>
    <row r="5042">
      <c r="A5042" s="12" t="n"/>
      <c r="B5042" s="13">
        <f>IF($A5042="","",IFERROR(INDEX(Emp_Names,MATCH($A5042,Emp_Codes,0)),"NOT FOUND"))</f>
        <v/>
      </c>
      <c r="C5042" s="14" t="n"/>
      <c r="D5042" s="15" t="n"/>
      <c r="E5042" s="15" t="n"/>
      <c r="F5042" s="15" t="n"/>
      <c r="G5042" s="15" t="n"/>
      <c r="H5042" s="16">
        <f>IF($A5042="","",$D5042+IF($E5042="",0,$E5042)+IF($F5042="",0,$F5042)-IF($G5042="",0,$G5042))</f>
        <v/>
      </c>
      <c r="I5042" s="12" t="n"/>
      <c r="J5042" s="12" t="n"/>
      <c r="K5042" s="12" t="n"/>
      <c r="L5042" s="14" t="n"/>
      <c r="M5042" s="12" t="n"/>
      <c r="N5042" s="12" t="n"/>
      <c r="O5042" s="12" t="n"/>
    </row>
    <row r="5043">
      <c r="A5043" s="12" t="n"/>
      <c r="B5043" s="13">
        <f>IF($A5043="","",IFERROR(INDEX(Emp_Names,MATCH($A5043,Emp_Codes,0)),"NOT FOUND"))</f>
        <v/>
      </c>
      <c r="C5043" s="14" t="n"/>
      <c r="D5043" s="15" t="n"/>
      <c r="E5043" s="15" t="n"/>
      <c r="F5043" s="15" t="n"/>
      <c r="G5043" s="15" t="n"/>
      <c r="H5043" s="16">
        <f>IF($A5043="","",$D5043+IF($E5043="",0,$E5043)+IF($F5043="",0,$F5043)-IF($G5043="",0,$G5043))</f>
        <v/>
      </c>
      <c r="I5043" s="12" t="n"/>
      <c r="J5043" s="12" t="n"/>
      <c r="K5043" s="12" t="n"/>
      <c r="L5043" s="14" t="n"/>
      <c r="M5043" s="12" t="n"/>
      <c r="N5043" s="12" t="n"/>
      <c r="O5043" s="12" t="n"/>
    </row>
    <row r="5044">
      <c r="A5044" s="12" t="n"/>
      <c r="B5044" s="13">
        <f>IF($A5044="","",IFERROR(INDEX(Emp_Names,MATCH($A5044,Emp_Codes,0)),"NOT FOUND"))</f>
        <v/>
      </c>
      <c r="C5044" s="14" t="n"/>
      <c r="D5044" s="15" t="n"/>
      <c r="E5044" s="15" t="n"/>
      <c r="F5044" s="15" t="n"/>
      <c r="G5044" s="15" t="n"/>
      <c r="H5044" s="16">
        <f>IF($A5044="","",$D5044+IF($E5044="",0,$E5044)+IF($F5044="",0,$F5044)-IF($G5044="",0,$G5044))</f>
        <v/>
      </c>
      <c r="I5044" s="12" t="n"/>
      <c r="J5044" s="12" t="n"/>
      <c r="K5044" s="12" t="n"/>
      <c r="L5044" s="14" t="n"/>
      <c r="M5044" s="12" t="n"/>
      <c r="N5044" s="12" t="n"/>
      <c r="O5044" s="12" t="n"/>
    </row>
    <row r="5045">
      <c r="A5045" s="12" t="n"/>
      <c r="B5045" s="13">
        <f>IF($A5045="","",IFERROR(INDEX(Emp_Names,MATCH($A5045,Emp_Codes,0)),"NOT FOUND"))</f>
        <v/>
      </c>
      <c r="C5045" s="14" t="n"/>
      <c r="D5045" s="15" t="n"/>
      <c r="E5045" s="15" t="n"/>
      <c r="F5045" s="15" t="n"/>
      <c r="G5045" s="15" t="n"/>
      <c r="H5045" s="16">
        <f>IF($A5045="","",$D5045+IF($E5045="",0,$E5045)+IF($F5045="",0,$F5045)-IF($G5045="",0,$G5045))</f>
        <v/>
      </c>
      <c r="I5045" s="12" t="n"/>
      <c r="J5045" s="12" t="n"/>
      <c r="K5045" s="12" t="n"/>
      <c r="L5045" s="14" t="n"/>
      <c r="M5045" s="12" t="n"/>
      <c r="N5045" s="12" t="n"/>
      <c r="O5045" s="12" t="n"/>
    </row>
    <row r="5046">
      <c r="A5046" s="12" t="n"/>
      <c r="B5046" s="13">
        <f>IF($A5046="","",IFERROR(INDEX(Emp_Names,MATCH($A5046,Emp_Codes,0)),"NOT FOUND"))</f>
        <v/>
      </c>
      <c r="C5046" s="14" t="n"/>
      <c r="D5046" s="15" t="n"/>
      <c r="E5046" s="15" t="n"/>
      <c r="F5046" s="15" t="n"/>
      <c r="G5046" s="15" t="n"/>
      <c r="H5046" s="16">
        <f>IF($A5046="","",$D5046+IF($E5046="",0,$E5046)+IF($F5046="",0,$F5046)-IF($G5046="",0,$G5046))</f>
        <v/>
      </c>
      <c r="I5046" s="12" t="n"/>
      <c r="J5046" s="12" t="n"/>
      <c r="K5046" s="12" t="n"/>
      <c r="L5046" s="14" t="n"/>
      <c r="M5046" s="12" t="n"/>
      <c r="N5046" s="12" t="n"/>
      <c r="O5046" s="12" t="n"/>
    </row>
    <row r="5047">
      <c r="A5047" s="12" t="n"/>
      <c r="B5047" s="13">
        <f>IF($A5047="","",IFERROR(INDEX(Emp_Names,MATCH($A5047,Emp_Codes,0)),"NOT FOUND"))</f>
        <v/>
      </c>
      <c r="C5047" s="14" t="n"/>
      <c r="D5047" s="15" t="n"/>
      <c r="E5047" s="15" t="n"/>
      <c r="F5047" s="15" t="n"/>
      <c r="G5047" s="15" t="n"/>
      <c r="H5047" s="16">
        <f>IF($A5047="","",$D5047+IF($E5047="",0,$E5047)+IF($F5047="",0,$F5047)-IF($G5047="",0,$G5047))</f>
        <v/>
      </c>
      <c r="I5047" s="12" t="n"/>
      <c r="J5047" s="12" t="n"/>
      <c r="K5047" s="12" t="n"/>
      <c r="L5047" s="14" t="n"/>
      <c r="M5047" s="12" t="n"/>
      <c r="N5047" s="12" t="n"/>
      <c r="O5047" s="12" t="n"/>
    </row>
    <row r="5048">
      <c r="A5048" s="12" t="n"/>
      <c r="B5048" s="13">
        <f>IF($A5048="","",IFERROR(INDEX(Emp_Names,MATCH($A5048,Emp_Codes,0)),"NOT FOUND"))</f>
        <v/>
      </c>
      <c r="C5048" s="14" t="n"/>
      <c r="D5048" s="15" t="n"/>
      <c r="E5048" s="15" t="n"/>
      <c r="F5048" s="15" t="n"/>
      <c r="G5048" s="15" t="n"/>
      <c r="H5048" s="16">
        <f>IF($A5048="","",$D5048+IF($E5048="",0,$E5048)+IF($F5048="",0,$F5048)-IF($G5048="",0,$G5048))</f>
        <v/>
      </c>
      <c r="I5048" s="12" t="n"/>
      <c r="J5048" s="12" t="n"/>
      <c r="K5048" s="12" t="n"/>
      <c r="L5048" s="14" t="n"/>
      <c r="M5048" s="12" t="n"/>
      <c r="N5048" s="12" t="n"/>
      <c r="O5048" s="12" t="n"/>
    </row>
    <row r="5049">
      <c r="A5049" s="12" t="n"/>
      <c r="B5049" s="13">
        <f>IF($A5049="","",IFERROR(INDEX(Emp_Names,MATCH($A5049,Emp_Codes,0)),"NOT FOUND"))</f>
        <v/>
      </c>
      <c r="C5049" s="14" t="n"/>
      <c r="D5049" s="15" t="n"/>
      <c r="E5049" s="15" t="n"/>
      <c r="F5049" s="15" t="n"/>
      <c r="G5049" s="15" t="n"/>
      <c r="H5049" s="16">
        <f>IF($A5049="","",$D5049+IF($E5049="",0,$E5049)+IF($F5049="",0,$F5049)-IF($G5049="",0,$G5049))</f>
        <v/>
      </c>
      <c r="I5049" s="12" t="n"/>
      <c r="J5049" s="12" t="n"/>
      <c r="K5049" s="12" t="n"/>
      <c r="L5049" s="14" t="n"/>
      <c r="M5049" s="12" t="n"/>
      <c r="N5049" s="12" t="n"/>
      <c r="O5049" s="12" t="n"/>
    </row>
    <row r="5050">
      <c r="A5050" s="12" t="n"/>
      <c r="B5050" s="13">
        <f>IF($A5050="","",IFERROR(INDEX(Emp_Names,MATCH($A5050,Emp_Codes,0)),"NOT FOUND"))</f>
        <v/>
      </c>
      <c r="C5050" s="14" t="n"/>
      <c r="D5050" s="15" t="n"/>
      <c r="E5050" s="15" t="n"/>
      <c r="F5050" s="15" t="n"/>
      <c r="G5050" s="15" t="n"/>
      <c r="H5050" s="16">
        <f>IF($A5050="","",$D5050+IF($E5050="",0,$E5050)+IF($F5050="",0,$F5050)-IF($G5050="",0,$G5050))</f>
        <v/>
      </c>
      <c r="I5050" s="12" t="n"/>
      <c r="J5050" s="12" t="n"/>
      <c r="K5050" s="12" t="n"/>
      <c r="L5050" s="14" t="n"/>
      <c r="M5050" s="12" t="n"/>
      <c r="N5050" s="12" t="n"/>
      <c r="O5050" s="12" t="n"/>
    </row>
    <row r="5051">
      <c r="A5051" s="12" t="n"/>
      <c r="B5051" s="13">
        <f>IF($A5051="","",IFERROR(INDEX(Emp_Names,MATCH($A5051,Emp_Codes,0)),"NOT FOUND"))</f>
        <v/>
      </c>
      <c r="C5051" s="14" t="n"/>
      <c r="D5051" s="15" t="n"/>
      <c r="E5051" s="15" t="n"/>
      <c r="F5051" s="15" t="n"/>
      <c r="G5051" s="15" t="n"/>
      <c r="H5051" s="16">
        <f>IF($A5051="","",$D5051+IF($E5051="",0,$E5051)+IF($F5051="",0,$F5051)-IF($G5051="",0,$G5051))</f>
        <v/>
      </c>
      <c r="I5051" s="12" t="n"/>
      <c r="J5051" s="12" t="n"/>
      <c r="K5051" s="12" t="n"/>
      <c r="L5051" s="14" t="n"/>
      <c r="M5051" s="12" t="n"/>
      <c r="N5051" s="12" t="n"/>
      <c r="O5051" s="12" t="n"/>
    </row>
    <row r="5052">
      <c r="A5052" s="12" t="n"/>
      <c r="B5052" s="13">
        <f>IF($A5052="","",IFERROR(INDEX(Emp_Names,MATCH($A5052,Emp_Codes,0)),"NOT FOUND"))</f>
        <v/>
      </c>
      <c r="C5052" s="14" t="n"/>
      <c r="D5052" s="15" t="n"/>
      <c r="E5052" s="15" t="n"/>
      <c r="F5052" s="15" t="n"/>
      <c r="G5052" s="15" t="n"/>
      <c r="H5052" s="16">
        <f>IF($A5052="","",$D5052+IF($E5052="",0,$E5052)+IF($F5052="",0,$F5052)-IF($G5052="",0,$G5052))</f>
        <v/>
      </c>
      <c r="I5052" s="12" t="n"/>
      <c r="J5052" s="12" t="n"/>
      <c r="K5052" s="12" t="n"/>
      <c r="L5052" s="14" t="n"/>
      <c r="M5052" s="12" t="n"/>
      <c r="N5052" s="12" t="n"/>
      <c r="O5052" s="12" t="n"/>
    </row>
    <row r="5053">
      <c r="A5053" s="12" t="n"/>
      <c r="B5053" s="13">
        <f>IF($A5053="","",IFERROR(INDEX(Emp_Names,MATCH($A5053,Emp_Codes,0)),"NOT FOUND"))</f>
        <v/>
      </c>
      <c r="C5053" s="14" t="n"/>
      <c r="D5053" s="15" t="n"/>
      <c r="E5053" s="15" t="n"/>
      <c r="F5053" s="15" t="n"/>
      <c r="G5053" s="15" t="n"/>
      <c r="H5053" s="16">
        <f>IF($A5053="","",$D5053+IF($E5053="",0,$E5053)+IF($F5053="",0,$F5053)-IF($G5053="",0,$G5053))</f>
        <v/>
      </c>
      <c r="I5053" s="12" t="n"/>
      <c r="J5053" s="12" t="n"/>
      <c r="K5053" s="12" t="n"/>
      <c r="L5053" s="14" t="n"/>
      <c r="M5053" s="12" t="n"/>
      <c r="N5053" s="12" t="n"/>
      <c r="O5053" s="12" t="n"/>
    </row>
    <row r="5054">
      <c r="A5054" s="12" t="n"/>
      <c r="B5054" s="13">
        <f>IF($A5054="","",IFERROR(INDEX(Emp_Names,MATCH($A5054,Emp_Codes,0)),"NOT FOUND"))</f>
        <v/>
      </c>
      <c r="C5054" s="14" t="n"/>
      <c r="D5054" s="15" t="n"/>
      <c r="E5054" s="15" t="n"/>
      <c r="F5054" s="15" t="n"/>
      <c r="G5054" s="15" t="n"/>
      <c r="H5054" s="16">
        <f>IF($A5054="","",$D5054+IF($E5054="",0,$E5054)+IF($F5054="",0,$F5054)-IF($G5054="",0,$G5054))</f>
        <v/>
      </c>
      <c r="I5054" s="12" t="n"/>
      <c r="J5054" s="12" t="n"/>
      <c r="K5054" s="12" t="n"/>
      <c r="L5054" s="14" t="n"/>
      <c r="M5054" s="12" t="n"/>
      <c r="N5054" s="12" t="n"/>
      <c r="O5054" s="12" t="n"/>
    </row>
    <row r="5055">
      <c r="A5055" s="12" t="n"/>
      <c r="B5055" s="13">
        <f>IF($A5055="","",IFERROR(INDEX(Emp_Names,MATCH($A5055,Emp_Codes,0)),"NOT FOUND"))</f>
        <v/>
      </c>
      <c r="C5055" s="14" t="n"/>
      <c r="D5055" s="15" t="n"/>
      <c r="E5055" s="15" t="n"/>
      <c r="F5055" s="15" t="n"/>
      <c r="G5055" s="15" t="n"/>
      <c r="H5055" s="16">
        <f>IF($A5055="","",$D5055+IF($E5055="",0,$E5055)+IF($F5055="",0,$F5055)-IF($G5055="",0,$G5055))</f>
        <v/>
      </c>
      <c r="I5055" s="12" t="n"/>
      <c r="J5055" s="12" t="n"/>
      <c r="K5055" s="12" t="n"/>
      <c r="L5055" s="14" t="n"/>
      <c r="M5055" s="12" t="n"/>
      <c r="N5055" s="12" t="n"/>
      <c r="O5055" s="12" t="n"/>
    </row>
    <row r="5056">
      <c r="A5056" s="12" t="n"/>
      <c r="B5056" s="13">
        <f>IF($A5056="","",IFERROR(INDEX(Emp_Names,MATCH($A5056,Emp_Codes,0)),"NOT FOUND"))</f>
        <v/>
      </c>
      <c r="C5056" s="14" t="n"/>
      <c r="D5056" s="15" t="n"/>
      <c r="E5056" s="15" t="n"/>
      <c r="F5056" s="15" t="n"/>
      <c r="G5056" s="15" t="n"/>
      <c r="H5056" s="16">
        <f>IF($A5056="","",$D5056+IF($E5056="",0,$E5056)+IF($F5056="",0,$F5056)-IF($G5056="",0,$G5056))</f>
        <v/>
      </c>
      <c r="I5056" s="12" t="n"/>
      <c r="J5056" s="12" t="n"/>
      <c r="K5056" s="12" t="n"/>
      <c r="L5056" s="14" t="n"/>
      <c r="M5056" s="12" t="n"/>
      <c r="N5056" s="12" t="n"/>
      <c r="O5056" s="12" t="n"/>
    </row>
    <row r="5057">
      <c r="A5057" s="12" t="n"/>
      <c r="B5057" s="13">
        <f>IF($A5057="","",IFERROR(INDEX(Emp_Names,MATCH($A5057,Emp_Codes,0)),"NOT FOUND"))</f>
        <v/>
      </c>
      <c r="C5057" s="14" t="n"/>
      <c r="D5057" s="15" t="n"/>
      <c r="E5057" s="15" t="n"/>
      <c r="F5057" s="15" t="n"/>
      <c r="G5057" s="15" t="n"/>
      <c r="H5057" s="16">
        <f>IF($A5057="","",$D5057+IF($E5057="",0,$E5057)+IF($F5057="",0,$F5057)-IF($G5057="",0,$G5057))</f>
        <v/>
      </c>
      <c r="I5057" s="12" t="n"/>
      <c r="J5057" s="12" t="n"/>
      <c r="K5057" s="12" t="n"/>
      <c r="L5057" s="14" t="n"/>
      <c r="M5057" s="12" t="n"/>
      <c r="N5057" s="12" t="n"/>
      <c r="O5057" s="12" t="n"/>
    </row>
    <row r="5058">
      <c r="A5058" s="12" t="n"/>
      <c r="B5058" s="13">
        <f>IF($A5058="","",IFERROR(INDEX(Emp_Names,MATCH($A5058,Emp_Codes,0)),"NOT FOUND"))</f>
        <v/>
      </c>
      <c r="C5058" s="14" t="n"/>
      <c r="D5058" s="15" t="n"/>
      <c r="E5058" s="15" t="n"/>
      <c r="F5058" s="15" t="n"/>
      <c r="G5058" s="15" t="n"/>
      <c r="H5058" s="16">
        <f>IF($A5058="","",$D5058+IF($E5058="",0,$E5058)+IF($F5058="",0,$F5058)-IF($G5058="",0,$G5058))</f>
        <v/>
      </c>
      <c r="I5058" s="12" t="n"/>
      <c r="J5058" s="12" t="n"/>
      <c r="K5058" s="12" t="n"/>
      <c r="L5058" s="14" t="n"/>
      <c r="M5058" s="12" t="n"/>
      <c r="N5058" s="12" t="n"/>
      <c r="O5058" s="12" t="n"/>
    </row>
    <row r="5059">
      <c r="A5059" s="12" t="n"/>
      <c r="B5059" s="13">
        <f>IF($A5059="","",IFERROR(INDEX(Emp_Names,MATCH($A5059,Emp_Codes,0)),"NOT FOUND"))</f>
        <v/>
      </c>
      <c r="C5059" s="14" t="n"/>
      <c r="D5059" s="15" t="n"/>
      <c r="E5059" s="15" t="n"/>
      <c r="F5059" s="15" t="n"/>
      <c r="G5059" s="15" t="n"/>
      <c r="H5059" s="16">
        <f>IF($A5059="","",$D5059+IF($E5059="",0,$E5059)+IF($F5059="",0,$F5059)-IF($G5059="",0,$G5059))</f>
        <v/>
      </c>
      <c r="I5059" s="12" t="n"/>
      <c r="J5059" s="12" t="n"/>
      <c r="K5059" s="12" t="n"/>
      <c r="L5059" s="14" t="n"/>
      <c r="M5059" s="12" t="n"/>
      <c r="N5059" s="12" t="n"/>
      <c r="O5059" s="12" t="n"/>
    </row>
    <row r="5060">
      <c r="A5060" s="12" t="n"/>
      <c r="B5060" s="13">
        <f>IF($A5060="","",IFERROR(INDEX(Emp_Names,MATCH($A5060,Emp_Codes,0)),"NOT FOUND"))</f>
        <v/>
      </c>
      <c r="C5060" s="14" t="n"/>
      <c r="D5060" s="15" t="n"/>
      <c r="E5060" s="15" t="n"/>
      <c r="F5060" s="15" t="n"/>
      <c r="G5060" s="15" t="n"/>
      <c r="H5060" s="16">
        <f>IF($A5060="","",$D5060+IF($E5060="",0,$E5060)+IF($F5060="",0,$F5060)-IF($G5060="",0,$G5060))</f>
        <v/>
      </c>
      <c r="I5060" s="12" t="n"/>
      <c r="J5060" s="12" t="n"/>
      <c r="K5060" s="12" t="n"/>
      <c r="L5060" s="14" t="n"/>
      <c r="M5060" s="12" t="n"/>
      <c r="N5060" s="12" t="n"/>
      <c r="O5060" s="12" t="n"/>
    </row>
    <row r="5061">
      <c r="A5061" s="12" t="n"/>
      <c r="B5061" s="13">
        <f>IF($A5061="","",IFERROR(INDEX(Emp_Names,MATCH($A5061,Emp_Codes,0)),"NOT FOUND"))</f>
        <v/>
      </c>
      <c r="C5061" s="14" t="n"/>
      <c r="D5061" s="15" t="n"/>
      <c r="E5061" s="15" t="n"/>
      <c r="F5061" s="15" t="n"/>
      <c r="G5061" s="15" t="n"/>
      <c r="H5061" s="16">
        <f>IF($A5061="","",$D5061+IF($E5061="",0,$E5061)+IF($F5061="",0,$F5061)-IF($G5061="",0,$G5061))</f>
        <v/>
      </c>
      <c r="I5061" s="12" t="n"/>
      <c r="J5061" s="12" t="n"/>
      <c r="K5061" s="12" t="n"/>
      <c r="L5061" s="14" t="n"/>
      <c r="M5061" s="12" t="n"/>
      <c r="N5061" s="12" t="n"/>
      <c r="O5061" s="12" t="n"/>
    </row>
    <row r="5062">
      <c r="A5062" s="12" t="n"/>
      <c r="B5062" s="13">
        <f>IF($A5062="","",IFERROR(INDEX(Emp_Names,MATCH($A5062,Emp_Codes,0)),"NOT FOUND"))</f>
        <v/>
      </c>
      <c r="C5062" s="14" t="n"/>
      <c r="D5062" s="15" t="n"/>
      <c r="E5062" s="15" t="n"/>
      <c r="F5062" s="15" t="n"/>
      <c r="G5062" s="15" t="n"/>
      <c r="H5062" s="16">
        <f>IF($A5062="","",$D5062+IF($E5062="",0,$E5062)+IF($F5062="",0,$F5062)-IF($G5062="",0,$G5062))</f>
        <v/>
      </c>
      <c r="I5062" s="12" t="n"/>
      <c r="J5062" s="12" t="n"/>
      <c r="K5062" s="12" t="n"/>
      <c r="L5062" s="14" t="n"/>
      <c r="M5062" s="12" t="n"/>
      <c r="N5062" s="12" t="n"/>
      <c r="O5062" s="12" t="n"/>
    </row>
    <row r="5063">
      <c r="A5063" s="12" t="n"/>
      <c r="B5063" s="13">
        <f>IF($A5063="","",IFERROR(INDEX(Emp_Names,MATCH($A5063,Emp_Codes,0)),"NOT FOUND"))</f>
        <v/>
      </c>
      <c r="C5063" s="14" t="n"/>
      <c r="D5063" s="15" t="n"/>
      <c r="E5063" s="15" t="n"/>
      <c r="F5063" s="15" t="n"/>
      <c r="G5063" s="15" t="n"/>
      <c r="H5063" s="16">
        <f>IF($A5063="","",$D5063+IF($E5063="",0,$E5063)+IF($F5063="",0,$F5063)-IF($G5063="",0,$G5063))</f>
        <v/>
      </c>
      <c r="I5063" s="12" t="n"/>
      <c r="J5063" s="12" t="n"/>
      <c r="K5063" s="12" t="n"/>
      <c r="L5063" s="14" t="n"/>
      <c r="M5063" s="12" t="n"/>
      <c r="N5063" s="12" t="n"/>
      <c r="O5063" s="12" t="n"/>
    </row>
    <row r="5064">
      <c r="A5064" s="12" t="n"/>
      <c r="B5064" s="13">
        <f>IF($A5064="","",IFERROR(INDEX(Emp_Names,MATCH($A5064,Emp_Codes,0)),"NOT FOUND"))</f>
        <v/>
      </c>
      <c r="C5064" s="14" t="n"/>
      <c r="D5064" s="15" t="n"/>
      <c r="E5064" s="15" t="n"/>
      <c r="F5064" s="15" t="n"/>
      <c r="G5064" s="15" t="n"/>
      <c r="H5064" s="16">
        <f>IF($A5064="","",$D5064+IF($E5064="",0,$E5064)+IF($F5064="",0,$F5064)-IF($G5064="",0,$G5064))</f>
        <v/>
      </c>
      <c r="I5064" s="12" t="n"/>
      <c r="J5064" s="12" t="n"/>
      <c r="K5064" s="12" t="n"/>
      <c r="L5064" s="14" t="n"/>
      <c r="M5064" s="12" t="n"/>
      <c r="N5064" s="12" t="n"/>
      <c r="O5064" s="12" t="n"/>
    </row>
    <row r="5065">
      <c r="A5065" s="12" t="n"/>
      <c r="B5065" s="13">
        <f>IF($A5065="","",IFERROR(INDEX(Emp_Names,MATCH($A5065,Emp_Codes,0)),"NOT FOUND"))</f>
        <v/>
      </c>
      <c r="C5065" s="14" t="n"/>
      <c r="D5065" s="15" t="n"/>
      <c r="E5065" s="15" t="n"/>
      <c r="F5065" s="15" t="n"/>
      <c r="G5065" s="15" t="n"/>
      <c r="H5065" s="16">
        <f>IF($A5065="","",$D5065+IF($E5065="",0,$E5065)+IF($F5065="",0,$F5065)-IF($G5065="",0,$G5065))</f>
        <v/>
      </c>
      <c r="I5065" s="12" t="n"/>
      <c r="J5065" s="12" t="n"/>
      <c r="K5065" s="12" t="n"/>
      <c r="L5065" s="14" t="n"/>
      <c r="M5065" s="12" t="n"/>
      <c r="N5065" s="12" t="n"/>
      <c r="O5065" s="12" t="n"/>
    </row>
    <row r="5066">
      <c r="A5066" s="12" t="n"/>
      <c r="B5066" s="13">
        <f>IF($A5066="","",IFERROR(INDEX(Emp_Names,MATCH($A5066,Emp_Codes,0)),"NOT FOUND"))</f>
        <v/>
      </c>
      <c r="C5066" s="14" t="n"/>
      <c r="D5066" s="15" t="n"/>
      <c r="E5066" s="15" t="n"/>
      <c r="F5066" s="15" t="n"/>
      <c r="G5066" s="15" t="n"/>
      <c r="H5066" s="16">
        <f>IF($A5066="","",$D5066+IF($E5066="",0,$E5066)+IF($F5066="",0,$F5066)-IF($G5066="",0,$G5066))</f>
        <v/>
      </c>
      <c r="I5066" s="12" t="n"/>
      <c r="J5066" s="12" t="n"/>
      <c r="K5066" s="12" t="n"/>
      <c r="L5066" s="14" t="n"/>
      <c r="M5066" s="12" t="n"/>
      <c r="N5066" s="12" t="n"/>
      <c r="O5066" s="12" t="n"/>
    </row>
    <row r="5067">
      <c r="A5067" s="12" t="n"/>
      <c r="B5067" s="13">
        <f>IF($A5067="","",IFERROR(INDEX(Emp_Names,MATCH($A5067,Emp_Codes,0)),"NOT FOUND"))</f>
        <v/>
      </c>
      <c r="C5067" s="14" t="n"/>
      <c r="D5067" s="15" t="n"/>
      <c r="E5067" s="15" t="n"/>
      <c r="F5067" s="15" t="n"/>
      <c r="G5067" s="15" t="n"/>
      <c r="H5067" s="16">
        <f>IF($A5067="","",$D5067+IF($E5067="",0,$E5067)+IF($F5067="",0,$F5067)-IF($G5067="",0,$G5067))</f>
        <v/>
      </c>
      <c r="I5067" s="12" t="n"/>
      <c r="J5067" s="12" t="n"/>
      <c r="K5067" s="12" t="n"/>
      <c r="L5067" s="14" t="n"/>
      <c r="M5067" s="12" t="n"/>
      <c r="N5067" s="12" t="n"/>
      <c r="O5067" s="12" t="n"/>
    </row>
    <row r="5068">
      <c r="A5068" s="12" t="n"/>
      <c r="B5068" s="13">
        <f>IF($A5068="","",IFERROR(INDEX(Emp_Names,MATCH($A5068,Emp_Codes,0)),"NOT FOUND"))</f>
        <v/>
      </c>
      <c r="C5068" s="14" t="n"/>
      <c r="D5068" s="15" t="n"/>
      <c r="E5068" s="15" t="n"/>
      <c r="F5068" s="15" t="n"/>
      <c r="G5068" s="15" t="n"/>
      <c r="H5068" s="16">
        <f>IF($A5068="","",$D5068+IF($E5068="",0,$E5068)+IF($F5068="",0,$F5068)-IF($G5068="",0,$G5068))</f>
        <v/>
      </c>
      <c r="I5068" s="12" t="n"/>
      <c r="J5068" s="12" t="n"/>
      <c r="K5068" s="12" t="n"/>
      <c r="L5068" s="14" t="n"/>
      <c r="M5068" s="12" t="n"/>
      <c r="N5068" s="12" t="n"/>
      <c r="O5068" s="12" t="n"/>
    </row>
    <row r="5069">
      <c r="A5069" s="12" t="n"/>
      <c r="B5069" s="13">
        <f>IF($A5069="","",IFERROR(INDEX(Emp_Names,MATCH($A5069,Emp_Codes,0)),"NOT FOUND"))</f>
        <v/>
      </c>
      <c r="C5069" s="14" t="n"/>
      <c r="D5069" s="15" t="n"/>
      <c r="E5069" s="15" t="n"/>
      <c r="F5069" s="15" t="n"/>
      <c r="G5069" s="15" t="n"/>
      <c r="H5069" s="16">
        <f>IF($A5069="","",$D5069+IF($E5069="",0,$E5069)+IF($F5069="",0,$F5069)-IF($G5069="",0,$G5069))</f>
        <v/>
      </c>
      <c r="I5069" s="12" t="n"/>
      <c r="J5069" s="12" t="n"/>
      <c r="K5069" s="12" t="n"/>
      <c r="L5069" s="14" t="n"/>
      <c r="M5069" s="12" t="n"/>
      <c r="N5069" s="12" t="n"/>
      <c r="O5069" s="12" t="n"/>
    </row>
    <row r="5070">
      <c r="A5070" s="12" t="n"/>
      <c r="B5070" s="13">
        <f>IF($A5070="","",IFERROR(INDEX(Emp_Names,MATCH($A5070,Emp_Codes,0)),"NOT FOUND"))</f>
        <v/>
      </c>
      <c r="C5070" s="14" t="n"/>
      <c r="D5070" s="15" t="n"/>
      <c r="E5070" s="15" t="n"/>
      <c r="F5070" s="15" t="n"/>
      <c r="G5070" s="15" t="n"/>
      <c r="H5070" s="16">
        <f>IF($A5070="","",$D5070+IF($E5070="",0,$E5070)+IF($F5070="",0,$F5070)-IF($G5070="",0,$G5070))</f>
        <v/>
      </c>
      <c r="I5070" s="12" t="n"/>
      <c r="J5070" s="12" t="n"/>
      <c r="K5070" s="12" t="n"/>
      <c r="L5070" s="14" t="n"/>
      <c r="M5070" s="12" t="n"/>
      <c r="N5070" s="12" t="n"/>
      <c r="O5070" s="12" t="n"/>
    </row>
    <row r="5071">
      <c r="A5071" s="12" t="n"/>
      <c r="B5071" s="13">
        <f>IF($A5071="","",IFERROR(INDEX(Emp_Names,MATCH($A5071,Emp_Codes,0)),"NOT FOUND"))</f>
        <v/>
      </c>
      <c r="C5071" s="14" t="n"/>
      <c r="D5071" s="15" t="n"/>
      <c r="E5071" s="15" t="n"/>
      <c r="F5071" s="15" t="n"/>
      <c r="G5071" s="15" t="n"/>
      <c r="H5071" s="16">
        <f>IF($A5071="","",$D5071+IF($E5071="",0,$E5071)+IF($F5071="",0,$F5071)-IF($G5071="",0,$G5071))</f>
        <v/>
      </c>
      <c r="I5071" s="12" t="n"/>
      <c r="J5071" s="12" t="n"/>
      <c r="K5071" s="12" t="n"/>
      <c r="L5071" s="14" t="n"/>
      <c r="M5071" s="12" t="n"/>
      <c r="N5071" s="12" t="n"/>
      <c r="O5071" s="12" t="n"/>
    </row>
    <row r="5072">
      <c r="A5072" s="12" t="n"/>
      <c r="B5072" s="13">
        <f>IF($A5072="","",IFERROR(INDEX(Emp_Names,MATCH($A5072,Emp_Codes,0)),"NOT FOUND"))</f>
        <v/>
      </c>
      <c r="C5072" s="14" t="n"/>
      <c r="D5072" s="15" t="n"/>
      <c r="E5072" s="15" t="n"/>
      <c r="F5072" s="15" t="n"/>
      <c r="G5072" s="15" t="n"/>
      <c r="H5072" s="16">
        <f>IF($A5072="","",$D5072+IF($E5072="",0,$E5072)+IF($F5072="",0,$F5072)-IF($G5072="",0,$G5072))</f>
        <v/>
      </c>
      <c r="I5072" s="12" t="n"/>
      <c r="J5072" s="12" t="n"/>
      <c r="K5072" s="12" t="n"/>
      <c r="L5072" s="14" t="n"/>
      <c r="M5072" s="12" t="n"/>
      <c r="N5072" s="12" t="n"/>
      <c r="O5072" s="12" t="n"/>
    </row>
    <row r="5073">
      <c r="A5073" s="12" t="n"/>
      <c r="B5073" s="13">
        <f>IF($A5073="","",IFERROR(INDEX(Emp_Names,MATCH($A5073,Emp_Codes,0)),"NOT FOUND"))</f>
        <v/>
      </c>
      <c r="C5073" s="14" t="n"/>
      <c r="D5073" s="15" t="n"/>
      <c r="E5073" s="15" t="n"/>
      <c r="F5073" s="15" t="n"/>
      <c r="G5073" s="15" t="n"/>
      <c r="H5073" s="16">
        <f>IF($A5073="","",$D5073+IF($E5073="",0,$E5073)+IF($F5073="",0,$F5073)-IF($G5073="",0,$G5073))</f>
        <v/>
      </c>
      <c r="I5073" s="12" t="n"/>
      <c r="J5073" s="12" t="n"/>
      <c r="K5073" s="12" t="n"/>
      <c r="L5073" s="14" t="n"/>
      <c r="M5073" s="12" t="n"/>
      <c r="N5073" s="12" t="n"/>
      <c r="O5073" s="12" t="n"/>
    </row>
    <row r="5074">
      <c r="A5074" s="12" t="n"/>
      <c r="B5074" s="13">
        <f>IF($A5074="","",IFERROR(INDEX(Emp_Names,MATCH($A5074,Emp_Codes,0)),"NOT FOUND"))</f>
        <v/>
      </c>
      <c r="C5074" s="14" t="n"/>
      <c r="D5074" s="15" t="n"/>
      <c r="E5074" s="15" t="n"/>
      <c r="F5074" s="15" t="n"/>
      <c r="G5074" s="15" t="n"/>
      <c r="H5074" s="16">
        <f>IF($A5074="","",$D5074+IF($E5074="",0,$E5074)+IF($F5074="",0,$F5074)-IF($G5074="",0,$G5074))</f>
        <v/>
      </c>
      <c r="I5074" s="12" t="n"/>
      <c r="J5074" s="12" t="n"/>
      <c r="K5074" s="12" t="n"/>
      <c r="L5074" s="14" t="n"/>
      <c r="M5074" s="12" t="n"/>
      <c r="N5074" s="12" t="n"/>
      <c r="O5074" s="12" t="n"/>
    </row>
    <row r="5075">
      <c r="A5075" s="12" t="n"/>
      <c r="B5075" s="13">
        <f>IF($A5075="","",IFERROR(INDEX(Emp_Names,MATCH($A5075,Emp_Codes,0)),"NOT FOUND"))</f>
        <v/>
      </c>
      <c r="C5075" s="14" t="n"/>
      <c r="D5075" s="15" t="n"/>
      <c r="E5075" s="15" t="n"/>
      <c r="F5075" s="15" t="n"/>
      <c r="G5075" s="15" t="n"/>
      <c r="H5075" s="16">
        <f>IF($A5075="","",$D5075+IF($E5075="",0,$E5075)+IF($F5075="",0,$F5075)-IF($G5075="",0,$G5075))</f>
        <v/>
      </c>
      <c r="I5075" s="12" t="n"/>
      <c r="J5075" s="12" t="n"/>
      <c r="K5075" s="12" t="n"/>
      <c r="L5075" s="14" t="n"/>
      <c r="M5075" s="12" t="n"/>
      <c r="N5075" s="12" t="n"/>
      <c r="O5075" s="12" t="n"/>
    </row>
    <row r="5076">
      <c r="A5076" s="12" t="n"/>
      <c r="B5076" s="13">
        <f>IF($A5076="","",IFERROR(INDEX(Emp_Names,MATCH($A5076,Emp_Codes,0)),"NOT FOUND"))</f>
        <v/>
      </c>
      <c r="C5076" s="14" t="n"/>
      <c r="D5076" s="15" t="n"/>
      <c r="E5076" s="15" t="n"/>
      <c r="F5076" s="15" t="n"/>
      <c r="G5076" s="15" t="n"/>
      <c r="H5076" s="16">
        <f>IF($A5076="","",$D5076+IF($E5076="",0,$E5076)+IF($F5076="",0,$F5076)-IF($G5076="",0,$G5076))</f>
        <v/>
      </c>
      <c r="I5076" s="12" t="n"/>
      <c r="J5076" s="12" t="n"/>
      <c r="K5076" s="12" t="n"/>
      <c r="L5076" s="14" t="n"/>
      <c r="M5076" s="12" t="n"/>
      <c r="N5076" s="12" t="n"/>
      <c r="O5076" s="12" t="n"/>
    </row>
    <row r="5077">
      <c r="A5077" s="12" t="n"/>
      <c r="B5077" s="13">
        <f>IF($A5077="","",IFERROR(INDEX(Emp_Names,MATCH($A5077,Emp_Codes,0)),"NOT FOUND"))</f>
        <v/>
      </c>
      <c r="C5077" s="14" t="n"/>
      <c r="D5077" s="15" t="n"/>
      <c r="E5077" s="15" t="n"/>
      <c r="F5077" s="15" t="n"/>
      <c r="G5077" s="15" t="n"/>
      <c r="H5077" s="16">
        <f>IF($A5077="","",$D5077+IF($E5077="",0,$E5077)+IF($F5077="",0,$F5077)-IF($G5077="",0,$G5077))</f>
        <v/>
      </c>
      <c r="I5077" s="12" t="n"/>
      <c r="J5077" s="12" t="n"/>
      <c r="K5077" s="12" t="n"/>
      <c r="L5077" s="14" t="n"/>
      <c r="M5077" s="12" t="n"/>
      <c r="N5077" s="12" t="n"/>
      <c r="O5077" s="12" t="n"/>
    </row>
    <row r="5078">
      <c r="A5078" s="12" t="n"/>
      <c r="B5078" s="13">
        <f>IF($A5078="","",IFERROR(INDEX(Emp_Names,MATCH($A5078,Emp_Codes,0)),"NOT FOUND"))</f>
        <v/>
      </c>
      <c r="C5078" s="14" t="n"/>
      <c r="D5078" s="15" t="n"/>
      <c r="E5078" s="15" t="n"/>
      <c r="F5078" s="15" t="n"/>
      <c r="G5078" s="15" t="n"/>
      <c r="H5078" s="16">
        <f>IF($A5078="","",$D5078+IF($E5078="",0,$E5078)+IF($F5078="",0,$F5078)-IF($G5078="",0,$G5078))</f>
        <v/>
      </c>
      <c r="I5078" s="12" t="n"/>
      <c r="J5078" s="12" t="n"/>
      <c r="K5078" s="12" t="n"/>
      <c r="L5078" s="14" t="n"/>
      <c r="M5078" s="12" t="n"/>
      <c r="N5078" s="12" t="n"/>
      <c r="O5078" s="12" t="n"/>
    </row>
    <row r="5079">
      <c r="A5079" s="12" t="n"/>
      <c r="B5079" s="13">
        <f>IF($A5079="","",IFERROR(INDEX(Emp_Names,MATCH($A5079,Emp_Codes,0)),"NOT FOUND"))</f>
        <v/>
      </c>
      <c r="C5079" s="14" t="n"/>
      <c r="D5079" s="15" t="n"/>
      <c r="E5079" s="15" t="n"/>
      <c r="F5079" s="15" t="n"/>
      <c r="G5079" s="15" t="n"/>
      <c r="H5079" s="16">
        <f>IF($A5079="","",$D5079+IF($E5079="",0,$E5079)+IF($F5079="",0,$F5079)-IF($G5079="",0,$G5079))</f>
        <v/>
      </c>
      <c r="I5079" s="12" t="n"/>
      <c r="J5079" s="12" t="n"/>
      <c r="K5079" s="12" t="n"/>
      <c r="L5079" s="14" t="n"/>
      <c r="M5079" s="12" t="n"/>
      <c r="N5079" s="12" t="n"/>
      <c r="O5079" s="12" t="n"/>
    </row>
    <row r="5080">
      <c r="A5080" s="12" t="n"/>
      <c r="B5080" s="13">
        <f>IF($A5080="","",IFERROR(INDEX(Emp_Names,MATCH($A5080,Emp_Codes,0)),"NOT FOUND"))</f>
        <v/>
      </c>
      <c r="C5080" s="14" t="n"/>
      <c r="D5080" s="15" t="n"/>
      <c r="E5080" s="15" t="n"/>
      <c r="F5080" s="15" t="n"/>
      <c r="G5080" s="15" t="n"/>
      <c r="H5080" s="16">
        <f>IF($A5080="","",$D5080+IF($E5080="",0,$E5080)+IF($F5080="",0,$F5080)-IF($G5080="",0,$G5080))</f>
        <v/>
      </c>
      <c r="I5080" s="12" t="n"/>
      <c r="J5080" s="12" t="n"/>
      <c r="K5080" s="12" t="n"/>
      <c r="L5080" s="14" t="n"/>
      <c r="M5080" s="12" t="n"/>
      <c r="N5080" s="12" t="n"/>
      <c r="O5080" s="12" t="n"/>
    </row>
    <row r="5081">
      <c r="A5081" s="12" t="n"/>
      <c r="B5081" s="13">
        <f>IF($A5081="","",IFERROR(INDEX(Emp_Names,MATCH($A5081,Emp_Codes,0)),"NOT FOUND"))</f>
        <v/>
      </c>
      <c r="C5081" s="14" t="n"/>
      <c r="D5081" s="15" t="n"/>
      <c r="E5081" s="15" t="n"/>
      <c r="F5081" s="15" t="n"/>
      <c r="G5081" s="15" t="n"/>
      <c r="H5081" s="16">
        <f>IF($A5081="","",$D5081+IF($E5081="",0,$E5081)+IF($F5081="",0,$F5081)-IF($G5081="",0,$G5081))</f>
        <v/>
      </c>
      <c r="I5081" s="12" t="n"/>
      <c r="J5081" s="12" t="n"/>
      <c r="K5081" s="12" t="n"/>
      <c r="L5081" s="14" t="n"/>
      <c r="M5081" s="12" t="n"/>
      <c r="N5081" s="12" t="n"/>
      <c r="O5081" s="12" t="n"/>
    </row>
    <row r="5082">
      <c r="A5082" s="12" t="n"/>
      <c r="B5082" s="13">
        <f>IF($A5082="","",IFERROR(INDEX(Emp_Names,MATCH($A5082,Emp_Codes,0)),"NOT FOUND"))</f>
        <v/>
      </c>
      <c r="C5082" s="14" t="n"/>
      <c r="D5082" s="15" t="n"/>
      <c r="E5082" s="15" t="n"/>
      <c r="F5082" s="15" t="n"/>
      <c r="G5082" s="15" t="n"/>
      <c r="H5082" s="16">
        <f>IF($A5082="","",$D5082+IF($E5082="",0,$E5082)+IF($F5082="",0,$F5082)-IF($G5082="",0,$G5082))</f>
        <v/>
      </c>
      <c r="I5082" s="12" t="n"/>
      <c r="J5082" s="12" t="n"/>
      <c r="K5082" s="12" t="n"/>
      <c r="L5082" s="14" t="n"/>
      <c r="M5082" s="12" t="n"/>
      <c r="N5082" s="12" t="n"/>
      <c r="O5082" s="12" t="n"/>
    </row>
    <row r="5083">
      <c r="A5083" s="12" t="n"/>
      <c r="B5083" s="13">
        <f>IF($A5083="","",IFERROR(INDEX(Emp_Names,MATCH($A5083,Emp_Codes,0)),"NOT FOUND"))</f>
        <v/>
      </c>
      <c r="C5083" s="14" t="n"/>
      <c r="D5083" s="15" t="n"/>
      <c r="E5083" s="15" t="n"/>
      <c r="F5083" s="15" t="n"/>
      <c r="G5083" s="15" t="n"/>
      <c r="H5083" s="16">
        <f>IF($A5083="","",$D5083+IF($E5083="",0,$E5083)+IF($F5083="",0,$F5083)-IF($G5083="",0,$G5083))</f>
        <v/>
      </c>
      <c r="I5083" s="12" t="n"/>
      <c r="J5083" s="12" t="n"/>
      <c r="K5083" s="12" t="n"/>
      <c r="L5083" s="14" t="n"/>
      <c r="M5083" s="12" t="n"/>
      <c r="N5083" s="12" t="n"/>
      <c r="O5083" s="12" t="n"/>
    </row>
    <row r="5084">
      <c r="A5084" s="12" t="n"/>
      <c r="B5084" s="13">
        <f>IF($A5084="","",IFERROR(INDEX(Emp_Names,MATCH($A5084,Emp_Codes,0)),"NOT FOUND"))</f>
        <v/>
      </c>
      <c r="C5084" s="14" t="n"/>
      <c r="D5084" s="15" t="n"/>
      <c r="E5084" s="15" t="n"/>
      <c r="F5084" s="15" t="n"/>
      <c r="G5084" s="15" t="n"/>
      <c r="H5084" s="16">
        <f>IF($A5084="","",$D5084+IF($E5084="",0,$E5084)+IF($F5084="",0,$F5084)-IF($G5084="",0,$G5084))</f>
        <v/>
      </c>
      <c r="I5084" s="12" t="n"/>
      <c r="J5084" s="12" t="n"/>
      <c r="K5084" s="12" t="n"/>
      <c r="L5084" s="14" t="n"/>
      <c r="M5084" s="12" t="n"/>
      <c r="N5084" s="12" t="n"/>
      <c r="O5084" s="12" t="n"/>
    </row>
    <row r="5085">
      <c r="A5085" s="12" t="n"/>
      <c r="B5085" s="13">
        <f>IF($A5085="","",IFERROR(INDEX(Emp_Names,MATCH($A5085,Emp_Codes,0)),"NOT FOUND"))</f>
        <v/>
      </c>
      <c r="C5085" s="14" t="n"/>
      <c r="D5085" s="15" t="n"/>
      <c r="E5085" s="15" t="n"/>
      <c r="F5085" s="15" t="n"/>
      <c r="G5085" s="15" t="n"/>
      <c r="H5085" s="16">
        <f>IF($A5085="","",$D5085+IF($E5085="",0,$E5085)+IF($F5085="",0,$F5085)-IF($G5085="",0,$G5085))</f>
        <v/>
      </c>
      <c r="I5085" s="12" t="n"/>
      <c r="J5085" s="12" t="n"/>
      <c r="K5085" s="12" t="n"/>
      <c r="L5085" s="14" t="n"/>
      <c r="M5085" s="12" t="n"/>
      <c r="N5085" s="12" t="n"/>
      <c r="O5085" s="12" t="n"/>
    </row>
    <row r="5086">
      <c r="A5086" s="12" t="n"/>
      <c r="B5086" s="13">
        <f>IF($A5086="","",IFERROR(INDEX(Emp_Names,MATCH($A5086,Emp_Codes,0)),"NOT FOUND"))</f>
        <v/>
      </c>
      <c r="C5086" s="14" t="n"/>
      <c r="D5086" s="15" t="n"/>
      <c r="E5086" s="15" t="n"/>
      <c r="F5086" s="15" t="n"/>
      <c r="G5086" s="15" t="n"/>
      <c r="H5086" s="16">
        <f>IF($A5086="","",$D5086+IF($E5086="",0,$E5086)+IF($F5086="",0,$F5086)-IF($G5086="",0,$G5086))</f>
        <v/>
      </c>
      <c r="I5086" s="12" t="n"/>
      <c r="J5086" s="12" t="n"/>
      <c r="K5086" s="12" t="n"/>
      <c r="L5086" s="14" t="n"/>
      <c r="M5086" s="12" t="n"/>
      <c r="N5086" s="12" t="n"/>
      <c r="O5086" s="12" t="n"/>
    </row>
    <row r="5087">
      <c r="A5087" s="12" t="n"/>
      <c r="B5087" s="13">
        <f>IF($A5087="","",IFERROR(INDEX(Emp_Names,MATCH($A5087,Emp_Codes,0)),"NOT FOUND"))</f>
        <v/>
      </c>
      <c r="C5087" s="14" t="n"/>
      <c r="D5087" s="15" t="n"/>
      <c r="E5087" s="15" t="n"/>
      <c r="F5087" s="15" t="n"/>
      <c r="G5087" s="15" t="n"/>
      <c r="H5087" s="16">
        <f>IF($A5087="","",$D5087+IF($E5087="",0,$E5087)+IF($F5087="",0,$F5087)-IF($G5087="",0,$G5087))</f>
        <v/>
      </c>
      <c r="I5087" s="12" t="n"/>
      <c r="J5087" s="12" t="n"/>
      <c r="K5087" s="12" t="n"/>
      <c r="L5087" s="14" t="n"/>
      <c r="M5087" s="12" t="n"/>
      <c r="N5087" s="12" t="n"/>
      <c r="O5087" s="12" t="n"/>
    </row>
    <row r="5088">
      <c r="A5088" s="12" t="n"/>
      <c r="B5088" s="13">
        <f>IF($A5088="","",IFERROR(INDEX(Emp_Names,MATCH($A5088,Emp_Codes,0)),"NOT FOUND"))</f>
        <v/>
      </c>
      <c r="C5088" s="14" t="n"/>
      <c r="D5088" s="15" t="n"/>
      <c r="E5088" s="15" t="n"/>
      <c r="F5088" s="15" t="n"/>
      <c r="G5088" s="15" t="n"/>
      <c r="H5088" s="16">
        <f>IF($A5088="","",$D5088+IF($E5088="",0,$E5088)+IF($F5088="",0,$F5088)-IF($G5088="",0,$G5088))</f>
        <v/>
      </c>
      <c r="I5088" s="12" t="n"/>
      <c r="J5088" s="12" t="n"/>
      <c r="K5088" s="12" t="n"/>
      <c r="L5088" s="14" t="n"/>
      <c r="M5088" s="12" t="n"/>
      <c r="N5088" s="12" t="n"/>
      <c r="O5088" s="12" t="n"/>
    </row>
    <row r="5089">
      <c r="A5089" s="12" t="n"/>
      <c r="B5089" s="13">
        <f>IF($A5089="","",IFERROR(INDEX(Emp_Names,MATCH($A5089,Emp_Codes,0)),"NOT FOUND"))</f>
        <v/>
      </c>
      <c r="C5089" s="14" t="n"/>
      <c r="D5089" s="15" t="n"/>
      <c r="E5089" s="15" t="n"/>
      <c r="F5089" s="15" t="n"/>
      <c r="G5089" s="15" t="n"/>
      <c r="H5089" s="16">
        <f>IF($A5089="","",$D5089+IF($E5089="",0,$E5089)+IF($F5089="",0,$F5089)-IF($G5089="",0,$G5089))</f>
        <v/>
      </c>
      <c r="I5089" s="12" t="n"/>
      <c r="J5089" s="12" t="n"/>
      <c r="K5089" s="12" t="n"/>
      <c r="L5089" s="14" t="n"/>
      <c r="M5089" s="12" t="n"/>
      <c r="N5089" s="12" t="n"/>
      <c r="O5089" s="12" t="n"/>
    </row>
    <row r="5090">
      <c r="A5090" s="12" t="n"/>
      <c r="B5090" s="13">
        <f>IF($A5090="","",IFERROR(INDEX(Emp_Names,MATCH($A5090,Emp_Codes,0)),"NOT FOUND"))</f>
        <v/>
      </c>
      <c r="C5090" s="14" t="n"/>
      <c r="D5090" s="15" t="n"/>
      <c r="E5090" s="15" t="n"/>
      <c r="F5090" s="15" t="n"/>
      <c r="G5090" s="15" t="n"/>
      <c r="H5090" s="16">
        <f>IF($A5090="","",$D5090+IF($E5090="",0,$E5090)+IF($F5090="",0,$F5090)-IF($G5090="",0,$G5090))</f>
        <v/>
      </c>
      <c r="I5090" s="12" t="n"/>
      <c r="J5090" s="12" t="n"/>
      <c r="K5090" s="12" t="n"/>
      <c r="L5090" s="14" t="n"/>
      <c r="M5090" s="12" t="n"/>
      <c r="N5090" s="12" t="n"/>
      <c r="O5090" s="12" t="n"/>
    </row>
    <row r="5091">
      <c r="A5091" s="12" t="n"/>
      <c r="B5091" s="13">
        <f>IF($A5091="","",IFERROR(INDEX(Emp_Names,MATCH($A5091,Emp_Codes,0)),"NOT FOUND"))</f>
        <v/>
      </c>
      <c r="C5091" s="14" t="n"/>
      <c r="D5091" s="15" t="n"/>
      <c r="E5091" s="15" t="n"/>
      <c r="F5091" s="15" t="n"/>
      <c r="G5091" s="15" t="n"/>
      <c r="H5091" s="16">
        <f>IF($A5091="","",$D5091+IF($E5091="",0,$E5091)+IF($F5091="",0,$F5091)-IF($G5091="",0,$G5091))</f>
        <v/>
      </c>
      <c r="I5091" s="12" t="n"/>
      <c r="J5091" s="12" t="n"/>
      <c r="K5091" s="12" t="n"/>
      <c r="L5091" s="14" t="n"/>
      <c r="M5091" s="12" t="n"/>
      <c r="N5091" s="12" t="n"/>
      <c r="O5091" s="12" t="n"/>
    </row>
    <row r="5092">
      <c r="A5092" s="12" t="n"/>
      <c r="B5092" s="13">
        <f>IF($A5092="","",IFERROR(INDEX(Emp_Names,MATCH($A5092,Emp_Codes,0)),"NOT FOUND"))</f>
        <v/>
      </c>
      <c r="C5092" s="14" t="n"/>
      <c r="D5092" s="15" t="n"/>
      <c r="E5092" s="15" t="n"/>
      <c r="F5092" s="15" t="n"/>
      <c r="G5092" s="15" t="n"/>
      <c r="H5092" s="16">
        <f>IF($A5092="","",$D5092+IF($E5092="",0,$E5092)+IF($F5092="",0,$F5092)-IF($G5092="",0,$G5092))</f>
        <v/>
      </c>
      <c r="I5092" s="12" t="n"/>
      <c r="J5092" s="12" t="n"/>
      <c r="K5092" s="12" t="n"/>
      <c r="L5092" s="14" t="n"/>
      <c r="M5092" s="12" t="n"/>
      <c r="N5092" s="12" t="n"/>
      <c r="O5092" s="12" t="n"/>
    </row>
    <row r="5093">
      <c r="A5093" s="12" t="n"/>
      <c r="B5093" s="13">
        <f>IF($A5093="","",IFERROR(INDEX(Emp_Names,MATCH($A5093,Emp_Codes,0)),"NOT FOUND"))</f>
        <v/>
      </c>
      <c r="C5093" s="14" t="n"/>
      <c r="D5093" s="15" t="n"/>
      <c r="E5093" s="15" t="n"/>
      <c r="F5093" s="15" t="n"/>
      <c r="G5093" s="15" t="n"/>
      <c r="H5093" s="16">
        <f>IF($A5093="","",$D5093+IF($E5093="",0,$E5093)+IF($F5093="",0,$F5093)-IF($G5093="",0,$G5093))</f>
        <v/>
      </c>
      <c r="I5093" s="12" t="n"/>
      <c r="J5093" s="12" t="n"/>
      <c r="K5093" s="12" t="n"/>
      <c r="L5093" s="14" t="n"/>
      <c r="M5093" s="12" t="n"/>
      <c r="N5093" s="12" t="n"/>
      <c r="O5093" s="12" t="n"/>
    </row>
    <row r="5094">
      <c r="A5094" s="12" t="n"/>
      <c r="B5094" s="13">
        <f>IF($A5094="","",IFERROR(INDEX(Emp_Names,MATCH($A5094,Emp_Codes,0)),"NOT FOUND"))</f>
        <v/>
      </c>
      <c r="C5094" s="14" t="n"/>
      <c r="D5094" s="15" t="n"/>
      <c r="E5094" s="15" t="n"/>
      <c r="F5094" s="15" t="n"/>
      <c r="G5094" s="15" t="n"/>
      <c r="H5094" s="16">
        <f>IF($A5094="","",$D5094+IF($E5094="",0,$E5094)+IF($F5094="",0,$F5094)-IF($G5094="",0,$G5094))</f>
        <v/>
      </c>
      <c r="I5094" s="12" t="n"/>
      <c r="J5094" s="12" t="n"/>
      <c r="K5094" s="12" t="n"/>
      <c r="L5094" s="14" t="n"/>
      <c r="M5094" s="12" t="n"/>
      <c r="N5094" s="12" t="n"/>
      <c r="O5094" s="12" t="n"/>
    </row>
    <row r="5095">
      <c r="A5095" s="12" t="n"/>
      <c r="B5095" s="13">
        <f>IF($A5095="","",IFERROR(INDEX(Emp_Names,MATCH($A5095,Emp_Codes,0)),"NOT FOUND"))</f>
        <v/>
      </c>
      <c r="C5095" s="14" t="n"/>
      <c r="D5095" s="15" t="n"/>
      <c r="E5095" s="15" t="n"/>
      <c r="F5095" s="15" t="n"/>
      <c r="G5095" s="15" t="n"/>
      <c r="H5095" s="16">
        <f>IF($A5095="","",$D5095+IF($E5095="",0,$E5095)+IF($F5095="",0,$F5095)-IF($G5095="",0,$G5095))</f>
        <v/>
      </c>
      <c r="I5095" s="12" t="n"/>
      <c r="J5095" s="12" t="n"/>
      <c r="K5095" s="12" t="n"/>
      <c r="L5095" s="14" t="n"/>
      <c r="M5095" s="12" t="n"/>
      <c r="N5095" s="12" t="n"/>
      <c r="O5095" s="12" t="n"/>
    </row>
    <row r="5096">
      <c r="A5096" s="12" t="n"/>
      <c r="B5096" s="13">
        <f>IF($A5096="","",IFERROR(INDEX(Emp_Names,MATCH($A5096,Emp_Codes,0)),"NOT FOUND"))</f>
        <v/>
      </c>
      <c r="C5096" s="14" t="n"/>
      <c r="D5096" s="15" t="n"/>
      <c r="E5096" s="15" t="n"/>
      <c r="F5096" s="15" t="n"/>
      <c r="G5096" s="15" t="n"/>
      <c r="H5096" s="16">
        <f>IF($A5096="","",$D5096+IF($E5096="",0,$E5096)+IF($F5096="",0,$F5096)-IF($G5096="",0,$G5096))</f>
        <v/>
      </c>
      <c r="I5096" s="12" t="n"/>
      <c r="J5096" s="12" t="n"/>
      <c r="K5096" s="12" t="n"/>
      <c r="L5096" s="14" t="n"/>
      <c r="M5096" s="12" t="n"/>
      <c r="N5096" s="12" t="n"/>
      <c r="O5096" s="12" t="n"/>
    </row>
    <row r="5097">
      <c r="A5097" s="12" t="n"/>
      <c r="B5097" s="13">
        <f>IF($A5097="","",IFERROR(INDEX(Emp_Names,MATCH($A5097,Emp_Codes,0)),"NOT FOUND"))</f>
        <v/>
      </c>
      <c r="C5097" s="14" t="n"/>
      <c r="D5097" s="15" t="n"/>
      <c r="E5097" s="15" t="n"/>
      <c r="F5097" s="15" t="n"/>
      <c r="G5097" s="15" t="n"/>
      <c r="H5097" s="16">
        <f>IF($A5097="","",$D5097+IF($E5097="",0,$E5097)+IF($F5097="",0,$F5097)-IF($G5097="",0,$G5097))</f>
        <v/>
      </c>
      <c r="I5097" s="12" t="n"/>
      <c r="J5097" s="12" t="n"/>
      <c r="K5097" s="12" t="n"/>
      <c r="L5097" s="14" t="n"/>
      <c r="M5097" s="12" t="n"/>
      <c r="N5097" s="12" t="n"/>
      <c r="O5097" s="12" t="n"/>
    </row>
    <row r="5098">
      <c r="A5098" s="12" t="n"/>
      <c r="B5098" s="13">
        <f>IF($A5098="","",IFERROR(INDEX(Emp_Names,MATCH($A5098,Emp_Codes,0)),"NOT FOUND"))</f>
        <v/>
      </c>
      <c r="C5098" s="14" t="n"/>
      <c r="D5098" s="15" t="n"/>
      <c r="E5098" s="15" t="n"/>
      <c r="F5098" s="15" t="n"/>
      <c r="G5098" s="15" t="n"/>
      <c r="H5098" s="16">
        <f>IF($A5098="","",$D5098+IF($E5098="",0,$E5098)+IF($F5098="",0,$F5098)-IF($G5098="",0,$G5098))</f>
        <v/>
      </c>
      <c r="I5098" s="12" t="n"/>
      <c r="J5098" s="12" t="n"/>
      <c r="K5098" s="12" t="n"/>
      <c r="L5098" s="14" t="n"/>
      <c r="M5098" s="12" t="n"/>
      <c r="N5098" s="12" t="n"/>
      <c r="O5098" s="12" t="n"/>
    </row>
    <row r="5099">
      <c r="A5099" s="12" t="n"/>
      <c r="B5099" s="13">
        <f>IF($A5099="","",IFERROR(INDEX(Emp_Names,MATCH($A5099,Emp_Codes,0)),"NOT FOUND"))</f>
        <v/>
      </c>
      <c r="C5099" s="14" t="n"/>
      <c r="D5099" s="15" t="n"/>
      <c r="E5099" s="15" t="n"/>
      <c r="F5099" s="15" t="n"/>
      <c r="G5099" s="15" t="n"/>
      <c r="H5099" s="16">
        <f>IF($A5099="","",$D5099+IF($E5099="",0,$E5099)+IF($F5099="",0,$F5099)-IF($G5099="",0,$G5099))</f>
        <v/>
      </c>
      <c r="I5099" s="12" t="n"/>
      <c r="J5099" s="12" t="n"/>
      <c r="K5099" s="12" t="n"/>
      <c r="L5099" s="14" t="n"/>
      <c r="M5099" s="12" t="n"/>
      <c r="N5099" s="12" t="n"/>
      <c r="O5099" s="12" t="n"/>
    </row>
    <row r="5100">
      <c r="A5100" s="12" t="n"/>
      <c r="B5100" s="13">
        <f>IF($A5100="","",IFERROR(INDEX(Emp_Names,MATCH($A5100,Emp_Codes,0)),"NOT FOUND"))</f>
        <v/>
      </c>
      <c r="C5100" s="14" t="n"/>
      <c r="D5100" s="15" t="n"/>
      <c r="E5100" s="15" t="n"/>
      <c r="F5100" s="15" t="n"/>
      <c r="G5100" s="15" t="n"/>
      <c r="H5100" s="16">
        <f>IF($A5100="","",$D5100+IF($E5100="",0,$E5100)+IF($F5100="",0,$F5100)-IF($G5100="",0,$G5100))</f>
        <v/>
      </c>
      <c r="I5100" s="12" t="n"/>
      <c r="J5100" s="12" t="n"/>
      <c r="K5100" s="12" t="n"/>
      <c r="L5100" s="14" t="n"/>
      <c r="M5100" s="12" t="n"/>
      <c r="N5100" s="12" t="n"/>
      <c r="O5100" s="12" t="n"/>
    </row>
    <row r="5101">
      <c r="A5101" s="12" t="n"/>
      <c r="B5101" s="13">
        <f>IF($A5101="","",IFERROR(INDEX(Emp_Names,MATCH($A5101,Emp_Codes,0)),"NOT FOUND"))</f>
        <v/>
      </c>
      <c r="C5101" s="14" t="n"/>
      <c r="D5101" s="15" t="n"/>
      <c r="E5101" s="15" t="n"/>
      <c r="F5101" s="15" t="n"/>
      <c r="G5101" s="15" t="n"/>
      <c r="H5101" s="16">
        <f>IF($A5101="","",$D5101+IF($E5101="",0,$E5101)+IF($F5101="",0,$F5101)-IF($G5101="",0,$G5101))</f>
        <v/>
      </c>
      <c r="I5101" s="12" t="n"/>
      <c r="J5101" s="12" t="n"/>
      <c r="K5101" s="12" t="n"/>
      <c r="L5101" s="14" t="n"/>
      <c r="M5101" s="12" t="n"/>
      <c r="N5101" s="12" t="n"/>
      <c r="O5101" s="12" t="n"/>
    </row>
    <row r="5102">
      <c r="A5102" s="12" t="n"/>
      <c r="B5102" s="13">
        <f>IF($A5102="","",IFERROR(INDEX(Emp_Names,MATCH($A5102,Emp_Codes,0)),"NOT FOUND"))</f>
        <v/>
      </c>
      <c r="C5102" s="14" t="n"/>
      <c r="D5102" s="15" t="n"/>
      <c r="E5102" s="15" t="n"/>
      <c r="F5102" s="15" t="n"/>
      <c r="G5102" s="15" t="n"/>
      <c r="H5102" s="16">
        <f>IF($A5102="","",$D5102+IF($E5102="",0,$E5102)+IF($F5102="",0,$F5102)-IF($G5102="",0,$G5102))</f>
        <v/>
      </c>
      <c r="I5102" s="12" t="n"/>
      <c r="J5102" s="12" t="n"/>
      <c r="K5102" s="12" t="n"/>
      <c r="L5102" s="14" t="n"/>
      <c r="M5102" s="12" t="n"/>
      <c r="N5102" s="12" t="n"/>
      <c r="O5102" s="12" t="n"/>
    </row>
    <row r="5103">
      <c r="A5103" s="12" t="n"/>
      <c r="B5103" s="13">
        <f>IF($A5103="","",IFERROR(INDEX(Emp_Names,MATCH($A5103,Emp_Codes,0)),"NOT FOUND"))</f>
        <v/>
      </c>
      <c r="C5103" s="14" t="n"/>
      <c r="D5103" s="15" t="n"/>
      <c r="E5103" s="15" t="n"/>
      <c r="F5103" s="15" t="n"/>
      <c r="G5103" s="15" t="n"/>
      <c r="H5103" s="16">
        <f>IF($A5103="","",$D5103+IF($E5103="",0,$E5103)+IF($F5103="",0,$F5103)-IF($G5103="",0,$G5103))</f>
        <v/>
      </c>
      <c r="I5103" s="12" t="n"/>
      <c r="J5103" s="12" t="n"/>
      <c r="K5103" s="12" t="n"/>
      <c r="L5103" s="14" t="n"/>
      <c r="M5103" s="12" t="n"/>
      <c r="N5103" s="12" t="n"/>
      <c r="O5103" s="12" t="n"/>
    </row>
    <row r="5104">
      <c r="A5104" s="12" t="n"/>
      <c r="B5104" s="13">
        <f>IF($A5104="","",IFERROR(INDEX(Emp_Names,MATCH($A5104,Emp_Codes,0)),"NOT FOUND"))</f>
        <v/>
      </c>
      <c r="C5104" s="14" t="n"/>
      <c r="D5104" s="15" t="n"/>
      <c r="E5104" s="15" t="n"/>
      <c r="F5104" s="15" t="n"/>
      <c r="G5104" s="15" t="n"/>
      <c r="H5104" s="16">
        <f>IF($A5104="","",$D5104+IF($E5104="",0,$E5104)+IF($F5104="",0,$F5104)-IF($G5104="",0,$G5104))</f>
        <v/>
      </c>
      <c r="I5104" s="12" t="n"/>
      <c r="J5104" s="12" t="n"/>
      <c r="K5104" s="12" t="n"/>
      <c r="L5104" s="14" t="n"/>
      <c r="M5104" s="12" t="n"/>
      <c r="N5104" s="12" t="n"/>
      <c r="O5104" s="12" t="n"/>
    </row>
    <row r="5105">
      <c r="A5105" s="12" t="n"/>
      <c r="B5105" s="13">
        <f>IF($A5105="","",IFERROR(INDEX(Emp_Names,MATCH($A5105,Emp_Codes,0)),"NOT FOUND"))</f>
        <v/>
      </c>
      <c r="C5105" s="14" t="n"/>
      <c r="D5105" s="15" t="n"/>
      <c r="E5105" s="15" t="n"/>
      <c r="F5105" s="15" t="n"/>
      <c r="G5105" s="15" t="n"/>
      <c r="H5105" s="16">
        <f>IF($A5105="","",$D5105+IF($E5105="",0,$E5105)+IF($F5105="",0,$F5105)-IF($G5105="",0,$G5105))</f>
        <v/>
      </c>
      <c r="I5105" s="12" t="n"/>
      <c r="J5105" s="12" t="n"/>
      <c r="K5105" s="12" t="n"/>
      <c r="L5105" s="14" t="n"/>
      <c r="M5105" s="12" t="n"/>
      <c r="N5105" s="12" t="n"/>
      <c r="O5105" s="12" t="n"/>
    </row>
    <row r="5106">
      <c r="A5106" s="12" t="n"/>
      <c r="B5106" s="13">
        <f>IF($A5106="","",IFERROR(INDEX(Emp_Names,MATCH($A5106,Emp_Codes,0)),"NOT FOUND"))</f>
        <v/>
      </c>
      <c r="C5106" s="14" t="n"/>
      <c r="D5106" s="15" t="n"/>
      <c r="E5106" s="15" t="n"/>
      <c r="F5106" s="15" t="n"/>
      <c r="G5106" s="15" t="n"/>
      <c r="H5106" s="16">
        <f>IF($A5106="","",$D5106+IF($E5106="",0,$E5106)+IF($F5106="",0,$F5106)-IF($G5106="",0,$G5106))</f>
        <v/>
      </c>
      <c r="I5106" s="12" t="n"/>
      <c r="J5106" s="12" t="n"/>
      <c r="K5106" s="12" t="n"/>
      <c r="L5106" s="14" t="n"/>
      <c r="M5106" s="12" t="n"/>
      <c r="N5106" s="12" t="n"/>
      <c r="O5106" s="12" t="n"/>
    </row>
    <row r="5107">
      <c r="A5107" s="12" t="n"/>
      <c r="B5107" s="13">
        <f>IF($A5107="","",IFERROR(INDEX(Emp_Names,MATCH($A5107,Emp_Codes,0)),"NOT FOUND"))</f>
        <v/>
      </c>
      <c r="C5107" s="14" t="n"/>
      <c r="D5107" s="15" t="n"/>
      <c r="E5107" s="15" t="n"/>
      <c r="F5107" s="15" t="n"/>
      <c r="G5107" s="15" t="n"/>
      <c r="H5107" s="16">
        <f>IF($A5107="","",$D5107+IF($E5107="",0,$E5107)+IF($F5107="",0,$F5107)-IF($G5107="",0,$G5107))</f>
        <v/>
      </c>
      <c r="I5107" s="12" t="n"/>
      <c r="J5107" s="12" t="n"/>
      <c r="K5107" s="12" t="n"/>
      <c r="L5107" s="14" t="n"/>
      <c r="M5107" s="12" t="n"/>
      <c r="N5107" s="12" t="n"/>
      <c r="O5107" s="12" t="n"/>
    </row>
    <row r="5108">
      <c r="A5108" s="12" t="n"/>
      <c r="B5108" s="13">
        <f>IF($A5108="","",IFERROR(INDEX(Emp_Names,MATCH($A5108,Emp_Codes,0)),"NOT FOUND"))</f>
        <v/>
      </c>
      <c r="C5108" s="14" t="n"/>
      <c r="D5108" s="15" t="n"/>
      <c r="E5108" s="15" t="n"/>
      <c r="F5108" s="15" t="n"/>
      <c r="G5108" s="15" t="n"/>
      <c r="H5108" s="16">
        <f>IF($A5108="","",$D5108+IF($E5108="",0,$E5108)+IF($F5108="",0,$F5108)-IF($G5108="",0,$G5108))</f>
        <v/>
      </c>
      <c r="I5108" s="12" t="n"/>
      <c r="J5108" s="12" t="n"/>
      <c r="K5108" s="12" t="n"/>
      <c r="L5108" s="14" t="n"/>
      <c r="M5108" s="12" t="n"/>
      <c r="N5108" s="12" t="n"/>
      <c r="O5108" s="12" t="n"/>
    </row>
    <row r="5109">
      <c r="A5109" s="12" t="n"/>
      <c r="B5109" s="13">
        <f>IF($A5109="","",IFERROR(INDEX(Emp_Names,MATCH($A5109,Emp_Codes,0)),"NOT FOUND"))</f>
        <v/>
      </c>
      <c r="C5109" s="14" t="n"/>
      <c r="D5109" s="15" t="n"/>
      <c r="E5109" s="15" t="n"/>
      <c r="F5109" s="15" t="n"/>
      <c r="G5109" s="15" t="n"/>
      <c r="H5109" s="16">
        <f>IF($A5109="","",$D5109+IF($E5109="",0,$E5109)+IF($F5109="",0,$F5109)-IF($G5109="",0,$G5109))</f>
        <v/>
      </c>
      <c r="I5109" s="12" t="n"/>
      <c r="J5109" s="12" t="n"/>
      <c r="K5109" s="12" t="n"/>
      <c r="L5109" s="14" t="n"/>
      <c r="M5109" s="12" t="n"/>
      <c r="N5109" s="12" t="n"/>
      <c r="O5109" s="12" t="n"/>
    </row>
    <row r="5110">
      <c r="A5110" s="12" t="n"/>
      <c r="B5110" s="13">
        <f>IF($A5110="","",IFERROR(INDEX(Emp_Names,MATCH($A5110,Emp_Codes,0)),"NOT FOUND"))</f>
        <v/>
      </c>
      <c r="C5110" s="14" t="n"/>
      <c r="D5110" s="15" t="n"/>
      <c r="E5110" s="15" t="n"/>
      <c r="F5110" s="15" t="n"/>
      <c r="G5110" s="15" t="n"/>
      <c r="H5110" s="16">
        <f>IF($A5110="","",$D5110+IF($E5110="",0,$E5110)+IF($F5110="",0,$F5110)-IF($G5110="",0,$G5110))</f>
        <v/>
      </c>
      <c r="I5110" s="12" t="n"/>
      <c r="J5110" s="12" t="n"/>
      <c r="K5110" s="12" t="n"/>
      <c r="L5110" s="14" t="n"/>
      <c r="M5110" s="12" t="n"/>
      <c r="N5110" s="12" t="n"/>
      <c r="O5110" s="12" t="n"/>
    </row>
    <row r="5111">
      <c r="A5111" s="12" t="n"/>
      <c r="B5111" s="13">
        <f>IF($A5111="","",IFERROR(INDEX(Emp_Names,MATCH($A5111,Emp_Codes,0)),"NOT FOUND"))</f>
        <v/>
      </c>
      <c r="C5111" s="14" t="n"/>
      <c r="D5111" s="15" t="n"/>
      <c r="E5111" s="15" t="n"/>
      <c r="F5111" s="15" t="n"/>
      <c r="G5111" s="15" t="n"/>
      <c r="H5111" s="16">
        <f>IF($A5111="","",$D5111+IF($E5111="",0,$E5111)+IF($F5111="",0,$F5111)-IF($G5111="",0,$G5111))</f>
        <v/>
      </c>
      <c r="I5111" s="12" t="n"/>
      <c r="J5111" s="12" t="n"/>
      <c r="K5111" s="12" t="n"/>
      <c r="L5111" s="14" t="n"/>
      <c r="M5111" s="12" t="n"/>
      <c r="N5111" s="12" t="n"/>
      <c r="O5111" s="12" t="n"/>
    </row>
    <row r="5112">
      <c r="A5112" s="12" t="n"/>
      <c r="B5112" s="13">
        <f>IF($A5112="","",IFERROR(INDEX(Emp_Names,MATCH($A5112,Emp_Codes,0)),"NOT FOUND"))</f>
        <v/>
      </c>
      <c r="C5112" s="14" t="n"/>
      <c r="D5112" s="15" t="n"/>
      <c r="E5112" s="15" t="n"/>
      <c r="F5112" s="15" t="n"/>
      <c r="G5112" s="15" t="n"/>
      <c r="H5112" s="16">
        <f>IF($A5112="","",$D5112+IF($E5112="",0,$E5112)+IF($F5112="",0,$F5112)-IF($G5112="",0,$G5112))</f>
        <v/>
      </c>
      <c r="I5112" s="12" t="n"/>
      <c r="J5112" s="12" t="n"/>
      <c r="K5112" s="12" t="n"/>
      <c r="L5112" s="14" t="n"/>
      <c r="M5112" s="12" t="n"/>
      <c r="N5112" s="12" t="n"/>
      <c r="O5112" s="12" t="n"/>
    </row>
    <row r="5113">
      <c r="A5113" s="12" t="n"/>
      <c r="B5113" s="13">
        <f>IF($A5113="","",IFERROR(INDEX(Emp_Names,MATCH($A5113,Emp_Codes,0)),"NOT FOUND"))</f>
        <v/>
      </c>
      <c r="C5113" s="14" t="n"/>
      <c r="D5113" s="15" t="n"/>
      <c r="E5113" s="15" t="n"/>
      <c r="F5113" s="15" t="n"/>
      <c r="G5113" s="15" t="n"/>
      <c r="H5113" s="16">
        <f>IF($A5113="","",$D5113+IF($E5113="",0,$E5113)+IF($F5113="",0,$F5113)-IF($G5113="",0,$G5113))</f>
        <v/>
      </c>
      <c r="I5113" s="12" t="n"/>
      <c r="J5113" s="12" t="n"/>
      <c r="K5113" s="12" t="n"/>
      <c r="L5113" s="14" t="n"/>
      <c r="M5113" s="12" t="n"/>
      <c r="N5113" s="12" t="n"/>
      <c r="O5113" s="12" t="n"/>
    </row>
    <row r="5114">
      <c r="A5114" s="12" t="n"/>
      <c r="B5114" s="13">
        <f>IF($A5114="","",IFERROR(INDEX(Emp_Names,MATCH($A5114,Emp_Codes,0)),"NOT FOUND"))</f>
        <v/>
      </c>
      <c r="C5114" s="14" t="n"/>
      <c r="D5114" s="15" t="n"/>
      <c r="E5114" s="15" t="n"/>
      <c r="F5114" s="15" t="n"/>
      <c r="G5114" s="15" t="n"/>
      <c r="H5114" s="16">
        <f>IF($A5114="","",$D5114+IF($E5114="",0,$E5114)+IF($F5114="",0,$F5114)-IF($G5114="",0,$G5114))</f>
        <v/>
      </c>
      <c r="I5114" s="12" t="n"/>
      <c r="J5114" s="12" t="n"/>
      <c r="K5114" s="12" t="n"/>
      <c r="L5114" s="14" t="n"/>
      <c r="M5114" s="12" t="n"/>
      <c r="N5114" s="12" t="n"/>
      <c r="O5114" s="12" t="n"/>
    </row>
    <row r="5115">
      <c r="A5115" s="12" t="n"/>
      <c r="B5115" s="13">
        <f>IF($A5115="","",IFERROR(INDEX(Emp_Names,MATCH($A5115,Emp_Codes,0)),"NOT FOUND"))</f>
        <v/>
      </c>
      <c r="C5115" s="14" t="n"/>
      <c r="D5115" s="15" t="n"/>
      <c r="E5115" s="15" t="n"/>
      <c r="F5115" s="15" t="n"/>
      <c r="G5115" s="15" t="n"/>
      <c r="H5115" s="16">
        <f>IF($A5115="","",$D5115+IF($E5115="",0,$E5115)+IF($F5115="",0,$F5115)-IF($G5115="",0,$G5115))</f>
        <v/>
      </c>
      <c r="I5115" s="12" t="n"/>
      <c r="J5115" s="12" t="n"/>
      <c r="K5115" s="12" t="n"/>
      <c r="L5115" s="14" t="n"/>
      <c r="M5115" s="12" t="n"/>
      <c r="N5115" s="12" t="n"/>
      <c r="O5115" s="12" t="n"/>
    </row>
    <row r="5116">
      <c r="A5116" s="12" t="n"/>
      <c r="B5116" s="13">
        <f>IF($A5116="","",IFERROR(INDEX(Emp_Names,MATCH($A5116,Emp_Codes,0)),"NOT FOUND"))</f>
        <v/>
      </c>
      <c r="C5116" s="14" t="n"/>
      <c r="D5116" s="15" t="n"/>
      <c r="E5116" s="15" t="n"/>
      <c r="F5116" s="15" t="n"/>
      <c r="G5116" s="15" t="n"/>
      <c r="H5116" s="16">
        <f>IF($A5116="","",$D5116+IF($E5116="",0,$E5116)+IF($F5116="",0,$F5116)-IF($G5116="",0,$G5116))</f>
        <v/>
      </c>
      <c r="I5116" s="12" t="n"/>
      <c r="J5116" s="12" t="n"/>
      <c r="K5116" s="12" t="n"/>
      <c r="L5116" s="14" t="n"/>
      <c r="M5116" s="12" t="n"/>
      <c r="N5116" s="12" t="n"/>
      <c r="O5116" s="12" t="n"/>
    </row>
    <row r="5117">
      <c r="A5117" s="12" t="n"/>
      <c r="B5117" s="13">
        <f>IF($A5117="","",IFERROR(INDEX(Emp_Names,MATCH($A5117,Emp_Codes,0)),"NOT FOUND"))</f>
        <v/>
      </c>
      <c r="C5117" s="14" t="n"/>
      <c r="D5117" s="15" t="n"/>
      <c r="E5117" s="15" t="n"/>
      <c r="F5117" s="15" t="n"/>
      <c r="G5117" s="15" t="n"/>
      <c r="H5117" s="16">
        <f>IF($A5117="","",$D5117+IF($E5117="",0,$E5117)+IF($F5117="",0,$F5117)-IF($G5117="",0,$G5117))</f>
        <v/>
      </c>
      <c r="I5117" s="12" t="n"/>
      <c r="J5117" s="12" t="n"/>
      <c r="K5117" s="12" t="n"/>
      <c r="L5117" s="14" t="n"/>
      <c r="M5117" s="12" t="n"/>
      <c r="N5117" s="12" t="n"/>
      <c r="O5117" s="12" t="n"/>
    </row>
    <row r="5118">
      <c r="A5118" s="12" t="n"/>
      <c r="B5118" s="13">
        <f>IF($A5118="","",IFERROR(INDEX(Emp_Names,MATCH($A5118,Emp_Codes,0)),"NOT FOUND"))</f>
        <v/>
      </c>
      <c r="C5118" s="14" t="n"/>
      <c r="D5118" s="15" t="n"/>
      <c r="E5118" s="15" t="n"/>
      <c r="F5118" s="15" t="n"/>
      <c r="G5118" s="15" t="n"/>
      <c r="H5118" s="16">
        <f>IF($A5118="","",$D5118+IF($E5118="",0,$E5118)+IF($F5118="",0,$F5118)-IF($G5118="",0,$G5118))</f>
        <v/>
      </c>
      <c r="I5118" s="12" t="n"/>
      <c r="J5118" s="12" t="n"/>
      <c r="K5118" s="12" t="n"/>
      <c r="L5118" s="14" t="n"/>
      <c r="M5118" s="12" t="n"/>
      <c r="N5118" s="12" t="n"/>
      <c r="O5118" s="12" t="n"/>
    </row>
    <row r="5119">
      <c r="A5119" s="12" t="n"/>
      <c r="B5119" s="13">
        <f>IF($A5119="","",IFERROR(INDEX(Emp_Names,MATCH($A5119,Emp_Codes,0)),"NOT FOUND"))</f>
        <v/>
      </c>
      <c r="C5119" s="14" t="n"/>
      <c r="D5119" s="15" t="n"/>
      <c r="E5119" s="15" t="n"/>
      <c r="F5119" s="15" t="n"/>
      <c r="G5119" s="15" t="n"/>
      <c r="H5119" s="16">
        <f>IF($A5119="","",$D5119+IF($E5119="",0,$E5119)+IF($F5119="",0,$F5119)-IF($G5119="",0,$G5119))</f>
        <v/>
      </c>
      <c r="I5119" s="12" t="n"/>
      <c r="J5119" s="12" t="n"/>
      <c r="K5119" s="12" t="n"/>
      <c r="L5119" s="14" t="n"/>
      <c r="M5119" s="12" t="n"/>
      <c r="N5119" s="12" t="n"/>
      <c r="O5119" s="12" t="n"/>
    </row>
    <row r="5120">
      <c r="A5120" s="12" t="n"/>
      <c r="B5120" s="13">
        <f>IF($A5120="","",IFERROR(INDEX(Emp_Names,MATCH($A5120,Emp_Codes,0)),"NOT FOUND"))</f>
        <v/>
      </c>
      <c r="C5120" s="14" t="n"/>
      <c r="D5120" s="15" t="n"/>
      <c r="E5120" s="15" t="n"/>
      <c r="F5120" s="15" t="n"/>
      <c r="G5120" s="15" t="n"/>
      <c r="H5120" s="16">
        <f>IF($A5120="","",$D5120+IF($E5120="",0,$E5120)+IF($F5120="",0,$F5120)-IF($G5120="",0,$G5120))</f>
        <v/>
      </c>
      <c r="I5120" s="12" t="n"/>
      <c r="J5120" s="12" t="n"/>
      <c r="K5120" s="12" t="n"/>
      <c r="L5120" s="14" t="n"/>
      <c r="M5120" s="12" t="n"/>
      <c r="N5120" s="12" t="n"/>
      <c r="O5120" s="12" t="n"/>
    </row>
    <row r="5121">
      <c r="A5121" s="12" t="n"/>
      <c r="B5121" s="13">
        <f>IF($A5121="","",IFERROR(INDEX(Emp_Names,MATCH($A5121,Emp_Codes,0)),"NOT FOUND"))</f>
        <v/>
      </c>
      <c r="C5121" s="14" t="n"/>
      <c r="D5121" s="15" t="n"/>
      <c r="E5121" s="15" t="n"/>
      <c r="F5121" s="15" t="n"/>
      <c r="G5121" s="15" t="n"/>
      <c r="H5121" s="16">
        <f>IF($A5121="","",$D5121+IF($E5121="",0,$E5121)+IF($F5121="",0,$F5121)-IF($G5121="",0,$G5121))</f>
        <v/>
      </c>
      <c r="I5121" s="12" t="n"/>
      <c r="J5121" s="12" t="n"/>
      <c r="K5121" s="12" t="n"/>
      <c r="L5121" s="14" t="n"/>
      <c r="M5121" s="12" t="n"/>
      <c r="N5121" s="12" t="n"/>
      <c r="O5121" s="12" t="n"/>
    </row>
    <row r="5122">
      <c r="A5122" s="12" t="n"/>
      <c r="B5122" s="13">
        <f>IF($A5122="","",IFERROR(INDEX(Emp_Names,MATCH($A5122,Emp_Codes,0)),"NOT FOUND"))</f>
        <v/>
      </c>
      <c r="C5122" s="14" t="n"/>
      <c r="D5122" s="15" t="n"/>
      <c r="E5122" s="15" t="n"/>
      <c r="F5122" s="15" t="n"/>
      <c r="G5122" s="15" t="n"/>
      <c r="H5122" s="16">
        <f>IF($A5122="","",$D5122+IF($E5122="",0,$E5122)+IF($F5122="",0,$F5122)-IF($G5122="",0,$G5122))</f>
        <v/>
      </c>
      <c r="I5122" s="12" t="n"/>
      <c r="J5122" s="12" t="n"/>
      <c r="K5122" s="12" t="n"/>
      <c r="L5122" s="14" t="n"/>
      <c r="M5122" s="12" t="n"/>
      <c r="N5122" s="12" t="n"/>
      <c r="O5122" s="12" t="n"/>
    </row>
    <row r="5123">
      <c r="A5123" s="12" t="n"/>
      <c r="B5123" s="13">
        <f>IF($A5123="","",IFERROR(INDEX(Emp_Names,MATCH($A5123,Emp_Codes,0)),"NOT FOUND"))</f>
        <v/>
      </c>
      <c r="C5123" s="14" t="n"/>
      <c r="D5123" s="15" t="n"/>
      <c r="E5123" s="15" t="n"/>
      <c r="F5123" s="15" t="n"/>
      <c r="G5123" s="15" t="n"/>
      <c r="H5123" s="16">
        <f>IF($A5123="","",$D5123+IF($E5123="",0,$E5123)+IF($F5123="",0,$F5123)-IF($G5123="",0,$G5123))</f>
        <v/>
      </c>
      <c r="I5123" s="12" t="n"/>
      <c r="J5123" s="12" t="n"/>
      <c r="K5123" s="12" t="n"/>
      <c r="L5123" s="14" t="n"/>
      <c r="M5123" s="12" t="n"/>
      <c r="N5123" s="12" t="n"/>
      <c r="O5123" s="12" t="n"/>
    </row>
    <row r="5124">
      <c r="A5124" s="12" t="n"/>
      <c r="B5124" s="13">
        <f>IF($A5124="","",IFERROR(INDEX(Emp_Names,MATCH($A5124,Emp_Codes,0)),"NOT FOUND"))</f>
        <v/>
      </c>
      <c r="C5124" s="14" t="n"/>
      <c r="D5124" s="15" t="n"/>
      <c r="E5124" s="15" t="n"/>
      <c r="F5124" s="15" t="n"/>
      <c r="G5124" s="15" t="n"/>
      <c r="H5124" s="16">
        <f>IF($A5124="","",$D5124+IF($E5124="",0,$E5124)+IF($F5124="",0,$F5124)-IF($G5124="",0,$G5124))</f>
        <v/>
      </c>
      <c r="I5124" s="12" t="n"/>
      <c r="J5124" s="12" t="n"/>
      <c r="K5124" s="12" t="n"/>
      <c r="L5124" s="14" t="n"/>
      <c r="M5124" s="12" t="n"/>
      <c r="N5124" s="12" t="n"/>
      <c r="O5124" s="12" t="n"/>
    </row>
    <row r="5125">
      <c r="A5125" s="12" t="n"/>
      <c r="B5125" s="13">
        <f>IF($A5125="","",IFERROR(INDEX(Emp_Names,MATCH($A5125,Emp_Codes,0)),"NOT FOUND"))</f>
        <v/>
      </c>
      <c r="C5125" s="14" t="n"/>
      <c r="D5125" s="15" t="n"/>
      <c r="E5125" s="15" t="n"/>
      <c r="F5125" s="15" t="n"/>
      <c r="G5125" s="15" t="n"/>
      <c r="H5125" s="16">
        <f>IF($A5125="","",$D5125+IF($E5125="",0,$E5125)+IF($F5125="",0,$F5125)-IF($G5125="",0,$G5125))</f>
        <v/>
      </c>
      <c r="I5125" s="12" t="n"/>
      <c r="J5125" s="12" t="n"/>
      <c r="K5125" s="12" t="n"/>
      <c r="L5125" s="14" t="n"/>
      <c r="M5125" s="12" t="n"/>
      <c r="N5125" s="12" t="n"/>
      <c r="O5125" s="12" t="n"/>
    </row>
    <row r="5126">
      <c r="A5126" s="12" t="n"/>
      <c r="B5126" s="13">
        <f>IF($A5126="","",IFERROR(INDEX(Emp_Names,MATCH($A5126,Emp_Codes,0)),"NOT FOUND"))</f>
        <v/>
      </c>
      <c r="C5126" s="14" t="n"/>
      <c r="D5126" s="15" t="n"/>
      <c r="E5126" s="15" t="n"/>
      <c r="F5126" s="15" t="n"/>
      <c r="G5126" s="15" t="n"/>
      <c r="H5126" s="16">
        <f>IF($A5126="","",$D5126+IF($E5126="",0,$E5126)+IF($F5126="",0,$F5126)-IF($G5126="",0,$G5126))</f>
        <v/>
      </c>
      <c r="I5126" s="12" t="n"/>
      <c r="J5126" s="12" t="n"/>
      <c r="K5126" s="12" t="n"/>
      <c r="L5126" s="14" t="n"/>
      <c r="M5126" s="12" t="n"/>
      <c r="N5126" s="12" t="n"/>
      <c r="O5126" s="12" t="n"/>
    </row>
    <row r="5127">
      <c r="A5127" s="12" t="n"/>
      <c r="B5127" s="13">
        <f>IF($A5127="","",IFERROR(INDEX(Emp_Names,MATCH($A5127,Emp_Codes,0)),"NOT FOUND"))</f>
        <v/>
      </c>
      <c r="C5127" s="14" t="n"/>
      <c r="D5127" s="15" t="n"/>
      <c r="E5127" s="15" t="n"/>
      <c r="F5127" s="15" t="n"/>
      <c r="G5127" s="15" t="n"/>
      <c r="H5127" s="16">
        <f>IF($A5127="","",$D5127+IF($E5127="",0,$E5127)+IF($F5127="",0,$F5127)-IF($G5127="",0,$G5127))</f>
        <v/>
      </c>
      <c r="I5127" s="12" t="n"/>
      <c r="J5127" s="12" t="n"/>
      <c r="K5127" s="12" t="n"/>
      <c r="L5127" s="14" t="n"/>
      <c r="M5127" s="12" t="n"/>
      <c r="N5127" s="12" t="n"/>
      <c r="O5127" s="12" t="n"/>
    </row>
    <row r="5128">
      <c r="A5128" s="12" t="n"/>
      <c r="B5128" s="13">
        <f>IF($A5128="","",IFERROR(INDEX(Emp_Names,MATCH($A5128,Emp_Codes,0)),"NOT FOUND"))</f>
        <v/>
      </c>
      <c r="C5128" s="14" t="n"/>
      <c r="D5128" s="15" t="n"/>
      <c r="E5128" s="15" t="n"/>
      <c r="F5128" s="15" t="n"/>
      <c r="G5128" s="15" t="n"/>
      <c r="H5128" s="16">
        <f>IF($A5128="","",$D5128+IF($E5128="",0,$E5128)+IF($F5128="",0,$F5128)-IF($G5128="",0,$G5128))</f>
        <v/>
      </c>
      <c r="I5128" s="12" t="n"/>
      <c r="J5128" s="12" t="n"/>
      <c r="K5128" s="12" t="n"/>
      <c r="L5128" s="14" t="n"/>
      <c r="M5128" s="12" t="n"/>
      <c r="N5128" s="12" t="n"/>
      <c r="O5128" s="12" t="n"/>
    </row>
    <row r="5129">
      <c r="A5129" s="12" t="n"/>
      <c r="B5129" s="13">
        <f>IF($A5129="","",IFERROR(INDEX(Emp_Names,MATCH($A5129,Emp_Codes,0)),"NOT FOUND"))</f>
        <v/>
      </c>
      <c r="C5129" s="14" t="n"/>
      <c r="D5129" s="15" t="n"/>
      <c r="E5129" s="15" t="n"/>
      <c r="F5129" s="15" t="n"/>
      <c r="G5129" s="15" t="n"/>
      <c r="H5129" s="16">
        <f>IF($A5129="","",$D5129+IF($E5129="",0,$E5129)+IF($F5129="",0,$F5129)-IF($G5129="",0,$G5129))</f>
        <v/>
      </c>
      <c r="I5129" s="12" t="n"/>
      <c r="J5129" s="12" t="n"/>
      <c r="K5129" s="12" t="n"/>
      <c r="L5129" s="14" t="n"/>
      <c r="M5129" s="12" t="n"/>
      <c r="N5129" s="12" t="n"/>
      <c r="O5129" s="12" t="n"/>
    </row>
    <row r="5130">
      <c r="A5130" s="12" t="n"/>
      <c r="B5130" s="13">
        <f>IF($A5130="","",IFERROR(INDEX(Emp_Names,MATCH($A5130,Emp_Codes,0)),"NOT FOUND"))</f>
        <v/>
      </c>
      <c r="C5130" s="14" t="n"/>
      <c r="D5130" s="15" t="n"/>
      <c r="E5130" s="15" t="n"/>
      <c r="F5130" s="15" t="n"/>
      <c r="G5130" s="15" t="n"/>
      <c r="H5130" s="16">
        <f>IF($A5130="","",$D5130+IF($E5130="",0,$E5130)+IF($F5130="",0,$F5130)-IF($G5130="",0,$G5130))</f>
        <v/>
      </c>
      <c r="I5130" s="12" t="n"/>
      <c r="J5130" s="12" t="n"/>
      <c r="K5130" s="12" t="n"/>
      <c r="L5130" s="14" t="n"/>
      <c r="M5130" s="12" t="n"/>
      <c r="N5130" s="12" t="n"/>
      <c r="O5130" s="12" t="n"/>
    </row>
    <row r="5131">
      <c r="A5131" s="12" t="n"/>
      <c r="B5131" s="13">
        <f>IF($A5131="","",IFERROR(INDEX(Emp_Names,MATCH($A5131,Emp_Codes,0)),"NOT FOUND"))</f>
        <v/>
      </c>
      <c r="C5131" s="14" t="n"/>
      <c r="D5131" s="15" t="n"/>
      <c r="E5131" s="15" t="n"/>
      <c r="F5131" s="15" t="n"/>
      <c r="G5131" s="15" t="n"/>
      <c r="H5131" s="16">
        <f>IF($A5131="","",$D5131+IF($E5131="",0,$E5131)+IF($F5131="",0,$F5131)-IF($G5131="",0,$G5131))</f>
        <v/>
      </c>
      <c r="I5131" s="12" t="n"/>
      <c r="J5131" s="12" t="n"/>
      <c r="K5131" s="12" t="n"/>
      <c r="L5131" s="14" t="n"/>
      <c r="M5131" s="12" t="n"/>
      <c r="N5131" s="12" t="n"/>
      <c r="O5131" s="12" t="n"/>
    </row>
    <row r="5132">
      <c r="A5132" s="12" t="n"/>
      <c r="B5132" s="13">
        <f>IF($A5132="","",IFERROR(INDEX(Emp_Names,MATCH($A5132,Emp_Codes,0)),"NOT FOUND"))</f>
        <v/>
      </c>
      <c r="C5132" s="14" t="n"/>
      <c r="D5132" s="15" t="n"/>
      <c r="E5132" s="15" t="n"/>
      <c r="F5132" s="15" t="n"/>
      <c r="G5132" s="15" t="n"/>
      <c r="H5132" s="16">
        <f>IF($A5132="","",$D5132+IF($E5132="",0,$E5132)+IF($F5132="",0,$F5132)-IF($G5132="",0,$G5132))</f>
        <v/>
      </c>
      <c r="I5132" s="12" t="n"/>
      <c r="J5132" s="12" t="n"/>
      <c r="K5132" s="12" t="n"/>
      <c r="L5132" s="14" t="n"/>
      <c r="M5132" s="12" t="n"/>
      <c r="N5132" s="12" t="n"/>
      <c r="O5132" s="12" t="n"/>
    </row>
    <row r="5133">
      <c r="A5133" s="12" t="n"/>
      <c r="B5133" s="13">
        <f>IF($A5133="","",IFERROR(INDEX(Emp_Names,MATCH($A5133,Emp_Codes,0)),"NOT FOUND"))</f>
        <v/>
      </c>
      <c r="C5133" s="14" t="n"/>
      <c r="D5133" s="15" t="n"/>
      <c r="E5133" s="15" t="n"/>
      <c r="F5133" s="15" t="n"/>
      <c r="G5133" s="15" t="n"/>
      <c r="H5133" s="16">
        <f>IF($A5133="","",$D5133+IF($E5133="",0,$E5133)+IF($F5133="",0,$F5133)-IF($G5133="",0,$G5133))</f>
        <v/>
      </c>
      <c r="I5133" s="12" t="n"/>
      <c r="J5133" s="12" t="n"/>
      <c r="K5133" s="12" t="n"/>
      <c r="L5133" s="14" t="n"/>
      <c r="M5133" s="12" t="n"/>
      <c r="N5133" s="12" t="n"/>
      <c r="O5133" s="12" t="n"/>
    </row>
    <row r="5134">
      <c r="A5134" s="12" t="n"/>
      <c r="B5134" s="13">
        <f>IF($A5134="","",IFERROR(INDEX(Emp_Names,MATCH($A5134,Emp_Codes,0)),"NOT FOUND"))</f>
        <v/>
      </c>
      <c r="C5134" s="14" t="n"/>
      <c r="D5134" s="15" t="n"/>
      <c r="E5134" s="15" t="n"/>
      <c r="F5134" s="15" t="n"/>
      <c r="G5134" s="15" t="n"/>
      <c r="H5134" s="16">
        <f>IF($A5134="","",$D5134+IF($E5134="",0,$E5134)+IF($F5134="",0,$F5134)-IF($G5134="",0,$G5134))</f>
        <v/>
      </c>
      <c r="I5134" s="12" t="n"/>
      <c r="J5134" s="12" t="n"/>
      <c r="K5134" s="12" t="n"/>
      <c r="L5134" s="14" t="n"/>
      <c r="M5134" s="12" t="n"/>
      <c r="N5134" s="12" t="n"/>
      <c r="O5134" s="12" t="n"/>
    </row>
    <row r="5135">
      <c r="A5135" s="12" t="n"/>
      <c r="B5135" s="13">
        <f>IF($A5135="","",IFERROR(INDEX(Emp_Names,MATCH($A5135,Emp_Codes,0)),"NOT FOUND"))</f>
        <v/>
      </c>
      <c r="C5135" s="14" t="n"/>
      <c r="D5135" s="15" t="n"/>
      <c r="E5135" s="15" t="n"/>
      <c r="F5135" s="15" t="n"/>
      <c r="G5135" s="15" t="n"/>
      <c r="H5135" s="16">
        <f>IF($A5135="","",$D5135+IF($E5135="",0,$E5135)+IF($F5135="",0,$F5135)-IF($G5135="",0,$G5135))</f>
        <v/>
      </c>
      <c r="I5135" s="12" t="n"/>
      <c r="J5135" s="12" t="n"/>
      <c r="K5135" s="12" t="n"/>
      <c r="L5135" s="14" t="n"/>
      <c r="M5135" s="12" t="n"/>
      <c r="N5135" s="12" t="n"/>
      <c r="O5135" s="12" t="n"/>
    </row>
    <row r="5136">
      <c r="A5136" s="12" t="n"/>
      <c r="B5136" s="13">
        <f>IF($A5136="","",IFERROR(INDEX(Emp_Names,MATCH($A5136,Emp_Codes,0)),"NOT FOUND"))</f>
        <v/>
      </c>
      <c r="C5136" s="14" t="n"/>
      <c r="D5136" s="15" t="n"/>
      <c r="E5136" s="15" t="n"/>
      <c r="F5136" s="15" t="n"/>
      <c r="G5136" s="15" t="n"/>
      <c r="H5136" s="16">
        <f>IF($A5136="","",$D5136+IF($E5136="",0,$E5136)+IF($F5136="",0,$F5136)-IF($G5136="",0,$G5136))</f>
        <v/>
      </c>
      <c r="I5136" s="12" t="n"/>
      <c r="J5136" s="12" t="n"/>
      <c r="K5136" s="12" t="n"/>
      <c r="L5136" s="14" t="n"/>
      <c r="M5136" s="12" t="n"/>
      <c r="N5136" s="12" t="n"/>
      <c r="O5136" s="12" t="n"/>
    </row>
    <row r="5137">
      <c r="A5137" s="12" t="n"/>
      <c r="B5137" s="13">
        <f>IF($A5137="","",IFERROR(INDEX(Emp_Names,MATCH($A5137,Emp_Codes,0)),"NOT FOUND"))</f>
        <v/>
      </c>
      <c r="C5137" s="14" t="n"/>
      <c r="D5137" s="15" t="n"/>
      <c r="E5137" s="15" t="n"/>
      <c r="F5137" s="15" t="n"/>
      <c r="G5137" s="15" t="n"/>
      <c r="H5137" s="16">
        <f>IF($A5137="","",$D5137+IF($E5137="",0,$E5137)+IF($F5137="",0,$F5137)-IF($G5137="",0,$G5137))</f>
        <v/>
      </c>
      <c r="I5137" s="12" t="n"/>
      <c r="J5137" s="12" t="n"/>
      <c r="K5137" s="12" t="n"/>
      <c r="L5137" s="14" t="n"/>
      <c r="M5137" s="12" t="n"/>
      <c r="N5137" s="12" t="n"/>
      <c r="O5137" s="12" t="n"/>
    </row>
    <row r="5138">
      <c r="A5138" s="12" t="n"/>
      <c r="B5138" s="13">
        <f>IF($A5138="","",IFERROR(INDEX(Emp_Names,MATCH($A5138,Emp_Codes,0)),"NOT FOUND"))</f>
        <v/>
      </c>
      <c r="C5138" s="14" t="n"/>
      <c r="D5138" s="15" t="n"/>
      <c r="E5138" s="15" t="n"/>
      <c r="F5138" s="15" t="n"/>
      <c r="G5138" s="15" t="n"/>
      <c r="H5138" s="16">
        <f>IF($A5138="","",$D5138+IF($E5138="",0,$E5138)+IF($F5138="",0,$F5138)-IF($G5138="",0,$G5138))</f>
        <v/>
      </c>
      <c r="I5138" s="12" t="n"/>
      <c r="J5138" s="12" t="n"/>
      <c r="K5138" s="12" t="n"/>
      <c r="L5138" s="14" t="n"/>
      <c r="M5138" s="12" t="n"/>
      <c r="N5138" s="12" t="n"/>
      <c r="O5138" s="12" t="n"/>
    </row>
    <row r="5139">
      <c r="A5139" s="12" t="n"/>
      <c r="B5139" s="13">
        <f>IF($A5139="","",IFERROR(INDEX(Emp_Names,MATCH($A5139,Emp_Codes,0)),"NOT FOUND"))</f>
        <v/>
      </c>
      <c r="C5139" s="14" t="n"/>
      <c r="D5139" s="15" t="n"/>
      <c r="E5139" s="15" t="n"/>
      <c r="F5139" s="15" t="n"/>
      <c r="G5139" s="15" t="n"/>
      <c r="H5139" s="16">
        <f>IF($A5139="","",$D5139+IF($E5139="",0,$E5139)+IF($F5139="",0,$F5139)-IF($G5139="",0,$G5139))</f>
        <v/>
      </c>
      <c r="I5139" s="12" t="n"/>
      <c r="J5139" s="12" t="n"/>
      <c r="K5139" s="12" t="n"/>
      <c r="L5139" s="14" t="n"/>
      <c r="M5139" s="12" t="n"/>
      <c r="N5139" s="12" t="n"/>
      <c r="O5139" s="12" t="n"/>
    </row>
    <row r="5140">
      <c r="A5140" s="12" t="n"/>
      <c r="B5140" s="13">
        <f>IF($A5140="","",IFERROR(INDEX(Emp_Names,MATCH($A5140,Emp_Codes,0)),"NOT FOUND"))</f>
        <v/>
      </c>
      <c r="C5140" s="14" t="n"/>
      <c r="D5140" s="15" t="n"/>
      <c r="E5140" s="15" t="n"/>
      <c r="F5140" s="15" t="n"/>
      <c r="G5140" s="15" t="n"/>
      <c r="H5140" s="16">
        <f>IF($A5140="","",$D5140+IF($E5140="",0,$E5140)+IF($F5140="",0,$F5140)-IF($G5140="",0,$G5140))</f>
        <v/>
      </c>
      <c r="I5140" s="12" t="n"/>
      <c r="J5140" s="12" t="n"/>
      <c r="K5140" s="12" t="n"/>
      <c r="L5140" s="14" t="n"/>
      <c r="M5140" s="12" t="n"/>
      <c r="N5140" s="12" t="n"/>
      <c r="O5140" s="12" t="n"/>
    </row>
    <row r="5141">
      <c r="A5141" s="12" t="n"/>
      <c r="B5141" s="13">
        <f>IF($A5141="","",IFERROR(INDEX(Emp_Names,MATCH($A5141,Emp_Codes,0)),"NOT FOUND"))</f>
        <v/>
      </c>
      <c r="C5141" s="14" t="n"/>
      <c r="D5141" s="15" t="n"/>
      <c r="E5141" s="15" t="n"/>
      <c r="F5141" s="15" t="n"/>
      <c r="G5141" s="15" t="n"/>
      <c r="H5141" s="16">
        <f>IF($A5141="","",$D5141+IF($E5141="",0,$E5141)+IF($F5141="",0,$F5141)-IF($G5141="",0,$G5141))</f>
        <v/>
      </c>
      <c r="I5141" s="12" t="n"/>
      <c r="J5141" s="12" t="n"/>
      <c r="K5141" s="12" t="n"/>
      <c r="L5141" s="14" t="n"/>
      <c r="M5141" s="12" t="n"/>
      <c r="N5141" s="12" t="n"/>
      <c r="O5141" s="12" t="n"/>
    </row>
    <row r="5142">
      <c r="A5142" s="12" t="n"/>
      <c r="B5142" s="13">
        <f>IF($A5142="","",IFERROR(INDEX(Emp_Names,MATCH($A5142,Emp_Codes,0)),"NOT FOUND"))</f>
        <v/>
      </c>
      <c r="C5142" s="14" t="n"/>
      <c r="D5142" s="15" t="n"/>
      <c r="E5142" s="15" t="n"/>
      <c r="F5142" s="15" t="n"/>
      <c r="G5142" s="15" t="n"/>
      <c r="H5142" s="16">
        <f>IF($A5142="","",$D5142+IF($E5142="",0,$E5142)+IF($F5142="",0,$F5142)-IF($G5142="",0,$G5142))</f>
        <v/>
      </c>
      <c r="I5142" s="12" t="n"/>
      <c r="J5142" s="12" t="n"/>
      <c r="K5142" s="12" t="n"/>
      <c r="L5142" s="14" t="n"/>
      <c r="M5142" s="12" t="n"/>
      <c r="N5142" s="12" t="n"/>
      <c r="O5142" s="12" t="n"/>
    </row>
    <row r="5143">
      <c r="A5143" s="12" t="n"/>
      <c r="B5143" s="13">
        <f>IF($A5143="","",IFERROR(INDEX(Emp_Names,MATCH($A5143,Emp_Codes,0)),"NOT FOUND"))</f>
        <v/>
      </c>
      <c r="C5143" s="14" t="n"/>
      <c r="D5143" s="15" t="n"/>
      <c r="E5143" s="15" t="n"/>
      <c r="F5143" s="15" t="n"/>
      <c r="G5143" s="15" t="n"/>
      <c r="H5143" s="16">
        <f>IF($A5143="","",$D5143+IF($E5143="",0,$E5143)+IF($F5143="",0,$F5143)-IF($G5143="",0,$G5143))</f>
        <v/>
      </c>
      <c r="I5143" s="12" t="n"/>
      <c r="J5143" s="12" t="n"/>
      <c r="K5143" s="12" t="n"/>
      <c r="L5143" s="14" t="n"/>
      <c r="M5143" s="12" t="n"/>
      <c r="N5143" s="12" t="n"/>
      <c r="O5143" s="12" t="n"/>
    </row>
    <row r="5144">
      <c r="A5144" s="12" t="n"/>
      <c r="B5144" s="13">
        <f>IF($A5144="","",IFERROR(INDEX(Emp_Names,MATCH($A5144,Emp_Codes,0)),"NOT FOUND"))</f>
        <v/>
      </c>
      <c r="C5144" s="14" t="n"/>
      <c r="D5144" s="15" t="n"/>
      <c r="E5144" s="15" t="n"/>
      <c r="F5144" s="15" t="n"/>
      <c r="G5144" s="15" t="n"/>
      <c r="H5144" s="16">
        <f>IF($A5144="","",$D5144+IF($E5144="",0,$E5144)+IF($F5144="",0,$F5144)-IF($G5144="",0,$G5144))</f>
        <v/>
      </c>
      <c r="I5144" s="12" t="n"/>
      <c r="J5144" s="12" t="n"/>
      <c r="K5144" s="12" t="n"/>
      <c r="L5144" s="14" t="n"/>
      <c r="M5144" s="12" t="n"/>
      <c r="N5144" s="12" t="n"/>
      <c r="O5144" s="12" t="n"/>
    </row>
    <row r="5145">
      <c r="A5145" s="12" t="n"/>
      <c r="B5145" s="13">
        <f>IF($A5145="","",IFERROR(INDEX(Emp_Names,MATCH($A5145,Emp_Codes,0)),"NOT FOUND"))</f>
        <v/>
      </c>
      <c r="C5145" s="14" t="n"/>
      <c r="D5145" s="15" t="n"/>
      <c r="E5145" s="15" t="n"/>
      <c r="F5145" s="15" t="n"/>
      <c r="G5145" s="15" t="n"/>
      <c r="H5145" s="16">
        <f>IF($A5145="","",$D5145+IF($E5145="",0,$E5145)+IF($F5145="",0,$F5145)-IF($G5145="",0,$G5145))</f>
        <v/>
      </c>
      <c r="I5145" s="12" t="n"/>
      <c r="J5145" s="12" t="n"/>
      <c r="K5145" s="12" t="n"/>
      <c r="L5145" s="14" t="n"/>
      <c r="M5145" s="12" t="n"/>
      <c r="N5145" s="12" t="n"/>
      <c r="O5145" s="12" t="n"/>
    </row>
    <row r="5146">
      <c r="A5146" s="12" t="n"/>
      <c r="B5146" s="13">
        <f>IF($A5146="","",IFERROR(INDEX(Emp_Names,MATCH($A5146,Emp_Codes,0)),"NOT FOUND"))</f>
        <v/>
      </c>
      <c r="C5146" s="14" t="n"/>
      <c r="D5146" s="15" t="n"/>
      <c r="E5146" s="15" t="n"/>
      <c r="F5146" s="15" t="n"/>
      <c r="G5146" s="15" t="n"/>
      <c r="H5146" s="16">
        <f>IF($A5146="","",$D5146+IF($E5146="",0,$E5146)+IF($F5146="",0,$F5146)-IF($G5146="",0,$G5146))</f>
        <v/>
      </c>
      <c r="I5146" s="12" t="n"/>
      <c r="J5146" s="12" t="n"/>
      <c r="K5146" s="12" t="n"/>
      <c r="L5146" s="14" t="n"/>
      <c r="M5146" s="12" t="n"/>
      <c r="N5146" s="12" t="n"/>
      <c r="O5146" s="12" t="n"/>
    </row>
    <row r="5147">
      <c r="A5147" s="12" t="n"/>
      <c r="B5147" s="13">
        <f>IF($A5147="","",IFERROR(INDEX(Emp_Names,MATCH($A5147,Emp_Codes,0)),"NOT FOUND"))</f>
        <v/>
      </c>
      <c r="C5147" s="14" t="n"/>
      <c r="D5147" s="15" t="n"/>
      <c r="E5147" s="15" t="n"/>
      <c r="F5147" s="15" t="n"/>
      <c r="G5147" s="15" t="n"/>
      <c r="H5147" s="16">
        <f>IF($A5147="","",$D5147+IF($E5147="",0,$E5147)+IF($F5147="",0,$F5147)-IF($G5147="",0,$G5147))</f>
        <v/>
      </c>
      <c r="I5147" s="12" t="n"/>
      <c r="J5147" s="12" t="n"/>
      <c r="K5147" s="12" t="n"/>
      <c r="L5147" s="14" t="n"/>
      <c r="M5147" s="12" t="n"/>
      <c r="N5147" s="12" t="n"/>
      <c r="O5147" s="12" t="n"/>
    </row>
    <row r="5148">
      <c r="A5148" s="12" t="n"/>
      <c r="B5148" s="13">
        <f>IF($A5148="","",IFERROR(INDEX(Emp_Names,MATCH($A5148,Emp_Codes,0)),"NOT FOUND"))</f>
        <v/>
      </c>
      <c r="C5148" s="14" t="n"/>
      <c r="D5148" s="15" t="n"/>
      <c r="E5148" s="15" t="n"/>
      <c r="F5148" s="15" t="n"/>
      <c r="G5148" s="15" t="n"/>
      <c r="H5148" s="16">
        <f>IF($A5148="","",$D5148+IF($E5148="",0,$E5148)+IF($F5148="",0,$F5148)-IF($G5148="",0,$G5148))</f>
        <v/>
      </c>
      <c r="I5148" s="12" t="n"/>
      <c r="J5148" s="12" t="n"/>
      <c r="K5148" s="12" t="n"/>
      <c r="L5148" s="14" t="n"/>
      <c r="M5148" s="12" t="n"/>
      <c r="N5148" s="12" t="n"/>
      <c r="O5148" s="12" t="n"/>
    </row>
    <row r="5149">
      <c r="A5149" s="12" t="n"/>
      <c r="B5149" s="13">
        <f>IF($A5149="","",IFERROR(INDEX(Emp_Names,MATCH($A5149,Emp_Codes,0)),"NOT FOUND"))</f>
        <v/>
      </c>
      <c r="C5149" s="14" t="n"/>
      <c r="D5149" s="15" t="n"/>
      <c r="E5149" s="15" t="n"/>
      <c r="F5149" s="15" t="n"/>
      <c r="G5149" s="15" t="n"/>
      <c r="H5149" s="16">
        <f>IF($A5149="","",$D5149+IF($E5149="",0,$E5149)+IF($F5149="",0,$F5149)-IF($G5149="",0,$G5149))</f>
        <v/>
      </c>
      <c r="I5149" s="12" t="n"/>
      <c r="J5149" s="12" t="n"/>
      <c r="K5149" s="12" t="n"/>
      <c r="L5149" s="14" t="n"/>
      <c r="M5149" s="12" t="n"/>
      <c r="N5149" s="12" t="n"/>
      <c r="O5149" s="12" t="n"/>
    </row>
    <row r="5150">
      <c r="A5150" s="12" t="n"/>
      <c r="B5150" s="13">
        <f>IF($A5150="","",IFERROR(INDEX(Emp_Names,MATCH($A5150,Emp_Codes,0)),"NOT FOUND"))</f>
        <v/>
      </c>
      <c r="C5150" s="14" t="n"/>
      <c r="D5150" s="15" t="n"/>
      <c r="E5150" s="15" t="n"/>
      <c r="F5150" s="15" t="n"/>
      <c r="G5150" s="15" t="n"/>
      <c r="H5150" s="16">
        <f>IF($A5150="","",$D5150+IF($E5150="",0,$E5150)+IF($F5150="",0,$F5150)-IF($G5150="",0,$G5150))</f>
        <v/>
      </c>
      <c r="I5150" s="12" t="n"/>
      <c r="J5150" s="12" t="n"/>
      <c r="K5150" s="12" t="n"/>
      <c r="L5150" s="14" t="n"/>
      <c r="M5150" s="12" t="n"/>
      <c r="N5150" s="12" t="n"/>
      <c r="O5150" s="12" t="n"/>
    </row>
    <row r="5151">
      <c r="A5151" s="12" t="n"/>
      <c r="B5151" s="13">
        <f>IF($A5151="","",IFERROR(INDEX(Emp_Names,MATCH($A5151,Emp_Codes,0)),"NOT FOUND"))</f>
        <v/>
      </c>
      <c r="C5151" s="14" t="n"/>
      <c r="D5151" s="15" t="n"/>
      <c r="E5151" s="15" t="n"/>
      <c r="F5151" s="15" t="n"/>
      <c r="G5151" s="15" t="n"/>
      <c r="H5151" s="16">
        <f>IF($A5151="","",$D5151+IF($E5151="",0,$E5151)+IF($F5151="",0,$F5151)-IF($G5151="",0,$G5151))</f>
        <v/>
      </c>
      <c r="I5151" s="12" t="n"/>
      <c r="J5151" s="12" t="n"/>
      <c r="K5151" s="12" t="n"/>
      <c r="L5151" s="14" t="n"/>
      <c r="M5151" s="12" t="n"/>
      <c r="N5151" s="12" t="n"/>
      <c r="O5151" s="12" t="n"/>
    </row>
    <row r="5152">
      <c r="A5152" s="12" t="n"/>
      <c r="B5152" s="13">
        <f>IF($A5152="","",IFERROR(INDEX(Emp_Names,MATCH($A5152,Emp_Codes,0)),"NOT FOUND"))</f>
        <v/>
      </c>
      <c r="C5152" s="14" t="n"/>
      <c r="D5152" s="15" t="n"/>
      <c r="E5152" s="15" t="n"/>
      <c r="F5152" s="15" t="n"/>
      <c r="G5152" s="15" t="n"/>
      <c r="H5152" s="16">
        <f>IF($A5152="","",$D5152+IF($E5152="",0,$E5152)+IF($F5152="",0,$F5152)-IF($G5152="",0,$G5152))</f>
        <v/>
      </c>
      <c r="I5152" s="12" t="n"/>
      <c r="J5152" s="12" t="n"/>
      <c r="K5152" s="12" t="n"/>
      <c r="L5152" s="14" t="n"/>
      <c r="M5152" s="12" t="n"/>
      <c r="N5152" s="12" t="n"/>
      <c r="O5152" s="12" t="n"/>
    </row>
    <row r="5153">
      <c r="A5153" s="12" t="n"/>
      <c r="B5153" s="13">
        <f>IF($A5153="","",IFERROR(INDEX(Emp_Names,MATCH($A5153,Emp_Codes,0)),"NOT FOUND"))</f>
        <v/>
      </c>
      <c r="C5153" s="14" t="n"/>
      <c r="D5153" s="15" t="n"/>
      <c r="E5153" s="15" t="n"/>
      <c r="F5153" s="15" t="n"/>
      <c r="G5153" s="15" t="n"/>
      <c r="H5153" s="16">
        <f>IF($A5153="","",$D5153+IF($E5153="",0,$E5153)+IF($F5153="",0,$F5153)-IF($G5153="",0,$G5153))</f>
        <v/>
      </c>
      <c r="I5153" s="12" t="n"/>
      <c r="J5153" s="12" t="n"/>
      <c r="K5153" s="12" t="n"/>
      <c r="L5153" s="14" t="n"/>
      <c r="M5153" s="12" t="n"/>
      <c r="N5153" s="12" t="n"/>
      <c r="O5153" s="12" t="n"/>
    </row>
    <row r="5154">
      <c r="A5154" s="12" t="n"/>
      <c r="B5154" s="13">
        <f>IF($A5154="","",IFERROR(INDEX(Emp_Names,MATCH($A5154,Emp_Codes,0)),"NOT FOUND"))</f>
        <v/>
      </c>
      <c r="C5154" s="14" t="n"/>
      <c r="D5154" s="15" t="n"/>
      <c r="E5154" s="15" t="n"/>
      <c r="F5154" s="15" t="n"/>
      <c r="G5154" s="15" t="n"/>
      <c r="H5154" s="16">
        <f>IF($A5154="","",$D5154+IF($E5154="",0,$E5154)+IF($F5154="",0,$F5154)-IF($G5154="",0,$G5154))</f>
        <v/>
      </c>
      <c r="I5154" s="12" t="n"/>
      <c r="J5154" s="12" t="n"/>
      <c r="K5154" s="12" t="n"/>
      <c r="L5154" s="14" t="n"/>
      <c r="M5154" s="12" t="n"/>
      <c r="N5154" s="12" t="n"/>
      <c r="O5154" s="12" t="n"/>
    </row>
    <row r="5155">
      <c r="A5155" s="12" t="n"/>
      <c r="B5155" s="13">
        <f>IF($A5155="","",IFERROR(INDEX(Emp_Names,MATCH($A5155,Emp_Codes,0)),"NOT FOUND"))</f>
        <v/>
      </c>
      <c r="C5155" s="14" t="n"/>
      <c r="D5155" s="15" t="n"/>
      <c r="E5155" s="15" t="n"/>
      <c r="F5155" s="15" t="n"/>
      <c r="G5155" s="15" t="n"/>
      <c r="H5155" s="16">
        <f>IF($A5155="","",$D5155+IF($E5155="",0,$E5155)+IF($F5155="",0,$F5155)-IF($G5155="",0,$G5155))</f>
        <v/>
      </c>
      <c r="I5155" s="12" t="n"/>
      <c r="J5155" s="12" t="n"/>
      <c r="K5155" s="12" t="n"/>
      <c r="L5155" s="14" t="n"/>
      <c r="M5155" s="12" t="n"/>
      <c r="N5155" s="12" t="n"/>
      <c r="O5155" s="12" t="n"/>
    </row>
    <row r="5156">
      <c r="A5156" s="12" t="n"/>
      <c r="B5156" s="13">
        <f>IF($A5156="","",IFERROR(INDEX(Emp_Names,MATCH($A5156,Emp_Codes,0)),"NOT FOUND"))</f>
        <v/>
      </c>
      <c r="C5156" s="14" t="n"/>
      <c r="D5156" s="15" t="n"/>
      <c r="E5156" s="15" t="n"/>
      <c r="F5156" s="15" t="n"/>
      <c r="G5156" s="15" t="n"/>
      <c r="H5156" s="16">
        <f>IF($A5156="","",$D5156+IF($E5156="",0,$E5156)+IF($F5156="",0,$F5156)-IF($G5156="",0,$G5156))</f>
        <v/>
      </c>
      <c r="I5156" s="12" t="n"/>
      <c r="J5156" s="12" t="n"/>
      <c r="K5156" s="12" t="n"/>
      <c r="L5156" s="14" t="n"/>
      <c r="M5156" s="12" t="n"/>
      <c r="N5156" s="12" t="n"/>
      <c r="O5156" s="12" t="n"/>
    </row>
    <row r="5157">
      <c r="A5157" s="12" t="n"/>
      <c r="B5157" s="13">
        <f>IF($A5157="","",IFERROR(INDEX(Emp_Names,MATCH($A5157,Emp_Codes,0)),"NOT FOUND"))</f>
        <v/>
      </c>
      <c r="C5157" s="14" t="n"/>
      <c r="D5157" s="15" t="n"/>
      <c r="E5157" s="15" t="n"/>
      <c r="F5157" s="15" t="n"/>
      <c r="G5157" s="15" t="n"/>
      <c r="H5157" s="16">
        <f>IF($A5157="","",$D5157+IF($E5157="",0,$E5157)+IF($F5157="",0,$F5157)-IF($G5157="",0,$G5157))</f>
        <v/>
      </c>
      <c r="I5157" s="12" t="n"/>
      <c r="J5157" s="12" t="n"/>
      <c r="K5157" s="12" t="n"/>
      <c r="L5157" s="14" t="n"/>
      <c r="M5157" s="12" t="n"/>
      <c r="N5157" s="12" t="n"/>
      <c r="O5157" s="12" t="n"/>
    </row>
    <row r="5158">
      <c r="A5158" s="12" t="n"/>
      <c r="B5158" s="13">
        <f>IF($A5158="","",IFERROR(INDEX(Emp_Names,MATCH($A5158,Emp_Codes,0)),"NOT FOUND"))</f>
        <v/>
      </c>
      <c r="C5158" s="14" t="n"/>
      <c r="D5158" s="15" t="n"/>
      <c r="E5158" s="15" t="n"/>
      <c r="F5158" s="15" t="n"/>
      <c r="G5158" s="15" t="n"/>
      <c r="H5158" s="16">
        <f>IF($A5158="","",$D5158+IF($E5158="",0,$E5158)+IF($F5158="",0,$F5158)-IF($G5158="",0,$G5158))</f>
        <v/>
      </c>
      <c r="I5158" s="12" t="n"/>
      <c r="J5158" s="12" t="n"/>
      <c r="K5158" s="12" t="n"/>
      <c r="L5158" s="14" t="n"/>
      <c r="M5158" s="12" t="n"/>
      <c r="N5158" s="12" t="n"/>
      <c r="O5158" s="12" t="n"/>
    </row>
    <row r="5159">
      <c r="A5159" s="12" t="n"/>
      <c r="B5159" s="13">
        <f>IF($A5159="","",IFERROR(INDEX(Emp_Names,MATCH($A5159,Emp_Codes,0)),"NOT FOUND"))</f>
        <v/>
      </c>
      <c r="C5159" s="14" t="n"/>
      <c r="D5159" s="15" t="n"/>
      <c r="E5159" s="15" t="n"/>
      <c r="F5159" s="15" t="n"/>
      <c r="G5159" s="15" t="n"/>
      <c r="H5159" s="16">
        <f>IF($A5159="","",$D5159+IF($E5159="",0,$E5159)+IF($F5159="",0,$F5159)-IF($G5159="",0,$G5159))</f>
        <v/>
      </c>
      <c r="I5159" s="12" t="n"/>
      <c r="J5159" s="12" t="n"/>
      <c r="K5159" s="12" t="n"/>
      <c r="L5159" s="14" t="n"/>
      <c r="M5159" s="12" t="n"/>
      <c r="N5159" s="12" t="n"/>
      <c r="O5159" s="12" t="n"/>
    </row>
    <row r="5160">
      <c r="A5160" s="12" t="n"/>
      <c r="B5160" s="13">
        <f>IF($A5160="","",IFERROR(INDEX(Emp_Names,MATCH($A5160,Emp_Codes,0)),"NOT FOUND"))</f>
        <v/>
      </c>
      <c r="C5160" s="14" t="n"/>
      <c r="D5160" s="15" t="n"/>
      <c r="E5160" s="15" t="n"/>
      <c r="F5160" s="15" t="n"/>
      <c r="G5160" s="15" t="n"/>
      <c r="H5160" s="16">
        <f>IF($A5160="","",$D5160+IF($E5160="",0,$E5160)+IF($F5160="",0,$F5160)-IF($G5160="",0,$G5160))</f>
        <v/>
      </c>
      <c r="I5160" s="12" t="n"/>
      <c r="J5160" s="12" t="n"/>
      <c r="K5160" s="12" t="n"/>
      <c r="L5160" s="14" t="n"/>
      <c r="M5160" s="12" t="n"/>
      <c r="N5160" s="12" t="n"/>
      <c r="O5160" s="12" t="n"/>
    </row>
    <row r="5161">
      <c r="A5161" s="12" t="n"/>
      <c r="B5161" s="13">
        <f>IF($A5161="","",IFERROR(INDEX(Emp_Names,MATCH($A5161,Emp_Codes,0)),"NOT FOUND"))</f>
        <v/>
      </c>
      <c r="C5161" s="14" t="n"/>
      <c r="D5161" s="15" t="n"/>
      <c r="E5161" s="15" t="n"/>
      <c r="F5161" s="15" t="n"/>
      <c r="G5161" s="15" t="n"/>
      <c r="H5161" s="16">
        <f>IF($A5161="","",$D5161+IF($E5161="",0,$E5161)+IF($F5161="",0,$F5161)-IF($G5161="",0,$G5161))</f>
        <v/>
      </c>
      <c r="I5161" s="12" t="n"/>
      <c r="J5161" s="12" t="n"/>
      <c r="K5161" s="12" t="n"/>
      <c r="L5161" s="14" t="n"/>
      <c r="M5161" s="12" t="n"/>
      <c r="N5161" s="12" t="n"/>
      <c r="O5161" s="12" t="n"/>
    </row>
    <row r="5162">
      <c r="A5162" s="12" t="n"/>
      <c r="B5162" s="13">
        <f>IF($A5162="","",IFERROR(INDEX(Emp_Names,MATCH($A5162,Emp_Codes,0)),"NOT FOUND"))</f>
        <v/>
      </c>
      <c r="C5162" s="14" t="n"/>
      <c r="D5162" s="15" t="n"/>
      <c r="E5162" s="15" t="n"/>
      <c r="F5162" s="15" t="n"/>
      <c r="G5162" s="15" t="n"/>
      <c r="H5162" s="16">
        <f>IF($A5162="","",$D5162+IF($E5162="",0,$E5162)+IF($F5162="",0,$F5162)-IF($G5162="",0,$G5162))</f>
        <v/>
      </c>
      <c r="I5162" s="12" t="n"/>
      <c r="J5162" s="12" t="n"/>
      <c r="K5162" s="12" t="n"/>
      <c r="L5162" s="14" t="n"/>
      <c r="M5162" s="12" t="n"/>
      <c r="N5162" s="12" t="n"/>
      <c r="O5162" s="12" t="n"/>
    </row>
    <row r="5163">
      <c r="A5163" s="12" t="n"/>
      <c r="B5163" s="13">
        <f>IF($A5163="","",IFERROR(INDEX(Emp_Names,MATCH($A5163,Emp_Codes,0)),"NOT FOUND"))</f>
        <v/>
      </c>
      <c r="C5163" s="14" t="n"/>
      <c r="D5163" s="15" t="n"/>
      <c r="E5163" s="15" t="n"/>
      <c r="F5163" s="15" t="n"/>
      <c r="G5163" s="15" t="n"/>
      <c r="H5163" s="16">
        <f>IF($A5163="","",$D5163+IF($E5163="",0,$E5163)+IF($F5163="",0,$F5163)-IF($G5163="",0,$G5163))</f>
        <v/>
      </c>
      <c r="I5163" s="12" t="n"/>
      <c r="J5163" s="12" t="n"/>
      <c r="K5163" s="12" t="n"/>
      <c r="L5163" s="14" t="n"/>
      <c r="M5163" s="12" t="n"/>
      <c r="N5163" s="12" t="n"/>
      <c r="O5163" s="12" t="n"/>
    </row>
    <row r="5164">
      <c r="A5164" s="12" t="n"/>
      <c r="B5164" s="13">
        <f>IF($A5164="","",IFERROR(INDEX(Emp_Names,MATCH($A5164,Emp_Codes,0)),"NOT FOUND"))</f>
        <v/>
      </c>
      <c r="C5164" s="14" t="n"/>
      <c r="D5164" s="15" t="n"/>
      <c r="E5164" s="15" t="n"/>
      <c r="F5164" s="15" t="n"/>
      <c r="G5164" s="15" t="n"/>
      <c r="H5164" s="16">
        <f>IF($A5164="","",$D5164+IF($E5164="",0,$E5164)+IF($F5164="",0,$F5164)-IF($G5164="",0,$G5164))</f>
        <v/>
      </c>
      <c r="I5164" s="12" t="n"/>
      <c r="J5164" s="12" t="n"/>
      <c r="K5164" s="12" t="n"/>
      <c r="L5164" s="14" t="n"/>
      <c r="M5164" s="12" t="n"/>
      <c r="N5164" s="12" t="n"/>
      <c r="O5164" s="12" t="n"/>
    </row>
    <row r="5165">
      <c r="A5165" s="12" t="n"/>
      <c r="B5165" s="13">
        <f>IF($A5165="","",IFERROR(INDEX(Emp_Names,MATCH($A5165,Emp_Codes,0)),"NOT FOUND"))</f>
        <v/>
      </c>
      <c r="C5165" s="14" t="n"/>
      <c r="D5165" s="15" t="n"/>
      <c r="E5165" s="15" t="n"/>
      <c r="F5165" s="15" t="n"/>
      <c r="G5165" s="15" t="n"/>
      <c r="H5165" s="16">
        <f>IF($A5165="","",$D5165+IF($E5165="",0,$E5165)+IF($F5165="",0,$F5165)-IF($G5165="",0,$G5165))</f>
        <v/>
      </c>
      <c r="I5165" s="12" t="n"/>
      <c r="J5165" s="12" t="n"/>
      <c r="K5165" s="12" t="n"/>
      <c r="L5165" s="14" t="n"/>
      <c r="M5165" s="12" t="n"/>
      <c r="N5165" s="12" t="n"/>
      <c r="O5165" s="12" t="n"/>
    </row>
    <row r="5166">
      <c r="A5166" s="12" t="n"/>
      <c r="B5166" s="13">
        <f>IF($A5166="","",IFERROR(INDEX(Emp_Names,MATCH($A5166,Emp_Codes,0)),"NOT FOUND"))</f>
        <v/>
      </c>
      <c r="C5166" s="14" t="n"/>
      <c r="D5166" s="15" t="n"/>
      <c r="E5166" s="15" t="n"/>
      <c r="F5166" s="15" t="n"/>
      <c r="G5166" s="15" t="n"/>
      <c r="H5166" s="16">
        <f>IF($A5166="","",$D5166+IF($E5166="",0,$E5166)+IF($F5166="",0,$F5166)-IF($G5166="",0,$G5166))</f>
        <v/>
      </c>
      <c r="I5166" s="12" t="n"/>
      <c r="J5166" s="12" t="n"/>
      <c r="K5166" s="12" t="n"/>
      <c r="L5166" s="14" t="n"/>
      <c r="M5166" s="12" t="n"/>
      <c r="N5166" s="12" t="n"/>
      <c r="O5166" s="12" t="n"/>
    </row>
    <row r="5167">
      <c r="A5167" s="12" t="n"/>
      <c r="B5167" s="13">
        <f>IF($A5167="","",IFERROR(INDEX(Emp_Names,MATCH($A5167,Emp_Codes,0)),"NOT FOUND"))</f>
        <v/>
      </c>
      <c r="C5167" s="14" t="n"/>
      <c r="D5167" s="15" t="n"/>
      <c r="E5167" s="15" t="n"/>
      <c r="F5167" s="15" t="n"/>
      <c r="G5167" s="15" t="n"/>
      <c r="H5167" s="16">
        <f>IF($A5167="","",$D5167+IF($E5167="",0,$E5167)+IF($F5167="",0,$F5167)-IF($G5167="",0,$G5167))</f>
        <v/>
      </c>
      <c r="I5167" s="12" t="n"/>
      <c r="J5167" s="12" t="n"/>
      <c r="K5167" s="12" t="n"/>
      <c r="L5167" s="14" t="n"/>
      <c r="M5167" s="12" t="n"/>
      <c r="N5167" s="12" t="n"/>
      <c r="O5167" s="12" t="n"/>
    </row>
    <row r="5168">
      <c r="A5168" s="12" t="n"/>
      <c r="B5168" s="13">
        <f>IF($A5168="","",IFERROR(INDEX(Emp_Names,MATCH($A5168,Emp_Codes,0)),"NOT FOUND"))</f>
        <v/>
      </c>
      <c r="C5168" s="14" t="n"/>
      <c r="D5168" s="15" t="n"/>
      <c r="E5168" s="15" t="n"/>
      <c r="F5168" s="15" t="n"/>
      <c r="G5168" s="15" t="n"/>
      <c r="H5168" s="16">
        <f>IF($A5168="","",$D5168+IF($E5168="",0,$E5168)+IF($F5168="",0,$F5168)-IF($G5168="",0,$G5168))</f>
        <v/>
      </c>
      <c r="I5168" s="12" t="n"/>
      <c r="J5168" s="12" t="n"/>
      <c r="K5168" s="12" t="n"/>
      <c r="L5168" s="14" t="n"/>
      <c r="M5168" s="12" t="n"/>
      <c r="N5168" s="12" t="n"/>
      <c r="O5168" s="12" t="n"/>
    </row>
    <row r="5169">
      <c r="A5169" s="12" t="n"/>
      <c r="B5169" s="13">
        <f>IF($A5169="","",IFERROR(INDEX(Emp_Names,MATCH($A5169,Emp_Codes,0)),"NOT FOUND"))</f>
        <v/>
      </c>
      <c r="C5169" s="14" t="n"/>
      <c r="D5169" s="15" t="n"/>
      <c r="E5169" s="15" t="n"/>
      <c r="F5169" s="15" t="n"/>
      <c r="G5169" s="15" t="n"/>
      <c r="H5169" s="16">
        <f>IF($A5169="","",$D5169+IF($E5169="",0,$E5169)+IF($F5169="",0,$F5169)-IF($G5169="",0,$G5169))</f>
        <v/>
      </c>
      <c r="I5169" s="12" t="n"/>
      <c r="J5169" s="12" t="n"/>
      <c r="K5169" s="12" t="n"/>
      <c r="L5169" s="14" t="n"/>
      <c r="M5169" s="12" t="n"/>
      <c r="N5169" s="12" t="n"/>
      <c r="O5169" s="12" t="n"/>
    </row>
    <row r="5170">
      <c r="A5170" s="12" t="n"/>
      <c r="B5170" s="13">
        <f>IF($A5170="","",IFERROR(INDEX(Emp_Names,MATCH($A5170,Emp_Codes,0)),"NOT FOUND"))</f>
        <v/>
      </c>
      <c r="C5170" s="14" t="n"/>
      <c r="D5170" s="15" t="n"/>
      <c r="E5170" s="15" t="n"/>
      <c r="F5170" s="15" t="n"/>
      <c r="G5170" s="15" t="n"/>
      <c r="H5170" s="16">
        <f>IF($A5170="","",$D5170+IF($E5170="",0,$E5170)+IF($F5170="",0,$F5170)-IF($G5170="",0,$G5170))</f>
        <v/>
      </c>
      <c r="I5170" s="12" t="n"/>
      <c r="J5170" s="12" t="n"/>
      <c r="K5170" s="12" t="n"/>
      <c r="L5170" s="14" t="n"/>
      <c r="M5170" s="12" t="n"/>
      <c r="N5170" s="12" t="n"/>
      <c r="O5170" s="12" t="n"/>
    </row>
    <row r="5171">
      <c r="A5171" s="12" t="n"/>
      <c r="B5171" s="13">
        <f>IF($A5171="","",IFERROR(INDEX(Emp_Names,MATCH($A5171,Emp_Codes,0)),"NOT FOUND"))</f>
        <v/>
      </c>
      <c r="C5171" s="14" t="n"/>
      <c r="D5171" s="15" t="n"/>
      <c r="E5171" s="15" t="n"/>
      <c r="F5171" s="15" t="n"/>
      <c r="G5171" s="15" t="n"/>
      <c r="H5171" s="16">
        <f>IF($A5171="","",$D5171+IF($E5171="",0,$E5171)+IF($F5171="",0,$F5171)-IF($G5171="",0,$G5171))</f>
        <v/>
      </c>
      <c r="I5171" s="12" t="n"/>
      <c r="J5171" s="12" t="n"/>
      <c r="K5171" s="12" t="n"/>
      <c r="L5171" s="14" t="n"/>
      <c r="M5171" s="12" t="n"/>
      <c r="N5171" s="12" t="n"/>
      <c r="O5171" s="12" t="n"/>
    </row>
    <row r="5172">
      <c r="A5172" s="12" t="n"/>
      <c r="B5172" s="13">
        <f>IF($A5172="","",IFERROR(INDEX(Emp_Names,MATCH($A5172,Emp_Codes,0)),"NOT FOUND"))</f>
        <v/>
      </c>
      <c r="C5172" s="14" t="n"/>
      <c r="D5172" s="15" t="n"/>
      <c r="E5172" s="15" t="n"/>
      <c r="F5172" s="15" t="n"/>
      <c r="G5172" s="15" t="n"/>
      <c r="H5172" s="16">
        <f>IF($A5172="","",$D5172+IF($E5172="",0,$E5172)+IF($F5172="",0,$F5172)-IF($G5172="",0,$G5172))</f>
        <v/>
      </c>
      <c r="I5172" s="12" t="n"/>
      <c r="J5172" s="12" t="n"/>
      <c r="K5172" s="12" t="n"/>
      <c r="L5172" s="14" t="n"/>
      <c r="M5172" s="12" t="n"/>
      <c r="N5172" s="12" t="n"/>
      <c r="O5172" s="12" t="n"/>
    </row>
    <row r="5173">
      <c r="A5173" s="12" t="n"/>
      <c r="B5173" s="13">
        <f>IF($A5173="","",IFERROR(INDEX(Emp_Names,MATCH($A5173,Emp_Codes,0)),"NOT FOUND"))</f>
        <v/>
      </c>
      <c r="C5173" s="14" t="n"/>
      <c r="D5173" s="15" t="n"/>
      <c r="E5173" s="15" t="n"/>
      <c r="F5173" s="15" t="n"/>
      <c r="G5173" s="15" t="n"/>
      <c r="H5173" s="16">
        <f>IF($A5173="","",$D5173+IF($E5173="",0,$E5173)+IF($F5173="",0,$F5173)-IF($G5173="",0,$G5173))</f>
        <v/>
      </c>
      <c r="I5173" s="12" t="n"/>
      <c r="J5173" s="12" t="n"/>
      <c r="K5173" s="12" t="n"/>
      <c r="L5173" s="14" t="n"/>
      <c r="M5173" s="12" t="n"/>
      <c r="N5173" s="12" t="n"/>
      <c r="O5173" s="12" t="n"/>
    </row>
    <row r="5174">
      <c r="A5174" s="12" t="n"/>
      <c r="B5174" s="13">
        <f>IF($A5174="","",IFERROR(INDEX(Emp_Names,MATCH($A5174,Emp_Codes,0)),"NOT FOUND"))</f>
        <v/>
      </c>
      <c r="C5174" s="14" t="n"/>
      <c r="D5174" s="15" t="n"/>
      <c r="E5174" s="15" t="n"/>
      <c r="F5174" s="15" t="n"/>
      <c r="G5174" s="15" t="n"/>
      <c r="H5174" s="16">
        <f>IF($A5174="","",$D5174+IF($E5174="",0,$E5174)+IF($F5174="",0,$F5174)-IF($G5174="",0,$G5174))</f>
        <v/>
      </c>
      <c r="I5174" s="12" t="n"/>
      <c r="J5174" s="12" t="n"/>
      <c r="K5174" s="12" t="n"/>
      <c r="L5174" s="14" t="n"/>
      <c r="M5174" s="12" t="n"/>
      <c r="N5174" s="12" t="n"/>
      <c r="O5174" s="12" t="n"/>
    </row>
    <row r="5175">
      <c r="A5175" s="12" t="n"/>
      <c r="B5175" s="13">
        <f>IF($A5175="","",IFERROR(INDEX(Emp_Names,MATCH($A5175,Emp_Codes,0)),"NOT FOUND"))</f>
        <v/>
      </c>
      <c r="C5175" s="14" t="n"/>
      <c r="D5175" s="15" t="n"/>
      <c r="E5175" s="15" t="n"/>
      <c r="F5175" s="15" t="n"/>
      <c r="G5175" s="15" t="n"/>
      <c r="H5175" s="16">
        <f>IF($A5175="","",$D5175+IF($E5175="",0,$E5175)+IF($F5175="",0,$F5175)-IF($G5175="",0,$G5175))</f>
        <v/>
      </c>
      <c r="I5175" s="12" t="n"/>
      <c r="J5175" s="12" t="n"/>
      <c r="K5175" s="12" t="n"/>
      <c r="L5175" s="14" t="n"/>
      <c r="M5175" s="12" t="n"/>
      <c r="N5175" s="12" t="n"/>
      <c r="O5175" s="12" t="n"/>
    </row>
    <row r="5176">
      <c r="A5176" s="12" t="n"/>
      <c r="B5176" s="13">
        <f>IF($A5176="","",IFERROR(INDEX(Emp_Names,MATCH($A5176,Emp_Codes,0)),"NOT FOUND"))</f>
        <v/>
      </c>
      <c r="C5176" s="14" t="n"/>
      <c r="D5176" s="15" t="n"/>
      <c r="E5176" s="15" t="n"/>
      <c r="F5176" s="15" t="n"/>
      <c r="G5176" s="15" t="n"/>
      <c r="H5176" s="16">
        <f>IF($A5176="","",$D5176+IF($E5176="",0,$E5176)+IF($F5176="",0,$F5176)-IF($G5176="",0,$G5176))</f>
        <v/>
      </c>
      <c r="I5176" s="12" t="n"/>
      <c r="J5176" s="12" t="n"/>
      <c r="K5176" s="12" t="n"/>
      <c r="L5176" s="14" t="n"/>
      <c r="M5176" s="12" t="n"/>
      <c r="N5176" s="12" t="n"/>
      <c r="O5176" s="12" t="n"/>
    </row>
    <row r="5177">
      <c r="A5177" s="12" t="n"/>
      <c r="B5177" s="13">
        <f>IF($A5177="","",IFERROR(INDEX(Emp_Names,MATCH($A5177,Emp_Codes,0)),"NOT FOUND"))</f>
        <v/>
      </c>
      <c r="C5177" s="14" t="n"/>
      <c r="D5177" s="15" t="n"/>
      <c r="E5177" s="15" t="n"/>
      <c r="F5177" s="15" t="n"/>
      <c r="G5177" s="15" t="n"/>
      <c r="H5177" s="16">
        <f>IF($A5177="","",$D5177+IF($E5177="",0,$E5177)+IF($F5177="",0,$F5177)-IF($G5177="",0,$G5177))</f>
        <v/>
      </c>
      <c r="I5177" s="12" t="n"/>
      <c r="J5177" s="12" t="n"/>
      <c r="K5177" s="12" t="n"/>
      <c r="L5177" s="14" t="n"/>
      <c r="M5177" s="12" t="n"/>
      <c r="N5177" s="12" t="n"/>
      <c r="O5177" s="12" t="n"/>
    </row>
    <row r="5178">
      <c r="A5178" s="12" t="n"/>
      <c r="B5178" s="13">
        <f>IF($A5178="","",IFERROR(INDEX(Emp_Names,MATCH($A5178,Emp_Codes,0)),"NOT FOUND"))</f>
        <v/>
      </c>
      <c r="C5178" s="14" t="n"/>
      <c r="D5178" s="15" t="n"/>
      <c r="E5178" s="15" t="n"/>
      <c r="F5178" s="15" t="n"/>
      <c r="G5178" s="15" t="n"/>
      <c r="H5178" s="16">
        <f>IF($A5178="","",$D5178+IF($E5178="",0,$E5178)+IF($F5178="",0,$F5178)-IF($G5178="",0,$G5178))</f>
        <v/>
      </c>
      <c r="I5178" s="12" t="n"/>
      <c r="J5178" s="12" t="n"/>
      <c r="K5178" s="12" t="n"/>
      <c r="L5178" s="14" t="n"/>
      <c r="M5178" s="12" t="n"/>
      <c r="N5178" s="12" t="n"/>
      <c r="O5178" s="12" t="n"/>
    </row>
    <row r="5179">
      <c r="A5179" s="12" t="n"/>
      <c r="B5179" s="13">
        <f>IF($A5179="","",IFERROR(INDEX(Emp_Names,MATCH($A5179,Emp_Codes,0)),"NOT FOUND"))</f>
        <v/>
      </c>
      <c r="C5179" s="14" t="n"/>
      <c r="D5179" s="15" t="n"/>
      <c r="E5179" s="15" t="n"/>
      <c r="F5179" s="15" t="n"/>
      <c r="G5179" s="15" t="n"/>
      <c r="H5179" s="16">
        <f>IF($A5179="","",$D5179+IF($E5179="",0,$E5179)+IF($F5179="",0,$F5179)-IF($G5179="",0,$G5179))</f>
        <v/>
      </c>
      <c r="I5179" s="12" t="n"/>
      <c r="J5179" s="12" t="n"/>
      <c r="K5179" s="12" t="n"/>
      <c r="L5179" s="14" t="n"/>
      <c r="M5179" s="12" t="n"/>
      <c r="N5179" s="12" t="n"/>
      <c r="O5179" s="12" t="n"/>
    </row>
    <row r="5180">
      <c r="A5180" s="12" t="n"/>
      <c r="B5180" s="13">
        <f>IF($A5180="","",IFERROR(INDEX(Emp_Names,MATCH($A5180,Emp_Codes,0)),"NOT FOUND"))</f>
        <v/>
      </c>
      <c r="C5180" s="14" t="n"/>
      <c r="D5180" s="15" t="n"/>
      <c r="E5180" s="15" t="n"/>
      <c r="F5180" s="15" t="n"/>
      <c r="G5180" s="15" t="n"/>
      <c r="H5180" s="16">
        <f>IF($A5180="","",$D5180+IF($E5180="",0,$E5180)+IF($F5180="",0,$F5180)-IF($G5180="",0,$G5180))</f>
        <v/>
      </c>
      <c r="I5180" s="12" t="n"/>
      <c r="J5180" s="12" t="n"/>
      <c r="K5180" s="12" t="n"/>
      <c r="L5180" s="14" t="n"/>
      <c r="M5180" s="12" t="n"/>
      <c r="N5180" s="12" t="n"/>
      <c r="O5180" s="12" t="n"/>
    </row>
    <row r="5181">
      <c r="A5181" s="12" t="n"/>
      <c r="B5181" s="13">
        <f>IF($A5181="","",IFERROR(INDEX(Emp_Names,MATCH($A5181,Emp_Codes,0)),"NOT FOUND"))</f>
        <v/>
      </c>
      <c r="C5181" s="14" t="n"/>
      <c r="D5181" s="15" t="n"/>
      <c r="E5181" s="15" t="n"/>
      <c r="F5181" s="15" t="n"/>
      <c r="G5181" s="15" t="n"/>
      <c r="H5181" s="16">
        <f>IF($A5181="","",$D5181+IF($E5181="",0,$E5181)+IF($F5181="",0,$F5181)-IF($G5181="",0,$G5181))</f>
        <v/>
      </c>
      <c r="I5181" s="12" t="n"/>
      <c r="J5181" s="12" t="n"/>
      <c r="K5181" s="12" t="n"/>
      <c r="L5181" s="14" t="n"/>
      <c r="M5181" s="12" t="n"/>
      <c r="N5181" s="12" t="n"/>
      <c r="O5181" s="12" t="n"/>
    </row>
    <row r="5182">
      <c r="A5182" s="12" t="n"/>
      <c r="B5182" s="13">
        <f>IF($A5182="","",IFERROR(INDEX(Emp_Names,MATCH($A5182,Emp_Codes,0)),"NOT FOUND"))</f>
        <v/>
      </c>
      <c r="C5182" s="14" t="n"/>
      <c r="D5182" s="15" t="n"/>
      <c r="E5182" s="15" t="n"/>
      <c r="F5182" s="15" t="n"/>
      <c r="G5182" s="15" t="n"/>
      <c r="H5182" s="16">
        <f>IF($A5182="","",$D5182+IF($E5182="",0,$E5182)+IF($F5182="",0,$F5182)-IF($G5182="",0,$G5182))</f>
        <v/>
      </c>
      <c r="I5182" s="12" t="n"/>
      <c r="J5182" s="12" t="n"/>
      <c r="K5182" s="12" t="n"/>
      <c r="L5182" s="14" t="n"/>
      <c r="M5182" s="12" t="n"/>
      <c r="N5182" s="12" t="n"/>
      <c r="O5182" s="12" t="n"/>
    </row>
    <row r="5183">
      <c r="A5183" s="12" t="n"/>
      <c r="B5183" s="13">
        <f>IF($A5183="","",IFERROR(INDEX(Emp_Names,MATCH($A5183,Emp_Codes,0)),"NOT FOUND"))</f>
        <v/>
      </c>
      <c r="C5183" s="14" t="n"/>
      <c r="D5183" s="15" t="n"/>
      <c r="E5183" s="15" t="n"/>
      <c r="F5183" s="15" t="n"/>
      <c r="G5183" s="15" t="n"/>
      <c r="H5183" s="16">
        <f>IF($A5183="","",$D5183+IF($E5183="",0,$E5183)+IF($F5183="",0,$F5183)-IF($G5183="",0,$G5183))</f>
        <v/>
      </c>
      <c r="I5183" s="12" t="n"/>
      <c r="J5183" s="12" t="n"/>
      <c r="K5183" s="12" t="n"/>
      <c r="L5183" s="14" t="n"/>
      <c r="M5183" s="12" t="n"/>
      <c r="N5183" s="12" t="n"/>
      <c r="O5183" s="12" t="n"/>
    </row>
    <row r="5184">
      <c r="A5184" s="12" t="n"/>
      <c r="B5184" s="13">
        <f>IF($A5184="","",IFERROR(INDEX(Emp_Names,MATCH($A5184,Emp_Codes,0)),"NOT FOUND"))</f>
        <v/>
      </c>
      <c r="C5184" s="14" t="n"/>
      <c r="D5184" s="15" t="n"/>
      <c r="E5184" s="15" t="n"/>
      <c r="F5184" s="15" t="n"/>
      <c r="G5184" s="15" t="n"/>
      <c r="H5184" s="16">
        <f>IF($A5184="","",$D5184+IF($E5184="",0,$E5184)+IF($F5184="",0,$F5184)-IF($G5184="",0,$G5184))</f>
        <v/>
      </c>
      <c r="I5184" s="12" t="n"/>
      <c r="J5184" s="12" t="n"/>
      <c r="K5184" s="12" t="n"/>
      <c r="L5184" s="14" t="n"/>
      <c r="M5184" s="12" t="n"/>
      <c r="N5184" s="12" t="n"/>
      <c r="O5184" s="12" t="n"/>
    </row>
    <row r="5185">
      <c r="A5185" s="12" t="n"/>
      <c r="B5185" s="13">
        <f>IF($A5185="","",IFERROR(INDEX(Emp_Names,MATCH($A5185,Emp_Codes,0)),"NOT FOUND"))</f>
        <v/>
      </c>
      <c r="C5185" s="14" t="n"/>
      <c r="D5185" s="15" t="n"/>
      <c r="E5185" s="15" t="n"/>
      <c r="F5185" s="15" t="n"/>
      <c r="G5185" s="15" t="n"/>
      <c r="H5185" s="16">
        <f>IF($A5185="","",$D5185+IF($E5185="",0,$E5185)+IF($F5185="",0,$F5185)-IF($G5185="",0,$G5185))</f>
        <v/>
      </c>
      <c r="I5185" s="12" t="n"/>
      <c r="J5185" s="12" t="n"/>
      <c r="K5185" s="12" t="n"/>
      <c r="L5185" s="14" t="n"/>
      <c r="M5185" s="12" t="n"/>
      <c r="N5185" s="12" t="n"/>
      <c r="O5185" s="12" t="n"/>
    </row>
    <row r="5186">
      <c r="A5186" s="12" t="n"/>
      <c r="B5186" s="13">
        <f>IF($A5186="","",IFERROR(INDEX(Emp_Names,MATCH($A5186,Emp_Codes,0)),"NOT FOUND"))</f>
        <v/>
      </c>
      <c r="C5186" s="14" t="n"/>
      <c r="D5186" s="15" t="n"/>
      <c r="E5186" s="15" t="n"/>
      <c r="F5186" s="15" t="n"/>
      <c r="G5186" s="15" t="n"/>
      <c r="H5186" s="16">
        <f>IF($A5186="","",$D5186+IF($E5186="",0,$E5186)+IF($F5186="",0,$F5186)-IF($G5186="",0,$G5186))</f>
        <v/>
      </c>
      <c r="I5186" s="12" t="n"/>
      <c r="J5186" s="12" t="n"/>
      <c r="K5186" s="12" t="n"/>
      <c r="L5186" s="14" t="n"/>
      <c r="M5186" s="12" t="n"/>
      <c r="N5186" s="12" t="n"/>
      <c r="O5186" s="12" t="n"/>
    </row>
    <row r="5187">
      <c r="A5187" s="12" t="n"/>
      <c r="B5187" s="13">
        <f>IF($A5187="","",IFERROR(INDEX(Emp_Names,MATCH($A5187,Emp_Codes,0)),"NOT FOUND"))</f>
        <v/>
      </c>
      <c r="C5187" s="14" t="n"/>
      <c r="D5187" s="15" t="n"/>
      <c r="E5187" s="15" t="n"/>
      <c r="F5187" s="15" t="n"/>
      <c r="G5187" s="15" t="n"/>
      <c r="H5187" s="16">
        <f>IF($A5187="","",$D5187+IF($E5187="",0,$E5187)+IF($F5187="",0,$F5187)-IF($G5187="",0,$G5187))</f>
        <v/>
      </c>
      <c r="I5187" s="12" t="n"/>
      <c r="J5187" s="12" t="n"/>
      <c r="K5187" s="12" t="n"/>
      <c r="L5187" s="14" t="n"/>
      <c r="M5187" s="12" t="n"/>
      <c r="N5187" s="12" t="n"/>
      <c r="O5187" s="12" t="n"/>
    </row>
    <row r="5188">
      <c r="A5188" s="12" t="n"/>
      <c r="B5188" s="13">
        <f>IF($A5188="","",IFERROR(INDEX(Emp_Names,MATCH($A5188,Emp_Codes,0)),"NOT FOUND"))</f>
        <v/>
      </c>
      <c r="C5188" s="14" t="n"/>
      <c r="D5188" s="15" t="n"/>
      <c r="E5188" s="15" t="n"/>
      <c r="F5188" s="15" t="n"/>
      <c r="G5188" s="15" t="n"/>
      <c r="H5188" s="16">
        <f>IF($A5188="","",$D5188+IF($E5188="",0,$E5188)+IF($F5188="",0,$F5188)-IF($G5188="",0,$G5188))</f>
        <v/>
      </c>
      <c r="I5188" s="12" t="n"/>
      <c r="J5188" s="12" t="n"/>
      <c r="K5188" s="12" t="n"/>
      <c r="L5188" s="14" t="n"/>
      <c r="M5188" s="12" t="n"/>
      <c r="N5188" s="12" t="n"/>
      <c r="O5188" s="12" t="n"/>
    </row>
    <row r="5189">
      <c r="A5189" s="12" t="n"/>
      <c r="B5189" s="13">
        <f>IF($A5189="","",IFERROR(INDEX(Emp_Names,MATCH($A5189,Emp_Codes,0)),"NOT FOUND"))</f>
        <v/>
      </c>
      <c r="C5189" s="14" t="n"/>
      <c r="D5189" s="15" t="n"/>
      <c r="E5189" s="15" t="n"/>
      <c r="F5189" s="15" t="n"/>
      <c r="G5189" s="15" t="n"/>
      <c r="H5189" s="16">
        <f>IF($A5189="","",$D5189+IF($E5189="",0,$E5189)+IF($F5189="",0,$F5189)-IF($G5189="",0,$G5189))</f>
        <v/>
      </c>
      <c r="I5189" s="12" t="n"/>
      <c r="J5189" s="12" t="n"/>
      <c r="K5189" s="12" t="n"/>
      <c r="L5189" s="14" t="n"/>
      <c r="M5189" s="12" t="n"/>
      <c r="N5189" s="12" t="n"/>
      <c r="O5189" s="12" t="n"/>
    </row>
    <row r="5190">
      <c r="A5190" s="12" t="n"/>
      <c r="B5190" s="13">
        <f>IF($A5190="","",IFERROR(INDEX(Emp_Names,MATCH($A5190,Emp_Codes,0)),"NOT FOUND"))</f>
        <v/>
      </c>
      <c r="C5190" s="14" t="n"/>
      <c r="D5190" s="15" t="n"/>
      <c r="E5190" s="15" t="n"/>
      <c r="F5190" s="15" t="n"/>
      <c r="G5190" s="15" t="n"/>
      <c r="H5190" s="16">
        <f>IF($A5190="","",$D5190+IF($E5190="",0,$E5190)+IF($F5190="",0,$F5190)-IF($G5190="",0,$G5190))</f>
        <v/>
      </c>
      <c r="I5190" s="12" t="n"/>
      <c r="J5190" s="12" t="n"/>
      <c r="K5190" s="12" t="n"/>
      <c r="L5190" s="14" t="n"/>
      <c r="M5190" s="12" t="n"/>
      <c r="N5190" s="12" t="n"/>
      <c r="O5190" s="12" t="n"/>
    </row>
    <row r="5191">
      <c r="A5191" s="12" t="n"/>
      <c r="B5191" s="13">
        <f>IF($A5191="","",IFERROR(INDEX(Emp_Names,MATCH($A5191,Emp_Codes,0)),"NOT FOUND"))</f>
        <v/>
      </c>
      <c r="C5191" s="14" t="n"/>
      <c r="D5191" s="15" t="n"/>
      <c r="E5191" s="15" t="n"/>
      <c r="F5191" s="15" t="n"/>
      <c r="G5191" s="15" t="n"/>
      <c r="H5191" s="16">
        <f>IF($A5191="","",$D5191+IF($E5191="",0,$E5191)+IF($F5191="",0,$F5191)-IF($G5191="",0,$G5191))</f>
        <v/>
      </c>
      <c r="I5191" s="12" t="n"/>
      <c r="J5191" s="12" t="n"/>
      <c r="K5191" s="12" t="n"/>
      <c r="L5191" s="14" t="n"/>
      <c r="M5191" s="12" t="n"/>
      <c r="N5191" s="12" t="n"/>
      <c r="O5191" s="12" t="n"/>
    </row>
    <row r="5192">
      <c r="A5192" s="12" t="n"/>
      <c r="B5192" s="13">
        <f>IF($A5192="","",IFERROR(INDEX(Emp_Names,MATCH($A5192,Emp_Codes,0)),"NOT FOUND"))</f>
        <v/>
      </c>
      <c r="C5192" s="14" t="n"/>
      <c r="D5192" s="15" t="n"/>
      <c r="E5192" s="15" t="n"/>
      <c r="F5192" s="15" t="n"/>
      <c r="G5192" s="15" t="n"/>
      <c r="H5192" s="16">
        <f>IF($A5192="","",$D5192+IF($E5192="",0,$E5192)+IF($F5192="",0,$F5192)-IF($G5192="",0,$G5192))</f>
        <v/>
      </c>
      <c r="I5192" s="12" t="n"/>
      <c r="J5192" s="12" t="n"/>
      <c r="K5192" s="12" t="n"/>
      <c r="L5192" s="14" t="n"/>
      <c r="M5192" s="12" t="n"/>
      <c r="N5192" s="12" t="n"/>
      <c r="O5192" s="12" t="n"/>
    </row>
    <row r="5193">
      <c r="A5193" s="12" t="n"/>
      <c r="B5193" s="13">
        <f>IF($A5193="","",IFERROR(INDEX(Emp_Names,MATCH($A5193,Emp_Codes,0)),"NOT FOUND"))</f>
        <v/>
      </c>
      <c r="C5193" s="14" t="n"/>
      <c r="D5193" s="15" t="n"/>
      <c r="E5193" s="15" t="n"/>
      <c r="F5193" s="15" t="n"/>
      <c r="G5193" s="15" t="n"/>
      <c r="H5193" s="16">
        <f>IF($A5193="","",$D5193+IF($E5193="",0,$E5193)+IF($F5193="",0,$F5193)-IF($G5193="",0,$G5193))</f>
        <v/>
      </c>
      <c r="I5193" s="12" t="n"/>
      <c r="J5193" s="12" t="n"/>
      <c r="K5193" s="12" t="n"/>
      <c r="L5193" s="14" t="n"/>
      <c r="M5193" s="12" t="n"/>
      <c r="N5193" s="12" t="n"/>
      <c r="O5193" s="12" t="n"/>
    </row>
    <row r="5194">
      <c r="A5194" s="12" t="n"/>
      <c r="B5194" s="13">
        <f>IF($A5194="","",IFERROR(INDEX(Emp_Names,MATCH($A5194,Emp_Codes,0)),"NOT FOUND"))</f>
        <v/>
      </c>
      <c r="C5194" s="14" t="n"/>
      <c r="D5194" s="15" t="n"/>
      <c r="E5194" s="15" t="n"/>
      <c r="F5194" s="15" t="n"/>
      <c r="G5194" s="15" t="n"/>
      <c r="H5194" s="16">
        <f>IF($A5194="","",$D5194+IF($E5194="",0,$E5194)+IF($F5194="",0,$F5194)-IF($G5194="",0,$G5194))</f>
        <v/>
      </c>
      <c r="I5194" s="12" t="n"/>
      <c r="J5194" s="12" t="n"/>
      <c r="K5194" s="12" t="n"/>
      <c r="L5194" s="14" t="n"/>
      <c r="M5194" s="12" t="n"/>
      <c r="N5194" s="12" t="n"/>
      <c r="O5194" s="12" t="n"/>
    </row>
    <row r="5195">
      <c r="A5195" s="12" t="n"/>
      <c r="B5195" s="13">
        <f>IF($A5195="","",IFERROR(INDEX(Emp_Names,MATCH($A5195,Emp_Codes,0)),"NOT FOUND"))</f>
        <v/>
      </c>
      <c r="C5195" s="14" t="n"/>
      <c r="D5195" s="15" t="n"/>
      <c r="E5195" s="15" t="n"/>
      <c r="F5195" s="15" t="n"/>
      <c r="G5195" s="15" t="n"/>
      <c r="H5195" s="16">
        <f>IF($A5195="","",$D5195+IF($E5195="",0,$E5195)+IF($F5195="",0,$F5195)-IF($G5195="",0,$G5195))</f>
        <v/>
      </c>
      <c r="I5195" s="12" t="n"/>
      <c r="J5195" s="12" t="n"/>
      <c r="K5195" s="12" t="n"/>
      <c r="L5195" s="14" t="n"/>
      <c r="M5195" s="12" t="n"/>
      <c r="N5195" s="12" t="n"/>
      <c r="O5195" s="12" t="n"/>
    </row>
    <row r="5196">
      <c r="A5196" s="12" t="n"/>
      <c r="B5196" s="13">
        <f>IF($A5196="","",IFERROR(INDEX(Emp_Names,MATCH($A5196,Emp_Codes,0)),"NOT FOUND"))</f>
        <v/>
      </c>
      <c r="C5196" s="14" t="n"/>
      <c r="D5196" s="15" t="n"/>
      <c r="E5196" s="15" t="n"/>
      <c r="F5196" s="15" t="n"/>
      <c r="G5196" s="15" t="n"/>
      <c r="H5196" s="16">
        <f>IF($A5196="","",$D5196+IF($E5196="",0,$E5196)+IF($F5196="",0,$F5196)-IF($G5196="",0,$G5196))</f>
        <v/>
      </c>
      <c r="I5196" s="12" t="n"/>
      <c r="J5196" s="12" t="n"/>
      <c r="K5196" s="12" t="n"/>
      <c r="L5196" s="14" t="n"/>
      <c r="M5196" s="12" t="n"/>
      <c r="N5196" s="12" t="n"/>
      <c r="O5196" s="12" t="n"/>
    </row>
    <row r="5197">
      <c r="A5197" s="12" t="n"/>
      <c r="B5197" s="13">
        <f>IF($A5197="","",IFERROR(INDEX(Emp_Names,MATCH($A5197,Emp_Codes,0)),"NOT FOUND"))</f>
        <v/>
      </c>
      <c r="C5197" s="14" t="n"/>
      <c r="D5197" s="15" t="n"/>
      <c r="E5197" s="15" t="n"/>
      <c r="F5197" s="15" t="n"/>
      <c r="G5197" s="15" t="n"/>
      <c r="H5197" s="16">
        <f>IF($A5197="","",$D5197+IF($E5197="",0,$E5197)+IF($F5197="",0,$F5197)-IF($G5197="",0,$G5197))</f>
        <v/>
      </c>
      <c r="I5197" s="12" t="n"/>
      <c r="J5197" s="12" t="n"/>
      <c r="K5197" s="12" t="n"/>
      <c r="L5197" s="14" t="n"/>
      <c r="M5197" s="12" t="n"/>
      <c r="N5197" s="12" t="n"/>
      <c r="O5197" s="12" t="n"/>
    </row>
    <row r="5198">
      <c r="A5198" s="12" t="n"/>
      <c r="B5198" s="13">
        <f>IF($A5198="","",IFERROR(INDEX(Emp_Names,MATCH($A5198,Emp_Codes,0)),"NOT FOUND"))</f>
        <v/>
      </c>
      <c r="C5198" s="14" t="n"/>
      <c r="D5198" s="15" t="n"/>
      <c r="E5198" s="15" t="n"/>
      <c r="F5198" s="15" t="n"/>
      <c r="G5198" s="15" t="n"/>
      <c r="H5198" s="16">
        <f>IF($A5198="","",$D5198+IF($E5198="",0,$E5198)+IF($F5198="",0,$F5198)-IF($G5198="",0,$G5198))</f>
        <v/>
      </c>
      <c r="I5198" s="12" t="n"/>
      <c r="J5198" s="12" t="n"/>
      <c r="K5198" s="12" t="n"/>
      <c r="L5198" s="14" t="n"/>
      <c r="M5198" s="12" t="n"/>
      <c r="N5198" s="12" t="n"/>
      <c r="O5198" s="12" t="n"/>
    </row>
    <row r="5199">
      <c r="A5199" s="12" t="n"/>
      <c r="B5199" s="13">
        <f>IF($A5199="","",IFERROR(INDEX(Emp_Names,MATCH($A5199,Emp_Codes,0)),"NOT FOUND"))</f>
        <v/>
      </c>
      <c r="C5199" s="14" t="n"/>
      <c r="D5199" s="15" t="n"/>
      <c r="E5199" s="15" t="n"/>
      <c r="F5199" s="15" t="n"/>
      <c r="G5199" s="15" t="n"/>
      <c r="H5199" s="16">
        <f>IF($A5199="","",$D5199+IF($E5199="",0,$E5199)+IF($F5199="",0,$F5199)-IF($G5199="",0,$G5199))</f>
        <v/>
      </c>
      <c r="I5199" s="12" t="n"/>
      <c r="J5199" s="12" t="n"/>
      <c r="K5199" s="12" t="n"/>
      <c r="L5199" s="14" t="n"/>
      <c r="M5199" s="12" t="n"/>
      <c r="N5199" s="12" t="n"/>
      <c r="O5199" s="12" t="n"/>
    </row>
    <row r="5200">
      <c r="A5200" s="12" t="n"/>
      <c r="B5200" s="13">
        <f>IF($A5200="","",IFERROR(INDEX(Emp_Names,MATCH($A5200,Emp_Codes,0)),"NOT FOUND"))</f>
        <v/>
      </c>
      <c r="C5200" s="14" t="n"/>
      <c r="D5200" s="15" t="n"/>
      <c r="E5200" s="15" t="n"/>
      <c r="F5200" s="15" t="n"/>
      <c r="G5200" s="15" t="n"/>
      <c r="H5200" s="16">
        <f>IF($A5200="","",$D5200+IF($E5200="",0,$E5200)+IF($F5200="",0,$F5200)-IF($G5200="",0,$G5200))</f>
        <v/>
      </c>
      <c r="I5200" s="12" t="n"/>
      <c r="J5200" s="12" t="n"/>
      <c r="K5200" s="12" t="n"/>
      <c r="L5200" s="14" t="n"/>
      <c r="M5200" s="12" t="n"/>
      <c r="N5200" s="12" t="n"/>
      <c r="O5200" s="12" t="n"/>
    </row>
    <row r="5201">
      <c r="A5201" s="12" t="n"/>
      <c r="B5201" s="13">
        <f>IF($A5201="","",IFERROR(INDEX(Emp_Names,MATCH($A5201,Emp_Codes,0)),"NOT FOUND"))</f>
        <v/>
      </c>
      <c r="C5201" s="14" t="n"/>
      <c r="D5201" s="15" t="n"/>
      <c r="E5201" s="15" t="n"/>
      <c r="F5201" s="15" t="n"/>
      <c r="G5201" s="15" t="n"/>
      <c r="H5201" s="16">
        <f>IF($A5201="","",$D5201+IF($E5201="",0,$E5201)+IF($F5201="",0,$F5201)-IF($G5201="",0,$G5201))</f>
        <v/>
      </c>
      <c r="I5201" s="12" t="n"/>
      <c r="J5201" s="12" t="n"/>
      <c r="K5201" s="12" t="n"/>
      <c r="L5201" s="14" t="n"/>
      <c r="M5201" s="12" t="n"/>
      <c r="N5201" s="12" t="n"/>
      <c r="O5201" s="12" t="n"/>
    </row>
    <row r="5202">
      <c r="A5202" s="12" t="n"/>
      <c r="B5202" s="13">
        <f>IF($A5202="","",IFERROR(INDEX(Emp_Names,MATCH($A5202,Emp_Codes,0)),"NOT FOUND"))</f>
        <v/>
      </c>
      <c r="C5202" s="14" t="n"/>
      <c r="D5202" s="15" t="n"/>
      <c r="E5202" s="15" t="n"/>
      <c r="F5202" s="15" t="n"/>
      <c r="G5202" s="15" t="n"/>
      <c r="H5202" s="16">
        <f>IF($A5202="","",$D5202+IF($E5202="",0,$E5202)+IF($F5202="",0,$F5202)-IF($G5202="",0,$G5202))</f>
        <v/>
      </c>
      <c r="I5202" s="12" t="n"/>
      <c r="J5202" s="12" t="n"/>
      <c r="K5202" s="12" t="n"/>
      <c r="L5202" s="14" t="n"/>
      <c r="M5202" s="12" t="n"/>
      <c r="N5202" s="12" t="n"/>
      <c r="O5202" s="12" t="n"/>
    </row>
    <row r="5203">
      <c r="A5203" s="12" t="n"/>
      <c r="B5203" s="13">
        <f>IF($A5203="","",IFERROR(INDEX(Emp_Names,MATCH($A5203,Emp_Codes,0)),"NOT FOUND"))</f>
        <v/>
      </c>
      <c r="C5203" s="14" t="n"/>
      <c r="D5203" s="15" t="n"/>
      <c r="E5203" s="15" t="n"/>
      <c r="F5203" s="15" t="n"/>
      <c r="G5203" s="15" t="n"/>
      <c r="H5203" s="16">
        <f>IF($A5203="","",$D5203+IF($E5203="",0,$E5203)+IF($F5203="",0,$F5203)-IF($G5203="",0,$G5203))</f>
        <v/>
      </c>
      <c r="I5203" s="12" t="n"/>
      <c r="J5203" s="12" t="n"/>
      <c r="K5203" s="12" t="n"/>
      <c r="L5203" s="14" t="n"/>
      <c r="M5203" s="12" t="n"/>
      <c r="N5203" s="12" t="n"/>
      <c r="O5203" s="12" t="n"/>
    </row>
    <row r="5204">
      <c r="A5204" s="12" t="n"/>
      <c r="B5204" s="13">
        <f>IF($A5204="","",IFERROR(INDEX(Emp_Names,MATCH($A5204,Emp_Codes,0)),"NOT FOUND"))</f>
        <v/>
      </c>
      <c r="C5204" s="14" t="n"/>
      <c r="D5204" s="15" t="n"/>
      <c r="E5204" s="15" t="n"/>
      <c r="F5204" s="15" t="n"/>
      <c r="G5204" s="15" t="n"/>
      <c r="H5204" s="16">
        <f>IF($A5204="","",$D5204+IF($E5204="",0,$E5204)+IF($F5204="",0,$F5204)-IF($G5204="",0,$G5204))</f>
        <v/>
      </c>
      <c r="I5204" s="12" t="n"/>
      <c r="J5204" s="12" t="n"/>
      <c r="K5204" s="12" t="n"/>
      <c r="L5204" s="14" t="n"/>
      <c r="M5204" s="12" t="n"/>
      <c r="N5204" s="12" t="n"/>
      <c r="O5204" s="12" t="n"/>
    </row>
    <row r="5205">
      <c r="A5205" s="12" t="n"/>
      <c r="B5205" s="13">
        <f>IF($A5205="","",IFERROR(INDEX(Emp_Names,MATCH($A5205,Emp_Codes,0)),"NOT FOUND"))</f>
        <v/>
      </c>
      <c r="C5205" s="14" t="n"/>
      <c r="D5205" s="15" t="n"/>
      <c r="E5205" s="15" t="n"/>
      <c r="F5205" s="15" t="n"/>
      <c r="G5205" s="15" t="n"/>
      <c r="H5205" s="16">
        <f>IF($A5205="","",$D5205+IF($E5205="",0,$E5205)+IF($F5205="",0,$F5205)-IF($G5205="",0,$G5205))</f>
        <v/>
      </c>
      <c r="I5205" s="12" t="n"/>
      <c r="J5205" s="12" t="n"/>
      <c r="K5205" s="12" t="n"/>
      <c r="L5205" s="14" t="n"/>
      <c r="M5205" s="12" t="n"/>
      <c r="N5205" s="12" t="n"/>
      <c r="O5205" s="12" t="n"/>
    </row>
    <row r="5206">
      <c r="A5206" s="12" t="n"/>
      <c r="B5206" s="13">
        <f>IF($A5206="","",IFERROR(INDEX(Emp_Names,MATCH($A5206,Emp_Codes,0)),"NOT FOUND"))</f>
        <v/>
      </c>
      <c r="C5206" s="14" t="n"/>
      <c r="D5206" s="15" t="n"/>
      <c r="E5206" s="15" t="n"/>
      <c r="F5206" s="15" t="n"/>
      <c r="G5206" s="15" t="n"/>
      <c r="H5206" s="16">
        <f>IF($A5206="","",$D5206+IF($E5206="",0,$E5206)+IF($F5206="",0,$F5206)-IF($G5206="",0,$G5206))</f>
        <v/>
      </c>
      <c r="I5206" s="12" t="n"/>
      <c r="J5206" s="12" t="n"/>
      <c r="K5206" s="12" t="n"/>
      <c r="L5206" s="14" t="n"/>
      <c r="M5206" s="12" t="n"/>
      <c r="N5206" s="12" t="n"/>
      <c r="O5206" s="12" t="n"/>
    </row>
    <row r="5207">
      <c r="A5207" s="12" t="n"/>
      <c r="B5207" s="13">
        <f>IF($A5207="","",IFERROR(INDEX(Emp_Names,MATCH($A5207,Emp_Codes,0)),"NOT FOUND"))</f>
        <v/>
      </c>
      <c r="C5207" s="14" t="n"/>
      <c r="D5207" s="15" t="n"/>
      <c r="E5207" s="15" t="n"/>
      <c r="F5207" s="15" t="n"/>
      <c r="G5207" s="15" t="n"/>
      <c r="H5207" s="16">
        <f>IF($A5207="","",$D5207+IF($E5207="",0,$E5207)+IF($F5207="",0,$F5207)-IF($G5207="",0,$G5207))</f>
        <v/>
      </c>
      <c r="I5207" s="12" t="n"/>
      <c r="J5207" s="12" t="n"/>
      <c r="K5207" s="12" t="n"/>
      <c r="L5207" s="14" t="n"/>
      <c r="M5207" s="12" t="n"/>
      <c r="N5207" s="12" t="n"/>
      <c r="O5207" s="12" t="n"/>
    </row>
    <row r="5208">
      <c r="A5208" s="12" t="n"/>
      <c r="B5208" s="13">
        <f>IF($A5208="","",IFERROR(INDEX(Emp_Names,MATCH($A5208,Emp_Codes,0)),"NOT FOUND"))</f>
        <v/>
      </c>
      <c r="C5208" s="14" t="n"/>
      <c r="D5208" s="15" t="n"/>
      <c r="E5208" s="15" t="n"/>
      <c r="F5208" s="15" t="n"/>
      <c r="G5208" s="15" t="n"/>
      <c r="H5208" s="16">
        <f>IF($A5208="","",$D5208+IF($E5208="",0,$E5208)+IF($F5208="",0,$F5208)-IF($G5208="",0,$G5208))</f>
        <v/>
      </c>
      <c r="I5208" s="12" t="n"/>
      <c r="J5208" s="12" t="n"/>
      <c r="K5208" s="12" t="n"/>
      <c r="L5208" s="14" t="n"/>
      <c r="M5208" s="12" t="n"/>
      <c r="N5208" s="12" t="n"/>
      <c r="O5208" s="12" t="n"/>
    </row>
    <row r="5209">
      <c r="A5209" s="12" t="n"/>
      <c r="B5209" s="13">
        <f>IF($A5209="","",IFERROR(INDEX(Emp_Names,MATCH($A5209,Emp_Codes,0)),"NOT FOUND"))</f>
        <v/>
      </c>
      <c r="C5209" s="14" t="n"/>
      <c r="D5209" s="15" t="n"/>
      <c r="E5209" s="15" t="n"/>
      <c r="F5209" s="15" t="n"/>
      <c r="G5209" s="15" t="n"/>
      <c r="H5209" s="16">
        <f>IF($A5209="","",$D5209+IF($E5209="",0,$E5209)+IF($F5209="",0,$F5209)-IF($G5209="",0,$G5209))</f>
        <v/>
      </c>
      <c r="I5209" s="12" t="n"/>
      <c r="J5209" s="12" t="n"/>
      <c r="K5209" s="12" t="n"/>
      <c r="L5209" s="14" t="n"/>
      <c r="M5209" s="12" t="n"/>
      <c r="N5209" s="12" t="n"/>
      <c r="O5209" s="12" t="n"/>
    </row>
    <row r="5210">
      <c r="A5210" s="12" t="n"/>
      <c r="B5210" s="13">
        <f>IF($A5210="","",IFERROR(INDEX(Emp_Names,MATCH($A5210,Emp_Codes,0)),"NOT FOUND"))</f>
        <v/>
      </c>
      <c r="C5210" s="14" t="n"/>
      <c r="D5210" s="15" t="n"/>
      <c r="E5210" s="15" t="n"/>
      <c r="F5210" s="15" t="n"/>
      <c r="G5210" s="15" t="n"/>
      <c r="H5210" s="16">
        <f>IF($A5210="","",$D5210+IF($E5210="",0,$E5210)+IF($F5210="",0,$F5210)-IF($G5210="",0,$G5210))</f>
        <v/>
      </c>
      <c r="I5210" s="12" t="n"/>
      <c r="J5210" s="12" t="n"/>
      <c r="K5210" s="12" t="n"/>
      <c r="L5210" s="14" t="n"/>
      <c r="M5210" s="12" t="n"/>
      <c r="N5210" s="12" t="n"/>
      <c r="O5210" s="12" t="n"/>
    </row>
    <row r="5211">
      <c r="A5211" s="12" t="n"/>
      <c r="B5211" s="13">
        <f>IF($A5211="","",IFERROR(INDEX(Emp_Names,MATCH($A5211,Emp_Codes,0)),"NOT FOUND"))</f>
        <v/>
      </c>
      <c r="C5211" s="14" t="n"/>
      <c r="D5211" s="15" t="n"/>
      <c r="E5211" s="15" t="n"/>
      <c r="F5211" s="15" t="n"/>
      <c r="G5211" s="15" t="n"/>
      <c r="H5211" s="16">
        <f>IF($A5211="","",$D5211+IF($E5211="",0,$E5211)+IF($F5211="",0,$F5211)-IF($G5211="",0,$G5211))</f>
        <v/>
      </c>
      <c r="I5211" s="12" t="n"/>
      <c r="J5211" s="12" t="n"/>
      <c r="K5211" s="12" t="n"/>
      <c r="L5211" s="14" t="n"/>
      <c r="M5211" s="12" t="n"/>
      <c r="N5211" s="12" t="n"/>
      <c r="O5211" s="12" t="n"/>
    </row>
    <row r="5212">
      <c r="A5212" s="12" t="n"/>
      <c r="B5212" s="13">
        <f>IF($A5212="","",IFERROR(INDEX(Emp_Names,MATCH($A5212,Emp_Codes,0)),"NOT FOUND"))</f>
        <v/>
      </c>
      <c r="C5212" s="14" t="n"/>
      <c r="D5212" s="15" t="n"/>
      <c r="E5212" s="15" t="n"/>
      <c r="F5212" s="15" t="n"/>
      <c r="G5212" s="15" t="n"/>
      <c r="H5212" s="16">
        <f>IF($A5212="","",$D5212+IF($E5212="",0,$E5212)+IF($F5212="",0,$F5212)-IF($G5212="",0,$G5212))</f>
        <v/>
      </c>
      <c r="I5212" s="12" t="n"/>
      <c r="J5212" s="12" t="n"/>
      <c r="K5212" s="12" t="n"/>
      <c r="L5212" s="14" t="n"/>
      <c r="M5212" s="12" t="n"/>
      <c r="N5212" s="12" t="n"/>
      <c r="O5212" s="12" t="n"/>
    </row>
    <row r="5213">
      <c r="A5213" s="12" t="n"/>
      <c r="B5213" s="13">
        <f>IF($A5213="","",IFERROR(INDEX(Emp_Names,MATCH($A5213,Emp_Codes,0)),"NOT FOUND"))</f>
        <v/>
      </c>
      <c r="C5213" s="14" t="n"/>
      <c r="D5213" s="15" t="n"/>
      <c r="E5213" s="15" t="n"/>
      <c r="F5213" s="15" t="n"/>
      <c r="G5213" s="15" t="n"/>
      <c r="H5213" s="16">
        <f>IF($A5213="","",$D5213+IF($E5213="",0,$E5213)+IF($F5213="",0,$F5213)-IF($G5213="",0,$G5213))</f>
        <v/>
      </c>
      <c r="I5213" s="12" t="n"/>
      <c r="J5213" s="12" t="n"/>
      <c r="K5213" s="12" t="n"/>
      <c r="L5213" s="14" t="n"/>
      <c r="M5213" s="12" t="n"/>
      <c r="N5213" s="12" t="n"/>
      <c r="O5213" s="12" t="n"/>
    </row>
    <row r="5214">
      <c r="A5214" s="12" t="n"/>
      <c r="B5214" s="13">
        <f>IF($A5214="","",IFERROR(INDEX(Emp_Names,MATCH($A5214,Emp_Codes,0)),"NOT FOUND"))</f>
        <v/>
      </c>
      <c r="C5214" s="14" t="n"/>
      <c r="D5214" s="15" t="n"/>
      <c r="E5214" s="15" t="n"/>
      <c r="F5214" s="15" t="n"/>
      <c r="G5214" s="15" t="n"/>
      <c r="H5214" s="16">
        <f>IF($A5214="","",$D5214+IF($E5214="",0,$E5214)+IF($F5214="",0,$F5214)-IF($G5214="",0,$G5214))</f>
        <v/>
      </c>
      <c r="I5214" s="12" t="n"/>
      <c r="J5214" s="12" t="n"/>
      <c r="K5214" s="12" t="n"/>
      <c r="L5214" s="14" t="n"/>
      <c r="M5214" s="12" t="n"/>
      <c r="N5214" s="12" t="n"/>
      <c r="O5214" s="12" t="n"/>
    </row>
    <row r="5215">
      <c r="A5215" s="12" t="n"/>
      <c r="B5215" s="13">
        <f>IF($A5215="","",IFERROR(INDEX(Emp_Names,MATCH($A5215,Emp_Codes,0)),"NOT FOUND"))</f>
        <v/>
      </c>
      <c r="C5215" s="14" t="n"/>
      <c r="D5215" s="15" t="n"/>
      <c r="E5215" s="15" t="n"/>
      <c r="F5215" s="15" t="n"/>
      <c r="G5215" s="15" t="n"/>
      <c r="H5215" s="16">
        <f>IF($A5215="","",$D5215+IF($E5215="",0,$E5215)+IF($F5215="",0,$F5215)-IF($G5215="",0,$G5215))</f>
        <v/>
      </c>
      <c r="I5215" s="12" t="n"/>
      <c r="J5215" s="12" t="n"/>
      <c r="K5215" s="12" t="n"/>
      <c r="L5215" s="14" t="n"/>
      <c r="M5215" s="12" t="n"/>
      <c r="N5215" s="12" t="n"/>
      <c r="O5215" s="12" t="n"/>
    </row>
    <row r="5216">
      <c r="A5216" s="12" t="n"/>
      <c r="B5216" s="13">
        <f>IF($A5216="","",IFERROR(INDEX(Emp_Names,MATCH($A5216,Emp_Codes,0)),"NOT FOUND"))</f>
        <v/>
      </c>
      <c r="C5216" s="14" t="n"/>
      <c r="D5216" s="15" t="n"/>
      <c r="E5216" s="15" t="n"/>
      <c r="F5216" s="15" t="n"/>
      <c r="G5216" s="15" t="n"/>
      <c r="H5216" s="16">
        <f>IF($A5216="","",$D5216+IF($E5216="",0,$E5216)+IF($F5216="",0,$F5216)-IF($G5216="",0,$G5216))</f>
        <v/>
      </c>
      <c r="I5216" s="12" t="n"/>
      <c r="J5216" s="12" t="n"/>
      <c r="K5216" s="12" t="n"/>
      <c r="L5216" s="14" t="n"/>
      <c r="M5216" s="12" t="n"/>
      <c r="N5216" s="12" t="n"/>
      <c r="O5216" s="12" t="n"/>
    </row>
    <row r="5217">
      <c r="A5217" s="12" t="n"/>
      <c r="B5217" s="13">
        <f>IF($A5217="","",IFERROR(INDEX(Emp_Names,MATCH($A5217,Emp_Codes,0)),"NOT FOUND"))</f>
        <v/>
      </c>
      <c r="C5217" s="14" t="n"/>
      <c r="D5217" s="15" t="n"/>
      <c r="E5217" s="15" t="n"/>
      <c r="F5217" s="15" t="n"/>
      <c r="G5217" s="15" t="n"/>
      <c r="H5217" s="16">
        <f>IF($A5217="","",$D5217+IF($E5217="",0,$E5217)+IF($F5217="",0,$F5217)-IF($G5217="",0,$G5217))</f>
        <v/>
      </c>
      <c r="I5217" s="12" t="n"/>
      <c r="J5217" s="12" t="n"/>
      <c r="K5217" s="12" t="n"/>
      <c r="L5217" s="14" t="n"/>
      <c r="M5217" s="12" t="n"/>
      <c r="N5217" s="12" t="n"/>
      <c r="O5217" s="12" t="n"/>
    </row>
    <row r="5218">
      <c r="A5218" s="12" t="n"/>
      <c r="B5218" s="13">
        <f>IF($A5218="","",IFERROR(INDEX(Emp_Names,MATCH($A5218,Emp_Codes,0)),"NOT FOUND"))</f>
        <v/>
      </c>
      <c r="C5218" s="14" t="n"/>
      <c r="D5218" s="15" t="n"/>
      <c r="E5218" s="15" t="n"/>
      <c r="F5218" s="15" t="n"/>
      <c r="G5218" s="15" t="n"/>
      <c r="H5218" s="16">
        <f>IF($A5218="","",$D5218+IF($E5218="",0,$E5218)+IF($F5218="",0,$F5218)-IF($G5218="",0,$G5218))</f>
        <v/>
      </c>
      <c r="I5218" s="12" t="n"/>
      <c r="J5218" s="12" t="n"/>
      <c r="K5218" s="12" t="n"/>
      <c r="L5218" s="14" t="n"/>
      <c r="M5218" s="12" t="n"/>
      <c r="N5218" s="12" t="n"/>
      <c r="O5218" s="12" t="n"/>
    </row>
    <row r="5219">
      <c r="A5219" s="12" t="n"/>
      <c r="B5219" s="13">
        <f>IF($A5219="","",IFERROR(INDEX(Emp_Names,MATCH($A5219,Emp_Codes,0)),"NOT FOUND"))</f>
        <v/>
      </c>
      <c r="C5219" s="14" t="n"/>
      <c r="D5219" s="15" t="n"/>
      <c r="E5219" s="15" t="n"/>
      <c r="F5219" s="15" t="n"/>
      <c r="G5219" s="15" t="n"/>
      <c r="H5219" s="16">
        <f>IF($A5219="","",$D5219+IF($E5219="",0,$E5219)+IF($F5219="",0,$F5219)-IF($G5219="",0,$G5219))</f>
        <v/>
      </c>
      <c r="I5219" s="12" t="n"/>
      <c r="J5219" s="12" t="n"/>
      <c r="K5219" s="12" t="n"/>
      <c r="L5219" s="14" t="n"/>
      <c r="M5219" s="12" t="n"/>
      <c r="N5219" s="12" t="n"/>
      <c r="O5219" s="12" t="n"/>
    </row>
    <row r="5220">
      <c r="A5220" s="12" t="n"/>
      <c r="B5220" s="13">
        <f>IF($A5220="","",IFERROR(INDEX(Emp_Names,MATCH($A5220,Emp_Codes,0)),"NOT FOUND"))</f>
        <v/>
      </c>
      <c r="C5220" s="14" t="n"/>
      <c r="D5220" s="15" t="n"/>
      <c r="E5220" s="15" t="n"/>
      <c r="F5220" s="15" t="n"/>
      <c r="G5220" s="15" t="n"/>
      <c r="H5220" s="16">
        <f>IF($A5220="","",$D5220+IF($E5220="",0,$E5220)+IF($F5220="",0,$F5220)-IF($G5220="",0,$G5220))</f>
        <v/>
      </c>
      <c r="I5220" s="12" t="n"/>
      <c r="J5220" s="12" t="n"/>
      <c r="K5220" s="12" t="n"/>
      <c r="L5220" s="14" t="n"/>
      <c r="M5220" s="12" t="n"/>
      <c r="N5220" s="12" t="n"/>
      <c r="O5220" s="12" t="n"/>
    </row>
    <row r="5221">
      <c r="A5221" s="12" t="n"/>
      <c r="B5221" s="13">
        <f>IF($A5221="","",IFERROR(INDEX(Emp_Names,MATCH($A5221,Emp_Codes,0)),"NOT FOUND"))</f>
        <v/>
      </c>
      <c r="C5221" s="14" t="n"/>
      <c r="D5221" s="15" t="n"/>
      <c r="E5221" s="15" t="n"/>
      <c r="F5221" s="15" t="n"/>
      <c r="G5221" s="15" t="n"/>
      <c r="H5221" s="16">
        <f>IF($A5221="","",$D5221+IF($E5221="",0,$E5221)+IF($F5221="",0,$F5221)-IF($G5221="",0,$G5221))</f>
        <v/>
      </c>
      <c r="I5221" s="12" t="n"/>
      <c r="J5221" s="12" t="n"/>
      <c r="K5221" s="12" t="n"/>
      <c r="L5221" s="14" t="n"/>
      <c r="M5221" s="12" t="n"/>
      <c r="N5221" s="12" t="n"/>
      <c r="O5221" s="12" t="n"/>
    </row>
    <row r="5222">
      <c r="A5222" s="12" t="n"/>
      <c r="B5222" s="13">
        <f>IF($A5222="","",IFERROR(INDEX(Emp_Names,MATCH($A5222,Emp_Codes,0)),"NOT FOUND"))</f>
        <v/>
      </c>
      <c r="C5222" s="14" t="n"/>
      <c r="D5222" s="15" t="n"/>
      <c r="E5222" s="15" t="n"/>
      <c r="F5222" s="15" t="n"/>
      <c r="G5222" s="15" t="n"/>
      <c r="H5222" s="16">
        <f>IF($A5222="","",$D5222+IF($E5222="",0,$E5222)+IF($F5222="",0,$F5222)-IF($G5222="",0,$G5222))</f>
        <v/>
      </c>
      <c r="I5222" s="12" t="n"/>
      <c r="J5222" s="12" t="n"/>
      <c r="K5222" s="12" t="n"/>
      <c r="L5222" s="14" t="n"/>
      <c r="M5222" s="12" t="n"/>
      <c r="N5222" s="12" t="n"/>
      <c r="O5222" s="12" t="n"/>
    </row>
    <row r="5223">
      <c r="A5223" s="12" t="n"/>
      <c r="B5223" s="13">
        <f>IF($A5223="","",IFERROR(INDEX(Emp_Names,MATCH($A5223,Emp_Codes,0)),"NOT FOUND"))</f>
        <v/>
      </c>
      <c r="C5223" s="14" t="n"/>
      <c r="D5223" s="15" t="n"/>
      <c r="E5223" s="15" t="n"/>
      <c r="F5223" s="15" t="n"/>
      <c r="G5223" s="15" t="n"/>
      <c r="H5223" s="16">
        <f>IF($A5223="","",$D5223+IF($E5223="",0,$E5223)+IF($F5223="",0,$F5223)-IF($G5223="",0,$G5223))</f>
        <v/>
      </c>
      <c r="I5223" s="12" t="n"/>
      <c r="J5223" s="12" t="n"/>
      <c r="K5223" s="12" t="n"/>
      <c r="L5223" s="14" t="n"/>
      <c r="M5223" s="12" t="n"/>
      <c r="N5223" s="12" t="n"/>
      <c r="O5223" s="12" t="n"/>
    </row>
    <row r="5224">
      <c r="A5224" s="12" t="n"/>
      <c r="B5224" s="13">
        <f>IF($A5224="","",IFERROR(INDEX(Emp_Names,MATCH($A5224,Emp_Codes,0)),"NOT FOUND"))</f>
        <v/>
      </c>
      <c r="C5224" s="14" t="n"/>
      <c r="D5224" s="15" t="n"/>
      <c r="E5224" s="15" t="n"/>
      <c r="F5224" s="15" t="n"/>
      <c r="G5224" s="15" t="n"/>
      <c r="H5224" s="16">
        <f>IF($A5224="","",$D5224+IF($E5224="",0,$E5224)+IF($F5224="",0,$F5224)-IF($G5224="",0,$G5224))</f>
        <v/>
      </c>
      <c r="I5224" s="12" t="n"/>
      <c r="J5224" s="12" t="n"/>
      <c r="K5224" s="12" t="n"/>
      <c r="L5224" s="14" t="n"/>
      <c r="M5224" s="12" t="n"/>
      <c r="N5224" s="12" t="n"/>
      <c r="O5224" s="12" t="n"/>
    </row>
    <row r="5225">
      <c r="A5225" s="12" t="n"/>
      <c r="B5225" s="13">
        <f>IF($A5225="","",IFERROR(INDEX(Emp_Names,MATCH($A5225,Emp_Codes,0)),"NOT FOUND"))</f>
        <v/>
      </c>
      <c r="C5225" s="14" t="n"/>
      <c r="D5225" s="15" t="n"/>
      <c r="E5225" s="15" t="n"/>
      <c r="F5225" s="15" t="n"/>
      <c r="G5225" s="15" t="n"/>
      <c r="H5225" s="16">
        <f>IF($A5225="","",$D5225+IF($E5225="",0,$E5225)+IF($F5225="",0,$F5225)-IF($G5225="",0,$G5225))</f>
        <v/>
      </c>
      <c r="I5225" s="12" t="n"/>
      <c r="J5225" s="12" t="n"/>
      <c r="K5225" s="12" t="n"/>
      <c r="L5225" s="14" t="n"/>
      <c r="M5225" s="12" t="n"/>
      <c r="N5225" s="12" t="n"/>
      <c r="O5225" s="12" t="n"/>
    </row>
    <row r="5226">
      <c r="A5226" s="12" t="n"/>
      <c r="B5226" s="13">
        <f>IF($A5226="","",IFERROR(INDEX(Emp_Names,MATCH($A5226,Emp_Codes,0)),"NOT FOUND"))</f>
        <v/>
      </c>
      <c r="C5226" s="14" t="n"/>
      <c r="D5226" s="15" t="n"/>
      <c r="E5226" s="15" t="n"/>
      <c r="F5226" s="15" t="n"/>
      <c r="G5226" s="15" t="n"/>
      <c r="H5226" s="16">
        <f>IF($A5226="","",$D5226+IF($E5226="",0,$E5226)+IF($F5226="",0,$F5226)-IF($G5226="",0,$G5226))</f>
        <v/>
      </c>
      <c r="I5226" s="12" t="n"/>
      <c r="J5226" s="12" t="n"/>
      <c r="K5226" s="12" t="n"/>
      <c r="L5226" s="14" t="n"/>
      <c r="M5226" s="12" t="n"/>
      <c r="N5226" s="12" t="n"/>
      <c r="O5226" s="12" t="n"/>
    </row>
    <row r="5227">
      <c r="A5227" s="12" t="n"/>
      <c r="B5227" s="13">
        <f>IF($A5227="","",IFERROR(INDEX(Emp_Names,MATCH($A5227,Emp_Codes,0)),"NOT FOUND"))</f>
        <v/>
      </c>
      <c r="C5227" s="14" t="n"/>
      <c r="D5227" s="15" t="n"/>
      <c r="E5227" s="15" t="n"/>
      <c r="F5227" s="15" t="n"/>
      <c r="G5227" s="15" t="n"/>
      <c r="H5227" s="16">
        <f>IF($A5227="","",$D5227+IF($E5227="",0,$E5227)+IF($F5227="",0,$F5227)-IF($G5227="",0,$G5227))</f>
        <v/>
      </c>
      <c r="I5227" s="12" t="n"/>
      <c r="J5227" s="12" t="n"/>
      <c r="K5227" s="12" t="n"/>
      <c r="L5227" s="14" t="n"/>
      <c r="M5227" s="12" t="n"/>
      <c r="N5227" s="12" t="n"/>
      <c r="O5227" s="12" t="n"/>
    </row>
    <row r="5228">
      <c r="A5228" s="12" t="n"/>
      <c r="B5228" s="13">
        <f>IF($A5228="","",IFERROR(INDEX(Emp_Names,MATCH($A5228,Emp_Codes,0)),"NOT FOUND"))</f>
        <v/>
      </c>
      <c r="C5228" s="14" t="n"/>
      <c r="D5228" s="15" t="n"/>
      <c r="E5228" s="15" t="n"/>
      <c r="F5228" s="15" t="n"/>
      <c r="G5228" s="15" t="n"/>
      <c r="H5228" s="16">
        <f>IF($A5228="","",$D5228+IF($E5228="",0,$E5228)+IF($F5228="",0,$F5228)-IF($G5228="",0,$G5228))</f>
        <v/>
      </c>
      <c r="I5228" s="12" t="n"/>
      <c r="J5228" s="12" t="n"/>
      <c r="K5228" s="12" t="n"/>
      <c r="L5228" s="14" t="n"/>
      <c r="M5228" s="12" t="n"/>
      <c r="N5228" s="12" t="n"/>
      <c r="O5228" s="12" t="n"/>
    </row>
    <row r="5229">
      <c r="A5229" s="12" t="n"/>
      <c r="B5229" s="13">
        <f>IF($A5229="","",IFERROR(INDEX(Emp_Names,MATCH($A5229,Emp_Codes,0)),"NOT FOUND"))</f>
        <v/>
      </c>
      <c r="C5229" s="14" t="n"/>
      <c r="D5229" s="15" t="n"/>
      <c r="E5229" s="15" t="n"/>
      <c r="F5229" s="15" t="n"/>
      <c r="G5229" s="15" t="n"/>
      <c r="H5229" s="16">
        <f>IF($A5229="","",$D5229+IF($E5229="",0,$E5229)+IF($F5229="",0,$F5229)-IF($G5229="",0,$G5229))</f>
        <v/>
      </c>
      <c r="I5229" s="12" t="n"/>
      <c r="J5229" s="12" t="n"/>
      <c r="K5229" s="12" t="n"/>
      <c r="L5229" s="14" t="n"/>
      <c r="M5229" s="12" t="n"/>
      <c r="N5229" s="12" t="n"/>
      <c r="O5229" s="12" t="n"/>
    </row>
    <row r="5230">
      <c r="A5230" s="12" t="n"/>
      <c r="B5230" s="13">
        <f>IF($A5230="","",IFERROR(INDEX(Emp_Names,MATCH($A5230,Emp_Codes,0)),"NOT FOUND"))</f>
        <v/>
      </c>
      <c r="C5230" s="14" t="n"/>
      <c r="D5230" s="15" t="n"/>
      <c r="E5230" s="15" t="n"/>
      <c r="F5230" s="15" t="n"/>
      <c r="G5230" s="15" t="n"/>
      <c r="H5230" s="16">
        <f>IF($A5230="","",$D5230+IF($E5230="",0,$E5230)+IF($F5230="",0,$F5230)-IF($G5230="",0,$G5230))</f>
        <v/>
      </c>
      <c r="I5230" s="12" t="n"/>
      <c r="J5230" s="12" t="n"/>
      <c r="K5230" s="12" t="n"/>
      <c r="L5230" s="14" t="n"/>
      <c r="M5230" s="12" t="n"/>
      <c r="N5230" s="12" t="n"/>
      <c r="O5230" s="12" t="n"/>
    </row>
    <row r="5231">
      <c r="A5231" s="12" t="n"/>
      <c r="B5231" s="13">
        <f>IF($A5231="","",IFERROR(INDEX(Emp_Names,MATCH($A5231,Emp_Codes,0)),"NOT FOUND"))</f>
        <v/>
      </c>
      <c r="C5231" s="14" t="n"/>
      <c r="D5231" s="15" t="n"/>
      <c r="E5231" s="15" t="n"/>
      <c r="F5231" s="15" t="n"/>
      <c r="G5231" s="15" t="n"/>
      <c r="H5231" s="16">
        <f>IF($A5231="","",$D5231+IF($E5231="",0,$E5231)+IF($F5231="",0,$F5231)-IF($G5231="",0,$G5231))</f>
        <v/>
      </c>
      <c r="I5231" s="12" t="n"/>
      <c r="J5231" s="12" t="n"/>
      <c r="K5231" s="12" t="n"/>
      <c r="L5231" s="14" t="n"/>
      <c r="M5231" s="12" t="n"/>
      <c r="N5231" s="12" t="n"/>
      <c r="O5231" s="12" t="n"/>
    </row>
    <row r="5232">
      <c r="A5232" s="12" t="n"/>
      <c r="B5232" s="13">
        <f>IF($A5232="","",IFERROR(INDEX(Emp_Names,MATCH($A5232,Emp_Codes,0)),"NOT FOUND"))</f>
        <v/>
      </c>
      <c r="C5232" s="14" t="n"/>
      <c r="D5232" s="15" t="n"/>
      <c r="E5232" s="15" t="n"/>
      <c r="F5232" s="15" t="n"/>
      <c r="G5232" s="15" t="n"/>
      <c r="H5232" s="16">
        <f>IF($A5232="","",$D5232+IF($E5232="",0,$E5232)+IF($F5232="",0,$F5232)-IF($G5232="",0,$G5232))</f>
        <v/>
      </c>
      <c r="I5232" s="12" t="n"/>
      <c r="J5232" s="12" t="n"/>
      <c r="K5232" s="12" t="n"/>
      <c r="L5232" s="14" t="n"/>
      <c r="M5232" s="12" t="n"/>
      <c r="N5232" s="12" t="n"/>
      <c r="O5232" s="12" t="n"/>
    </row>
    <row r="5233">
      <c r="A5233" s="12" t="n"/>
      <c r="B5233" s="13">
        <f>IF($A5233="","",IFERROR(INDEX(Emp_Names,MATCH($A5233,Emp_Codes,0)),"NOT FOUND"))</f>
        <v/>
      </c>
      <c r="C5233" s="14" t="n"/>
      <c r="D5233" s="15" t="n"/>
      <c r="E5233" s="15" t="n"/>
      <c r="F5233" s="15" t="n"/>
      <c r="G5233" s="15" t="n"/>
      <c r="H5233" s="16">
        <f>IF($A5233="","",$D5233+IF($E5233="",0,$E5233)+IF($F5233="",0,$F5233)-IF($G5233="",0,$G5233))</f>
        <v/>
      </c>
      <c r="I5233" s="12" t="n"/>
      <c r="J5233" s="12" t="n"/>
      <c r="K5233" s="12" t="n"/>
      <c r="L5233" s="14" t="n"/>
      <c r="M5233" s="12" t="n"/>
      <c r="N5233" s="12" t="n"/>
      <c r="O5233" s="12" t="n"/>
    </row>
    <row r="5234">
      <c r="A5234" s="12" t="n"/>
      <c r="B5234" s="13">
        <f>IF($A5234="","",IFERROR(INDEX(Emp_Names,MATCH($A5234,Emp_Codes,0)),"NOT FOUND"))</f>
        <v/>
      </c>
      <c r="C5234" s="14" t="n"/>
      <c r="D5234" s="15" t="n"/>
      <c r="E5234" s="15" t="n"/>
      <c r="F5234" s="15" t="n"/>
      <c r="G5234" s="15" t="n"/>
      <c r="H5234" s="16">
        <f>IF($A5234="","",$D5234+IF($E5234="",0,$E5234)+IF($F5234="",0,$F5234)-IF($G5234="",0,$G5234))</f>
        <v/>
      </c>
      <c r="I5234" s="12" t="n"/>
      <c r="J5234" s="12" t="n"/>
      <c r="K5234" s="12" t="n"/>
      <c r="L5234" s="14" t="n"/>
      <c r="M5234" s="12" t="n"/>
      <c r="N5234" s="12" t="n"/>
      <c r="O5234" s="12" t="n"/>
    </row>
    <row r="5235">
      <c r="A5235" s="12" t="n"/>
      <c r="B5235" s="13">
        <f>IF($A5235="","",IFERROR(INDEX(Emp_Names,MATCH($A5235,Emp_Codes,0)),"NOT FOUND"))</f>
        <v/>
      </c>
      <c r="C5235" s="14" t="n"/>
      <c r="D5235" s="15" t="n"/>
      <c r="E5235" s="15" t="n"/>
      <c r="F5235" s="15" t="n"/>
      <c r="G5235" s="15" t="n"/>
      <c r="H5235" s="16">
        <f>IF($A5235="","",$D5235+IF($E5235="",0,$E5235)+IF($F5235="",0,$F5235)-IF($G5235="",0,$G5235))</f>
        <v/>
      </c>
      <c r="I5235" s="12" t="n"/>
      <c r="J5235" s="12" t="n"/>
      <c r="K5235" s="12" t="n"/>
      <c r="L5235" s="14" t="n"/>
      <c r="M5235" s="12" t="n"/>
      <c r="N5235" s="12" t="n"/>
      <c r="O5235" s="12" t="n"/>
    </row>
    <row r="5236">
      <c r="A5236" s="12" t="n"/>
      <c r="B5236" s="13">
        <f>IF($A5236="","",IFERROR(INDEX(Emp_Names,MATCH($A5236,Emp_Codes,0)),"NOT FOUND"))</f>
        <v/>
      </c>
      <c r="C5236" s="14" t="n"/>
      <c r="D5236" s="15" t="n"/>
      <c r="E5236" s="15" t="n"/>
      <c r="F5236" s="15" t="n"/>
      <c r="G5236" s="15" t="n"/>
      <c r="H5236" s="16">
        <f>IF($A5236="","",$D5236+IF($E5236="",0,$E5236)+IF($F5236="",0,$F5236)-IF($G5236="",0,$G5236))</f>
        <v/>
      </c>
      <c r="I5236" s="12" t="n"/>
      <c r="J5236" s="12" t="n"/>
      <c r="K5236" s="12" t="n"/>
      <c r="L5236" s="14" t="n"/>
      <c r="M5236" s="12" t="n"/>
      <c r="N5236" s="12" t="n"/>
      <c r="O5236" s="12" t="n"/>
    </row>
    <row r="5237">
      <c r="A5237" s="12" t="n"/>
      <c r="B5237" s="13">
        <f>IF($A5237="","",IFERROR(INDEX(Emp_Names,MATCH($A5237,Emp_Codes,0)),"NOT FOUND"))</f>
        <v/>
      </c>
      <c r="C5237" s="14" t="n"/>
      <c r="D5237" s="15" t="n"/>
      <c r="E5237" s="15" t="n"/>
      <c r="F5237" s="15" t="n"/>
      <c r="G5237" s="15" t="n"/>
      <c r="H5237" s="16">
        <f>IF($A5237="","",$D5237+IF($E5237="",0,$E5237)+IF($F5237="",0,$F5237)-IF($G5237="",0,$G5237))</f>
        <v/>
      </c>
      <c r="I5237" s="12" t="n"/>
      <c r="J5237" s="12" t="n"/>
      <c r="K5237" s="12" t="n"/>
      <c r="L5237" s="14" t="n"/>
      <c r="M5237" s="12" t="n"/>
      <c r="N5237" s="12" t="n"/>
      <c r="O5237" s="12" t="n"/>
    </row>
    <row r="5238">
      <c r="A5238" s="12" t="n"/>
      <c r="B5238" s="13">
        <f>IF($A5238="","",IFERROR(INDEX(Emp_Names,MATCH($A5238,Emp_Codes,0)),"NOT FOUND"))</f>
        <v/>
      </c>
      <c r="C5238" s="14" t="n"/>
      <c r="D5238" s="15" t="n"/>
      <c r="E5238" s="15" t="n"/>
      <c r="F5238" s="15" t="n"/>
      <c r="G5238" s="15" t="n"/>
      <c r="H5238" s="16">
        <f>IF($A5238="","",$D5238+IF($E5238="",0,$E5238)+IF($F5238="",0,$F5238)-IF($G5238="",0,$G5238))</f>
        <v/>
      </c>
      <c r="I5238" s="12" t="n"/>
      <c r="J5238" s="12" t="n"/>
      <c r="K5238" s="12" t="n"/>
      <c r="L5238" s="14" t="n"/>
      <c r="M5238" s="12" t="n"/>
      <c r="N5238" s="12" t="n"/>
      <c r="O5238" s="12" t="n"/>
    </row>
    <row r="5239">
      <c r="A5239" s="12" t="n"/>
      <c r="B5239" s="13">
        <f>IF($A5239="","",IFERROR(INDEX(Emp_Names,MATCH($A5239,Emp_Codes,0)),"NOT FOUND"))</f>
        <v/>
      </c>
      <c r="C5239" s="14" t="n"/>
      <c r="D5239" s="15" t="n"/>
      <c r="E5239" s="15" t="n"/>
      <c r="F5239" s="15" t="n"/>
      <c r="G5239" s="15" t="n"/>
      <c r="H5239" s="16">
        <f>IF($A5239="","",$D5239+IF($E5239="",0,$E5239)+IF($F5239="",0,$F5239)-IF($G5239="",0,$G5239))</f>
        <v/>
      </c>
      <c r="I5239" s="12" t="n"/>
      <c r="J5239" s="12" t="n"/>
      <c r="K5239" s="12" t="n"/>
      <c r="L5239" s="14" t="n"/>
      <c r="M5239" s="12" t="n"/>
      <c r="N5239" s="12" t="n"/>
      <c r="O5239" s="12" t="n"/>
    </row>
    <row r="5240">
      <c r="A5240" s="12" t="n"/>
      <c r="B5240" s="13">
        <f>IF($A5240="","",IFERROR(INDEX(Emp_Names,MATCH($A5240,Emp_Codes,0)),"NOT FOUND"))</f>
        <v/>
      </c>
      <c r="C5240" s="14" t="n"/>
      <c r="D5240" s="15" t="n"/>
      <c r="E5240" s="15" t="n"/>
      <c r="F5240" s="15" t="n"/>
      <c r="G5240" s="15" t="n"/>
      <c r="H5240" s="16">
        <f>IF($A5240="","",$D5240+IF($E5240="",0,$E5240)+IF($F5240="",0,$F5240)-IF($G5240="",0,$G5240))</f>
        <v/>
      </c>
      <c r="I5240" s="12" t="n"/>
      <c r="J5240" s="12" t="n"/>
      <c r="K5240" s="12" t="n"/>
      <c r="L5240" s="14" t="n"/>
      <c r="M5240" s="12" t="n"/>
      <c r="N5240" s="12" t="n"/>
      <c r="O5240" s="12" t="n"/>
    </row>
    <row r="5241">
      <c r="A5241" s="12" t="n"/>
      <c r="B5241" s="13">
        <f>IF($A5241="","",IFERROR(INDEX(Emp_Names,MATCH($A5241,Emp_Codes,0)),"NOT FOUND"))</f>
        <v/>
      </c>
      <c r="C5241" s="14" t="n"/>
      <c r="D5241" s="15" t="n"/>
      <c r="E5241" s="15" t="n"/>
      <c r="F5241" s="15" t="n"/>
      <c r="G5241" s="15" t="n"/>
      <c r="H5241" s="16">
        <f>IF($A5241="","",$D5241+IF($E5241="",0,$E5241)+IF($F5241="",0,$F5241)-IF($G5241="",0,$G5241))</f>
        <v/>
      </c>
      <c r="I5241" s="12" t="n"/>
      <c r="J5241" s="12" t="n"/>
      <c r="K5241" s="12" t="n"/>
      <c r="L5241" s="14" t="n"/>
      <c r="M5241" s="12" t="n"/>
      <c r="N5241" s="12" t="n"/>
      <c r="O5241" s="12" t="n"/>
    </row>
    <row r="5242">
      <c r="A5242" s="12" t="n"/>
      <c r="B5242" s="13">
        <f>IF($A5242="","",IFERROR(INDEX(Emp_Names,MATCH($A5242,Emp_Codes,0)),"NOT FOUND"))</f>
        <v/>
      </c>
      <c r="C5242" s="14" t="n"/>
      <c r="D5242" s="15" t="n"/>
      <c r="E5242" s="15" t="n"/>
      <c r="F5242" s="15" t="n"/>
      <c r="G5242" s="15" t="n"/>
      <c r="H5242" s="16">
        <f>IF($A5242="","",$D5242+IF($E5242="",0,$E5242)+IF($F5242="",0,$F5242)-IF($G5242="",0,$G5242))</f>
        <v/>
      </c>
      <c r="I5242" s="12" t="n"/>
      <c r="J5242" s="12" t="n"/>
      <c r="K5242" s="12" t="n"/>
      <c r="L5242" s="14" t="n"/>
      <c r="M5242" s="12" t="n"/>
      <c r="N5242" s="12" t="n"/>
      <c r="O5242" s="12" t="n"/>
    </row>
    <row r="5243">
      <c r="A5243" s="12" t="n"/>
      <c r="B5243" s="13">
        <f>IF($A5243="","",IFERROR(INDEX(Emp_Names,MATCH($A5243,Emp_Codes,0)),"NOT FOUND"))</f>
        <v/>
      </c>
      <c r="C5243" s="14" t="n"/>
      <c r="D5243" s="15" t="n"/>
      <c r="E5243" s="15" t="n"/>
      <c r="F5243" s="15" t="n"/>
      <c r="G5243" s="15" t="n"/>
      <c r="H5243" s="16">
        <f>IF($A5243="","",$D5243+IF($E5243="",0,$E5243)+IF($F5243="",0,$F5243)-IF($G5243="",0,$G5243))</f>
        <v/>
      </c>
      <c r="I5243" s="12" t="n"/>
      <c r="J5243" s="12" t="n"/>
      <c r="K5243" s="12" t="n"/>
      <c r="L5243" s="14" t="n"/>
      <c r="M5243" s="12" t="n"/>
      <c r="N5243" s="12" t="n"/>
      <c r="O5243" s="12" t="n"/>
    </row>
    <row r="5244">
      <c r="A5244" s="12" t="n"/>
      <c r="B5244" s="13">
        <f>IF($A5244="","",IFERROR(INDEX(Emp_Names,MATCH($A5244,Emp_Codes,0)),"NOT FOUND"))</f>
        <v/>
      </c>
      <c r="C5244" s="14" t="n"/>
      <c r="D5244" s="15" t="n"/>
      <c r="E5244" s="15" t="n"/>
      <c r="F5244" s="15" t="n"/>
      <c r="G5244" s="15" t="n"/>
      <c r="H5244" s="16">
        <f>IF($A5244="","",$D5244+IF($E5244="",0,$E5244)+IF($F5244="",0,$F5244)-IF($G5244="",0,$G5244))</f>
        <v/>
      </c>
      <c r="I5244" s="12" t="n"/>
      <c r="J5244" s="12" t="n"/>
      <c r="K5244" s="12" t="n"/>
      <c r="L5244" s="14" t="n"/>
      <c r="M5244" s="12" t="n"/>
      <c r="N5244" s="12" t="n"/>
      <c r="O5244" s="12" t="n"/>
    </row>
    <row r="5245">
      <c r="A5245" s="12" t="n"/>
      <c r="B5245" s="13">
        <f>IF($A5245="","",IFERROR(INDEX(Emp_Names,MATCH($A5245,Emp_Codes,0)),"NOT FOUND"))</f>
        <v/>
      </c>
      <c r="C5245" s="14" t="n"/>
      <c r="D5245" s="15" t="n"/>
      <c r="E5245" s="15" t="n"/>
      <c r="F5245" s="15" t="n"/>
      <c r="G5245" s="15" t="n"/>
      <c r="H5245" s="16">
        <f>IF($A5245="","",$D5245+IF($E5245="",0,$E5245)+IF($F5245="",0,$F5245)-IF($G5245="",0,$G5245))</f>
        <v/>
      </c>
      <c r="I5245" s="12" t="n"/>
      <c r="J5245" s="12" t="n"/>
      <c r="K5245" s="12" t="n"/>
      <c r="L5245" s="14" t="n"/>
      <c r="M5245" s="12" t="n"/>
      <c r="N5245" s="12" t="n"/>
      <c r="O5245" s="12" t="n"/>
    </row>
    <row r="5246">
      <c r="A5246" s="12" t="n"/>
      <c r="B5246" s="13">
        <f>IF($A5246="","",IFERROR(INDEX(Emp_Names,MATCH($A5246,Emp_Codes,0)),"NOT FOUND"))</f>
        <v/>
      </c>
      <c r="C5246" s="14" t="n"/>
      <c r="D5246" s="15" t="n"/>
      <c r="E5246" s="15" t="n"/>
      <c r="F5246" s="15" t="n"/>
      <c r="G5246" s="15" t="n"/>
      <c r="H5246" s="16">
        <f>IF($A5246="","",$D5246+IF($E5246="",0,$E5246)+IF($F5246="",0,$F5246)-IF($G5246="",0,$G5246))</f>
        <v/>
      </c>
      <c r="I5246" s="12" t="n"/>
      <c r="J5246" s="12" t="n"/>
      <c r="K5246" s="12" t="n"/>
      <c r="L5246" s="14" t="n"/>
      <c r="M5246" s="12" t="n"/>
      <c r="N5246" s="12" t="n"/>
      <c r="O5246" s="12" t="n"/>
    </row>
    <row r="5247">
      <c r="A5247" s="12" t="n"/>
      <c r="B5247" s="13">
        <f>IF($A5247="","",IFERROR(INDEX(Emp_Names,MATCH($A5247,Emp_Codes,0)),"NOT FOUND"))</f>
        <v/>
      </c>
      <c r="C5247" s="14" t="n"/>
      <c r="D5247" s="15" t="n"/>
      <c r="E5247" s="15" t="n"/>
      <c r="F5247" s="15" t="n"/>
      <c r="G5247" s="15" t="n"/>
      <c r="H5247" s="16">
        <f>IF($A5247="","",$D5247+IF($E5247="",0,$E5247)+IF($F5247="",0,$F5247)-IF($G5247="",0,$G5247))</f>
        <v/>
      </c>
      <c r="I5247" s="12" t="n"/>
      <c r="J5247" s="12" t="n"/>
      <c r="K5247" s="12" t="n"/>
      <c r="L5247" s="14" t="n"/>
      <c r="M5247" s="12" t="n"/>
      <c r="N5247" s="12" t="n"/>
      <c r="O5247" s="12" t="n"/>
    </row>
    <row r="5248">
      <c r="A5248" s="12" t="n"/>
      <c r="B5248" s="13">
        <f>IF($A5248="","",IFERROR(INDEX(Emp_Names,MATCH($A5248,Emp_Codes,0)),"NOT FOUND"))</f>
        <v/>
      </c>
      <c r="C5248" s="14" t="n"/>
      <c r="D5248" s="15" t="n"/>
      <c r="E5248" s="15" t="n"/>
      <c r="F5248" s="15" t="n"/>
      <c r="G5248" s="15" t="n"/>
      <c r="H5248" s="16">
        <f>IF($A5248="","",$D5248+IF($E5248="",0,$E5248)+IF($F5248="",0,$F5248)-IF($G5248="",0,$G5248))</f>
        <v/>
      </c>
      <c r="I5248" s="12" t="n"/>
      <c r="J5248" s="12" t="n"/>
      <c r="K5248" s="12" t="n"/>
      <c r="L5248" s="14" t="n"/>
      <c r="M5248" s="12" t="n"/>
      <c r="N5248" s="12" t="n"/>
      <c r="O5248" s="12" t="n"/>
    </row>
    <row r="5249">
      <c r="A5249" s="12" t="n"/>
      <c r="B5249" s="13">
        <f>IF($A5249="","",IFERROR(INDEX(Emp_Names,MATCH($A5249,Emp_Codes,0)),"NOT FOUND"))</f>
        <v/>
      </c>
      <c r="C5249" s="14" t="n"/>
      <c r="D5249" s="15" t="n"/>
      <c r="E5249" s="15" t="n"/>
      <c r="F5249" s="15" t="n"/>
      <c r="G5249" s="15" t="n"/>
      <c r="H5249" s="16">
        <f>IF($A5249="","",$D5249+IF($E5249="",0,$E5249)+IF($F5249="",0,$F5249)-IF($G5249="",0,$G5249))</f>
        <v/>
      </c>
      <c r="I5249" s="12" t="n"/>
      <c r="J5249" s="12" t="n"/>
      <c r="K5249" s="12" t="n"/>
      <c r="L5249" s="14" t="n"/>
      <c r="M5249" s="12" t="n"/>
      <c r="N5249" s="12" t="n"/>
      <c r="O5249" s="12" t="n"/>
    </row>
    <row r="5250">
      <c r="A5250" s="12" t="n"/>
      <c r="B5250" s="13">
        <f>IF($A5250="","",IFERROR(INDEX(Emp_Names,MATCH($A5250,Emp_Codes,0)),"NOT FOUND"))</f>
        <v/>
      </c>
      <c r="C5250" s="14" t="n"/>
      <c r="D5250" s="15" t="n"/>
      <c r="E5250" s="15" t="n"/>
      <c r="F5250" s="15" t="n"/>
      <c r="G5250" s="15" t="n"/>
      <c r="H5250" s="16">
        <f>IF($A5250="","",$D5250+IF($E5250="",0,$E5250)+IF($F5250="",0,$F5250)-IF($G5250="",0,$G5250))</f>
        <v/>
      </c>
      <c r="I5250" s="12" t="n"/>
      <c r="J5250" s="12" t="n"/>
      <c r="K5250" s="12" t="n"/>
      <c r="L5250" s="14" t="n"/>
      <c r="M5250" s="12" t="n"/>
      <c r="N5250" s="12" t="n"/>
      <c r="O5250" s="12" t="n"/>
    </row>
    <row r="5251">
      <c r="A5251" s="12" t="n"/>
      <c r="B5251" s="13">
        <f>IF($A5251="","",IFERROR(INDEX(Emp_Names,MATCH($A5251,Emp_Codes,0)),"NOT FOUND"))</f>
        <v/>
      </c>
      <c r="C5251" s="14" t="n"/>
      <c r="D5251" s="15" t="n"/>
      <c r="E5251" s="15" t="n"/>
      <c r="F5251" s="15" t="n"/>
      <c r="G5251" s="15" t="n"/>
      <c r="H5251" s="16">
        <f>IF($A5251="","",$D5251+IF($E5251="",0,$E5251)+IF($F5251="",0,$F5251)-IF($G5251="",0,$G5251))</f>
        <v/>
      </c>
      <c r="I5251" s="12" t="n"/>
      <c r="J5251" s="12" t="n"/>
      <c r="K5251" s="12" t="n"/>
      <c r="L5251" s="14" t="n"/>
      <c r="M5251" s="12" t="n"/>
      <c r="N5251" s="12" t="n"/>
      <c r="O5251" s="12" t="n"/>
    </row>
    <row r="5252">
      <c r="A5252" s="12" t="n"/>
      <c r="B5252" s="13">
        <f>IF($A5252="","",IFERROR(INDEX(Emp_Names,MATCH($A5252,Emp_Codes,0)),"NOT FOUND"))</f>
        <v/>
      </c>
      <c r="C5252" s="14" t="n"/>
      <c r="D5252" s="15" t="n"/>
      <c r="E5252" s="15" t="n"/>
      <c r="F5252" s="15" t="n"/>
      <c r="G5252" s="15" t="n"/>
      <c r="H5252" s="16">
        <f>IF($A5252="","",$D5252+IF($E5252="",0,$E5252)+IF($F5252="",0,$F5252)-IF($G5252="",0,$G5252))</f>
        <v/>
      </c>
      <c r="I5252" s="12" t="n"/>
      <c r="J5252" s="12" t="n"/>
      <c r="K5252" s="12" t="n"/>
      <c r="L5252" s="14" t="n"/>
      <c r="M5252" s="12" t="n"/>
      <c r="N5252" s="12" t="n"/>
      <c r="O5252" s="12" t="n"/>
    </row>
    <row r="5253">
      <c r="A5253" s="12" t="n"/>
      <c r="B5253" s="13">
        <f>IF($A5253="","",IFERROR(INDEX(Emp_Names,MATCH($A5253,Emp_Codes,0)),"NOT FOUND"))</f>
        <v/>
      </c>
      <c r="C5253" s="14" t="n"/>
      <c r="D5253" s="15" t="n"/>
      <c r="E5253" s="15" t="n"/>
      <c r="F5253" s="15" t="n"/>
      <c r="G5253" s="15" t="n"/>
      <c r="H5253" s="16">
        <f>IF($A5253="","",$D5253+IF($E5253="",0,$E5253)+IF($F5253="",0,$F5253)-IF($G5253="",0,$G5253))</f>
        <v/>
      </c>
      <c r="I5253" s="12" t="n"/>
      <c r="J5253" s="12" t="n"/>
      <c r="K5253" s="12" t="n"/>
      <c r="L5253" s="14" t="n"/>
      <c r="M5253" s="12" t="n"/>
      <c r="N5253" s="12" t="n"/>
      <c r="O5253" s="12" t="n"/>
    </row>
    <row r="5254">
      <c r="A5254" s="12" t="n"/>
      <c r="B5254" s="13">
        <f>IF($A5254="","",IFERROR(INDEX(Emp_Names,MATCH($A5254,Emp_Codes,0)),"NOT FOUND"))</f>
        <v/>
      </c>
      <c r="C5254" s="14" t="n"/>
      <c r="D5254" s="15" t="n"/>
      <c r="E5254" s="15" t="n"/>
      <c r="F5254" s="15" t="n"/>
      <c r="G5254" s="15" t="n"/>
      <c r="H5254" s="16">
        <f>IF($A5254="","",$D5254+IF($E5254="",0,$E5254)+IF($F5254="",0,$F5254)-IF($G5254="",0,$G5254))</f>
        <v/>
      </c>
      <c r="I5254" s="12" t="n"/>
      <c r="J5254" s="12" t="n"/>
      <c r="K5254" s="12" t="n"/>
      <c r="L5254" s="14" t="n"/>
      <c r="M5254" s="12" t="n"/>
      <c r="N5254" s="12" t="n"/>
      <c r="O5254" s="12" t="n"/>
    </row>
    <row r="5255">
      <c r="A5255" s="12" t="n"/>
      <c r="B5255" s="13">
        <f>IF($A5255="","",IFERROR(INDEX(Emp_Names,MATCH($A5255,Emp_Codes,0)),"NOT FOUND"))</f>
        <v/>
      </c>
      <c r="C5255" s="14" t="n"/>
      <c r="D5255" s="15" t="n"/>
      <c r="E5255" s="15" t="n"/>
      <c r="F5255" s="15" t="n"/>
      <c r="G5255" s="15" t="n"/>
      <c r="H5255" s="16">
        <f>IF($A5255="","",$D5255+IF($E5255="",0,$E5255)+IF($F5255="",0,$F5255)-IF($G5255="",0,$G5255))</f>
        <v/>
      </c>
      <c r="I5255" s="12" t="n"/>
      <c r="J5255" s="12" t="n"/>
      <c r="K5255" s="12" t="n"/>
      <c r="L5255" s="14" t="n"/>
      <c r="M5255" s="12" t="n"/>
      <c r="N5255" s="12" t="n"/>
      <c r="O5255" s="12" t="n"/>
    </row>
    <row r="5256">
      <c r="A5256" s="12" t="n"/>
      <c r="B5256" s="13">
        <f>IF($A5256="","",IFERROR(INDEX(Emp_Names,MATCH($A5256,Emp_Codes,0)),"NOT FOUND"))</f>
        <v/>
      </c>
      <c r="C5256" s="14" t="n"/>
      <c r="D5256" s="15" t="n"/>
      <c r="E5256" s="15" t="n"/>
      <c r="F5256" s="15" t="n"/>
      <c r="G5256" s="15" t="n"/>
      <c r="H5256" s="16">
        <f>IF($A5256="","",$D5256+IF($E5256="",0,$E5256)+IF($F5256="",0,$F5256)-IF($G5256="",0,$G5256))</f>
        <v/>
      </c>
      <c r="I5256" s="12" t="n"/>
      <c r="J5256" s="12" t="n"/>
      <c r="K5256" s="12" t="n"/>
      <c r="L5256" s="14" t="n"/>
      <c r="M5256" s="12" t="n"/>
      <c r="N5256" s="12" t="n"/>
      <c r="O5256" s="12" t="n"/>
    </row>
    <row r="5257">
      <c r="A5257" s="12" t="n"/>
      <c r="B5257" s="13">
        <f>IF($A5257="","",IFERROR(INDEX(Emp_Names,MATCH($A5257,Emp_Codes,0)),"NOT FOUND"))</f>
        <v/>
      </c>
      <c r="C5257" s="14" t="n"/>
      <c r="D5257" s="15" t="n"/>
      <c r="E5257" s="15" t="n"/>
      <c r="F5257" s="15" t="n"/>
      <c r="G5257" s="15" t="n"/>
      <c r="H5257" s="16">
        <f>IF($A5257="","",$D5257+IF($E5257="",0,$E5257)+IF($F5257="",0,$F5257)-IF($G5257="",0,$G5257))</f>
        <v/>
      </c>
      <c r="I5257" s="12" t="n"/>
      <c r="J5257" s="12" t="n"/>
      <c r="K5257" s="12" t="n"/>
      <c r="L5257" s="14" t="n"/>
      <c r="M5257" s="12" t="n"/>
      <c r="N5257" s="12" t="n"/>
      <c r="O5257" s="12" t="n"/>
    </row>
    <row r="5258">
      <c r="A5258" s="12" t="n"/>
      <c r="B5258" s="13">
        <f>IF($A5258="","",IFERROR(INDEX(Emp_Names,MATCH($A5258,Emp_Codes,0)),"NOT FOUND"))</f>
        <v/>
      </c>
      <c r="C5258" s="14" t="n"/>
      <c r="D5258" s="15" t="n"/>
      <c r="E5258" s="15" t="n"/>
      <c r="F5258" s="15" t="n"/>
      <c r="G5258" s="15" t="n"/>
      <c r="H5258" s="16">
        <f>IF($A5258="","",$D5258+IF($E5258="",0,$E5258)+IF($F5258="",0,$F5258)-IF($G5258="",0,$G5258))</f>
        <v/>
      </c>
      <c r="I5258" s="12" t="n"/>
      <c r="J5258" s="12" t="n"/>
      <c r="K5258" s="12" t="n"/>
      <c r="L5258" s="14" t="n"/>
      <c r="M5258" s="12" t="n"/>
      <c r="N5258" s="12" t="n"/>
      <c r="O5258" s="12" t="n"/>
    </row>
    <row r="5259">
      <c r="A5259" s="12" t="n"/>
      <c r="B5259" s="13">
        <f>IF($A5259="","",IFERROR(INDEX(Emp_Names,MATCH($A5259,Emp_Codes,0)),"NOT FOUND"))</f>
        <v/>
      </c>
      <c r="C5259" s="14" t="n"/>
      <c r="D5259" s="15" t="n"/>
      <c r="E5259" s="15" t="n"/>
      <c r="F5259" s="15" t="n"/>
      <c r="G5259" s="15" t="n"/>
      <c r="H5259" s="16">
        <f>IF($A5259="","",$D5259+IF($E5259="",0,$E5259)+IF($F5259="",0,$F5259)-IF($G5259="",0,$G5259))</f>
        <v/>
      </c>
      <c r="I5259" s="12" t="n"/>
      <c r="J5259" s="12" t="n"/>
      <c r="K5259" s="12" t="n"/>
      <c r="L5259" s="14" t="n"/>
      <c r="M5259" s="12" t="n"/>
      <c r="N5259" s="12" t="n"/>
      <c r="O5259" s="12" t="n"/>
    </row>
    <row r="5260">
      <c r="A5260" s="12" t="n"/>
      <c r="B5260" s="13">
        <f>IF($A5260="","",IFERROR(INDEX(Emp_Names,MATCH($A5260,Emp_Codes,0)),"NOT FOUND"))</f>
        <v/>
      </c>
      <c r="C5260" s="14" t="n"/>
      <c r="D5260" s="15" t="n"/>
      <c r="E5260" s="15" t="n"/>
      <c r="F5260" s="15" t="n"/>
      <c r="G5260" s="15" t="n"/>
      <c r="H5260" s="16">
        <f>IF($A5260="","",$D5260+IF($E5260="",0,$E5260)+IF($F5260="",0,$F5260)-IF($G5260="",0,$G5260))</f>
        <v/>
      </c>
      <c r="I5260" s="12" t="n"/>
      <c r="J5260" s="12" t="n"/>
      <c r="K5260" s="12" t="n"/>
      <c r="L5260" s="14" t="n"/>
      <c r="M5260" s="12" t="n"/>
      <c r="N5260" s="12" t="n"/>
      <c r="O5260" s="12" t="n"/>
    </row>
    <row r="5261">
      <c r="A5261" s="12" t="n"/>
      <c r="B5261" s="13">
        <f>IF($A5261="","",IFERROR(INDEX(Emp_Names,MATCH($A5261,Emp_Codes,0)),"NOT FOUND"))</f>
        <v/>
      </c>
      <c r="C5261" s="14" t="n"/>
      <c r="D5261" s="15" t="n"/>
      <c r="E5261" s="15" t="n"/>
      <c r="F5261" s="15" t="n"/>
      <c r="G5261" s="15" t="n"/>
      <c r="H5261" s="16">
        <f>IF($A5261="","",$D5261+IF($E5261="",0,$E5261)+IF($F5261="",0,$F5261)-IF($G5261="",0,$G5261))</f>
        <v/>
      </c>
      <c r="I5261" s="12" t="n"/>
      <c r="J5261" s="12" t="n"/>
      <c r="K5261" s="12" t="n"/>
      <c r="L5261" s="14" t="n"/>
      <c r="M5261" s="12" t="n"/>
      <c r="N5261" s="12" t="n"/>
      <c r="O5261" s="12" t="n"/>
    </row>
    <row r="5262">
      <c r="A5262" s="12" t="n"/>
      <c r="B5262" s="13">
        <f>IF($A5262="","",IFERROR(INDEX(Emp_Names,MATCH($A5262,Emp_Codes,0)),"NOT FOUND"))</f>
        <v/>
      </c>
      <c r="C5262" s="14" t="n"/>
      <c r="D5262" s="15" t="n"/>
      <c r="E5262" s="15" t="n"/>
      <c r="F5262" s="15" t="n"/>
      <c r="G5262" s="15" t="n"/>
      <c r="H5262" s="16">
        <f>IF($A5262="","",$D5262+IF($E5262="",0,$E5262)+IF($F5262="",0,$F5262)-IF($G5262="",0,$G5262))</f>
        <v/>
      </c>
      <c r="I5262" s="12" t="n"/>
      <c r="J5262" s="12" t="n"/>
      <c r="K5262" s="12" t="n"/>
      <c r="L5262" s="14" t="n"/>
      <c r="M5262" s="12" t="n"/>
      <c r="N5262" s="12" t="n"/>
      <c r="O5262" s="12" t="n"/>
    </row>
    <row r="5263">
      <c r="A5263" s="12" t="n"/>
      <c r="B5263" s="13">
        <f>IF($A5263="","",IFERROR(INDEX(Emp_Names,MATCH($A5263,Emp_Codes,0)),"NOT FOUND"))</f>
        <v/>
      </c>
      <c r="C5263" s="14" t="n"/>
      <c r="D5263" s="15" t="n"/>
      <c r="E5263" s="15" t="n"/>
      <c r="F5263" s="15" t="n"/>
      <c r="G5263" s="15" t="n"/>
      <c r="H5263" s="16">
        <f>IF($A5263="","",$D5263+IF($E5263="",0,$E5263)+IF($F5263="",0,$F5263)-IF($G5263="",0,$G5263))</f>
        <v/>
      </c>
      <c r="I5263" s="12" t="n"/>
      <c r="J5263" s="12" t="n"/>
      <c r="K5263" s="12" t="n"/>
      <c r="L5263" s="14" t="n"/>
      <c r="M5263" s="12" t="n"/>
      <c r="N5263" s="12" t="n"/>
      <c r="O5263" s="12" t="n"/>
    </row>
    <row r="5264">
      <c r="A5264" s="12" t="n"/>
      <c r="B5264" s="13">
        <f>IF($A5264="","",IFERROR(INDEX(Emp_Names,MATCH($A5264,Emp_Codes,0)),"NOT FOUND"))</f>
        <v/>
      </c>
      <c r="C5264" s="14" t="n"/>
      <c r="D5264" s="15" t="n"/>
      <c r="E5264" s="15" t="n"/>
      <c r="F5264" s="15" t="n"/>
      <c r="G5264" s="15" t="n"/>
      <c r="H5264" s="16">
        <f>IF($A5264="","",$D5264+IF($E5264="",0,$E5264)+IF($F5264="",0,$F5264)-IF($G5264="",0,$G5264))</f>
        <v/>
      </c>
      <c r="I5264" s="12" t="n"/>
      <c r="J5264" s="12" t="n"/>
      <c r="K5264" s="12" t="n"/>
      <c r="L5264" s="14" t="n"/>
      <c r="M5264" s="12" t="n"/>
      <c r="N5264" s="12" t="n"/>
      <c r="O5264" s="12" t="n"/>
    </row>
    <row r="5265">
      <c r="A5265" s="12" t="n"/>
      <c r="B5265" s="13">
        <f>IF($A5265="","",IFERROR(INDEX(Emp_Names,MATCH($A5265,Emp_Codes,0)),"NOT FOUND"))</f>
        <v/>
      </c>
      <c r="C5265" s="14" t="n"/>
      <c r="D5265" s="15" t="n"/>
      <c r="E5265" s="15" t="n"/>
      <c r="F5265" s="15" t="n"/>
      <c r="G5265" s="15" t="n"/>
      <c r="H5265" s="16">
        <f>IF($A5265="","",$D5265+IF($E5265="",0,$E5265)+IF($F5265="",0,$F5265)-IF($G5265="",0,$G5265))</f>
        <v/>
      </c>
      <c r="I5265" s="12" t="n"/>
      <c r="J5265" s="12" t="n"/>
      <c r="K5265" s="12" t="n"/>
      <c r="L5265" s="14" t="n"/>
      <c r="M5265" s="12" t="n"/>
      <c r="N5265" s="12" t="n"/>
      <c r="O5265" s="12" t="n"/>
    </row>
    <row r="5266">
      <c r="A5266" s="12" t="n"/>
      <c r="B5266" s="13">
        <f>IF($A5266="","",IFERROR(INDEX(Emp_Names,MATCH($A5266,Emp_Codes,0)),"NOT FOUND"))</f>
        <v/>
      </c>
      <c r="C5266" s="14" t="n"/>
      <c r="D5266" s="15" t="n"/>
      <c r="E5266" s="15" t="n"/>
      <c r="F5266" s="15" t="n"/>
      <c r="G5266" s="15" t="n"/>
      <c r="H5266" s="16">
        <f>IF($A5266="","",$D5266+IF($E5266="",0,$E5266)+IF($F5266="",0,$F5266)-IF($G5266="",0,$G5266))</f>
        <v/>
      </c>
      <c r="I5266" s="12" t="n"/>
      <c r="J5266" s="12" t="n"/>
      <c r="K5266" s="12" t="n"/>
      <c r="L5266" s="14" t="n"/>
      <c r="M5266" s="12" t="n"/>
      <c r="N5266" s="12" t="n"/>
      <c r="O5266" s="12" t="n"/>
    </row>
    <row r="5267">
      <c r="A5267" s="12" t="n"/>
      <c r="B5267" s="13">
        <f>IF($A5267="","",IFERROR(INDEX(Emp_Names,MATCH($A5267,Emp_Codes,0)),"NOT FOUND"))</f>
        <v/>
      </c>
      <c r="C5267" s="14" t="n"/>
      <c r="D5267" s="15" t="n"/>
      <c r="E5267" s="15" t="n"/>
      <c r="F5267" s="15" t="n"/>
      <c r="G5267" s="15" t="n"/>
      <c r="H5267" s="16">
        <f>IF($A5267="","",$D5267+IF($E5267="",0,$E5267)+IF($F5267="",0,$F5267)-IF($G5267="",0,$G5267))</f>
        <v/>
      </c>
      <c r="I5267" s="12" t="n"/>
      <c r="J5267" s="12" t="n"/>
      <c r="K5267" s="12" t="n"/>
      <c r="L5267" s="14" t="n"/>
      <c r="M5267" s="12" t="n"/>
      <c r="N5267" s="12" t="n"/>
      <c r="O5267" s="12" t="n"/>
    </row>
    <row r="5268">
      <c r="A5268" s="12" t="n"/>
      <c r="B5268" s="13">
        <f>IF($A5268="","",IFERROR(INDEX(Emp_Names,MATCH($A5268,Emp_Codes,0)),"NOT FOUND"))</f>
        <v/>
      </c>
      <c r="C5268" s="14" t="n"/>
      <c r="D5268" s="15" t="n"/>
      <c r="E5268" s="15" t="n"/>
      <c r="F5268" s="15" t="n"/>
      <c r="G5268" s="15" t="n"/>
      <c r="H5268" s="16">
        <f>IF($A5268="","",$D5268+IF($E5268="",0,$E5268)+IF($F5268="",0,$F5268)-IF($G5268="",0,$G5268))</f>
        <v/>
      </c>
      <c r="I5268" s="12" t="n"/>
      <c r="J5268" s="12" t="n"/>
      <c r="K5268" s="12" t="n"/>
      <c r="L5268" s="14" t="n"/>
      <c r="M5268" s="12" t="n"/>
      <c r="N5268" s="12" t="n"/>
      <c r="O5268" s="12" t="n"/>
    </row>
    <row r="5269">
      <c r="A5269" s="12" t="n"/>
      <c r="B5269" s="13">
        <f>IF($A5269="","",IFERROR(INDEX(Emp_Names,MATCH($A5269,Emp_Codes,0)),"NOT FOUND"))</f>
        <v/>
      </c>
      <c r="C5269" s="14" t="n"/>
      <c r="D5269" s="15" t="n"/>
      <c r="E5269" s="15" t="n"/>
      <c r="F5269" s="15" t="n"/>
      <c r="G5269" s="15" t="n"/>
      <c r="H5269" s="16">
        <f>IF($A5269="","",$D5269+IF($E5269="",0,$E5269)+IF($F5269="",0,$F5269)-IF($G5269="",0,$G5269))</f>
        <v/>
      </c>
      <c r="I5269" s="12" t="n"/>
      <c r="J5269" s="12" t="n"/>
      <c r="K5269" s="12" t="n"/>
      <c r="L5269" s="14" t="n"/>
      <c r="M5269" s="12" t="n"/>
      <c r="N5269" s="12" t="n"/>
      <c r="O5269" s="12" t="n"/>
    </row>
    <row r="5270">
      <c r="A5270" s="12" t="n"/>
      <c r="B5270" s="13">
        <f>IF($A5270="","",IFERROR(INDEX(Emp_Names,MATCH($A5270,Emp_Codes,0)),"NOT FOUND"))</f>
        <v/>
      </c>
      <c r="C5270" s="14" t="n"/>
      <c r="D5270" s="15" t="n"/>
      <c r="E5270" s="15" t="n"/>
      <c r="F5270" s="15" t="n"/>
      <c r="G5270" s="15" t="n"/>
      <c r="H5270" s="16">
        <f>IF($A5270="","",$D5270+IF($E5270="",0,$E5270)+IF($F5270="",0,$F5270)-IF($G5270="",0,$G5270))</f>
        <v/>
      </c>
      <c r="I5270" s="12" t="n"/>
      <c r="J5270" s="12" t="n"/>
      <c r="K5270" s="12" t="n"/>
      <c r="L5270" s="14" t="n"/>
      <c r="M5270" s="12" t="n"/>
      <c r="N5270" s="12" t="n"/>
      <c r="O5270" s="12" t="n"/>
    </row>
    <row r="5271">
      <c r="A5271" s="12" t="n"/>
      <c r="B5271" s="13">
        <f>IF($A5271="","",IFERROR(INDEX(Emp_Names,MATCH($A5271,Emp_Codes,0)),"NOT FOUND"))</f>
        <v/>
      </c>
      <c r="C5271" s="14" t="n"/>
      <c r="D5271" s="15" t="n"/>
      <c r="E5271" s="15" t="n"/>
      <c r="F5271" s="15" t="n"/>
      <c r="G5271" s="15" t="n"/>
      <c r="H5271" s="16">
        <f>IF($A5271="","",$D5271+IF($E5271="",0,$E5271)+IF($F5271="",0,$F5271)-IF($G5271="",0,$G5271))</f>
        <v/>
      </c>
      <c r="I5271" s="12" t="n"/>
      <c r="J5271" s="12" t="n"/>
      <c r="K5271" s="12" t="n"/>
      <c r="L5271" s="14" t="n"/>
      <c r="M5271" s="12" t="n"/>
      <c r="N5271" s="12" t="n"/>
      <c r="O5271" s="12" t="n"/>
    </row>
    <row r="5272">
      <c r="A5272" s="12" t="n"/>
      <c r="B5272" s="13">
        <f>IF($A5272="","",IFERROR(INDEX(Emp_Names,MATCH($A5272,Emp_Codes,0)),"NOT FOUND"))</f>
        <v/>
      </c>
      <c r="C5272" s="14" t="n"/>
      <c r="D5272" s="15" t="n"/>
      <c r="E5272" s="15" t="n"/>
      <c r="F5272" s="15" t="n"/>
      <c r="G5272" s="15" t="n"/>
      <c r="H5272" s="16">
        <f>IF($A5272="","",$D5272+IF($E5272="",0,$E5272)+IF($F5272="",0,$F5272)-IF($G5272="",0,$G5272))</f>
        <v/>
      </c>
      <c r="I5272" s="12" t="n"/>
      <c r="J5272" s="12" t="n"/>
      <c r="K5272" s="12" t="n"/>
      <c r="L5272" s="14" t="n"/>
      <c r="M5272" s="12" t="n"/>
      <c r="N5272" s="12" t="n"/>
      <c r="O5272" s="12" t="n"/>
    </row>
    <row r="5273">
      <c r="A5273" s="12" t="n"/>
      <c r="B5273" s="13">
        <f>IF($A5273="","",IFERROR(INDEX(Emp_Names,MATCH($A5273,Emp_Codes,0)),"NOT FOUND"))</f>
        <v/>
      </c>
      <c r="C5273" s="14" t="n"/>
      <c r="D5273" s="15" t="n"/>
      <c r="E5273" s="15" t="n"/>
      <c r="F5273" s="15" t="n"/>
      <c r="G5273" s="15" t="n"/>
      <c r="H5273" s="16">
        <f>IF($A5273="","",$D5273+IF($E5273="",0,$E5273)+IF($F5273="",0,$F5273)-IF($G5273="",0,$G5273))</f>
        <v/>
      </c>
      <c r="I5273" s="12" t="n"/>
      <c r="J5273" s="12" t="n"/>
      <c r="K5273" s="12" t="n"/>
      <c r="L5273" s="14" t="n"/>
      <c r="M5273" s="12" t="n"/>
      <c r="N5273" s="12" t="n"/>
      <c r="O5273" s="12" t="n"/>
    </row>
    <row r="5274">
      <c r="A5274" s="12" t="n"/>
      <c r="B5274" s="13">
        <f>IF($A5274="","",IFERROR(INDEX(Emp_Names,MATCH($A5274,Emp_Codes,0)),"NOT FOUND"))</f>
        <v/>
      </c>
      <c r="C5274" s="14" t="n"/>
      <c r="D5274" s="15" t="n"/>
      <c r="E5274" s="15" t="n"/>
      <c r="F5274" s="15" t="n"/>
      <c r="G5274" s="15" t="n"/>
      <c r="H5274" s="16">
        <f>IF($A5274="","",$D5274+IF($E5274="",0,$E5274)+IF($F5274="",0,$F5274)-IF($G5274="",0,$G5274))</f>
        <v/>
      </c>
      <c r="I5274" s="12" t="n"/>
      <c r="J5274" s="12" t="n"/>
      <c r="K5274" s="12" t="n"/>
      <c r="L5274" s="14" t="n"/>
      <c r="M5274" s="12" t="n"/>
      <c r="N5274" s="12" t="n"/>
      <c r="O5274" s="12" t="n"/>
    </row>
    <row r="5275">
      <c r="A5275" s="12" t="n"/>
      <c r="B5275" s="13">
        <f>IF($A5275="","",IFERROR(INDEX(Emp_Names,MATCH($A5275,Emp_Codes,0)),"NOT FOUND"))</f>
        <v/>
      </c>
      <c r="C5275" s="14" t="n"/>
      <c r="D5275" s="15" t="n"/>
      <c r="E5275" s="15" t="n"/>
      <c r="F5275" s="15" t="n"/>
      <c r="G5275" s="15" t="n"/>
      <c r="H5275" s="16">
        <f>IF($A5275="","",$D5275+IF($E5275="",0,$E5275)+IF($F5275="",0,$F5275)-IF($G5275="",0,$G5275))</f>
        <v/>
      </c>
      <c r="I5275" s="12" t="n"/>
      <c r="J5275" s="12" t="n"/>
      <c r="K5275" s="12" t="n"/>
      <c r="L5275" s="14" t="n"/>
      <c r="M5275" s="12" t="n"/>
      <c r="N5275" s="12" t="n"/>
      <c r="O5275" s="12" t="n"/>
    </row>
    <row r="5276">
      <c r="A5276" s="12" t="n"/>
      <c r="B5276" s="13">
        <f>IF($A5276="","",IFERROR(INDEX(Emp_Names,MATCH($A5276,Emp_Codes,0)),"NOT FOUND"))</f>
        <v/>
      </c>
      <c r="C5276" s="14" t="n"/>
      <c r="D5276" s="15" t="n"/>
      <c r="E5276" s="15" t="n"/>
      <c r="F5276" s="15" t="n"/>
      <c r="G5276" s="15" t="n"/>
      <c r="H5276" s="16">
        <f>IF($A5276="","",$D5276+IF($E5276="",0,$E5276)+IF($F5276="",0,$F5276)-IF($G5276="",0,$G5276))</f>
        <v/>
      </c>
      <c r="I5276" s="12" t="n"/>
      <c r="J5276" s="12" t="n"/>
      <c r="K5276" s="12" t="n"/>
      <c r="L5276" s="14" t="n"/>
      <c r="M5276" s="12" t="n"/>
      <c r="N5276" s="12" t="n"/>
      <c r="O5276" s="12" t="n"/>
    </row>
    <row r="5277">
      <c r="A5277" s="12" t="n"/>
      <c r="B5277" s="13">
        <f>IF($A5277="","",IFERROR(INDEX(Emp_Names,MATCH($A5277,Emp_Codes,0)),"NOT FOUND"))</f>
        <v/>
      </c>
      <c r="C5277" s="14" t="n"/>
      <c r="D5277" s="15" t="n"/>
      <c r="E5277" s="15" t="n"/>
      <c r="F5277" s="15" t="n"/>
      <c r="G5277" s="15" t="n"/>
      <c r="H5277" s="16">
        <f>IF($A5277="","",$D5277+IF($E5277="",0,$E5277)+IF($F5277="",0,$F5277)-IF($G5277="",0,$G5277))</f>
        <v/>
      </c>
      <c r="I5277" s="12" t="n"/>
      <c r="J5277" s="12" t="n"/>
      <c r="K5277" s="12" t="n"/>
      <c r="L5277" s="14" t="n"/>
      <c r="M5277" s="12" t="n"/>
      <c r="N5277" s="12" t="n"/>
      <c r="O5277" s="12" t="n"/>
    </row>
    <row r="5278">
      <c r="A5278" s="12" t="n"/>
      <c r="B5278" s="13">
        <f>IF($A5278="","",IFERROR(INDEX(Emp_Names,MATCH($A5278,Emp_Codes,0)),"NOT FOUND"))</f>
        <v/>
      </c>
      <c r="C5278" s="14" t="n"/>
      <c r="D5278" s="15" t="n"/>
      <c r="E5278" s="15" t="n"/>
      <c r="F5278" s="15" t="n"/>
      <c r="G5278" s="15" t="n"/>
      <c r="H5278" s="16">
        <f>IF($A5278="","",$D5278+IF($E5278="",0,$E5278)+IF($F5278="",0,$F5278)-IF($G5278="",0,$G5278))</f>
        <v/>
      </c>
      <c r="I5278" s="12" t="n"/>
      <c r="J5278" s="12" t="n"/>
      <c r="K5278" s="12" t="n"/>
      <c r="L5278" s="14" t="n"/>
      <c r="M5278" s="12" t="n"/>
      <c r="N5278" s="12" t="n"/>
      <c r="O5278" s="12" t="n"/>
    </row>
    <row r="5279">
      <c r="A5279" s="12" t="n"/>
      <c r="B5279" s="13">
        <f>IF($A5279="","",IFERROR(INDEX(Emp_Names,MATCH($A5279,Emp_Codes,0)),"NOT FOUND"))</f>
        <v/>
      </c>
      <c r="C5279" s="14" t="n"/>
      <c r="D5279" s="15" t="n"/>
      <c r="E5279" s="15" t="n"/>
      <c r="F5279" s="15" t="n"/>
      <c r="G5279" s="15" t="n"/>
      <c r="H5279" s="16">
        <f>IF($A5279="","",$D5279+IF($E5279="",0,$E5279)+IF($F5279="",0,$F5279)-IF($G5279="",0,$G5279))</f>
        <v/>
      </c>
      <c r="I5279" s="12" t="n"/>
      <c r="J5279" s="12" t="n"/>
      <c r="K5279" s="12" t="n"/>
      <c r="L5279" s="14" t="n"/>
      <c r="M5279" s="12" t="n"/>
      <c r="N5279" s="12" t="n"/>
      <c r="O5279" s="12" t="n"/>
    </row>
    <row r="5280">
      <c r="A5280" s="12" t="n"/>
      <c r="B5280" s="13">
        <f>IF($A5280="","",IFERROR(INDEX(Emp_Names,MATCH($A5280,Emp_Codes,0)),"NOT FOUND"))</f>
        <v/>
      </c>
      <c r="C5280" s="14" t="n"/>
      <c r="D5280" s="15" t="n"/>
      <c r="E5280" s="15" t="n"/>
      <c r="F5280" s="15" t="n"/>
      <c r="G5280" s="15" t="n"/>
      <c r="H5280" s="16">
        <f>IF($A5280="","",$D5280+IF($E5280="",0,$E5280)+IF($F5280="",0,$F5280)-IF($G5280="",0,$G5280))</f>
        <v/>
      </c>
      <c r="I5280" s="12" t="n"/>
      <c r="J5280" s="12" t="n"/>
      <c r="K5280" s="12" t="n"/>
      <c r="L5280" s="14" t="n"/>
      <c r="M5280" s="12" t="n"/>
      <c r="N5280" s="12" t="n"/>
      <c r="O5280" s="12" t="n"/>
    </row>
    <row r="5281">
      <c r="A5281" s="12" t="n"/>
      <c r="B5281" s="13">
        <f>IF($A5281="","",IFERROR(INDEX(Emp_Names,MATCH($A5281,Emp_Codes,0)),"NOT FOUND"))</f>
        <v/>
      </c>
      <c r="C5281" s="14" t="n"/>
      <c r="D5281" s="15" t="n"/>
      <c r="E5281" s="15" t="n"/>
      <c r="F5281" s="15" t="n"/>
      <c r="G5281" s="15" t="n"/>
      <c r="H5281" s="16">
        <f>IF($A5281="","",$D5281+IF($E5281="",0,$E5281)+IF($F5281="",0,$F5281)-IF($G5281="",0,$G5281))</f>
        <v/>
      </c>
      <c r="I5281" s="12" t="n"/>
      <c r="J5281" s="12" t="n"/>
      <c r="K5281" s="12" t="n"/>
      <c r="L5281" s="14" t="n"/>
      <c r="M5281" s="12" t="n"/>
      <c r="N5281" s="12" t="n"/>
      <c r="O5281" s="12" t="n"/>
    </row>
    <row r="5282">
      <c r="A5282" s="12" t="n"/>
      <c r="B5282" s="13">
        <f>IF($A5282="","",IFERROR(INDEX(Emp_Names,MATCH($A5282,Emp_Codes,0)),"NOT FOUND"))</f>
        <v/>
      </c>
      <c r="C5282" s="14" t="n"/>
      <c r="D5282" s="15" t="n"/>
      <c r="E5282" s="15" t="n"/>
      <c r="F5282" s="15" t="n"/>
      <c r="G5282" s="15" t="n"/>
      <c r="H5282" s="16">
        <f>IF($A5282="","",$D5282+IF($E5282="",0,$E5282)+IF($F5282="",0,$F5282)-IF($G5282="",0,$G5282))</f>
        <v/>
      </c>
      <c r="I5282" s="12" t="n"/>
      <c r="J5282" s="12" t="n"/>
      <c r="K5282" s="12" t="n"/>
      <c r="L5282" s="14" t="n"/>
      <c r="M5282" s="12" t="n"/>
      <c r="N5282" s="12" t="n"/>
      <c r="O5282" s="12" t="n"/>
    </row>
    <row r="5283">
      <c r="A5283" s="12" t="n"/>
      <c r="B5283" s="13">
        <f>IF($A5283="","",IFERROR(INDEX(Emp_Names,MATCH($A5283,Emp_Codes,0)),"NOT FOUND"))</f>
        <v/>
      </c>
      <c r="C5283" s="14" t="n"/>
      <c r="D5283" s="15" t="n"/>
      <c r="E5283" s="15" t="n"/>
      <c r="F5283" s="15" t="n"/>
      <c r="G5283" s="15" t="n"/>
      <c r="H5283" s="16">
        <f>IF($A5283="","",$D5283+IF($E5283="",0,$E5283)+IF($F5283="",0,$F5283)-IF($G5283="",0,$G5283))</f>
        <v/>
      </c>
      <c r="I5283" s="12" t="n"/>
      <c r="J5283" s="12" t="n"/>
      <c r="K5283" s="12" t="n"/>
      <c r="L5283" s="14" t="n"/>
      <c r="M5283" s="12" t="n"/>
      <c r="N5283" s="12" t="n"/>
      <c r="O5283" s="12" t="n"/>
    </row>
    <row r="5284">
      <c r="A5284" s="12" t="n"/>
      <c r="B5284" s="13">
        <f>IF($A5284="","",IFERROR(INDEX(Emp_Names,MATCH($A5284,Emp_Codes,0)),"NOT FOUND"))</f>
        <v/>
      </c>
      <c r="C5284" s="14" t="n"/>
      <c r="D5284" s="15" t="n"/>
      <c r="E5284" s="15" t="n"/>
      <c r="F5284" s="15" t="n"/>
      <c r="G5284" s="15" t="n"/>
      <c r="H5284" s="16">
        <f>IF($A5284="","",$D5284+IF($E5284="",0,$E5284)+IF($F5284="",0,$F5284)-IF($G5284="",0,$G5284))</f>
        <v/>
      </c>
      <c r="I5284" s="12" t="n"/>
      <c r="J5284" s="12" t="n"/>
      <c r="K5284" s="12" t="n"/>
      <c r="L5284" s="14" t="n"/>
      <c r="M5284" s="12" t="n"/>
      <c r="N5284" s="12" t="n"/>
      <c r="O5284" s="12" t="n"/>
    </row>
    <row r="5285">
      <c r="A5285" s="12" t="n"/>
      <c r="B5285" s="13">
        <f>IF($A5285="","",IFERROR(INDEX(Emp_Names,MATCH($A5285,Emp_Codes,0)),"NOT FOUND"))</f>
        <v/>
      </c>
      <c r="C5285" s="14" t="n"/>
      <c r="D5285" s="15" t="n"/>
      <c r="E5285" s="15" t="n"/>
      <c r="F5285" s="15" t="n"/>
      <c r="G5285" s="15" t="n"/>
      <c r="H5285" s="16">
        <f>IF($A5285="","",$D5285+IF($E5285="",0,$E5285)+IF($F5285="",0,$F5285)-IF($G5285="",0,$G5285))</f>
        <v/>
      </c>
      <c r="I5285" s="12" t="n"/>
      <c r="J5285" s="12" t="n"/>
      <c r="K5285" s="12" t="n"/>
      <c r="L5285" s="14" t="n"/>
      <c r="M5285" s="12" t="n"/>
      <c r="N5285" s="12" t="n"/>
      <c r="O5285" s="12" t="n"/>
    </row>
    <row r="5286">
      <c r="A5286" s="12" t="n"/>
      <c r="B5286" s="13">
        <f>IF($A5286="","",IFERROR(INDEX(Emp_Names,MATCH($A5286,Emp_Codes,0)),"NOT FOUND"))</f>
        <v/>
      </c>
      <c r="C5286" s="14" t="n"/>
      <c r="D5286" s="15" t="n"/>
      <c r="E5286" s="15" t="n"/>
      <c r="F5286" s="15" t="n"/>
      <c r="G5286" s="15" t="n"/>
      <c r="H5286" s="16">
        <f>IF($A5286="","",$D5286+IF($E5286="",0,$E5286)+IF($F5286="",0,$F5286)-IF($G5286="",0,$G5286))</f>
        <v/>
      </c>
      <c r="I5286" s="12" t="n"/>
      <c r="J5286" s="12" t="n"/>
      <c r="K5286" s="12" t="n"/>
      <c r="L5286" s="14" t="n"/>
      <c r="M5286" s="12" t="n"/>
      <c r="N5286" s="12" t="n"/>
      <c r="O5286" s="12" t="n"/>
    </row>
    <row r="5287">
      <c r="A5287" s="12" t="n"/>
      <c r="B5287" s="13">
        <f>IF($A5287="","",IFERROR(INDEX(Emp_Names,MATCH($A5287,Emp_Codes,0)),"NOT FOUND"))</f>
        <v/>
      </c>
      <c r="C5287" s="14" t="n"/>
      <c r="D5287" s="15" t="n"/>
      <c r="E5287" s="15" t="n"/>
      <c r="F5287" s="15" t="n"/>
      <c r="G5287" s="15" t="n"/>
      <c r="H5287" s="16">
        <f>IF($A5287="","",$D5287+IF($E5287="",0,$E5287)+IF($F5287="",0,$F5287)-IF($G5287="",0,$G5287))</f>
        <v/>
      </c>
      <c r="I5287" s="12" t="n"/>
      <c r="J5287" s="12" t="n"/>
      <c r="K5287" s="12" t="n"/>
      <c r="L5287" s="14" t="n"/>
      <c r="M5287" s="12" t="n"/>
      <c r="N5287" s="12" t="n"/>
      <c r="O5287" s="12" t="n"/>
    </row>
    <row r="5288">
      <c r="A5288" s="12" t="n"/>
      <c r="B5288" s="13">
        <f>IF($A5288="","",IFERROR(INDEX(Emp_Names,MATCH($A5288,Emp_Codes,0)),"NOT FOUND"))</f>
        <v/>
      </c>
      <c r="C5288" s="14" t="n"/>
      <c r="D5288" s="15" t="n"/>
      <c r="E5288" s="15" t="n"/>
      <c r="F5288" s="15" t="n"/>
      <c r="G5288" s="15" t="n"/>
      <c r="H5288" s="16">
        <f>IF($A5288="","",$D5288+IF($E5288="",0,$E5288)+IF($F5288="",0,$F5288)-IF($G5288="",0,$G5288))</f>
        <v/>
      </c>
      <c r="I5288" s="12" t="n"/>
      <c r="J5288" s="12" t="n"/>
      <c r="K5288" s="12" t="n"/>
      <c r="L5288" s="14" t="n"/>
      <c r="M5288" s="12" t="n"/>
      <c r="N5288" s="12" t="n"/>
      <c r="O5288" s="12" t="n"/>
    </row>
    <row r="5289">
      <c r="A5289" s="12" t="n"/>
      <c r="B5289" s="13">
        <f>IF($A5289="","",IFERROR(INDEX(Emp_Names,MATCH($A5289,Emp_Codes,0)),"NOT FOUND"))</f>
        <v/>
      </c>
      <c r="C5289" s="14" t="n"/>
      <c r="D5289" s="15" t="n"/>
      <c r="E5289" s="15" t="n"/>
      <c r="F5289" s="15" t="n"/>
      <c r="G5289" s="15" t="n"/>
      <c r="H5289" s="16">
        <f>IF($A5289="","",$D5289+IF($E5289="",0,$E5289)+IF($F5289="",0,$F5289)-IF($G5289="",0,$G5289))</f>
        <v/>
      </c>
      <c r="I5289" s="12" t="n"/>
      <c r="J5289" s="12" t="n"/>
      <c r="K5289" s="12" t="n"/>
      <c r="L5289" s="14" t="n"/>
      <c r="M5289" s="12" t="n"/>
      <c r="N5289" s="12" t="n"/>
      <c r="O5289" s="12" t="n"/>
    </row>
    <row r="5290">
      <c r="A5290" s="12" t="n"/>
      <c r="B5290" s="13">
        <f>IF($A5290="","",IFERROR(INDEX(Emp_Names,MATCH($A5290,Emp_Codes,0)),"NOT FOUND"))</f>
        <v/>
      </c>
      <c r="C5290" s="14" t="n"/>
      <c r="D5290" s="15" t="n"/>
      <c r="E5290" s="15" t="n"/>
      <c r="F5290" s="15" t="n"/>
      <c r="G5290" s="15" t="n"/>
      <c r="H5290" s="16">
        <f>IF($A5290="","",$D5290+IF($E5290="",0,$E5290)+IF($F5290="",0,$F5290)-IF($G5290="",0,$G5290))</f>
        <v/>
      </c>
      <c r="I5290" s="12" t="n"/>
      <c r="J5290" s="12" t="n"/>
      <c r="K5290" s="12" t="n"/>
      <c r="L5290" s="14" t="n"/>
      <c r="M5290" s="12" t="n"/>
      <c r="N5290" s="12" t="n"/>
      <c r="O5290" s="12" t="n"/>
    </row>
    <row r="5291">
      <c r="A5291" s="12" t="n"/>
      <c r="B5291" s="13">
        <f>IF($A5291="","",IFERROR(INDEX(Emp_Names,MATCH($A5291,Emp_Codes,0)),"NOT FOUND"))</f>
        <v/>
      </c>
      <c r="C5291" s="14" t="n"/>
      <c r="D5291" s="15" t="n"/>
      <c r="E5291" s="15" t="n"/>
      <c r="F5291" s="15" t="n"/>
      <c r="G5291" s="15" t="n"/>
      <c r="H5291" s="16">
        <f>IF($A5291="","",$D5291+IF($E5291="",0,$E5291)+IF($F5291="",0,$F5291)-IF($G5291="",0,$G5291))</f>
        <v/>
      </c>
      <c r="I5291" s="12" t="n"/>
      <c r="J5291" s="12" t="n"/>
      <c r="K5291" s="12" t="n"/>
      <c r="L5291" s="14" t="n"/>
      <c r="M5291" s="12" t="n"/>
      <c r="N5291" s="12" t="n"/>
      <c r="O5291" s="12" t="n"/>
    </row>
    <row r="5292">
      <c r="A5292" s="12" t="n"/>
      <c r="B5292" s="13">
        <f>IF($A5292="","",IFERROR(INDEX(Emp_Names,MATCH($A5292,Emp_Codes,0)),"NOT FOUND"))</f>
        <v/>
      </c>
      <c r="C5292" s="14" t="n"/>
      <c r="D5292" s="15" t="n"/>
      <c r="E5292" s="15" t="n"/>
      <c r="F5292" s="15" t="n"/>
      <c r="G5292" s="15" t="n"/>
      <c r="H5292" s="16">
        <f>IF($A5292="","",$D5292+IF($E5292="",0,$E5292)+IF($F5292="",0,$F5292)-IF($G5292="",0,$G5292))</f>
        <v/>
      </c>
      <c r="I5292" s="12" t="n"/>
      <c r="J5292" s="12" t="n"/>
      <c r="K5292" s="12" t="n"/>
      <c r="L5292" s="14" t="n"/>
      <c r="M5292" s="12" t="n"/>
      <c r="N5292" s="12" t="n"/>
      <c r="O5292" s="12" t="n"/>
    </row>
    <row r="5293">
      <c r="A5293" s="12" t="n"/>
      <c r="B5293" s="13">
        <f>IF($A5293="","",IFERROR(INDEX(Emp_Names,MATCH($A5293,Emp_Codes,0)),"NOT FOUND"))</f>
        <v/>
      </c>
      <c r="C5293" s="14" t="n"/>
      <c r="D5293" s="15" t="n"/>
      <c r="E5293" s="15" t="n"/>
      <c r="F5293" s="15" t="n"/>
      <c r="G5293" s="15" t="n"/>
      <c r="H5293" s="16">
        <f>IF($A5293="","",$D5293+IF($E5293="",0,$E5293)+IF($F5293="",0,$F5293)-IF($G5293="",0,$G5293))</f>
        <v/>
      </c>
      <c r="I5293" s="12" t="n"/>
      <c r="J5293" s="12" t="n"/>
      <c r="K5293" s="12" t="n"/>
      <c r="L5293" s="14" t="n"/>
      <c r="M5293" s="12" t="n"/>
      <c r="N5293" s="12" t="n"/>
      <c r="O5293" s="12" t="n"/>
    </row>
    <row r="5294">
      <c r="A5294" s="12" t="n"/>
      <c r="B5294" s="13">
        <f>IF($A5294="","",IFERROR(INDEX(Emp_Names,MATCH($A5294,Emp_Codes,0)),"NOT FOUND"))</f>
        <v/>
      </c>
      <c r="C5294" s="14" t="n"/>
      <c r="D5294" s="15" t="n"/>
      <c r="E5294" s="15" t="n"/>
      <c r="F5294" s="15" t="n"/>
      <c r="G5294" s="15" t="n"/>
      <c r="H5294" s="16">
        <f>IF($A5294="","",$D5294+IF($E5294="",0,$E5294)+IF($F5294="",0,$F5294)-IF($G5294="",0,$G5294))</f>
        <v/>
      </c>
      <c r="I5294" s="12" t="n"/>
      <c r="J5294" s="12" t="n"/>
      <c r="K5294" s="12" t="n"/>
      <c r="L5294" s="14" t="n"/>
      <c r="M5294" s="12" t="n"/>
      <c r="N5294" s="12" t="n"/>
      <c r="O5294" s="12" t="n"/>
    </row>
    <row r="5295">
      <c r="A5295" s="12" t="n"/>
      <c r="B5295" s="13">
        <f>IF($A5295="","",IFERROR(INDEX(Emp_Names,MATCH($A5295,Emp_Codes,0)),"NOT FOUND"))</f>
        <v/>
      </c>
      <c r="C5295" s="14" t="n"/>
      <c r="D5295" s="15" t="n"/>
      <c r="E5295" s="15" t="n"/>
      <c r="F5295" s="15" t="n"/>
      <c r="G5295" s="15" t="n"/>
      <c r="H5295" s="16">
        <f>IF($A5295="","",$D5295+IF($E5295="",0,$E5295)+IF($F5295="",0,$F5295)-IF($G5295="",0,$G5295))</f>
        <v/>
      </c>
      <c r="I5295" s="12" t="n"/>
      <c r="J5295" s="12" t="n"/>
      <c r="K5295" s="12" t="n"/>
      <c r="L5295" s="14" t="n"/>
      <c r="M5295" s="12" t="n"/>
      <c r="N5295" s="12" t="n"/>
      <c r="O5295" s="12" t="n"/>
    </row>
    <row r="5296">
      <c r="A5296" s="12" t="n"/>
      <c r="B5296" s="13">
        <f>IF($A5296="","",IFERROR(INDEX(Emp_Names,MATCH($A5296,Emp_Codes,0)),"NOT FOUND"))</f>
        <v/>
      </c>
      <c r="C5296" s="14" t="n"/>
      <c r="D5296" s="15" t="n"/>
      <c r="E5296" s="15" t="n"/>
      <c r="F5296" s="15" t="n"/>
      <c r="G5296" s="15" t="n"/>
      <c r="H5296" s="16">
        <f>IF($A5296="","",$D5296+IF($E5296="",0,$E5296)+IF($F5296="",0,$F5296)-IF($G5296="",0,$G5296))</f>
        <v/>
      </c>
      <c r="I5296" s="12" t="n"/>
      <c r="J5296" s="12" t="n"/>
      <c r="K5296" s="12" t="n"/>
      <c r="L5296" s="14" t="n"/>
      <c r="M5296" s="12" t="n"/>
      <c r="N5296" s="12" t="n"/>
      <c r="O5296" s="12" t="n"/>
    </row>
    <row r="5297">
      <c r="A5297" s="12" t="n"/>
      <c r="B5297" s="13">
        <f>IF($A5297="","",IFERROR(INDEX(Emp_Names,MATCH($A5297,Emp_Codes,0)),"NOT FOUND"))</f>
        <v/>
      </c>
      <c r="C5297" s="14" t="n"/>
      <c r="D5297" s="15" t="n"/>
      <c r="E5297" s="15" t="n"/>
      <c r="F5297" s="15" t="n"/>
      <c r="G5297" s="15" t="n"/>
      <c r="H5297" s="16">
        <f>IF($A5297="","",$D5297+IF($E5297="",0,$E5297)+IF($F5297="",0,$F5297)-IF($G5297="",0,$G5297))</f>
        <v/>
      </c>
      <c r="I5297" s="12" t="n"/>
      <c r="J5297" s="12" t="n"/>
      <c r="K5297" s="12" t="n"/>
      <c r="L5297" s="14" t="n"/>
      <c r="M5297" s="12" t="n"/>
      <c r="N5297" s="12" t="n"/>
      <c r="O5297" s="12" t="n"/>
    </row>
    <row r="5298">
      <c r="A5298" s="12" t="n"/>
      <c r="B5298" s="13">
        <f>IF($A5298="","",IFERROR(INDEX(Emp_Names,MATCH($A5298,Emp_Codes,0)),"NOT FOUND"))</f>
        <v/>
      </c>
      <c r="C5298" s="14" t="n"/>
      <c r="D5298" s="15" t="n"/>
      <c r="E5298" s="15" t="n"/>
      <c r="F5298" s="15" t="n"/>
      <c r="G5298" s="15" t="n"/>
      <c r="H5298" s="16">
        <f>IF($A5298="","",$D5298+IF($E5298="",0,$E5298)+IF($F5298="",0,$F5298)-IF($G5298="",0,$G5298))</f>
        <v/>
      </c>
      <c r="I5298" s="12" t="n"/>
      <c r="J5298" s="12" t="n"/>
      <c r="K5298" s="12" t="n"/>
      <c r="L5298" s="14" t="n"/>
      <c r="M5298" s="12" t="n"/>
      <c r="N5298" s="12" t="n"/>
      <c r="O5298" s="12" t="n"/>
    </row>
    <row r="5299">
      <c r="A5299" s="12" t="n"/>
      <c r="B5299" s="13">
        <f>IF($A5299="","",IFERROR(INDEX(Emp_Names,MATCH($A5299,Emp_Codes,0)),"NOT FOUND"))</f>
        <v/>
      </c>
      <c r="C5299" s="14" t="n"/>
      <c r="D5299" s="15" t="n"/>
      <c r="E5299" s="15" t="n"/>
      <c r="F5299" s="15" t="n"/>
      <c r="G5299" s="15" t="n"/>
      <c r="H5299" s="16">
        <f>IF($A5299="","",$D5299+IF($E5299="",0,$E5299)+IF($F5299="",0,$F5299)-IF($G5299="",0,$G5299))</f>
        <v/>
      </c>
      <c r="I5299" s="12" t="n"/>
      <c r="J5299" s="12" t="n"/>
      <c r="K5299" s="12" t="n"/>
      <c r="L5299" s="14" t="n"/>
      <c r="M5299" s="12" t="n"/>
      <c r="N5299" s="12" t="n"/>
      <c r="O5299" s="12" t="n"/>
    </row>
    <row r="5300">
      <c r="A5300" s="12" t="n"/>
      <c r="B5300" s="13">
        <f>IF($A5300="","",IFERROR(INDEX(Emp_Names,MATCH($A5300,Emp_Codes,0)),"NOT FOUND"))</f>
        <v/>
      </c>
      <c r="C5300" s="14" t="n"/>
      <c r="D5300" s="15" t="n"/>
      <c r="E5300" s="15" t="n"/>
      <c r="F5300" s="15" t="n"/>
      <c r="G5300" s="15" t="n"/>
      <c r="H5300" s="16">
        <f>IF($A5300="","",$D5300+IF($E5300="",0,$E5300)+IF($F5300="",0,$F5300)-IF($G5300="",0,$G5300))</f>
        <v/>
      </c>
      <c r="I5300" s="12" t="n"/>
      <c r="J5300" s="12" t="n"/>
      <c r="K5300" s="12" t="n"/>
      <c r="L5300" s="14" t="n"/>
      <c r="M5300" s="12" t="n"/>
      <c r="N5300" s="12" t="n"/>
      <c r="O5300" s="12" t="n"/>
    </row>
    <row r="5301">
      <c r="A5301" s="12" t="n"/>
      <c r="B5301" s="13">
        <f>IF($A5301="","",IFERROR(INDEX(Emp_Names,MATCH($A5301,Emp_Codes,0)),"NOT FOUND"))</f>
        <v/>
      </c>
      <c r="C5301" s="14" t="n"/>
      <c r="D5301" s="15" t="n"/>
      <c r="E5301" s="15" t="n"/>
      <c r="F5301" s="15" t="n"/>
      <c r="G5301" s="15" t="n"/>
      <c r="H5301" s="16">
        <f>IF($A5301="","",$D5301+IF($E5301="",0,$E5301)+IF($F5301="",0,$F5301)-IF($G5301="",0,$G5301))</f>
        <v/>
      </c>
      <c r="I5301" s="12" t="n"/>
      <c r="J5301" s="12" t="n"/>
      <c r="K5301" s="12" t="n"/>
      <c r="L5301" s="14" t="n"/>
      <c r="M5301" s="12" t="n"/>
      <c r="N5301" s="12" t="n"/>
      <c r="O5301" s="12" t="n"/>
    </row>
    <row r="5302">
      <c r="A5302" s="12" t="n"/>
      <c r="B5302" s="13">
        <f>IF($A5302="","",IFERROR(INDEX(Emp_Names,MATCH($A5302,Emp_Codes,0)),"NOT FOUND"))</f>
        <v/>
      </c>
      <c r="C5302" s="14" t="n"/>
      <c r="D5302" s="15" t="n"/>
      <c r="E5302" s="15" t="n"/>
      <c r="F5302" s="15" t="n"/>
      <c r="G5302" s="15" t="n"/>
      <c r="H5302" s="16">
        <f>IF($A5302="","",$D5302+IF($E5302="",0,$E5302)+IF($F5302="",0,$F5302)-IF($G5302="",0,$G5302))</f>
        <v/>
      </c>
      <c r="I5302" s="12" t="n"/>
      <c r="J5302" s="12" t="n"/>
      <c r="K5302" s="12" t="n"/>
      <c r="L5302" s="14" t="n"/>
      <c r="M5302" s="12" t="n"/>
      <c r="N5302" s="12" t="n"/>
      <c r="O5302" s="12" t="n"/>
    </row>
    <row r="5303">
      <c r="A5303" s="12" t="n"/>
      <c r="B5303" s="13">
        <f>IF($A5303="","",IFERROR(INDEX(Emp_Names,MATCH($A5303,Emp_Codes,0)),"NOT FOUND"))</f>
        <v/>
      </c>
      <c r="C5303" s="14" t="n"/>
      <c r="D5303" s="15" t="n"/>
      <c r="E5303" s="15" t="n"/>
      <c r="F5303" s="15" t="n"/>
      <c r="G5303" s="15" t="n"/>
      <c r="H5303" s="16">
        <f>IF($A5303="","",$D5303+IF($E5303="",0,$E5303)+IF($F5303="",0,$F5303)-IF($G5303="",0,$G5303))</f>
        <v/>
      </c>
      <c r="I5303" s="12" t="n"/>
      <c r="J5303" s="12" t="n"/>
      <c r="K5303" s="12" t="n"/>
      <c r="L5303" s="14" t="n"/>
      <c r="M5303" s="12" t="n"/>
      <c r="N5303" s="12" t="n"/>
      <c r="O5303" s="12" t="n"/>
    </row>
    <row r="5304">
      <c r="A5304" s="12" t="n"/>
      <c r="B5304" s="13">
        <f>IF($A5304="","",IFERROR(INDEX(Emp_Names,MATCH($A5304,Emp_Codes,0)),"NOT FOUND"))</f>
        <v/>
      </c>
      <c r="C5304" s="14" t="n"/>
      <c r="D5304" s="15" t="n"/>
      <c r="E5304" s="15" t="n"/>
      <c r="F5304" s="15" t="n"/>
      <c r="G5304" s="15" t="n"/>
      <c r="H5304" s="16">
        <f>IF($A5304="","",$D5304+IF($E5304="",0,$E5304)+IF($F5304="",0,$F5304)-IF($G5304="",0,$G5304))</f>
        <v/>
      </c>
      <c r="I5304" s="12" t="n"/>
      <c r="J5304" s="12" t="n"/>
      <c r="K5304" s="12" t="n"/>
      <c r="L5304" s="14" t="n"/>
      <c r="M5304" s="12" t="n"/>
      <c r="N5304" s="12" t="n"/>
      <c r="O5304" s="12" t="n"/>
    </row>
    <row r="5305">
      <c r="A5305" s="12" t="n"/>
      <c r="B5305" s="13">
        <f>IF($A5305="","",IFERROR(INDEX(Emp_Names,MATCH($A5305,Emp_Codes,0)),"NOT FOUND"))</f>
        <v/>
      </c>
      <c r="C5305" s="14" t="n"/>
      <c r="D5305" s="15" t="n"/>
      <c r="E5305" s="15" t="n"/>
      <c r="F5305" s="15" t="n"/>
      <c r="G5305" s="15" t="n"/>
      <c r="H5305" s="16">
        <f>IF($A5305="","",$D5305+IF($E5305="",0,$E5305)+IF($F5305="",0,$F5305)-IF($G5305="",0,$G5305))</f>
        <v/>
      </c>
      <c r="I5305" s="12" t="n"/>
      <c r="J5305" s="12" t="n"/>
      <c r="K5305" s="12" t="n"/>
      <c r="L5305" s="14" t="n"/>
      <c r="M5305" s="12" t="n"/>
      <c r="N5305" s="12" t="n"/>
      <c r="O5305" s="12" t="n"/>
    </row>
    <row r="5306">
      <c r="A5306" s="12" t="n"/>
      <c r="B5306" s="13">
        <f>IF($A5306="","",IFERROR(INDEX(Emp_Names,MATCH($A5306,Emp_Codes,0)),"NOT FOUND"))</f>
        <v/>
      </c>
      <c r="C5306" s="14" t="n"/>
      <c r="D5306" s="15" t="n"/>
      <c r="E5306" s="15" t="n"/>
      <c r="F5306" s="15" t="n"/>
      <c r="G5306" s="15" t="n"/>
      <c r="H5306" s="16">
        <f>IF($A5306="","",$D5306+IF($E5306="",0,$E5306)+IF($F5306="",0,$F5306)-IF($G5306="",0,$G5306))</f>
        <v/>
      </c>
      <c r="I5306" s="12" t="n"/>
      <c r="J5306" s="12" t="n"/>
      <c r="K5306" s="12" t="n"/>
      <c r="L5306" s="14" t="n"/>
      <c r="M5306" s="12" t="n"/>
      <c r="N5306" s="12" t="n"/>
      <c r="O5306" s="12" t="n"/>
    </row>
    <row r="5307">
      <c r="A5307" s="12" t="n"/>
      <c r="B5307" s="13">
        <f>IF($A5307="","",IFERROR(INDEX(Emp_Names,MATCH($A5307,Emp_Codes,0)),"NOT FOUND"))</f>
        <v/>
      </c>
      <c r="C5307" s="14" t="n"/>
      <c r="D5307" s="15" t="n"/>
      <c r="E5307" s="15" t="n"/>
      <c r="F5307" s="15" t="n"/>
      <c r="G5307" s="15" t="n"/>
      <c r="H5307" s="16">
        <f>IF($A5307="","",$D5307+IF($E5307="",0,$E5307)+IF($F5307="",0,$F5307)-IF($G5307="",0,$G5307))</f>
        <v/>
      </c>
      <c r="I5307" s="12" t="n"/>
      <c r="J5307" s="12" t="n"/>
      <c r="K5307" s="12" t="n"/>
      <c r="L5307" s="14" t="n"/>
      <c r="M5307" s="12" t="n"/>
      <c r="N5307" s="12" t="n"/>
      <c r="O5307" s="12" t="n"/>
    </row>
    <row r="5308">
      <c r="A5308" s="12" t="n"/>
      <c r="B5308" s="13">
        <f>IF($A5308="","",IFERROR(INDEX(Emp_Names,MATCH($A5308,Emp_Codes,0)),"NOT FOUND"))</f>
        <v/>
      </c>
      <c r="C5308" s="14" t="n"/>
      <c r="D5308" s="15" t="n"/>
      <c r="E5308" s="15" t="n"/>
      <c r="F5308" s="15" t="n"/>
      <c r="G5308" s="15" t="n"/>
      <c r="H5308" s="16">
        <f>IF($A5308="","",$D5308+IF($E5308="",0,$E5308)+IF($F5308="",0,$F5308)-IF($G5308="",0,$G5308))</f>
        <v/>
      </c>
      <c r="I5308" s="12" t="n"/>
      <c r="J5308" s="12" t="n"/>
      <c r="K5308" s="12" t="n"/>
      <c r="L5308" s="14" t="n"/>
      <c r="M5308" s="12" t="n"/>
      <c r="N5308" s="12" t="n"/>
      <c r="O5308" s="12" t="n"/>
    </row>
    <row r="5309">
      <c r="A5309" s="12" t="n"/>
      <c r="B5309" s="13">
        <f>IF($A5309="","",IFERROR(INDEX(Emp_Names,MATCH($A5309,Emp_Codes,0)),"NOT FOUND"))</f>
        <v/>
      </c>
      <c r="C5309" s="14" t="n"/>
      <c r="D5309" s="15" t="n"/>
      <c r="E5309" s="15" t="n"/>
      <c r="F5309" s="15" t="n"/>
      <c r="G5309" s="15" t="n"/>
      <c r="H5309" s="16">
        <f>IF($A5309="","",$D5309+IF($E5309="",0,$E5309)+IF($F5309="",0,$F5309)-IF($G5309="",0,$G5309))</f>
        <v/>
      </c>
      <c r="I5309" s="12" t="n"/>
      <c r="J5309" s="12" t="n"/>
      <c r="K5309" s="12" t="n"/>
      <c r="L5309" s="14" t="n"/>
      <c r="M5309" s="12" t="n"/>
      <c r="N5309" s="12" t="n"/>
      <c r="O5309" s="12" t="n"/>
    </row>
    <row r="5310">
      <c r="A5310" s="12" t="n"/>
      <c r="B5310" s="13">
        <f>IF($A5310="","",IFERROR(INDEX(Emp_Names,MATCH($A5310,Emp_Codes,0)),"NOT FOUND"))</f>
        <v/>
      </c>
      <c r="C5310" s="14" t="n"/>
      <c r="D5310" s="15" t="n"/>
      <c r="E5310" s="15" t="n"/>
      <c r="F5310" s="15" t="n"/>
      <c r="G5310" s="15" t="n"/>
      <c r="H5310" s="16">
        <f>IF($A5310="","",$D5310+IF($E5310="",0,$E5310)+IF($F5310="",0,$F5310)-IF($G5310="",0,$G5310))</f>
        <v/>
      </c>
      <c r="I5310" s="12" t="n"/>
      <c r="J5310" s="12" t="n"/>
      <c r="K5310" s="12" t="n"/>
      <c r="L5310" s="14" t="n"/>
      <c r="M5310" s="12" t="n"/>
      <c r="N5310" s="12" t="n"/>
      <c r="O5310" s="12" t="n"/>
    </row>
    <row r="5311">
      <c r="A5311" s="12" t="n"/>
      <c r="B5311" s="13">
        <f>IF($A5311="","",IFERROR(INDEX(Emp_Names,MATCH($A5311,Emp_Codes,0)),"NOT FOUND"))</f>
        <v/>
      </c>
      <c r="C5311" s="14" t="n"/>
      <c r="D5311" s="15" t="n"/>
      <c r="E5311" s="15" t="n"/>
      <c r="F5311" s="15" t="n"/>
      <c r="G5311" s="15" t="n"/>
      <c r="H5311" s="16">
        <f>IF($A5311="","",$D5311+IF($E5311="",0,$E5311)+IF($F5311="",0,$F5311)-IF($G5311="",0,$G5311))</f>
        <v/>
      </c>
      <c r="I5311" s="12" t="n"/>
      <c r="J5311" s="12" t="n"/>
      <c r="K5311" s="12" t="n"/>
      <c r="L5311" s="14" t="n"/>
      <c r="M5311" s="12" t="n"/>
      <c r="N5311" s="12" t="n"/>
      <c r="O5311" s="12" t="n"/>
    </row>
    <row r="5312">
      <c r="A5312" s="12" t="n"/>
      <c r="B5312" s="13">
        <f>IF($A5312="","",IFERROR(INDEX(Emp_Names,MATCH($A5312,Emp_Codes,0)),"NOT FOUND"))</f>
        <v/>
      </c>
      <c r="C5312" s="14" t="n"/>
      <c r="D5312" s="15" t="n"/>
      <c r="E5312" s="15" t="n"/>
      <c r="F5312" s="15" t="n"/>
      <c r="G5312" s="15" t="n"/>
      <c r="H5312" s="16">
        <f>IF($A5312="","",$D5312+IF($E5312="",0,$E5312)+IF($F5312="",0,$F5312)-IF($G5312="",0,$G5312))</f>
        <v/>
      </c>
      <c r="I5312" s="12" t="n"/>
      <c r="J5312" s="12" t="n"/>
      <c r="K5312" s="12" t="n"/>
      <c r="L5312" s="14" t="n"/>
      <c r="M5312" s="12" t="n"/>
      <c r="N5312" s="12" t="n"/>
      <c r="O5312" s="12" t="n"/>
    </row>
    <row r="5313">
      <c r="A5313" s="12" t="n"/>
      <c r="B5313" s="13">
        <f>IF($A5313="","",IFERROR(INDEX(Emp_Names,MATCH($A5313,Emp_Codes,0)),"NOT FOUND"))</f>
        <v/>
      </c>
      <c r="C5313" s="14" t="n"/>
      <c r="D5313" s="15" t="n"/>
      <c r="E5313" s="15" t="n"/>
      <c r="F5313" s="15" t="n"/>
      <c r="G5313" s="15" t="n"/>
      <c r="H5313" s="16">
        <f>IF($A5313="","",$D5313+IF($E5313="",0,$E5313)+IF($F5313="",0,$F5313)-IF($G5313="",0,$G5313))</f>
        <v/>
      </c>
      <c r="I5313" s="12" t="n"/>
      <c r="J5313" s="12" t="n"/>
      <c r="K5313" s="12" t="n"/>
      <c r="L5313" s="14" t="n"/>
      <c r="M5313" s="12" t="n"/>
      <c r="N5313" s="12" t="n"/>
      <c r="O5313" s="12" t="n"/>
    </row>
    <row r="5314">
      <c r="A5314" s="12" t="n"/>
      <c r="B5314" s="13">
        <f>IF($A5314="","",IFERROR(INDEX(Emp_Names,MATCH($A5314,Emp_Codes,0)),"NOT FOUND"))</f>
        <v/>
      </c>
      <c r="C5314" s="14" t="n"/>
      <c r="D5314" s="15" t="n"/>
      <c r="E5314" s="15" t="n"/>
      <c r="F5314" s="15" t="n"/>
      <c r="G5314" s="15" t="n"/>
      <c r="H5314" s="16">
        <f>IF($A5314="","",$D5314+IF($E5314="",0,$E5314)+IF($F5314="",0,$F5314)-IF($G5314="",0,$G5314))</f>
        <v/>
      </c>
      <c r="I5314" s="12" t="n"/>
      <c r="J5314" s="12" t="n"/>
      <c r="K5314" s="12" t="n"/>
      <c r="L5314" s="14" t="n"/>
      <c r="M5314" s="12" t="n"/>
      <c r="N5314" s="12" t="n"/>
      <c r="O5314" s="12" t="n"/>
    </row>
    <row r="5315">
      <c r="A5315" s="12" t="n"/>
      <c r="B5315" s="13">
        <f>IF($A5315="","",IFERROR(INDEX(Emp_Names,MATCH($A5315,Emp_Codes,0)),"NOT FOUND"))</f>
        <v/>
      </c>
      <c r="C5315" s="14" t="n"/>
      <c r="D5315" s="15" t="n"/>
      <c r="E5315" s="15" t="n"/>
      <c r="F5315" s="15" t="n"/>
      <c r="G5315" s="15" t="n"/>
      <c r="H5315" s="16">
        <f>IF($A5315="","",$D5315+IF($E5315="",0,$E5315)+IF($F5315="",0,$F5315)-IF($G5315="",0,$G5315))</f>
        <v/>
      </c>
      <c r="I5315" s="12" t="n"/>
      <c r="J5315" s="12" t="n"/>
      <c r="K5315" s="12" t="n"/>
      <c r="L5315" s="14" t="n"/>
      <c r="M5315" s="12" t="n"/>
      <c r="N5315" s="12" t="n"/>
      <c r="O5315" s="12" t="n"/>
    </row>
    <row r="5316">
      <c r="A5316" s="12" t="n"/>
      <c r="B5316" s="13">
        <f>IF($A5316="","",IFERROR(INDEX(Emp_Names,MATCH($A5316,Emp_Codes,0)),"NOT FOUND"))</f>
        <v/>
      </c>
      <c r="C5316" s="14" t="n"/>
      <c r="D5316" s="15" t="n"/>
      <c r="E5316" s="15" t="n"/>
      <c r="F5316" s="15" t="n"/>
      <c r="G5316" s="15" t="n"/>
      <c r="H5316" s="16">
        <f>IF($A5316="","",$D5316+IF($E5316="",0,$E5316)+IF($F5316="",0,$F5316)-IF($G5316="",0,$G5316))</f>
        <v/>
      </c>
      <c r="I5316" s="12" t="n"/>
      <c r="J5316" s="12" t="n"/>
      <c r="K5316" s="12" t="n"/>
      <c r="L5316" s="14" t="n"/>
      <c r="M5316" s="12" t="n"/>
      <c r="N5316" s="12" t="n"/>
      <c r="O5316" s="12" t="n"/>
    </row>
    <row r="5317">
      <c r="A5317" s="12" t="n"/>
      <c r="B5317" s="13">
        <f>IF($A5317="","",IFERROR(INDEX(Emp_Names,MATCH($A5317,Emp_Codes,0)),"NOT FOUND"))</f>
        <v/>
      </c>
      <c r="C5317" s="14" t="n"/>
      <c r="D5317" s="15" t="n"/>
      <c r="E5317" s="15" t="n"/>
      <c r="F5317" s="15" t="n"/>
      <c r="G5317" s="15" t="n"/>
      <c r="H5317" s="16">
        <f>IF($A5317="","",$D5317+IF($E5317="",0,$E5317)+IF($F5317="",0,$F5317)-IF($G5317="",0,$G5317))</f>
        <v/>
      </c>
      <c r="I5317" s="12" t="n"/>
      <c r="J5317" s="12" t="n"/>
      <c r="K5317" s="12" t="n"/>
      <c r="L5317" s="14" t="n"/>
      <c r="M5317" s="12" t="n"/>
      <c r="N5317" s="12" t="n"/>
      <c r="O5317" s="12" t="n"/>
    </row>
    <row r="5318">
      <c r="A5318" s="12" t="n"/>
      <c r="B5318" s="13">
        <f>IF($A5318="","",IFERROR(INDEX(Emp_Names,MATCH($A5318,Emp_Codes,0)),"NOT FOUND"))</f>
        <v/>
      </c>
      <c r="C5318" s="14" t="n"/>
      <c r="D5318" s="15" t="n"/>
      <c r="E5318" s="15" t="n"/>
      <c r="F5318" s="15" t="n"/>
      <c r="G5318" s="15" t="n"/>
      <c r="H5318" s="16">
        <f>IF($A5318="","",$D5318+IF($E5318="",0,$E5318)+IF($F5318="",0,$F5318)-IF($G5318="",0,$G5318))</f>
        <v/>
      </c>
      <c r="I5318" s="12" t="n"/>
      <c r="J5318" s="12" t="n"/>
      <c r="K5318" s="12" t="n"/>
      <c r="L5318" s="14" t="n"/>
      <c r="M5318" s="12" t="n"/>
      <c r="N5318" s="12" t="n"/>
      <c r="O5318" s="12" t="n"/>
    </row>
    <row r="5319">
      <c r="A5319" s="12" t="n"/>
      <c r="B5319" s="13">
        <f>IF($A5319="","",IFERROR(INDEX(Emp_Names,MATCH($A5319,Emp_Codes,0)),"NOT FOUND"))</f>
        <v/>
      </c>
      <c r="C5319" s="14" t="n"/>
      <c r="D5319" s="15" t="n"/>
      <c r="E5319" s="15" t="n"/>
      <c r="F5319" s="15" t="n"/>
      <c r="G5319" s="15" t="n"/>
      <c r="H5319" s="16">
        <f>IF($A5319="","",$D5319+IF($E5319="",0,$E5319)+IF($F5319="",0,$F5319)-IF($G5319="",0,$G5319))</f>
        <v/>
      </c>
      <c r="I5319" s="12" t="n"/>
      <c r="J5319" s="12" t="n"/>
      <c r="K5319" s="12" t="n"/>
      <c r="L5319" s="14" t="n"/>
      <c r="M5319" s="12" t="n"/>
      <c r="N5319" s="12" t="n"/>
      <c r="O5319" s="12" t="n"/>
    </row>
    <row r="5320">
      <c r="A5320" s="12" t="n"/>
      <c r="B5320" s="13">
        <f>IF($A5320="","",IFERROR(INDEX(Emp_Names,MATCH($A5320,Emp_Codes,0)),"NOT FOUND"))</f>
        <v/>
      </c>
      <c r="C5320" s="14" t="n"/>
      <c r="D5320" s="15" t="n"/>
      <c r="E5320" s="15" t="n"/>
      <c r="F5320" s="15" t="n"/>
      <c r="G5320" s="15" t="n"/>
      <c r="H5320" s="16">
        <f>IF($A5320="","",$D5320+IF($E5320="",0,$E5320)+IF($F5320="",0,$F5320)-IF($G5320="",0,$G5320))</f>
        <v/>
      </c>
      <c r="I5320" s="12" t="n"/>
      <c r="J5320" s="12" t="n"/>
      <c r="K5320" s="12" t="n"/>
      <c r="L5320" s="14" t="n"/>
      <c r="M5320" s="12" t="n"/>
      <c r="N5320" s="12" t="n"/>
      <c r="O5320" s="12" t="n"/>
    </row>
    <row r="5321">
      <c r="A5321" s="12" t="n"/>
      <c r="B5321" s="13">
        <f>IF($A5321="","",IFERROR(INDEX(Emp_Names,MATCH($A5321,Emp_Codes,0)),"NOT FOUND"))</f>
        <v/>
      </c>
      <c r="C5321" s="14" t="n"/>
      <c r="D5321" s="15" t="n"/>
      <c r="E5321" s="15" t="n"/>
      <c r="F5321" s="15" t="n"/>
      <c r="G5321" s="15" t="n"/>
      <c r="H5321" s="16">
        <f>IF($A5321="","",$D5321+IF($E5321="",0,$E5321)+IF($F5321="",0,$F5321)-IF($G5321="",0,$G5321))</f>
        <v/>
      </c>
      <c r="I5321" s="12" t="n"/>
      <c r="J5321" s="12" t="n"/>
      <c r="K5321" s="12" t="n"/>
      <c r="L5321" s="14" t="n"/>
      <c r="M5321" s="12" t="n"/>
      <c r="N5321" s="12" t="n"/>
      <c r="O5321" s="12" t="n"/>
    </row>
    <row r="5322">
      <c r="A5322" s="12" t="n"/>
      <c r="B5322" s="13">
        <f>IF($A5322="","",IFERROR(INDEX(Emp_Names,MATCH($A5322,Emp_Codes,0)),"NOT FOUND"))</f>
        <v/>
      </c>
      <c r="C5322" s="14" t="n"/>
      <c r="D5322" s="15" t="n"/>
      <c r="E5322" s="15" t="n"/>
      <c r="F5322" s="15" t="n"/>
      <c r="G5322" s="15" t="n"/>
      <c r="H5322" s="16">
        <f>IF($A5322="","",$D5322+IF($E5322="",0,$E5322)+IF($F5322="",0,$F5322)-IF($G5322="",0,$G5322))</f>
        <v/>
      </c>
      <c r="I5322" s="12" t="n"/>
      <c r="J5322" s="12" t="n"/>
      <c r="K5322" s="12" t="n"/>
      <c r="L5322" s="14" t="n"/>
      <c r="M5322" s="12" t="n"/>
      <c r="N5322" s="12" t="n"/>
      <c r="O5322" s="12" t="n"/>
    </row>
    <row r="5323">
      <c r="A5323" s="12" t="n"/>
      <c r="B5323" s="13">
        <f>IF($A5323="","",IFERROR(INDEX(Emp_Names,MATCH($A5323,Emp_Codes,0)),"NOT FOUND"))</f>
        <v/>
      </c>
      <c r="C5323" s="14" t="n"/>
      <c r="D5323" s="15" t="n"/>
      <c r="E5323" s="15" t="n"/>
      <c r="F5323" s="15" t="n"/>
      <c r="G5323" s="15" t="n"/>
      <c r="H5323" s="16">
        <f>IF($A5323="","",$D5323+IF($E5323="",0,$E5323)+IF($F5323="",0,$F5323)-IF($G5323="",0,$G5323))</f>
        <v/>
      </c>
      <c r="I5323" s="12" t="n"/>
      <c r="J5323" s="12" t="n"/>
      <c r="K5323" s="12" t="n"/>
      <c r="L5323" s="14" t="n"/>
      <c r="M5323" s="12" t="n"/>
      <c r="N5323" s="12" t="n"/>
      <c r="O5323" s="12" t="n"/>
    </row>
    <row r="5324">
      <c r="A5324" s="12" t="n"/>
      <c r="B5324" s="13">
        <f>IF($A5324="","",IFERROR(INDEX(Emp_Names,MATCH($A5324,Emp_Codes,0)),"NOT FOUND"))</f>
        <v/>
      </c>
      <c r="C5324" s="14" t="n"/>
      <c r="D5324" s="15" t="n"/>
      <c r="E5324" s="15" t="n"/>
      <c r="F5324" s="15" t="n"/>
      <c r="G5324" s="15" t="n"/>
      <c r="H5324" s="16">
        <f>IF($A5324="","",$D5324+IF($E5324="",0,$E5324)+IF($F5324="",0,$F5324)-IF($G5324="",0,$G5324))</f>
        <v/>
      </c>
      <c r="I5324" s="12" t="n"/>
      <c r="J5324" s="12" t="n"/>
      <c r="K5324" s="12" t="n"/>
      <c r="L5324" s="14" t="n"/>
      <c r="M5324" s="12" t="n"/>
      <c r="N5324" s="12" t="n"/>
      <c r="O5324" s="12" t="n"/>
    </row>
    <row r="5325">
      <c r="A5325" s="12" t="n"/>
      <c r="B5325" s="13">
        <f>IF($A5325="","",IFERROR(INDEX(Emp_Names,MATCH($A5325,Emp_Codes,0)),"NOT FOUND"))</f>
        <v/>
      </c>
      <c r="C5325" s="14" t="n"/>
      <c r="D5325" s="15" t="n"/>
      <c r="E5325" s="15" t="n"/>
      <c r="F5325" s="15" t="n"/>
      <c r="G5325" s="15" t="n"/>
      <c r="H5325" s="16">
        <f>IF($A5325="","",$D5325+IF($E5325="",0,$E5325)+IF($F5325="",0,$F5325)-IF($G5325="",0,$G5325))</f>
        <v/>
      </c>
      <c r="I5325" s="12" t="n"/>
      <c r="J5325" s="12" t="n"/>
      <c r="K5325" s="12" t="n"/>
      <c r="L5325" s="14" t="n"/>
      <c r="M5325" s="12" t="n"/>
      <c r="N5325" s="12" t="n"/>
      <c r="O5325" s="12" t="n"/>
    </row>
    <row r="5326">
      <c r="A5326" s="12" t="n"/>
      <c r="B5326" s="13">
        <f>IF($A5326="","",IFERROR(INDEX(Emp_Names,MATCH($A5326,Emp_Codes,0)),"NOT FOUND"))</f>
        <v/>
      </c>
      <c r="C5326" s="14" t="n"/>
      <c r="D5326" s="15" t="n"/>
      <c r="E5326" s="15" t="n"/>
      <c r="F5326" s="15" t="n"/>
      <c r="G5326" s="15" t="n"/>
      <c r="H5326" s="16">
        <f>IF($A5326="","",$D5326+IF($E5326="",0,$E5326)+IF($F5326="",0,$F5326)-IF($G5326="",0,$G5326))</f>
        <v/>
      </c>
      <c r="I5326" s="12" t="n"/>
      <c r="J5326" s="12" t="n"/>
      <c r="K5326" s="12" t="n"/>
      <c r="L5326" s="14" t="n"/>
      <c r="M5326" s="12" t="n"/>
      <c r="N5326" s="12" t="n"/>
      <c r="O5326" s="12" t="n"/>
    </row>
    <row r="5327">
      <c r="A5327" s="12" t="n"/>
      <c r="B5327" s="13">
        <f>IF($A5327="","",IFERROR(INDEX(Emp_Names,MATCH($A5327,Emp_Codes,0)),"NOT FOUND"))</f>
        <v/>
      </c>
      <c r="C5327" s="14" t="n"/>
      <c r="D5327" s="15" t="n"/>
      <c r="E5327" s="15" t="n"/>
      <c r="F5327" s="15" t="n"/>
      <c r="G5327" s="15" t="n"/>
      <c r="H5327" s="16">
        <f>IF($A5327="","",$D5327+IF($E5327="",0,$E5327)+IF($F5327="",0,$F5327)-IF($G5327="",0,$G5327))</f>
        <v/>
      </c>
      <c r="I5327" s="12" t="n"/>
      <c r="J5327" s="12" t="n"/>
      <c r="K5327" s="12" t="n"/>
      <c r="L5327" s="14" t="n"/>
      <c r="M5327" s="12" t="n"/>
      <c r="N5327" s="12" t="n"/>
      <c r="O5327" s="12" t="n"/>
    </row>
    <row r="5328">
      <c r="A5328" s="12" t="n"/>
      <c r="B5328" s="13">
        <f>IF($A5328="","",IFERROR(INDEX(Emp_Names,MATCH($A5328,Emp_Codes,0)),"NOT FOUND"))</f>
        <v/>
      </c>
      <c r="C5328" s="14" t="n"/>
      <c r="D5328" s="15" t="n"/>
      <c r="E5328" s="15" t="n"/>
      <c r="F5328" s="15" t="n"/>
      <c r="G5328" s="15" t="n"/>
      <c r="H5328" s="16">
        <f>IF($A5328="","",$D5328+IF($E5328="",0,$E5328)+IF($F5328="",0,$F5328)-IF($G5328="",0,$G5328))</f>
        <v/>
      </c>
      <c r="I5328" s="12" t="n"/>
      <c r="J5328" s="12" t="n"/>
      <c r="K5328" s="12" t="n"/>
      <c r="L5328" s="14" t="n"/>
      <c r="M5328" s="12" t="n"/>
      <c r="N5328" s="12" t="n"/>
      <c r="O5328" s="12" t="n"/>
    </row>
    <row r="5329">
      <c r="A5329" s="12" t="n"/>
      <c r="B5329" s="13">
        <f>IF($A5329="","",IFERROR(INDEX(Emp_Names,MATCH($A5329,Emp_Codes,0)),"NOT FOUND"))</f>
        <v/>
      </c>
      <c r="C5329" s="14" t="n"/>
      <c r="D5329" s="15" t="n"/>
      <c r="E5329" s="15" t="n"/>
      <c r="F5329" s="15" t="n"/>
      <c r="G5329" s="15" t="n"/>
      <c r="H5329" s="16">
        <f>IF($A5329="","",$D5329+IF($E5329="",0,$E5329)+IF($F5329="",0,$F5329)-IF($G5329="",0,$G5329))</f>
        <v/>
      </c>
      <c r="I5329" s="12" t="n"/>
      <c r="J5329" s="12" t="n"/>
      <c r="K5329" s="12" t="n"/>
      <c r="L5329" s="14" t="n"/>
      <c r="M5329" s="12" t="n"/>
      <c r="N5329" s="12" t="n"/>
      <c r="O5329" s="12" t="n"/>
    </row>
    <row r="5330">
      <c r="A5330" s="12" t="n"/>
      <c r="B5330" s="13">
        <f>IF($A5330="","",IFERROR(INDEX(Emp_Names,MATCH($A5330,Emp_Codes,0)),"NOT FOUND"))</f>
        <v/>
      </c>
      <c r="C5330" s="14" t="n"/>
      <c r="D5330" s="15" t="n"/>
      <c r="E5330" s="15" t="n"/>
      <c r="F5330" s="15" t="n"/>
      <c r="G5330" s="15" t="n"/>
      <c r="H5330" s="16">
        <f>IF($A5330="","",$D5330+IF($E5330="",0,$E5330)+IF($F5330="",0,$F5330)-IF($G5330="",0,$G5330))</f>
        <v/>
      </c>
      <c r="I5330" s="12" t="n"/>
      <c r="J5330" s="12" t="n"/>
      <c r="K5330" s="12" t="n"/>
      <c r="L5330" s="14" t="n"/>
      <c r="M5330" s="12" t="n"/>
      <c r="N5330" s="12" t="n"/>
      <c r="O5330" s="12" t="n"/>
    </row>
    <row r="5331">
      <c r="A5331" s="12" t="n"/>
      <c r="B5331" s="13">
        <f>IF($A5331="","",IFERROR(INDEX(Emp_Names,MATCH($A5331,Emp_Codes,0)),"NOT FOUND"))</f>
        <v/>
      </c>
      <c r="C5331" s="14" t="n"/>
      <c r="D5331" s="15" t="n"/>
      <c r="E5331" s="15" t="n"/>
      <c r="F5331" s="15" t="n"/>
      <c r="G5331" s="15" t="n"/>
      <c r="H5331" s="16">
        <f>IF($A5331="","",$D5331+IF($E5331="",0,$E5331)+IF($F5331="",0,$F5331)-IF($G5331="",0,$G5331))</f>
        <v/>
      </c>
      <c r="I5331" s="12" t="n"/>
      <c r="J5331" s="12" t="n"/>
      <c r="K5331" s="12" t="n"/>
      <c r="L5331" s="14" t="n"/>
      <c r="M5331" s="12" t="n"/>
      <c r="N5331" s="12" t="n"/>
      <c r="O5331" s="12" t="n"/>
    </row>
    <row r="5332">
      <c r="A5332" s="12" t="n"/>
      <c r="B5332" s="13">
        <f>IF($A5332="","",IFERROR(INDEX(Emp_Names,MATCH($A5332,Emp_Codes,0)),"NOT FOUND"))</f>
        <v/>
      </c>
      <c r="C5332" s="14" t="n"/>
      <c r="D5332" s="15" t="n"/>
      <c r="E5332" s="15" t="n"/>
      <c r="F5332" s="15" t="n"/>
      <c r="G5332" s="15" t="n"/>
      <c r="H5332" s="16">
        <f>IF($A5332="","",$D5332+IF($E5332="",0,$E5332)+IF($F5332="",0,$F5332)-IF($G5332="",0,$G5332))</f>
        <v/>
      </c>
      <c r="I5332" s="12" t="n"/>
      <c r="J5332" s="12" t="n"/>
      <c r="K5332" s="12" t="n"/>
      <c r="L5332" s="14" t="n"/>
      <c r="M5332" s="12" t="n"/>
      <c r="N5332" s="12" t="n"/>
      <c r="O5332" s="12" t="n"/>
    </row>
    <row r="5333">
      <c r="A5333" s="12" t="n"/>
      <c r="B5333" s="13">
        <f>IF($A5333="","",IFERROR(INDEX(Emp_Names,MATCH($A5333,Emp_Codes,0)),"NOT FOUND"))</f>
        <v/>
      </c>
      <c r="C5333" s="14" t="n"/>
      <c r="D5333" s="15" t="n"/>
      <c r="E5333" s="15" t="n"/>
      <c r="F5333" s="15" t="n"/>
      <c r="G5333" s="15" t="n"/>
      <c r="H5333" s="16">
        <f>IF($A5333="","",$D5333+IF($E5333="",0,$E5333)+IF($F5333="",0,$F5333)-IF($G5333="",0,$G5333))</f>
        <v/>
      </c>
      <c r="I5333" s="12" t="n"/>
      <c r="J5333" s="12" t="n"/>
      <c r="K5333" s="12" t="n"/>
      <c r="L5333" s="14" t="n"/>
      <c r="M5333" s="12" t="n"/>
      <c r="N5333" s="12" t="n"/>
      <c r="O5333" s="12" t="n"/>
    </row>
    <row r="5334">
      <c r="A5334" s="12" t="n"/>
      <c r="B5334" s="13">
        <f>IF($A5334="","",IFERROR(INDEX(Emp_Names,MATCH($A5334,Emp_Codes,0)),"NOT FOUND"))</f>
        <v/>
      </c>
      <c r="C5334" s="14" t="n"/>
      <c r="D5334" s="15" t="n"/>
      <c r="E5334" s="15" t="n"/>
      <c r="F5334" s="15" t="n"/>
      <c r="G5334" s="15" t="n"/>
      <c r="H5334" s="16">
        <f>IF($A5334="","",$D5334+IF($E5334="",0,$E5334)+IF($F5334="",0,$F5334)-IF($G5334="",0,$G5334))</f>
        <v/>
      </c>
      <c r="I5334" s="12" t="n"/>
      <c r="J5334" s="12" t="n"/>
      <c r="K5334" s="12" t="n"/>
      <c r="L5334" s="14" t="n"/>
      <c r="M5334" s="12" t="n"/>
      <c r="N5334" s="12" t="n"/>
      <c r="O5334" s="12" t="n"/>
    </row>
    <row r="5335">
      <c r="A5335" s="12" t="n"/>
      <c r="B5335" s="13">
        <f>IF($A5335="","",IFERROR(INDEX(Emp_Names,MATCH($A5335,Emp_Codes,0)),"NOT FOUND"))</f>
        <v/>
      </c>
      <c r="C5335" s="14" t="n"/>
      <c r="D5335" s="15" t="n"/>
      <c r="E5335" s="15" t="n"/>
      <c r="F5335" s="15" t="n"/>
      <c r="G5335" s="15" t="n"/>
      <c r="H5335" s="16">
        <f>IF($A5335="","",$D5335+IF($E5335="",0,$E5335)+IF($F5335="",0,$F5335)-IF($G5335="",0,$G5335))</f>
        <v/>
      </c>
      <c r="I5335" s="12" t="n"/>
      <c r="J5335" s="12" t="n"/>
      <c r="K5335" s="12" t="n"/>
      <c r="L5335" s="14" t="n"/>
      <c r="M5335" s="12" t="n"/>
      <c r="N5335" s="12" t="n"/>
      <c r="O5335" s="12" t="n"/>
    </row>
    <row r="5336">
      <c r="A5336" s="12" t="n"/>
      <c r="B5336" s="13">
        <f>IF($A5336="","",IFERROR(INDEX(Emp_Names,MATCH($A5336,Emp_Codes,0)),"NOT FOUND"))</f>
        <v/>
      </c>
      <c r="C5336" s="14" t="n"/>
      <c r="D5336" s="15" t="n"/>
      <c r="E5336" s="15" t="n"/>
      <c r="F5336" s="15" t="n"/>
      <c r="G5336" s="15" t="n"/>
      <c r="H5336" s="16">
        <f>IF($A5336="","",$D5336+IF($E5336="",0,$E5336)+IF($F5336="",0,$F5336)-IF($G5336="",0,$G5336))</f>
        <v/>
      </c>
      <c r="I5336" s="12" t="n"/>
      <c r="J5336" s="12" t="n"/>
      <c r="K5336" s="12" t="n"/>
      <c r="L5336" s="14" t="n"/>
      <c r="M5336" s="12" t="n"/>
      <c r="N5336" s="12" t="n"/>
      <c r="O5336" s="12" t="n"/>
    </row>
    <row r="5337">
      <c r="A5337" s="12" t="n"/>
      <c r="B5337" s="13">
        <f>IF($A5337="","",IFERROR(INDEX(Emp_Names,MATCH($A5337,Emp_Codes,0)),"NOT FOUND"))</f>
        <v/>
      </c>
      <c r="C5337" s="14" t="n"/>
      <c r="D5337" s="15" t="n"/>
      <c r="E5337" s="15" t="n"/>
      <c r="F5337" s="15" t="n"/>
      <c r="G5337" s="15" t="n"/>
      <c r="H5337" s="16">
        <f>IF($A5337="","",$D5337+IF($E5337="",0,$E5337)+IF($F5337="",0,$F5337)-IF($G5337="",0,$G5337))</f>
        <v/>
      </c>
      <c r="I5337" s="12" t="n"/>
      <c r="J5337" s="12" t="n"/>
      <c r="K5337" s="12" t="n"/>
      <c r="L5337" s="14" t="n"/>
      <c r="M5337" s="12" t="n"/>
      <c r="N5337" s="12" t="n"/>
      <c r="O5337" s="12" t="n"/>
    </row>
    <row r="5338">
      <c r="A5338" s="12" t="n"/>
      <c r="B5338" s="13">
        <f>IF($A5338="","",IFERROR(INDEX(Emp_Names,MATCH($A5338,Emp_Codes,0)),"NOT FOUND"))</f>
        <v/>
      </c>
      <c r="C5338" s="14" t="n"/>
      <c r="D5338" s="15" t="n"/>
      <c r="E5338" s="15" t="n"/>
      <c r="F5338" s="15" t="n"/>
      <c r="G5338" s="15" t="n"/>
      <c r="H5338" s="16">
        <f>IF($A5338="","",$D5338+IF($E5338="",0,$E5338)+IF($F5338="",0,$F5338)-IF($G5338="",0,$G5338))</f>
        <v/>
      </c>
      <c r="I5338" s="12" t="n"/>
      <c r="J5338" s="12" t="n"/>
      <c r="K5338" s="12" t="n"/>
      <c r="L5338" s="14" t="n"/>
      <c r="M5338" s="12" t="n"/>
      <c r="N5338" s="12" t="n"/>
      <c r="O5338" s="12" t="n"/>
    </row>
    <row r="5339">
      <c r="A5339" s="12" t="n"/>
      <c r="B5339" s="13">
        <f>IF($A5339="","",IFERROR(INDEX(Emp_Names,MATCH($A5339,Emp_Codes,0)),"NOT FOUND"))</f>
        <v/>
      </c>
      <c r="C5339" s="14" t="n"/>
      <c r="D5339" s="15" t="n"/>
      <c r="E5339" s="15" t="n"/>
      <c r="F5339" s="15" t="n"/>
      <c r="G5339" s="15" t="n"/>
      <c r="H5339" s="16">
        <f>IF($A5339="","",$D5339+IF($E5339="",0,$E5339)+IF($F5339="",0,$F5339)-IF($G5339="",0,$G5339))</f>
        <v/>
      </c>
      <c r="I5339" s="12" t="n"/>
      <c r="J5339" s="12" t="n"/>
      <c r="K5339" s="12" t="n"/>
      <c r="L5339" s="14" t="n"/>
      <c r="M5339" s="12" t="n"/>
      <c r="N5339" s="12" t="n"/>
      <c r="O5339" s="12" t="n"/>
    </row>
    <row r="5340">
      <c r="A5340" s="12" t="n"/>
      <c r="B5340" s="13">
        <f>IF($A5340="","",IFERROR(INDEX(Emp_Names,MATCH($A5340,Emp_Codes,0)),"NOT FOUND"))</f>
        <v/>
      </c>
      <c r="C5340" s="14" t="n"/>
      <c r="D5340" s="15" t="n"/>
      <c r="E5340" s="15" t="n"/>
      <c r="F5340" s="15" t="n"/>
      <c r="G5340" s="15" t="n"/>
      <c r="H5340" s="16">
        <f>IF($A5340="","",$D5340+IF($E5340="",0,$E5340)+IF($F5340="",0,$F5340)-IF($G5340="",0,$G5340))</f>
        <v/>
      </c>
      <c r="I5340" s="12" t="n"/>
      <c r="J5340" s="12" t="n"/>
      <c r="K5340" s="12" t="n"/>
      <c r="L5340" s="14" t="n"/>
      <c r="M5340" s="12" t="n"/>
      <c r="N5340" s="12" t="n"/>
      <c r="O5340" s="12" t="n"/>
    </row>
    <row r="5341">
      <c r="A5341" s="12" t="n"/>
      <c r="B5341" s="13">
        <f>IF($A5341="","",IFERROR(INDEX(Emp_Names,MATCH($A5341,Emp_Codes,0)),"NOT FOUND"))</f>
        <v/>
      </c>
      <c r="C5341" s="14" t="n"/>
      <c r="D5341" s="15" t="n"/>
      <c r="E5341" s="15" t="n"/>
      <c r="F5341" s="15" t="n"/>
      <c r="G5341" s="15" t="n"/>
      <c r="H5341" s="16">
        <f>IF($A5341="","",$D5341+IF($E5341="",0,$E5341)+IF($F5341="",0,$F5341)-IF($G5341="",0,$G5341))</f>
        <v/>
      </c>
      <c r="I5341" s="12" t="n"/>
      <c r="J5341" s="12" t="n"/>
      <c r="K5341" s="12" t="n"/>
      <c r="L5341" s="14" t="n"/>
      <c r="M5341" s="12" t="n"/>
      <c r="N5341" s="12" t="n"/>
      <c r="O5341" s="12" t="n"/>
    </row>
    <row r="5342">
      <c r="A5342" s="12" t="n"/>
      <c r="B5342" s="13">
        <f>IF($A5342="","",IFERROR(INDEX(Emp_Names,MATCH($A5342,Emp_Codes,0)),"NOT FOUND"))</f>
        <v/>
      </c>
      <c r="C5342" s="14" t="n"/>
      <c r="D5342" s="15" t="n"/>
      <c r="E5342" s="15" t="n"/>
      <c r="F5342" s="15" t="n"/>
      <c r="G5342" s="15" t="n"/>
      <c r="H5342" s="16">
        <f>IF($A5342="","",$D5342+IF($E5342="",0,$E5342)+IF($F5342="",0,$F5342)-IF($G5342="",0,$G5342))</f>
        <v/>
      </c>
      <c r="I5342" s="12" t="n"/>
      <c r="J5342" s="12" t="n"/>
      <c r="K5342" s="12" t="n"/>
      <c r="L5342" s="14" t="n"/>
      <c r="M5342" s="12" t="n"/>
      <c r="N5342" s="12" t="n"/>
      <c r="O5342" s="12" t="n"/>
    </row>
    <row r="5343">
      <c r="A5343" s="12" t="n"/>
      <c r="B5343" s="13">
        <f>IF($A5343="","",IFERROR(INDEX(Emp_Names,MATCH($A5343,Emp_Codes,0)),"NOT FOUND"))</f>
        <v/>
      </c>
      <c r="C5343" s="14" t="n"/>
      <c r="D5343" s="15" t="n"/>
      <c r="E5343" s="15" t="n"/>
      <c r="F5343" s="15" t="n"/>
      <c r="G5343" s="15" t="n"/>
      <c r="H5343" s="16">
        <f>IF($A5343="","",$D5343+IF($E5343="",0,$E5343)+IF($F5343="",0,$F5343)-IF($G5343="",0,$G5343))</f>
        <v/>
      </c>
      <c r="I5343" s="12" t="n"/>
      <c r="J5343" s="12" t="n"/>
      <c r="K5343" s="12" t="n"/>
      <c r="L5343" s="14" t="n"/>
      <c r="M5343" s="12" t="n"/>
      <c r="N5343" s="12" t="n"/>
      <c r="O5343" s="12" t="n"/>
    </row>
    <row r="5344">
      <c r="A5344" s="12" t="n"/>
      <c r="B5344" s="13">
        <f>IF($A5344="","",IFERROR(INDEX(Emp_Names,MATCH($A5344,Emp_Codes,0)),"NOT FOUND"))</f>
        <v/>
      </c>
      <c r="C5344" s="14" t="n"/>
      <c r="D5344" s="15" t="n"/>
      <c r="E5344" s="15" t="n"/>
      <c r="F5344" s="15" t="n"/>
      <c r="G5344" s="15" t="n"/>
      <c r="H5344" s="16">
        <f>IF($A5344="","",$D5344+IF($E5344="",0,$E5344)+IF($F5344="",0,$F5344)-IF($G5344="",0,$G5344))</f>
        <v/>
      </c>
      <c r="I5344" s="12" t="n"/>
      <c r="J5344" s="12" t="n"/>
      <c r="K5344" s="12" t="n"/>
      <c r="L5344" s="14" t="n"/>
      <c r="M5344" s="12" t="n"/>
      <c r="N5344" s="12" t="n"/>
      <c r="O5344" s="12" t="n"/>
    </row>
    <row r="5345">
      <c r="A5345" s="12" t="n"/>
      <c r="B5345" s="13">
        <f>IF($A5345="","",IFERROR(INDEX(Emp_Names,MATCH($A5345,Emp_Codes,0)),"NOT FOUND"))</f>
        <v/>
      </c>
      <c r="C5345" s="14" t="n"/>
      <c r="D5345" s="15" t="n"/>
      <c r="E5345" s="15" t="n"/>
      <c r="F5345" s="15" t="n"/>
      <c r="G5345" s="15" t="n"/>
      <c r="H5345" s="16">
        <f>IF($A5345="","",$D5345+IF($E5345="",0,$E5345)+IF($F5345="",0,$F5345)-IF($G5345="",0,$G5345))</f>
        <v/>
      </c>
      <c r="I5345" s="12" t="n"/>
      <c r="J5345" s="12" t="n"/>
      <c r="K5345" s="12" t="n"/>
      <c r="L5345" s="14" t="n"/>
      <c r="M5345" s="12" t="n"/>
      <c r="N5345" s="12" t="n"/>
      <c r="O5345" s="12" t="n"/>
    </row>
    <row r="5346">
      <c r="A5346" s="12" t="n"/>
      <c r="B5346" s="13">
        <f>IF($A5346="","",IFERROR(INDEX(Emp_Names,MATCH($A5346,Emp_Codes,0)),"NOT FOUND"))</f>
        <v/>
      </c>
      <c r="C5346" s="14" t="n"/>
      <c r="D5346" s="15" t="n"/>
      <c r="E5346" s="15" t="n"/>
      <c r="F5346" s="15" t="n"/>
      <c r="G5346" s="15" t="n"/>
      <c r="H5346" s="16">
        <f>IF($A5346="","",$D5346+IF($E5346="",0,$E5346)+IF($F5346="",0,$F5346)-IF($G5346="",0,$G5346))</f>
        <v/>
      </c>
      <c r="I5346" s="12" t="n"/>
      <c r="J5346" s="12" t="n"/>
      <c r="K5346" s="12" t="n"/>
      <c r="L5346" s="14" t="n"/>
      <c r="M5346" s="12" t="n"/>
      <c r="N5346" s="12" t="n"/>
      <c r="O5346" s="12" t="n"/>
    </row>
    <row r="5347">
      <c r="A5347" s="12" t="n"/>
      <c r="B5347" s="13">
        <f>IF($A5347="","",IFERROR(INDEX(Emp_Names,MATCH($A5347,Emp_Codes,0)),"NOT FOUND"))</f>
        <v/>
      </c>
      <c r="C5347" s="14" t="n"/>
      <c r="D5347" s="15" t="n"/>
      <c r="E5347" s="15" t="n"/>
      <c r="F5347" s="15" t="n"/>
      <c r="G5347" s="15" t="n"/>
      <c r="H5347" s="16">
        <f>IF($A5347="","",$D5347+IF($E5347="",0,$E5347)+IF($F5347="",0,$F5347)-IF($G5347="",0,$G5347))</f>
        <v/>
      </c>
      <c r="I5347" s="12" t="n"/>
      <c r="J5347" s="12" t="n"/>
      <c r="K5347" s="12" t="n"/>
      <c r="L5347" s="14" t="n"/>
      <c r="M5347" s="12" t="n"/>
      <c r="N5347" s="12" t="n"/>
      <c r="O5347" s="12" t="n"/>
    </row>
    <row r="5348">
      <c r="A5348" s="12" t="n"/>
      <c r="B5348" s="13">
        <f>IF($A5348="","",IFERROR(INDEX(Emp_Names,MATCH($A5348,Emp_Codes,0)),"NOT FOUND"))</f>
        <v/>
      </c>
      <c r="C5348" s="14" t="n"/>
      <c r="D5348" s="15" t="n"/>
      <c r="E5348" s="15" t="n"/>
      <c r="F5348" s="15" t="n"/>
      <c r="G5348" s="15" t="n"/>
      <c r="H5348" s="16">
        <f>IF($A5348="","",$D5348+IF($E5348="",0,$E5348)+IF($F5348="",0,$F5348)-IF($G5348="",0,$G5348))</f>
        <v/>
      </c>
      <c r="I5348" s="12" t="n"/>
      <c r="J5348" s="12" t="n"/>
      <c r="K5348" s="12" t="n"/>
      <c r="L5348" s="14" t="n"/>
      <c r="M5348" s="12" t="n"/>
      <c r="N5348" s="12" t="n"/>
      <c r="O5348" s="12" t="n"/>
    </row>
    <row r="5349">
      <c r="A5349" s="12" t="n"/>
      <c r="B5349" s="13">
        <f>IF($A5349="","",IFERROR(INDEX(Emp_Names,MATCH($A5349,Emp_Codes,0)),"NOT FOUND"))</f>
        <v/>
      </c>
      <c r="C5349" s="14" t="n"/>
      <c r="D5349" s="15" t="n"/>
      <c r="E5349" s="15" t="n"/>
      <c r="F5349" s="15" t="n"/>
      <c r="G5349" s="15" t="n"/>
      <c r="H5349" s="16">
        <f>IF($A5349="","",$D5349+IF($E5349="",0,$E5349)+IF($F5349="",0,$F5349)-IF($G5349="",0,$G5349))</f>
        <v/>
      </c>
      <c r="I5349" s="12" t="n"/>
      <c r="J5349" s="12" t="n"/>
      <c r="K5349" s="12" t="n"/>
      <c r="L5349" s="14" t="n"/>
      <c r="M5349" s="12" t="n"/>
      <c r="N5349" s="12" t="n"/>
      <c r="O5349" s="12" t="n"/>
    </row>
    <row r="5350">
      <c r="A5350" s="12" t="n"/>
      <c r="B5350" s="13">
        <f>IF($A5350="","",IFERROR(INDEX(Emp_Names,MATCH($A5350,Emp_Codes,0)),"NOT FOUND"))</f>
        <v/>
      </c>
      <c r="C5350" s="14" t="n"/>
      <c r="D5350" s="15" t="n"/>
      <c r="E5350" s="15" t="n"/>
      <c r="F5350" s="15" t="n"/>
      <c r="G5350" s="15" t="n"/>
      <c r="H5350" s="16">
        <f>IF($A5350="","",$D5350+IF($E5350="",0,$E5350)+IF($F5350="",0,$F5350)-IF($G5350="",0,$G5350))</f>
        <v/>
      </c>
      <c r="I5350" s="12" t="n"/>
      <c r="J5350" s="12" t="n"/>
      <c r="K5350" s="12" t="n"/>
      <c r="L5350" s="14" t="n"/>
      <c r="M5350" s="12" t="n"/>
      <c r="N5350" s="12" t="n"/>
      <c r="O5350" s="12" t="n"/>
    </row>
    <row r="5351">
      <c r="A5351" s="12" t="n"/>
      <c r="B5351" s="13">
        <f>IF($A5351="","",IFERROR(INDEX(Emp_Names,MATCH($A5351,Emp_Codes,0)),"NOT FOUND"))</f>
        <v/>
      </c>
      <c r="C5351" s="14" t="n"/>
      <c r="D5351" s="15" t="n"/>
      <c r="E5351" s="15" t="n"/>
      <c r="F5351" s="15" t="n"/>
      <c r="G5351" s="15" t="n"/>
      <c r="H5351" s="16">
        <f>IF($A5351="","",$D5351+IF($E5351="",0,$E5351)+IF($F5351="",0,$F5351)-IF($G5351="",0,$G5351))</f>
        <v/>
      </c>
      <c r="I5351" s="12" t="n"/>
      <c r="J5351" s="12" t="n"/>
      <c r="K5351" s="12" t="n"/>
      <c r="L5351" s="14" t="n"/>
      <c r="M5351" s="12" t="n"/>
      <c r="N5351" s="12" t="n"/>
      <c r="O5351" s="12" t="n"/>
    </row>
    <row r="5352">
      <c r="A5352" s="12" t="n"/>
      <c r="B5352" s="13">
        <f>IF($A5352="","",IFERROR(INDEX(Emp_Names,MATCH($A5352,Emp_Codes,0)),"NOT FOUND"))</f>
        <v/>
      </c>
      <c r="C5352" s="14" t="n"/>
      <c r="D5352" s="15" t="n"/>
      <c r="E5352" s="15" t="n"/>
      <c r="F5352" s="15" t="n"/>
      <c r="G5352" s="15" t="n"/>
      <c r="H5352" s="16">
        <f>IF($A5352="","",$D5352+IF($E5352="",0,$E5352)+IF($F5352="",0,$F5352)-IF($G5352="",0,$G5352))</f>
        <v/>
      </c>
      <c r="I5352" s="12" t="n"/>
      <c r="J5352" s="12" t="n"/>
      <c r="K5352" s="12" t="n"/>
      <c r="L5352" s="14" t="n"/>
      <c r="M5352" s="12" t="n"/>
      <c r="N5352" s="12" t="n"/>
      <c r="O5352" s="12" t="n"/>
    </row>
    <row r="5353">
      <c r="A5353" s="12" t="n"/>
      <c r="B5353" s="13">
        <f>IF($A5353="","",IFERROR(INDEX(Emp_Names,MATCH($A5353,Emp_Codes,0)),"NOT FOUND"))</f>
        <v/>
      </c>
      <c r="C5353" s="14" t="n"/>
      <c r="D5353" s="15" t="n"/>
      <c r="E5353" s="15" t="n"/>
      <c r="F5353" s="15" t="n"/>
      <c r="G5353" s="15" t="n"/>
      <c r="H5353" s="16">
        <f>IF($A5353="","",$D5353+IF($E5353="",0,$E5353)+IF($F5353="",0,$F5353)-IF($G5353="",0,$G5353))</f>
        <v/>
      </c>
      <c r="I5353" s="12" t="n"/>
      <c r="J5353" s="12" t="n"/>
      <c r="K5353" s="12" t="n"/>
      <c r="L5353" s="14" t="n"/>
      <c r="M5353" s="12" t="n"/>
      <c r="N5353" s="12" t="n"/>
      <c r="O5353" s="12" t="n"/>
    </row>
    <row r="5354">
      <c r="A5354" s="12" t="n"/>
      <c r="B5354" s="13">
        <f>IF($A5354="","",IFERROR(INDEX(Emp_Names,MATCH($A5354,Emp_Codes,0)),"NOT FOUND"))</f>
        <v/>
      </c>
      <c r="C5354" s="14" t="n"/>
      <c r="D5354" s="15" t="n"/>
      <c r="E5354" s="15" t="n"/>
      <c r="F5354" s="15" t="n"/>
      <c r="G5354" s="15" t="n"/>
      <c r="H5354" s="16">
        <f>IF($A5354="","",$D5354+IF($E5354="",0,$E5354)+IF($F5354="",0,$F5354)-IF($G5354="",0,$G5354))</f>
        <v/>
      </c>
      <c r="I5354" s="12" t="n"/>
      <c r="J5354" s="12" t="n"/>
      <c r="K5354" s="12" t="n"/>
      <c r="L5354" s="14" t="n"/>
      <c r="M5354" s="12" t="n"/>
      <c r="N5354" s="12" t="n"/>
      <c r="O5354" s="12" t="n"/>
    </row>
    <row r="5355">
      <c r="A5355" s="12" t="n"/>
      <c r="B5355" s="13">
        <f>IF($A5355="","",IFERROR(INDEX(Emp_Names,MATCH($A5355,Emp_Codes,0)),"NOT FOUND"))</f>
        <v/>
      </c>
      <c r="C5355" s="14" t="n"/>
      <c r="D5355" s="15" t="n"/>
      <c r="E5355" s="15" t="n"/>
      <c r="F5355" s="15" t="n"/>
      <c r="G5355" s="15" t="n"/>
      <c r="H5355" s="16">
        <f>IF($A5355="","",$D5355+IF($E5355="",0,$E5355)+IF($F5355="",0,$F5355)-IF($G5355="",0,$G5355))</f>
        <v/>
      </c>
      <c r="I5355" s="12" t="n"/>
      <c r="J5355" s="12" t="n"/>
      <c r="K5355" s="12" t="n"/>
      <c r="L5355" s="14" t="n"/>
      <c r="M5355" s="12" t="n"/>
      <c r="N5355" s="12" t="n"/>
      <c r="O5355" s="12" t="n"/>
    </row>
    <row r="5356">
      <c r="A5356" s="12" t="n"/>
      <c r="B5356" s="13">
        <f>IF($A5356="","",IFERROR(INDEX(Emp_Names,MATCH($A5356,Emp_Codes,0)),"NOT FOUND"))</f>
        <v/>
      </c>
      <c r="C5356" s="14" t="n"/>
      <c r="D5356" s="15" t="n"/>
      <c r="E5356" s="15" t="n"/>
      <c r="F5356" s="15" t="n"/>
      <c r="G5356" s="15" t="n"/>
      <c r="H5356" s="16">
        <f>IF($A5356="","",$D5356+IF($E5356="",0,$E5356)+IF($F5356="",0,$F5356)-IF($G5356="",0,$G5356))</f>
        <v/>
      </c>
      <c r="I5356" s="12" t="n"/>
      <c r="J5356" s="12" t="n"/>
      <c r="K5356" s="12" t="n"/>
      <c r="L5356" s="14" t="n"/>
      <c r="M5356" s="12" t="n"/>
      <c r="N5356" s="12" t="n"/>
      <c r="O5356" s="12" t="n"/>
    </row>
    <row r="5357">
      <c r="A5357" s="12" t="n"/>
      <c r="B5357" s="13">
        <f>IF($A5357="","",IFERROR(INDEX(Emp_Names,MATCH($A5357,Emp_Codes,0)),"NOT FOUND"))</f>
        <v/>
      </c>
      <c r="C5357" s="14" t="n"/>
      <c r="D5357" s="15" t="n"/>
      <c r="E5357" s="15" t="n"/>
      <c r="F5357" s="15" t="n"/>
      <c r="G5357" s="15" t="n"/>
      <c r="H5357" s="16">
        <f>IF($A5357="","",$D5357+IF($E5357="",0,$E5357)+IF($F5357="",0,$F5357)-IF($G5357="",0,$G5357))</f>
        <v/>
      </c>
      <c r="I5357" s="12" t="n"/>
      <c r="J5357" s="12" t="n"/>
      <c r="K5357" s="12" t="n"/>
      <c r="L5357" s="14" t="n"/>
      <c r="M5357" s="12" t="n"/>
      <c r="N5357" s="12" t="n"/>
      <c r="O5357" s="12" t="n"/>
    </row>
    <row r="5358">
      <c r="A5358" s="12" t="n"/>
      <c r="B5358" s="13">
        <f>IF($A5358="","",IFERROR(INDEX(Emp_Names,MATCH($A5358,Emp_Codes,0)),"NOT FOUND"))</f>
        <v/>
      </c>
      <c r="C5358" s="14" t="n"/>
      <c r="D5358" s="15" t="n"/>
      <c r="E5358" s="15" t="n"/>
      <c r="F5358" s="15" t="n"/>
      <c r="G5358" s="15" t="n"/>
      <c r="H5358" s="16">
        <f>IF($A5358="","",$D5358+IF($E5358="",0,$E5358)+IF($F5358="",0,$F5358)-IF($G5358="",0,$G5358))</f>
        <v/>
      </c>
      <c r="I5358" s="12" t="n"/>
      <c r="J5358" s="12" t="n"/>
      <c r="K5358" s="12" t="n"/>
      <c r="L5358" s="14" t="n"/>
      <c r="M5358" s="12" t="n"/>
      <c r="N5358" s="12" t="n"/>
      <c r="O5358" s="12" t="n"/>
    </row>
    <row r="5359">
      <c r="A5359" s="12" t="n"/>
      <c r="B5359" s="13">
        <f>IF($A5359="","",IFERROR(INDEX(Emp_Names,MATCH($A5359,Emp_Codes,0)),"NOT FOUND"))</f>
        <v/>
      </c>
      <c r="C5359" s="14" t="n"/>
      <c r="D5359" s="15" t="n"/>
      <c r="E5359" s="15" t="n"/>
      <c r="F5359" s="15" t="n"/>
      <c r="G5359" s="15" t="n"/>
      <c r="H5359" s="16">
        <f>IF($A5359="","",$D5359+IF($E5359="",0,$E5359)+IF($F5359="",0,$F5359)-IF($G5359="",0,$G5359))</f>
        <v/>
      </c>
      <c r="I5359" s="12" t="n"/>
      <c r="J5359" s="12" t="n"/>
      <c r="K5359" s="12" t="n"/>
      <c r="L5359" s="14" t="n"/>
      <c r="M5359" s="12" t="n"/>
      <c r="N5359" s="12" t="n"/>
      <c r="O5359" s="12" t="n"/>
    </row>
    <row r="5360">
      <c r="A5360" s="12" t="n"/>
      <c r="B5360" s="13">
        <f>IF($A5360="","",IFERROR(INDEX(Emp_Names,MATCH($A5360,Emp_Codes,0)),"NOT FOUND"))</f>
        <v/>
      </c>
      <c r="C5360" s="14" t="n"/>
      <c r="D5360" s="15" t="n"/>
      <c r="E5360" s="15" t="n"/>
      <c r="F5360" s="15" t="n"/>
      <c r="G5360" s="15" t="n"/>
      <c r="H5360" s="16">
        <f>IF($A5360="","",$D5360+IF($E5360="",0,$E5360)+IF($F5360="",0,$F5360)-IF($G5360="",0,$G5360))</f>
        <v/>
      </c>
      <c r="I5360" s="12" t="n"/>
      <c r="J5360" s="12" t="n"/>
      <c r="K5360" s="12" t="n"/>
      <c r="L5360" s="14" t="n"/>
      <c r="M5360" s="12" t="n"/>
      <c r="N5360" s="12" t="n"/>
      <c r="O5360" s="12" t="n"/>
    </row>
    <row r="5361">
      <c r="A5361" s="12" t="n"/>
      <c r="B5361" s="13">
        <f>IF($A5361="","",IFERROR(INDEX(Emp_Names,MATCH($A5361,Emp_Codes,0)),"NOT FOUND"))</f>
        <v/>
      </c>
      <c r="C5361" s="14" t="n"/>
      <c r="D5361" s="15" t="n"/>
      <c r="E5361" s="15" t="n"/>
      <c r="F5361" s="15" t="n"/>
      <c r="G5361" s="15" t="n"/>
      <c r="H5361" s="16">
        <f>IF($A5361="","",$D5361+IF($E5361="",0,$E5361)+IF($F5361="",0,$F5361)-IF($G5361="",0,$G5361))</f>
        <v/>
      </c>
      <c r="I5361" s="12" t="n"/>
      <c r="J5361" s="12" t="n"/>
      <c r="K5361" s="12" t="n"/>
      <c r="L5361" s="14" t="n"/>
      <c r="M5361" s="12" t="n"/>
      <c r="N5361" s="12" t="n"/>
      <c r="O5361" s="12" t="n"/>
    </row>
    <row r="5362">
      <c r="A5362" s="12" t="n"/>
      <c r="B5362" s="13">
        <f>IF($A5362="","",IFERROR(INDEX(Emp_Names,MATCH($A5362,Emp_Codes,0)),"NOT FOUND"))</f>
        <v/>
      </c>
      <c r="C5362" s="14" t="n"/>
      <c r="D5362" s="15" t="n"/>
      <c r="E5362" s="15" t="n"/>
      <c r="F5362" s="15" t="n"/>
      <c r="G5362" s="15" t="n"/>
      <c r="H5362" s="16">
        <f>IF($A5362="","",$D5362+IF($E5362="",0,$E5362)+IF($F5362="",0,$F5362)-IF($G5362="",0,$G5362))</f>
        <v/>
      </c>
      <c r="I5362" s="12" t="n"/>
      <c r="J5362" s="12" t="n"/>
      <c r="K5362" s="12" t="n"/>
      <c r="L5362" s="14" t="n"/>
      <c r="M5362" s="12" t="n"/>
      <c r="N5362" s="12" t="n"/>
      <c r="O5362" s="12" t="n"/>
    </row>
    <row r="5363">
      <c r="A5363" s="12" t="n"/>
      <c r="B5363" s="13">
        <f>IF($A5363="","",IFERROR(INDEX(Emp_Names,MATCH($A5363,Emp_Codes,0)),"NOT FOUND"))</f>
        <v/>
      </c>
      <c r="C5363" s="14" t="n"/>
      <c r="D5363" s="15" t="n"/>
      <c r="E5363" s="15" t="n"/>
      <c r="F5363" s="15" t="n"/>
      <c r="G5363" s="15" t="n"/>
      <c r="H5363" s="16">
        <f>IF($A5363="","",$D5363+IF($E5363="",0,$E5363)+IF($F5363="",0,$F5363)-IF($G5363="",0,$G5363))</f>
        <v/>
      </c>
      <c r="I5363" s="12" t="n"/>
      <c r="J5363" s="12" t="n"/>
      <c r="K5363" s="12" t="n"/>
      <c r="L5363" s="14" t="n"/>
      <c r="M5363" s="12" t="n"/>
      <c r="N5363" s="12" t="n"/>
      <c r="O5363" s="12" t="n"/>
    </row>
    <row r="5364">
      <c r="A5364" s="12" t="n"/>
      <c r="B5364" s="13">
        <f>IF($A5364="","",IFERROR(INDEX(Emp_Names,MATCH($A5364,Emp_Codes,0)),"NOT FOUND"))</f>
        <v/>
      </c>
      <c r="C5364" s="14" t="n"/>
      <c r="D5364" s="15" t="n"/>
      <c r="E5364" s="15" t="n"/>
      <c r="F5364" s="15" t="n"/>
      <c r="G5364" s="15" t="n"/>
      <c r="H5364" s="16">
        <f>IF($A5364="","",$D5364+IF($E5364="",0,$E5364)+IF($F5364="",0,$F5364)-IF($G5364="",0,$G5364))</f>
        <v/>
      </c>
      <c r="I5364" s="12" t="n"/>
      <c r="J5364" s="12" t="n"/>
      <c r="K5364" s="12" t="n"/>
      <c r="L5364" s="14" t="n"/>
      <c r="M5364" s="12" t="n"/>
      <c r="N5364" s="12" t="n"/>
      <c r="O5364" s="12" t="n"/>
    </row>
    <row r="5365">
      <c r="A5365" s="12" t="n"/>
      <c r="B5365" s="13">
        <f>IF($A5365="","",IFERROR(INDEX(Emp_Names,MATCH($A5365,Emp_Codes,0)),"NOT FOUND"))</f>
        <v/>
      </c>
      <c r="C5365" s="14" t="n"/>
      <c r="D5365" s="15" t="n"/>
      <c r="E5365" s="15" t="n"/>
      <c r="F5365" s="15" t="n"/>
      <c r="G5365" s="15" t="n"/>
      <c r="H5365" s="16">
        <f>IF($A5365="","",$D5365+IF($E5365="",0,$E5365)+IF($F5365="",0,$F5365)-IF($G5365="",0,$G5365))</f>
        <v/>
      </c>
      <c r="I5365" s="12" t="n"/>
      <c r="J5365" s="12" t="n"/>
      <c r="K5365" s="12" t="n"/>
      <c r="L5365" s="14" t="n"/>
      <c r="M5365" s="12" t="n"/>
      <c r="N5365" s="12" t="n"/>
      <c r="O5365" s="12" t="n"/>
    </row>
    <row r="5366">
      <c r="A5366" s="12" t="n"/>
      <c r="B5366" s="13">
        <f>IF($A5366="","",IFERROR(INDEX(Emp_Names,MATCH($A5366,Emp_Codes,0)),"NOT FOUND"))</f>
        <v/>
      </c>
      <c r="C5366" s="14" t="n"/>
      <c r="D5366" s="15" t="n"/>
      <c r="E5366" s="15" t="n"/>
      <c r="F5366" s="15" t="n"/>
      <c r="G5366" s="15" t="n"/>
      <c r="H5366" s="16">
        <f>IF($A5366="","",$D5366+IF($E5366="",0,$E5366)+IF($F5366="",0,$F5366)-IF($G5366="",0,$G5366))</f>
        <v/>
      </c>
      <c r="I5366" s="12" t="n"/>
      <c r="J5366" s="12" t="n"/>
      <c r="K5366" s="12" t="n"/>
      <c r="L5366" s="14" t="n"/>
      <c r="M5366" s="12" t="n"/>
      <c r="N5366" s="12" t="n"/>
      <c r="O5366" s="12" t="n"/>
    </row>
    <row r="5367">
      <c r="A5367" s="12" t="n"/>
      <c r="B5367" s="13">
        <f>IF($A5367="","",IFERROR(INDEX(Emp_Names,MATCH($A5367,Emp_Codes,0)),"NOT FOUND"))</f>
        <v/>
      </c>
      <c r="C5367" s="14" t="n"/>
      <c r="D5367" s="15" t="n"/>
      <c r="E5367" s="15" t="n"/>
      <c r="F5367" s="15" t="n"/>
      <c r="G5367" s="15" t="n"/>
      <c r="H5367" s="16">
        <f>IF($A5367="","",$D5367+IF($E5367="",0,$E5367)+IF($F5367="",0,$F5367)-IF($G5367="",0,$G5367))</f>
        <v/>
      </c>
      <c r="I5367" s="12" t="n"/>
      <c r="J5367" s="12" t="n"/>
      <c r="K5367" s="12" t="n"/>
      <c r="L5367" s="14" t="n"/>
      <c r="M5367" s="12" t="n"/>
      <c r="N5367" s="12" t="n"/>
      <c r="O5367" s="12" t="n"/>
    </row>
    <row r="5368">
      <c r="A5368" s="12" t="n"/>
      <c r="B5368" s="13">
        <f>IF($A5368="","",IFERROR(INDEX(Emp_Names,MATCH($A5368,Emp_Codes,0)),"NOT FOUND"))</f>
        <v/>
      </c>
      <c r="C5368" s="14" t="n"/>
      <c r="D5368" s="15" t="n"/>
      <c r="E5368" s="15" t="n"/>
      <c r="F5368" s="15" t="n"/>
      <c r="G5368" s="15" t="n"/>
      <c r="H5368" s="16">
        <f>IF($A5368="","",$D5368+IF($E5368="",0,$E5368)+IF($F5368="",0,$F5368)-IF($G5368="",0,$G5368))</f>
        <v/>
      </c>
      <c r="I5368" s="12" t="n"/>
      <c r="J5368" s="12" t="n"/>
      <c r="K5368" s="12" t="n"/>
      <c r="L5368" s="14" t="n"/>
      <c r="M5368" s="12" t="n"/>
      <c r="N5368" s="12" t="n"/>
      <c r="O5368" s="12" t="n"/>
    </row>
    <row r="5369">
      <c r="A5369" s="12" t="n"/>
      <c r="B5369" s="13">
        <f>IF($A5369="","",IFERROR(INDEX(Emp_Names,MATCH($A5369,Emp_Codes,0)),"NOT FOUND"))</f>
        <v/>
      </c>
      <c r="C5369" s="14" t="n"/>
      <c r="D5369" s="15" t="n"/>
      <c r="E5369" s="15" t="n"/>
      <c r="F5369" s="15" t="n"/>
      <c r="G5369" s="15" t="n"/>
      <c r="H5369" s="16">
        <f>IF($A5369="","",$D5369+IF($E5369="",0,$E5369)+IF($F5369="",0,$F5369)-IF($G5369="",0,$G5369))</f>
        <v/>
      </c>
      <c r="I5369" s="12" t="n"/>
      <c r="J5369" s="12" t="n"/>
      <c r="K5369" s="12" t="n"/>
      <c r="L5369" s="14" t="n"/>
      <c r="M5369" s="12" t="n"/>
      <c r="N5369" s="12" t="n"/>
      <c r="O5369" s="12" t="n"/>
    </row>
    <row r="5370">
      <c r="A5370" s="12" t="n"/>
      <c r="B5370" s="13">
        <f>IF($A5370="","",IFERROR(INDEX(Emp_Names,MATCH($A5370,Emp_Codes,0)),"NOT FOUND"))</f>
        <v/>
      </c>
      <c r="C5370" s="14" t="n"/>
      <c r="D5370" s="15" t="n"/>
      <c r="E5370" s="15" t="n"/>
      <c r="F5370" s="15" t="n"/>
      <c r="G5370" s="15" t="n"/>
      <c r="H5370" s="16">
        <f>IF($A5370="","",$D5370+IF($E5370="",0,$E5370)+IF($F5370="",0,$F5370)-IF($G5370="",0,$G5370))</f>
        <v/>
      </c>
      <c r="I5370" s="12" t="n"/>
      <c r="J5370" s="12" t="n"/>
      <c r="K5370" s="12" t="n"/>
      <c r="L5370" s="14" t="n"/>
      <c r="M5370" s="12" t="n"/>
      <c r="N5370" s="12" t="n"/>
      <c r="O5370" s="12" t="n"/>
    </row>
    <row r="5371">
      <c r="A5371" s="12" t="n"/>
      <c r="B5371" s="13">
        <f>IF($A5371="","",IFERROR(INDEX(Emp_Names,MATCH($A5371,Emp_Codes,0)),"NOT FOUND"))</f>
        <v/>
      </c>
      <c r="C5371" s="14" t="n"/>
      <c r="D5371" s="15" t="n"/>
      <c r="E5371" s="15" t="n"/>
      <c r="F5371" s="15" t="n"/>
      <c r="G5371" s="15" t="n"/>
      <c r="H5371" s="16">
        <f>IF($A5371="","",$D5371+IF($E5371="",0,$E5371)+IF($F5371="",0,$F5371)-IF($G5371="",0,$G5371))</f>
        <v/>
      </c>
      <c r="I5371" s="12" t="n"/>
      <c r="J5371" s="12" t="n"/>
      <c r="K5371" s="12" t="n"/>
      <c r="L5371" s="14" t="n"/>
      <c r="M5371" s="12" t="n"/>
      <c r="N5371" s="12" t="n"/>
      <c r="O5371" s="12" t="n"/>
    </row>
    <row r="5372">
      <c r="A5372" s="12" t="n"/>
      <c r="B5372" s="13">
        <f>IF($A5372="","",IFERROR(INDEX(Emp_Names,MATCH($A5372,Emp_Codes,0)),"NOT FOUND"))</f>
        <v/>
      </c>
      <c r="C5372" s="14" t="n"/>
      <c r="D5372" s="15" t="n"/>
      <c r="E5372" s="15" t="n"/>
      <c r="F5372" s="15" t="n"/>
      <c r="G5372" s="15" t="n"/>
      <c r="H5372" s="16">
        <f>IF($A5372="","",$D5372+IF($E5372="",0,$E5372)+IF($F5372="",0,$F5372)-IF($G5372="",0,$G5372))</f>
        <v/>
      </c>
      <c r="I5372" s="12" t="n"/>
      <c r="J5372" s="12" t="n"/>
      <c r="K5372" s="12" t="n"/>
      <c r="L5372" s="14" t="n"/>
      <c r="M5372" s="12" t="n"/>
      <c r="N5372" s="12" t="n"/>
      <c r="O5372" s="12" t="n"/>
    </row>
    <row r="5373">
      <c r="A5373" s="12" t="n"/>
      <c r="B5373" s="13">
        <f>IF($A5373="","",IFERROR(INDEX(Emp_Names,MATCH($A5373,Emp_Codes,0)),"NOT FOUND"))</f>
        <v/>
      </c>
      <c r="C5373" s="14" t="n"/>
      <c r="D5373" s="15" t="n"/>
      <c r="E5373" s="15" t="n"/>
      <c r="F5373" s="15" t="n"/>
      <c r="G5373" s="15" t="n"/>
      <c r="H5373" s="16">
        <f>IF($A5373="","",$D5373+IF($E5373="",0,$E5373)+IF($F5373="",0,$F5373)-IF($G5373="",0,$G5373))</f>
        <v/>
      </c>
      <c r="I5373" s="12" t="n"/>
      <c r="J5373" s="12" t="n"/>
      <c r="K5373" s="12" t="n"/>
      <c r="L5373" s="14" t="n"/>
      <c r="M5373" s="12" t="n"/>
      <c r="N5373" s="12" t="n"/>
      <c r="O5373" s="12" t="n"/>
    </row>
    <row r="5374">
      <c r="A5374" s="12" t="n"/>
      <c r="B5374" s="13">
        <f>IF($A5374="","",IFERROR(INDEX(Emp_Names,MATCH($A5374,Emp_Codes,0)),"NOT FOUND"))</f>
        <v/>
      </c>
      <c r="C5374" s="14" t="n"/>
      <c r="D5374" s="15" t="n"/>
      <c r="E5374" s="15" t="n"/>
      <c r="F5374" s="15" t="n"/>
      <c r="G5374" s="15" t="n"/>
      <c r="H5374" s="16">
        <f>IF($A5374="","",$D5374+IF($E5374="",0,$E5374)+IF($F5374="",0,$F5374)-IF($G5374="",0,$G5374))</f>
        <v/>
      </c>
      <c r="I5374" s="12" t="n"/>
      <c r="J5374" s="12" t="n"/>
      <c r="K5374" s="12" t="n"/>
      <c r="L5374" s="14" t="n"/>
      <c r="M5374" s="12" t="n"/>
      <c r="N5374" s="12" t="n"/>
      <c r="O5374" s="12" t="n"/>
    </row>
    <row r="5375">
      <c r="A5375" s="12" t="n"/>
      <c r="B5375" s="13">
        <f>IF($A5375="","",IFERROR(INDEX(Emp_Names,MATCH($A5375,Emp_Codes,0)),"NOT FOUND"))</f>
        <v/>
      </c>
      <c r="C5375" s="14" t="n"/>
      <c r="D5375" s="15" t="n"/>
      <c r="E5375" s="15" t="n"/>
      <c r="F5375" s="15" t="n"/>
      <c r="G5375" s="15" t="n"/>
      <c r="H5375" s="16">
        <f>IF($A5375="","",$D5375+IF($E5375="",0,$E5375)+IF($F5375="",0,$F5375)-IF($G5375="",0,$G5375))</f>
        <v/>
      </c>
      <c r="I5375" s="12" t="n"/>
      <c r="J5375" s="12" t="n"/>
      <c r="K5375" s="12" t="n"/>
      <c r="L5375" s="14" t="n"/>
      <c r="M5375" s="12" t="n"/>
      <c r="N5375" s="12" t="n"/>
      <c r="O5375" s="12" t="n"/>
    </row>
    <row r="5376">
      <c r="A5376" s="12" t="n"/>
      <c r="B5376" s="13">
        <f>IF($A5376="","",IFERROR(INDEX(Emp_Names,MATCH($A5376,Emp_Codes,0)),"NOT FOUND"))</f>
        <v/>
      </c>
      <c r="C5376" s="14" t="n"/>
      <c r="D5376" s="15" t="n"/>
      <c r="E5376" s="15" t="n"/>
      <c r="F5376" s="15" t="n"/>
      <c r="G5376" s="15" t="n"/>
      <c r="H5376" s="16">
        <f>IF($A5376="","",$D5376+IF($E5376="",0,$E5376)+IF($F5376="",0,$F5376)-IF($G5376="",0,$G5376))</f>
        <v/>
      </c>
      <c r="I5376" s="12" t="n"/>
      <c r="J5376" s="12" t="n"/>
      <c r="K5376" s="12" t="n"/>
      <c r="L5376" s="14" t="n"/>
      <c r="M5376" s="12" t="n"/>
      <c r="N5376" s="12" t="n"/>
      <c r="O5376" s="12" t="n"/>
    </row>
    <row r="5377">
      <c r="A5377" s="12" t="n"/>
      <c r="B5377" s="13">
        <f>IF($A5377="","",IFERROR(INDEX(Emp_Names,MATCH($A5377,Emp_Codes,0)),"NOT FOUND"))</f>
        <v/>
      </c>
      <c r="C5377" s="14" t="n"/>
      <c r="D5377" s="15" t="n"/>
      <c r="E5377" s="15" t="n"/>
      <c r="F5377" s="15" t="n"/>
      <c r="G5377" s="15" t="n"/>
      <c r="H5377" s="16">
        <f>IF($A5377="","",$D5377+IF($E5377="",0,$E5377)+IF($F5377="",0,$F5377)-IF($G5377="",0,$G5377))</f>
        <v/>
      </c>
      <c r="I5377" s="12" t="n"/>
      <c r="J5377" s="12" t="n"/>
      <c r="K5377" s="12" t="n"/>
      <c r="L5377" s="14" t="n"/>
      <c r="M5377" s="12" t="n"/>
      <c r="N5377" s="12" t="n"/>
      <c r="O5377" s="12" t="n"/>
    </row>
    <row r="5378">
      <c r="A5378" s="12" t="n"/>
      <c r="B5378" s="13">
        <f>IF($A5378="","",IFERROR(INDEX(Emp_Names,MATCH($A5378,Emp_Codes,0)),"NOT FOUND"))</f>
        <v/>
      </c>
      <c r="C5378" s="14" t="n"/>
      <c r="D5378" s="15" t="n"/>
      <c r="E5378" s="15" t="n"/>
      <c r="F5378" s="15" t="n"/>
      <c r="G5378" s="15" t="n"/>
      <c r="H5378" s="16">
        <f>IF($A5378="","",$D5378+IF($E5378="",0,$E5378)+IF($F5378="",0,$F5378)-IF($G5378="",0,$G5378))</f>
        <v/>
      </c>
      <c r="I5378" s="12" t="n"/>
      <c r="J5378" s="12" t="n"/>
      <c r="K5378" s="12" t="n"/>
      <c r="L5378" s="14" t="n"/>
      <c r="M5378" s="12" t="n"/>
      <c r="N5378" s="12" t="n"/>
      <c r="O5378" s="12" t="n"/>
    </row>
    <row r="5379">
      <c r="A5379" s="12" t="n"/>
      <c r="B5379" s="13">
        <f>IF($A5379="","",IFERROR(INDEX(Emp_Names,MATCH($A5379,Emp_Codes,0)),"NOT FOUND"))</f>
        <v/>
      </c>
      <c r="C5379" s="14" t="n"/>
      <c r="D5379" s="15" t="n"/>
      <c r="E5379" s="15" t="n"/>
      <c r="F5379" s="15" t="n"/>
      <c r="G5379" s="15" t="n"/>
      <c r="H5379" s="16">
        <f>IF($A5379="","",$D5379+IF($E5379="",0,$E5379)+IF($F5379="",0,$F5379)-IF($G5379="",0,$G5379))</f>
        <v/>
      </c>
      <c r="I5379" s="12" t="n"/>
      <c r="J5379" s="12" t="n"/>
      <c r="K5379" s="12" t="n"/>
      <c r="L5379" s="14" t="n"/>
      <c r="M5379" s="12" t="n"/>
      <c r="N5379" s="12" t="n"/>
      <c r="O5379" s="12" t="n"/>
    </row>
    <row r="5380">
      <c r="A5380" s="12" t="n"/>
      <c r="B5380" s="13">
        <f>IF($A5380="","",IFERROR(INDEX(Emp_Names,MATCH($A5380,Emp_Codes,0)),"NOT FOUND"))</f>
        <v/>
      </c>
      <c r="C5380" s="14" t="n"/>
      <c r="D5380" s="15" t="n"/>
      <c r="E5380" s="15" t="n"/>
      <c r="F5380" s="15" t="n"/>
      <c r="G5380" s="15" t="n"/>
      <c r="H5380" s="16">
        <f>IF($A5380="","",$D5380+IF($E5380="",0,$E5380)+IF($F5380="",0,$F5380)-IF($G5380="",0,$G5380))</f>
        <v/>
      </c>
      <c r="I5380" s="12" t="n"/>
      <c r="J5380" s="12" t="n"/>
      <c r="K5380" s="12" t="n"/>
      <c r="L5380" s="14" t="n"/>
      <c r="M5380" s="12" t="n"/>
      <c r="N5380" s="12" t="n"/>
      <c r="O5380" s="12" t="n"/>
    </row>
    <row r="5381">
      <c r="A5381" s="12" t="n"/>
      <c r="B5381" s="13">
        <f>IF($A5381="","",IFERROR(INDEX(Emp_Names,MATCH($A5381,Emp_Codes,0)),"NOT FOUND"))</f>
        <v/>
      </c>
      <c r="C5381" s="14" t="n"/>
      <c r="D5381" s="15" t="n"/>
      <c r="E5381" s="15" t="n"/>
      <c r="F5381" s="15" t="n"/>
      <c r="G5381" s="15" t="n"/>
      <c r="H5381" s="16">
        <f>IF($A5381="","",$D5381+IF($E5381="",0,$E5381)+IF($F5381="",0,$F5381)-IF($G5381="",0,$G5381))</f>
        <v/>
      </c>
      <c r="I5381" s="12" t="n"/>
      <c r="J5381" s="12" t="n"/>
      <c r="K5381" s="12" t="n"/>
      <c r="L5381" s="14" t="n"/>
      <c r="M5381" s="12" t="n"/>
      <c r="N5381" s="12" t="n"/>
      <c r="O5381" s="12" t="n"/>
    </row>
    <row r="5382">
      <c r="A5382" s="12" t="n"/>
      <c r="B5382" s="13">
        <f>IF($A5382="","",IFERROR(INDEX(Emp_Names,MATCH($A5382,Emp_Codes,0)),"NOT FOUND"))</f>
        <v/>
      </c>
      <c r="C5382" s="14" t="n"/>
      <c r="D5382" s="15" t="n"/>
      <c r="E5382" s="15" t="n"/>
      <c r="F5382" s="15" t="n"/>
      <c r="G5382" s="15" t="n"/>
      <c r="H5382" s="16">
        <f>IF($A5382="","",$D5382+IF($E5382="",0,$E5382)+IF($F5382="",0,$F5382)-IF($G5382="",0,$G5382))</f>
        <v/>
      </c>
      <c r="I5382" s="12" t="n"/>
      <c r="J5382" s="12" t="n"/>
      <c r="K5382" s="12" t="n"/>
      <c r="L5382" s="14" t="n"/>
      <c r="M5382" s="12" t="n"/>
      <c r="N5382" s="12" t="n"/>
      <c r="O5382" s="12" t="n"/>
    </row>
    <row r="5383">
      <c r="A5383" s="12" t="n"/>
      <c r="B5383" s="13">
        <f>IF($A5383="","",IFERROR(INDEX(Emp_Names,MATCH($A5383,Emp_Codes,0)),"NOT FOUND"))</f>
        <v/>
      </c>
      <c r="C5383" s="14" t="n"/>
      <c r="D5383" s="15" t="n"/>
      <c r="E5383" s="15" t="n"/>
      <c r="F5383" s="15" t="n"/>
      <c r="G5383" s="15" t="n"/>
      <c r="H5383" s="16">
        <f>IF($A5383="","",$D5383+IF($E5383="",0,$E5383)+IF($F5383="",0,$F5383)-IF($G5383="",0,$G5383))</f>
        <v/>
      </c>
      <c r="I5383" s="12" t="n"/>
      <c r="J5383" s="12" t="n"/>
      <c r="K5383" s="12" t="n"/>
      <c r="L5383" s="14" t="n"/>
      <c r="M5383" s="12" t="n"/>
      <c r="N5383" s="12" t="n"/>
      <c r="O5383" s="12" t="n"/>
    </row>
    <row r="5384">
      <c r="A5384" s="12" t="n"/>
      <c r="B5384" s="13">
        <f>IF($A5384="","",IFERROR(INDEX(Emp_Names,MATCH($A5384,Emp_Codes,0)),"NOT FOUND"))</f>
        <v/>
      </c>
      <c r="C5384" s="14" t="n"/>
      <c r="D5384" s="15" t="n"/>
      <c r="E5384" s="15" t="n"/>
      <c r="F5384" s="15" t="n"/>
      <c r="G5384" s="15" t="n"/>
      <c r="H5384" s="16">
        <f>IF($A5384="","",$D5384+IF($E5384="",0,$E5384)+IF($F5384="",0,$F5384)-IF($G5384="",0,$G5384))</f>
        <v/>
      </c>
      <c r="I5384" s="12" t="n"/>
      <c r="J5384" s="12" t="n"/>
      <c r="K5384" s="12" t="n"/>
      <c r="L5384" s="14" t="n"/>
      <c r="M5384" s="12" t="n"/>
      <c r="N5384" s="12" t="n"/>
      <c r="O5384" s="12" t="n"/>
    </row>
    <row r="5385">
      <c r="A5385" s="12" t="n"/>
      <c r="B5385" s="13">
        <f>IF($A5385="","",IFERROR(INDEX(Emp_Names,MATCH($A5385,Emp_Codes,0)),"NOT FOUND"))</f>
        <v/>
      </c>
      <c r="C5385" s="14" t="n"/>
      <c r="D5385" s="15" t="n"/>
      <c r="E5385" s="15" t="n"/>
      <c r="F5385" s="15" t="n"/>
      <c r="G5385" s="15" t="n"/>
      <c r="H5385" s="16">
        <f>IF($A5385="","",$D5385+IF($E5385="",0,$E5385)+IF($F5385="",0,$F5385)-IF($G5385="",0,$G5385))</f>
        <v/>
      </c>
      <c r="I5385" s="12" t="n"/>
      <c r="J5385" s="12" t="n"/>
      <c r="K5385" s="12" t="n"/>
      <c r="L5385" s="14" t="n"/>
      <c r="M5385" s="12" t="n"/>
      <c r="N5385" s="12" t="n"/>
      <c r="O5385" s="12" t="n"/>
    </row>
    <row r="5386">
      <c r="A5386" s="12" t="n"/>
      <c r="B5386" s="13">
        <f>IF($A5386="","",IFERROR(INDEX(Emp_Names,MATCH($A5386,Emp_Codes,0)),"NOT FOUND"))</f>
        <v/>
      </c>
      <c r="C5386" s="14" t="n"/>
      <c r="D5386" s="15" t="n"/>
      <c r="E5386" s="15" t="n"/>
      <c r="F5386" s="15" t="n"/>
      <c r="G5386" s="15" t="n"/>
      <c r="H5386" s="16">
        <f>IF($A5386="","",$D5386+IF($E5386="",0,$E5386)+IF($F5386="",0,$F5386)-IF($G5386="",0,$G5386))</f>
        <v/>
      </c>
      <c r="I5386" s="12" t="n"/>
      <c r="J5386" s="12" t="n"/>
      <c r="K5386" s="12" t="n"/>
      <c r="L5386" s="14" t="n"/>
      <c r="M5386" s="12" t="n"/>
      <c r="N5386" s="12" t="n"/>
      <c r="O5386" s="12" t="n"/>
    </row>
    <row r="5387">
      <c r="A5387" s="12" t="n"/>
      <c r="B5387" s="13">
        <f>IF($A5387="","",IFERROR(INDEX(Emp_Names,MATCH($A5387,Emp_Codes,0)),"NOT FOUND"))</f>
        <v/>
      </c>
      <c r="C5387" s="14" t="n"/>
      <c r="D5387" s="15" t="n"/>
      <c r="E5387" s="15" t="n"/>
      <c r="F5387" s="15" t="n"/>
      <c r="G5387" s="15" t="n"/>
      <c r="H5387" s="16">
        <f>IF($A5387="","",$D5387+IF($E5387="",0,$E5387)+IF($F5387="",0,$F5387)-IF($G5387="",0,$G5387))</f>
        <v/>
      </c>
      <c r="I5387" s="12" t="n"/>
      <c r="J5387" s="12" t="n"/>
      <c r="K5387" s="12" t="n"/>
      <c r="L5387" s="14" t="n"/>
      <c r="M5387" s="12" t="n"/>
      <c r="N5387" s="12" t="n"/>
      <c r="O5387" s="12" t="n"/>
    </row>
    <row r="5388">
      <c r="A5388" s="12" t="n"/>
      <c r="B5388" s="13">
        <f>IF($A5388="","",IFERROR(INDEX(Emp_Names,MATCH($A5388,Emp_Codes,0)),"NOT FOUND"))</f>
        <v/>
      </c>
      <c r="C5388" s="14" t="n"/>
      <c r="D5388" s="15" t="n"/>
      <c r="E5388" s="15" t="n"/>
      <c r="F5388" s="15" t="n"/>
      <c r="G5388" s="15" t="n"/>
      <c r="H5388" s="16">
        <f>IF($A5388="","",$D5388+IF($E5388="",0,$E5388)+IF($F5388="",0,$F5388)-IF($G5388="",0,$G5388))</f>
        <v/>
      </c>
      <c r="I5388" s="12" t="n"/>
      <c r="J5388" s="12" t="n"/>
      <c r="K5388" s="12" t="n"/>
      <c r="L5388" s="14" t="n"/>
      <c r="M5388" s="12" t="n"/>
      <c r="N5388" s="12" t="n"/>
      <c r="O5388" s="12" t="n"/>
    </row>
    <row r="5389">
      <c r="A5389" s="12" t="n"/>
      <c r="B5389" s="13">
        <f>IF($A5389="","",IFERROR(INDEX(Emp_Names,MATCH($A5389,Emp_Codes,0)),"NOT FOUND"))</f>
        <v/>
      </c>
      <c r="C5389" s="14" t="n"/>
      <c r="D5389" s="15" t="n"/>
      <c r="E5389" s="15" t="n"/>
      <c r="F5389" s="15" t="n"/>
      <c r="G5389" s="15" t="n"/>
      <c r="H5389" s="16">
        <f>IF($A5389="","",$D5389+IF($E5389="",0,$E5389)+IF($F5389="",0,$F5389)-IF($G5389="",0,$G5389))</f>
        <v/>
      </c>
      <c r="I5389" s="12" t="n"/>
      <c r="J5389" s="12" t="n"/>
      <c r="K5389" s="12" t="n"/>
      <c r="L5389" s="14" t="n"/>
      <c r="M5389" s="12" t="n"/>
      <c r="N5389" s="12" t="n"/>
      <c r="O5389" s="12" t="n"/>
    </row>
    <row r="5390">
      <c r="A5390" s="12" t="n"/>
      <c r="B5390" s="13">
        <f>IF($A5390="","",IFERROR(INDEX(Emp_Names,MATCH($A5390,Emp_Codes,0)),"NOT FOUND"))</f>
        <v/>
      </c>
      <c r="C5390" s="14" t="n"/>
      <c r="D5390" s="15" t="n"/>
      <c r="E5390" s="15" t="n"/>
      <c r="F5390" s="15" t="n"/>
      <c r="G5390" s="15" t="n"/>
      <c r="H5390" s="16">
        <f>IF($A5390="","",$D5390+IF($E5390="",0,$E5390)+IF($F5390="",0,$F5390)-IF($G5390="",0,$G5390))</f>
        <v/>
      </c>
      <c r="I5390" s="12" t="n"/>
      <c r="J5390" s="12" t="n"/>
      <c r="K5390" s="12" t="n"/>
      <c r="L5390" s="14" t="n"/>
      <c r="M5390" s="12" t="n"/>
      <c r="N5390" s="12" t="n"/>
      <c r="O5390" s="12" t="n"/>
    </row>
    <row r="5391">
      <c r="A5391" s="12" t="n"/>
      <c r="B5391" s="13">
        <f>IF($A5391="","",IFERROR(INDEX(Emp_Names,MATCH($A5391,Emp_Codes,0)),"NOT FOUND"))</f>
        <v/>
      </c>
      <c r="C5391" s="14" t="n"/>
      <c r="D5391" s="15" t="n"/>
      <c r="E5391" s="15" t="n"/>
      <c r="F5391" s="15" t="n"/>
      <c r="G5391" s="15" t="n"/>
      <c r="H5391" s="16">
        <f>IF($A5391="","",$D5391+IF($E5391="",0,$E5391)+IF($F5391="",0,$F5391)-IF($G5391="",0,$G5391))</f>
        <v/>
      </c>
      <c r="I5391" s="12" t="n"/>
      <c r="J5391" s="12" t="n"/>
      <c r="K5391" s="12" t="n"/>
      <c r="L5391" s="14" t="n"/>
      <c r="M5391" s="12" t="n"/>
      <c r="N5391" s="12" t="n"/>
      <c r="O5391" s="12" t="n"/>
    </row>
    <row r="5392">
      <c r="A5392" s="12" t="n"/>
      <c r="B5392" s="13">
        <f>IF($A5392="","",IFERROR(INDEX(Emp_Names,MATCH($A5392,Emp_Codes,0)),"NOT FOUND"))</f>
        <v/>
      </c>
      <c r="C5392" s="14" t="n"/>
      <c r="D5392" s="15" t="n"/>
      <c r="E5392" s="15" t="n"/>
      <c r="F5392" s="15" t="n"/>
      <c r="G5392" s="15" t="n"/>
      <c r="H5392" s="16">
        <f>IF($A5392="","",$D5392+IF($E5392="",0,$E5392)+IF($F5392="",0,$F5392)-IF($G5392="",0,$G5392))</f>
        <v/>
      </c>
      <c r="I5392" s="12" t="n"/>
      <c r="J5392" s="12" t="n"/>
      <c r="K5392" s="12" t="n"/>
      <c r="L5392" s="14" t="n"/>
      <c r="M5392" s="12" t="n"/>
      <c r="N5392" s="12" t="n"/>
      <c r="O5392" s="12" t="n"/>
    </row>
    <row r="5393">
      <c r="A5393" s="12" t="n"/>
      <c r="B5393" s="13">
        <f>IF($A5393="","",IFERROR(INDEX(Emp_Names,MATCH($A5393,Emp_Codes,0)),"NOT FOUND"))</f>
        <v/>
      </c>
      <c r="C5393" s="14" t="n"/>
      <c r="D5393" s="15" t="n"/>
      <c r="E5393" s="15" t="n"/>
      <c r="F5393" s="15" t="n"/>
      <c r="G5393" s="15" t="n"/>
      <c r="H5393" s="16">
        <f>IF($A5393="","",$D5393+IF($E5393="",0,$E5393)+IF($F5393="",0,$F5393)-IF($G5393="",0,$G5393))</f>
        <v/>
      </c>
      <c r="I5393" s="12" t="n"/>
      <c r="J5393" s="12" t="n"/>
      <c r="K5393" s="12" t="n"/>
      <c r="L5393" s="14" t="n"/>
      <c r="M5393" s="12" t="n"/>
      <c r="N5393" s="12" t="n"/>
      <c r="O5393" s="12" t="n"/>
    </row>
    <row r="5394">
      <c r="A5394" s="12" t="n"/>
      <c r="B5394" s="13">
        <f>IF($A5394="","",IFERROR(INDEX(Emp_Names,MATCH($A5394,Emp_Codes,0)),"NOT FOUND"))</f>
        <v/>
      </c>
      <c r="C5394" s="14" t="n"/>
      <c r="D5394" s="15" t="n"/>
      <c r="E5394" s="15" t="n"/>
      <c r="F5394" s="15" t="n"/>
      <c r="G5394" s="15" t="n"/>
      <c r="H5394" s="16">
        <f>IF($A5394="","",$D5394+IF($E5394="",0,$E5394)+IF($F5394="",0,$F5394)-IF($G5394="",0,$G5394))</f>
        <v/>
      </c>
      <c r="I5394" s="12" t="n"/>
      <c r="J5394" s="12" t="n"/>
      <c r="K5394" s="12" t="n"/>
      <c r="L5394" s="14" t="n"/>
      <c r="M5394" s="12" t="n"/>
      <c r="N5394" s="12" t="n"/>
      <c r="O5394" s="12" t="n"/>
    </row>
    <row r="5395">
      <c r="A5395" s="12" t="n"/>
      <c r="B5395" s="13">
        <f>IF($A5395="","",IFERROR(INDEX(Emp_Names,MATCH($A5395,Emp_Codes,0)),"NOT FOUND"))</f>
        <v/>
      </c>
      <c r="C5395" s="14" t="n"/>
      <c r="D5395" s="15" t="n"/>
      <c r="E5395" s="15" t="n"/>
      <c r="F5395" s="15" t="n"/>
      <c r="G5395" s="15" t="n"/>
      <c r="H5395" s="16">
        <f>IF($A5395="","",$D5395+IF($E5395="",0,$E5395)+IF($F5395="",0,$F5395)-IF($G5395="",0,$G5395))</f>
        <v/>
      </c>
      <c r="I5395" s="12" t="n"/>
      <c r="J5395" s="12" t="n"/>
      <c r="K5395" s="12" t="n"/>
      <c r="L5395" s="14" t="n"/>
      <c r="M5395" s="12" t="n"/>
      <c r="N5395" s="12" t="n"/>
      <c r="O5395" s="12" t="n"/>
    </row>
    <row r="5396">
      <c r="A5396" s="12" t="n"/>
      <c r="B5396" s="13">
        <f>IF($A5396="","",IFERROR(INDEX(Emp_Names,MATCH($A5396,Emp_Codes,0)),"NOT FOUND"))</f>
        <v/>
      </c>
      <c r="C5396" s="14" t="n"/>
      <c r="D5396" s="15" t="n"/>
      <c r="E5396" s="15" t="n"/>
      <c r="F5396" s="15" t="n"/>
      <c r="G5396" s="15" t="n"/>
      <c r="H5396" s="16">
        <f>IF($A5396="","",$D5396+IF($E5396="",0,$E5396)+IF($F5396="",0,$F5396)-IF($G5396="",0,$G5396))</f>
        <v/>
      </c>
      <c r="I5396" s="12" t="n"/>
      <c r="J5396" s="12" t="n"/>
      <c r="K5396" s="12" t="n"/>
      <c r="L5396" s="14" t="n"/>
      <c r="M5396" s="12" t="n"/>
      <c r="N5396" s="12" t="n"/>
      <c r="O5396" s="12" t="n"/>
    </row>
    <row r="5397">
      <c r="A5397" s="12" t="n"/>
      <c r="B5397" s="13">
        <f>IF($A5397="","",IFERROR(INDEX(Emp_Names,MATCH($A5397,Emp_Codes,0)),"NOT FOUND"))</f>
        <v/>
      </c>
      <c r="C5397" s="14" t="n"/>
      <c r="D5397" s="15" t="n"/>
      <c r="E5397" s="15" t="n"/>
      <c r="F5397" s="15" t="n"/>
      <c r="G5397" s="15" t="n"/>
      <c r="H5397" s="16">
        <f>IF($A5397="","",$D5397+IF($E5397="",0,$E5397)+IF($F5397="",0,$F5397)-IF($G5397="",0,$G5397))</f>
        <v/>
      </c>
      <c r="I5397" s="12" t="n"/>
      <c r="J5397" s="12" t="n"/>
      <c r="K5397" s="12" t="n"/>
      <c r="L5397" s="14" t="n"/>
      <c r="M5397" s="12" t="n"/>
      <c r="N5397" s="12" t="n"/>
      <c r="O5397" s="12" t="n"/>
    </row>
    <row r="5398">
      <c r="A5398" s="12" t="n"/>
      <c r="B5398" s="13">
        <f>IF($A5398="","",IFERROR(INDEX(Emp_Names,MATCH($A5398,Emp_Codes,0)),"NOT FOUND"))</f>
        <v/>
      </c>
      <c r="C5398" s="14" t="n"/>
      <c r="D5398" s="15" t="n"/>
      <c r="E5398" s="15" t="n"/>
      <c r="F5398" s="15" t="n"/>
      <c r="G5398" s="15" t="n"/>
      <c r="H5398" s="16">
        <f>IF($A5398="","",$D5398+IF($E5398="",0,$E5398)+IF($F5398="",0,$F5398)-IF($G5398="",0,$G5398))</f>
        <v/>
      </c>
      <c r="I5398" s="12" t="n"/>
      <c r="J5398" s="12" t="n"/>
      <c r="K5398" s="12" t="n"/>
      <c r="L5398" s="14" t="n"/>
      <c r="M5398" s="12" t="n"/>
      <c r="N5398" s="12" t="n"/>
      <c r="O5398" s="12" t="n"/>
    </row>
    <row r="5399">
      <c r="A5399" s="12" t="n"/>
      <c r="B5399" s="13">
        <f>IF($A5399="","",IFERROR(INDEX(Emp_Names,MATCH($A5399,Emp_Codes,0)),"NOT FOUND"))</f>
        <v/>
      </c>
      <c r="C5399" s="14" t="n"/>
      <c r="D5399" s="15" t="n"/>
      <c r="E5399" s="15" t="n"/>
      <c r="F5399" s="15" t="n"/>
      <c r="G5399" s="15" t="n"/>
      <c r="H5399" s="16">
        <f>IF($A5399="","",$D5399+IF($E5399="",0,$E5399)+IF($F5399="",0,$F5399)-IF($G5399="",0,$G5399))</f>
        <v/>
      </c>
      <c r="I5399" s="12" t="n"/>
      <c r="J5399" s="12" t="n"/>
      <c r="K5399" s="12" t="n"/>
      <c r="L5399" s="14" t="n"/>
      <c r="M5399" s="12" t="n"/>
      <c r="N5399" s="12" t="n"/>
      <c r="O5399" s="12" t="n"/>
    </row>
    <row r="5400">
      <c r="A5400" s="12" t="n"/>
      <c r="B5400" s="13">
        <f>IF($A5400="","",IFERROR(INDEX(Emp_Names,MATCH($A5400,Emp_Codes,0)),"NOT FOUND"))</f>
        <v/>
      </c>
      <c r="C5400" s="14" t="n"/>
      <c r="D5400" s="15" t="n"/>
      <c r="E5400" s="15" t="n"/>
      <c r="F5400" s="15" t="n"/>
      <c r="G5400" s="15" t="n"/>
      <c r="H5400" s="16">
        <f>IF($A5400="","",$D5400+IF($E5400="",0,$E5400)+IF($F5400="",0,$F5400)-IF($G5400="",0,$G5400))</f>
        <v/>
      </c>
      <c r="I5400" s="12" t="n"/>
      <c r="J5400" s="12" t="n"/>
      <c r="K5400" s="12" t="n"/>
      <c r="L5400" s="14" t="n"/>
      <c r="M5400" s="12" t="n"/>
      <c r="N5400" s="12" t="n"/>
      <c r="O5400" s="12" t="n"/>
    </row>
    <row r="5401">
      <c r="A5401" s="12" t="n"/>
      <c r="B5401" s="13">
        <f>IF($A5401="","",IFERROR(INDEX(Emp_Names,MATCH($A5401,Emp_Codes,0)),"NOT FOUND"))</f>
        <v/>
      </c>
      <c r="C5401" s="14" t="n"/>
      <c r="D5401" s="15" t="n"/>
      <c r="E5401" s="15" t="n"/>
      <c r="F5401" s="15" t="n"/>
      <c r="G5401" s="15" t="n"/>
      <c r="H5401" s="16">
        <f>IF($A5401="","",$D5401+IF($E5401="",0,$E5401)+IF($F5401="",0,$F5401)-IF($G5401="",0,$G5401))</f>
        <v/>
      </c>
      <c r="I5401" s="12" t="n"/>
      <c r="J5401" s="12" t="n"/>
      <c r="K5401" s="12" t="n"/>
      <c r="L5401" s="14" t="n"/>
      <c r="M5401" s="12" t="n"/>
      <c r="N5401" s="12" t="n"/>
      <c r="O5401" s="12" t="n"/>
    </row>
    <row r="5402">
      <c r="A5402" s="12" t="n"/>
      <c r="B5402" s="13">
        <f>IF($A5402="","",IFERROR(INDEX(Emp_Names,MATCH($A5402,Emp_Codes,0)),"NOT FOUND"))</f>
        <v/>
      </c>
      <c r="C5402" s="14" t="n"/>
      <c r="D5402" s="15" t="n"/>
      <c r="E5402" s="15" t="n"/>
      <c r="F5402" s="15" t="n"/>
      <c r="G5402" s="15" t="n"/>
      <c r="H5402" s="16">
        <f>IF($A5402="","",$D5402+IF($E5402="",0,$E5402)+IF($F5402="",0,$F5402)-IF($G5402="",0,$G5402))</f>
        <v/>
      </c>
      <c r="I5402" s="12" t="n"/>
      <c r="J5402" s="12" t="n"/>
      <c r="K5402" s="12" t="n"/>
      <c r="L5402" s="14" t="n"/>
      <c r="M5402" s="12" t="n"/>
      <c r="N5402" s="12" t="n"/>
      <c r="O5402" s="12" t="n"/>
    </row>
    <row r="5403">
      <c r="A5403" s="12" t="n"/>
      <c r="B5403" s="13">
        <f>IF($A5403="","",IFERROR(INDEX(Emp_Names,MATCH($A5403,Emp_Codes,0)),"NOT FOUND"))</f>
        <v/>
      </c>
      <c r="C5403" s="14" t="n"/>
      <c r="D5403" s="15" t="n"/>
      <c r="E5403" s="15" t="n"/>
      <c r="F5403" s="15" t="n"/>
      <c r="G5403" s="15" t="n"/>
      <c r="H5403" s="16">
        <f>IF($A5403="","",$D5403+IF($E5403="",0,$E5403)+IF($F5403="",0,$F5403)-IF($G5403="",0,$G5403))</f>
        <v/>
      </c>
      <c r="I5403" s="12" t="n"/>
      <c r="J5403" s="12" t="n"/>
      <c r="K5403" s="12" t="n"/>
      <c r="L5403" s="14" t="n"/>
      <c r="M5403" s="12" t="n"/>
      <c r="N5403" s="12" t="n"/>
      <c r="O5403" s="12" t="n"/>
    </row>
    <row r="5404">
      <c r="A5404" s="12" t="n"/>
      <c r="B5404" s="13">
        <f>IF($A5404="","",IFERROR(INDEX(Emp_Names,MATCH($A5404,Emp_Codes,0)),"NOT FOUND"))</f>
        <v/>
      </c>
      <c r="C5404" s="14" t="n"/>
      <c r="D5404" s="15" t="n"/>
      <c r="E5404" s="15" t="n"/>
      <c r="F5404" s="15" t="n"/>
      <c r="G5404" s="15" t="n"/>
      <c r="H5404" s="16">
        <f>IF($A5404="","",$D5404+IF($E5404="",0,$E5404)+IF($F5404="",0,$F5404)-IF($G5404="",0,$G5404))</f>
        <v/>
      </c>
      <c r="I5404" s="12" t="n"/>
      <c r="J5404" s="12" t="n"/>
      <c r="K5404" s="12" t="n"/>
      <c r="L5404" s="14" t="n"/>
      <c r="M5404" s="12" t="n"/>
      <c r="N5404" s="12" t="n"/>
      <c r="O5404" s="12" t="n"/>
    </row>
    <row r="5405">
      <c r="A5405" s="12" t="n"/>
      <c r="B5405" s="13">
        <f>IF($A5405="","",IFERROR(INDEX(Emp_Names,MATCH($A5405,Emp_Codes,0)),"NOT FOUND"))</f>
        <v/>
      </c>
      <c r="C5405" s="14" t="n"/>
      <c r="D5405" s="15" t="n"/>
      <c r="E5405" s="15" t="n"/>
      <c r="F5405" s="15" t="n"/>
      <c r="G5405" s="15" t="n"/>
      <c r="H5405" s="16">
        <f>IF($A5405="","",$D5405+IF($E5405="",0,$E5405)+IF($F5405="",0,$F5405)-IF($G5405="",0,$G5405))</f>
        <v/>
      </c>
      <c r="I5405" s="12" t="n"/>
      <c r="J5405" s="12" t="n"/>
      <c r="K5405" s="12" t="n"/>
      <c r="L5405" s="14" t="n"/>
      <c r="M5405" s="12" t="n"/>
      <c r="N5405" s="12" t="n"/>
      <c r="O5405" s="12" t="n"/>
    </row>
    <row r="5406">
      <c r="A5406" s="12" t="n"/>
      <c r="B5406" s="13">
        <f>IF($A5406="","",IFERROR(INDEX(Emp_Names,MATCH($A5406,Emp_Codes,0)),"NOT FOUND"))</f>
        <v/>
      </c>
      <c r="C5406" s="14" t="n"/>
      <c r="D5406" s="15" t="n"/>
      <c r="E5406" s="15" t="n"/>
      <c r="F5406" s="15" t="n"/>
      <c r="G5406" s="15" t="n"/>
      <c r="H5406" s="16">
        <f>IF($A5406="","",$D5406+IF($E5406="",0,$E5406)+IF($F5406="",0,$F5406)-IF($G5406="",0,$G5406))</f>
        <v/>
      </c>
      <c r="I5406" s="12" t="n"/>
      <c r="J5406" s="12" t="n"/>
      <c r="K5406" s="12" t="n"/>
      <c r="L5406" s="14" t="n"/>
      <c r="M5406" s="12" t="n"/>
      <c r="N5406" s="12" t="n"/>
      <c r="O5406" s="12" t="n"/>
    </row>
    <row r="5407">
      <c r="A5407" s="12" t="n"/>
      <c r="B5407" s="13">
        <f>IF($A5407="","",IFERROR(INDEX(Emp_Names,MATCH($A5407,Emp_Codes,0)),"NOT FOUND"))</f>
        <v/>
      </c>
      <c r="C5407" s="14" t="n"/>
      <c r="D5407" s="15" t="n"/>
      <c r="E5407" s="15" t="n"/>
      <c r="F5407" s="15" t="n"/>
      <c r="G5407" s="15" t="n"/>
      <c r="H5407" s="16">
        <f>IF($A5407="","",$D5407+IF($E5407="",0,$E5407)+IF($F5407="",0,$F5407)-IF($G5407="",0,$G5407))</f>
        <v/>
      </c>
      <c r="I5407" s="12" t="n"/>
      <c r="J5407" s="12" t="n"/>
      <c r="K5407" s="12" t="n"/>
      <c r="L5407" s="14" t="n"/>
      <c r="M5407" s="12" t="n"/>
      <c r="N5407" s="12" t="n"/>
      <c r="O5407" s="12" t="n"/>
    </row>
    <row r="5408">
      <c r="A5408" s="12" t="n"/>
      <c r="B5408" s="13">
        <f>IF($A5408="","",IFERROR(INDEX(Emp_Names,MATCH($A5408,Emp_Codes,0)),"NOT FOUND"))</f>
        <v/>
      </c>
      <c r="C5408" s="14" t="n"/>
      <c r="D5408" s="15" t="n"/>
      <c r="E5408" s="15" t="n"/>
      <c r="F5408" s="15" t="n"/>
      <c r="G5408" s="15" t="n"/>
      <c r="H5408" s="16">
        <f>IF($A5408="","",$D5408+IF($E5408="",0,$E5408)+IF($F5408="",0,$F5408)-IF($G5408="",0,$G5408))</f>
        <v/>
      </c>
      <c r="I5408" s="12" t="n"/>
      <c r="J5408" s="12" t="n"/>
      <c r="K5408" s="12" t="n"/>
      <c r="L5408" s="14" t="n"/>
      <c r="M5408" s="12" t="n"/>
      <c r="N5408" s="12" t="n"/>
      <c r="O5408" s="12" t="n"/>
    </row>
    <row r="5409">
      <c r="A5409" s="12" t="n"/>
      <c r="B5409" s="13">
        <f>IF($A5409="","",IFERROR(INDEX(Emp_Names,MATCH($A5409,Emp_Codes,0)),"NOT FOUND"))</f>
        <v/>
      </c>
      <c r="C5409" s="14" t="n"/>
      <c r="D5409" s="15" t="n"/>
      <c r="E5409" s="15" t="n"/>
      <c r="F5409" s="15" t="n"/>
      <c r="G5409" s="15" t="n"/>
      <c r="H5409" s="16">
        <f>IF($A5409="","",$D5409+IF($E5409="",0,$E5409)+IF($F5409="",0,$F5409)-IF($G5409="",0,$G5409))</f>
        <v/>
      </c>
      <c r="I5409" s="12" t="n"/>
      <c r="J5409" s="12" t="n"/>
      <c r="K5409" s="12" t="n"/>
      <c r="L5409" s="14" t="n"/>
      <c r="M5409" s="12" t="n"/>
      <c r="N5409" s="12" t="n"/>
      <c r="O5409" s="12" t="n"/>
    </row>
    <row r="5410">
      <c r="A5410" s="12" t="n"/>
      <c r="B5410" s="13">
        <f>IF($A5410="","",IFERROR(INDEX(Emp_Names,MATCH($A5410,Emp_Codes,0)),"NOT FOUND"))</f>
        <v/>
      </c>
      <c r="C5410" s="14" t="n"/>
      <c r="D5410" s="15" t="n"/>
      <c r="E5410" s="15" t="n"/>
      <c r="F5410" s="15" t="n"/>
      <c r="G5410" s="15" t="n"/>
      <c r="H5410" s="16">
        <f>IF($A5410="","",$D5410+IF($E5410="",0,$E5410)+IF($F5410="",0,$F5410)-IF($G5410="",0,$G5410))</f>
        <v/>
      </c>
      <c r="I5410" s="12" t="n"/>
      <c r="J5410" s="12" t="n"/>
      <c r="K5410" s="12" t="n"/>
      <c r="L5410" s="14" t="n"/>
      <c r="M5410" s="12" t="n"/>
      <c r="N5410" s="12" t="n"/>
      <c r="O5410" s="12" t="n"/>
    </row>
    <row r="5411">
      <c r="A5411" s="12" t="n"/>
      <c r="B5411" s="13">
        <f>IF($A5411="","",IFERROR(INDEX(Emp_Names,MATCH($A5411,Emp_Codes,0)),"NOT FOUND"))</f>
        <v/>
      </c>
      <c r="C5411" s="14" t="n"/>
      <c r="D5411" s="15" t="n"/>
      <c r="E5411" s="15" t="n"/>
      <c r="F5411" s="15" t="n"/>
      <c r="G5411" s="15" t="n"/>
      <c r="H5411" s="16">
        <f>IF($A5411="","",$D5411+IF($E5411="",0,$E5411)+IF($F5411="",0,$F5411)-IF($G5411="",0,$G5411))</f>
        <v/>
      </c>
      <c r="I5411" s="12" t="n"/>
      <c r="J5411" s="12" t="n"/>
      <c r="K5411" s="12" t="n"/>
      <c r="L5411" s="14" t="n"/>
      <c r="M5411" s="12" t="n"/>
      <c r="N5411" s="12" t="n"/>
      <c r="O5411" s="12" t="n"/>
    </row>
    <row r="5412">
      <c r="A5412" s="12" t="n"/>
      <c r="B5412" s="13">
        <f>IF($A5412="","",IFERROR(INDEX(Emp_Names,MATCH($A5412,Emp_Codes,0)),"NOT FOUND"))</f>
        <v/>
      </c>
      <c r="C5412" s="14" t="n"/>
      <c r="D5412" s="15" t="n"/>
      <c r="E5412" s="15" t="n"/>
      <c r="F5412" s="15" t="n"/>
      <c r="G5412" s="15" t="n"/>
      <c r="H5412" s="16">
        <f>IF($A5412="","",$D5412+IF($E5412="",0,$E5412)+IF($F5412="",0,$F5412)-IF($G5412="",0,$G5412))</f>
        <v/>
      </c>
      <c r="I5412" s="12" t="n"/>
      <c r="J5412" s="12" t="n"/>
      <c r="K5412" s="12" t="n"/>
      <c r="L5412" s="14" t="n"/>
      <c r="M5412" s="12" t="n"/>
      <c r="N5412" s="12" t="n"/>
      <c r="O5412" s="12" t="n"/>
    </row>
    <row r="5413">
      <c r="A5413" s="12" t="n"/>
      <c r="B5413" s="13">
        <f>IF($A5413="","",IFERROR(INDEX(Emp_Names,MATCH($A5413,Emp_Codes,0)),"NOT FOUND"))</f>
        <v/>
      </c>
      <c r="C5413" s="14" t="n"/>
      <c r="D5413" s="15" t="n"/>
      <c r="E5413" s="15" t="n"/>
      <c r="F5413" s="15" t="n"/>
      <c r="G5413" s="15" t="n"/>
      <c r="H5413" s="16">
        <f>IF($A5413="","",$D5413+IF($E5413="",0,$E5413)+IF($F5413="",0,$F5413)-IF($G5413="",0,$G5413))</f>
        <v/>
      </c>
      <c r="I5413" s="12" t="n"/>
      <c r="J5413" s="12" t="n"/>
      <c r="K5413" s="12" t="n"/>
      <c r="L5413" s="14" t="n"/>
      <c r="M5413" s="12" t="n"/>
      <c r="N5413" s="12" t="n"/>
      <c r="O5413" s="12" t="n"/>
    </row>
    <row r="5414">
      <c r="A5414" s="12" t="n"/>
      <c r="B5414" s="13">
        <f>IF($A5414="","",IFERROR(INDEX(Emp_Names,MATCH($A5414,Emp_Codes,0)),"NOT FOUND"))</f>
        <v/>
      </c>
      <c r="C5414" s="14" t="n"/>
      <c r="D5414" s="15" t="n"/>
      <c r="E5414" s="15" t="n"/>
      <c r="F5414" s="15" t="n"/>
      <c r="G5414" s="15" t="n"/>
      <c r="H5414" s="16">
        <f>IF($A5414="","",$D5414+IF($E5414="",0,$E5414)+IF($F5414="",0,$F5414)-IF($G5414="",0,$G5414))</f>
        <v/>
      </c>
      <c r="I5414" s="12" t="n"/>
      <c r="J5414" s="12" t="n"/>
      <c r="K5414" s="12" t="n"/>
      <c r="L5414" s="14" t="n"/>
      <c r="M5414" s="12" t="n"/>
      <c r="N5414" s="12" t="n"/>
      <c r="O5414" s="12" t="n"/>
    </row>
    <row r="5415">
      <c r="A5415" s="12" t="n"/>
      <c r="B5415" s="13">
        <f>IF($A5415="","",IFERROR(INDEX(Emp_Names,MATCH($A5415,Emp_Codes,0)),"NOT FOUND"))</f>
        <v/>
      </c>
      <c r="C5415" s="14" t="n"/>
      <c r="D5415" s="15" t="n"/>
      <c r="E5415" s="15" t="n"/>
      <c r="F5415" s="15" t="n"/>
      <c r="G5415" s="15" t="n"/>
      <c r="H5415" s="16">
        <f>IF($A5415="","",$D5415+IF($E5415="",0,$E5415)+IF($F5415="",0,$F5415)-IF($G5415="",0,$G5415))</f>
        <v/>
      </c>
      <c r="I5415" s="12" t="n"/>
      <c r="J5415" s="12" t="n"/>
      <c r="K5415" s="12" t="n"/>
      <c r="L5415" s="14" t="n"/>
      <c r="M5415" s="12" t="n"/>
      <c r="N5415" s="12" t="n"/>
      <c r="O5415" s="12" t="n"/>
    </row>
    <row r="5416">
      <c r="A5416" s="12" t="n"/>
      <c r="B5416" s="13">
        <f>IF($A5416="","",IFERROR(INDEX(Emp_Names,MATCH($A5416,Emp_Codes,0)),"NOT FOUND"))</f>
        <v/>
      </c>
      <c r="C5416" s="14" t="n"/>
      <c r="D5416" s="15" t="n"/>
      <c r="E5416" s="15" t="n"/>
      <c r="F5416" s="15" t="n"/>
      <c r="G5416" s="15" t="n"/>
      <c r="H5416" s="16">
        <f>IF($A5416="","",$D5416+IF($E5416="",0,$E5416)+IF($F5416="",0,$F5416)-IF($G5416="",0,$G5416))</f>
        <v/>
      </c>
      <c r="I5416" s="12" t="n"/>
      <c r="J5416" s="12" t="n"/>
      <c r="K5416" s="12" t="n"/>
      <c r="L5416" s="14" t="n"/>
      <c r="M5416" s="12" t="n"/>
      <c r="N5416" s="12" t="n"/>
      <c r="O5416" s="12" t="n"/>
    </row>
    <row r="5417">
      <c r="A5417" s="12" t="n"/>
      <c r="B5417" s="13">
        <f>IF($A5417="","",IFERROR(INDEX(Emp_Names,MATCH($A5417,Emp_Codes,0)),"NOT FOUND"))</f>
        <v/>
      </c>
      <c r="C5417" s="14" t="n"/>
      <c r="D5417" s="15" t="n"/>
      <c r="E5417" s="15" t="n"/>
      <c r="F5417" s="15" t="n"/>
      <c r="G5417" s="15" t="n"/>
      <c r="H5417" s="16">
        <f>IF($A5417="","",$D5417+IF($E5417="",0,$E5417)+IF($F5417="",0,$F5417)-IF($G5417="",0,$G5417))</f>
        <v/>
      </c>
      <c r="I5417" s="12" t="n"/>
      <c r="J5417" s="12" t="n"/>
      <c r="K5417" s="12" t="n"/>
      <c r="L5417" s="14" t="n"/>
      <c r="M5417" s="12" t="n"/>
      <c r="N5417" s="12" t="n"/>
      <c r="O5417" s="12" t="n"/>
    </row>
    <row r="5418">
      <c r="A5418" s="12" t="n"/>
      <c r="B5418" s="13">
        <f>IF($A5418="","",IFERROR(INDEX(Emp_Names,MATCH($A5418,Emp_Codes,0)),"NOT FOUND"))</f>
        <v/>
      </c>
      <c r="C5418" s="14" t="n"/>
      <c r="D5418" s="15" t="n"/>
      <c r="E5418" s="15" t="n"/>
      <c r="F5418" s="15" t="n"/>
      <c r="G5418" s="15" t="n"/>
      <c r="H5418" s="16">
        <f>IF($A5418="","",$D5418+IF($E5418="",0,$E5418)+IF($F5418="",0,$F5418)-IF($G5418="",0,$G5418))</f>
        <v/>
      </c>
      <c r="I5418" s="12" t="n"/>
      <c r="J5418" s="12" t="n"/>
      <c r="K5418" s="12" t="n"/>
      <c r="L5418" s="14" t="n"/>
      <c r="M5418" s="12" t="n"/>
      <c r="N5418" s="12" t="n"/>
      <c r="O5418" s="12" t="n"/>
    </row>
    <row r="5419">
      <c r="A5419" s="12" t="n"/>
      <c r="B5419" s="13">
        <f>IF($A5419="","",IFERROR(INDEX(Emp_Names,MATCH($A5419,Emp_Codes,0)),"NOT FOUND"))</f>
        <v/>
      </c>
      <c r="C5419" s="14" t="n"/>
      <c r="D5419" s="15" t="n"/>
      <c r="E5419" s="15" t="n"/>
      <c r="F5419" s="15" t="n"/>
      <c r="G5419" s="15" t="n"/>
      <c r="H5419" s="16">
        <f>IF($A5419="","",$D5419+IF($E5419="",0,$E5419)+IF($F5419="",0,$F5419)-IF($G5419="",0,$G5419))</f>
        <v/>
      </c>
      <c r="I5419" s="12" t="n"/>
      <c r="J5419" s="12" t="n"/>
      <c r="K5419" s="12" t="n"/>
      <c r="L5419" s="14" t="n"/>
      <c r="M5419" s="12" t="n"/>
      <c r="N5419" s="12" t="n"/>
      <c r="O5419" s="12" t="n"/>
    </row>
    <row r="5420">
      <c r="A5420" s="12" t="n"/>
      <c r="B5420" s="13">
        <f>IF($A5420="","",IFERROR(INDEX(Emp_Names,MATCH($A5420,Emp_Codes,0)),"NOT FOUND"))</f>
        <v/>
      </c>
      <c r="C5420" s="14" t="n"/>
      <c r="D5420" s="15" t="n"/>
      <c r="E5420" s="15" t="n"/>
      <c r="F5420" s="15" t="n"/>
      <c r="G5420" s="15" t="n"/>
      <c r="H5420" s="16">
        <f>IF($A5420="","",$D5420+IF($E5420="",0,$E5420)+IF($F5420="",0,$F5420)-IF($G5420="",0,$G5420))</f>
        <v/>
      </c>
      <c r="I5420" s="12" t="n"/>
      <c r="J5420" s="12" t="n"/>
      <c r="K5420" s="12" t="n"/>
      <c r="L5420" s="14" t="n"/>
      <c r="M5420" s="12" t="n"/>
      <c r="N5420" s="12" t="n"/>
      <c r="O5420" s="12" t="n"/>
    </row>
    <row r="5421">
      <c r="A5421" s="12" t="n"/>
      <c r="B5421" s="13">
        <f>IF($A5421="","",IFERROR(INDEX(Emp_Names,MATCH($A5421,Emp_Codes,0)),"NOT FOUND"))</f>
        <v/>
      </c>
      <c r="C5421" s="14" t="n"/>
      <c r="D5421" s="15" t="n"/>
      <c r="E5421" s="15" t="n"/>
      <c r="F5421" s="15" t="n"/>
      <c r="G5421" s="15" t="n"/>
      <c r="H5421" s="16">
        <f>IF($A5421="","",$D5421+IF($E5421="",0,$E5421)+IF($F5421="",0,$F5421)-IF($G5421="",0,$G5421))</f>
        <v/>
      </c>
      <c r="I5421" s="12" t="n"/>
      <c r="J5421" s="12" t="n"/>
      <c r="K5421" s="12" t="n"/>
      <c r="L5421" s="14" t="n"/>
      <c r="M5421" s="12" t="n"/>
      <c r="N5421" s="12" t="n"/>
      <c r="O5421" s="12" t="n"/>
    </row>
    <row r="5422">
      <c r="A5422" s="12" t="n"/>
      <c r="B5422" s="13">
        <f>IF($A5422="","",IFERROR(INDEX(Emp_Names,MATCH($A5422,Emp_Codes,0)),"NOT FOUND"))</f>
        <v/>
      </c>
      <c r="C5422" s="14" t="n"/>
      <c r="D5422" s="15" t="n"/>
      <c r="E5422" s="15" t="n"/>
      <c r="F5422" s="15" t="n"/>
      <c r="G5422" s="15" t="n"/>
      <c r="H5422" s="16">
        <f>IF($A5422="","",$D5422+IF($E5422="",0,$E5422)+IF($F5422="",0,$F5422)-IF($G5422="",0,$G5422))</f>
        <v/>
      </c>
      <c r="I5422" s="12" t="n"/>
      <c r="J5422" s="12" t="n"/>
      <c r="K5422" s="12" t="n"/>
      <c r="L5422" s="14" t="n"/>
      <c r="M5422" s="12" t="n"/>
      <c r="N5422" s="12" t="n"/>
      <c r="O5422" s="12" t="n"/>
    </row>
    <row r="5423">
      <c r="A5423" s="12" t="n"/>
      <c r="B5423" s="13">
        <f>IF($A5423="","",IFERROR(INDEX(Emp_Names,MATCH($A5423,Emp_Codes,0)),"NOT FOUND"))</f>
        <v/>
      </c>
      <c r="C5423" s="14" t="n"/>
      <c r="D5423" s="15" t="n"/>
      <c r="E5423" s="15" t="n"/>
      <c r="F5423" s="15" t="n"/>
      <c r="G5423" s="15" t="n"/>
      <c r="H5423" s="16">
        <f>IF($A5423="","",$D5423+IF($E5423="",0,$E5423)+IF($F5423="",0,$F5423)-IF($G5423="",0,$G5423))</f>
        <v/>
      </c>
      <c r="I5423" s="12" t="n"/>
      <c r="J5423" s="12" t="n"/>
      <c r="K5423" s="12" t="n"/>
      <c r="L5423" s="14" t="n"/>
      <c r="M5423" s="12" t="n"/>
      <c r="N5423" s="12" t="n"/>
      <c r="O5423" s="12" t="n"/>
    </row>
    <row r="5424">
      <c r="A5424" s="12" t="n"/>
      <c r="B5424" s="13">
        <f>IF($A5424="","",IFERROR(INDEX(Emp_Names,MATCH($A5424,Emp_Codes,0)),"NOT FOUND"))</f>
        <v/>
      </c>
      <c r="C5424" s="14" t="n"/>
      <c r="D5424" s="15" t="n"/>
      <c r="E5424" s="15" t="n"/>
      <c r="F5424" s="15" t="n"/>
      <c r="G5424" s="15" t="n"/>
      <c r="H5424" s="16">
        <f>IF($A5424="","",$D5424+IF($E5424="",0,$E5424)+IF($F5424="",0,$F5424)-IF($G5424="",0,$G5424))</f>
        <v/>
      </c>
      <c r="I5424" s="12" t="n"/>
      <c r="J5424" s="12" t="n"/>
      <c r="K5424" s="12" t="n"/>
      <c r="L5424" s="14" t="n"/>
      <c r="M5424" s="12" t="n"/>
      <c r="N5424" s="12" t="n"/>
      <c r="O5424" s="12" t="n"/>
    </row>
    <row r="5425">
      <c r="A5425" s="12" t="n"/>
      <c r="B5425" s="13">
        <f>IF($A5425="","",IFERROR(INDEX(Emp_Names,MATCH($A5425,Emp_Codes,0)),"NOT FOUND"))</f>
        <v/>
      </c>
      <c r="C5425" s="14" t="n"/>
      <c r="D5425" s="15" t="n"/>
      <c r="E5425" s="15" t="n"/>
      <c r="F5425" s="15" t="n"/>
      <c r="G5425" s="15" t="n"/>
      <c r="H5425" s="16">
        <f>IF($A5425="","",$D5425+IF($E5425="",0,$E5425)+IF($F5425="",0,$F5425)-IF($G5425="",0,$G5425))</f>
        <v/>
      </c>
      <c r="I5425" s="12" t="n"/>
      <c r="J5425" s="12" t="n"/>
      <c r="K5425" s="12" t="n"/>
      <c r="L5425" s="14" t="n"/>
      <c r="M5425" s="12" t="n"/>
      <c r="N5425" s="12" t="n"/>
      <c r="O5425" s="12" t="n"/>
    </row>
    <row r="5426">
      <c r="A5426" s="12" t="n"/>
      <c r="B5426" s="13">
        <f>IF($A5426="","",IFERROR(INDEX(Emp_Names,MATCH($A5426,Emp_Codes,0)),"NOT FOUND"))</f>
        <v/>
      </c>
      <c r="C5426" s="14" t="n"/>
      <c r="D5426" s="15" t="n"/>
      <c r="E5426" s="15" t="n"/>
      <c r="F5426" s="15" t="n"/>
      <c r="G5426" s="15" t="n"/>
      <c r="H5426" s="16">
        <f>IF($A5426="","",$D5426+IF($E5426="",0,$E5426)+IF($F5426="",0,$F5426)-IF($G5426="",0,$G5426))</f>
        <v/>
      </c>
      <c r="I5426" s="12" t="n"/>
      <c r="J5426" s="12" t="n"/>
      <c r="K5426" s="12" t="n"/>
      <c r="L5426" s="14" t="n"/>
      <c r="M5426" s="12" t="n"/>
      <c r="N5426" s="12" t="n"/>
      <c r="O5426" s="12" t="n"/>
    </row>
    <row r="5427">
      <c r="A5427" s="12" t="n"/>
      <c r="B5427" s="13">
        <f>IF($A5427="","",IFERROR(INDEX(Emp_Names,MATCH($A5427,Emp_Codes,0)),"NOT FOUND"))</f>
        <v/>
      </c>
      <c r="C5427" s="14" t="n"/>
      <c r="D5427" s="15" t="n"/>
      <c r="E5427" s="15" t="n"/>
      <c r="F5427" s="15" t="n"/>
      <c r="G5427" s="15" t="n"/>
      <c r="H5427" s="16">
        <f>IF($A5427="","",$D5427+IF($E5427="",0,$E5427)+IF($F5427="",0,$F5427)-IF($G5427="",0,$G5427))</f>
        <v/>
      </c>
      <c r="I5427" s="12" t="n"/>
      <c r="J5427" s="12" t="n"/>
      <c r="K5427" s="12" t="n"/>
      <c r="L5427" s="14" t="n"/>
      <c r="M5427" s="12" t="n"/>
      <c r="N5427" s="12" t="n"/>
      <c r="O5427" s="12" t="n"/>
    </row>
    <row r="5428">
      <c r="A5428" s="12" t="n"/>
      <c r="B5428" s="13">
        <f>IF($A5428="","",IFERROR(INDEX(Emp_Names,MATCH($A5428,Emp_Codes,0)),"NOT FOUND"))</f>
        <v/>
      </c>
      <c r="C5428" s="14" t="n"/>
      <c r="D5428" s="15" t="n"/>
      <c r="E5428" s="15" t="n"/>
      <c r="F5428" s="15" t="n"/>
      <c r="G5428" s="15" t="n"/>
      <c r="H5428" s="16">
        <f>IF($A5428="","",$D5428+IF($E5428="",0,$E5428)+IF($F5428="",0,$F5428)-IF($G5428="",0,$G5428))</f>
        <v/>
      </c>
      <c r="I5428" s="12" t="n"/>
      <c r="J5428" s="12" t="n"/>
      <c r="K5428" s="12" t="n"/>
      <c r="L5428" s="14" t="n"/>
      <c r="M5428" s="12" t="n"/>
      <c r="N5428" s="12" t="n"/>
      <c r="O5428" s="12" t="n"/>
    </row>
    <row r="5429">
      <c r="A5429" s="12" t="n"/>
      <c r="B5429" s="13">
        <f>IF($A5429="","",IFERROR(INDEX(Emp_Names,MATCH($A5429,Emp_Codes,0)),"NOT FOUND"))</f>
        <v/>
      </c>
      <c r="C5429" s="14" t="n"/>
      <c r="D5429" s="15" t="n"/>
      <c r="E5429" s="15" t="n"/>
      <c r="F5429" s="15" t="n"/>
      <c r="G5429" s="15" t="n"/>
      <c r="H5429" s="16">
        <f>IF($A5429="","",$D5429+IF($E5429="",0,$E5429)+IF($F5429="",0,$F5429)-IF($G5429="",0,$G5429))</f>
        <v/>
      </c>
      <c r="I5429" s="12" t="n"/>
      <c r="J5429" s="12" t="n"/>
      <c r="K5429" s="12" t="n"/>
      <c r="L5429" s="14" t="n"/>
      <c r="M5429" s="12" t="n"/>
      <c r="N5429" s="12" t="n"/>
      <c r="O5429" s="12" t="n"/>
    </row>
    <row r="5430">
      <c r="A5430" s="12" t="n"/>
      <c r="B5430" s="13">
        <f>IF($A5430="","",IFERROR(INDEX(Emp_Names,MATCH($A5430,Emp_Codes,0)),"NOT FOUND"))</f>
        <v/>
      </c>
      <c r="C5430" s="14" t="n"/>
      <c r="D5430" s="15" t="n"/>
      <c r="E5430" s="15" t="n"/>
      <c r="F5430" s="15" t="n"/>
      <c r="G5430" s="15" t="n"/>
      <c r="H5430" s="16">
        <f>IF($A5430="","",$D5430+IF($E5430="",0,$E5430)+IF($F5430="",0,$F5430)-IF($G5430="",0,$G5430))</f>
        <v/>
      </c>
      <c r="I5430" s="12" t="n"/>
      <c r="J5430" s="12" t="n"/>
      <c r="K5430" s="12" t="n"/>
      <c r="L5430" s="14" t="n"/>
      <c r="M5430" s="12" t="n"/>
      <c r="N5430" s="12" t="n"/>
      <c r="O5430" s="12" t="n"/>
    </row>
    <row r="5431">
      <c r="A5431" s="12" t="n"/>
      <c r="B5431" s="13">
        <f>IF($A5431="","",IFERROR(INDEX(Emp_Names,MATCH($A5431,Emp_Codes,0)),"NOT FOUND"))</f>
        <v/>
      </c>
      <c r="C5431" s="14" t="n"/>
      <c r="D5431" s="15" t="n"/>
      <c r="E5431" s="15" t="n"/>
      <c r="F5431" s="15" t="n"/>
      <c r="G5431" s="15" t="n"/>
      <c r="H5431" s="16">
        <f>IF($A5431="","",$D5431+IF($E5431="",0,$E5431)+IF($F5431="",0,$F5431)-IF($G5431="",0,$G5431))</f>
        <v/>
      </c>
      <c r="I5431" s="12" t="n"/>
      <c r="J5431" s="12" t="n"/>
      <c r="K5431" s="12" t="n"/>
      <c r="L5431" s="14" t="n"/>
      <c r="M5431" s="12" t="n"/>
      <c r="N5431" s="12" t="n"/>
      <c r="O5431" s="12" t="n"/>
    </row>
    <row r="5432">
      <c r="A5432" s="12" t="n"/>
      <c r="B5432" s="13">
        <f>IF($A5432="","",IFERROR(INDEX(Emp_Names,MATCH($A5432,Emp_Codes,0)),"NOT FOUND"))</f>
        <v/>
      </c>
      <c r="C5432" s="14" t="n"/>
      <c r="D5432" s="15" t="n"/>
      <c r="E5432" s="15" t="n"/>
      <c r="F5432" s="15" t="n"/>
      <c r="G5432" s="15" t="n"/>
      <c r="H5432" s="16">
        <f>IF($A5432="","",$D5432+IF($E5432="",0,$E5432)+IF($F5432="",0,$F5432)-IF($G5432="",0,$G5432))</f>
        <v/>
      </c>
      <c r="I5432" s="12" t="n"/>
      <c r="J5432" s="12" t="n"/>
      <c r="K5432" s="12" t="n"/>
      <c r="L5432" s="14" t="n"/>
      <c r="M5432" s="12" t="n"/>
      <c r="N5432" s="12" t="n"/>
      <c r="O5432" s="12" t="n"/>
    </row>
    <row r="5433">
      <c r="A5433" s="12" t="n"/>
      <c r="B5433" s="13">
        <f>IF($A5433="","",IFERROR(INDEX(Emp_Names,MATCH($A5433,Emp_Codes,0)),"NOT FOUND"))</f>
        <v/>
      </c>
      <c r="C5433" s="14" t="n"/>
      <c r="D5433" s="15" t="n"/>
      <c r="E5433" s="15" t="n"/>
      <c r="F5433" s="15" t="n"/>
      <c r="G5433" s="15" t="n"/>
      <c r="H5433" s="16">
        <f>IF($A5433="","",$D5433+IF($E5433="",0,$E5433)+IF($F5433="",0,$F5433)-IF($G5433="",0,$G5433))</f>
        <v/>
      </c>
      <c r="I5433" s="12" t="n"/>
      <c r="J5433" s="12" t="n"/>
      <c r="K5433" s="12" t="n"/>
      <c r="L5433" s="14" t="n"/>
      <c r="M5433" s="12" t="n"/>
      <c r="N5433" s="12" t="n"/>
      <c r="O5433" s="12" t="n"/>
    </row>
    <row r="5434">
      <c r="A5434" s="12" t="n"/>
      <c r="B5434" s="13">
        <f>IF($A5434="","",IFERROR(INDEX(Emp_Names,MATCH($A5434,Emp_Codes,0)),"NOT FOUND"))</f>
        <v/>
      </c>
      <c r="C5434" s="14" t="n"/>
      <c r="D5434" s="15" t="n"/>
      <c r="E5434" s="15" t="n"/>
      <c r="F5434" s="15" t="n"/>
      <c r="G5434" s="15" t="n"/>
      <c r="H5434" s="16">
        <f>IF($A5434="","",$D5434+IF($E5434="",0,$E5434)+IF($F5434="",0,$F5434)-IF($G5434="",0,$G5434))</f>
        <v/>
      </c>
      <c r="I5434" s="12" t="n"/>
      <c r="J5434" s="12" t="n"/>
      <c r="K5434" s="12" t="n"/>
      <c r="L5434" s="14" t="n"/>
      <c r="M5434" s="12" t="n"/>
      <c r="N5434" s="12" t="n"/>
      <c r="O5434" s="12" t="n"/>
    </row>
    <row r="5435">
      <c r="A5435" s="12" t="n"/>
      <c r="B5435" s="13">
        <f>IF($A5435="","",IFERROR(INDEX(Emp_Names,MATCH($A5435,Emp_Codes,0)),"NOT FOUND"))</f>
        <v/>
      </c>
      <c r="C5435" s="14" t="n"/>
      <c r="D5435" s="15" t="n"/>
      <c r="E5435" s="15" t="n"/>
      <c r="F5435" s="15" t="n"/>
      <c r="G5435" s="15" t="n"/>
      <c r="H5435" s="16">
        <f>IF($A5435="","",$D5435+IF($E5435="",0,$E5435)+IF($F5435="",0,$F5435)-IF($G5435="",0,$G5435))</f>
        <v/>
      </c>
      <c r="I5435" s="12" t="n"/>
      <c r="J5435" s="12" t="n"/>
      <c r="K5435" s="12" t="n"/>
      <c r="L5435" s="14" t="n"/>
      <c r="M5435" s="12" t="n"/>
      <c r="N5435" s="12" t="n"/>
      <c r="O5435" s="12" t="n"/>
    </row>
    <row r="5436">
      <c r="A5436" s="12" t="n"/>
      <c r="B5436" s="13">
        <f>IF($A5436="","",IFERROR(INDEX(Emp_Names,MATCH($A5436,Emp_Codes,0)),"NOT FOUND"))</f>
        <v/>
      </c>
      <c r="C5436" s="14" t="n"/>
      <c r="D5436" s="15" t="n"/>
      <c r="E5436" s="15" t="n"/>
      <c r="F5436" s="15" t="n"/>
      <c r="G5436" s="15" t="n"/>
      <c r="H5436" s="16">
        <f>IF($A5436="","",$D5436+IF($E5436="",0,$E5436)+IF($F5436="",0,$F5436)-IF($G5436="",0,$G5436))</f>
        <v/>
      </c>
      <c r="I5436" s="12" t="n"/>
      <c r="J5436" s="12" t="n"/>
      <c r="K5436" s="12" t="n"/>
      <c r="L5436" s="14" t="n"/>
      <c r="M5436" s="12" t="n"/>
      <c r="N5436" s="12" t="n"/>
      <c r="O5436" s="12" t="n"/>
    </row>
    <row r="5437">
      <c r="A5437" s="12" t="n"/>
      <c r="B5437" s="13">
        <f>IF($A5437="","",IFERROR(INDEX(Emp_Names,MATCH($A5437,Emp_Codes,0)),"NOT FOUND"))</f>
        <v/>
      </c>
      <c r="C5437" s="14" t="n"/>
      <c r="D5437" s="15" t="n"/>
      <c r="E5437" s="15" t="n"/>
      <c r="F5437" s="15" t="n"/>
      <c r="G5437" s="15" t="n"/>
      <c r="H5437" s="16">
        <f>IF($A5437="","",$D5437+IF($E5437="",0,$E5437)+IF($F5437="",0,$F5437)-IF($G5437="",0,$G5437))</f>
        <v/>
      </c>
      <c r="I5437" s="12" t="n"/>
      <c r="J5437" s="12" t="n"/>
      <c r="K5437" s="12" t="n"/>
      <c r="L5437" s="14" t="n"/>
      <c r="M5437" s="12" t="n"/>
      <c r="N5437" s="12" t="n"/>
      <c r="O5437" s="12" t="n"/>
    </row>
    <row r="5438">
      <c r="A5438" s="12" t="n"/>
      <c r="B5438" s="13">
        <f>IF($A5438="","",IFERROR(INDEX(Emp_Names,MATCH($A5438,Emp_Codes,0)),"NOT FOUND"))</f>
        <v/>
      </c>
      <c r="C5438" s="14" t="n"/>
      <c r="D5438" s="15" t="n"/>
      <c r="E5438" s="15" t="n"/>
      <c r="F5438" s="15" t="n"/>
      <c r="G5438" s="15" t="n"/>
      <c r="H5438" s="16">
        <f>IF($A5438="","",$D5438+IF($E5438="",0,$E5438)+IF($F5438="",0,$F5438)-IF($G5438="",0,$G5438))</f>
        <v/>
      </c>
      <c r="I5438" s="12" t="n"/>
      <c r="J5438" s="12" t="n"/>
      <c r="K5438" s="12" t="n"/>
      <c r="L5438" s="14" t="n"/>
      <c r="M5438" s="12" t="n"/>
      <c r="N5438" s="12" t="n"/>
      <c r="O5438" s="12" t="n"/>
    </row>
    <row r="5439">
      <c r="A5439" s="12" t="n"/>
      <c r="B5439" s="13">
        <f>IF($A5439="","",IFERROR(INDEX(Emp_Names,MATCH($A5439,Emp_Codes,0)),"NOT FOUND"))</f>
        <v/>
      </c>
      <c r="C5439" s="14" t="n"/>
      <c r="D5439" s="15" t="n"/>
      <c r="E5439" s="15" t="n"/>
      <c r="F5439" s="15" t="n"/>
      <c r="G5439" s="15" t="n"/>
      <c r="H5439" s="16">
        <f>IF($A5439="","",$D5439+IF($E5439="",0,$E5439)+IF($F5439="",0,$F5439)-IF($G5439="",0,$G5439))</f>
        <v/>
      </c>
      <c r="I5439" s="12" t="n"/>
      <c r="J5439" s="12" t="n"/>
      <c r="K5439" s="12" t="n"/>
      <c r="L5439" s="14" t="n"/>
      <c r="M5439" s="12" t="n"/>
      <c r="N5439" s="12" t="n"/>
      <c r="O5439" s="12" t="n"/>
    </row>
    <row r="5440">
      <c r="A5440" s="12" t="n"/>
      <c r="B5440" s="13">
        <f>IF($A5440="","",IFERROR(INDEX(Emp_Names,MATCH($A5440,Emp_Codes,0)),"NOT FOUND"))</f>
        <v/>
      </c>
      <c r="C5440" s="14" t="n"/>
      <c r="D5440" s="15" t="n"/>
      <c r="E5440" s="15" t="n"/>
      <c r="F5440" s="15" t="n"/>
      <c r="G5440" s="15" t="n"/>
      <c r="H5440" s="16">
        <f>IF($A5440="","",$D5440+IF($E5440="",0,$E5440)+IF($F5440="",0,$F5440)-IF($G5440="",0,$G5440))</f>
        <v/>
      </c>
      <c r="I5440" s="12" t="n"/>
      <c r="J5440" s="12" t="n"/>
      <c r="K5440" s="12" t="n"/>
      <c r="L5440" s="14" t="n"/>
      <c r="M5440" s="12" t="n"/>
      <c r="N5440" s="12" t="n"/>
      <c r="O5440" s="12" t="n"/>
    </row>
    <row r="5441">
      <c r="A5441" s="12" t="n"/>
      <c r="B5441" s="13">
        <f>IF($A5441="","",IFERROR(INDEX(Emp_Names,MATCH($A5441,Emp_Codes,0)),"NOT FOUND"))</f>
        <v/>
      </c>
      <c r="C5441" s="14" t="n"/>
      <c r="D5441" s="15" t="n"/>
      <c r="E5441" s="15" t="n"/>
      <c r="F5441" s="15" t="n"/>
      <c r="G5441" s="15" t="n"/>
      <c r="H5441" s="16">
        <f>IF($A5441="","",$D5441+IF($E5441="",0,$E5441)+IF($F5441="",0,$F5441)-IF($G5441="",0,$G5441))</f>
        <v/>
      </c>
      <c r="I5441" s="12" t="n"/>
      <c r="J5441" s="12" t="n"/>
      <c r="K5441" s="12" t="n"/>
      <c r="L5441" s="14" t="n"/>
      <c r="M5441" s="12" t="n"/>
      <c r="N5441" s="12" t="n"/>
      <c r="O5441" s="12" t="n"/>
    </row>
    <row r="5442">
      <c r="A5442" s="12" t="n"/>
      <c r="B5442" s="13">
        <f>IF($A5442="","",IFERROR(INDEX(Emp_Names,MATCH($A5442,Emp_Codes,0)),"NOT FOUND"))</f>
        <v/>
      </c>
      <c r="C5442" s="14" t="n"/>
      <c r="D5442" s="15" t="n"/>
      <c r="E5442" s="15" t="n"/>
      <c r="F5442" s="15" t="n"/>
      <c r="G5442" s="15" t="n"/>
      <c r="H5442" s="16">
        <f>IF($A5442="","",$D5442+IF($E5442="",0,$E5442)+IF($F5442="",0,$F5442)-IF($G5442="",0,$G5442))</f>
        <v/>
      </c>
      <c r="I5442" s="12" t="n"/>
      <c r="J5442" s="12" t="n"/>
      <c r="K5442" s="12" t="n"/>
      <c r="L5442" s="14" t="n"/>
      <c r="M5442" s="12" t="n"/>
      <c r="N5442" s="12" t="n"/>
      <c r="O5442" s="12" t="n"/>
    </row>
    <row r="5443">
      <c r="A5443" s="12" t="n"/>
      <c r="B5443" s="13">
        <f>IF($A5443="","",IFERROR(INDEX(Emp_Names,MATCH($A5443,Emp_Codes,0)),"NOT FOUND"))</f>
        <v/>
      </c>
      <c r="C5443" s="14" t="n"/>
      <c r="D5443" s="15" t="n"/>
      <c r="E5443" s="15" t="n"/>
      <c r="F5443" s="15" t="n"/>
      <c r="G5443" s="15" t="n"/>
      <c r="H5443" s="16">
        <f>IF($A5443="","",$D5443+IF($E5443="",0,$E5443)+IF($F5443="",0,$F5443)-IF($G5443="",0,$G5443))</f>
        <v/>
      </c>
      <c r="I5443" s="12" t="n"/>
      <c r="J5443" s="12" t="n"/>
      <c r="K5443" s="12" t="n"/>
      <c r="L5443" s="14" t="n"/>
      <c r="M5443" s="12" t="n"/>
      <c r="N5443" s="12" t="n"/>
      <c r="O5443" s="12" t="n"/>
    </row>
    <row r="5444">
      <c r="A5444" s="12" t="n"/>
      <c r="B5444" s="13">
        <f>IF($A5444="","",IFERROR(INDEX(Emp_Names,MATCH($A5444,Emp_Codes,0)),"NOT FOUND"))</f>
        <v/>
      </c>
      <c r="C5444" s="14" t="n"/>
      <c r="D5444" s="15" t="n"/>
      <c r="E5444" s="15" t="n"/>
      <c r="F5444" s="15" t="n"/>
      <c r="G5444" s="15" t="n"/>
      <c r="H5444" s="16">
        <f>IF($A5444="","",$D5444+IF($E5444="",0,$E5444)+IF($F5444="",0,$F5444)-IF($G5444="",0,$G5444))</f>
        <v/>
      </c>
      <c r="I5444" s="12" t="n"/>
      <c r="J5444" s="12" t="n"/>
      <c r="K5444" s="12" t="n"/>
      <c r="L5444" s="14" t="n"/>
      <c r="M5444" s="12" t="n"/>
      <c r="N5444" s="12" t="n"/>
      <c r="O5444" s="12" t="n"/>
    </row>
    <row r="5445">
      <c r="A5445" s="12" t="n"/>
      <c r="B5445" s="13">
        <f>IF($A5445="","",IFERROR(INDEX(Emp_Names,MATCH($A5445,Emp_Codes,0)),"NOT FOUND"))</f>
        <v/>
      </c>
      <c r="C5445" s="14" t="n"/>
      <c r="D5445" s="15" t="n"/>
      <c r="E5445" s="15" t="n"/>
      <c r="F5445" s="15" t="n"/>
      <c r="G5445" s="15" t="n"/>
      <c r="H5445" s="16">
        <f>IF($A5445="","",$D5445+IF($E5445="",0,$E5445)+IF($F5445="",0,$F5445)-IF($G5445="",0,$G5445))</f>
        <v/>
      </c>
      <c r="I5445" s="12" t="n"/>
      <c r="J5445" s="12" t="n"/>
      <c r="K5445" s="12" t="n"/>
      <c r="L5445" s="14" t="n"/>
      <c r="M5445" s="12" t="n"/>
      <c r="N5445" s="12" t="n"/>
      <c r="O5445" s="12" t="n"/>
    </row>
    <row r="5446">
      <c r="A5446" s="12" t="n"/>
      <c r="B5446" s="13">
        <f>IF($A5446="","",IFERROR(INDEX(Emp_Names,MATCH($A5446,Emp_Codes,0)),"NOT FOUND"))</f>
        <v/>
      </c>
      <c r="C5446" s="14" t="n"/>
      <c r="D5446" s="15" t="n"/>
      <c r="E5446" s="15" t="n"/>
      <c r="F5446" s="15" t="n"/>
      <c r="G5446" s="15" t="n"/>
      <c r="H5446" s="16">
        <f>IF($A5446="","",$D5446+IF($E5446="",0,$E5446)+IF($F5446="",0,$F5446)-IF($G5446="",0,$G5446))</f>
        <v/>
      </c>
      <c r="I5446" s="12" t="n"/>
      <c r="J5446" s="12" t="n"/>
      <c r="K5446" s="12" t="n"/>
      <c r="L5446" s="14" t="n"/>
      <c r="M5446" s="12" t="n"/>
      <c r="N5446" s="12" t="n"/>
      <c r="O5446" s="12" t="n"/>
    </row>
    <row r="5447">
      <c r="A5447" s="12" t="n"/>
      <c r="B5447" s="13">
        <f>IF($A5447="","",IFERROR(INDEX(Emp_Names,MATCH($A5447,Emp_Codes,0)),"NOT FOUND"))</f>
        <v/>
      </c>
      <c r="C5447" s="14" t="n"/>
      <c r="D5447" s="15" t="n"/>
      <c r="E5447" s="15" t="n"/>
      <c r="F5447" s="15" t="n"/>
      <c r="G5447" s="15" t="n"/>
      <c r="H5447" s="16">
        <f>IF($A5447="","",$D5447+IF($E5447="",0,$E5447)+IF($F5447="",0,$F5447)-IF($G5447="",0,$G5447))</f>
        <v/>
      </c>
      <c r="I5447" s="12" t="n"/>
      <c r="J5447" s="12" t="n"/>
      <c r="K5447" s="12" t="n"/>
      <c r="L5447" s="14" t="n"/>
      <c r="M5447" s="12" t="n"/>
      <c r="N5447" s="12" t="n"/>
      <c r="O5447" s="12" t="n"/>
    </row>
    <row r="5448">
      <c r="A5448" s="12" t="n"/>
      <c r="B5448" s="13">
        <f>IF($A5448="","",IFERROR(INDEX(Emp_Names,MATCH($A5448,Emp_Codes,0)),"NOT FOUND"))</f>
        <v/>
      </c>
      <c r="C5448" s="14" t="n"/>
      <c r="D5448" s="15" t="n"/>
      <c r="E5448" s="15" t="n"/>
      <c r="F5448" s="15" t="n"/>
      <c r="G5448" s="15" t="n"/>
      <c r="H5448" s="16">
        <f>IF($A5448="","",$D5448+IF($E5448="",0,$E5448)+IF($F5448="",0,$F5448)-IF($G5448="",0,$G5448))</f>
        <v/>
      </c>
      <c r="I5448" s="12" t="n"/>
      <c r="J5448" s="12" t="n"/>
      <c r="K5448" s="12" t="n"/>
      <c r="L5448" s="14" t="n"/>
      <c r="M5448" s="12" t="n"/>
      <c r="N5448" s="12" t="n"/>
      <c r="O5448" s="12" t="n"/>
    </row>
    <row r="5449">
      <c r="A5449" s="12" t="n"/>
      <c r="B5449" s="13">
        <f>IF($A5449="","",IFERROR(INDEX(Emp_Names,MATCH($A5449,Emp_Codes,0)),"NOT FOUND"))</f>
        <v/>
      </c>
      <c r="C5449" s="14" t="n"/>
      <c r="D5449" s="15" t="n"/>
      <c r="E5449" s="15" t="n"/>
      <c r="F5449" s="15" t="n"/>
      <c r="G5449" s="15" t="n"/>
      <c r="H5449" s="16">
        <f>IF($A5449="","",$D5449+IF($E5449="",0,$E5449)+IF($F5449="",0,$F5449)-IF($G5449="",0,$G5449))</f>
        <v/>
      </c>
      <c r="I5449" s="12" t="n"/>
      <c r="J5449" s="12" t="n"/>
      <c r="K5449" s="12" t="n"/>
      <c r="L5449" s="14" t="n"/>
      <c r="M5449" s="12" t="n"/>
      <c r="N5449" s="12" t="n"/>
      <c r="O5449" s="12" t="n"/>
    </row>
    <row r="5450">
      <c r="A5450" s="12" t="n"/>
      <c r="B5450" s="13">
        <f>IF($A5450="","",IFERROR(INDEX(Emp_Names,MATCH($A5450,Emp_Codes,0)),"NOT FOUND"))</f>
        <v/>
      </c>
      <c r="C5450" s="14" t="n"/>
      <c r="D5450" s="15" t="n"/>
      <c r="E5450" s="15" t="n"/>
      <c r="F5450" s="15" t="n"/>
      <c r="G5450" s="15" t="n"/>
      <c r="H5450" s="16">
        <f>IF($A5450="","",$D5450+IF($E5450="",0,$E5450)+IF($F5450="",0,$F5450)-IF($G5450="",0,$G5450))</f>
        <v/>
      </c>
      <c r="I5450" s="12" t="n"/>
      <c r="J5450" s="12" t="n"/>
      <c r="K5450" s="12" t="n"/>
      <c r="L5450" s="14" t="n"/>
      <c r="M5450" s="12" t="n"/>
      <c r="N5450" s="12" t="n"/>
      <c r="O5450" s="12" t="n"/>
    </row>
    <row r="5451">
      <c r="A5451" s="12" t="n"/>
      <c r="B5451" s="13">
        <f>IF($A5451="","",IFERROR(INDEX(Emp_Names,MATCH($A5451,Emp_Codes,0)),"NOT FOUND"))</f>
        <v/>
      </c>
      <c r="C5451" s="14" t="n"/>
      <c r="D5451" s="15" t="n"/>
      <c r="E5451" s="15" t="n"/>
      <c r="F5451" s="15" t="n"/>
      <c r="G5451" s="15" t="n"/>
      <c r="H5451" s="16">
        <f>IF($A5451="","",$D5451+IF($E5451="",0,$E5451)+IF($F5451="",0,$F5451)-IF($G5451="",0,$G5451))</f>
        <v/>
      </c>
      <c r="I5451" s="12" t="n"/>
      <c r="J5451" s="12" t="n"/>
      <c r="K5451" s="12" t="n"/>
      <c r="L5451" s="14" t="n"/>
      <c r="M5451" s="12" t="n"/>
      <c r="N5451" s="12" t="n"/>
      <c r="O5451" s="12" t="n"/>
    </row>
    <row r="5452">
      <c r="A5452" s="12" t="n"/>
      <c r="B5452" s="13">
        <f>IF($A5452="","",IFERROR(INDEX(Emp_Names,MATCH($A5452,Emp_Codes,0)),"NOT FOUND"))</f>
        <v/>
      </c>
      <c r="C5452" s="14" t="n"/>
      <c r="D5452" s="15" t="n"/>
      <c r="E5452" s="15" t="n"/>
      <c r="F5452" s="15" t="n"/>
      <c r="G5452" s="15" t="n"/>
      <c r="H5452" s="16">
        <f>IF($A5452="","",$D5452+IF($E5452="",0,$E5452)+IF($F5452="",0,$F5452)-IF($G5452="",0,$G5452))</f>
        <v/>
      </c>
      <c r="I5452" s="12" t="n"/>
      <c r="J5452" s="12" t="n"/>
      <c r="K5452" s="12" t="n"/>
      <c r="L5452" s="14" t="n"/>
      <c r="M5452" s="12" t="n"/>
      <c r="N5452" s="12" t="n"/>
      <c r="O5452" s="12" t="n"/>
    </row>
    <row r="5453">
      <c r="A5453" s="12" t="n"/>
      <c r="B5453" s="13">
        <f>IF($A5453="","",IFERROR(INDEX(Emp_Names,MATCH($A5453,Emp_Codes,0)),"NOT FOUND"))</f>
        <v/>
      </c>
      <c r="C5453" s="14" t="n"/>
      <c r="D5453" s="15" t="n"/>
      <c r="E5453" s="15" t="n"/>
      <c r="F5453" s="15" t="n"/>
      <c r="G5453" s="15" t="n"/>
      <c r="H5453" s="16">
        <f>IF($A5453="","",$D5453+IF($E5453="",0,$E5453)+IF($F5453="",0,$F5453)-IF($G5453="",0,$G5453))</f>
        <v/>
      </c>
      <c r="I5453" s="12" t="n"/>
      <c r="J5453" s="12" t="n"/>
      <c r="K5453" s="12" t="n"/>
      <c r="L5453" s="14" t="n"/>
      <c r="M5453" s="12" t="n"/>
      <c r="N5453" s="12" t="n"/>
      <c r="O5453" s="12" t="n"/>
    </row>
    <row r="5454">
      <c r="A5454" s="12" t="n"/>
      <c r="B5454" s="13">
        <f>IF($A5454="","",IFERROR(INDEX(Emp_Names,MATCH($A5454,Emp_Codes,0)),"NOT FOUND"))</f>
        <v/>
      </c>
      <c r="C5454" s="14" t="n"/>
      <c r="D5454" s="15" t="n"/>
      <c r="E5454" s="15" t="n"/>
      <c r="F5454" s="15" t="n"/>
      <c r="G5454" s="15" t="n"/>
      <c r="H5454" s="16">
        <f>IF($A5454="","",$D5454+IF($E5454="",0,$E5454)+IF($F5454="",0,$F5454)-IF($G5454="",0,$G5454))</f>
        <v/>
      </c>
      <c r="I5454" s="12" t="n"/>
      <c r="J5454" s="12" t="n"/>
      <c r="K5454" s="12" t="n"/>
      <c r="L5454" s="14" t="n"/>
      <c r="M5454" s="12" t="n"/>
      <c r="N5454" s="12" t="n"/>
      <c r="O5454" s="12" t="n"/>
    </row>
    <row r="5455">
      <c r="A5455" s="12" t="n"/>
      <c r="B5455" s="13">
        <f>IF($A5455="","",IFERROR(INDEX(Emp_Names,MATCH($A5455,Emp_Codes,0)),"NOT FOUND"))</f>
        <v/>
      </c>
      <c r="C5455" s="14" t="n"/>
      <c r="D5455" s="15" t="n"/>
      <c r="E5455" s="15" t="n"/>
      <c r="F5455" s="15" t="n"/>
      <c r="G5455" s="15" t="n"/>
      <c r="H5455" s="16">
        <f>IF($A5455="","",$D5455+IF($E5455="",0,$E5455)+IF($F5455="",0,$F5455)-IF($G5455="",0,$G5455))</f>
        <v/>
      </c>
      <c r="I5455" s="12" t="n"/>
      <c r="J5455" s="12" t="n"/>
      <c r="K5455" s="12" t="n"/>
      <c r="L5455" s="14" t="n"/>
      <c r="M5455" s="12" t="n"/>
      <c r="N5455" s="12" t="n"/>
      <c r="O5455" s="12" t="n"/>
    </row>
    <row r="5456">
      <c r="A5456" s="12" t="n"/>
      <c r="B5456" s="13">
        <f>IF($A5456="","",IFERROR(INDEX(Emp_Names,MATCH($A5456,Emp_Codes,0)),"NOT FOUND"))</f>
        <v/>
      </c>
      <c r="C5456" s="14" t="n"/>
      <c r="D5456" s="15" t="n"/>
      <c r="E5456" s="15" t="n"/>
      <c r="F5456" s="15" t="n"/>
      <c r="G5456" s="15" t="n"/>
      <c r="H5456" s="16">
        <f>IF($A5456="","",$D5456+IF($E5456="",0,$E5456)+IF($F5456="",0,$F5456)-IF($G5456="",0,$G5456))</f>
        <v/>
      </c>
      <c r="I5456" s="12" t="n"/>
      <c r="J5456" s="12" t="n"/>
      <c r="K5456" s="12" t="n"/>
      <c r="L5456" s="14" t="n"/>
      <c r="M5456" s="12" t="n"/>
      <c r="N5456" s="12" t="n"/>
      <c r="O5456" s="12" t="n"/>
    </row>
    <row r="5457">
      <c r="A5457" s="12" t="n"/>
      <c r="B5457" s="13">
        <f>IF($A5457="","",IFERROR(INDEX(Emp_Names,MATCH($A5457,Emp_Codes,0)),"NOT FOUND"))</f>
        <v/>
      </c>
      <c r="C5457" s="14" t="n"/>
      <c r="D5457" s="15" t="n"/>
      <c r="E5457" s="15" t="n"/>
      <c r="F5457" s="15" t="n"/>
      <c r="G5457" s="15" t="n"/>
      <c r="H5457" s="16">
        <f>IF($A5457="","",$D5457+IF($E5457="",0,$E5457)+IF($F5457="",0,$F5457)-IF($G5457="",0,$G5457))</f>
        <v/>
      </c>
      <c r="I5457" s="12" t="n"/>
      <c r="J5457" s="12" t="n"/>
      <c r="K5457" s="12" t="n"/>
      <c r="L5457" s="14" t="n"/>
      <c r="M5457" s="12" t="n"/>
      <c r="N5457" s="12" t="n"/>
      <c r="O5457" s="12" t="n"/>
    </row>
    <row r="5458">
      <c r="A5458" s="12" t="n"/>
      <c r="B5458" s="13">
        <f>IF($A5458="","",IFERROR(INDEX(Emp_Names,MATCH($A5458,Emp_Codes,0)),"NOT FOUND"))</f>
        <v/>
      </c>
      <c r="C5458" s="14" t="n"/>
      <c r="D5458" s="15" t="n"/>
      <c r="E5458" s="15" t="n"/>
      <c r="F5458" s="15" t="n"/>
      <c r="G5458" s="15" t="n"/>
      <c r="H5458" s="16">
        <f>IF($A5458="","",$D5458+IF($E5458="",0,$E5458)+IF($F5458="",0,$F5458)-IF($G5458="",0,$G5458))</f>
        <v/>
      </c>
      <c r="I5458" s="12" t="n"/>
      <c r="J5458" s="12" t="n"/>
      <c r="K5458" s="12" t="n"/>
      <c r="L5458" s="14" t="n"/>
      <c r="M5458" s="12" t="n"/>
      <c r="N5458" s="12" t="n"/>
      <c r="O5458" s="12" t="n"/>
    </row>
    <row r="5459">
      <c r="A5459" s="12" t="n"/>
      <c r="B5459" s="13">
        <f>IF($A5459="","",IFERROR(INDEX(Emp_Names,MATCH($A5459,Emp_Codes,0)),"NOT FOUND"))</f>
        <v/>
      </c>
      <c r="C5459" s="14" t="n"/>
      <c r="D5459" s="15" t="n"/>
      <c r="E5459" s="15" t="n"/>
      <c r="F5459" s="15" t="n"/>
      <c r="G5459" s="15" t="n"/>
      <c r="H5459" s="16">
        <f>IF($A5459="","",$D5459+IF($E5459="",0,$E5459)+IF($F5459="",0,$F5459)-IF($G5459="",0,$G5459))</f>
        <v/>
      </c>
      <c r="I5459" s="12" t="n"/>
      <c r="J5459" s="12" t="n"/>
      <c r="K5459" s="12" t="n"/>
      <c r="L5459" s="14" t="n"/>
      <c r="M5459" s="12" t="n"/>
      <c r="N5459" s="12" t="n"/>
      <c r="O5459" s="12" t="n"/>
    </row>
    <row r="5460">
      <c r="A5460" s="12" t="n"/>
      <c r="B5460" s="13">
        <f>IF($A5460="","",IFERROR(INDEX(Emp_Names,MATCH($A5460,Emp_Codes,0)),"NOT FOUND"))</f>
        <v/>
      </c>
      <c r="C5460" s="14" t="n"/>
      <c r="D5460" s="15" t="n"/>
      <c r="E5460" s="15" t="n"/>
      <c r="F5460" s="15" t="n"/>
      <c r="G5460" s="15" t="n"/>
      <c r="H5460" s="16">
        <f>IF($A5460="","",$D5460+IF($E5460="",0,$E5460)+IF($F5460="",0,$F5460)-IF($G5460="",0,$G5460))</f>
        <v/>
      </c>
      <c r="I5460" s="12" t="n"/>
      <c r="J5460" s="12" t="n"/>
      <c r="K5460" s="12" t="n"/>
      <c r="L5460" s="14" t="n"/>
      <c r="M5460" s="12" t="n"/>
      <c r="N5460" s="12" t="n"/>
      <c r="O5460" s="12" t="n"/>
    </row>
    <row r="5461">
      <c r="A5461" s="12" t="n"/>
      <c r="B5461" s="13">
        <f>IF($A5461="","",IFERROR(INDEX(Emp_Names,MATCH($A5461,Emp_Codes,0)),"NOT FOUND"))</f>
        <v/>
      </c>
      <c r="C5461" s="14" t="n"/>
      <c r="D5461" s="15" t="n"/>
      <c r="E5461" s="15" t="n"/>
      <c r="F5461" s="15" t="n"/>
      <c r="G5461" s="15" t="n"/>
      <c r="H5461" s="16">
        <f>IF($A5461="","",$D5461+IF($E5461="",0,$E5461)+IF($F5461="",0,$F5461)-IF($G5461="",0,$G5461))</f>
        <v/>
      </c>
      <c r="I5461" s="12" t="n"/>
      <c r="J5461" s="12" t="n"/>
      <c r="K5461" s="12" t="n"/>
      <c r="L5461" s="14" t="n"/>
      <c r="M5461" s="12" t="n"/>
      <c r="N5461" s="12" t="n"/>
      <c r="O5461" s="12" t="n"/>
    </row>
    <row r="5462">
      <c r="A5462" s="12" t="n"/>
      <c r="B5462" s="13">
        <f>IF($A5462="","",IFERROR(INDEX(Emp_Names,MATCH($A5462,Emp_Codes,0)),"NOT FOUND"))</f>
        <v/>
      </c>
      <c r="C5462" s="14" t="n"/>
      <c r="D5462" s="15" t="n"/>
      <c r="E5462" s="15" t="n"/>
      <c r="F5462" s="15" t="n"/>
      <c r="G5462" s="15" t="n"/>
      <c r="H5462" s="16">
        <f>IF($A5462="","",$D5462+IF($E5462="",0,$E5462)+IF($F5462="",0,$F5462)-IF($G5462="",0,$G5462))</f>
        <v/>
      </c>
      <c r="I5462" s="12" t="n"/>
      <c r="J5462" s="12" t="n"/>
      <c r="K5462" s="12" t="n"/>
      <c r="L5462" s="14" t="n"/>
      <c r="M5462" s="12" t="n"/>
      <c r="N5462" s="12" t="n"/>
      <c r="O5462" s="12" t="n"/>
    </row>
    <row r="5463">
      <c r="A5463" s="12" t="n"/>
      <c r="B5463" s="13">
        <f>IF($A5463="","",IFERROR(INDEX(Emp_Names,MATCH($A5463,Emp_Codes,0)),"NOT FOUND"))</f>
        <v/>
      </c>
      <c r="C5463" s="14" t="n"/>
      <c r="D5463" s="15" t="n"/>
      <c r="E5463" s="15" t="n"/>
      <c r="F5463" s="15" t="n"/>
      <c r="G5463" s="15" t="n"/>
      <c r="H5463" s="16">
        <f>IF($A5463="","",$D5463+IF($E5463="",0,$E5463)+IF($F5463="",0,$F5463)-IF($G5463="",0,$G5463))</f>
        <v/>
      </c>
      <c r="I5463" s="12" t="n"/>
      <c r="J5463" s="12" t="n"/>
      <c r="K5463" s="12" t="n"/>
      <c r="L5463" s="14" t="n"/>
      <c r="M5463" s="12" t="n"/>
      <c r="N5463" s="12" t="n"/>
      <c r="O5463" s="12" t="n"/>
    </row>
    <row r="5464">
      <c r="A5464" s="12" t="n"/>
      <c r="B5464" s="13">
        <f>IF($A5464="","",IFERROR(INDEX(Emp_Names,MATCH($A5464,Emp_Codes,0)),"NOT FOUND"))</f>
        <v/>
      </c>
      <c r="C5464" s="14" t="n"/>
      <c r="D5464" s="15" t="n"/>
      <c r="E5464" s="15" t="n"/>
      <c r="F5464" s="15" t="n"/>
      <c r="G5464" s="15" t="n"/>
      <c r="H5464" s="16">
        <f>IF($A5464="","",$D5464+IF($E5464="",0,$E5464)+IF($F5464="",0,$F5464)-IF($G5464="",0,$G5464))</f>
        <v/>
      </c>
      <c r="I5464" s="12" t="n"/>
      <c r="J5464" s="12" t="n"/>
      <c r="K5464" s="12" t="n"/>
      <c r="L5464" s="14" t="n"/>
      <c r="M5464" s="12" t="n"/>
      <c r="N5464" s="12" t="n"/>
      <c r="O5464" s="12" t="n"/>
    </row>
    <row r="5465">
      <c r="A5465" s="12" t="n"/>
      <c r="B5465" s="13">
        <f>IF($A5465="","",IFERROR(INDEX(Emp_Names,MATCH($A5465,Emp_Codes,0)),"NOT FOUND"))</f>
        <v/>
      </c>
      <c r="C5465" s="14" t="n"/>
      <c r="D5465" s="15" t="n"/>
      <c r="E5465" s="15" t="n"/>
      <c r="F5465" s="15" t="n"/>
      <c r="G5465" s="15" t="n"/>
      <c r="H5465" s="16">
        <f>IF($A5465="","",$D5465+IF($E5465="",0,$E5465)+IF($F5465="",0,$F5465)-IF($G5465="",0,$G5465))</f>
        <v/>
      </c>
      <c r="I5465" s="12" t="n"/>
      <c r="J5465" s="12" t="n"/>
      <c r="K5465" s="12" t="n"/>
      <c r="L5465" s="14" t="n"/>
      <c r="M5465" s="12" t="n"/>
      <c r="N5465" s="12" t="n"/>
      <c r="O5465" s="12" t="n"/>
    </row>
    <row r="5466">
      <c r="A5466" s="12" t="n"/>
      <c r="B5466" s="13">
        <f>IF($A5466="","",IFERROR(INDEX(Emp_Names,MATCH($A5466,Emp_Codes,0)),"NOT FOUND"))</f>
        <v/>
      </c>
      <c r="C5466" s="14" t="n"/>
      <c r="D5466" s="15" t="n"/>
      <c r="E5466" s="15" t="n"/>
      <c r="F5466" s="15" t="n"/>
      <c r="G5466" s="15" t="n"/>
      <c r="H5466" s="16">
        <f>IF($A5466="","",$D5466+IF($E5466="",0,$E5466)+IF($F5466="",0,$F5466)-IF($G5466="",0,$G5466))</f>
        <v/>
      </c>
      <c r="I5466" s="12" t="n"/>
      <c r="J5466" s="12" t="n"/>
      <c r="K5466" s="12" t="n"/>
      <c r="L5466" s="14" t="n"/>
      <c r="M5466" s="12" t="n"/>
      <c r="N5466" s="12" t="n"/>
      <c r="O5466" s="12" t="n"/>
    </row>
    <row r="5467">
      <c r="A5467" s="12" t="n"/>
      <c r="B5467" s="13">
        <f>IF($A5467="","",IFERROR(INDEX(Emp_Names,MATCH($A5467,Emp_Codes,0)),"NOT FOUND"))</f>
        <v/>
      </c>
      <c r="C5467" s="14" t="n"/>
      <c r="D5467" s="15" t="n"/>
      <c r="E5467" s="15" t="n"/>
      <c r="F5467" s="15" t="n"/>
      <c r="G5467" s="15" t="n"/>
      <c r="H5467" s="16">
        <f>IF($A5467="","",$D5467+IF($E5467="",0,$E5467)+IF($F5467="",0,$F5467)-IF($G5467="",0,$G5467))</f>
        <v/>
      </c>
      <c r="I5467" s="12" t="n"/>
      <c r="J5467" s="12" t="n"/>
      <c r="K5467" s="12" t="n"/>
      <c r="L5467" s="14" t="n"/>
      <c r="M5467" s="12" t="n"/>
      <c r="N5467" s="12" t="n"/>
      <c r="O5467" s="12" t="n"/>
    </row>
    <row r="5468">
      <c r="A5468" s="12" t="n"/>
      <c r="B5468" s="13">
        <f>IF($A5468="","",IFERROR(INDEX(Emp_Names,MATCH($A5468,Emp_Codes,0)),"NOT FOUND"))</f>
        <v/>
      </c>
      <c r="C5468" s="14" t="n"/>
      <c r="D5468" s="15" t="n"/>
      <c r="E5468" s="15" t="n"/>
      <c r="F5468" s="15" t="n"/>
      <c r="G5468" s="15" t="n"/>
      <c r="H5468" s="16">
        <f>IF($A5468="","",$D5468+IF($E5468="",0,$E5468)+IF($F5468="",0,$F5468)-IF($G5468="",0,$G5468))</f>
        <v/>
      </c>
      <c r="I5468" s="12" t="n"/>
      <c r="J5468" s="12" t="n"/>
      <c r="K5468" s="12" t="n"/>
      <c r="L5468" s="14" t="n"/>
      <c r="M5468" s="12" t="n"/>
      <c r="N5468" s="12" t="n"/>
      <c r="O5468" s="12" t="n"/>
    </row>
    <row r="5469">
      <c r="A5469" s="12" t="n"/>
      <c r="B5469" s="13">
        <f>IF($A5469="","",IFERROR(INDEX(Emp_Names,MATCH($A5469,Emp_Codes,0)),"NOT FOUND"))</f>
        <v/>
      </c>
      <c r="C5469" s="14" t="n"/>
      <c r="D5469" s="15" t="n"/>
      <c r="E5469" s="15" t="n"/>
      <c r="F5469" s="15" t="n"/>
      <c r="G5469" s="15" t="n"/>
      <c r="H5469" s="16">
        <f>IF($A5469="","",$D5469+IF($E5469="",0,$E5469)+IF($F5469="",0,$F5469)-IF($G5469="",0,$G5469))</f>
        <v/>
      </c>
      <c r="I5469" s="12" t="n"/>
      <c r="J5469" s="12" t="n"/>
      <c r="K5469" s="12" t="n"/>
      <c r="L5469" s="14" t="n"/>
      <c r="M5469" s="12" t="n"/>
      <c r="N5469" s="12" t="n"/>
      <c r="O5469" s="12" t="n"/>
    </row>
    <row r="5470">
      <c r="A5470" s="12" t="n"/>
      <c r="B5470" s="13">
        <f>IF($A5470="","",IFERROR(INDEX(Emp_Names,MATCH($A5470,Emp_Codes,0)),"NOT FOUND"))</f>
        <v/>
      </c>
      <c r="C5470" s="14" t="n"/>
      <c r="D5470" s="15" t="n"/>
      <c r="E5470" s="15" t="n"/>
      <c r="F5470" s="15" t="n"/>
      <c r="G5470" s="15" t="n"/>
      <c r="H5470" s="16">
        <f>IF($A5470="","",$D5470+IF($E5470="",0,$E5470)+IF($F5470="",0,$F5470)-IF($G5470="",0,$G5470))</f>
        <v/>
      </c>
      <c r="I5470" s="12" t="n"/>
      <c r="J5470" s="12" t="n"/>
      <c r="K5470" s="12" t="n"/>
      <c r="L5470" s="14" t="n"/>
      <c r="M5470" s="12" t="n"/>
      <c r="N5470" s="12" t="n"/>
      <c r="O5470" s="12" t="n"/>
    </row>
    <row r="5471">
      <c r="A5471" s="12" t="n"/>
      <c r="B5471" s="13">
        <f>IF($A5471="","",IFERROR(INDEX(Emp_Names,MATCH($A5471,Emp_Codes,0)),"NOT FOUND"))</f>
        <v/>
      </c>
      <c r="C5471" s="14" t="n"/>
      <c r="D5471" s="15" t="n"/>
      <c r="E5471" s="15" t="n"/>
      <c r="F5471" s="15" t="n"/>
      <c r="G5471" s="15" t="n"/>
      <c r="H5471" s="16">
        <f>IF($A5471="","",$D5471+IF($E5471="",0,$E5471)+IF($F5471="",0,$F5471)-IF($G5471="",0,$G5471))</f>
        <v/>
      </c>
      <c r="I5471" s="12" t="n"/>
      <c r="J5471" s="12" t="n"/>
      <c r="K5471" s="12" t="n"/>
      <c r="L5471" s="14" t="n"/>
      <c r="M5471" s="12" t="n"/>
      <c r="N5471" s="12" t="n"/>
      <c r="O5471" s="12" t="n"/>
    </row>
    <row r="5472">
      <c r="A5472" s="12" t="n"/>
      <c r="B5472" s="13">
        <f>IF($A5472="","",IFERROR(INDEX(Emp_Names,MATCH($A5472,Emp_Codes,0)),"NOT FOUND"))</f>
        <v/>
      </c>
      <c r="C5472" s="14" t="n"/>
      <c r="D5472" s="15" t="n"/>
      <c r="E5472" s="15" t="n"/>
      <c r="F5472" s="15" t="n"/>
      <c r="G5472" s="15" t="n"/>
      <c r="H5472" s="16">
        <f>IF($A5472="","",$D5472+IF($E5472="",0,$E5472)+IF($F5472="",0,$F5472)-IF($G5472="",0,$G5472))</f>
        <v/>
      </c>
      <c r="I5472" s="12" t="n"/>
      <c r="J5472" s="12" t="n"/>
      <c r="K5472" s="12" t="n"/>
      <c r="L5472" s="14" t="n"/>
      <c r="M5472" s="12" t="n"/>
      <c r="N5472" s="12" t="n"/>
      <c r="O5472" s="12" t="n"/>
    </row>
    <row r="5473">
      <c r="A5473" s="12" t="n"/>
      <c r="B5473" s="13">
        <f>IF($A5473="","",IFERROR(INDEX(Emp_Names,MATCH($A5473,Emp_Codes,0)),"NOT FOUND"))</f>
        <v/>
      </c>
      <c r="C5473" s="14" t="n"/>
      <c r="D5473" s="15" t="n"/>
      <c r="E5473" s="15" t="n"/>
      <c r="F5473" s="15" t="n"/>
      <c r="G5473" s="15" t="n"/>
      <c r="H5473" s="16">
        <f>IF($A5473="","",$D5473+IF($E5473="",0,$E5473)+IF($F5473="",0,$F5473)-IF($G5473="",0,$G5473))</f>
        <v/>
      </c>
      <c r="I5473" s="12" t="n"/>
      <c r="J5473" s="12" t="n"/>
      <c r="K5473" s="12" t="n"/>
      <c r="L5473" s="14" t="n"/>
      <c r="M5473" s="12" t="n"/>
      <c r="N5473" s="12" t="n"/>
      <c r="O5473" s="12" t="n"/>
    </row>
    <row r="5474">
      <c r="A5474" s="12" t="n"/>
      <c r="B5474" s="13">
        <f>IF($A5474="","",IFERROR(INDEX(Emp_Names,MATCH($A5474,Emp_Codes,0)),"NOT FOUND"))</f>
        <v/>
      </c>
      <c r="C5474" s="14" t="n"/>
      <c r="D5474" s="15" t="n"/>
      <c r="E5474" s="15" t="n"/>
      <c r="F5474" s="15" t="n"/>
      <c r="G5474" s="15" t="n"/>
      <c r="H5474" s="16">
        <f>IF($A5474="","",$D5474+IF($E5474="",0,$E5474)+IF($F5474="",0,$F5474)-IF($G5474="",0,$G5474))</f>
        <v/>
      </c>
      <c r="I5474" s="12" t="n"/>
      <c r="J5474" s="12" t="n"/>
      <c r="K5474" s="12" t="n"/>
      <c r="L5474" s="14" t="n"/>
      <c r="M5474" s="12" t="n"/>
      <c r="N5474" s="12" t="n"/>
      <c r="O5474" s="12" t="n"/>
    </row>
    <row r="5475">
      <c r="A5475" s="12" t="n"/>
      <c r="B5475" s="13">
        <f>IF($A5475="","",IFERROR(INDEX(Emp_Names,MATCH($A5475,Emp_Codes,0)),"NOT FOUND"))</f>
        <v/>
      </c>
      <c r="C5475" s="14" t="n"/>
      <c r="D5475" s="15" t="n"/>
      <c r="E5475" s="15" t="n"/>
      <c r="F5475" s="15" t="n"/>
      <c r="G5475" s="15" t="n"/>
      <c r="H5475" s="16">
        <f>IF($A5475="","",$D5475+IF($E5475="",0,$E5475)+IF($F5475="",0,$F5475)-IF($G5475="",0,$G5475))</f>
        <v/>
      </c>
      <c r="I5475" s="12" t="n"/>
      <c r="J5475" s="12" t="n"/>
      <c r="K5475" s="12" t="n"/>
      <c r="L5475" s="14" t="n"/>
      <c r="M5475" s="12" t="n"/>
      <c r="N5475" s="12" t="n"/>
      <c r="O5475" s="12" t="n"/>
    </row>
    <row r="5476">
      <c r="A5476" s="12" t="n"/>
      <c r="B5476" s="13">
        <f>IF($A5476="","",IFERROR(INDEX(Emp_Names,MATCH($A5476,Emp_Codes,0)),"NOT FOUND"))</f>
        <v/>
      </c>
      <c r="C5476" s="14" t="n"/>
      <c r="D5476" s="15" t="n"/>
      <c r="E5476" s="15" t="n"/>
      <c r="F5476" s="15" t="n"/>
      <c r="G5476" s="15" t="n"/>
      <c r="H5476" s="16">
        <f>IF($A5476="","",$D5476+IF($E5476="",0,$E5476)+IF($F5476="",0,$F5476)-IF($G5476="",0,$G5476))</f>
        <v/>
      </c>
      <c r="I5476" s="12" t="n"/>
      <c r="J5476" s="12" t="n"/>
      <c r="K5476" s="12" t="n"/>
      <c r="L5476" s="14" t="n"/>
      <c r="M5476" s="12" t="n"/>
      <c r="N5476" s="12" t="n"/>
      <c r="O5476" s="12" t="n"/>
    </row>
    <row r="5477">
      <c r="A5477" s="12" t="n"/>
      <c r="B5477" s="13">
        <f>IF($A5477="","",IFERROR(INDEX(Emp_Names,MATCH($A5477,Emp_Codes,0)),"NOT FOUND"))</f>
        <v/>
      </c>
      <c r="C5477" s="14" t="n"/>
      <c r="D5477" s="15" t="n"/>
      <c r="E5477" s="15" t="n"/>
      <c r="F5477" s="15" t="n"/>
      <c r="G5477" s="15" t="n"/>
      <c r="H5477" s="16">
        <f>IF($A5477="","",$D5477+IF($E5477="",0,$E5477)+IF($F5477="",0,$F5477)-IF($G5477="",0,$G5477))</f>
        <v/>
      </c>
      <c r="I5477" s="12" t="n"/>
      <c r="J5477" s="12" t="n"/>
      <c r="K5477" s="12" t="n"/>
      <c r="L5477" s="14" t="n"/>
      <c r="M5477" s="12" t="n"/>
      <c r="N5477" s="12" t="n"/>
      <c r="O5477" s="12" t="n"/>
    </row>
    <row r="5478">
      <c r="A5478" s="12" t="n"/>
      <c r="B5478" s="13">
        <f>IF($A5478="","",IFERROR(INDEX(Emp_Names,MATCH($A5478,Emp_Codes,0)),"NOT FOUND"))</f>
        <v/>
      </c>
      <c r="C5478" s="14" t="n"/>
      <c r="D5478" s="15" t="n"/>
      <c r="E5478" s="15" t="n"/>
      <c r="F5478" s="15" t="n"/>
      <c r="G5478" s="15" t="n"/>
      <c r="H5478" s="16">
        <f>IF($A5478="","",$D5478+IF($E5478="",0,$E5478)+IF($F5478="",0,$F5478)-IF($G5478="",0,$G5478))</f>
        <v/>
      </c>
      <c r="I5478" s="12" t="n"/>
      <c r="J5478" s="12" t="n"/>
      <c r="K5478" s="12" t="n"/>
      <c r="L5478" s="14" t="n"/>
      <c r="M5478" s="12" t="n"/>
      <c r="N5478" s="12" t="n"/>
      <c r="O5478" s="12" t="n"/>
    </row>
    <row r="5479">
      <c r="A5479" s="12" t="n"/>
      <c r="B5479" s="13">
        <f>IF($A5479="","",IFERROR(INDEX(Emp_Names,MATCH($A5479,Emp_Codes,0)),"NOT FOUND"))</f>
        <v/>
      </c>
      <c r="C5479" s="14" t="n"/>
      <c r="D5479" s="15" t="n"/>
      <c r="E5479" s="15" t="n"/>
      <c r="F5479" s="15" t="n"/>
      <c r="G5479" s="15" t="n"/>
      <c r="H5479" s="16">
        <f>IF($A5479="","",$D5479+IF($E5479="",0,$E5479)+IF($F5479="",0,$F5479)-IF($G5479="",0,$G5479))</f>
        <v/>
      </c>
      <c r="I5479" s="12" t="n"/>
      <c r="J5479" s="12" t="n"/>
      <c r="K5479" s="12" t="n"/>
      <c r="L5479" s="14" t="n"/>
      <c r="M5479" s="12" t="n"/>
      <c r="N5479" s="12" t="n"/>
      <c r="O5479" s="12" t="n"/>
    </row>
    <row r="5480">
      <c r="A5480" s="12" t="n"/>
      <c r="B5480" s="13">
        <f>IF($A5480="","",IFERROR(INDEX(Emp_Names,MATCH($A5480,Emp_Codes,0)),"NOT FOUND"))</f>
        <v/>
      </c>
      <c r="C5480" s="14" t="n"/>
      <c r="D5480" s="15" t="n"/>
      <c r="E5480" s="15" t="n"/>
      <c r="F5480" s="15" t="n"/>
      <c r="G5480" s="15" t="n"/>
      <c r="H5480" s="16">
        <f>IF($A5480="","",$D5480+IF($E5480="",0,$E5480)+IF($F5480="",0,$F5480)-IF($G5480="",0,$G5480))</f>
        <v/>
      </c>
      <c r="I5480" s="12" t="n"/>
      <c r="J5480" s="12" t="n"/>
      <c r="K5480" s="12" t="n"/>
      <c r="L5480" s="14" t="n"/>
      <c r="M5480" s="12" t="n"/>
      <c r="N5480" s="12" t="n"/>
      <c r="O5480" s="12" t="n"/>
    </row>
    <row r="5481">
      <c r="A5481" s="12" t="n"/>
      <c r="B5481" s="13">
        <f>IF($A5481="","",IFERROR(INDEX(Emp_Names,MATCH($A5481,Emp_Codes,0)),"NOT FOUND"))</f>
        <v/>
      </c>
      <c r="C5481" s="14" t="n"/>
      <c r="D5481" s="15" t="n"/>
      <c r="E5481" s="15" t="n"/>
      <c r="F5481" s="15" t="n"/>
      <c r="G5481" s="15" t="n"/>
      <c r="H5481" s="16">
        <f>IF($A5481="","",$D5481+IF($E5481="",0,$E5481)+IF($F5481="",0,$F5481)-IF($G5481="",0,$G5481))</f>
        <v/>
      </c>
      <c r="I5481" s="12" t="n"/>
      <c r="J5481" s="12" t="n"/>
      <c r="K5481" s="12" t="n"/>
      <c r="L5481" s="14" t="n"/>
      <c r="M5481" s="12" t="n"/>
      <c r="N5481" s="12" t="n"/>
      <c r="O5481" s="12" t="n"/>
    </row>
    <row r="5482">
      <c r="A5482" s="12" t="n"/>
      <c r="B5482" s="13">
        <f>IF($A5482="","",IFERROR(INDEX(Emp_Names,MATCH($A5482,Emp_Codes,0)),"NOT FOUND"))</f>
        <v/>
      </c>
      <c r="C5482" s="14" t="n"/>
      <c r="D5482" s="15" t="n"/>
      <c r="E5482" s="15" t="n"/>
      <c r="F5482" s="15" t="n"/>
      <c r="G5482" s="15" t="n"/>
      <c r="H5482" s="16">
        <f>IF($A5482="","",$D5482+IF($E5482="",0,$E5482)+IF($F5482="",0,$F5482)-IF($G5482="",0,$G5482))</f>
        <v/>
      </c>
      <c r="I5482" s="12" t="n"/>
      <c r="J5482" s="12" t="n"/>
      <c r="K5482" s="12" t="n"/>
      <c r="L5482" s="14" t="n"/>
      <c r="M5482" s="12" t="n"/>
      <c r="N5482" s="12" t="n"/>
      <c r="O5482" s="12" t="n"/>
    </row>
    <row r="5483">
      <c r="A5483" s="12" t="n"/>
      <c r="B5483" s="13">
        <f>IF($A5483="","",IFERROR(INDEX(Emp_Names,MATCH($A5483,Emp_Codes,0)),"NOT FOUND"))</f>
        <v/>
      </c>
      <c r="C5483" s="14" t="n"/>
      <c r="D5483" s="15" t="n"/>
      <c r="E5483" s="15" t="n"/>
      <c r="F5483" s="15" t="n"/>
      <c r="G5483" s="15" t="n"/>
      <c r="H5483" s="16">
        <f>IF($A5483="","",$D5483+IF($E5483="",0,$E5483)+IF($F5483="",0,$F5483)-IF($G5483="",0,$G5483))</f>
        <v/>
      </c>
      <c r="I5483" s="12" t="n"/>
      <c r="J5483" s="12" t="n"/>
      <c r="K5483" s="12" t="n"/>
      <c r="L5483" s="14" t="n"/>
      <c r="M5483" s="12" t="n"/>
      <c r="N5483" s="12" t="n"/>
      <c r="O5483" s="12" t="n"/>
    </row>
    <row r="5484">
      <c r="A5484" s="12" t="n"/>
      <c r="B5484" s="13">
        <f>IF($A5484="","",IFERROR(INDEX(Emp_Names,MATCH($A5484,Emp_Codes,0)),"NOT FOUND"))</f>
        <v/>
      </c>
      <c r="C5484" s="14" t="n"/>
      <c r="D5484" s="15" t="n"/>
      <c r="E5484" s="15" t="n"/>
      <c r="F5484" s="15" t="n"/>
      <c r="G5484" s="15" t="n"/>
      <c r="H5484" s="16">
        <f>IF($A5484="","",$D5484+IF($E5484="",0,$E5484)+IF($F5484="",0,$F5484)-IF($G5484="",0,$G5484))</f>
        <v/>
      </c>
      <c r="I5484" s="12" t="n"/>
      <c r="J5484" s="12" t="n"/>
      <c r="K5484" s="12" t="n"/>
      <c r="L5484" s="14" t="n"/>
      <c r="M5484" s="12" t="n"/>
      <c r="N5484" s="12" t="n"/>
      <c r="O5484" s="12" t="n"/>
    </row>
    <row r="5485">
      <c r="A5485" s="12" t="n"/>
      <c r="B5485" s="13">
        <f>IF($A5485="","",IFERROR(INDEX(Emp_Names,MATCH($A5485,Emp_Codes,0)),"NOT FOUND"))</f>
        <v/>
      </c>
      <c r="C5485" s="14" t="n"/>
      <c r="D5485" s="15" t="n"/>
      <c r="E5485" s="15" t="n"/>
      <c r="F5485" s="15" t="n"/>
      <c r="G5485" s="15" t="n"/>
      <c r="H5485" s="16">
        <f>IF($A5485="","",$D5485+IF($E5485="",0,$E5485)+IF($F5485="",0,$F5485)-IF($G5485="",0,$G5485))</f>
        <v/>
      </c>
      <c r="I5485" s="12" t="n"/>
      <c r="J5485" s="12" t="n"/>
      <c r="K5485" s="12" t="n"/>
      <c r="L5485" s="14" t="n"/>
      <c r="M5485" s="12" t="n"/>
      <c r="N5485" s="12" t="n"/>
      <c r="O5485" s="12" t="n"/>
    </row>
    <row r="5486">
      <c r="A5486" s="12" t="n"/>
      <c r="B5486" s="13">
        <f>IF($A5486="","",IFERROR(INDEX(Emp_Names,MATCH($A5486,Emp_Codes,0)),"NOT FOUND"))</f>
        <v/>
      </c>
      <c r="C5486" s="14" t="n"/>
      <c r="D5486" s="15" t="n"/>
      <c r="E5486" s="15" t="n"/>
      <c r="F5486" s="15" t="n"/>
      <c r="G5486" s="15" t="n"/>
      <c r="H5486" s="16">
        <f>IF($A5486="","",$D5486+IF($E5486="",0,$E5486)+IF($F5486="",0,$F5486)-IF($G5486="",0,$G5486))</f>
        <v/>
      </c>
      <c r="I5486" s="12" t="n"/>
      <c r="J5486" s="12" t="n"/>
      <c r="K5486" s="12" t="n"/>
      <c r="L5486" s="14" t="n"/>
      <c r="M5486" s="12" t="n"/>
      <c r="N5486" s="12" t="n"/>
      <c r="O5486" s="12" t="n"/>
    </row>
    <row r="5487">
      <c r="A5487" s="12" t="n"/>
      <c r="B5487" s="13">
        <f>IF($A5487="","",IFERROR(INDEX(Emp_Names,MATCH($A5487,Emp_Codes,0)),"NOT FOUND"))</f>
        <v/>
      </c>
      <c r="C5487" s="14" t="n"/>
      <c r="D5487" s="15" t="n"/>
      <c r="E5487" s="15" t="n"/>
      <c r="F5487" s="15" t="n"/>
      <c r="G5487" s="15" t="n"/>
      <c r="H5487" s="16">
        <f>IF($A5487="","",$D5487+IF($E5487="",0,$E5487)+IF($F5487="",0,$F5487)-IF($G5487="",0,$G5487))</f>
        <v/>
      </c>
      <c r="I5487" s="12" t="n"/>
      <c r="J5487" s="12" t="n"/>
      <c r="K5487" s="12" t="n"/>
      <c r="L5487" s="14" t="n"/>
      <c r="M5487" s="12" t="n"/>
      <c r="N5487" s="12" t="n"/>
      <c r="O5487" s="12" t="n"/>
    </row>
    <row r="5488">
      <c r="A5488" s="12" t="n"/>
      <c r="B5488" s="13">
        <f>IF($A5488="","",IFERROR(INDEX(Emp_Names,MATCH($A5488,Emp_Codes,0)),"NOT FOUND"))</f>
        <v/>
      </c>
      <c r="C5488" s="14" t="n"/>
      <c r="D5488" s="15" t="n"/>
      <c r="E5488" s="15" t="n"/>
      <c r="F5488" s="15" t="n"/>
      <c r="G5488" s="15" t="n"/>
      <c r="H5488" s="16">
        <f>IF($A5488="","",$D5488+IF($E5488="",0,$E5488)+IF($F5488="",0,$F5488)-IF($G5488="",0,$G5488))</f>
        <v/>
      </c>
      <c r="I5488" s="12" t="n"/>
      <c r="J5488" s="12" t="n"/>
      <c r="K5488" s="12" t="n"/>
      <c r="L5488" s="14" t="n"/>
      <c r="M5488" s="12" t="n"/>
      <c r="N5488" s="12" t="n"/>
      <c r="O5488" s="12" t="n"/>
    </row>
    <row r="5489">
      <c r="A5489" s="12" t="n"/>
      <c r="B5489" s="13">
        <f>IF($A5489="","",IFERROR(INDEX(Emp_Names,MATCH($A5489,Emp_Codes,0)),"NOT FOUND"))</f>
        <v/>
      </c>
      <c r="C5489" s="14" t="n"/>
      <c r="D5489" s="15" t="n"/>
      <c r="E5489" s="15" t="n"/>
      <c r="F5489" s="15" t="n"/>
      <c r="G5489" s="15" t="n"/>
      <c r="H5489" s="16">
        <f>IF($A5489="","",$D5489+IF($E5489="",0,$E5489)+IF($F5489="",0,$F5489)-IF($G5489="",0,$G5489))</f>
        <v/>
      </c>
      <c r="I5489" s="12" t="n"/>
      <c r="J5489" s="12" t="n"/>
      <c r="K5489" s="12" t="n"/>
      <c r="L5489" s="14" t="n"/>
      <c r="M5489" s="12" t="n"/>
      <c r="N5489" s="12" t="n"/>
      <c r="O5489" s="12" t="n"/>
    </row>
    <row r="5490">
      <c r="A5490" s="12" t="n"/>
      <c r="B5490" s="13">
        <f>IF($A5490="","",IFERROR(INDEX(Emp_Names,MATCH($A5490,Emp_Codes,0)),"NOT FOUND"))</f>
        <v/>
      </c>
      <c r="C5490" s="14" t="n"/>
      <c r="D5490" s="15" t="n"/>
      <c r="E5490" s="15" t="n"/>
      <c r="F5490" s="15" t="n"/>
      <c r="G5490" s="15" t="n"/>
      <c r="H5490" s="16">
        <f>IF($A5490="","",$D5490+IF($E5490="",0,$E5490)+IF($F5490="",0,$F5490)-IF($G5490="",0,$G5490))</f>
        <v/>
      </c>
      <c r="I5490" s="12" t="n"/>
      <c r="J5490" s="12" t="n"/>
      <c r="K5490" s="12" t="n"/>
      <c r="L5490" s="14" t="n"/>
      <c r="M5490" s="12" t="n"/>
      <c r="N5490" s="12" t="n"/>
      <c r="O5490" s="12" t="n"/>
    </row>
    <row r="5491">
      <c r="A5491" s="12" t="n"/>
      <c r="B5491" s="13">
        <f>IF($A5491="","",IFERROR(INDEX(Emp_Names,MATCH($A5491,Emp_Codes,0)),"NOT FOUND"))</f>
        <v/>
      </c>
      <c r="C5491" s="14" t="n"/>
      <c r="D5491" s="15" t="n"/>
      <c r="E5491" s="15" t="n"/>
      <c r="F5491" s="15" t="n"/>
      <c r="G5491" s="15" t="n"/>
      <c r="H5491" s="16">
        <f>IF($A5491="","",$D5491+IF($E5491="",0,$E5491)+IF($F5491="",0,$F5491)-IF($G5491="",0,$G5491))</f>
        <v/>
      </c>
      <c r="I5491" s="12" t="n"/>
      <c r="J5491" s="12" t="n"/>
      <c r="K5491" s="12" t="n"/>
      <c r="L5491" s="14" t="n"/>
      <c r="M5491" s="12" t="n"/>
      <c r="N5491" s="12" t="n"/>
      <c r="O5491" s="12" t="n"/>
    </row>
    <row r="5492">
      <c r="A5492" s="12" t="n"/>
      <c r="B5492" s="13">
        <f>IF($A5492="","",IFERROR(INDEX(Emp_Names,MATCH($A5492,Emp_Codes,0)),"NOT FOUND"))</f>
        <v/>
      </c>
      <c r="C5492" s="14" t="n"/>
      <c r="D5492" s="15" t="n"/>
      <c r="E5492" s="15" t="n"/>
      <c r="F5492" s="15" t="n"/>
      <c r="G5492" s="15" t="n"/>
      <c r="H5492" s="16">
        <f>IF($A5492="","",$D5492+IF($E5492="",0,$E5492)+IF($F5492="",0,$F5492)-IF($G5492="",0,$G5492))</f>
        <v/>
      </c>
      <c r="I5492" s="12" t="n"/>
      <c r="J5492" s="12" t="n"/>
      <c r="K5492" s="12" t="n"/>
      <c r="L5492" s="14" t="n"/>
      <c r="M5492" s="12" t="n"/>
      <c r="N5492" s="12" t="n"/>
      <c r="O5492" s="12" t="n"/>
    </row>
    <row r="5493">
      <c r="A5493" s="12" t="n"/>
      <c r="B5493" s="13">
        <f>IF($A5493="","",IFERROR(INDEX(Emp_Names,MATCH($A5493,Emp_Codes,0)),"NOT FOUND"))</f>
        <v/>
      </c>
      <c r="C5493" s="14" t="n"/>
      <c r="D5493" s="15" t="n"/>
      <c r="E5493" s="15" t="n"/>
      <c r="F5493" s="15" t="n"/>
      <c r="G5493" s="15" t="n"/>
      <c r="H5493" s="16">
        <f>IF($A5493="","",$D5493+IF($E5493="",0,$E5493)+IF($F5493="",0,$F5493)-IF($G5493="",0,$G5493))</f>
        <v/>
      </c>
      <c r="I5493" s="12" t="n"/>
      <c r="J5493" s="12" t="n"/>
      <c r="K5493" s="12" t="n"/>
      <c r="L5493" s="14" t="n"/>
      <c r="M5493" s="12" t="n"/>
      <c r="N5493" s="12" t="n"/>
      <c r="O5493" s="12" t="n"/>
    </row>
    <row r="5494">
      <c r="A5494" s="12" t="n"/>
      <c r="B5494" s="13">
        <f>IF($A5494="","",IFERROR(INDEX(Emp_Names,MATCH($A5494,Emp_Codes,0)),"NOT FOUND"))</f>
        <v/>
      </c>
      <c r="C5494" s="14" t="n"/>
      <c r="D5494" s="15" t="n"/>
      <c r="E5494" s="15" t="n"/>
      <c r="F5494" s="15" t="n"/>
      <c r="G5494" s="15" t="n"/>
      <c r="H5494" s="16">
        <f>IF($A5494="","",$D5494+IF($E5494="",0,$E5494)+IF($F5494="",0,$F5494)-IF($G5494="",0,$G5494))</f>
        <v/>
      </c>
      <c r="I5494" s="12" t="n"/>
      <c r="J5494" s="12" t="n"/>
      <c r="K5494" s="12" t="n"/>
      <c r="L5494" s="14" t="n"/>
      <c r="M5494" s="12" t="n"/>
      <c r="N5494" s="12" t="n"/>
      <c r="O5494" s="12" t="n"/>
    </row>
    <row r="5495">
      <c r="A5495" s="12" t="n"/>
      <c r="B5495" s="13">
        <f>IF($A5495="","",IFERROR(INDEX(Emp_Names,MATCH($A5495,Emp_Codes,0)),"NOT FOUND"))</f>
        <v/>
      </c>
      <c r="C5495" s="14" t="n"/>
      <c r="D5495" s="15" t="n"/>
      <c r="E5495" s="15" t="n"/>
      <c r="F5495" s="15" t="n"/>
      <c r="G5495" s="15" t="n"/>
      <c r="H5495" s="16">
        <f>IF($A5495="","",$D5495+IF($E5495="",0,$E5495)+IF($F5495="",0,$F5495)-IF($G5495="",0,$G5495))</f>
        <v/>
      </c>
      <c r="I5495" s="12" t="n"/>
      <c r="J5495" s="12" t="n"/>
      <c r="K5495" s="12" t="n"/>
      <c r="L5495" s="14" t="n"/>
      <c r="M5495" s="12" t="n"/>
      <c r="N5495" s="12" t="n"/>
      <c r="O5495" s="12" t="n"/>
    </row>
    <row r="5496">
      <c r="A5496" s="12" t="n"/>
      <c r="B5496" s="13">
        <f>IF($A5496="","",IFERROR(INDEX(Emp_Names,MATCH($A5496,Emp_Codes,0)),"NOT FOUND"))</f>
        <v/>
      </c>
      <c r="C5496" s="14" t="n"/>
      <c r="D5496" s="15" t="n"/>
      <c r="E5496" s="15" t="n"/>
      <c r="F5496" s="15" t="n"/>
      <c r="G5496" s="15" t="n"/>
      <c r="H5496" s="16">
        <f>IF($A5496="","",$D5496+IF($E5496="",0,$E5496)+IF($F5496="",0,$F5496)-IF($G5496="",0,$G5496))</f>
        <v/>
      </c>
      <c r="I5496" s="12" t="n"/>
      <c r="J5496" s="12" t="n"/>
      <c r="K5496" s="12" t="n"/>
      <c r="L5496" s="14" t="n"/>
      <c r="M5496" s="12" t="n"/>
      <c r="N5496" s="12" t="n"/>
      <c r="O5496" s="12" t="n"/>
    </row>
    <row r="5497">
      <c r="A5497" s="12" t="n"/>
      <c r="B5497" s="13">
        <f>IF($A5497="","",IFERROR(INDEX(Emp_Names,MATCH($A5497,Emp_Codes,0)),"NOT FOUND"))</f>
        <v/>
      </c>
      <c r="C5497" s="14" t="n"/>
      <c r="D5497" s="15" t="n"/>
      <c r="E5497" s="15" t="n"/>
      <c r="F5497" s="15" t="n"/>
      <c r="G5497" s="15" t="n"/>
      <c r="H5497" s="16">
        <f>IF($A5497="","",$D5497+IF($E5497="",0,$E5497)+IF($F5497="",0,$F5497)-IF($G5497="",0,$G5497))</f>
        <v/>
      </c>
      <c r="I5497" s="12" t="n"/>
      <c r="J5497" s="12" t="n"/>
      <c r="K5497" s="12" t="n"/>
      <c r="L5497" s="14" t="n"/>
      <c r="M5497" s="12" t="n"/>
      <c r="N5497" s="12" t="n"/>
      <c r="O5497" s="12" t="n"/>
    </row>
    <row r="5498">
      <c r="A5498" s="12" t="n"/>
      <c r="B5498" s="13">
        <f>IF($A5498="","",IFERROR(INDEX(Emp_Names,MATCH($A5498,Emp_Codes,0)),"NOT FOUND"))</f>
        <v/>
      </c>
      <c r="C5498" s="14" t="n"/>
      <c r="D5498" s="15" t="n"/>
      <c r="E5498" s="15" t="n"/>
      <c r="F5498" s="15" t="n"/>
      <c r="G5498" s="15" t="n"/>
      <c r="H5498" s="16">
        <f>IF($A5498="","",$D5498+IF($E5498="",0,$E5498)+IF($F5498="",0,$F5498)-IF($G5498="",0,$G5498))</f>
        <v/>
      </c>
      <c r="I5498" s="12" t="n"/>
      <c r="J5498" s="12" t="n"/>
      <c r="K5498" s="12" t="n"/>
      <c r="L5498" s="14" t="n"/>
      <c r="M5498" s="12" t="n"/>
      <c r="N5498" s="12" t="n"/>
      <c r="O5498" s="12" t="n"/>
    </row>
    <row r="5499">
      <c r="A5499" s="12" t="n"/>
      <c r="B5499" s="13">
        <f>IF($A5499="","",IFERROR(INDEX(Emp_Names,MATCH($A5499,Emp_Codes,0)),"NOT FOUND"))</f>
        <v/>
      </c>
      <c r="C5499" s="14" t="n"/>
      <c r="D5499" s="15" t="n"/>
      <c r="E5499" s="15" t="n"/>
      <c r="F5499" s="15" t="n"/>
      <c r="G5499" s="15" t="n"/>
      <c r="H5499" s="16">
        <f>IF($A5499="","",$D5499+IF($E5499="",0,$E5499)+IF($F5499="",0,$F5499)-IF($G5499="",0,$G5499))</f>
        <v/>
      </c>
      <c r="I5499" s="12" t="n"/>
      <c r="J5499" s="12" t="n"/>
      <c r="K5499" s="12" t="n"/>
      <c r="L5499" s="14" t="n"/>
      <c r="M5499" s="12" t="n"/>
      <c r="N5499" s="12" t="n"/>
      <c r="O5499" s="12" t="n"/>
    </row>
    <row r="5500">
      <c r="A5500" s="12" t="n"/>
      <c r="B5500" s="13">
        <f>IF($A5500="","",IFERROR(INDEX(Emp_Names,MATCH($A5500,Emp_Codes,0)),"NOT FOUND"))</f>
        <v/>
      </c>
      <c r="C5500" s="14" t="n"/>
      <c r="D5500" s="15" t="n"/>
      <c r="E5500" s="15" t="n"/>
      <c r="F5500" s="15" t="n"/>
      <c r="G5500" s="15" t="n"/>
      <c r="H5500" s="16">
        <f>IF($A5500="","",$D5500+IF($E5500="",0,$E5500)+IF($F5500="",0,$F5500)-IF($G5500="",0,$G5500))</f>
        <v/>
      </c>
      <c r="I5500" s="12" t="n"/>
      <c r="J5500" s="12" t="n"/>
      <c r="K5500" s="12" t="n"/>
      <c r="L5500" s="14" t="n"/>
      <c r="M5500" s="12" t="n"/>
      <c r="N5500" s="12" t="n"/>
      <c r="O5500" s="12" t="n"/>
    </row>
    <row r="5501">
      <c r="A5501" s="12" t="n"/>
      <c r="B5501" s="13">
        <f>IF($A5501="","",IFERROR(INDEX(Emp_Names,MATCH($A5501,Emp_Codes,0)),"NOT FOUND"))</f>
        <v/>
      </c>
      <c r="C5501" s="14" t="n"/>
      <c r="D5501" s="15" t="n"/>
      <c r="E5501" s="15" t="n"/>
      <c r="F5501" s="15" t="n"/>
      <c r="G5501" s="15" t="n"/>
      <c r="H5501" s="16">
        <f>IF($A5501="","",$D5501+IF($E5501="",0,$E5501)+IF($F5501="",0,$F5501)-IF($G5501="",0,$G5501))</f>
        <v/>
      </c>
      <c r="I5501" s="12" t="n"/>
      <c r="J5501" s="12" t="n"/>
      <c r="K5501" s="12" t="n"/>
      <c r="L5501" s="14" t="n"/>
      <c r="M5501" s="12" t="n"/>
      <c r="N5501" s="12" t="n"/>
      <c r="O5501" s="12" t="n"/>
    </row>
    <row r="5502">
      <c r="A5502" s="12" t="n"/>
      <c r="B5502" s="13">
        <f>IF($A5502="","",IFERROR(INDEX(Emp_Names,MATCH($A5502,Emp_Codes,0)),"NOT FOUND"))</f>
        <v/>
      </c>
      <c r="C5502" s="14" t="n"/>
      <c r="D5502" s="15" t="n"/>
      <c r="E5502" s="15" t="n"/>
      <c r="F5502" s="15" t="n"/>
      <c r="G5502" s="15" t="n"/>
      <c r="H5502" s="16">
        <f>IF($A5502="","",$D5502+IF($E5502="",0,$E5502)+IF($F5502="",0,$F5502)-IF($G5502="",0,$G5502))</f>
        <v/>
      </c>
      <c r="I5502" s="12" t="n"/>
      <c r="J5502" s="12" t="n"/>
      <c r="K5502" s="12" t="n"/>
      <c r="L5502" s="14" t="n"/>
      <c r="M5502" s="12" t="n"/>
      <c r="N5502" s="12" t="n"/>
      <c r="O5502" s="12" t="n"/>
    </row>
    <row r="5503">
      <c r="A5503" s="12" t="n"/>
      <c r="B5503" s="13">
        <f>IF($A5503="","",IFERROR(INDEX(Emp_Names,MATCH($A5503,Emp_Codes,0)),"NOT FOUND"))</f>
        <v/>
      </c>
      <c r="C5503" s="14" t="n"/>
      <c r="D5503" s="15" t="n"/>
      <c r="E5503" s="15" t="n"/>
      <c r="F5503" s="15" t="n"/>
      <c r="G5503" s="15" t="n"/>
      <c r="H5503" s="16">
        <f>IF($A5503="","",$D5503+IF($E5503="",0,$E5503)+IF($F5503="",0,$F5503)-IF($G5503="",0,$G5503))</f>
        <v/>
      </c>
      <c r="I5503" s="12" t="n"/>
      <c r="J5503" s="12" t="n"/>
      <c r="K5503" s="12" t="n"/>
      <c r="L5503" s="14" t="n"/>
      <c r="M5503" s="12" t="n"/>
      <c r="N5503" s="12" t="n"/>
      <c r="O5503" s="12" t="n"/>
    </row>
    <row r="5504">
      <c r="A5504" s="12" t="n"/>
      <c r="B5504" s="13">
        <f>IF($A5504="","",IFERROR(INDEX(Emp_Names,MATCH($A5504,Emp_Codes,0)),"NOT FOUND"))</f>
        <v/>
      </c>
      <c r="C5504" s="14" t="n"/>
      <c r="D5504" s="15" t="n"/>
      <c r="E5504" s="15" t="n"/>
      <c r="F5504" s="15" t="n"/>
      <c r="G5504" s="15" t="n"/>
      <c r="H5504" s="16">
        <f>IF($A5504="","",$D5504+IF($E5504="",0,$E5504)+IF($F5504="",0,$F5504)-IF($G5504="",0,$G5504))</f>
        <v/>
      </c>
      <c r="I5504" s="12" t="n"/>
      <c r="J5504" s="12" t="n"/>
      <c r="K5504" s="12" t="n"/>
      <c r="L5504" s="14" t="n"/>
      <c r="M5504" s="12" t="n"/>
      <c r="N5504" s="12" t="n"/>
      <c r="O5504" s="12" t="n"/>
    </row>
    <row r="5505">
      <c r="A5505" s="12" t="n"/>
      <c r="B5505" s="13">
        <f>IF($A5505="","",IFERROR(INDEX(Emp_Names,MATCH($A5505,Emp_Codes,0)),"NOT FOUND"))</f>
        <v/>
      </c>
      <c r="C5505" s="14" t="n"/>
      <c r="D5505" s="15" t="n"/>
      <c r="E5505" s="15" t="n"/>
      <c r="F5505" s="15" t="n"/>
      <c r="G5505" s="15" t="n"/>
      <c r="H5505" s="16">
        <f>IF($A5505="","",$D5505+IF($E5505="",0,$E5505)+IF($F5505="",0,$F5505)-IF($G5505="",0,$G5505))</f>
        <v/>
      </c>
      <c r="I5505" s="12" t="n"/>
      <c r="J5505" s="12" t="n"/>
      <c r="K5505" s="12" t="n"/>
      <c r="L5505" s="14" t="n"/>
      <c r="M5505" s="12" t="n"/>
      <c r="N5505" s="12" t="n"/>
      <c r="O5505" s="12" t="n"/>
    </row>
    <row r="5506">
      <c r="A5506" s="12" t="n"/>
      <c r="B5506" s="13">
        <f>IF($A5506="","",IFERROR(INDEX(Emp_Names,MATCH($A5506,Emp_Codes,0)),"NOT FOUND"))</f>
        <v/>
      </c>
      <c r="C5506" s="14" t="n"/>
      <c r="D5506" s="15" t="n"/>
      <c r="E5506" s="15" t="n"/>
      <c r="F5506" s="15" t="n"/>
      <c r="G5506" s="15" t="n"/>
      <c r="H5506" s="16">
        <f>IF($A5506="","",$D5506+IF($E5506="",0,$E5506)+IF($F5506="",0,$F5506)-IF($G5506="",0,$G5506))</f>
        <v/>
      </c>
      <c r="I5506" s="12" t="n"/>
      <c r="J5506" s="12" t="n"/>
      <c r="K5506" s="12" t="n"/>
      <c r="L5506" s="14" t="n"/>
      <c r="M5506" s="12" t="n"/>
      <c r="N5506" s="12" t="n"/>
      <c r="O5506" s="12" t="n"/>
    </row>
    <row r="5507">
      <c r="A5507" s="12" t="n"/>
      <c r="B5507" s="13">
        <f>IF($A5507="","",IFERROR(INDEX(Emp_Names,MATCH($A5507,Emp_Codes,0)),"NOT FOUND"))</f>
        <v/>
      </c>
      <c r="C5507" s="14" t="n"/>
      <c r="D5507" s="15" t="n"/>
      <c r="E5507" s="15" t="n"/>
      <c r="F5507" s="15" t="n"/>
      <c r="G5507" s="15" t="n"/>
      <c r="H5507" s="16">
        <f>IF($A5507="","",$D5507+IF($E5507="",0,$E5507)+IF($F5507="",0,$F5507)-IF($G5507="",0,$G5507))</f>
        <v/>
      </c>
      <c r="I5507" s="12" t="n"/>
      <c r="J5507" s="12" t="n"/>
      <c r="K5507" s="12" t="n"/>
      <c r="L5507" s="14" t="n"/>
      <c r="M5507" s="12" t="n"/>
      <c r="N5507" s="12" t="n"/>
      <c r="O5507" s="12" t="n"/>
    </row>
    <row r="5508">
      <c r="A5508" s="12" t="n"/>
      <c r="B5508" s="13">
        <f>IF($A5508="","",IFERROR(INDEX(Emp_Names,MATCH($A5508,Emp_Codes,0)),"NOT FOUND"))</f>
        <v/>
      </c>
      <c r="C5508" s="14" t="n"/>
      <c r="D5508" s="15" t="n"/>
      <c r="E5508" s="15" t="n"/>
      <c r="F5508" s="15" t="n"/>
      <c r="G5508" s="15" t="n"/>
      <c r="H5508" s="16">
        <f>IF($A5508="","",$D5508+IF($E5508="",0,$E5508)+IF($F5508="",0,$F5508)-IF($G5508="",0,$G5508))</f>
        <v/>
      </c>
      <c r="I5508" s="12" t="n"/>
      <c r="J5508" s="12" t="n"/>
      <c r="K5508" s="12" t="n"/>
      <c r="L5508" s="14" t="n"/>
      <c r="M5508" s="12" t="n"/>
      <c r="N5508" s="12" t="n"/>
      <c r="O5508" s="12" t="n"/>
    </row>
    <row r="5509">
      <c r="A5509" s="12" t="n"/>
      <c r="B5509" s="13">
        <f>IF($A5509="","",IFERROR(INDEX(Emp_Names,MATCH($A5509,Emp_Codes,0)),"NOT FOUND"))</f>
        <v/>
      </c>
      <c r="C5509" s="14" t="n"/>
      <c r="D5509" s="15" t="n"/>
      <c r="E5509" s="15" t="n"/>
      <c r="F5509" s="15" t="n"/>
      <c r="G5509" s="15" t="n"/>
      <c r="H5509" s="16">
        <f>IF($A5509="","",$D5509+IF($E5509="",0,$E5509)+IF($F5509="",0,$F5509)-IF($G5509="",0,$G5509))</f>
        <v/>
      </c>
      <c r="I5509" s="12" t="n"/>
      <c r="J5509" s="12" t="n"/>
      <c r="K5509" s="12" t="n"/>
      <c r="L5509" s="14" t="n"/>
      <c r="M5509" s="12" t="n"/>
      <c r="N5509" s="12" t="n"/>
      <c r="O5509" s="12" t="n"/>
    </row>
    <row r="5510">
      <c r="A5510" s="12" t="n"/>
      <c r="B5510" s="13">
        <f>IF($A5510="","",IFERROR(INDEX(Emp_Names,MATCH($A5510,Emp_Codes,0)),"NOT FOUND"))</f>
        <v/>
      </c>
      <c r="C5510" s="14" t="n"/>
      <c r="D5510" s="15" t="n"/>
      <c r="E5510" s="15" t="n"/>
      <c r="F5510" s="15" t="n"/>
      <c r="G5510" s="15" t="n"/>
      <c r="H5510" s="16">
        <f>IF($A5510="","",$D5510+IF($E5510="",0,$E5510)+IF($F5510="",0,$F5510)-IF($G5510="",0,$G5510))</f>
        <v/>
      </c>
      <c r="I5510" s="12" t="n"/>
      <c r="J5510" s="12" t="n"/>
      <c r="K5510" s="12" t="n"/>
      <c r="L5510" s="14" t="n"/>
      <c r="M5510" s="12" t="n"/>
      <c r="N5510" s="12" t="n"/>
      <c r="O5510" s="12" t="n"/>
    </row>
    <row r="5511">
      <c r="A5511" s="12" t="n"/>
      <c r="B5511" s="13">
        <f>IF($A5511="","",IFERROR(INDEX(Emp_Names,MATCH($A5511,Emp_Codes,0)),"NOT FOUND"))</f>
        <v/>
      </c>
      <c r="C5511" s="14" t="n"/>
      <c r="D5511" s="15" t="n"/>
      <c r="E5511" s="15" t="n"/>
      <c r="F5511" s="15" t="n"/>
      <c r="G5511" s="15" t="n"/>
      <c r="H5511" s="16">
        <f>IF($A5511="","",$D5511+IF($E5511="",0,$E5511)+IF($F5511="",0,$F5511)-IF($G5511="",0,$G5511))</f>
        <v/>
      </c>
      <c r="I5511" s="12" t="n"/>
      <c r="J5511" s="12" t="n"/>
      <c r="K5511" s="12" t="n"/>
      <c r="L5511" s="14" t="n"/>
      <c r="M5511" s="12" t="n"/>
      <c r="N5511" s="12" t="n"/>
      <c r="O5511" s="12" t="n"/>
    </row>
    <row r="5512">
      <c r="A5512" s="12" t="n"/>
      <c r="B5512" s="13">
        <f>IF($A5512="","",IFERROR(INDEX(Emp_Names,MATCH($A5512,Emp_Codes,0)),"NOT FOUND"))</f>
        <v/>
      </c>
      <c r="C5512" s="14" t="n"/>
      <c r="D5512" s="15" t="n"/>
      <c r="E5512" s="15" t="n"/>
      <c r="F5512" s="15" t="n"/>
      <c r="G5512" s="15" t="n"/>
      <c r="H5512" s="16">
        <f>IF($A5512="","",$D5512+IF($E5512="",0,$E5512)+IF($F5512="",0,$F5512)-IF($G5512="",0,$G5512))</f>
        <v/>
      </c>
      <c r="I5512" s="12" t="n"/>
      <c r="J5512" s="12" t="n"/>
      <c r="K5512" s="12" t="n"/>
      <c r="L5512" s="14" t="n"/>
      <c r="M5512" s="12" t="n"/>
      <c r="N5512" s="12" t="n"/>
      <c r="O5512" s="12" t="n"/>
    </row>
    <row r="5513">
      <c r="A5513" s="12" t="n"/>
      <c r="B5513" s="13">
        <f>IF($A5513="","",IFERROR(INDEX(Emp_Names,MATCH($A5513,Emp_Codes,0)),"NOT FOUND"))</f>
        <v/>
      </c>
      <c r="C5513" s="14" t="n"/>
      <c r="D5513" s="15" t="n"/>
      <c r="E5513" s="15" t="n"/>
      <c r="F5513" s="15" t="n"/>
      <c r="G5513" s="15" t="n"/>
      <c r="H5513" s="16">
        <f>IF($A5513="","",$D5513+IF($E5513="",0,$E5513)+IF($F5513="",0,$F5513)-IF($G5513="",0,$G5513))</f>
        <v/>
      </c>
      <c r="I5513" s="12" t="n"/>
      <c r="J5513" s="12" t="n"/>
      <c r="K5513" s="12" t="n"/>
      <c r="L5513" s="14" t="n"/>
      <c r="M5513" s="12" t="n"/>
      <c r="N5513" s="12" t="n"/>
      <c r="O5513" s="12" t="n"/>
    </row>
    <row r="5514">
      <c r="A5514" s="12" t="n"/>
      <c r="B5514" s="13">
        <f>IF($A5514="","",IFERROR(INDEX(Emp_Names,MATCH($A5514,Emp_Codes,0)),"NOT FOUND"))</f>
        <v/>
      </c>
      <c r="C5514" s="14" t="n"/>
      <c r="D5514" s="15" t="n"/>
      <c r="E5514" s="15" t="n"/>
      <c r="F5514" s="15" t="n"/>
      <c r="G5514" s="15" t="n"/>
      <c r="H5514" s="16">
        <f>IF($A5514="","",$D5514+IF($E5514="",0,$E5514)+IF($F5514="",0,$F5514)-IF($G5514="",0,$G5514))</f>
        <v/>
      </c>
      <c r="I5514" s="12" t="n"/>
      <c r="J5514" s="12" t="n"/>
      <c r="K5514" s="12" t="n"/>
      <c r="L5514" s="14" t="n"/>
      <c r="M5514" s="12" t="n"/>
      <c r="N5514" s="12" t="n"/>
      <c r="O5514" s="12" t="n"/>
    </row>
    <row r="5515">
      <c r="A5515" s="12" t="n"/>
      <c r="B5515" s="13">
        <f>IF($A5515="","",IFERROR(INDEX(Emp_Names,MATCH($A5515,Emp_Codes,0)),"NOT FOUND"))</f>
        <v/>
      </c>
      <c r="C5515" s="14" t="n"/>
      <c r="D5515" s="15" t="n"/>
      <c r="E5515" s="15" t="n"/>
      <c r="F5515" s="15" t="n"/>
      <c r="G5515" s="15" t="n"/>
      <c r="H5515" s="16">
        <f>IF($A5515="","",$D5515+IF($E5515="",0,$E5515)+IF($F5515="",0,$F5515)-IF($G5515="",0,$G5515))</f>
        <v/>
      </c>
      <c r="I5515" s="12" t="n"/>
      <c r="J5515" s="12" t="n"/>
      <c r="K5515" s="12" t="n"/>
      <c r="L5515" s="14" t="n"/>
      <c r="M5515" s="12" t="n"/>
      <c r="N5515" s="12" t="n"/>
      <c r="O5515" s="12" t="n"/>
    </row>
    <row r="5516">
      <c r="A5516" s="12" t="n"/>
      <c r="B5516" s="13">
        <f>IF($A5516="","",IFERROR(INDEX(Emp_Names,MATCH($A5516,Emp_Codes,0)),"NOT FOUND"))</f>
        <v/>
      </c>
      <c r="C5516" s="14" t="n"/>
      <c r="D5516" s="15" t="n"/>
      <c r="E5516" s="15" t="n"/>
      <c r="F5516" s="15" t="n"/>
      <c r="G5516" s="15" t="n"/>
      <c r="H5516" s="16">
        <f>IF($A5516="","",$D5516+IF($E5516="",0,$E5516)+IF($F5516="",0,$F5516)-IF($G5516="",0,$G5516))</f>
        <v/>
      </c>
      <c r="I5516" s="12" t="n"/>
      <c r="J5516" s="12" t="n"/>
      <c r="K5516" s="12" t="n"/>
      <c r="L5516" s="14" t="n"/>
      <c r="M5516" s="12" t="n"/>
      <c r="N5516" s="12" t="n"/>
      <c r="O5516" s="12" t="n"/>
    </row>
    <row r="5517">
      <c r="A5517" s="12" t="n"/>
      <c r="B5517" s="13">
        <f>IF($A5517="","",IFERROR(INDEX(Emp_Names,MATCH($A5517,Emp_Codes,0)),"NOT FOUND"))</f>
        <v/>
      </c>
      <c r="C5517" s="14" t="n"/>
      <c r="D5517" s="15" t="n"/>
      <c r="E5517" s="15" t="n"/>
      <c r="F5517" s="15" t="n"/>
      <c r="G5517" s="15" t="n"/>
      <c r="H5517" s="16">
        <f>IF($A5517="","",$D5517+IF($E5517="",0,$E5517)+IF($F5517="",0,$F5517)-IF($G5517="",0,$G5517))</f>
        <v/>
      </c>
      <c r="I5517" s="12" t="n"/>
      <c r="J5517" s="12" t="n"/>
      <c r="K5517" s="12" t="n"/>
      <c r="L5517" s="14" t="n"/>
      <c r="M5517" s="12" t="n"/>
      <c r="N5517" s="12" t="n"/>
      <c r="O5517" s="12" t="n"/>
    </row>
    <row r="5518">
      <c r="A5518" s="12" t="n"/>
      <c r="B5518" s="13">
        <f>IF($A5518="","",IFERROR(INDEX(Emp_Names,MATCH($A5518,Emp_Codes,0)),"NOT FOUND"))</f>
        <v/>
      </c>
      <c r="C5518" s="14" t="n"/>
      <c r="D5518" s="15" t="n"/>
      <c r="E5518" s="15" t="n"/>
      <c r="F5518" s="15" t="n"/>
      <c r="G5518" s="15" t="n"/>
      <c r="H5518" s="16">
        <f>IF($A5518="","",$D5518+IF($E5518="",0,$E5518)+IF($F5518="",0,$F5518)-IF($G5518="",0,$G5518))</f>
        <v/>
      </c>
      <c r="I5518" s="12" t="n"/>
      <c r="J5518" s="12" t="n"/>
      <c r="K5518" s="12" t="n"/>
      <c r="L5518" s="14" t="n"/>
      <c r="M5518" s="12" t="n"/>
      <c r="N5518" s="12" t="n"/>
      <c r="O5518" s="12" t="n"/>
    </row>
    <row r="5519">
      <c r="A5519" s="12" t="n"/>
      <c r="B5519" s="13">
        <f>IF($A5519="","",IFERROR(INDEX(Emp_Names,MATCH($A5519,Emp_Codes,0)),"NOT FOUND"))</f>
        <v/>
      </c>
      <c r="C5519" s="14" t="n"/>
      <c r="D5519" s="15" t="n"/>
      <c r="E5519" s="15" t="n"/>
      <c r="F5519" s="15" t="n"/>
      <c r="G5519" s="15" t="n"/>
      <c r="H5519" s="16">
        <f>IF($A5519="","",$D5519+IF($E5519="",0,$E5519)+IF($F5519="",0,$F5519)-IF($G5519="",0,$G5519))</f>
        <v/>
      </c>
      <c r="I5519" s="12" t="n"/>
      <c r="J5519" s="12" t="n"/>
      <c r="K5519" s="12" t="n"/>
      <c r="L5519" s="14" t="n"/>
      <c r="M5519" s="12" t="n"/>
      <c r="N5519" s="12" t="n"/>
      <c r="O5519" s="12" t="n"/>
    </row>
    <row r="5520">
      <c r="A5520" s="12" t="n"/>
      <c r="B5520" s="13">
        <f>IF($A5520="","",IFERROR(INDEX(Emp_Names,MATCH($A5520,Emp_Codes,0)),"NOT FOUND"))</f>
        <v/>
      </c>
      <c r="C5520" s="14" t="n"/>
      <c r="D5520" s="15" t="n"/>
      <c r="E5520" s="15" t="n"/>
      <c r="F5520" s="15" t="n"/>
      <c r="G5520" s="15" t="n"/>
      <c r="H5520" s="16">
        <f>IF($A5520="","",$D5520+IF($E5520="",0,$E5520)+IF($F5520="",0,$F5520)-IF($G5520="",0,$G5520))</f>
        <v/>
      </c>
      <c r="I5520" s="12" t="n"/>
      <c r="J5520" s="12" t="n"/>
      <c r="K5520" s="12" t="n"/>
      <c r="L5520" s="14" t="n"/>
      <c r="M5520" s="12" t="n"/>
      <c r="N5520" s="12" t="n"/>
      <c r="O5520" s="12" t="n"/>
    </row>
    <row r="5521">
      <c r="A5521" s="12" t="n"/>
      <c r="B5521" s="13">
        <f>IF($A5521="","",IFERROR(INDEX(Emp_Names,MATCH($A5521,Emp_Codes,0)),"NOT FOUND"))</f>
        <v/>
      </c>
      <c r="C5521" s="14" t="n"/>
      <c r="D5521" s="15" t="n"/>
      <c r="E5521" s="15" t="n"/>
      <c r="F5521" s="15" t="n"/>
      <c r="G5521" s="15" t="n"/>
      <c r="H5521" s="16">
        <f>IF($A5521="","",$D5521+IF($E5521="",0,$E5521)+IF($F5521="",0,$F5521)-IF($G5521="",0,$G5521))</f>
        <v/>
      </c>
      <c r="I5521" s="12" t="n"/>
      <c r="J5521" s="12" t="n"/>
      <c r="K5521" s="12" t="n"/>
      <c r="L5521" s="14" t="n"/>
      <c r="M5521" s="12" t="n"/>
      <c r="N5521" s="12" t="n"/>
      <c r="O5521" s="12" t="n"/>
    </row>
    <row r="5522">
      <c r="A5522" s="12" t="n"/>
      <c r="B5522" s="13">
        <f>IF($A5522="","",IFERROR(INDEX(Emp_Names,MATCH($A5522,Emp_Codes,0)),"NOT FOUND"))</f>
        <v/>
      </c>
      <c r="C5522" s="14" t="n"/>
      <c r="D5522" s="15" t="n"/>
      <c r="E5522" s="15" t="n"/>
      <c r="F5522" s="15" t="n"/>
      <c r="G5522" s="15" t="n"/>
      <c r="H5522" s="16">
        <f>IF($A5522="","",$D5522+IF($E5522="",0,$E5522)+IF($F5522="",0,$F5522)-IF($G5522="",0,$G5522))</f>
        <v/>
      </c>
      <c r="I5522" s="12" t="n"/>
      <c r="J5522" s="12" t="n"/>
      <c r="K5522" s="12" t="n"/>
      <c r="L5522" s="14" t="n"/>
      <c r="M5522" s="12" t="n"/>
      <c r="N5522" s="12" t="n"/>
      <c r="O5522" s="12" t="n"/>
    </row>
    <row r="5523">
      <c r="A5523" s="12" t="n"/>
      <c r="B5523" s="13">
        <f>IF($A5523="","",IFERROR(INDEX(Emp_Names,MATCH($A5523,Emp_Codes,0)),"NOT FOUND"))</f>
        <v/>
      </c>
      <c r="C5523" s="14" t="n"/>
      <c r="D5523" s="15" t="n"/>
      <c r="E5523" s="15" t="n"/>
      <c r="F5523" s="15" t="n"/>
      <c r="G5523" s="15" t="n"/>
      <c r="H5523" s="16">
        <f>IF($A5523="","",$D5523+IF($E5523="",0,$E5523)+IF($F5523="",0,$F5523)-IF($G5523="",0,$G5523))</f>
        <v/>
      </c>
      <c r="I5523" s="12" t="n"/>
      <c r="J5523" s="12" t="n"/>
      <c r="K5523" s="12" t="n"/>
      <c r="L5523" s="14" t="n"/>
      <c r="M5523" s="12" t="n"/>
      <c r="N5523" s="12" t="n"/>
      <c r="O5523" s="12" t="n"/>
    </row>
    <row r="5524">
      <c r="A5524" s="12" t="n"/>
      <c r="B5524" s="13">
        <f>IF($A5524="","",IFERROR(INDEX(Emp_Names,MATCH($A5524,Emp_Codes,0)),"NOT FOUND"))</f>
        <v/>
      </c>
      <c r="C5524" s="14" t="n"/>
      <c r="D5524" s="15" t="n"/>
      <c r="E5524" s="15" t="n"/>
      <c r="F5524" s="15" t="n"/>
      <c r="G5524" s="15" t="n"/>
      <c r="H5524" s="16">
        <f>IF($A5524="","",$D5524+IF($E5524="",0,$E5524)+IF($F5524="",0,$F5524)-IF($G5524="",0,$G5524))</f>
        <v/>
      </c>
      <c r="I5524" s="12" t="n"/>
      <c r="J5524" s="12" t="n"/>
      <c r="K5524" s="12" t="n"/>
      <c r="L5524" s="14" t="n"/>
      <c r="M5524" s="12" t="n"/>
      <c r="N5524" s="12" t="n"/>
      <c r="O5524" s="12" t="n"/>
    </row>
    <row r="5525">
      <c r="A5525" s="12" t="n"/>
      <c r="B5525" s="13">
        <f>IF($A5525="","",IFERROR(INDEX(Emp_Names,MATCH($A5525,Emp_Codes,0)),"NOT FOUND"))</f>
        <v/>
      </c>
      <c r="C5525" s="14" t="n"/>
      <c r="D5525" s="15" t="n"/>
      <c r="E5525" s="15" t="n"/>
      <c r="F5525" s="15" t="n"/>
      <c r="G5525" s="15" t="n"/>
      <c r="H5525" s="16">
        <f>IF($A5525="","",$D5525+IF($E5525="",0,$E5525)+IF($F5525="",0,$F5525)-IF($G5525="",0,$G5525))</f>
        <v/>
      </c>
      <c r="I5525" s="12" t="n"/>
      <c r="J5525" s="12" t="n"/>
      <c r="K5525" s="12" t="n"/>
      <c r="L5525" s="14" t="n"/>
      <c r="M5525" s="12" t="n"/>
      <c r="N5525" s="12" t="n"/>
      <c r="O5525" s="12" t="n"/>
    </row>
    <row r="5526">
      <c r="A5526" s="12" t="n"/>
      <c r="B5526" s="13">
        <f>IF($A5526="","",IFERROR(INDEX(Emp_Names,MATCH($A5526,Emp_Codes,0)),"NOT FOUND"))</f>
        <v/>
      </c>
      <c r="C5526" s="14" t="n"/>
      <c r="D5526" s="15" t="n"/>
      <c r="E5526" s="15" t="n"/>
      <c r="F5526" s="15" t="n"/>
      <c r="G5526" s="15" t="n"/>
      <c r="H5526" s="16">
        <f>IF($A5526="","",$D5526+IF($E5526="",0,$E5526)+IF($F5526="",0,$F5526)-IF($G5526="",0,$G5526))</f>
        <v/>
      </c>
      <c r="I5526" s="12" t="n"/>
      <c r="J5526" s="12" t="n"/>
      <c r="K5526" s="12" t="n"/>
      <c r="L5526" s="14" t="n"/>
      <c r="M5526" s="12" t="n"/>
      <c r="N5526" s="12" t="n"/>
      <c r="O5526" s="12" t="n"/>
    </row>
    <row r="5527">
      <c r="A5527" s="12" t="n"/>
      <c r="B5527" s="13">
        <f>IF($A5527="","",IFERROR(INDEX(Emp_Names,MATCH($A5527,Emp_Codes,0)),"NOT FOUND"))</f>
        <v/>
      </c>
      <c r="C5527" s="14" t="n"/>
      <c r="D5527" s="15" t="n"/>
      <c r="E5527" s="15" t="n"/>
      <c r="F5527" s="15" t="n"/>
      <c r="G5527" s="15" t="n"/>
      <c r="H5527" s="16">
        <f>IF($A5527="","",$D5527+IF($E5527="",0,$E5527)+IF($F5527="",0,$F5527)-IF($G5527="",0,$G5527))</f>
        <v/>
      </c>
      <c r="I5527" s="12" t="n"/>
      <c r="J5527" s="12" t="n"/>
      <c r="K5527" s="12" t="n"/>
      <c r="L5527" s="14" t="n"/>
      <c r="M5527" s="12" t="n"/>
      <c r="N5527" s="12" t="n"/>
      <c r="O5527" s="12" t="n"/>
    </row>
    <row r="5528">
      <c r="A5528" s="12" t="n"/>
      <c r="B5528" s="13">
        <f>IF($A5528="","",IFERROR(INDEX(Emp_Names,MATCH($A5528,Emp_Codes,0)),"NOT FOUND"))</f>
        <v/>
      </c>
      <c r="C5528" s="14" t="n"/>
      <c r="D5528" s="15" t="n"/>
      <c r="E5528" s="15" t="n"/>
      <c r="F5528" s="15" t="n"/>
      <c r="G5528" s="15" t="n"/>
      <c r="H5528" s="16">
        <f>IF($A5528="","",$D5528+IF($E5528="",0,$E5528)+IF($F5528="",0,$F5528)-IF($G5528="",0,$G5528))</f>
        <v/>
      </c>
      <c r="I5528" s="12" t="n"/>
      <c r="J5528" s="12" t="n"/>
      <c r="K5528" s="12" t="n"/>
      <c r="L5528" s="14" t="n"/>
      <c r="M5528" s="12" t="n"/>
      <c r="N5528" s="12" t="n"/>
      <c r="O5528" s="12" t="n"/>
    </row>
    <row r="5529">
      <c r="A5529" s="12" t="n"/>
      <c r="B5529" s="13">
        <f>IF($A5529="","",IFERROR(INDEX(Emp_Names,MATCH($A5529,Emp_Codes,0)),"NOT FOUND"))</f>
        <v/>
      </c>
      <c r="C5529" s="14" t="n"/>
      <c r="D5529" s="15" t="n"/>
      <c r="E5529" s="15" t="n"/>
      <c r="F5529" s="15" t="n"/>
      <c r="G5529" s="15" t="n"/>
      <c r="H5529" s="16">
        <f>IF($A5529="","",$D5529+IF($E5529="",0,$E5529)+IF($F5529="",0,$F5529)-IF($G5529="",0,$G5529))</f>
        <v/>
      </c>
      <c r="I5529" s="12" t="n"/>
      <c r="J5529" s="12" t="n"/>
      <c r="K5529" s="12" t="n"/>
      <c r="L5529" s="14" t="n"/>
      <c r="M5529" s="12" t="n"/>
      <c r="N5529" s="12" t="n"/>
      <c r="O5529" s="12" t="n"/>
    </row>
    <row r="5530">
      <c r="A5530" s="12" t="n"/>
      <c r="B5530" s="13">
        <f>IF($A5530="","",IFERROR(INDEX(Emp_Names,MATCH($A5530,Emp_Codes,0)),"NOT FOUND"))</f>
        <v/>
      </c>
      <c r="C5530" s="14" t="n"/>
      <c r="D5530" s="15" t="n"/>
      <c r="E5530" s="15" t="n"/>
      <c r="F5530" s="15" t="n"/>
      <c r="G5530" s="15" t="n"/>
      <c r="H5530" s="16">
        <f>IF($A5530="","",$D5530+IF($E5530="",0,$E5530)+IF($F5530="",0,$F5530)-IF($G5530="",0,$G5530))</f>
        <v/>
      </c>
      <c r="I5530" s="12" t="n"/>
      <c r="J5530" s="12" t="n"/>
      <c r="K5530" s="12" t="n"/>
      <c r="L5530" s="14" t="n"/>
      <c r="M5530" s="12" t="n"/>
      <c r="N5530" s="12" t="n"/>
      <c r="O5530" s="12" t="n"/>
    </row>
    <row r="5531">
      <c r="A5531" s="12" t="n"/>
      <c r="B5531" s="13">
        <f>IF($A5531="","",IFERROR(INDEX(Emp_Names,MATCH($A5531,Emp_Codes,0)),"NOT FOUND"))</f>
        <v/>
      </c>
      <c r="C5531" s="14" t="n"/>
      <c r="D5531" s="15" t="n"/>
      <c r="E5531" s="15" t="n"/>
      <c r="F5531" s="15" t="n"/>
      <c r="G5531" s="15" t="n"/>
      <c r="H5531" s="16">
        <f>IF($A5531="","",$D5531+IF($E5531="",0,$E5531)+IF($F5531="",0,$F5531)-IF($G5531="",0,$G5531))</f>
        <v/>
      </c>
      <c r="I5531" s="12" t="n"/>
      <c r="J5531" s="12" t="n"/>
      <c r="K5531" s="12" t="n"/>
      <c r="L5531" s="14" t="n"/>
      <c r="M5531" s="12" t="n"/>
      <c r="N5531" s="12" t="n"/>
      <c r="O5531" s="12" t="n"/>
    </row>
    <row r="5532">
      <c r="A5532" s="12" t="n"/>
      <c r="B5532" s="13">
        <f>IF($A5532="","",IFERROR(INDEX(Emp_Names,MATCH($A5532,Emp_Codes,0)),"NOT FOUND"))</f>
        <v/>
      </c>
      <c r="C5532" s="14" t="n"/>
      <c r="D5532" s="15" t="n"/>
      <c r="E5532" s="15" t="n"/>
      <c r="F5532" s="15" t="n"/>
      <c r="G5532" s="15" t="n"/>
      <c r="H5532" s="16">
        <f>IF($A5532="","",$D5532+IF($E5532="",0,$E5532)+IF($F5532="",0,$F5532)-IF($G5532="",0,$G5532))</f>
        <v/>
      </c>
      <c r="I5532" s="12" t="n"/>
      <c r="J5532" s="12" t="n"/>
      <c r="K5532" s="12" t="n"/>
      <c r="L5532" s="14" t="n"/>
      <c r="M5532" s="12" t="n"/>
      <c r="N5532" s="12" t="n"/>
      <c r="O5532" s="12" t="n"/>
    </row>
    <row r="5533">
      <c r="A5533" s="12" t="n"/>
      <c r="B5533" s="13">
        <f>IF($A5533="","",IFERROR(INDEX(Emp_Names,MATCH($A5533,Emp_Codes,0)),"NOT FOUND"))</f>
        <v/>
      </c>
      <c r="C5533" s="14" t="n"/>
      <c r="D5533" s="15" t="n"/>
      <c r="E5533" s="15" t="n"/>
      <c r="F5533" s="15" t="n"/>
      <c r="G5533" s="15" t="n"/>
      <c r="H5533" s="16">
        <f>IF($A5533="","",$D5533+IF($E5533="",0,$E5533)+IF($F5533="",0,$F5533)-IF($G5533="",0,$G5533))</f>
        <v/>
      </c>
      <c r="I5533" s="12" t="n"/>
      <c r="J5533" s="12" t="n"/>
      <c r="K5533" s="12" t="n"/>
      <c r="L5533" s="14" t="n"/>
      <c r="M5533" s="12" t="n"/>
      <c r="N5533" s="12" t="n"/>
      <c r="O5533" s="12" t="n"/>
    </row>
    <row r="5534">
      <c r="A5534" s="12" t="n"/>
      <c r="B5534" s="13">
        <f>IF($A5534="","",IFERROR(INDEX(Emp_Names,MATCH($A5534,Emp_Codes,0)),"NOT FOUND"))</f>
        <v/>
      </c>
      <c r="C5534" s="14" t="n"/>
      <c r="D5534" s="15" t="n"/>
      <c r="E5534" s="15" t="n"/>
      <c r="F5534" s="15" t="n"/>
      <c r="G5534" s="15" t="n"/>
      <c r="H5534" s="16">
        <f>IF($A5534="","",$D5534+IF($E5534="",0,$E5534)+IF($F5534="",0,$F5534)-IF($G5534="",0,$G5534))</f>
        <v/>
      </c>
      <c r="I5534" s="12" t="n"/>
      <c r="J5534" s="12" t="n"/>
      <c r="K5534" s="12" t="n"/>
      <c r="L5534" s="14" t="n"/>
      <c r="M5534" s="12" t="n"/>
      <c r="N5534" s="12" t="n"/>
      <c r="O5534" s="12" t="n"/>
    </row>
    <row r="5535">
      <c r="A5535" s="12" t="n"/>
      <c r="B5535" s="13">
        <f>IF($A5535="","",IFERROR(INDEX(Emp_Names,MATCH($A5535,Emp_Codes,0)),"NOT FOUND"))</f>
        <v/>
      </c>
      <c r="C5535" s="14" t="n"/>
      <c r="D5535" s="15" t="n"/>
      <c r="E5535" s="15" t="n"/>
      <c r="F5535" s="15" t="n"/>
      <c r="G5535" s="15" t="n"/>
      <c r="H5535" s="16">
        <f>IF($A5535="","",$D5535+IF($E5535="",0,$E5535)+IF($F5535="",0,$F5535)-IF($G5535="",0,$G5535))</f>
        <v/>
      </c>
      <c r="I5535" s="12" t="n"/>
      <c r="J5535" s="12" t="n"/>
      <c r="K5535" s="12" t="n"/>
      <c r="L5535" s="14" t="n"/>
      <c r="M5535" s="12" t="n"/>
      <c r="N5535" s="12" t="n"/>
      <c r="O5535" s="12" t="n"/>
    </row>
    <row r="5536">
      <c r="A5536" s="12" t="n"/>
      <c r="B5536" s="13">
        <f>IF($A5536="","",IFERROR(INDEX(Emp_Names,MATCH($A5536,Emp_Codes,0)),"NOT FOUND"))</f>
        <v/>
      </c>
      <c r="C5536" s="14" t="n"/>
      <c r="D5536" s="15" t="n"/>
      <c r="E5536" s="15" t="n"/>
      <c r="F5536" s="15" t="n"/>
      <c r="G5536" s="15" t="n"/>
      <c r="H5536" s="16">
        <f>IF($A5536="","",$D5536+IF($E5536="",0,$E5536)+IF($F5536="",0,$F5536)-IF($G5536="",0,$G5536))</f>
        <v/>
      </c>
      <c r="I5536" s="12" t="n"/>
      <c r="J5536" s="12" t="n"/>
      <c r="K5536" s="12" t="n"/>
      <c r="L5536" s="14" t="n"/>
      <c r="M5536" s="12" t="n"/>
      <c r="N5536" s="12" t="n"/>
      <c r="O5536" s="12" t="n"/>
    </row>
    <row r="5537">
      <c r="A5537" s="12" t="n"/>
      <c r="B5537" s="13">
        <f>IF($A5537="","",IFERROR(INDEX(Emp_Names,MATCH($A5537,Emp_Codes,0)),"NOT FOUND"))</f>
        <v/>
      </c>
      <c r="C5537" s="14" t="n"/>
      <c r="D5537" s="15" t="n"/>
      <c r="E5537" s="15" t="n"/>
      <c r="F5537" s="15" t="n"/>
      <c r="G5537" s="15" t="n"/>
      <c r="H5537" s="16">
        <f>IF($A5537="","",$D5537+IF($E5537="",0,$E5537)+IF($F5537="",0,$F5537)-IF($G5537="",0,$G5537))</f>
        <v/>
      </c>
      <c r="I5537" s="12" t="n"/>
      <c r="J5537" s="12" t="n"/>
      <c r="K5537" s="12" t="n"/>
      <c r="L5537" s="14" t="n"/>
      <c r="M5537" s="12" t="n"/>
      <c r="N5537" s="12" t="n"/>
      <c r="O5537" s="12" t="n"/>
    </row>
    <row r="5538">
      <c r="A5538" s="12" t="n"/>
      <c r="B5538" s="13">
        <f>IF($A5538="","",IFERROR(INDEX(Emp_Names,MATCH($A5538,Emp_Codes,0)),"NOT FOUND"))</f>
        <v/>
      </c>
      <c r="C5538" s="14" t="n"/>
      <c r="D5538" s="15" t="n"/>
      <c r="E5538" s="15" t="n"/>
      <c r="F5538" s="15" t="n"/>
      <c r="G5538" s="15" t="n"/>
      <c r="H5538" s="16">
        <f>IF($A5538="","",$D5538+IF($E5538="",0,$E5538)+IF($F5538="",0,$F5538)-IF($G5538="",0,$G5538))</f>
        <v/>
      </c>
      <c r="I5538" s="12" t="n"/>
      <c r="J5538" s="12" t="n"/>
      <c r="K5538" s="12" t="n"/>
      <c r="L5538" s="14" t="n"/>
      <c r="M5538" s="12" t="n"/>
      <c r="N5538" s="12" t="n"/>
      <c r="O5538" s="12" t="n"/>
    </row>
    <row r="5539">
      <c r="A5539" s="12" t="n"/>
      <c r="B5539" s="13">
        <f>IF($A5539="","",IFERROR(INDEX(Emp_Names,MATCH($A5539,Emp_Codes,0)),"NOT FOUND"))</f>
        <v/>
      </c>
      <c r="C5539" s="14" t="n"/>
      <c r="D5539" s="15" t="n"/>
      <c r="E5539" s="15" t="n"/>
      <c r="F5539" s="15" t="n"/>
      <c r="G5539" s="15" t="n"/>
      <c r="H5539" s="16">
        <f>IF($A5539="","",$D5539+IF($E5539="",0,$E5539)+IF($F5539="",0,$F5539)-IF($G5539="",0,$G5539))</f>
        <v/>
      </c>
      <c r="I5539" s="12" t="n"/>
      <c r="J5539" s="12" t="n"/>
      <c r="K5539" s="12" t="n"/>
      <c r="L5539" s="14" t="n"/>
      <c r="M5539" s="12" t="n"/>
      <c r="N5539" s="12" t="n"/>
      <c r="O5539" s="12" t="n"/>
    </row>
    <row r="5540">
      <c r="A5540" s="12" t="n"/>
      <c r="B5540" s="13">
        <f>IF($A5540="","",IFERROR(INDEX(Emp_Names,MATCH($A5540,Emp_Codes,0)),"NOT FOUND"))</f>
        <v/>
      </c>
      <c r="C5540" s="14" t="n"/>
      <c r="D5540" s="15" t="n"/>
      <c r="E5540" s="15" t="n"/>
      <c r="F5540" s="15" t="n"/>
      <c r="G5540" s="15" t="n"/>
      <c r="H5540" s="16">
        <f>IF($A5540="","",$D5540+IF($E5540="",0,$E5540)+IF($F5540="",0,$F5540)-IF($G5540="",0,$G5540))</f>
        <v/>
      </c>
      <c r="I5540" s="12" t="n"/>
      <c r="J5540" s="12" t="n"/>
      <c r="K5540" s="12" t="n"/>
      <c r="L5540" s="14" t="n"/>
      <c r="M5540" s="12" t="n"/>
      <c r="N5540" s="12" t="n"/>
      <c r="O5540" s="12" t="n"/>
    </row>
    <row r="5541">
      <c r="A5541" s="12" t="n"/>
      <c r="B5541" s="13">
        <f>IF($A5541="","",IFERROR(INDEX(Emp_Names,MATCH($A5541,Emp_Codes,0)),"NOT FOUND"))</f>
        <v/>
      </c>
      <c r="C5541" s="14" t="n"/>
      <c r="D5541" s="15" t="n"/>
      <c r="E5541" s="15" t="n"/>
      <c r="F5541" s="15" t="n"/>
      <c r="G5541" s="15" t="n"/>
      <c r="H5541" s="16">
        <f>IF($A5541="","",$D5541+IF($E5541="",0,$E5541)+IF($F5541="",0,$F5541)-IF($G5541="",0,$G5541))</f>
        <v/>
      </c>
      <c r="I5541" s="12" t="n"/>
      <c r="J5541" s="12" t="n"/>
      <c r="K5541" s="12" t="n"/>
      <c r="L5541" s="14" t="n"/>
      <c r="M5541" s="12" t="n"/>
      <c r="N5541" s="12" t="n"/>
      <c r="O5541" s="12" t="n"/>
    </row>
    <row r="5542">
      <c r="A5542" s="12" t="n"/>
      <c r="B5542" s="13">
        <f>IF($A5542="","",IFERROR(INDEX(Emp_Names,MATCH($A5542,Emp_Codes,0)),"NOT FOUND"))</f>
        <v/>
      </c>
      <c r="C5542" s="14" t="n"/>
      <c r="D5542" s="15" t="n"/>
      <c r="E5542" s="15" t="n"/>
      <c r="F5542" s="15" t="n"/>
      <c r="G5542" s="15" t="n"/>
      <c r="H5542" s="16">
        <f>IF($A5542="","",$D5542+IF($E5542="",0,$E5542)+IF($F5542="",0,$F5542)-IF($G5542="",0,$G5542))</f>
        <v/>
      </c>
      <c r="I5542" s="12" t="n"/>
      <c r="J5542" s="12" t="n"/>
      <c r="K5542" s="12" t="n"/>
      <c r="L5542" s="14" t="n"/>
      <c r="M5542" s="12" t="n"/>
      <c r="N5542" s="12" t="n"/>
      <c r="O5542" s="12" t="n"/>
    </row>
    <row r="5543">
      <c r="A5543" s="12" t="n"/>
      <c r="B5543" s="13">
        <f>IF($A5543="","",IFERROR(INDEX(Emp_Names,MATCH($A5543,Emp_Codes,0)),"NOT FOUND"))</f>
        <v/>
      </c>
      <c r="C5543" s="14" t="n"/>
      <c r="D5543" s="15" t="n"/>
      <c r="E5543" s="15" t="n"/>
      <c r="F5543" s="15" t="n"/>
      <c r="G5543" s="15" t="n"/>
      <c r="H5543" s="16">
        <f>IF($A5543="","",$D5543+IF($E5543="",0,$E5543)+IF($F5543="",0,$F5543)-IF($G5543="",0,$G5543))</f>
        <v/>
      </c>
      <c r="I5543" s="12" t="n"/>
      <c r="J5543" s="12" t="n"/>
      <c r="K5543" s="12" t="n"/>
      <c r="L5543" s="14" t="n"/>
      <c r="M5543" s="12" t="n"/>
      <c r="N5543" s="12" t="n"/>
      <c r="O5543" s="12" t="n"/>
    </row>
    <row r="5544">
      <c r="A5544" s="12" t="n"/>
      <c r="B5544" s="13">
        <f>IF($A5544="","",IFERROR(INDEX(Emp_Names,MATCH($A5544,Emp_Codes,0)),"NOT FOUND"))</f>
        <v/>
      </c>
      <c r="C5544" s="14" t="n"/>
      <c r="D5544" s="15" t="n"/>
      <c r="E5544" s="15" t="n"/>
      <c r="F5544" s="15" t="n"/>
      <c r="G5544" s="15" t="n"/>
      <c r="H5544" s="16">
        <f>IF($A5544="","",$D5544+IF($E5544="",0,$E5544)+IF($F5544="",0,$F5544)-IF($G5544="",0,$G5544))</f>
        <v/>
      </c>
      <c r="I5544" s="12" t="n"/>
      <c r="J5544" s="12" t="n"/>
      <c r="K5544" s="12" t="n"/>
      <c r="L5544" s="14" t="n"/>
      <c r="M5544" s="12" t="n"/>
      <c r="N5544" s="12" t="n"/>
      <c r="O5544" s="12" t="n"/>
    </row>
    <row r="5545">
      <c r="A5545" s="12" t="n"/>
      <c r="B5545" s="13">
        <f>IF($A5545="","",IFERROR(INDEX(Emp_Names,MATCH($A5545,Emp_Codes,0)),"NOT FOUND"))</f>
        <v/>
      </c>
      <c r="C5545" s="14" t="n"/>
      <c r="D5545" s="15" t="n"/>
      <c r="E5545" s="15" t="n"/>
      <c r="F5545" s="15" t="n"/>
      <c r="G5545" s="15" t="n"/>
      <c r="H5545" s="16">
        <f>IF($A5545="","",$D5545+IF($E5545="",0,$E5545)+IF($F5545="",0,$F5545)-IF($G5545="",0,$G5545))</f>
        <v/>
      </c>
      <c r="I5545" s="12" t="n"/>
      <c r="J5545" s="12" t="n"/>
      <c r="K5545" s="12" t="n"/>
      <c r="L5545" s="14" t="n"/>
      <c r="M5545" s="12" t="n"/>
      <c r="N5545" s="12" t="n"/>
      <c r="O5545" s="12" t="n"/>
    </row>
    <row r="5546">
      <c r="A5546" s="12" t="n"/>
      <c r="B5546" s="13">
        <f>IF($A5546="","",IFERROR(INDEX(Emp_Names,MATCH($A5546,Emp_Codes,0)),"NOT FOUND"))</f>
        <v/>
      </c>
      <c r="C5546" s="14" t="n"/>
      <c r="D5546" s="15" t="n"/>
      <c r="E5546" s="15" t="n"/>
      <c r="F5546" s="15" t="n"/>
      <c r="G5546" s="15" t="n"/>
      <c r="H5546" s="16">
        <f>IF($A5546="","",$D5546+IF($E5546="",0,$E5546)+IF($F5546="",0,$F5546)-IF($G5546="",0,$G5546))</f>
        <v/>
      </c>
      <c r="I5546" s="12" t="n"/>
      <c r="J5546" s="12" t="n"/>
      <c r="K5546" s="12" t="n"/>
      <c r="L5546" s="14" t="n"/>
      <c r="M5546" s="12" t="n"/>
      <c r="N5546" s="12" t="n"/>
      <c r="O5546" s="12" t="n"/>
    </row>
    <row r="5547">
      <c r="A5547" s="12" t="n"/>
      <c r="B5547" s="13">
        <f>IF($A5547="","",IFERROR(INDEX(Emp_Names,MATCH($A5547,Emp_Codes,0)),"NOT FOUND"))</f>
        <v/>
      </c>
      <c r="C5547" s="14" t="n"/>
      <c r="D5547" s="15" t="n"/>
      <c r="E5547" s="15" t="n"/>
      <c r="F5547" s="15" t="n"/>
      <c r="G5547" s="15" t="n"/>
      <c r="H5547" s="16">
        <f>IF($A5547="","",$D5547+IF($E5547="",0,$E5547)+IF($F5547="",0,$F5547)-IF($G5547="",0,$G5547))</f>
        <v/>
      </c>
      <c r="I5547" s="12" t="n"/>
      <c r="J5547" s="12" t="n"/>
      <c r="K5547" s="12" t="n"/>
      <c r="L5547" s="14" t="n"/>
      <c r="M5547" s="12" t="n"/>
      <c r="N5547" s="12" t="n"/>
      <c r="O5547" s="12" t="n"/>
    </row>
    <row r="5548">
      <c r="A5548" s="12" t="n"/>
      <c r="B5548" s="13">
        <f>IF($A5548="","",IFERROR(INDEX(Emp_Names,MATCH($A5548,Emp_Codes,0)),"NOT FOUND"))</f>
        <v/>
      </c>
      <c r="C5548" s="14" t="n"/>
      <c r="D5548" s="15" t="n"/>
      <c r="E5548" s="15" t="n"/>
      <c r="F5548" s="15" t="n"/>
      <c r="G5548" s="15" t="n"/>
      <c r="H5548" s="16">
        <f>IF($A5548="","",$D5548+IF($E5548="",0,$E5548)+IF($F5548="",0,$F5548)-IF($G5548="",0,$G5548))</f>
        <v/>
      </c>
      <c r="I5548" s="12" t="n"/>
      <c r="J5548" s="12" t="n"/>
      <c r="K5548" s="12" t="n"/>
      <c r="L5548" s="14" t="n"/>
      <c r="M5548" s="12" t="n"/>
      <c r="N5548" s="12" t="n"/>
      <c r="O5548" s="12" t="n"/>
    </row>
    <row r="5549">
      <c r="A5549" s="12" t="n"/>
      <c r="B5549" s="13">
        <f>IF($A5549="","",IFERROR(INDEX(Emp_Names,MATCH($A5549,Emp_Codes,0)),"NOT FOUND"))</f>
        <v/>
      </c>
      <c r="C5549" s="14" t="n"/>
      <c r="D5549" s="15" t="n"/>
      <c r="E5549" s="15" t="n"/>
      <c r="F5549" s="15" t="n"/>
      <c r="G5549" s="15" t="n"/>
      <c r="H5549" s="16">
        <f>IF($A5549="","",$D5549+IF($E5549="",0,$E5549)+IF($F5549="",0,$F5549)-IF($G5549="",0,$G5549))</f>
        <v/>
      </c>
      <c r="I5549" s="12" t="n"/>
      <c r="J5549" s="12" t="n"/>
      <c r="K5549" s="12" t="n"/>
      <c r="L5549" s="14" t="n"/>
      <c r="M5549" s="12" t="n"/>
      <c r="N5549" s="12" t="n"/>
      <c r="O5549" s="12" t="n"/>
    </row>
    <row r="5550">
      <c r="A5550" s="12" t="n"/>
      <c r="B5550" s="13">
        <f>IF($A5550="","",IFERROR(INDEX(Emp_Names,MATCH($A5550,Emp_Codes,0)),"NOT FOUND"))</f>
        <v/>
      </c>
      <c r="C5550" s="14" t="n"/>
      <c r="D5550" s="15" t="n"/>
      <c r="E5550" s="15" t="n"/>
      <c r="F5550" s="15" t="n"/>
      <c r="G5550" s="15" t="n"/>
      <c r="H5550" s="16">
        <f>IF($A5550="","",$D5550+IF($E5550="",0,$E5550)+IF($F5550="",0,$F5550)-IF($G5550="",0,$G5550))</f>
        <v/>
      </c>
      <c r="I5550" s="12" t="n"/>
      <c r="J5550" s="12" t="n"/>
      <c r="K5550" s="12" t="n"/>
      <c r="L5550" s="14" t="n"/>
      <c r="M5550" s="12" t="n"/>
      <c r="N5550" s="12" t="n"/>
      <c r="O5550" s="12" t="n"/>
    </row>
    <row r="5551">
      <c r="A5551" s="12" t="n"/>
      <c r="B5551" s="13">
        <f>IF($A5551="","",IFERROR(INDEX(Emp_Names,MATCH($A5551,Emp_Codes,0)),"NOT FOUND"))</f>
        <v/>
      </c>
      <c r="C5551" s="14" t="n"/>
      <c r="D5551" s="15" t="n"/>
      <c r="E5551" s="15" t="n"/>
      <c r="F5551" s="15" t="n"/>
      <c r="G5551" s="15" t="n"/>
      <c r="H5551" s="16">
        <f>IF($A5551="","",$D5551+IF($E5551="",0,$E5551)+IF($F5551="",0,$F5551)-IF($G5551="",0,$G5551))</f>
        <v/>
      </c>
      <c r="I5551" s="12" t="n"/>
      <c r="J5551" s="12" t="n"/>
      <c r="K5551" s="12" t="n"/>
      <c r="L5551" s="14" t="n"/>
      <c r="M5551" s="12" t="n"/>
      <c r="N5551" s="12" t="n"/>
      <c r="O5551" s="12" t="n"/>
    </row>
    <row r="5552">
      <c r="A5552" s="12" t="n"/>
      <c r="B5552" s="13">
        <f>IF($A5552="","",IFERROR(INDEX(Emp_Names,MATCH($A5552,Emp_Codes,0)),"NOT FOUND"))</f>
        <v/>
      </c>
      <c r="C5552" s="14" t="n"/>
      <c r="D5552" s="15" t="n"/>
      <c r="E5552" s="15" t="n"/>
      <c r="F5552" s="15" t="n"/>
      <c r="G5552" s="15" t="n"/>
      <c r="H5552" s="16">
        <f>IF($A5552="","",$D5552+IF($E5552="",0,$E5552)+IF($F5552="",0,$F5552)-IF($G5552="",0,$G5552))</f>
        <v/>
      </c>
      <c r="I5552" s="12" t="n"/>
      <c r="J5552" s="12" t="n"/>
      <c r="K5552" s="12" t="n"/>
      <c r="L5552" s="14" t="n"/>
      <c r="M5552" s="12" t="n"/>
      <c r="N5552" s="12" t="n"/>
      <c r="O5552" s="12" t="n"/>
    </row>
    <row r="5553">
      <c r="A5553" s="12" t="n"/>
      <c r="B5553" s="13">
        <f>IF($A5553="","",IFERROR(INDEX(Emp_Names,MATCH($A5553,Emp_Codes,0)),"NOT FOUND"))</f>
        <v/>
      </c>
      <c r="C5553" s="14" t="n"/>
      <c r="D5553" s="15" t="n"/>
      <c r="E5553" s="15" t="n"/>
      <c r="F5553" s="15" t="n"/>
      <c r="G5553" s="15" t="n"/>
      <c r="H5553" s="16">
        <f>IF($A5553="","",$D5553+IF($E5553="",0,$E5553)+IF($F5553="",0,$F5553)-IF($G5553="",0,$G5553))</f>
        <v/>
      </c>
      <c r="I5553" s="12" t="n"/>
      <c r="J5553" s="12" t="n"/>
      <c r="K5553" s="12" t="n"/>
      <c r="L5553" s="14" t="n"/>
      <c r="M5553" s="12" t="n"/>
      <c r="N5553" s="12" t="n"/>
      <c r="O5553" s="12" t="n"/>
    </row>
    <row r="5554">
      <c r="A5554" s="12" t="n"/>
      <c r="B5554" s="13">
        <f>IF($A5554="","",IFERROR(INDEX(Emp_Names,MATCH($A5554,Emp_Codes,0)),"NOT FOUND"))</f>
        <v/>
      </c>
      <c r="C5554" s="14" t="n"/>
      <c r="D5554" s="15" t="n"/>
      <c r="E5554" s="15" t="n"/>
      <c r="F5554" s="15" t="n"/>
      <c r="G5554" s="15" t="n"/>
      <c r="H5554" s="16">
        <f>IF($A5554="","",$D5554+IF($E5554="",0,$E5554)+IF($F5554="",0,$F5554)-IF($G5554="",0,$G5554))</f>
        <v/>
      </c>
      <c r="I5554" s="12" t="n"/>
      <c r="J5554" s="12" t="n"/>
      <c r="K5554" s="12" t="n"/>
      <c r="L5554" s="14" t="n"/>
      <c r="M5554" s="12" t="n"/>
      <c r="N5554" s="12" t="n"/>
      <c r="O5554" s="12" t="n"/>
    </row>
    <row r="5555">
      <c r="A5555" s="12" t="n"/>
      <c r="B5555" s="13">
        <f>IF($A5555="","",IFERROR(INDEX(Emp_Names,MATCH($A5555,Emp_Codes,0)),"NOT FOUND"))</f>
        <v/>
      </c>
      <c r="C5555" s="14" t="n"/>
      <c r="D5555" s="15" t="n"/>
      <c r="E5555" s="15" t="n"/>
      <c r="F5555" s="15" t="n"/>
      <c r="G5555" s="15" t="n"/>
      <c r="H5555" s="16">
        <f>IF($A5555="","",$D5555+IF($E5555="",0,$E5555)+IF($F5555="",0,$F5555)-IF($G5555="",0,$G5555))</f>
        <v/>
      </c>
      <c r="I5555" s="12" t="n"/>
      <c r="J5555" s="12" t="n"/>
      <c r="K5555" s="12" t="n"/>
      <c r="L5555" s="14" t="n"/>
      <c r="M5555" s="12" t="n"/>
      <c r="N5555" s="12" t="n"/>
      <c r="O5555" s="12" t="n"/>
    </row>
    <row r="5556">
      <c r="A5556" s="12" t="n"/>
      <c r="B5556" s="13">
        <f>IF($A5556="","",IFERROR(INDEX(Emp_Names,MATCH($A5556,Emp_Codes,0)),"NOT FOUND"))</f>
        <v/>
      </c>
      <c r="C5556" s="14" t="n"/>
      <c r="D5556" s="15" t="n"/>
      <c r="E5556" s="15" t="n"/>
      <c r="F5556" s="15" t="n"/>
      <c r="G5556" s="15" t="n"/>
      <c r="H5556" s="16">
        <f>IF($A5556="","",$D5556+IF($E5556="",0,$E5556)+IF($F5556="",0,$F5556)-IF($G5556="",0,$G5556))</f>
        <v/>
      </c>
      <c r="I5556" s="12" t="n"/>
      <c r="J5556" s="12" t="n"/>
      <c r="K5556" s="12" t="n"/>
      <c r="L5556" s="14" t="n"/>
      <c r="M5556" s="12" t="n"/>
      <c r="N5556" s="12" t="n"/>
      <c r="O5556" s="12" t="n"/>
    </row>
    <row r="5557">
      <c r="A5557" s="12" t="n"/>
      <c r="B5557" s="13">
        <f>IF($A5557="","",IFERROR(INDEX(Emp_Names,MATCH($A5557,Emp_Codes,0)),"NOT FOUND"))</f>
        <v/>
      </c>
      <c r="C5557" s="14" t="n"/>
      <c r="D5557" s="15" t="n"/>
      <c r="E5557" s="15" t="n"/>
      <c r="F5557" s="15" t="n"/>
      <c r="G5557" s="15" t="n"/>
      <c r="H5557" s="16">
        <f>IF($A5557="","",$D5557+IF($E5557="",0,$E5557)+IF($F5557="",0,$F5557)-IF($G5557="",0,$G5557))</f>
        <v/>
      </c>
      <c r="I5557" s="12" t="n"/>
      <c r="J5557" s="12" t="n"/>
      <c r="K5557" s="12" t="n"/>
      <c r="L5557" s="14" t="n"/>
      <c r="M5557" s="12" t="n"/>
      <c r="N5557" s="12" t="n"/>
      <c r="O5557" s="12" t="n"/>
    </row>
    <row r="5558">
      <c r="A5558" s="12" t="n"/>
      <c r="B5558" s="13">
        <f>IF($A5558="","",IFERROR(INDEX(Emp_Names,MATCH($A5558,Emp_Codes,0)),"NOT FOUND"))</f>
        <v/>
      </c>
      <c r="C5558" s="14" t="n"/>
      <c r="D5558" s="15" t="n"/>
      <c r="E5558" s="15" t="n"/>
      <c r="F5558" s="15" t="n"/>
      <c r="G5558" s="15" t="n"/>
      <c r="H5558" s="16">
        <f>IF($A5558="","",$D5558+IF($E5558="",0,$E5558)+IF($F5558="",0,$F5558)-IF($G5558="",0,$G5558))</f>
        <v/>
      </c>
      <c r="I5558" s="12" t="n"/>
      <c r="J5558" s="12" t="n"/>
      <c r="K5558" s="12" t="n"/>
      <c r="L5558" s="14" t="n"/>
      <c r="M5558" s="12" t="n"/>
      <c r="N5558" s="12" t="n"/>
      <c r="O5558" s="12" t="n"/>
    </row>
    <row r="5559">
      <c r="A5559" s="12" t="n"/>
      <c r="B5559" s="13">
        <f>IF($A5559="","",IFERROR(INDEX(Emp_Names,MATCH($A5559,Emp_Codes,0)),"NOT FOUND"))</f>
        <v/>
      </c>
      <c r="C5559" s="14" t="n"/>
      <c r="D5559" s="15" t="n"/>
      <c r="E5559" s="15" t="n"/>
      <c r="F5559" s="15" t="n"/>
      <c r="G5559" s="15" t="n"/>
      <c r="H5559" s="16">
        <f>IF($A5559="","",$D5559+IF($E5559="",0,$E5559)+IF($F5559="",0,$F5559)-IF($G5559="",0,$G5559))</f>
        <v/>
      </c>
      <c r="I5559" s="12" t="n"/>
      <c r="J5559" s="12" t="n"/>
      <c r="K5559" s="12" t="n"/>
      <c r="L5559" s="14" t="n"/>
      <c r="M5559" s="12" t="n"/>
      <c r="N5559" s="12" t="n"/>
      <c r="O5559" s="12" t="n"/>
    </row>
    <row r="5560">
      <c r="A5560" s="12" t="n"/>
      <c r="B5560" s="13">
        <f>IF($A5560="","",IFERROR(INDEX(Emp_Names,MATCH($A5560,Emp_Codes,0)),"NOT FOUND"))</f>
        <v/>
      </c>
      <c r="C5560" s="14" t="n"/>
      <c r="D5560" s="15" t="n"/>
      <c r="E5560" s="15" t="n"/>
      <c r="F5560" s="15" t="n"/>
      <c r="G5560" s="15" t="n"/>
      <c r="H5560" s="16">
        <f>IF($A5560="","",$D5560+IF($E5560="",0,$E5560)+IF($F5560="",0,$F5560)-IF($G5560="",0,$G5560))</f>
        <v/>
      </c>
      <c r="I5560" s="12" t="n"/>
      <c r="J5560" s="12" t="n"/>
      <c r="K5560" s="12" t="n"/>
      <c r="L5560" s="14" t="n"/>
      <c r="M5560" s="12" t="n"/>
      <c r="N5560" s="12" t="n"/>
      <c r="O5560" s="12" t="n"/>
    </row>
    <row r="5561">
      <c r="A5561" s="12" t="n"/>
      <c r="B5561" s="13">
        <f>IF($A5561="","",IFERROR(INDEX(Emp_Names,MATCH($A5561,Emp_Codes,0)),"NOT FOUND"))</f>
        <v/>
      </c>
      <c r="C5561" s="14" t="n"/>
      <c r="D5561" s="15" t="n"/>
      <c r="E5561" s="15" t="n"/>
      <c r="F5561" s="15" t="n"/>
      <c r="G5561" s="15" t="n"/>
      <c r="H5561" s="16">
        <f>IF($A5561="","",$D5561+IF($E5561="",0,$E5561)+IF($F5561="",0,$F5561)-IF($G5561="",0,$G5561))</f>
        <v/>
      </c>
      <c r="I5561" s="12" t="n"/>
      <c r="J5561" s="12" t="n"/>
      <c r="K5561" s="12" t="n"/>
      <c r="L5561" s="14" t="n"/>
      <c r="M5561" s="12" t="n"/>
      <c r="N5561" s="12" t="n"/>
      <c r="O5561" s="12" t="n"/>
    </row>
    <row r="5562">
      <c r="A5562" s="12" t="n"/>
      <c r="B5562" s="13">
        <f>IF($A5562="","",IFERROR(INDEX(Emp_Names,MATCH($A5562,Emp_Codes,0)),"NOT FOUND"))</f>
        <v/>
      </c>
      <c r="C5562" s="14" t="n"/>
      <c r="D5562" s="15" t="n"/>
      <c r="E5562" s="15" t="n"/>
      <c r="F5562" s="15" t="n"/>
      <c r="G5562" s="15" t="n"/>
      <c r="H5562" s="16">
        <f>IF($A5562="","",$D5562+IF($E5562="",0,$E5562)+IF($F5562="",0,$F5562)-IF($G5562="",0,$G5562))</f>
        <v/>
      </c>
      <c r="I5562" s="12" t="n"/>
      <c r="J5562" s="12" t="n"/>
      <c r="K5562" s="12" t="n"/>
      <c r="L5562" s="14" t="n"/>
      <c r="M5562" s="12" t="n"/>
      <c r="N5562" s="12" t="n"/>
      <c r="O5562" s="12" t="n"/>
    </row>
    <row r="5563">
      <c r="A5563" s="12" t="n"/>
      <c r="B5563" s="13">
        <f>IF($A5563="","",IFERROR(INDEX(Emp_Names,MATCH($A5563,Emp_Codes,0)),"NOT FOUND"))</f>
        <v/>
      </c>
      <c r="C5563" s="14" t="n"/>
      <c r="D5563" s="15" t="n"/>
      <c r="E5563" s="15" t="n"/>
      <c r="F5563" s="15" t="n"/>
      <c r="G5563" s="15" t="n"/>
      <c r="H5563" s="16">
        <f>IF($A5563="","",$D5563+IF($E5563="",0,$E5563)+IF($F5563="",0,$F5563)-IF($G5563="",0,$G5563))</f>
        <v/>
      </c>
      <c r="I5563" s="12" t="n"/>
      <c r="J5563" s="12" t="n"/>
      <c r="K5563" s="12" t="n"/>
      <c r="L5563" s="14" t="n"/>
      <c r="M5563" s="12" t="n"/>
      <c r="N5563" s="12" t="n"/>
      <c r="O5563" s="12" t="n"/>
    </row>
    <row r="5564">
      <c r="A5564" s="12" t="n"/>
      <c r="B5564" s="13">
        <f>IF($A5564="","",IFERROR(INDEX(Emp_Names,MATCH($A5564,Emp_Codes,0)),"NOT FOUND"))</f>
        <v/>
      </c>
      <c r="C5564" s="14" t="n"/>
      <c r="D5564" s="15" t="n"/>
      <c r="E5564" s="15" t="n"/>
      <c r="F5564" s="15" t="n"/>
      <c r="G5564" s="15" t="n"/>
      <c r="H5564" s="16">
        <f>IF($A5564="","",$D5564+IF($E5564="",0,$E5564)+IF($F5564="",0,$F5564)-IF($G5564="",0,$G5564))</f>
        <v/>
      </c>
      <c r="I5564" s="12" t="n"/>
      <c r="J5564" s="12" t="n"/>
      <c r="K5564" s="12" t="n"/>
      <c r="L5564" s="14" t="n"/>
      <c r="M5564" s="12" t="n"/>
      <c r="N5564" s="12" t="n"/>
      <c r="O5564" s="12" t="n"/>
    </row>
    <row r="5565">
      <c r="A5565" s="12" t="n"/>
      <c r="B5565" s="13">
        <f>IF($A5565="","",IFERROR(INDEX(Emp_Names,MATCH($A5565,Emp_Codes,0)),"NOT FOUND"))</f>
        <v/>
      </c>
      <c r="C5565" s="14" t="n"/>
      <c r="D5565" s="15" t="n"/>
      <c r="E5565" s="15" t="n"/>
      <c r="F5565" s="15" t="n"/>
      <c r="G5565" s="15" t="n"/>
      <c r="H5565" s="16">
        <f>IF($A5565="","",$D5565+IF($E5565="",0,$E5565)+IF($F5565="",0,$F5565)-IF($G5565="",0,$G5565))</f>
        <v/>
      </c>
      <c r="I5565" s="12" t="n"/>
      <c r="J5565" s="12" t="n"/>
      <c r="K5565" s="12" t="n"/>
      <c r="L5565" s="14" t="n"/>
      <c r="M5565" s="12" t="n"/>
      <c r="N5565" s="12" t="n"/>
      <c r="O5565" s="12" t="n"/>
    </row>
    <row r="5566">
      <c r="A5566" s="12" t="n"/>
      <c r="B5566" s="13">
        <f>IF($A5566="","",IFERROR(INDEX(Emp_Names,MATCH($A5566,Emp_Codes,0)),"NOT FOUND"))</f>
        <v/>
      </c>
      <c r="C5566" s="14" t="n"/>
      <c r="D5566" s="15" t="n"/>
      <c r="E5566" s="15" t="n"/>
      <c r="F5566" s="15" t="n"/>
      <c r="G5566" s="15" t="n"/>
      <c r="H5566" s="16">
        <f>IF($A5566="","",$D5566+IF($E5566="",0,$E5566)+IF($F5566="",0,$F5566)-IF($G5566="",0,$G5566))</f>
        <v/>
      </c>
      <c r="I5566" s="12" t="n"/>
      <c r="J5566" s="12" t="n"/>
      <c r="K5566" s="12" t="n"/>
      <c r="L5566" s="14" t="n"/>
      <c r="M5566" s="12" t="n"/>
      <c r="N5566" s="12" t="n"/>
      <c r="O5566" s="12" t="n"/>
    </row>
    <row r="5567">
      <c r="A5567" s="12" t="n"/>
      <c r="B5567" s="13">
        <f>IF($A5567="","",IFERROR(INDEX(Emp_Names,MATCH($A5567,Emp_Codes,0)),"NOT FOUND"))</f>
        <v/>
      </c>
      <c r="C5567" s="14" t="n"/>
      <c r="D5567" s="15" t="n"/>
      <c r="E5567" s="15" t="n"/>
      <c r="F5567" s="15" t="n"/>
      <c r="G5567" s="15" t="n"/>
      <c r="H5567" s="16">
        <f>IF($A5567="","",$D5567+IF($E5567="",0,$E5567)+IF($F5567="",0,$F5567)-IF($G5567="",0,$G5567))</f>
        <v/>
      </c>
      <c r="I5567" s="12" t="n"/>
      <c r="J5567" s="12" t="n"/>
      <c r="K5567" s="12" t="n"/>
      <c r="L5567" s="14" t="n"/>
      <c r="M5567" s="12" t="n"/>
      <c r="N5567" s="12" t="n"/>
      <c r="O5567" s="12" t="n"/>
    </row>
    <row r="5568">
      <c r="A5568" s="12" t="n"/>
      <c r="B5568" s="13">
        <f>IF($A5568="","",IFERROR(INDEX(Emp_Names,MATCH($A5568,Emp_Codes,0)),"NOT FOUND"))</f>
        <v/>
      </c>
      <c r="C5568" s="14" t="n"/>
      <c r="D5568" s="15" t="n"/>
      <c r="E5568" s="15" t="n"/>
      <c r="F5568" s="15" t="n"/>
      <c r="G5568" s="15" t="n"/>
      <c r="H5568" s="16">
        <f>IF($A5568="","",$D5568+IF($E5568="",0,$E5568)+IF($F5568="",0,$F5568)-IF($G5568="",0,$G5568))</f>
        <v/>
      </c>
      <c r="I5568" s="12" t="n"/>
      <c r="J5568" s="12" t="n"/>
      <c r="K5568" s="12" t="n"/>
      <c r="L5568" s="14" t="n"/>
      <c r="M5568" s="12" t="n"/>
      <c r="N5568" s="12" t="n"/>
      <c r="O5568" s="12" t="n"/>
    </row>
    <row r="5569">
      <c r="A5569" s="12" t="n"/>
      <c r="B5569" s="13">
        <f>IF($A5569="","",IFERROR(INDEX(Emp_Names,MATCH($A5569,Emp_Codes,0)),"NOT FOUND"))</f>
        <v/>
      </c>
      <c r="C5569" s="14" t="n"/>
      <c r="D5569" s="15" t="n"/>
      <c r="E5569" s="15" t="n"/>
      <c r="F5569" s="15" t="n"/>
      <c r="G5569" s="15" t="n"/>
      <c r="H5569" s="16">
        <f>IF($A5569="","",$D5569+IF($E5569="",0,$E5569)+IF($F5569="",0,$F5569)-IF($G5569="",0,$G5569))</f>
        <v/>
      </c>
      <c r="I5569" s="12" t="n"/>
      <c r="J5569" s="12" t="n"/>
      <c r="K5569" s="12" t="n"/>
      <c r="L5569" s="14" t="n"/>
      <c r="M5569" s="12" t="n"/>
      <c r="N5569" s="12" t="n"/>
      <c r="O5569" s="12" t="n"/>
    </row>
    <row r="5570">
      <c r="A5570" s="12" t="n"/>
      <c r="B5570" s="13">
        <f>IF($A5570="","",IFERROR(INDEX(Emp_Names,MATCH($A5570,Emp_Codes,0)),"NOT FOUND"))</f>
        <v/>
      </c>
      <c r="C5570" s="14" t="n"/>
      <c r="D5570" s="15" t="n"/>
      <c r="E5570" s="15" t="n"/>
      <c r="F5570" s="15" t="n"/>
      <c r="G5570" s="15" t="n"/>
      <c r="H5570" s="16">
        <f>IF($A5570="","",$D5570+IF($E5570="",0,$E5570)+IF($F5570="",0,$F5570)-IF($G5570="",0,$G5570))</f>
        <v/>
      </c>
      <c r="I5570" s="12" t="n"/>
      <c r="J5570" s="12" t="n"/>
      <c r="K5570" s="12" t="n"/>
      <c r="L5570" s="14" t="n"/>
      <c r="M5570" s="12" t="n"/>
      <c r="N5570" s="12" t="n"/>
      <c r="O5570" s="12" t="n"/>
    </row>
    <row r="5571">
      <c r="A5571" s="12" t="n"/>
      <c r="B5571" s="13">
        <f>IF($A5571="","",IFERROR(INDEX(Emp_Names,MATCH($A5571,Emp_Codes,0)),"NOT FOUND"))</f>
        <v/>
      </c>
      <c r="C5571" s="14" t="n"/>
      <c r="D5571" s="15" t="n"/>
      <c r="E5571" s="15" t="n"/>
      <c r="F5571" s="15" t="n"/>
      <c r="G5571" s="15" t="n"/>
      <c r="H5571" s="16">
        <f>IF($A5571="","",$D5571+IF($E5571="",0,$E5571)+IF($F5571="",0,$F5571)-IF($G5571="",0,$G5571))</f>
        <v/>
      </c>
      <c r="I5571" s="12" t="n"/>
      <c r="J5571" s="12" t="n"/>
      <c r="K5571" s="12" t="n"/>
      <c r="L5571" s="14" t="n"/>
      <c r="M5571" s="12" t="n"/>
      <c r="N5571" s="12" t="n"/>
      <c r="O5571" s="12" t="n"/>
    </row>
    <row r="5572">
      <c r="A5572" s="12" t="n"/>
      <c r="B5572" s="13">
        <f>IF($A5572="","",IFERROR(INDEX(Emp_Names,MATCH($A5572,Emp_Codes,0)),"NOT FOUND"))</f>
        <v/>
      </c>
      <c r="C5572" s="14" t="n"/>
      <c r="D5572" s="15" t="n"/>
      <c r="E5572" s="15" t="n"/>
      <c r="F5572" s="15" t="n"/>
      <c r="G5572" s="15" t="n"/>
      <c r="H5572" s="16">
        <f>IF($A5572="","",$D5572+IF($E5572="",0,$E5572)+IF($F5572="",0,$F5572)-IF($G5572="",0,$G5572))</f>
        <v/>
      </c>
      <c r="I5572" s="12" t="n"/>
      <c r="J5572" s="12" t="n"/>
      <c r="K5572" s="12" t="n"/>
      <c r="L5572" s="14" t="n"/>
      <c r="M5572" s="12" t="n"/>
      <c r="N5572" s="12" t="n"/>
      <c r="O5572" s="12" t="n"/>
    </row>
    <row r="5573">
      <c r="A5573" s="12" t="n"/>
      <c r="B5573" s="13">
        <f>IF($A5573="","",IFERROR(INDEX(Emp_Names,MATCH($A5573,Emp_Codes,0)),"NOT FOUND"))</f>
        <v/>
      </c>
      <c r="C5573" s="14" t="n"/>
      <c r="D5573" s="15" t="n"/>
      <c r="E5573" s="15" t="n"/>
      <c r="F5573" s="15" t="n"/>
      <c r="G5573" s="15" t="n"/>
      <c r="H5573" s="16">
        <f>IF($A5573="","",$D5573+IF($E5573="",0,$E5573)+IF($F5573="",0,$F5573)-IF($G5573="",0,$G5573))</f>
        <v/>
      </c>
      <c r="I5573" s="12" t="n"/>
      <c r="J5573" s="12" t="n"/>
      <c r="K5573" s="12" t="n"/>
      <c r="L5573" s="14" t="n"/>
      <c r="M5573" s="12" t="n"/>
      <c r="N5573" s="12" t="n"/>
      <c r="O5573" s="12" t="n"/>
    </row>
    <row r="5574">
      <c r="A5574" s="12" t="n"/>
      <c r="B5574" s="13">
        <f>IF($A5574="","",IFERROR(INDEX(Emp_Names,MATCH($A5574,Emp_Codes,0)),"NOT FOUND"))</f>
        <v/>
      </c>
      <c r="C5574" s="14" t="n"/>
      <c r="D5574" s="15" t="n"/>
      <c r="E5574" s="15" t="n"/>
      <c r="F5574" s="15" t="n"/>
      <c r="G5574" s="15" t="n"/>
      <c r="H5574" s="16">
        <f>IF($A5574="","",$D5574+IF($E5574="",0,$E5574)+IF($F5574="",0,$F5574)-IF($G5574="",0,$G5574))</f>
        <v/>
      </c>
      <c r="I5574" s="12" t="n"/>
      <c r="J5574" s="12" t="n"/>
      <c r="K5574" s="12" t="n"/>
      <c r="L5574" s="14" t="n"/>
      <c r="M5574" s="12" t="n"/>
      <c r="N5574" s="12" t="n"/>
      <c r="O5574" s="12" t="n"/>
    </row>
    <row r="5575">
      <c r="A5575" s="12" t="n"/>
      <c r="B5575" s="13">
        <f>IF($A5575="","",IFERROR(INDEX(Emp_Names,MATCH($A5575,Emp_Codes,0)),"NOT FOUND"))</f>
        <v/>
      </c>
      <c r="C5575" s="14" t="n"/>
      <c r="D5575" s="15" t="n"/>
      <c r="E5575" s="15" t="n"/>
      <c r="F5575" s="15" t="n"/>
      <c r="G5575" s="15" t="n"/>
      <c r="H5575" s="16">
        <f>IF($A5575="","",$D5575+IF($E5575="",0,$E5575)+IF($F5575="",0,$F5575)-IF($G5575="",0,$G5575))</f>
        <v/>
      </c>
      <c r="I5575" s="12" t="n"/>
      <c r="J5575" s="12" t="n"/>
      <c r="K5575" s="12" t="n"/>
      <c r="L5575" s="14" t="n"/>
      <c r="M5575" s="12" t="n"/>
      <c r="N5575" s="12" t="n"/>
      <c r="O5575" s="12" t="n"/>
    </row>
    <row r="5576">
      <c r="A5576" s="12" t="n"/>
      <c r="B5576" s="13">
        <f>IF($A5576="","",IFERROR(INDEX(Emp_Names,MATCH($A5576,Emp_Codes,0)),"NOT FOUND"))</f>
        <v/>
      </c>
      <c r="C5576" s="14" t="n"/>
      <c r="D5576" s="15" t="n"/>
      <c r="E5576" s="15" t="n"/>
      <c r="F5576" s="15" t="n"/>
      <c r="G5576" s="15" t="n"/>
      <c r="H5576" s="16">
        <f>IF($A5576="","",$D5576+IF($E5576="",0,$E5576)+IF($F5576="",0,$F5576)-IF($G5576="",0,$G5576))</f>
        <v/>
      </c>
      <c r="I5576" s="12" t="n"/>
      <c r="J5576" s="12" t="n"/>
      <c r="K5576" s="12" t="n"/>
      <c r="L5576" s="14" t="n"/>
      <c r="M5576" s="12" t="n"/>
      <c r="N5576" s="12" t="n"/>
      <c r="O5576" s="12" t="n"/>
    </row>
    <row r="5577">
      <c r="A5577" s="12" t="n"/>
      <c r="B5577" s="13">
        <f>IF($A5577="","",IFERROR(INDEX(Emp_Names,MATCH($A5577,Emp_Codes,0)),"NOT FOUND"))</f>
        <v/>
      </c>
      <c r="C5577" s="14" t="n"/>
      <c r="D5577" s="15" t="n"/>
      <c r="E5577" s="15" t="n"/>
      <c r="F5577" s="15" t="n"/>
      <c r="G5577" s="15" t="n"/>
      <c r="H5577" s="16">
        <f>IF($A5577="","",$D5577+IF($E5577="",0,$E5577)+IF($F5577="",0,$F5577)-IF($G5577="",0,$G5577))</f>
        <v/>
      </c>
      <c r="I5577" s="12" t="n"/>
      <c r="J5577" s="12" t="n"/>
      <c r="K5577" s="12" t="n"/>
      <c r="L5577" s="14" t="n"/>
      <c r="M5577" s="12" t="n"/>
      <c r="N5577" s="12" t="n"/>
      <c r="O5577" s="12" t="n"/>
    </row>
    <row r="5578">
      <c r="A5578" s="12" t="n"/>
      <c r="B5578" s="13">
        <f>IF($A5578="","",IFERROR(INDEX(Emp_Names,MATCH($A5578,Emp_Codes,0)),"NOT FOUND"))</f>
        <v/>
      </c>
      <c r="C5578" s="14" t="n"/>
      <c r="D5578" s="15" t="n"/>
      <c r="E5578" s="15" t="n"/>
      <c r="F5578" s="15" t="n"/>
      <c r="G5578" s="15" t="n"/>
      <c r="H5578" s="16">
        <f>IF($A5578="","",$D5578+IF($E5578="",0,$E5578)+IF($F5578="",0,$F5578)-IF($G5578="",0,$G5578))</f>
        <v/>
      </c>
      <c r="I5578" s="12" t="n"/>
      <c r="J5578" s="12" t="n"/>
      <c r="K5578" s="12" t="n"/>
      <c r="L5578" s="14" t="n"/>
      <c r="M5578" s="12" t="n"/>
      <c r="N5578" s="12" t="n"/>
      <c r="O5578" s="12" t="n"/>
    </row>
    <row r="5579">
      <c r="A5579" s="12" t="n"/>
      <c r="B5579" s="13">
        <f>IF($A5579="","",IFERROR(INDEX(Emp_Names,MATCH($A5579,Emp_Codes,0)),"NOT FOUND"))</f>
        <v/>
      </c>
      <c r="C5579" s="14" t="n"/>
      <c r="D5579" s="15" t="n"/>
      <c r="E5579" s="15" t="n"/>
      <c r="F5579" s="15" t="n"/>
      <c r="G5579" s="15" t="n"/>
      <c r="H5579" s="16">
        <f>IF($A5579="","",$D5579+IF($E5579="",0,$E5579)+IF($F5579="",0,$F5579)-IF($G5579="",0,$G5579))</f>
        <v/>
      </c>
      <c r="I5579" s="12" t="n"/>
      <c r="J5579" s="12" t="n"/>
      <c r="K5579" s="12" t="n"/>
      <c r="L5579" s="14" t="n"/>
      <c r="M5579" s="12" t="n"/>
      <c r="N5579" s="12" t="n"/>
      <c r="O5579" s="12" t="n"/>
    </row>
    <row r="5580">
      <c r="A5580" s="12" t="n"/>
      <c r="B5580" s="13">
        <f>IF($A5580="","",IFERROR(INDEX(Emp_Names,MATCH($A5580,Emp_Codes,0)),"NOT FOUND"))</f>
        <v/>
      </c>
      <c r="C5580" s="14" t="n"/>
      <c r="D5580" s="15" t="n"/>
      <c r="E5580" s="15" t="n"/>
      <c r="F5580" s="15" t="n"/>
      <c r="G5580" s="15" t="n"/>
      <c r="H5580" s="16">
        <f>IF($A5580="","",$D5580+IF($E5580="",0,$E5580)+IF($F5580="",0,$F5580)-IF($G5580="",0,$G5580))</f>
        <v/>
      </c>
      <c r="I5580" s="12" t="n"/>
      <c r="J5580" s="12" t="n"/>
      <c r="K5580" s="12" t="n"/>
      <c r="L5580" s="14" t="n"/>
      <c r="M5580" s="12" t="n"/>
      <c r="N5580" s="12" t="n"/>
      <c r="O5580" s="12" t="n"/>
    </row>
    <row r="5581">
      <c r="A5581" s="12" t="n"/>
      <c r="B5581" s="13">
        <f>IF($A5581="","",IFERROR(INDEX(Emp_Names,MATCH($A5581,Emp_Codes,0)),"NOT FOUND"))</f>
        <v/>
      </c>
      <c r="C5581" s="14" t="n"/>
      <c r="D5581" s="15" t="n"/>
      <c r="E5581" s="15" t="n"/>
      <c r="F5581" s="15" t="n"/>
      <c r="G5581" s="15" t="n"/>
      <c r="H5581" s="16">
        <f>IF($A5581="","",$D5581+IF($E5581="",0,$E5581)+IF($F5581="",0,$F5581)-IF($G5581="",0,$G5581))</f>
        <v/>
      </c>
      <c r="I5581" s="12" t="n"/>
      <c r="J5581" s="12" t="n"/>
      <c r="K5581" s="12" t="n"/>
      <c r="L5581" s="14" t="n"/>
      <c r="M5581" s="12" t="n"/>
      <c r="N5581" s="12" t="n"/>
      <c r="O5581" s="12" t="n"/>
    </row>
    <row r="5582">
      <c r="A5582" s="12" t="n"/>
      <c r="B5582" s="13">
        <f>IF($A5582="","",IFERROR(INDEX(Emp_Names,MATCH($A5582,Emp_Codes,0)),"NOT FOUND"))</f>
        <v/>
      </c>
      <c r="C5582" s="14" t="n"/>
      <c r="D5582" s="15" t="n"/>
      <c r="E5582" s="15" t="n"/>
      <c r="F5582" s="15" t="n"/>
      <c r="G5582" s="15" t="n"/>
      <c r="H5582" s="16">
        <f>IF($A5582="","",$D5582+IF($E5582="",0,$E5582)+IF($F5582="",0,$F5582)-IF($G5582="",0,$G5582))</f>
        <v/>
      </c>
      <c r="I5582" s="12" t="n"/>
      <c r="J5582" s="12" t="n"/>
      <c r="K5582" s="12" t="n"/>
      <c r="L5582" s="14" t="n"/>
      <c r="M5582" s="12" t="n"/>
      <c r="N5582" s="12" t="n"/>
      <c r="O5582" s="12" t="n"/>
    </row>
    <row r="5583">
      <c r="A5583" s="12" t="n"/>
      <c r="B5583" s="13">
        <f>IF($A5583="","",IFERROR(INDEX(Emp_Names,MATCH($A5583,Emp_Codes,0)),"NOT FOUND"))</f>
        <v/>
      </c>
      <c r="C5583" s="14" t="n"/>
      <c r="D5583" s="15" t="n"/>
      <c r="E5583" s="15" t="n"/>
      <c r="F5583" s="15" t="n"/>
      <c r="G5583" s="15" t="n"/>
      <c r="H5583" s="16">
        <f>IF($A5583="","",$D5583+IF($E5583="",0,$E5583)+IF($F5583="",0,$F5583)-IF($G5583="",0,$G5583))</f>
        <v/>
      </c>
      <c r="I5583" s="12" t="n"/>
      <c r="J5583" s="12" t="n"/>
      <c r="K5583" s="12" t="n"/>
      <c r="L5583" s="14" t="n"/>
      <c r="M5583" s="12" t="n"/>
      <c r="N5583" s="12" t="n"/>
      <c r="O5583" s="12" t="n"/>
    </row>
    <row r="5584">
      <c r="A5584" s="12" t="n"/>
      <c r="B5584" s="13">
        <f>IF($A5584="","",IFERROR(INDEX(Emp_Names,MATCH($A5584,Emp_Codes,0)),"NOT FOUND"))</f>
        <v/>
      </c>
      <c r="C5584" s="14" t="n"/>
      <c r="D5584" s="15" t="n"/>
      <c r="E5584" s="15" t="n"/>
      <c r="F5584" s="15" t="n"/>
      <c r="G5584" s="15" t="n"/>
      <c r="H5584" s="16">
        <f>IF($A5584="","",$D5584+IF($E5584="",0,$E5584)+IF($F5584="",0,$F5584)-IF($G5584="",0,$G5584))</f>
        <v/>
      </c>
      <c r="I5584" s="12" t="n"/>
      <c r="J5584" s="12" t="n"/>
      <c r="K5584" s="12" t="n"/>
      <c r="L5584" s="14" t="n"/>
      <c r="M5584" s="12" t="n"/>
      <c r="N5584" s="12" t="n"/>
      <c r="O5584" s="12" t="n"/>
    </row>
    <row r="5585">
      <c r="A5585" s="12" t="n"/>
      <c r="B5585" s="13">
        <f>IF($A5585="","",IFERROR(INDEX(Emp_Names,MATCH($A5585,Emp_Codes,0)),"NOT FOUND"))</f>
        <v/>
      </c>
      <c r="C5585" s="14" t="n"/>
      <c r="D5585" s="15" t="n"/>
      <c r="E5585" s="15" t="n"/>
      <c r="F5585" s="15" t="n"/>
      <c r="G5585" s="15" t="n"/>
      <c r="H5585" s="16">
        <f>IF($A5585="","",$D5585+IF($E5585="",0,$E5585)+IF($F5585="",0,$F5585)-IF($G5585="",0,$G5585))</f>
        <v/>
      </c>
      <c r="I5585" s="12" t="n"/>
      <c r="J5585" s="12" t="n"/>
      <c r="K5585" s="12" t="n"/>
      <c r="L5585" s="14" t="n"/>
      <c r="M5585" s="12" t="n"/>
      <c r="N5585" s="12" t="n"/>
      <c r="O5585" s="12" t="n"/>
    </row>
    <row r="5586">
      <c r="A5586" s="12" t="n"/>
      <c r="B5586" s="13">
        <f>IF($A5586="","",IFERROR(INDEX(Emp_Names,MATCH($A5586,Emp_Codes,0)),"NOT FOUND"))</f>
        <v/>
      </c>
      <c r="C5586" s="14" t="n"/>
      <c r="D5586" s="15" t="n"/>
      <c r="E5586" s="15" t="n"/>
      <c r="F5586" s="15" t="n"/>
      <c r="G5586" s="15" t="n"/>
      <c r="H5586" s="16">
        <f>IF($A5586="","",$D5586+IF($E5586="",0,$E5586)+IF($F5586="",0,$F5586)-IF($G5586="",0,$G5586))</f>
        <v/>
      </c>
      <c r="I5586" s="12" t="n"/>
      <c r="J5586" s="12" t="n"/>
      <c r="K5586" s="12" t="n"/>
      <c r="L5586" s="14" t="n"/>
      <c r="M5586" s="12" t="n"/>
      <c r="N5586" s="12" t="n"/>
      <c r="O5586" s="12" t="n"/>
    </row>
    <row r="5587">
      <c r="A5587" s="12" t="n"/>
      <c r="B5587" s="13">
        <f>IF($A5587="","",IFERROR(INDEX(Emp_Names,MATCH($A5587,Emp_Codes,0)),"NOT FOUND"))</f>
        <v/>
      </c>
      <c r="C5587" s="14" t="n"/>
      <c r="D5587" s="15" t="n"/>
      <c r="E5587" s="15" t="n"/>
      <c r="F5587" s="15" t="n"/>
      <c r="G5587" s="15" t="n"/>
      <c r="H5587" s="16">
        <f>IF($A5587="","",$D5587+IF($E5587="",0,$E5587)+IF($F5587="",0,$F5587)-IF($G5587="",0,$G5587))</f>
        <v/>
      </c>
      <c r="I5587" s="12" t="n"/>
      <c r="J5587" s="12" t="n"/>
      <c r="K5587" s="12" t="n"/>
      <c r="L5587" s="14" t="n"/>
      <c r="M5587" s="12" t="n"/>
      <c r="N5587" s="12" t="n"/>
      <c r="O5587" s="12" t="n"/>
    </row>
    <row r="5588">
      <c r="A5588" s="12" t="n"/>
      <c r="B5588" s="13">
        <f>IF($A5588="","",IFERROR(INDEX(Emp_Names,MATCH($A5588,Emp_Codes,0)),"NOT FOUND"))</f>
        <v/>
      </c>
      <c r="C5588" s="14" t="n"/>
      <c r="D5588" s="15" t="n"/>
      <c r="E5588" s="15" t="n"/>
      <c r="F5588" s="15" t="n"/>
      <c r="G5588" s="15" t="n"/>
      <c r="H5588" s="16">
        <f>IF($A5588="","",$D5588+IF($E5588="",0,$E5588)+IF($F5588="",0,$F5588)-IF($G5588="",0,$G5588))</f>
        <v/>
      </c>
      <c r="I5588" s="12" t="n"/>
      <c r="J5588" s="12" t="n"/>
      <c r="K5588" s="12" t="n"/>
      <c r="L5588" s="14" t="n"/>
      <c r="M5588" s="12" t="n"/>
      <c r="N5588" s="12" t="n"/>
      <c r="O5588" s="12" t="n"/>
    </row>
    <row r="5589">
      <c r="A5589" s="12" t="n"/>
      <c r="B5589" s="13">
        <f>IF($A5589="","",IFERROR(INDEX(Emp_Names,MATCH($A5589,Emp_Codes,0)),"NOT FOUND"))</f>
        <v/>
      </c>
      <c r="C5589" s="14" t="n"/>
      <c r="D5589" s="15" t="n"/>
      <c r="E5589" s="15" t="n"/>
      <c r="F5589" s="15" t="n"/>
      <c r="G5589" s="15" t="n"/>
      <c r="H5589" s="16">
        <f>IF($A5589="","",$D5589+IF($E5589="",0,$E5589)+IF($F5589="",0,$F5589)-IF($G5589="",0,$G5589))</f>
        <v/>
      </c>
      <c r="I5589" s="12" t="n"/>
      <c r="J5589" s="12" t="n"/>
      <c r="K5589" s="12" t="n"/>
      <c r="L5589" s="14" t="n"/>
      <c r="M5589" s="12" t="n"/>
      <c r="N5589" s="12" t="n"/>
      <c r="O5589" s="12" t="n"/>
    </row>
    <row r="5590">
      <c r="A5590" s="12" t="n"/>
      <c r="B5590" s="13">
        <f>IF($A5590="","",IFERROR(INDEX(Emp_Names,MATCH($A5590,Emp_Codes,0)),"NOT FOUND"))</f>
        <v/>
      </c>
      <c r="C5590" s="14" t="n"/>
      <c r="D5590" s="15" t="n"/>
      <c r="E5590" s="15" t="n"/>
      <c r="F5590" s="15" t="n"/>
      <c r="G5590" s="15" t="n"/>
      <c r="H5590" s="16">
        <f>IF($A5590="","",$D5590+IF($E5590="",0,$E5590)+IF($F5590="",0,$F5590)-IF($G5590="",0,$G5590))</f>
        <v/>
      </c>
      <c r="I5590" s="12" t="n"/>
      <c r="J5590" s="12" t="n"/>
      <c r="K5590" s="12" t="n"/>
      <c r="L5590" s="14" t="n"/>
      <c r="M5590" s="12" t="n"/>
      <c r="N5590" s="12" t="n"/>
      <c r="O5590" s="12" t="n"/>
    </row>
    <row r="5591">
      <c r="A5591" s="12" t="n"/>
      <c r="B5591" s="13">
        <f>IF($A5591="","",IFERROR(INDEX(Emp_Names,MATCH($A5591,Emp_Codes,0)),"NOT FOUND"))</f>
        <v/>
      </c>
      <c r="C5591" s="14" t="n"/>
      <c r="D5591" s="15" t="n"/>
      <c r="E5591" s="15" t="n"/>
      <c r="F5591" s="15" t="n"/>
      <c r="G5591" s="15" t="n"/>
      <c r="H5591" s="16">
        <f>IF($A5591="","",$D5591+IF($E5591="",0,$E5591)+IF($F5591="",0,$F5591)-IF($G5591="",0,$G5591))</f>
        <v/>
      </c>
      <c r="I5591" s="12" t="n"/>
      <c r="J5591" s="12" t="n"/>
      <c r="K5591" s="12" t="n"/>
      <c r="L5591" s="14" t="n"/>
      <c r="M5591" s="12" t="n"/>
      <c r="N5591" s="12" t="n"/>
      <c r="O5591" s="12" t="n"/>
    </row>
    <row r="5592">
      <c r="A5592" s="12" t="n"/>
      <c r="B5592" s="13">
        <f>IF($A5592="","",IFERROR(INDEX(Emp_Names,MATCH($A5592,Emp_Codes,0)),"NOT FOUND"))</f>
        <v/>
      </c>
      <c r="C5592" s="14" t="n"/>
      <c r="D5592" s="15" t="n"/>
      <c r="E5592" s="15" t="n"/>
      <c r="F5592" s="15" t="n"/>
      <c r="G5592" s="15" t="n"/>
      <c r="H5592" s="16">
        <f>IF($A5592="","",$D5592+IF($E5592="",0,$E5592)+IF($F5592="",0,$F5592)-IF($G5592="",0,$G5592))</f>
        <v/>
      </c>
      <c r="I5592" s="12" t="n"/>
      <c r="J5592" s="12" t="n"/>
      <c r="K5592" s="12" t="n"/>
      <c r="L5592" s="14" t="n"/>
      <c r="M5592" s="12" t="n"/>
      <c r="N5592" s="12" t="n"/>
      <c r="O5592" s="12" t="n"/>
    </row>
    <row r="5593">
      <c r="A5593" s="12" t="n"/>
      <c r="B5593" s="13">
        <f>IF($A5593="","",IFERROR(INDEX(Emp_Names,MATCH($A5593,Emp_Codes,0)),"NOT FOUND"))</f>
        <v/>
      </c>
      <c r="C5593" s="14" t="n"/>
      <c r="D5593" s="15" t="n"/>
      <c r="E5593" s="15" t="n"/>
      <c r="F5593" s="15" t="n"/>
      <c r="G5593" s="15" t="n"/>
      <c r="H5593" s="16">
        <f>IF($A5593="","",$D5593+IF($E5593="",0,$E5593)+IF($F5593="",0,$F5593)-IF($G5593="",0,$G5593))</f>
        <v/>
      </c>
      <c r="I5593" s="12" t="n"/>
      <c r="J5593" s="12" t="n"/>
      <c r="K5593" s="12" t="n"/>
      <c r="L5593" s="14" t="n"/>
      <c r="M5593" s="12" t="n"/>
      <c r="N5593" s="12" t="n"/>
      <c r="O5593" s="12" t="n"/>
    </row>
    <row r="5594">
      <c r="A5594" s="12" t="n"/>
      <c r="B5594" s="13">
        <f>IF($A5594="","",IFERROR(INDEX(Emp_Names,MATCH($A5594,Emp_Codes,0)),"NOT FOUND"))</f>
        <v/>
      </c>
      <c r="C5594" s="14" t="n"/>
      <c r="D5594" s="15" t="n"/>
      <c r="E5594" s="15" t="n"/>
      <c r="F5594" s="15" t="n"/>
      <c r="G5594" s="15" t="n"/>
      <c r="H5594" s="16">
        <f>IF($A5594="","",$D5594+IF($E5594="",0,$E5594)+IF($F5594="",0,$F5594)-IF($G5594="",0,$G5594))</f>
        <v/>
      </c>
      <c r="I5594" s="12" t="n"/>
      <c r="J5594" s="12" t="n"/>
      <c r="K5594" s="12" t="n"/>
      <c r="L5594" s="14" t="n"/>
      <c r="M5594" s="12" t="n"/>
      <c r="N5594" s="12" t="n"/>
      <c r="O5594" s="12" t="n"/>
    </row>
    <row r="5595">
      <c r="A5595" s="12" t="n"/>
      <c r="B5595" s="13">
        <f>IF($A5595="","",IFERROR(INDEX(Emp_Names,MATCH($A5595,Emp_Codes,0)),"NOT FOUND"))</f>
        <v/>
      </c>
      <c r="C5595" s="14" t="n"/>
      <c r="D5595" s="15" t="n"/>
      <c r="E5595" s="15" t="n"/>
      <c r="F5595" s="15" t="n"/>
      <c r="G5595" s="15" t="n"/>
      <c r="H5595" s="16">
        <f>IF($A5595="","",$D5595+IF($E5595="",0,$E5595)+IF($F5595="",0,$F5595)-IF($G5595="",0,$G5595))</f>
        <v/>
      </c>
      <c r="I5595" s="12" t="n"/>
      <c r="J5595" s="12" t="n"/>
      <c r="K5595" s="12" t="n"/>
      <c r="L5595" s="14" t="n"/>
      <c r="M5595" s="12" t="n"/>
      <c r="N5595" s="12" t="n"/>
      <c r="O5595" s="12" t="n"/>
    </row>
    <row r="5596">
      <c r="A5596" s="12" t="n"/>
      <c r="B5596" s="13">
        <f>IF($A5596="","",IFERROR(INDEX(Emp_Names,MATCH($A5596,Emp_Codes,0)),"NOT FOUND"))</f>
        <v/>
      </c>
      <c r="C5596" s="14" t="n"/>
      <c r="D5596" s="15" t="n"/>
      <c r="E5596" s="15" t="n"/>
      <c r="F5596" s="15" t="n"/>
      <c r="G5596" s="15" t="n"/>
      <c r="H5596" s="16">
        <f>IF($A5596="","",$D5596+IF($E5596="",0,$E5596)+IF($F5596="",0,$F5596)-IF($G5596="",0,$G5596))</f>
        <v/>
      </c>
      <c r="I5596" s="12" t="n"/>
      <c r="J5596" s="12" t="n"/>
      <c r="K5596" s="12" t="n"/>
      <c r="L5596" s="14" t="n"/>
      <c r="M5596" s="12" t="n"/>
      <c r="N5596" s="12" t="n"/>
      <c r="O5596" s="12" t="n"/>
    </row>
    <row r="5597">
      <c r="A5597" s="12" t="n"/>
      <c r="B5597" s="13">
        <f>IF($A5597="","",IFERROR(INDEX(Emp_Names,MATCH($A5597,Emp_Codes,0)),"NOT FOUND"))</f>
        <v/>
      </c>
      <c r="C5597" s="14" t="n"/>
      <c r="D5597" s="15" t="n"/>
      <c r="E5597" s="15" t="n"/>
      <c r="F5597" s="15" t="n"/>
      <c r="G5597" s="15" t="n"/>
      <c r="H5597" s="16">
        <f>IF($A5597="","",$D5597+IF($E5597="",0,$E5597)+IF($F5597="",0,$F5597)-IF($G5597="",0,$G5597))</f>
        <v/>
      </c>
      <c r="I5597" s="12" t="n"/>
      <c r="J5597" s="12" t="n"/>
      <c r="K5597" s="12" t="n"/>
      <c r="L5597" s="14" t="n"/>
      <c r="M5597" s="12" t="n"/>
      <c r="N5597" s="12" t="n"/>
      <c r="O5597" s="12" t="n"/>
    </row>
    <row r="5598">
      <c r="A5598" s="12" t="n"/>
      <c r="B5598" s="13">
        <f>IF($A5598="","",IFERROR(INDEX(Emp_Names,MATCH($A5598,Emp_Codes,0)),"NOT FOUND"))</f>
        <v/>
      </c>
      <c r="C5598" s="14" t="n"/>
      <c r="D5598" s="15" t="n"/>
      <c r="E5598" s="15" t="n"/>
      <c r="F5598" s="15" t="n"/>
      <c r="G5598" s="15" t="n"/>
      <c r="H5598" s="16">
        <f>IF($A5598="","",$D5598+IF($E5598="",0,$E5598)+IF($F5598="",0,$F5598)-IF($G5598="",0,$G5598))</f>
        <v/>
      </c>
      <c r="I5598" s="12" t="n"/>
      <c r="J5598" s="12" t="n"/>
      <c r="K5598" s="12" t="n"/>
      <c r="L5598" s="14" t="n"/>
      <c r="M5598" s="12" t="n"/>
      <c r="N5598" s="12" t="n"/>
      <c r="O5598" s="12" t="n"/>
    </row>
    <row r="5599">
      <c r="A5599" s="12" t="n"/>
      <c r="B5599" s="13">
        <f>IF($A5599="","",IFERROR(INDEX(Emp_Names,MATCH($A5599,Emp_Codes,0)),"NOT FOUND"))</f>
        <v/>
      </c>
      <c r="C5599" s="14" t="n"/>
      <c r="D5599" s="15" t="n"/>
      <c r="E5599" s="15" t="n"/>
      <c r="F5599" s="15" t="n"/>
      <c r="G5599" s="15" t="n"/>
      <c r="H5599" s="16">
        <f>IF($A5599="","",$D5599+IF($E5599="",0,$E5599)+IF($F5599="",0,$F5599)-IF($G5599="",0,$G5599))</f>
        <v/>
      </c>
      <c r="I5599" s="12" t="n"/>
      <c r="J5599" s="12" t="n"/>
      <c r="K5599" s="12" t="n"/>
      <c r="L5599" s="14" t="n"/>
      <c r="M5599" s="12" t="n"/>
      <c r="N5599" s="12" t="n"/>
      <c r="O5599" s="12" t="n"/>
    </row>
    <row r="5600">
      <c r="A5600" s="12" t="n"/>
      <c r="B5600" s="13">
        <f>IF($A5600="","",IFERROR(INDEX(Emp_Names,MATCH($A5600,Emp_Codes,0)),"NOT FOUND"))</f>
        <v/>
      </c>
      <c r="C5600" s="14" t="n"/>
      <c r="D5600" s="15" t="n"/>
      <c r="E5600" s="15" t="n"/>
      <c r="F5600" s="15" t="n"/>
      <c r="G5600" s="15" t="n"/>
      <c r="H5600" s="16">
        <f>IF($A5600="","",$D5600+IF($E5600="",0,$E5600)+IF($F5600="",0,$F5600)-IF($G5600="",0,$G5600))</f>
        <v/>
      </c>
      <c r="I5600" s="12" t="n"/>
      <c r="J5600" s="12" t="n"/>
      <c r="K5600" s="12" t="n"/>
      <c r="L5600" s="14" t="n"/>
      <c r="M5600" s="12" t="n"/>
      <c r="N5600" s="12" t="n"/>
      <c r="O5600" s="12" t="n"/>
    </row>
    <row r="5601">
      <c r="A5601" s="12" t="n"/>
      <c r="B5601" s="13">
        <f>IF($A5601="","",IFERROR(INDEX(Emp_Names,MATCH($A5601,Emp_Codes,0)),"NOT FOUND"))</f>
        <v/>
      </c>
      <c r="C5601" s="14" t="n"/>
      <c r="D5601" s="15" t="n"/>
      <c r="E5601" s="15" t="n"/>
      <c r="F5601" s="15" t="n"/>
      <c r="G5601" s="15" t="n"/>
      <c r="H5601" s="16">
        <f>IF($A5601="","",$D5601+IF($E5601="",0,$E5601)+IF($F5601="",0,$F5601)-IF($G5601="",0,$G5601))</f>
        <v/>
      </c>
      <c r="I5601" s="12" t="n"/>
      <c r="J5601" s="12" t="n"/>
      <c r="K5601" s="12" t="n"/>
      <c r="L5601" s="14" t="n"/>
      <c r="M5601" s="12" t="n"/>
      <c r="N5601" s="12" t="n"/>
      <c r="O5601" s="12" t="n"/>
    </row>
    <row r="5602">
      <c r="A5602" s="12" t="n"/>
      <c r="B5602" s="13">
        <f>IF($A5602="","",IFERROR(INDEX(Emp_Names,MATCH($A5602,Emp_Codes,0)),"NOT FOUND"))</f>
        <v/>
      </c>
      <c r="C5602" s="14" t="n"/>
      <c r="D5602" s="15" t="n"/>
      <c r="E5602" s="15" t="n"/>
      <c r="F5602" s="15" t="n"/>
      <c r="G5602" s="15" t="n"/>
      <c r="H5602" s="16">
        <f>IF($A5602="","",$D5602+IF($E5602="",0,$E5602)+IF($F5602="",0,$F5602)-IF($G5602="",0,$G5602))</f>
        <v/>
      </c>
      <c r="I5602" s="12" t="n"/>
      <c r="J5602" s="12" t="n"/>
      <c r="K5602" s="12" t="n"/>
      <c r="L5602" s="14" t="n"/>
      <c r="M5602" s="12" t="n"/>
      <c r="N5602" s="12" t="n"/>
      <c r="O5602" s="12" t="n"/>
    </row>
    <row r="5603">
      <c r="A5603" s="12" t="n"/>
      <c r="B5603" s="13">
        <f>IF($A5603="","",IFERROR(INDEX(Emp_Names,MATCH($A5603,Emp_Codes,0)),"NOT FOUND"))</f>
        <v/>
      </c>
      <c r="C5603" s="14" t="n"/>
      <c r="D5603" s="15" t="n"/>
      <c r="E5603" s="15" t="n"/>
      <c r="F5603" s="15" t="n"/>
      <c r="G5603" s="15" t="n"/>
      <c r="H5603" s="16">
        <f>IF($A5603="","",$D5603+IF($E5603="",0,$E5603)+IF($F5603="",0,$F5603)-IF($G5603="",0,$G5603))</f>
        <v/>
      </c>
      <c r="I5603" s="12" t="n"/>
      <c r="J5603" s="12" t="n"/>
      <c r="K5603" s="12" t="n"/>
      <c r="L5603" s="14" t="n"/>
      <c r="M5603" s="12" t="n"/>
      <c r="N5603" s="12" t="n"/>
      <c r="O5603" s="12" t="n"/>
    </row>
    <row r="5604">
      <c r="A5604" s="12" t="n"/>
      <c r="B5604" s="13">
        <f>IF($A5604="","",IFERROR(INDEX(Emp_Names,MATCH($A5604,Emp_Codes,0)),"NOT FOUND"))</f>
        <v/>
      </c>
      <c r="C5604" s="14" t="n"/>
      <c r="D5604" s="15" t="n"/>
      <c r="E5604" s="15" t="n"/>
      <c r="F5604" s="15" t="n"/>
      <c r="G5604" s="15" t="n"/>
      <c r="H5604" s="16">
        <f>IF($A5604="","",$D5604+IF($E5604="",0,$E5604)+IF($F5604="",0,$F5604)-IF($G5604="",0,$G5604))</f>
        <v/>
      </c>
      <c r="I5604" s="12" t="n"/>
      <c r="J5604" s="12" t="n"/>
      <c r="K5604" s="12" t="n"/>
      <c r="L5604" s="14" t="n"/>
      <c r="M5604" s="12" t="n"/>
      <c r="N5604" s="12" t="n"/>
      <c r="O5604" s="12" t="n"/>
    </row>
    <row r="5605">
      <c r="A5605" s="12" t="n"/>
      <c r="B5605" s="13">
        <f>IF($A5605="","",IFERROR(INDEX(Emp_Names,MATCH($A5605,Emp_Codes,0)),"NOT FOUND"))</f>
        <v/>
      </c>
      <c r="C5605" s="14" t="n"/>
      <c r="D5605" s="15" t="n"/>
      <c r="E5605" s="15" t="n"/>
      <c r="F5605" s="15" t="n"/>
      <c r="G5605" s="15" t="n"/>
      <c r="H5605" s="16">
        <f>IF($A5605="","",$D5605+IF($E5605="",0,$E5605)+IF($F5605="",0,$F5605)-IF($G5605="",0,$G5605))</f>
        <v/>
      </c>
      <c r="I5605" s="12" t="n"/>
      <c r="J5605" s="12" t="n"/>
      <c r="K5605" s="12" t="n"/>
      <c r="L5605" s="14" t="n"/>
      <c r="M5605" s="12" t="n"/>
      <c r="N5605" s="12" t="n"/>
      <c r="O5605" s="12" t="n"/>
    </row>
    <row r="5606">
      <c r="A5606" s="12" t="n"/>
      <c r="B5606" s="13">
        <f>IF($A5606="","",IFERROR(INDEX(Emp_Names,MATCH($A5606,Emp_Codes,0)),"NOT FOUND"))</f>
        <v/>
      </c>
      <c r="C5606" s="14" t="n"/>
      <c r="D5606" s="15" t="n"/>
      <c r="E5606" s="15" t="n"/>
      <c r="F5606" s="15" t="n"/>
      <c r="G5606" s="15" t="n"/>
      <c r="H5606" s="16">
        <f>IF($A5606="","",$D5606+IF($E5606="",0,$E5606)+IF($F5606="",0,$F5606)-IF($G5606="",0,$G5606))</f>
        <v/>
      </c>
      <c r="I5606" s="12" t="n"/>
      <c r="J5606" s="12" t="n"/>
      <c r="K5606" s="12" t="n"/>
      <c r="L5606" s="14" t="n"/>
      <c r="M5606" s="12" t="n"/>
      <c r="N5606" s="12" t="n"/>
      <c r="O5606" s="12" t="n"/>
    </row>
    <row r="5607">
      <c r="A5607" s="12" t="n"/>
      <c r="B5607" s="13">
        <f>IF($A5607="","",IFERROR(INDEX(Emp_Names,MATCH($A5607,Emp_Codes,0)),"NOT FOUND"))</f>
        <v/>
      </c>
      <c r="C5607" s="14" t="n"/>
      <c r="D5607" s="15" t="n"/>
      <c r="E5607" s="15" t="n"/>
      <c r="F5607" s="15" t="n"/>
      <c r="G5607" s="15" t="n"/>
      <c r="H5607" s="16">
        <f>IF($A5607="","",$D5607+IF($E5607="",0,$E5607)+IF($F5607="",0,$F5607)-IF($G5607="",0,$G5607))</f>
        <v/>
      </c>
      <c r="I5607" s="12" t="n"/>
      <c r="J5607" s="12" t="n"/>
      <c r="K5607" s="12" t="n"/>
      <c r="L5607" s="14" t="n"/>
      <c r="M5607" s="12" t="n"/>
      <c r="N5607" s="12" t="n"/>
      <c r="O5607" s="12" t="n"/>
    </row>
    <row r="5608">
      <c r="A5608" s="12" t="n"/>
      <c r="B5608" s="13">
        <f>IF($A5608="","",IFERROR(INDEX(Emp_Names,MATCH($A5608,Emp_Codes,0)),"NOT FOUND"))</f>
        <v/>
      </c>
      <c r="C5608" s="14" t="n"/>
      <c r="D5608" s="15" t="n"/>
      <c r="E5608" s="15" t="n"/>
      <c r="F5608" s="15" t="n"/>
      <c r="G5608" s="15" t="n"/>
      <c r="H5608" s="16">
        <f>IF($A5608="","",$D5608+IF($E5608="",0,$E5608)+IF($F5608="",0,$F5608)-IF($G5608="",0,$G5608))</f>
        <v/>
      </c>
      <c r="I5608" s="12" t="n"/>
      <c r="J5608" s="12" t="n"/>
      <c r="K5608" s="12" t="n"/>
      <c r="L5608" s="14" t="n"/>
      <c r="M5608" s="12" t="n"/>
      <c r="N5608" s="12" t="n"/>
      <c r="O5608" s="12" t="n"/>
    </row>
    <row r="5609">
      <c r="A5609" s="12" t="n"/>
      <c r="B5609" s="13">
        <f>IF($A5609="","",IFERROR(INDEX(Emp_Names,MATCH($A5609,Emp_Codes,0)),"NOT FOUND"))</f>
        <v/>
      </c>
      <c r="C5609" s="14" t="n"/>
      <c r="D5609" s="15" t="n"/>
      <c r="E5609" s="15" t="n"/>
      <c r="F5609" s="15" t="n"/>
      <c r="G5609" s="15" t="n"/>
      <c r="H5609" s="16">
        <f>IF($A5609="","",$D5609+IF($E5609="",0,$E5609)+IF($F5609="",0,$F5609)-IF($G5609="",0,$G5609))</f>
        <v/>
      </c>
      <c r="I5609" s="12" t="n"/>
      <c r="J5609" s="12" t="n"/>
      <c r="K5609" s="12" t="n"/>
      <c r="L5609" s="14" t="n"/>
      <c r="M5609" s="12" t="n"/>
      <c r="N5609" s="12" t="n"/>
      <c r="O5609" s="12" t="n"/>
    </row>
    <row r="5610">
      <c r="A5610" s="12" t="n"/>
      <c r="B5610" s="13">
        <f>IF($A5610="","",IFERROR(INDEX(Emp_Names,MATCH($A5610,Emp_Codes,0)),"NOT FOUND"))</f>
        <v/>
      </c>
      <c r="C5610" s="14" t="n"/>
      <c r="D5610" s="15" t="n"/>
      <c r="E5610" s="15" t="n"/>
      <c r="F5610" s="15" t="n"/>
      <c r="G5610" s="15" t="n"/>
      <c r="H5610" s="16">
        <f>IF($A5610="","",$D5610+IF($E5610="",0,$E5610)+IF($F5610="",0,$F5610)-IF($G5610="",0,$G5610))</f>
        <v/>
      </c>
      <c r="I5610" s="12" t="n"/>
      <c r="J5610" s="12" t="n"/>
      <c r="K5610" s="12" t="n"/>
      <c r="L5610" s="14" t="n"/>
      <c r="M5610" s="12" t="n"/>
      <c r="N5610" s="12" t="n"/>
      <c r="O5610" s="12" t="n"/>
    </row>
    <row r="5611">
      <c r="A5611" s="12" t="n"/>
      <c r="B5611" s="13">
        <f>IF($A5611="","",IFERROR(INDEX(Emp_Names,MATCH($A5611,Emp_Codes,0)),"NOT FOUND"))</f>
        <v/>
      </c>
      <c r="C5611" s="14" t="n"/>
      <c r="D5611" s="15" t="n"/>
      <c r="E5611" s="15" t="n"/>
      <c r="F5611" s="15" t="n"/>
      <c r="G5611" s="15" t="n"/>
      <c r="H5611" s="16">
        <f>IF($A5611="","",$D5611+IF($E5611="",0,$E5611)+IF($F5611="",0,$F5611)-IF($G5611="",0,$G5611))</f>
        <v/>
      </c>
      <c r="I5611" s="12" t="n"/>
      <c r="J5611" s="12" t="n"/>
      <c r="K5611" s="12" t="n"/>
      <c r="L5611" s="14" t="n"/>
      <c r="M5611" s="12" t="n"/>
      <c r="N5611" s="12" t="n"/>
      <c r="O5611" s="12" t="n"/>
    </row>
    <row r="5612">
      <c r="A5612" s="12" t="n"/>
      <c r="B5612" s="13">
        <f>IF($A5612="","",IFERROR(INDEX(Emp_Names,MATCH($A5612,Emp_Codes,0)),"NOT FOUND"))</f>
        <v/>
      </c>
      <c r="C5612" s="14" t="n"/>
      <c r="D5612" s="15" t="n"/>
      <c r="E5612" s="15" t="n"/>
      <c r="F5612" s="15" t="n"/>
      <c r="G5612" s="15" t="n"/>
      <c r="H5612" s="16">
        <f>IF($A5612="","",$D5612+IF($E5612="",0,$E5612)+IF($F5612="",0,$F5612)-IF($G5612="",0,$G5612))</f>
        <v/>
      </c>
      <c r="I5612" s="12" t="n"/>
      <c r="J5612" s="12" t="n"/>
      <c r="K5612" s="12" t="n"/>
      <c r="L5612" s="14" t="n"/>
      <c r="M5612" s="12" t="n"/>
      <c r="N5612" s="12" t="n"/>
      <c r="O5612" s="12" t="n"/>
    </row>
    <row r="5613">
      <c r="A5613" s="12" t="n"/>
      <c r="B5613" s="13">
        <f>IF($A5613="","",IFERROR(INDEX(Emp_Names,MATCH($A5613,Emp_Codes,0)),"NOT FOUND"))</f>
        <v/>
      </c>
      <c r="C5613" s="14" t="n"/>
      <c r="D5613" s="15" t="n"/>
      <c r="E5613" s="15" t="n"/>
      <c r="F5613" s="15" t="n"/>
      <c r="G5613" s="15" t="n"/>
      <c r="H5613" s="16">
        <f>IF($A5613="","",$D5613+IF($E5613="",0,$E5613)+IF($F5613="",0,$F5613)-IF($G5613="",0,$G5613))</f>
        <v/>
      </c>
      <c r="I5613" s="12" t="n"/>
      <c r="J5613" s="12" t="n"/>
      <c r="K5613" s="12" t="n"/>
      <c r="L5613" s="14" t="n"/>
      <c r="M5613" s="12" t="n"/>
      <c r="N5613" s="12" t="n"/>
      <c r="O5613" s="12" t="n"/>
    </row>
    <row r="5614">
      <c r="A5614" s="12" t="n"/>
      <c r="B5614" s="13">
        <f>IF($A5614="","",IFERROR(INDEX(Emp_Names,MATCH($A5614,Emp_Codes,0)),"NOT FOUND"))</f>
        <v/>
      </c>
      <c r="C5614" s="14" t="n"/>
      <c r="D5614" s="15" t="n"/>
      <c r="E5614" s="15" t="n"/>
      <c r="F5614" s="15" t="n"/>
      <c r="G5614" s="15" t="n"/>
      <c r="H5614" s="16">
        <f>IF($A5614="","",$D5614+IF($E5614="",0,$E5614)+IF($F5614="",0,$F5614)-IF($G5614="",0,$G5614))</f>
        <v/>
      </c>
      <c r="I5614" s="12" t="n"/>
      <c r="J5614" s="12" t="n"/>
      <c r="K5614" s="12" t="n"/>
      <c r="L5614" s="14" t="n"/>
      <c r="M5614" s="12" t="n"/>
      <c r="N5614" s="12" t="n"/>
      <c r="O5614" s="12" t="n"/>
    </row>
    <row r="5615">
      <c r="A5615" s="12" t="n"/>
      <c r="B5615" s="13">
        <f>IF($A5615="","",IFERROR(INDEX(Emp_Names,MATCH($A5615,Emp_Codes,0)),"NOT FOUND"))</f>
        <v/>
      </c>
      <c r="C5615" s="14" t="n"/>
      <c r="D5615" s="15" t="n"/>
      <c r="E5615" s="15" t="n"/>
      <c r="F5615" s="15" t="n"/>
      <c r="G5615" s="15" t="n"/>
      <c r="H5615" s="16">
        <f>IF($A5615="","",$D5615+IF($E5615="",0,$E5615)+IF($F5615="",0,$F5615)-IF($G5615="",0,$G5615))</f>
        <v/>
      </c>
      <c r="I5615" s="12" t="n"/>
      <c r="J5615" s="12" t="n"/>
      <c r="K5615" s="12" t="n"/>
      <c r="L5615" s="14" t="n"/>
      <c r="M5615" s="12" t="n"/>
      <c r="N5615" s="12" t="n"/>
      <c r="O5615" s="12" t="n"/>
    </row>
    <row r="5616">
      <c r="A5616" s="12" t="n"/>
      <c r="B5616" s="13">
        <f>IF($A5616="","",IFERROR(INDEX(Emp_Names,MATCH($A5616,Emp_Codes,0)),"NOT FOUND"))</f>
        <v/>
      </c>
      <c r="C5616" s="14" t="n"/>
      <c r="D5616" s="15" t="n"/>
      <c r="E5616" s="15" t="n"/>
      <c r="F5616" s="15" t="n"/>
      <c r="G5616" s="15" t="n"/>
      <c r="H5616" s="16">
        <f>IF($A5616="","",$D5616+IF($E5616="",0,$E5616)+IF($F5616="",0,$F5616)-IF($G5616="",0,$G5616))</f>
        <v/>
      </c>
      <c r="I5616" s="12" t="n"/>
      <c r="J5616" s="12" t="n"/>
      <c r="K5616" s="12" t="n"/>
      <c r="L5616" s="14" t="n"/>
      <c r="M5616" s="12" t="n"/>
      <c r="N5616" s="12" t="n"/>
      <c r="O5616" s="12" t="n"/>
    </row>
    <row r="5617">
      <c r="A5617" s="12" t="n"/>
      <c r="B5617" s="13">
        <f>IF($A5617="","",IFERROR(INDEX(Emp_Names,MATCH($A5617,Emp_Codes,0)),"NOT FOUND"))</f>
        <v/>
      </c>
      <c r="C5617" s="14" t="n"/>
      <c r="D5617" s="15" t="n"/>
      <c r="E5617" s="15" t="n"/>
      <c r="F5617" s="15" t="n"/>
      <c r="G5617" s="15" t="n"/>
      <c r="H5617" s="16">
        <f>IF($A5617="","",$D5617+IF($E5617="",0,$E5617)+IF($F5617="",0,$F5617)-IF($G5617="",0,$G5617))</f>
        <v/>
      </c>
      <c r="I5617" s="12" t="n"/>
      <c r="J5617" s="12" t="n"/>
      <c r="K5617" s="12" t="n"/>
      <c r="L5617" s="14" t="n"/>
      <c r="M5617" s="12" t="n"/>
      <c r="N5617" s="12" t="n"/>
      <c r="O5617" s="12" t="n"/>
    </row>
    <row r="5618">
      <c r="A5618" s="12" t="n"/>
      <c r="B5618" s="13">
        <f>IF($A5618="","",IFERROR(INDEX(Emp_Names,MATCH($A5618,Emp_Codes,0)),"NOT FOUND"))</f>
        <v/>
      </c>
      <c r="C5618" s="14" t="n"/>
      <c r="D5618" s="15" t="n"/>
      <c r="E5618" s="15" t="n"/>
      <c r="F5618" s="15" t="n"/>
      <c r="G5618" s="15" t="n"/>
      <c r="H5618" s="16">
        <f>IF($A5618="","",$D5618+IF($E5618="",0,$E5618)+IF($F5618="",0,$F5618)-IF($G5618="",0,$G5618))</f>
        <v/>
      </c>
      <c r="I5618" s="12" t="n"/>
      <c r="J5618" s="12" t="n"/>
      <c r="K5618" s="12" t="n"/>
      <c r="L5618" s="14" t="n"/>
      <c r="M5618" s="12" t="n"/>
      <c r="N5618" s="12" t="n"/>
      <c r="O5618" s="12" t="n"/>
    </row>
    <row r="5619">
      <c r="A5619" s="12" t="n"/>
      <c r="B5619" s="13">
        <f>IF($A5619="","",IFERROR(INDEX(Emp_Names,MATCH($A5619,Emp_Codes,0)),"NOT FOUND"))</f>
        <v/>
      </c>
      <c r="C5619" s="14" t="n"/>
      <c r="D5619" s="15" t="n"/>
      <c r="E5619" s="15" t="n"/>
      <c r="F5619" s="15" t="n"/>
      <c r="G5619" s="15" t="n"/>
      <c r="H5619" s="16">
        <f>IF($A5619="","",$D5619+IF($E5619="",0,$E5619)+IF($F5619="",0,$F5619)-IF($G5619="",0,$G5619))</f>
        <v/>
      </c>
      <c r="I5619" s="12" t="n"/>
      <c r="J5619" s="12" t="n"/>
      <c r="K5619" s="12" t="n"/>
      <c r="L5619" s="14" t="n"/>
      <c r="M5619" s="12" t="n"/>
      <c r="N5619" s="12" t="n"/>
      <c r="O5619" s="12" t="n"/>
    </row>
    <row r="5620">
      <c r="A5620" s="12" t="n"/>
      <c r="B5620" s="13">
        <f>IF($A5620="","",IFERROR(INDEX(Emp_Names,MATCH($A5620,Emp_Codes,0)),"NOT FOUND"))</f>
        <v/>
      </c>
      <c r="C5620" s="14" t="n"/>
      <c r="D5620" s="15" t="n"/>
      <c r="E5620" s="15" t="n"/>
      <c r="F5620" s="15" t="n"/>
      <c r="G5620" s="15" t="n"/>
      <c r="H5620" s="16">
        <f>IF($A5620="","",$D5620+IF($E5620="",0,$E5620)+IF($F5620="",0,$F5620)-IF($G5620="",0,$G5620))</f>
        <v/>
      </c>
      <c r="I5620" s="12" t="n"/>
      <c r="J5620" s="12" t="n"/>
      <c r="K5620" s="12" t="n"/>
      <c r="L5620" s="14" t="n"/>
      <c r="M5620" s="12" t="n"/>
      <c r="N5620" s="12" t="n"/>
      <c r="O5620" s="12" t="n"/>
    </row>
    <row r="5621">
      <c r="A5621" s="12" t="n"/>
      <c r="B5621" s="13">
        <f>IF($A5621="","",IFERROR(INDEX(Emp_Names,MATCH($A5621,Emp_Codes,0)),"NOT FOUND"))</f>
        <v/>
      </c>
      <c r="C5621" s="14" t="n"/>
      <c r="D5621" s="15" t="n"/>
      <c r="E5621" s="15" t="n"/>
      <c r="F5621" s="15" t="n"/>
      <c r="G5621" s="15" t="n"/>
      <c r="H5621" s="16">
        <f>IF($A5621="","",$D5621+IF($E5621="",0,$E5621)+IF($F5621="",0,$F5621)-IF($G5621="",0,$G5621))</f>
        <v/>
      </c>
      <c r="I5621" s="12" t="n"/>
      <c r="J5621" s="12" t="n"/>
      <c r="K5621" s="12" t="n"/>
      <c r="L5621" s="14" t="n"/>
      <c r="M5621" s="12" t="n"/>
      <c r="N5621" s="12" t="n"/>
      <c r="O5621" s="12" t="n"/>
    </row>
    <row r="5622">
      <c r="A5622" s="12" t="n"/>
      <c r="B5622" s="13">
        <f>IF($A5622="","",IFERROR(INDEX(Emp_Names,MATCH($A5622,Emp_Codes,0)),"NOT FOUND"))</f>
        <v/>
      </c>
      <c r="C5622" s="14" t="n"/>
      <c r="D5622" s="15" t="n"/>
      <c r="E5622" s="15" t="n"/>
      <c r="F5622" s="15" t="n"/>
      <c r="G5622" s="15" t="n"/>
      <c r="H5622" s="16">
        <f>IF($A5622="","",$D5622+IF($E5622="",0,$E5622)+IF($F5622="",0,$F5622)-IF($G5622="",0,$G5622))</f>
        <v/>
      </c>
      <c r="I5622" s="12" t="n"/>
      <c r="J5622" s="12" t="n"/>
      <c r="K5622" s="12" t="n"/>
      <c r="L5622" s="14" t="n"/>
      <c r="M5622" s="12" t="n"/>
      <c r="N5622" s="12" t="n"/>
      <c r="O5622" s="12" t="n"/>
    </row>
    <row r="5623">
      <c r="A5623" s="12" t="n"/>
      <c r="B5623" s="13">
        <f>IF($A5623="","",IFERROR(INDEX(Emp_Names,MATCH($A5623,Emp_Codes,0)),"NOT FOUND"))</f>
        <v/>
      </c>
      <c r="C5623" s="14" t="n"/>
      <c r="D5623" s="15" t="n"/>
      <c r="E5623" s="15" t="n"/>
      <c r="F5623" s="15" t="n"/>
      <c r="G5623" s="15" t="n"/>
      <c r="H5623" s="16">
        <f>IF($A5623="","",$D5623+IF($E5623="",0,$E5623)+IF($F5623="",0,$F5623)-IF($G5623="",0,$G5623))</f>
        <v/>
      </c>
      <c r="I5623" s="12" t="n"/>
      <c r="J5623" s="12" t="n"/>
      <c r="K5623" s="12" t="n"/>
      <c r="L5623" s="14" t="n"/>
      <c r="M5623" s="12" t="n"/>
      <c r="N5623" s="12" t="n"/>
      <c r="O5623" s="12" t="n"/>
    </row>
    <row r="5624">
      <c r="A5624" s="12" t="n"/>
      <c r="B5624" s="13">
        <f>IF($A5624="","",IFERROR(INDEX(Emp_Names,MATCH($A5624,Emp_Codes,0)),"NOT FOUND"))</f>
        <v/>
      </c>
      <c r="C5624" s="14" t="n"/>
      <c r="D5624" s="15" t="n"/>
      <c r="E5624" s="15" t="n"/>
      <c r="F5624" s="15" t="n"/>
      <c r="G5624" s="15" t="n"/>
      <c r="H5624" s="16">
        <f>IF($A5624="","",$D5624+IF($E5624="",0,$E5624)+IF($F5624="",0,$F5624)-IF($G5624="",0,$G5624))</f>
        <v/>
      </c>
      <c r="I5624" s="12" t="n"/>
      <c r="J5624" s="12" t="n"/>
      <c r="K5624" s="12" t="n"/>
      <c r="L5624" s="14" t="n"/>
      <c r="M5624" s="12" t="n"/>
      <c r="N5624" s="12" t="n"/>
      <c r="O5624" s="12" t="n"/>
    </row>
    <row r="5625">
      <c r="A5625" s="12" t="n"/>
      <c r="B5625" s="13">
        <f>IF($A5625="","",IFERROR(INDEX(Emp_Names,MATCH($A5625,Emp_Codes,0)),"NOT FOUND"))</f>
        <v/>
      </c>
      <c r="C5625" s="14" t="n"/>
      <c r="D5625" s="15" t="n"/>
      <c r="E5625" s="15" t="n"/>
      <c r="F5625" s="15" t="n"/>
      <c r="G5625" s="15" t="n"/>
      <c r="H5625" s="16">
        <f>IF($A5625="","",$D5625+IF($E5625="",0,$E5625)+IF($F5625="",0,$F5625)-IF($G5625="",0,$G5625))</f>
        <v/>
      </c>
      <c r="I5625" s="12" t="n"/>
      <c r="J5625" s="12" t="n"/>
      <c r="K5625" s="12" t="n"/>
      <c r="L5625" s="14" t="n"/>
      <c r="M5625" s="12" t="n"/>
      <c r="N5625" s="12" t="n"/>
      <c r="O5625" s="12" t="n"/>
    </row>
    <row r="5626">
      <c r="A5626" s="12" t="n"/>
      <c r="B5626" s="13">
        <f>IF($A5626="","",IFERROR(INDEX(Emp_Names,MATCH($A5626,Emp_Codes,0)),"NOT FOUND"))</f>
        <v/>
      </c>
      <c r="C5626" s="14" t="n"/>
      <c r="D5626" s="15" t="n"/>
      <c r="E5626" s="15" t="n"/>
      <c r="F5626" s="15" t="n"/>
      <c r="G5626" s="15" t="n"/>
      <c r="H5626" s="16">
        <f>IF($A5626="","",$D5626+IF($E5626="",0,$E5626)+IF($F5626="",0,$F5626)-IF($G5626="",0,$G5626))</f>
        <v/>
      </c>
      <c r="I5626" s="12" t="n"/>
      <c r="J5626" s="12" t="n"/>
      <c r="K5626" s="12" t="n"/>
      <c r="L5626" s="14" t="n"/>
      <c r="M5626" s="12" t="n"/>
      <c r="N5626" s="12" t="n"/>
      <c r="O5626" s="12" t="n"/>
    </row>
    <row r="5627">
      <c r="A5627" s="12" t="n"/>
      <c r="B5627" s="13">
        <f>IF($A5627="","",IFERROR(INDEX(Emp_Names,MATCH($A5627,Emp_Codes,0)),"NOT FOUND"))</f>
        <v/>
      </c>
      <c r="C5627" s="14" t="n"/>
      <c r="D5627" s="15" t="n"/>
      <c r="E5627" s="15" t="n"/>
      <c r="F5627" s="15" t="n"/>
      <c r="G5627" s="15" t="n"/>
      <c r="H5627" s="16">
        <f>IF($A5627="","",$D5627+IF($E5627="",0,$E5627)+IF($F5627="",0,$F5627)-IF($G5627="",0,$G5627))</f>
        <v/>
      </c>
      <c r="I5627" s="12" t="n"/>
      <c r="J5627" s="12" t="n"/>
      <c r="K5627" s="12" t="n"/>
      <c r="L5627" s="14" t="n"/>
      <c r="M5627" s="12" t="n"/>
      <c r="N5627" s="12" t="n"/>
      <c r="O5627" s="12" t="n"/>
    </row>
    <row r="5628">
      <c r="A5628" s="12" t="n"/>
      <c r="B5628" s="13">
        <f>IF($A5628="","",IFERROR(INDEX(Emp_Names,MATCH($A5628,Emp_Codes,0)),"NOT FOUND"))</f>
        <v/>
      </c>
      <c r="C5628" s="14" t="n"/>
      <c r="D5628" s="15" t="n"/>
      <c r="E5628" s="15" t="n"/>
      <c r="F5628" s="15" t="n"/>
      <c r="G5628" s="15" t="n"/>
      <c r="H5628" s="16">
        <f>IF($A5628="","",$D5628+IF($E5628="",0,$E5628)+IF($F5628="",0,$F5628)-IF($G5628="",0,$G5628))</f>
        <v/>
      </c>
      <c r="I5628" s="12" t="n"/>
      <c r="J5628" s="12" t="n"/>
      <c r="K5628" s="12" t="n"/>
      <c r="L5628" s="14" t="n"/>
      <c r="M5628" s="12" t="n"/>
      <c r="N5628" s="12" t="n"/>
      <c r="O5628" s="12" t="n"/>
    </row>
    <row r="5629">
      <c r="A5629" s="12" t="n"/>
      <c r="B5629" s="13">
        <f>IF($A5629="","",IFERROR(INDEX(Emp_Names,MATCH($A5629,Emp_Codes,0)),"NOT FOUND"))</f>
        <v/>
      </c>
      <c r="C5629" s="14" t="n"/>
      <c r="D5629" s="15" t="n"/>
      <c r="E5629" s="15" t="n"/>
      <c r="F5629" s="15" t="n"/>
      <c r="G5629" s="15" t="n"/>
      <c r="H5629" s="16">
        <f>IF($A5629="","",$D5629+IF($E5629="",0,$E5629)+IF($F5629="",0,$F5629)-IF($G5629="",0,$G5629))</f>
        <v/>
      </c>
      <c r="I5629" s="12" t="n"/>
      <c r="J5629" s="12" t="n"/>
      <c r="K5629" s="12" t="n"/>
      <c r="L5629" s="14" t="n"/>
      <c r="M5629" s="12" t="n"/>
      <c r="N5629" s="12" t="n"/>
      <c r="O5629" s="12" t="n"/>
    </row>
    <row r="5630">
      <c r="A5630" s="12" t="n"/>
      <c r="B5630" s="13">
        <f>IF($A5630="","",IFERROR(INDEX(Emp_Names,MATCH($A5630,Emp_Codes,0)),"NOT FOUND"))</f>
        <v/>
      </c>
      <c r="C5630" s="14" t="n"/>
      <c r="D5630" s="15" t="n"/>
      <c r="E5630" s="15" t="n"/>
      <c r="F5630" s="15" t="n"/>
      <c r="G5630" s="15" t="n"/>
      <c r="H5630" s="16">
        <f>IF($A5630="","",$D5630+IF($E5630="",0,$E5630)+IF($F5630="",0,$F5630)-IF($G5630="",0,$G5630))</f>
        <v/>
      </c>
      <c r="I5630" s="12" t="n"/>
      <c r="J5630" s="12" t="n"/>
      <c r="K5630" s="12" t="n"/>
      <c r="L5630" s="14" t="n"/>
      <c r="M5630" s="12" t="n"/>
      <c r="N5630" s="12" t="n"/>
      <c r="O5630" s="12" t="n"/>
    </row>
    <row r="5631">
      <c r="A5631" s="12" t="n"/>
      <c r="B5631" s="13">
        <f>IF($A5631="","",IFERROR(INDEX(Emp_Names,MATCH($A5631,Emp_Codes,0)),"NOT FOUND"))</f>
        <v/>
      </c>
      <c r="C5631" s="14" t="n"/>
      <c r="D5631" s="15" t="n"/>
      <c r="E5631" s="15" t="n"/>
      <c r="F5631" s="15" t="n"/>
      <c r="G5631" s="15" t="n"/>
      <c r="H5631" s="16">
        <f>IF($A5631="","",$D5631+IF($E5631="",0,$E5631)+IF($F5631="",0,$F5631)-IF($G5631="",0,$G5631))</f>
        <v/>
      </c>
      <c r="I5631" s="12" t="n"/>
      <c r="J5631" s="12" t="n"/>
      <c r="K5631" s="12" t="n"/>
      <c r="L5631" s="14" t="n"/>
      <c r="M5631" s="12" t="n"/>
      <c r="N5631" s="12" t="n"/>
      <c r="O5631" s="12" t="n"/>
    </row>
    <row r="5632">
      <c r="A5632" s="12" t="n"/>
      <c r="B5632" s="13">
        <f>IF($A5632="","",IFERROR(INDEX(Emp_Names,MATCH($A5632,Emp_Codes,0)),"NOT FOUND"))</f>
        <v/>
      </c>
      <c r="C5632" s="14" t="n"/>
      <c r="D5632" s="15" t="n"/>
      <c r="E5632" s="15" t="n"/>
      <c r="F5632" s="15" t="n"/>
      <c r="G5632" s="15" t="n"/>
      <c r="H5632" s="16">
        <f>IF($A5632="","",$D5632+IF($E5632="",0,$E5632)+IF($F5632="",0,$F5632)-IF($G5632="",0,$G5632))</f>
        <v/>
      </c>
      <c r="I5632" s="12" t="n"/>
      <c r="J5632" s="12" t="n"/>
      <c r="K5632" s="12" t="n"/>
      <c r="L5632" s="14" t="n"/>
      <c r="M5632" s="12" t="n"/>
      <c r="N5632" s="12" t="n"/>
      <c r="O5632" s="12" t="n"/>
    </row>
    <row r="5633">
      <c r="A5633" s="12" t="n"/>
      <c r="B5633" s="13">
        <f>IF($A5633="","",IFERROR(INDEX(Emp_Names,MATCH($A5633,Emp_Codes,0)),"NOT FOUND"))</f>
        <v/>
      </c>
      <c r="C5633" s="14" t="n"/>
      <c r="D5633" s="15" t="n"/>
      <c r="E5633" s="15" t="n"/>
      <c r="F5633" s="15" t="n"/>
      <c r="G5633" s="15" t="n"/>
      <c r="H5633" s="16">
        <f>IF($A5633="","",$D5633+IF($E5633="",0,$E5633)+IF($F5633="",0,$F5633)-IF($G5633="",0,$G5633))</f>
        <v/>
      </c>
      <c r="I5633" s="12" t="n"/>
      <c r="J5633" s="12" t="n"/>
      <c r="K5633" s="12" t="n"/>
      <c r="L5633" s="14" t="n"/>
      <c r="M5633" s="12" t="n"/>
      <c r="N5633" s="12" t="n"/>
      <c r="O5633" s="12" t="n"/>
    </row>
    <row r="5634">
      <c r="A5634" s="12" t="n"/>
      <c r="B5634" s="13">
        <f>IF($A5634="","",IFERROR(INDEX(Emp_Names,MATCH($A5634,Emp_Codes,0)),"NOT FOUND"))</f>
        <v/>
      </c>
      <c r="C5634" s="14" t="n"/>
      <c r="D5634" s="15" t="n"/>
      <c r="E5634" s="15" t="n"/>
      <c r="F5634" s="15" t="n"/>
      <c r="G5634" s="15" t="n"/>
      <c r="H5634" s="16">
        <f>IF($A5634="","",$D5634+IF($E5634="",0,$E5634)+IF($F5634="",0,$F5634)-IF($G5634="",0,$G5634))</f>
        <v/>
      </c>
      <c r="I5634" s="12" t="n"/>
      <c r="J5634" s="12" t="n"/>
      <c r="K5634" s="12" t="n"/>
      <c r="L5634" s="14" t="n"/>
      <c r="M5634" s="12" t="n"/>
      <c r="N5634" s="12" t="n"/>
      <c r="O5634" s="12" t="n"/>
    </row>
    <row r="5635">
      <c r="A5635" s="12" t="n"/>
      <c r="B5635" s="13">
        <f>IF($A5635="","",IFERROR(INDEX(Emp_Names,MATCH($A5635,Emp_Codes,0)),"NOT FOUND"))</f>
        <v/>
      </c>
      <c r="C5635" s="14" t="n"/>
      <c r="D5635" s="15" t="n"/>
      <c r="E5635" s="15" t="n"/>
      <c r="F5635" s="15" t="n"/>
      <c r="G5635" s="15" t="n"/>
      <c r="H5635" s="16">
        <f>IF($A5635="","",$D5635+IF($E5635="",0,$E5635)+IF($F5635="",0,$F5635)-IF($G5635="",0,$G5635))</f>
        <v/>
      </c>
      <c r="I5635" s="12" t="n"/>
      <c r="J5635" s="12" t="n"/>
      <c r="K5635" s="12" t="n"/>
      <c r="L5635" s="14" t="n"/>
      <c r="M5635" s="12" t="n"/>
      <c r="N5635" s="12" t="n"/>
      <c r="O5635" s="12" t="n"/>
    </row>
    <row r="5636">
      <c r="A5636" s="12" t="n"/>
      <c r="B5636" s="13">
        <f>IF($A5636="","",IFERROR(INDEX(Emp_Names,MATCH($A5636,Emp_Codes,0)),"NOT FOUND"))</f>
        <v/>
      </c>
      <c r="C5636" s="14" t="n"/>
      <c r="D5636" s="15" t="n"/>
      <c r="E5636" s="15" t="n"/>
      <c r="F5636" s="15" t="n"/>
      <c r="G5636" s="15" t="n"/>
      <c r="H5636" s="16">
        <f>IF($A5636="","",$D5636+IF($E5636="",0,$E5636)+IF($F5636="",0,$F5636)-IF($G5636="",0,$G5636))</f>
        <v/>
      </c>
      <c r="I5636" s="12" t="n"/>
      <c r="J5636" s="12" t="n"/>
      <c r="K5636" s="12" t="n"/>
      <c r="L5636" s="14" t="n"/>
      <c r="M5636" s="12" t="n"/>
      <c r="N5636" s="12" t="n"/>
      <c r="O5636" s="12" t="n"/>
    </row>
    <row r="5637">
      <c r="A5637" s="12" t="n"/>
      <c r="B5637" s="13">
        <f>IF($A5637="","",IFERROR(INDEX(Emp_Names,MATCH($A5637,Emp_Codes,0)),"NOT FOUND"))</f>
        <v/>
      </c>
      <c r="C5637" s="14" t="n"/>
      <c r="D5637" s="15" t="n"/>
      <c r="E5637" s="15" t="n"/>
      <c r="F5637" s="15" t="n"/>
      <c r="G5637" s="15" t="n"/>
      <c r="H5637" s="16">
        <f>IF($A5637="","",$D5637+IF($E5637="",0,$E5637)+IF($F5637="",0,$F5637)-IF($G5637="",0,$G5637))</f>
        <v/>
      </c>
      <c r="I5637" s="12" t="n"/>
      <c r="J5637" s="12" t="n"/>
      <c r="K5637" s="12" t="n"/>
      <c r="L5637" s="14" t="n"/>
      <c r="M5637" s="12" t="n"/>
      <c r="N5637" s="12" t="n"/>
      <c r="O5637" s="12" t="n"/>
    </row>
    <row r="5638">
      <c r="A5638" s="12" t="n"/>
      <c r="B5638" s="13">
        <f>IF($A5638="","",IFERROR(INDEX(Emp_Names,MATCH($A5638,Emp_Codes,0)),"NOT FOUND"))</f>
        <v/>
      </c>
      <c r="C5638" s="14" t="n"/>
      <c r="D5638" s="15" t="n"/>
      <c r="E5638" s="15" t="n"/>
      <c r="F5638" s="15" t="n"/>
      <c r="G5638" s="15" t="n"/>
      <c r="H5638" s="16">
        <f>IF($A5638="","",$D5638+IF($E5638="",0,$E5638)+IF($F5638="",0,$F5638)-IF($G5638="",0,$G5638))</f>
        <v/>
      </c>
      <c r="I5638" s="12" t="n"/>
      <c r="J5638" s="12" t="n"/>
      <c r="K5638" s="12" t="n"/>
      <c r="L5638" s="14" t="n"/>
      <c r="M5638" s="12" t="n"/>
      <c r="N5638" s="12" t="n"/>
      <c r="O5638" s="12" t="n"/>
    </row>
    <row r="5639">
      <c r="A5639" s="12" t="n"/>
      <c r="B5639" s="13">
        <f>IF($A5639="","",IFERROR(INDEX(Emp_Names,MATCH($A5639,Emp_Codes,0)),"NOT FOUND"))</f>
        <v/>
      </c>
      <c r="C5639" s="14" t="n"/>
      <c r="D5639" s="15" t="n"/>
      <c r="E5639" s="15" t="n"/>
      <c r="F5639" s="15" t="n"/>
      <c r="G5639" s="15" t="n"/>
      <c r="H5639" s="16">
        <f>IF($A5639="","",$D5639+IF($E5639="",0,$E5639)+IF($F5639="",0,$F5639)-IF($G5639="",0,$G5639))</f>
        <v/>
      </c>
      <c r="I5639" s="12" t="n"/>
      <c r="J5639" s="12" t="n"/>
      <c r="K5639" s="12" t="n"/>
      <c r="L5639" s="14" t="n"/>
      <c r="M5639" s="12" t="n"/>
      <c r="N5639" s="12" t="n"/>
      <c r="O5639" s="12" t="n"/>
    </row>
    <row r="5640">
      <c r="A5640" s="12" t="n"/>
      <c r="B5640" s="13">
        <f>IF($A5640="","",IFERROR(INDEX(Emp_Names,MATCH($A5640,Emp_Codes,0)),"NOT FOUND"))</f>
        <v/>
      </c>
      <c r="C5640" s="14" t="n"/>
      <c r="D5640" s="15" t="n"/>
      <c r="E5640" s="15" t="n"/>
      <c r="F5640" s="15" t="n"/>
      <c r="G5640" s="15" t="n"/>
      <c r="H5640" s="16">
        <f>IF($A5640="","",$D5640+IF($E5640="",0,$E5640)+IF($F5640="",0,$F5640)-IF($G5640="",0,$G5640))</f>
        <v/>
      </c>
      <c r="I5640" s="12" t="n"/>
      <c r="J5640" s="12" t="n"/>
      <c r="K5640" s="12" t="n"/>
      <c r="L5640" s="14" t="n"/>
      <c r="M5640" s="12" t="n"/>
      <c r="N5640" s="12" t="n"/>
      <c r="O5640" s="12" t="n"/>
    </row>
    <row r="5641">
      <c r="A5641" s="12" t="n"/>
      <c r="B5641" s="13">
        <f>IF($A5641="","",IFERROR(INDEX(Emp_Names,MATCH($A5641,Emp_Codes,0)),"NOT FOUND"))</f>
        <v/>
      </c>
      <c r="C5641" s="14" t="n"/>
      <c r="D5641" s="15" t="n"/>
      <c r="E5641" s="15" t="n"/>
      <c r="F5641" s="15" t="n"/>
      <c r="G5641" s="15" t="n"/>
      <c r="H5641" s="16">
        <f>IF($A5641="","",$D5641+IF($E5641="",0,$E5641)+IF($F5641="",0,$F5641)-IF($G5641="",0,$G5641))</f>
        <v/>
      </c>
      <c r="I5641" s="12" t="n"/>
      <c r="J5641" s="12" t="n"/>
      <c r="K5641" s="12" t="n"/>
      <c r="L5641" s="14" t="n"/>
      <c r="M5641" s="12" t="n"/>
      <c r="N5641" s="12" t="n"/>
      <c r="O5641" s="12" t="n"/>
    </row>
    <row r="5642">
      <c r="A5642" s="12" t="n"/>
      <c r="B5642" s="13">
        <f>IF($A5642="","",IFERROR(INDEX(Emp_Names,MATCH($A5642,Emp_Codes,0)),"NOT FOUND"))</f>
        <v/>
      </c>
      <c r="C5642" s="14" t="n"/>
      <c r="D5642" s="15" t="n"/>
      <c r="E5642" s="15" t="n"/>
      <c r="F5642" s="15" t="n"/>
      <c r="G5642" s="15" t="n"/>
      <c r="H5642" s="16">
        <f>IF($A5642="","",$D5642+IF($E5642="",0,$E5642)+IF($F5642="",0,$F5642)-IF($G5642="",0,$G5642))</f>
        <v/>
      </c>
      <c r="I5642" s="12" t="n"/>
      <c r="J5642" s="12" t="n"/>
      <c r="K5642" s="12" t="n"/>
      <c r="L5642" s="14" t="n"/>
      <c r="M5642" s="12" t="n"/>
      <c r="N5642" s="12" t="n"/>
      <c r="O5642" s="12" t="n"/>
    </row>
    <row r="5643">
      <c r="A5643" s="12" t="n"/>
      <c r="B5643" s="13">
        <f>IF($A5643="","",IFERROR(INDEX(Emp_Names,MATCH($A5643,Emp_Codes,0)),"NOT FOUND"))</f>
        <v/>
      </c>
      <c r="C5643" s="14" t="n"/>
      <c r="D5643" s="15" t="n"/>
      <c r="E5643" s="15" t="n"/>
      <c r="F5643" s="15" t="n"/>
      <c r="G5643" s="15" t="n"/>
      <c r="H5643" s="16">
        <f>IF($A5643="","",$D5643+IF($E5643="",0,$E5643)+IF($F5643="",0,$F5643)-IF($G5643="",0,$G5643))</f>
        <v/>
      </c>
      <c r="I5643" s="12" t="n"/>
      <c r="J5643" s="12" t="n"/>
      <c r="K5643" s="12" t="n"/>
      <c r="L5643" s="14" t="n"/>
      <c r="M5643" s="12" t="n"/>
      <c r="N5643" s="12" t="n"/>
      <c r="O5643" s="12" t="n"/>
    </row>
    <row r="5644">
      <c r="A5644" s="12" t="n"/>
      <c r="B5644" s="13">
        <f>IF($A5644="","",IFERROR(INDEX(Emp_Names,MATCH($A5644,Emp_Codes,0)),"NOT FOUND"))</f>
        <v/>
      </c>
      <c r="C5644" s="14" t="n"/>
      <c r="D5644" s="15" t="n"/>
      <c r="E5644" s="15" t="n"/>
      <c r="F5644" s="15" t="n"/>
      <c r="G5644" s="15" t="n"/>
      <c r="H5644" s="16">
        <f>IF($A5644="","",$D5644+IF($E5644="",0,$E5644)+IF($F5644="",0,$F5644)-IF($G5644="",0,$G5644))</f>
        <v/>
      </c>
      <c r="I5644" s="12" t="n"/>
      <c r="J5644" s="12" t="n"/>
      <c r="K5644" s="12" t="n"/>
      <c r="L5644" s="14" t="n"/>
      <c r="M5644" s="12" t="n"/>
      <c r="N5644" s="12" t="n"/>
      <c r="O5644" s="12" t="n"/>
    </row>
    <row r="5645">
      <c r="A5645" s="12" t="n"/>
      <c r="B5645" s="13">
        <f>IF($A5645="","",IFERROR(INDEX(Emp_Names,MATCH($A5645,Emp_Codes,0)),"NOT FOUND"))</f>
        <v/>
      </c>
      <c r="C5645" s="14" t="n"/>
      <c r="D5645" s="15" t="n"/>
      <c r="E5645" s="15" t="n"/>
      <c r="F5645" s="15" t="n"/>
      <c r="G5645" s="15" t="n"/>
      <c r="H5645" s="16">
        <f>IF($A5645="","",$D5645+IF($E5645="",0,$E5645)+IF($F5645="",0,$F5645)-IF($G5645="",0,$G5645))</f>
        <v/>
      </c>
      <c r="I5645" s="12" t="n"/>
      <c r="J5645" s="12" t="n"/>
      <c r="K5645" s="12" t="n"/>
      <c r="L5645" s="14" t="n"/>
      <c r="M5645" s="12" t="n"/>
      <c r="N5645" s="12" t="n"/>
      <c r="O5645" s="12" t="n"/>
    </row>
    <row r="5646">
      <c r="A5646" s="12" t="n"/>
      <c r="B5646" s="13">
        <f>IF($A5646="","",IFERROR(INDEX(Emp_Names,MATCH($A5646,Emp_Codes,0)),"NOT FOUND"))</f>
        <v/>
      </c>
      <c r="C5646" s="14" t="n"/>
      <c r="D5646" s="15" t="n"/>
      <c r="E5646" s="15" t="n"/>
      <c r="F5646" s="15" t="n"/>
      <c r="G5646" s="15" t="n"/>
      <c r="H5646" s="16">
        <f>IF($A5646="","",$D5646+IF($E5646="",0,$E5646)+IF($F5646="",0,$F5646)-IF($G5646="",0,$G5646))</f>
        <v/>
      </c>
      <c r="I5646" s="12" t="n"/>
      <c r="J5646" s="12" t="n"/>
      <c r="K5646" s="12" t="n"/>
      <c r="L5646" s="14" t="n"/>
      <c r="M5646" s="12" t="n"/>
      <c r="N5646" s="12" t="n"/>
      <c r="O5646" s="12" t="n"/>
    </row>
    <row r="5647">
      <c r="A5647" s="12" t="n"/>
      <c r="B5647" s="13">
        <f>IF($A5647="","",IFERROR(INDEX(Emp_Names,MATCH($A5647,Emp_Codes,0)),"NOT FOUND"))</f>
        <v/>
      </c>
      <c r="C5647" s="14" t="n"/>
      <c r="D5647" s="15" t="n"/>
      <c r="E5647" s="15" t="n"/>
      <c r="F5647" s="15" t="n"/>
      <c r="G5647" s="15" t="n"/>
      <c r="H5647" s="16">
        <f>IF($A5647="","",$D5647+IF($E5647="",0,$E5647)+IF($F5647="",0,$F5647)-IF($G5647="",0,$G5647))</f>
        <v/>
      </c>
      <c r="I5647" s="12" t="n"/>
      <c r="J5647" s="12" t="n"/>
      <c r="K5647" s="12" t="n"/>
      <c r="L5647" s="14" t="n"/>
      <c r="M5647" s="12" t="n"/>
      <c r="N5647" s="12" t="n"/>
      <c r="O5647" s="12" t="n"/>
    </row>
    <row r="5648">
      <c r="A5648" s="12" t="n"/>
      <c r="B5648" s="13">
        <f>IF($A5648="","",IFERROR(INDEX(Emp_Names,MATCH($A5648,Emp_Codes,0)),"NOT FOUND"))</f>
        <v/>
      </c>
      <c r="C5648" s="14" t="n"/>
      <c r="D5648" s="15" t="n"/>
      <c r="E5648" s="15" t="n"/>
      <c r="F5648" s="15" t="n"/>
      <c r="G5648" s="15" t="n"/>
      <c r="H5648" s="16">
        <f>IF($A5648="","",$D5648+IF($E5648="",0,$E5648)+IF($F5648="",0,$F5648)-IF($G5648="",0,$G5648))</f>
        <v/>
      </c>
      <c r="I5648" s="12" t="n"/>
      <c r="J5648" s="12" t="n"/>
      <c r="K5648" s="12" t="n"/>
      <c r="L5648" s="14" t="n"/>
      <c r="M5648" s="12" t="n"/>
      <c r="N5648" s="12" t="n"/>
      <c r="O5648" s="12" t="n"/>
    </row>
    <row r="5649">
      <c r="A5649" s="12" t="n"/>
      <c r="B5649" s="13">
        <f>IF($A5649="","",IFERROR(INDEX(Emp_Names,MATCH($A5649,Emp_Codes,0)),"NOT FOUND"))</f>
        <v/>
      </c>
      <c r="C5649" s="14" t="n"/>
      <c r="D5649" s="15" t="n"/>
      <c r="E5649" s="15" t="n"/>
      <c r="F5649" s="15" t="n"/>
      <c r="G5649" s="15" t="n"/>
      <c r="H5649" s="16">
        <f>IF($A5649="","",$D5649+IF($E5649="",0,$E5649)+IF($F5649="",0,$F5649)-IF($G5649="",0,$G5649))</f>
        <v/>
      </c>
      <c r="I5649" s="12" t="n"/>
      <c r="J5649" s="12" t="n"/>
      <c r="K5649" s="12" t="n"/>
      <c r="L5649" s="14" t="n"/>
      <c r="M5649" s="12" t="n"/>
      <c r="N5649" s="12" t="n"/>
      <c r="O5649" s="12" t="n"/>
    </row>
    <row r="5650">
      <c r="A5650" s="12" t="n"/>
      <c r="B5650" s="13">
        <f>IF($A5650="","",IFERROR(INDEX(Emp_Names,MATCH($A5650,Emp_Codes,0)),"NOT FOUND"))</f>
        <v/>
      </c>
      <c r="C5650" s="14" t="n"/>
      <c r="D5650" s="15" t="n"/>
      <c r="E5650" s="15" t="n"/>
      <c r="F5650" s="15" t="n"/>
      <c r="G5650" s="15" t="n"/>
      <c r="H5650" s="16">
        <f>IF($A5650="","",$D5650+IF($E5650="",0,$E5650)+IF($F5650="",0,$F5650)-IF($G5650="",0,$G5650))</f>
        <v/>
      </c>
      <c r="I5650" s="12" t="n"/>
      <c r="J5650" s="12" t="n"/>
      <c r="K5650" s="12" t="n"/>
      <c r="L5650" s="14" t="n"/>
      <c r="M5650" s="12" t="n"/>
      <c r="N5650" s="12" t="n"/>
      <c r="O5650" s="12" t="n"/>
    </row>
    <row r="5651">
      <c r="A5651" s="12" t="n"/>
      <c r="B5651" s="13">
        <f>IF($A5651="","",IFERROR(INDEX(Emp_Names,MATCH($A5651,Emp_Codes,0)),"NOT FOUND"))</f>
        <v/>
      </c>
      <c r="C5651" s="14" t="n"/>
      <c r="D5651" s="15" t="n"/>
      <c r="E5651" s="15" t="n"/>
      <c r="F5651" s="15" t="n"/>
      <c r="G5651" s="15" t="n"/>
      <c r="H5651" s="16">
        <f>IF($A5651="","",$D5651+IF($E5651="",0,$E5651)+IF($F5651="",0,$F5651)-IF($G5651="",0,$G5651))</f>
        <v/>
      </c>
      <c r="I5651" s="12" t="n"/>
      <c r="J5651" s="12" t="n"/>
      <c r="K5651" s="12" t="n"/>
      <c r="L5651" s="14" t="n"/>
      <c r="M5651" s="12" t="n"/>
      <c r="N5651" s="12" t="n"/>
      <c r="O5651" s="12" t="n"/>
    </row>
    <row r="5652">
      <c r="A5652" s="12" t="n"/>
      <c r="B5652" s="13">
        <f>IF($A5652="","",IFERROR(INDEX(Emp_Names,MATCH($A5652,Emp_Codes,0)),"NOT FOUND"))</f>
        <v/>
      </c>
      <c r="C5652" s="14" t="n"/>
      <c r="D5652" s="15" t="n"/>
      <c r="E5652" s="15" t="n"/>
      <c r="F5652" s="15" t="n"/>
      <c r="G5652" s="15" t="n"/>
      <c r="H5652" s="16">
        <f>IF($A5652="","",$D5652+IF($E5652="",0,$E5652)+IF($F5652="",0,$F5652)-IF($G5652="",0,$G5652))</f>
        <v/>
      </c>
      <c r="I5652" s="12" t="n"/>
      <c r="J5652" s="12" t="n"/>
      <c r="K5652" s="12" t="n"/>
      <c r="L5652" s="14" t="n"/>
      <c r="M5652" s="12" t="n"/>
      <c r="N5652" s="12" t="n"/>
      <c r="O5652" s="12" t="n"/>
    </row>
    <row r="5653">
      <c r="A5653" s="12" t="n"/>
      <c r="B5653" s="13">
        <f>IF($A5653="","",IFERROR(INDEX(Emp_Names,MATCH($A5653,Emp_Codes,0)),"NOT FOUND"))</f>
        <v/>
      </c>
      <c r="C5653" s="14" t="n"/>
      <c r="D5653" s="15" t="n"/>
      <c r="E5653" s="15" t="n"/>
      <c r="F5653" s="15" t="n"/>
      <c r="G5653" s="15" t="n"/>
      <c r="H5653" s="16">
        <f>IF($A5653="","",$D5653+IF($E5653="",0,$E5653)+IF($F5653="",0,$F5653)-IF($G5653="",0,$G5653))</f>
        <v/>
      </c>
      <c r="I5653" s="12" t="n"/>
      <c r="J5653" s="12" t="n"/>
      <c r="K5653" s="12" t="n"/>
      <c r="L5653" s="14" t="n"/>
      <c r="M5653" s="12" t="n"/>
      <c r="N5653" s="12" t="n"/>
      <c r="O5653" s="12" t="n"/>
    </row>
    <row r="5654">
      <c r="A5654" s="12" t="n"/>
      <c r="B5654" s="13">
        <f>IF($A5654="","",IFERROR(INDEX(Emp_Names,MATCH($A5654,Emp_Codes,0)),"NOT FOUND"))</f>
        <v/>
      </c>
      <c r="C5654" s="14" t="n"/>
      <c r="D5654" s="15" t="n"/>
      <c r="E5654" s="15" t="n"/>
      <c r="F5654" s="15" t="n"/>
      <c r="G5654" s="15" t="n"/>
      <c r="H5654" s="16">
        <f>IF($A5654="","",$D5654+IF($E5654="",0,$E5654)+IF($F5654="",0,$F5654)-IF($G5654="",0,$G5654))</f>
        <v/>
      </c>
      <c r="I5654" s="12" t="n"/>
      <c r="J5654" s="12" t="n"/>
      <c r="K5654" s="12" t="n"/>
      <c r="L5654" s="14" t="n"/>
      <c r="M5654" s="12" t="n"/>
      <c r="N5654" s="12" t="n"/>
      <c r="O5654" s="12" t="n"/>
    </row>
    <row r="5655">
      <c r="A5655" s="12" t="n"/>
      <c r="B5655" s="13">
        <f>IF($A5655="","",IFERROR(INDEX(Emp_Names,MATCH($A5655,Emp_Codes,0)),"NOT FOUND"))</f>
        <v/>
      </c>
      <c r="C5655" s="14" t="n"/>
      <c r="D5655" s="15" t="n"/>
      <c r="E5655" s="15" t="n"/>
      <c r="F5655" s="15" t="n"/>
      <c r="G5655" s="15" t="n"/>
      <c r="H5655" s="16">
        <f>IF($A5655="","",$D5655+IF($E5655="",0,$E5655)+IF($F5655="",0,$F5655)-IF($G5655="",0,$G5655))</f>
        <v/>
      </c>
      <c r="I5655" s="12" t="n"/>
      <c r="J5655" s="12" t="n"/>
      <c r="K5655" s="12" t="n"/>
      <c r="L5655" s="14" t="n"/>
      <c r="M5655" s="12" t="n"/>
      <c r="N5655" s="12" t="n"/>
      <c r="O5655" s="12" t="n"/>
    </row>
    <row r="5656">
      <c r="A5656" s="12" t="n"/>
      <c r="B5656" s="13">
        <f>IF($A5656="","",IFERROR(INDEX(Emp_Names,MATCH($A5656,Emp_Codes,0)),"NOT FOUND"))</f>
        <v/>
      </c>
      <c r="C5656" s="14" t="n"/>
      <c r="D5656" s="15" t="n"/>
      <c r="E5656" s="15" t="n"/>
      <c r="F5656" s="15" t="n"/>
      <c r="G5656" s="15" t="n"/>
      <c r="H5656" s="16">
        <f>IF($A5656="","",$D5656+IF($E5656="",0,$E5656)+IF($F5656="",0,$F5656)-IF($G5656="",0,$G5656))</f>
        <v/>
      </c>
      <c r="I5656" s="12" t="n"/>
      <c r="J5656" s="12" t="n"/>
      <c r="K5656" s="12" t="n"/>
      <c r="L5656" s="14" t="n"/>
      <c r="M5656" s="12" t="n"/>
      <c r="N5656" s="12" t="n"/>
      <c r="O5656" s="12" t="n"/>
    </row>
    <row r="5657">
      <c r="A5657" s="12" t="n"/>
      <c r="B5657" s="13">
        <f>IF($A5657="","",IFERROR(INDEX(Emp_Names,MATCH($A5657,Emp_Codes,0)),"NOT FOUND"))</f>
        <v/>
      </c>
      <c r="C5657" s="14" t="n"/>
      <c r="D5657" s="15" t="n"/>
      <c r="E5657" s="15" t="n"/>
      <c r="F5657" s="15" t="n"/>
      <c r="G5657" s="15" t="n"/>
      <c r="H5657" s="16">
        <f>IF($A5657="","",$D5657+IF($E5657="",0,$E5657)+IF($F5657="",0,$F5657)-IF($G5657="",0,$G5657))</f>
        <v/>
      </c>
      <c r="I5657" s="12" t="n"/>
      <c r="J5657" s="12" t="n"/>
      <c r="K5657" s="12" t="n"/>
      <c r="L5657" s="14" t="n"/>
      <c r="M5657" s="12" t="n"/>
      <c r="N5657" s="12" t="n"/>
      <c r="O5657" s="12" t="n"/>
    </row>
    <row r="5658">
      <c r="A5658" s="12" t="n"/>
      <c r="B5658" s="13">
        <f>IF($A5658="","",IFERROR(INDEX(Emp_Names,MATCH($A5658,Emp_Codes,0)),"NOT FOUND"))</f>
        <v/>
      </c>
      <c r="C5658" s="14" t="n"/>
      <c r="D5658" s="15" t="n"/>
      <c r="E5658" s="15" t="n"/>
      <c r="F5658" s="15" t="n"/>
      <c r="G5658" s="15" t="n"/>
      <c r="H5658" s="16">
        <f>IF($A5658="","",$D5658+IF($E5658="",0,$E5658)+IF($F5658="",0,$F5658)-IF($G5658="",0,$G5658))</f>
        <v/>
      </c>
      <c r="I5658" s="12" t="n"/>
      <c r="J5658" s="12" t="n"/>
      <c r="K5658" s="12" t="n"/>
      <c r="L5658" s="14" t="n"/>
      <c r="M5658" s="12" t="n"/>
      <c r="N5658" s="12" t="n"/>
      <c r="O5658" s="12" t="n"/>
    </row>
    <row r="5659">
      <c r="A5659" s="12" t="n"/>
      <c r="B5659" s="13">
        <f>IF($A5659="","",IFERROR(INDEX(Emp_Names,MATCH($A5659,Emp_Codes,0)),"NOT FOUND"))</f>
        <v/>
      </c>
      <c r="C5659" s="14" t="n"/>
      <c r="D5659" s="15" t="n"/>
      <c r="E5659" s="15" t="n"/>
      <c r="F5659" s="15" t="n"/>
      <c r="G5659" s="15" t="n"/>
      <c r="H5659" s="16">
        <f>IF($A5659="","",$D5659+IF($E5659="",0,$E5659)+IF($F5659="",0,$F5659)-IF($G5659="",0,$G5659))</f>
        <v/>
      </c>
      <c r="I5659" s="12" t="n"/>
      <c r="J5659" s="12" t="n"/>
      <c r="K5659" s="12" t="n"/>
      <c r="L5659" s="14" t="n"/>
      <c r="M5659" s="12" t="n"/>
      <c r="N5659" s="12" t="n"/>
      <c r="O5659" s="12" t="n"/>
    </row>
    <row r="5660">
      <c r="A5660" s="12" t="n"/>
      <c r="B5660" s="13">
        <f>IF($A5660="","",IFERROR(INDEX(Emp_Names,MATCH($A5660,Emp_Codes,0)),"NOT FOUND"))</f>
        <v/>
      </c>
      <c r="C5660" s="14" t="n"/>
      <c r="D5660" s="15" t="n"/>
      <c r="E5660" s="15" t="n"/>
      <c r="F5660" s="15" t="n"/>
      <c r="G5660" s="15" t="n"/>
      <c r="H5660" s="16">
        <f>IF($A5660="","",$D5660+IF($E5660="",0,$E5660)+IF($F5660="",0,$F5660)-IF($G5660="",0,$G5660))</f>
        <v/>
      </c>
      <c r="I5660" s="12" t="n"/>
      <c r="J5660" s="12" t="n"/>
      <c r="K5660" s="12" t="n"/>
      <c r="L5660" s="14" t="n"/>
      <c r="M5660" s="12" t="n"/>
      <c r="N5660" s="12" t="n"/>
      <c r="O5660" s="12" t="n"/>
    </row>
    <row r="5661">
      <c r="A5661" s="12" t="n"/>
      <c r="B5661" s="13">
        <f>IF($A5661="","",IFERROR(INDEX(Emp_Names,MATCH($A5661,Emp_Codes,0)),"NOT FOUND"))</f>
        <v/>
      </c>
      <c r="C5661" s="14" t="n"/>
      <c r="D5661" s="15" t="n"/>
      <c r="E5661" s="15" t="n"/>
      <c r="F5661" s="15" t="n"/>
      <c r="G5661" s="15" t="n"/>
      <c r="H5661" s="16">
        <f>IF($A5661="","",$D5661+IF($E5661="",0,$E5661)+IF($F5661="",0,$F5661)-IF($G5661="",0,$G5661))</f>
        <v/>
      </c>
      <c r="I5661" s="12" t="n"/>
      <c r="J5661" s="12" t="n"/>
      <c r="K5661" s="12" t="n"/>
      <c r="L5661" s="14" t="n"/>
      <c r="M5661" s="12" t="n"/>
      <c r="N5661" s="12" t="n"/>
      <c r="O5661" s="12" t="n"/>
    </row>
    <row r="5662">
      <c r="A5662" s="12" t="n"/>
      <c r="B5662" s="13">
        <f>IF($A5662="","",IFERROR(INDEX(Emp_Names,MATCH($A5662,Emp_Codes,0)),"NOT FOUND"))</f>
        <v/>
      </c>
      <c r="C5662" s="14" t="n"/>
      <c r="D5662" s="15" t="n"/>
      <c r="E5662" s="15" t="n"/>
      <c r="F5662" s="15" t="n"/>
      <c r="G5662" s="15" t="n"/>
      <c r="H5662" s="16">
        <f>IF($A5662="","",$D5662+IF($E5662="",0,$E5662)+IF($F5662="",0,$F5662)-IF($G5662="",0,$G5662))</f>
        <v/>
      </c>
      <c r="I5662" s="12" t="n"/>
      <c r="J5662" s="12" t="n"/>
      <c r="K5662" s="12" t="n"/>
      <c r="L5662" s="14" t="n"/>
      <c r="M5662" s="12" t="n"/>
      <c r="N5662" s="12" t="n"/>
      <c r="O5662" s="12" t="n"/>
    </row>
    <row r="5663">
      <c r="A5663" s="12" t="n"/>
      <c r="B5663" s="13">
        <f>IF($A5663="","",IFERROR(INDEX(Emp_Names,MATCH($A5663,Emp_Codes,0)),"NOT FOUND"))</f>
        <v/>
      </c>
      <c r="C5663" s="14" t="n"/>
      <c r="D5663" s="15" t="n"/>
      <c r="E5663" s="15" t="n"/>
      <c r="F5663" s="15" t="n"/>
      <c r="G5663" s="15" t="n"/>
      <c r="H5663" s="16">
        <f>IF($A5663="","",$D5663+IF($E5663="",0,$E5663)+IF($F5663="",0,$F5663)-IF($G5663="",0,$G5663))</f>
        <v/>
      </c>
      <c r="I5663" s="12" t="n"/>
      <c r="J5663" s="12" t="n"/>
      <c r="K5663" s="12" t="n"/>
      <c r="L5663" s="14" t="n"/>
      <c r="M5663" s="12" t="n"/>
      <c r="N5663" s="12" t="n"/>
      <c r="O5663" s="12" t="n"/>
    </row>
    <row r="5664">
      <c r="A5664" s="12" t="n"/>
      <c r="B5664" s="13">
        <f>IF($A5664="","",IFERROR(INDEX(Emp_Names,MATCH($A5664,Emp_Codes,0)),"NOT FOUND"))</f>
        <v/>
      </c>
      <c r="C5664" s="14" t="n"/>
      <c r="D5664" s="15" t="n"/>
      <c r="E5664" s="15" t="n"/>
      <c r="F5664" s="15" t="n"/>
      <c r="G5664" s="15" t="n"/>
      <c r="H5664" s="16">
        <f>IF($A5664="","",$D5664+IF($E5664="",0,$E5664)+IF($F5664="",0,$F5664)-IF($G5664="",0,$G5664))</f>
        <v/>
      </c>
      <c r="I5664" s="12" t="n"/>
      <c r="J5664" s="12" t="n"/>
      <c r="K5664" s="12" t="n"/>
      <c r="L5664" s="14" t="n"/>
      <c r="M5664" s="12" t="n"/>
      <c r="N5664" s="12" t="n"/>
      <c r="O5664" s="12" t="n"/>
    </row>
    <row r="5665">
      <c r="A5665" s="12" t="n"/>
      <c r="B5665" s="13">
        <f>IF($A5665="","",IFERROR(INDEX(Emp_Names,MATCH($A5665,Emp_Codes,0)),"NOT FOUND"))</f>
        <v/>
      </c>
      <c r="C5665" s="14" t="n"/>
      <c r="D5665" s="15" t="n"/>
      <c r="E5665" s="15" t="n"/>
      <c r="F5665" s="15" t="n"/>
      <c r="G5665" s="15" t="n"/>
      <c r="H5665" s="16">
        <f>IF($A5665="","",$D5665+IF($E5665="",0,$E5665)+IF($F5665="",0,$F5665)-IF($G5665="",0,$G5665))</f>
        <v/>
      </c>
      <c r="I5665" s="12" t="n"/>
      <c r="J5665" s="12" t="n"/>
      <c r="K5665" s="12" t="n"/>
      <c r="L5665" s="14" t="n"/>
      <c r="M5665" s="12" t="n"/>
      <c r="N5665" s="12" t="n"/>
      <c r="O5665" s="12" t="n"/>
    </row>
    <row r="5666">
      <c r="A5666" s="12" t="n"/>
      <c r="B5666" s="13">
        <f>IF($A5666="","",IFERROR(INDEX(Emp_Names,MATCH($A5666,Emp_Codes,0)),"NOT FOUND"))</f>
        <v/>
      </c>
      <c r="C5666" s="14" t="n"/>
      <c r="D5666" s="15" t="n"/>
      <c r="E5666" s="15" t="n"/>
      <c r="F5666" s="15" t="n"/>
      <c r="G5666" s="15" t="n"/>
      <c r="H5666" s="16">
        <f>IF($A5666="","",$D5666+IF($E5666="",0,$E5666)+IF($F5666="",0,$F5666)-IF($G5666="",0,$G5666))</f>
        <v/>
      </c>
      <c r="I5666" s="12" t="n"/>
      <c r="J5666" s="12" t="n"/>
      <c r="K5666" s="12" t="n"/>
      <c r="L5666" s="14" t="n"/>
      <c r="M5666" s="12" t="n"/>
      <c r="N5666" s="12" t="n"/>
      <c r="O5666" s="12" t="n"/>
    </row>
    <row r="5667">
      <c r="A5667" s="12" t="n"/>
      <c r="B5667" s="13">
        <f>IF($A5667="","",IFERROR(INDEX(Emp_Names,MATCH($A5667,Emp_Codes,0)),"NOT FOUND"))</f>
        <v/>
      </c>
      <c r="C5667" s="14" t="n"/>
      <c r="D5667" s="15" t="n"/>
      <c r="E5667" s="15" t="n"/>
      <c r="F5667" s="15" t="n"/>
      <c r="G5667" s="15" t="n"/>
      <c r="H5667" s="16">
        <f>IF($A5667="","",$D5667+IF($E5667="",0,$E5667)+IF($F5667="",0,$F5667)-IF($G5667="",0,$G5667))</f>
        <v/>
      </c>
      <c r="I5667" s="12" t="n"/>
      <c r="J5667" s="12" t="n"/>
      <c r="K5667" s="12" t="n"/>
      <c r="L5667" s="14" t="n"/>
      <c r="M5667" s="12" t="n"/>
      <c r="N5667" s="12" t="n"/>
      <c r="O5667" s="12" t="n"/>
    </row>
    <row r="5668">
      <c r="A5668" s="12" t="n"/>
      <c r="B5668" s="13">
        <f>IF($A5668="","",IFERROR(INDEX(Emp_Names,MATCH($A5668,Emp_Codes,0)),"NOT FOUND"))</f>
        <v/>
      </c>
      <c r="C5668" s="14" t="n"/>
      <c r="D5668" s="15" t="n"/>
      <c r="E5668" s="15" t="n"/>
      <c r="F5668" s="15" t="n"/>
      <c r="G5668" s="15" t="n"/>
      <c r="H5668" s="16">
        <f>IF($A5668="","",$D5668+IF($E5668="",0,$E5668)+IF($F5668="",0,$F5668)-IF($G5668="",0,$G5668))</f>
        <v/>
      </c>
      <c r="I5668" s="12" t="n"/>
      <c r="J5668" s="12" t="n"/>
      <c r="K5668" s="12" t="n"/>
      <c r="L5668" s="14" t="n"/>
      <c r="M5668" s="12" t="n"/>
      <c r="N5668" s="12" t="n"/>
      <c r="O5668" s="12" t="n"/>
    </row>
    <row r="5669">
      <c r="A5669" s="12" t="n"/>
      <c r="B5669" s="13">
        <f>IF($A5669="","",IFERROR(INDEX(Emp_Names,MATCH($A5669,Emp_Codes,0)),"NOT FOUND"))</f>
        <v/>
      </c>
      <c r="C5669" s="14" t="n"/>
      <c r="D5669" s="15" t="n"/>
      <c r="E5669" s="15" t="n"/>
      <c r="F5669" s="15" t="n"/>
      <c r="G5669" s="15" t="n"/>
      <c r="H5669" s="16">
        <f>IF($A5669="","",$D5669+IF($E5669="",0,$E5669)+IF($F5669="",0,$F5669)-IF($G5669="",0,$G5669))</f>
        <v/>
      </c>
      <c r="I5669" s="12" t="n"/>
      <c r="J5669" s="12" t="n"/>
      <c r="K5669" s="12" t="n"/>
      <c r="L5669" s="14" t="n"/>
      <c r="M5669" s="12" t="n"/>
      <c r="N5669" s="12" t="n"/>
      <c r="O5669" s="12" t="n"/>
    </row>
    <row r="5670">
      <c r="A5670" s="12" t="n"/>
      <c r="B5670" s="13">
        <f>IF($A5670="","",IFERROR(INDEX(Emp_Names,MATCH($A5670,Emp_Codes,0)),"NOT FOUND"))</f>
        <v/>
      </c>
      <c r="C5670" s="14" t="n"/>
      <c r="D5670" s="15" t="n"/>
      <c r="E5670" s="15" t="n"/>
      <c r="F5670" s="15" t="n"/>
      <c r="G5670" s="15" t="n"/>
      <c r="H5670" s="16">
        <f>IF($A5670="","",$D5670+IF($E5670="",0,$E5670)+IF($F5670="",0,$F5670)-IF($G5670="",0,$G5670))</f>
        <v/>
      </c>
      <c r="I5670" s="12" t="n"/>
      <c r="J5670" s="12" t="n"/>
      <c r="K5670" s="12" t="n"/>
      <c r="L5670" s="14" t="n"/>
      <c r="M5670" s="12" t="n"/>
      <c r="N5670" s="12" t="n"/>
      <c r="O5670" s="12" t="n"/>
    </row>
    <row r="5671">
      <c r="A5671" s="12" t="n"/>
      <c r="B5671" s="13">
        <f>IF($A5671="","",IFERROR(INDEX(Emp_Names,MATCH($A5671,Emp_Codes,0)),"NOT FOUND"))</f>
        <v/>
      </c>
      <c r="C5671" s="14" t="n"/>
      <c r="D5671" s="15" t="n"/>
      <c r="E5671" s="15" t="n"/>
      <c r="F5671" s="15" t="n"/>
      <c r="G5671" s="15" t="n"/>
      <c r="H5671" s="16">
        <f>IF($A5671="","",$D5671+IF($E5671="",0,$E5671)+IF($F5671="",0,$F5671)-IF($G5671="",0,$G5671))</f>
        <v/>
      </c>
      <c r="I5671" s="12" t="n"/>
      <c r="J5671" s="12" t="n"/>
      <c r="K5671" s="12" t="n"/>
      <c r="L5671" s="14" t="n"/>
      <c r="M5671" s="12" t="n"/>
      <c r="N5671" s="12" t="n"/>
      <c r="O5671" s="12" t="n"/>
    </row>
    <row r="5672">
      <c r="A5672" s="12" t="n"/>
      <c r="B5672" s="13">
        <f>IF($A5672="","",IFERROR(INDEX(Emp_Names,MATCH($A5672,Emp_Codes,0)),"NOT FOUND"))</f>
        <v/>
      </c>
      <c r="C5672" s="14" t="n"/>
      <c r="D5672" s="15" t="n"/>
      <c r="E5672" s="15" t="n"/>
      <c r="F5672" s="15" t="n"/>
      <c r="G5672" s="15" t="n"/>
      <c r="H5672" s="16">
        <f>IF($A5672="","",$D5672+IF($E5672="",0,$E5672)+IF($F5672="",0,$F5672)-IF($G5672="",0,$G5672))</f>
        <v/>
      </c>
      <c r="I5672" s="12" t="n"/>
      <c r="J5672" s="12" t="n"/>
      <c r="K5672" s="12" t="n"/>
      <c r="L5672" s="14" t="n"/>
      <c r="M5672" s="12" t="n"/>
      <c r="N5672" s="12" t="n"/>
      <c r="O5672" s="12" t="n"/>
    </row>
    <row r="5673">
      <c r="A5673" s="12" t="n"/>
      <c r="B5673" s="13">
        <f>IF($A5673="","",IFERROR(INDEX(Emp_Names,MATCH($A5673,Emp_Codes,0)),"NOT FOUND"))</f>
        <v/>
      </c>
      <c r="C5673" s="14" t="n"/>
      <c r="D5673" s="15" t="n"/>
      <c r="E5673" s="15" t="n"/>
      <c r="F5673" s="15" t="n"/>
      <c r="G5673" s="15" t="n"/>
      <c r="H5673" s="16">
        <f>IF($A5673="","",$D5673+IF($E5673="",0,$E5673)+IF($F5673="",0,$F5673)-IF($G5673="",0,$G5673))</f>
        <v/>
      </c>
      <c r="I5673" s="12" t="n"/>
      <c r="J5673" s="12" t="n"/>
      <c r="K5673" s="12" t="n"/>
      <c r="L5673" s="14" t="n"/>
      <c r="M5673" s="12" t="n"/>
      <c r="N5673" s="12" t="n"/>
      <c r="O5673" s="12" t="n"/>
    </row>
    <row r="5674">
      <c r="A5674" s="12" t="n"/>
      <c r="B5674" s="13">
        <f>IF($A5674="","",IFERROR(INDEX(Emp_Names,MATCH($A5674,Emp_Codes,0)),"NOT FOUND"))</f>
        <v/>
      </c>
      <c r="C5674" s="14" t="n"/>
      <c r="D5674" s="15" t="n"/>
      <c r="E5674" s="15" t="n"/>
      <c r="F5674" s="15" t="n"/>
      <c r="G5674" s="15" t="n"/>
      <c r="H5674" s="16">
        <f>IF($A5674="","",$D5674+IF($E5674="",0,$E5674)+IF($F5674="",0,$F5674)-IF($G5674="",0,$G5674))</f>
        <v/>
      </c>
      <c r="I5674" s="12" t="n"/>
      <c r="J5674" s="12" t="n"/>
      <c r="K5674" s="12" t="n"/>
      <c r="L5674" s="14" t="n"/>
      <c r="M5674" s="12" t="n"/>
      <c r="N5674" s="12" t="n"/>
      <c r="O5674" s="12" t="n"/>
    </row>
    <row r="5675">
      <c r="A5675" s="12" t="n"/>
      <c r="B5675" s="13">
        <f>IF($A5675="","",IFERROR(INDEX(Emp_Names,MATCH($A5675,Emp_Codes,0)),"NOT FOUND"))</f>
        <v/>
      </c>
      <c r="C5675" s="14" t="n"/>
      <c r="D5675" s="15" t="n"/>
      <c r="E5675" s="15" t="n"/>
      <c r="F5675" s="15" t="n"/>
      <c r="G5675" s="15" t="n"/>
      <c r="H5675" s="16">
        <f>IF($A5675="","",$D5675+IF($E5675="",0,$E5675)+IF($F5675="",0,$F5675)-IF($G5675="",0,$G5675))</f>
        <v/>
      </c>
      <c r="I5675" s="12" t="n"/>
      <c r="J5675" s="12" t="n"/>
      <c r="K5675" s="12" t="n"/>
      <c r="L5675" s="14" t="n"/>
      <c r="M5675" s="12" t="n"/>
      <c r="N5675" s="12" t="n"/>
      <c r="O5675" s="12" t="n"/>
    </row>
    <row r="5676">
      <c r="A5676" s="12" t="n"/>
      <c r="B5676" s="13">
        <f>IF($A5676="","",IFERROR(INDEX(Emp_Names,MATCH($A5676,Emp_Codes,0)),"NOT FOUND"))</f>
        <v/>
      </c>
      <c r="C5676" s="14" t="n"/>
      <c r="D5676" s="15" t="n"/>
      <c r="E5676" s="15" t="n"/>
      <c r="F5676" s="15" t="n"/>
      <c r="G5676" s="15" t="n"/>
      <c r="H5676" s="16">
        <f>IF($A5676="","",$D5676+IF($E5676="",0,$E5676)+IF($F5676="",0,$F5676)-IF($G5676="",0,$G5676))</f>
        <v/>
      </c>
      <c r="I5676" s="12" t="n"/>
      <c r="J5676" s="12" t="n"/>
      <c r="K5676" s="12" t="n"/>
      <c r="L5676" s="14" t="n"/>
      <c r="M5676" s="12" t="n"/>
      <c r="N5676" s="12" t="n"/>
      <c r="O5676" s="12" t="n"/>
    </row>
    <row r="5677">
      <c r="A5677" s="12" t="n"/>
      <c r="B5677" s="13">
        <f>IF($A5677="","",IFERROR(INDEX(Emp_Names,MATCH($A5677,Emp_Codes,0)),"NOT FOUND"))</f>
        <v/>
      </c>
      <c r="C5677" s="14" t="n"/>
      <c r="D5677" s="15" t="n"/>
      <c r="E5677" s="15" t="n"/>
      <c r="F5677" s="15" t="n"/>
      <c r="G5677" s="15" t="n"/>
      <c r="H5677" s="16">
        <f>IF($A5677="","",$D5677+IF($E5677="",0,$E5677)+IF($F5677="",0,$F5677)-IF($G5677="",0,$G5677))</f>
        <v/>
      </c>
      <c r="I5677" s="12" t="n"/>
      <c r="J5677" s="12" t="n"/>
      <c r="K5677" s="12" t="n"/>
      <c r="L5677" s="14" t="n"/>
      <c r="M5677" s="12" t="n"/>
      <c r="N5677" s="12" t="n"/>
      <c r="O5677" s="12" t="n"/>
    </row>
    <row r="5678">
      <c r="A5678" s="12" t="n"/>
      <c r="B5678" s="13">
        <f>IF($A5678="","",IFERROR(INDEX(Emp_Names,MATCH($A5678,Emp_Codes,0)),"NOT FOUND"))</f>
        <v/>
      </c>
      <c r="C5678" s="14" t="n"/>
      <c r="D5678" s="15" t="n"/>
      <c r="E5678" s="15" t="n"/>
      <c r="F5678" s="15" t="n"/>
      <c r="G5678" s="15" t="n"/>
      <c r="H5678" s="16">
        <f>IF($A5678="","",$D5678+IF($E5678="",0,$E5678)+IF($F5678="",0,$F5678)-IF($G5678="",0,$G5678))</f>
        <v/>
      </c>
      <c r="I5678" s="12" t="n"/>
      <c r="J5678" s="12" t="n"/>
      <c r="K5678" s="12" t="n"/>
      <c r="L5678" s="14" t="n"/>
      <c r="M5678" s="12" t="n"/>
      <c r="N5678" s="12" t="n"/>
      <c r="O5678" s="12" t="n"/>
    </row>
    <row r="5679">
      <c r="A5679" s="12" t="n"/>
      <c r="B5679" s="13">
        <f>IF($A5679="","",IFERROR(INDEX(Emp_Names,MATCH($A5679,Emp_Codes,0)),"NOT FOUND"))</f>
        <v/>
      </c>
      <c r="C5679" s="14" t="n"/>
      <c r="D5679" s="15" t="n"/>
      <c r="E5679" s="15" t="n"/>
      <c r="F5679" s="15" t="n"/>
      <c r="G5679" s="15" t="n"/>
      <c r="H5679" s="16">
        <f>IF($A5679="","",$D5679+IF($E5679="",0,$E5679)+IF($F5679="",0,$F5679)-IF($G5679="",0,$G5679))</f>
        <v/>
      </c>
      <c r="I5679" s="12" t="n"/>
      <c r="J5679" s="12" t="n"/>
      <c r="K5679" s="12" t="n"/>
      <c r="L5679" s="14" t="n"/>
      <c r="M5679" s="12" t="n"/>
      <c r="N5679" s="12" t="n"/>
      <c r="O5679" s="12" t="n"/>
    </row>
    <row r="5680">
      <c r="A5680" s="12" t="n"/>
      <c r="B5680" s="13">
        <f>IF($A5680="","",IFERROR(INDEX(Emp_Names,MATCH($A5680,Emp_Codes,0)),"NOT FOUND"))</f>
        <v/>
      </c>
      <c r="C5680" s="14" t="n"/>
      <c r="D5680" s="15" t="n"/>
      <c r="E5680" s="15" t="n"/>
      <c r="F5680" s="15" t="n"/>
      <c r="G5680" s="15" t="n"/>
      <c r="H5680" s="16">
        <f>IF($A5680="","",$D5680+IF($E5680="",0,$E5680)+IF($F5680="",0,$F5680)-IF($G5680="",0,$G5680))</f>
        <v/>
      </c>
      <c r="I5680" s="12" t="n"/>
      <c r="J5680" s="12" t="n"/>
      <c r="K5680" s="12" t="n"/>
      <c r="L5680" s="14" t="n"/>
      <c r="M5680" s="12" t="n"/>
      <c r="N5680" s="12" t="n"/>
      <c r="O5680" s="12" t="n"/>
    </row>
    <row r="5681">
      <c r="A5681" s="12" t="n"/>
      <c r="B5681" s="13">
        <f>IF($A5681="","",IFERROR(INDEX(Emp_Names,MATCH($A5681,Emp_Codes,0)),"NOT FOUND"))</f>
        <v/>
      </c>
      <c r="C5681" s="14" t="n"/>
      <c r="D5681" s="15" t="n"/>
      <c r="E5681" s="15" t="n"/>
      <c r="F5681" s="15" t="n"/>
      <c r="G5681" s="15" t="n"/>
      <c r="H5681" s="16">
        <f>IF($A5681="","",$D5681+IF($E5681="",0,$E5681)+IF($F5681="",0,$F5681)-IF($G5681="",0,$G5681))</f>
        <v/>
      </c>
      <c r="I5681" s="12" t="n"/>
      <c r="J5681" s="12" t="n"/>
      <c r="K5681" s="12" t="n"/>
      <c r="L5681" s="14" t="n"/>
      <c r="M5681" s="12" t="n"/>
      <c r="N5681" s="12" t="n"/>
      <c r="O5681" s="12" t="n"/>
    </row>
    <row r="5682">
      <c r="A5682" s="12" t="n"/>
      <c r="B5682" s="13">
        <f>IF($A5682="","",IFERROR(INDEX(Emp_Names,MATCH($A5682,Emp_Codes,0)),"NOT FOUND"))</f>
        <v/>
      </c>
      <c r="C5682" s="14" t="n"/>
      <c r="D5682" s="15" t="n"/>
      <c r="E5682" s="15" t="n"/>
      <c r="F5682" s="15" t="n"/>
      <c r="G5682" s="15" t="n"/>
      <c r="H5682" s="16">
        <f>IF($A5682="","",$D5682+IF($E5682="",0,$E5682)+IF($F5682="",0,$F5682)-IF($G5682="",0,$G5682))</f>
        <v/>
      </c>
      <c r="I5682" s="12" t="n"/>
      <c r="J5682" s="12" t="n"/>
      <c r="K5682" s="12" t="n"/>
      <c r="L5682" s="14" t="n"/>
      <c r="M5682" s="12" t="n"/>
      <c r="N5682" s="12" t="n"/>
      <c r="O5682" s="12" t="n"/>
    </row>
    <row r="5683">
      <c r="A5683" s="12" t="n"/>
      <c r="B5683" s="13">
        <f>IF($A5683="","",IFERROR(INDEX(Emp_Names,MATCH($A5683,Emp_Codes,0)),"NOT FOUND"))</f>
        <v/>
      </c>
      <c r="C5683" s="14" t="n"/>
      <c r="D5683" s="15" t="n"/>
      <c r="E5683" s="15" t="n"/>
      <c r="F5683" s="15" t="n"/>
      <c r="G5683" s="15" t="n"/>
      <c r="H5683" s="16">
        <f>IF($A5683="","",$D5683+IF($E5683="",0,$E5683)+IF($F5683="",0,$F5683)-IF($G5683="",0,$G5683))</f>
        <v/>
      </c>
      <c r="I5683" s="12" t="n"/>
      <c r="J5683" s="12" t="n"/>
      <c r="K5683" s="12" t="n"/>
      <c r="L5683" s="14" t="n"/>
      <c r="M5683" s="12" t="n"/>
      <c r="N5683" s="12" t="n"/>
      <c r="O5683" s="12" t="n"/>
    </row>
    <row r="5684">
      <c r="A5684" s="12" t="n"/>
      <c r="B5684" s="13">
        <f>IF($A5684="","",IFERROR(INDEX(Emp_Names,MATCH($A5684,Emp_Codes,0)),"NOT FOUND"))</f>
        <v/>
      </c>
      <c r="C5684" s="14" t="n"/>
      <c r="D5684" s="15" t="n"/>
      <c r="E5684" s="15" t="n"/>
      <c r="F5684" s="15" t="n"/>
      <c r="G5684" s="15" t="n"/>
      <c r="H5684" s="16">
        <f>IF($A5684="","",$D5684+IF($E5684="",0,$E5684)+IF($F5684="",0,$F5684)-IF($G5684="",0,$G5684))</f>
        <v/>
      </c>
      <c r="I5684" s="12" t="n"/>
      <c r="J5684" s="12" t="n"/>
      <c r="K5684" s="12" t="n"/>
      <c r="L5684" s="14" t="n"/>
      <c r="M5684" s="12" t="n"/>
      <c r="N5684" s="12" t="n"/>
      <c r="O5684" s="12" t="n"/>
    </row>
    <row r="5685">
      <c r="A5685" s="12" t="n"/>
      <c r="B5685" s="13">
        <f>IF($A5685="","",IFERROR(INDEX(Emp_Names,MATCH($A5685,Emp_Codes,0)),"NOT FOUND"))</f>
        <v/>
      </c>
      <c r="C5685" s="14" t="n"/>
      <c r="D5685" s="15" t="n"/>
      <c r="E5685" s="15" t="n"/>
      <c r="F5685" s="15" t="n"/>
      <c r="G5685" s="15" t="n"/>
      <c r="H5685" s="16">
        <f>IF($A5685="","",$D5685+IF($E5685="",0,$E5685)+IF($F5685="",0,$F5685)-IF($G5685="",0,$G5685))</f>
        <v/>
      </c>
      <c r="I5685" s="12" t="n"/>
      <c r="J5685" s="12" t="n"/>
      <c r="K5685" s="12" t="n"/>
      <c r="L5685" s="14" t="n"/>
      <c r="M5685" s="12" t="n"/>
      <c r="N5685" s="12" t="n"/>
      <c r="O5685" s="12" t="n"/>
    </row>
    <row r="5686">
      <c r="A5686" s="12" t="n"/>
      <c r="B5686" s="13">
        <f>IF($A5686="","",IFERROR(INDEX(Emp_Names,MATCH($A5686,Emp_Codes,0)),"NOT FOUND"))</f>
        <v/>
      </c>
      <c r="C5686" s="14" t="n"/>
      <c r="D5686" s="15" t="n"/>
      <c r="E5686" s="15" t="n"/>
      <c r="F5686" s="15" t="n"/>
      <c r="G5686" s="15" t="n"/>
      <c r="H5686" s="16">
        <f>IF($A5686="","",$D5686+IF($E5686="",0,$E5686)+IF($F5686="",0,$F5686)-IF($G5686="",0,$G5686))</f>
        <v/>
      </c>
      <c r="I5686" s="12" t="n"/>
      <c r="J5686" s="12" t="n"/>
      <c r="K5686" s="12" t="n"/>
      <c r="L5686" s="14" t="n"/>
      <c r="M5686" s="12" t="n"/>
      <c r="N5686" s="12" t="n"/>
      <c r="O5686" s="12" t="n"/>
    </row>
    <row r="5687">
      <c r="A5687" s="12" t="n"/>
      <c r="B5687" s="13">
        <f>IF($A5687="","",IFERROR(INDEX(Emp_Names,MATCH($A5687,Emp_Codes,0)),"NOT FOUND"))</f>
        <v/>
      </c>
      <c r="C5687" s="14" t="n"/>
      <c r="D5687" s="15" t="n"/>
      <c r="E5687" s="15" t="n"/>
      <c r="F5687" s="15" t="n"/>
      <c r="G5687" s="15" t="n"/>
      <c r="H5687" s="16">
        <f>IF($A5687="","",$D5687+IF($E5687="",0,$E5687)+IF($F5687="",0,$F5687)-IF($G5687="",0,$G5687))</f>
        <v/>
      </c>
      <c r="I5687" s="12" t="n"/>
      <c r="J5687" s="12" t="n"/>
      <c r="K5687" s="12" t="n"/>
      <c r="L5687" s="14" t="n"/>
      <c r="M5687" s="12" t="n"/>
      <c r="N5687" s="12" t="n"/>
      <c r="O5687" s="12" t="n"/>
    </row>
    <row r="5688">
      <c r="A5688" s="12" t="n"/>
      <c r="B5688" s="13">
        <f>IF($A5688="","",IFERROR(INDEX(Emp_Names,MATCH($A5688,Emp_Codes,0)),"NOT FOUND"))</f>
        <v/>
      </c>
      <c r="C5688" s="14" t="n"/>
      <c r="D5688" s="15" t="n"/>
      <c r="E5688" s="15" t="n"/>
      <c r="F5688" s="15" t="n"/>
      <c r="G5688" s="15" t="n"/>
      <c r="H5688" s="16">
        <f>IF($A5688="","",$D5688+IF($E5688="",0,$E5688)+IF($F5688="",0,$F5688)-IF($G5688="",0,$G5688))</f>
        <v/>
      </c>
      <c r="I5688" s="12" t="n"/>
      <c r="J5688" s="12" t="n"/>
      <c r="K5688" s="12" t="n"/>
      <c r="L5688" s="14" t="n"/>
      <c r="M5688" s="12" t="n"/>
      <c r="N5688" s="12" t="n"/>
      <c r="O5688" s="12" t="n"/>
    </row>
    <row r="5689">
      <c r="A5689" s="12" t="n"/>
      <c r="B5689" s="13">
        <f>IF($A5689="","",IFERROR(INDEX(Emp_Names,MATCH($A5689,Emp_Codes,0)),"NOT FOUND"))</f>
        <v/>
      </c>
      <c r="C5689" s="14" t="n"/>
      <c r="D5689" s="15" t="n"/>
      <c r="E5689" s="15" t="n"/>
      <c r="F5689" s="15" t="n"/>
      <c r="G5689" s="15" t="n"/>
      <c r="H5689" s="16">
        <f>IF($A5689="","",$D5689+IF($E5689="",0,$E5689)+IF($F5689="",0,$F5689)-IF($G5689="",0,$G5689))</f>
        <v/>
      </c>
      <c r="I5689" s="12" t="n"/>
      <c r="J5689" s="12" t="n"/>
      <c r="K5689" s="12" t="n"/>
      <c r="L5689" s="14" t="n"/>
      <c r="M5689" s="12" t="n"/>
      <c r="N5689" s="12" t="n"/>
      <c r="O5689" s="12" t="n"/>
    </row>
    <row r="5690">
      <c r="A5690" s="12" t="n"/>
      <c r="B5690" s="13">
        <f>IF($A5690="","",IFERROR(INDEX(Emp_Names,MATCH($A5690,Emp_Codes,0)),"NOT FOUND"))</f>
        <v/>
      </c>
      <c r="C5690" s="14" t="n"/>
      <c r="D5690" s="15" t="n"/>
      <c r="E5690" s="15" t="n"/>
      <c r="F5690" s="15" t="n"/>
      <c r="G5690" s="15" t="n"/>
      <c r="H5690" s="16">
        <f>IF($A5690="","",$D5690+IF($E5690="",0,$E5690)+IF($F5690="",0,$F5690)-IF($G5690="",0,$G5690))</f>
        <v/>
      </c>
      <c r="I5690" s="12" t="n"/>
      <c r="J5690" s="12" t="n"/>
      <c r="K5690" s="12" t="n"/>
      <c r="L5690" s="14" t="n"/>
      <c r="M5690" s="12" t="n"/>
      <c r="N5690" s="12" t="n"/>
      <c r="O5690" s="12" t="n"/>
    </row>
    <row r="5691">
      <c r="A5691" s="12" t="n"/>
      <c r="B5691" s="13">
        <f>IF($A5691="","",IFERROR(INDEX(Emp_Names,MATCH($A5691,Emp_Codes,0)),"NOT FOUND"))</f>
        <v/>
      </c>
      <c r="C5691" s="14" t="n"/>
      <c r="D5691" s="15" t="n"/>
      <c r="E5691" s="15" t="n"/>
      <c r="F5691" s="15" t="n"/>
      <c r="G5691" s="15" t="n"/>
      <c r="H5691" s="16">
        <f>IF($A5691="","",$D5691+IF($E5691="",0,$E5691)+IF($F5691="",0,$F5691)-IF($G5691="",0,$G5691))</f>
        <v/>
      </c>
      <c r="I5691" s="12" t="n"/>
      <c r="J5691" s="12" t="n"/>
      <c r="K5691" s="12" t="n"/>
      <c r="L5691" s="14" t="n"/>
      <c r="M5691" s="12" t="n"/>
      <c r="N5691" s="12" t="n"/>
      <c r="O5691" s="12" t="n"/>
    </row>
    <row r="5692">
      <c r="A5692" s="12" t="n"/>
      <c r="B5692" s="13">
        <f>IF($A5692="","",IFERROR(INDEX(Emp_Names,MATCH($A5692,Emp_Codes,0)),"NOT FOUND"))</f>
        <v/>
      </c>
      <c r="C5692" s="14" t="n"/>
      <c r="D5692" s="15" t="n"/>
      <c r="E5692" s="15" t="n"/>
      <c r="F5692" s="15" t="n"/>
      <c r="G5692" s="15" t="n"/>
      <c r="H5692" s="16">
        <f>IF($A5692="","",$D5692+IF($E5692="",0,$E5692)+IF($F5692="",0,$F5692)-IF($G5692="",0,$G5692))</f>
        <v/>
      </c>
      <c r="I5692" s="12" t="n"/>
      <c r="J5692" s="12" t="n"/>
      <c r="K5692" s="12" t="n"/>
      <c r="L5692" s="14" t="n"/>
      <c r="M5692" s="12" t="n"/>
      <c r="N5692" s="12" t="n"/>
      <c r="O5692" s="12" t="n"/>
    </row>
    <row r="5693">
      <c r="A5693" s="12" t="n"/>
      <c r="B5693" s="13">
        <f>IF($A5693="","",IFERROR(INDEX(Emp_Names,MATCH($A5693,Emp_Codes,0)),"NOT FOUND"))</f>
        <v/>
      </c>
      <c r="C5693" s="14" t="n"/>
      <c r="D5693" s="15" t="n"/>
      <c r="E5693" s="15" t="n"/>
      <c r="F5693" s="15" t="n"/>
      <c r="G5693" s="15" t="n"/>
      <c r="H5693" s="16">
        <f>IF($A5693="","",$D5693+IF($E5693="",0,$E5693)+IF($F5693="",0,$F5693)-IF($G5693="",0,$G5693))</f>
        <v/>
      </c>
      <c r="I5693" s="12" t="n"/>
      <c r="J5693" s="12" t="n"/>
      <c r="K5693" s="12" t="n"/>
      <c r="L5693" s="14" t="n"/>
      <c r="M5693" s="12" t="n"/>
      <c r="N5693" s="12" t="n"/>
      <c r="O5693" s="12" t="n"/>
    </row>
    <row r="5694">
      <c r="A5694" s="12" t="n"/>
      <c r="B5694" s="13">
        <f>IF($A5694="","",IFERROR(INDEX(Emp_Names,MATCH($A5694,Emp_Codes,0)),"NOT FOUND"))</f>
        <v/>
      </c>
      <c r="C5694" s="14" t="n"/>
      <c r="D5694" s="15" t="n"/>
      <c r="E5694" s="15" t="n"/>
      <c r="F5694" s="15" t="n"/>
      <c r="G5694" s="15" t="n"/>
      <c r="H5694" s="16">
        <f>IF($A5694="","",$D5694+IF($E5694="",0,$E5694)+IF($F5694="",0,$F5694)-IF($G5694="",0,$G5694))</f>
        <v/>
      </c>
      <c r="I5694" s="12" t="n"/>
      <c r="J5694" s="12" t="n"/>
      <c r="K5694" s="12" t="n"/>
      <c r="L5694" s="14" t="n"/>
      <c r="M5694" s="12" t="n"/>
      <c r="N5694" s="12" t="n"/>
      <c r="O5694" s="12" t="n"/>
    </row>
    <row r="5695">
      <c r="A5695" s="12" t="n"/>
      <c r="B5695" s="13">
        <f>IF($A5695="","",IFERROR(INDEX(Emp_Names,MATCH($A5695,Emp_Codes,0)),"NOT FOUND"))</f>
        <v/>
      </c>
      <c r="C5695" s="14" t="n"/>
      <c r="D5695" s="15" t="n"/>
      <c r="E5695" s="15" t="n"/>
      <c r="F5695" s="15" t="n"/>
      <c r="G5695" s="15" t="n"/>
      <c r="H5695" s="16">
        <f>IF($A5695="","",$D5695+IF($E5695="",0,$E5695)+IF($F5695="",0,$F5695)-IF($G5695="",0,$G5695))</f>
        <v/>
      </c>
      <c r="I5695" s="12" t="n"/>
      <c r="J5695" s="12" t="n"/>
      <c r="K5695" s="12" t="n"/>
      <c r="L5695" s="14" t="n"/>
      <c r="M5695" s="12" t="n"/>
      <c r="N5695" s="12" t="n"/>
      <c r="O5695" s="12" t="n"/>
    </row>
    <row r="5696">
      <c r="A5696" s="12" t="n"/>
      <c r="B5696" s="13">
        <f>IF($A5696="","",IFERROR(INDEX(Emp_Names,MATCH($A5696,Emp_Codes,0)),"NOT FOUND"))</f>
        <v/>
      </c>
      <c r="C5696" s="14" t="n"/>
      <c r="D5696" s="15" t="n"/>
      <c r="E5696" s="15" t="n"/>
      <c r="F5696" s="15" t="n"/>
      <c r="G5696" s="15" t="n"/>
      <c r="H5696" s="16">
        <f>IF($A5696="","",$D5696+IF($E5696="",0,$E5696)+IF($F5696="",0,$F5696)-IF($G5696="",0,$G5696))</f>
        <v/>
      </c>
      <c r="I5696" s="12" t="n"/>
      <c r="J5696" s="12" t="n"/>
      <c r="K5696" s="12" t="n"/>
      <c r="L5696" s="14" t="n"/>
      <c r="M5696" s="12" t="n"/>
      <c r="N5696" s="12" t="n"/>
      <c r="O5696" s="12" t="n"/>
    </row>
    <row r="5697">
      <c r="A5697" s="12" t="n"/>
      <c r="B5697" s="13">
        <f>IF($A5697="","",IFERROR(INDEX(Emp_Names,MATCH($A5697,Emp_Codes,0)),"NOT FOUND"))</f>
        <v/>
      </c>
      <c r="C5697" s="14" t="n"/>
      <c r="D5697" s="15" t="n"/>
      <c r="E5697" s="15" t="n"/>
      <c r="F5697" s="15" t="n"/>
      <c r="G5697" s="15" t="n"/>
      <c r="H5697" s="16">
        <f>IF($A5697="","",$D5697+IF($E5697="",0,$E5697)+IF($F5697="",0,$F5697)-IF($G5697="",0,$G5697))</f>
        <v/>
      </c>
      <c r="I5697" s="12" t="n"/>
      <c r="J5697" s="12" t="n"/>
      <c r="K5697" s="12" t="n"/>
      <c r="L5697" s="14" t="n"/>
      <c r="M5697" s="12" t="n"/>
      <c r="N5697" s="12" t="n"/>
      <c r="O5697" s="12" t="n"/>
    </row>
    <row r="5698">
      <c r="A5698" s="12" t="n"/>
      <c r="B5698" s="13">
        <f>IF($A5698="","",IFERROR(INDEX(Emp_Names,MATCH($A5698,Emp_Codes,0)),"NOT FOUND"))</f>
        <v/>
      </c>
      <c r="C5698" s="14" t="n"/>
      <c r="D5698" s="15" t="n"/>
      <c r="E5698" s="15" t="n"/>
      <c r="F5698" s="15" t="n"/>
      <c r="G5698" s="15" t="n"/>
      <c r="H5698" s="16">
        <f>IF($A5698="","",$D5698+IF($E5698="",0,$E5698)+IF($F5698="",0,$F5698)-IF($G5698="",0,$G5698))</f>
        <v/>
      </c>
      <c r="I5698" s="12" t="n"/>
      <c r="J5698" s="12" t="n"/>
      <c r="K5698" s="12" t="n"/>
      <c r="L5698" s="14" t="n"/>
      <c r="M5698" s="12" t="n"/>
      <c r="N5698" s="12" t="n"/>
      <c r="O5698" s="12" t="n"/>
    </row>
    <row r="5699">
      <c r="A5699" s="12" t="n"/>
      <c r="B5699" s="13">
        <f>IF($A5699="","",IFERROR(INDEX(Emp_Names,MATCH($A5699,Emp_Codes,0)),"NOT FOUND"))</f>
        <v/>
      </c>
      <c r="C5699" s="14" t="n"/>
      <c r="D5699" s="15" t="n"/>
      <c r="E5699" s="15" t="n"/>
      <c r="F5699" s="15" t="n"/>
      <c r="G5699" s="15" t="n"/>
      <c r="H5699" s="16">
        <f>IF($A5699="","",$D5699+IF($E5699="",0,$E5699)+IF($F5699="",0,$F5699)-IF($G5699="",0,$G5699))</f>
        <v/>
      </c>
      <c r="I5699" s="12" t="n"/>
      <c r="J5699" s="12" t="n"/>
      <c r="K5699" s="12" t="n"/>
      <c r="L5699" s="14" t="n"/>
      <c r="M5699" s="12" t="n"/>
      <c r="N5699" s="12" t="n"/>
      <c r="O5699" s="12" t="n"/>
    </row>
    <row r="5700">
      <c r="A5700" s="12" t="n"/>
      <c r="B5700" s="13">
        <f>IF($A5700="","",IFERROR(INDEX(Emp_Names,MATCH($A5700,Emp_Codes,0)),"NOT FOUND"))</f>
        <v/>
      </c>
      <c r="C5700" s="14" t="n"/>
      <c r="D5700" s="15" t="n"/>
      <c r="E5700" s="15" t="n"/>
      <c r="F5700" s="15" t="n"/>
      <c r="G5700" s="15" t="n"/>
      <c r="H5700" s="16">
        <f>IF($A5700="","",$D5700+IF($E5700="",0,$E5700)+IF($F5700="",0,$F5700)-IF($G5700="",0,$G5700))</f>
        <v/>
      </c>
      <c r="I5700" s="12" t="n"/>
      <c r="J5700" s="12" t="n"/>
      <c r="K5700" s="12" t="n"/>
      <c r="L5700" s="14" t="n"/>
      <c r="M5700" s="12" t="n"/>
      <c r="N5700" s="12" t="n"/>
      <c r="O5700" s="12" t="n"/>
    </row>
    <row r="5701">
      <c r="A5701" s="12" t="n"/>
      <c r="B5701" s="13">
        <f>IF($A5701="","",IFERROR(INDEX(Emp_Names,MATCH($A5701,Emp_Codes,0)),"NOT FOUND"))</f>
        <v/>
      </c>
      <c r="C5701" s="14" t="n"/>
      <c r="D5701" s="15" t="n"/>
      <c r="E5701" s="15" t="n"/>
      <c r="F5701" s="15" t="n"/>
      <c r="G5701" s="15" t="n"/>
      <c r="H5701" s="16">
        <f>IF($A5701="","",$D5701+IF($E5701="",0,$E5701)+IF($F5701="",0,$F5701)-IF($G5701="",0,$G5701))</f>
        <v/>
      </c>
      <c r="I5701" s="12" t="n"/>
      <c r="J5701" s="12" t="n"/>
      <c r="K5701" s="12" t="n"/>
      <c r="L5701" s="14" t="n"/>
      <c r="M5701" s="12" t="n"/>
      <c r="N5701" s="12" t="n"/>
      <c r="O5701" s="12" t="n"/>
    </row>
    <row r="5702">
      <c r="A5702" s="12" t="n"/>
      <c r="B5702" s="13">
        <f>IF($A5702="","",IFERROR(INDEX(Emp_Names,MATCH($A5702,Emp_Codes,0)),"NOT FOUND"))</f>
        <v/>
      </c>
      <c r="C5702" s="14" t="n"/>
      <c r="D5702" s="15" t="n"/>
      <c r="E5702" s="15" t="n"/>
      <c r="F5702" s="15" t="n"/>
      <c r="G5702" s="15" t="n"/>
      <c r="H5702" s="16">
        <f>IF($A5702="","",$D5702+IF($E5702="",0,$E5702)+IF($F5702="",0,$F5702)-IF($G5702="",0,$G5702))</f>
        <v/>
      </c>
      <c r="I5702" s="12" t="n"/>
      <c r="J5702" s="12" t="n"/>
      <c r="K5702" s="12" t="n"/>
      <c r="L5702" s="14" t="n"/>
      <c r="M5702" s="12" t="n"/>
      <c r="N5702" s="12" t="n"/>
      <c r="O5702" s="12" t="n"/>
    </row>
    <row r="5703">
      <c r="A5703" s="12" t="n"/>
      <c r="B5703" s="13">
        <f>IF($A5703="","",IFERROR(INDEX(Emp_Names,MATCH($A5703,Emp_Codes,0)),"NOT FOUND"))</f>
        <v/>
      </c>
      <c r="C5703" s="14" t="n"/>
      <c r="D5703" s="15" t="n"/>
      <c r="E5703" s="15" t="n"/>
      <c r="F5703" s="15" t="n"/>
      <c r="G5703" s="15" t="n"/>
      <c r="H5703" s="16">
        <f>IF($A5703="","",$D5703+IF($E5703="",0,$E5703)+IF($F5703="",0,$F5703)-IF($G5703="",0,$G5703))</f>
        <v/>
      </c>
      <c r="I5703" s="12" t="n"/>
      <c r="J5703" s="12" t="n"/>
      <c r="K5703" s="12" t="n"/>
      <c r="L5703" s="14" t="n"/>
      <c r="M5703" s="12" t="n"/>
      <c r="N5703" s="12" t="n"/>
      <c r="O5703" s="12" t="n"/>
    </row>
    <row r="5704">
      <c r="A5704" s="12" t="n"/>
      <c r="B5704" s="13">
        <f>IF($A5704="","",IFERROR(INDEX(Emp_Names,MATCH($A5704,Emp_Codes,0)),"NOT FOUND"))</f>
        <v/>
      </c>
      <c r="C5704" s="14" t="n"/>
      <c r="D5704" s="15" t="n"/>
      <c r="E5704" s="15" t="n"/>
      <c r="F5704" s="15" t="n"/>
      <c r="G5704" s="15" t="n"/>
      <c r="H5704" s="16">
        <f>IF($A5704="","",$D5704+IF($E5704="",0,$E5704)+IF($F5704="",0,$F5704)-IF($G5704="",0,$G5704))</f>
        <v/>
      </c>
      <c r="I5704" s="12" t="n"/>
      <c r="J5704" s="12" t="n"/>
      <c r="K5704" s="12" t="n"/>
      <c r="L5704" s="14" t="n"/>
      <c r="M5704" s="12" t="n"/>
      <c r="N5704" s="12" t="n"/>
      <c r="O5704" s="12" t="n"/>
    </row>
    <row r="5705">
      <c r="A5705" s="12" t="n"/>
      <c r="B5705" s="13">
        <f>IF($A5705="","",IFERROR(INDEX(Emp_Names,MATCH($A5705,Emp_Codes,0)),"NOT FOUND"))</f>
        <v/>
      </c>
      <c r="C5705" s="14" t="n"/>
      <c r="D5705" s="15" t="n"/>
      <c r="E5705" s="15" t="n"/>
      <c r="F5705" s="15" t="n"/>
      <c r="G5705" s="15" t="n"/>
      <c r="H5705" s="16">
        <f>IF($A5705="","",$D5705+IF($E5705="",0,$E5705)+IF($F5705="",0,$F5705)-IF($G5705="",0,$G5705))</f>
        <v/>
      </c>
      <c r="I5705" s="12" t="n"/>
      <c r="J5705" s="12" t="n"/>
      <c r="K5705" s="12" t="n"/>
      <c r="L5705" s="14" t="n"/>
      <c r="M5705" s="12" t="n"/>
      <c r="N5705" s="12" t="n"/>
      <c r="O5705" s="12" t="n"/>
    </row>
    <row r="5706">
      <c r="A5706" s="12" t="n"/>
      <c r="B5706" s="13">
        <f>IF($A5706="","",IFERROR(INDEX(Emp_Names,MATCH($A5706,Emp_Codes,0)),"NOT FOUND"))</f>
        <v/>
      </c>
      <c r="C5706" s="14" t="n"/>
      <c r="D5706" s="15" t="n"/>
      <c r="E5706" s="15" t="n"/>
      <c r="F5706" s="15" t="n"/>
      <c r="G5706" s="15" t="n"/>
      <c r="H5706" s="16">
        <f>IF($A5706="","",$D5706+IF($E5706="",0,$E5706)+IF($F5706="",0,$F5706)-IF($G5706="",0,$G5706))</f>
        <v/>
      </c>
      <c r="I5706" s="12" t="n"/>
      <c r="J5706" s="12" t="n"/>
      <c r="K5706" s="12" t="n"/>
      <c r="L5706" s="14" t="n"/>
      <c r="M5706" s="12" t="n"/>
      <c r="N5706" s="12" t="n"/>
      <c r="O5706" s="12" t="n"/>
    </row>
    <row r="5707">
      <c r="A5707" s="12" t="n"/>
      <c r="B5707" s="13">
        <f>IF($A5707="","",IFERROR(INDEX(Emp_Names,MATCH($A5707,Emp_Codes,0)),"NOT FOUND"))</f>
        <v/>
      </c>
      <c r="C5707" s="14" t="n"/>
      <c r="D5707" s="15" t="n"/>
      <c r="E5707" s="15" t="n"/>
      <c r="F5707" s="15" t="n"/>
      <c r="G5707" s="15" t="n"/>
      <c r="H5707" s="16">
        <f>IF($A5707="","",$D5707+IF($E5707="",0,$E5707)+IF($F5707="",0,$F5707)-IF($G5707="",0,$G5707))</f>
        <v/>
      </c>
      <c r="I5707" s="12" t="n"/>
      <c r="J5707" s="12" t="n"/>
      <c r="K5707" s="12" t="n"/>
      <c r="L5707" s="14" t="n"/>
      <c r="M5707" s="12" t="n"/>
      <c r="N5707" s="12" t="n"/>
      <c r="O5707" s="12" t="n"/>
    </row>
    <row r="5708">
      <c r="A5708" s="12" t="n"/>
      <c r="B5708" s="13">
        <f>IF($A5708="","",IFERROR(INDEX(Emp_Names,MATCH($A5708,Emp_Codes,0)),"NOT FOUND"))</f>
        <v/>
      </c>
      <c r="C5708" s="14" t="n"/>
      <c r="D5708" s="15" t="n"/>
      <c r="E5708" s="15" t="n"/>
      <c r="F5708" s="15" t="n"/>
      <c r="G5708" s="15" t="n"/>
      <c r="H5708" s="16">
        <f>IF($A5708="","",$D5708+IF($E5708="",0,$E5708)+IF($F5708="",0,$F5708)-IF($G5708="",0,$G5708))</f>
        <v/>
      </c>
      <c r="I5708" s="12" t="n"/>
      <c r="J5708" s="12" t="n"/>
      <c r="K5708" s="12" t="n"/>
      <c r="L5708" s="14" t="n"/>
      <c r="M5708" s="12" t="n"/>
      <c r="N5708" s="12" t="n"/>
      <c r="O5708" s="12" t="n"/>
    </row>
    <row r="5709">
      <c r="A5709" s="12" t="n"/>
      <c r="B5709" s="13">
        <f>IF($A5709="","",IFERROR(INDEX(Emp_Names,MATCH($A5709,Emp_Codes,0)),"NOT FOUND"))</f>
        <v/>
      </c>
      <c r="C5709" s="14" t="n"/>
      <c r="D5709" s="15" t="n"/>
      <c r="E5709" s="15" t="n"/>
      <c r="F5709" s="15" t="n"/>
      <c r="G5709" s="15" t="n"/>
      <c r="H5709" s="16">
        <f>IF($A5709="","",$D5709+IF($E5709="",0,$E5709)+IF($F5709="",0,$F5709)-IF($G5709="",0,$G5709))</f>
        <v/>
      </c>
      <c r="I5709" s="12" t="n"/>
      <c r="J5709" s="12" t="n"/>
      <c r="K5709" s="12" t="n"/>
      <c r="L5709" s="14" t="n"/>
      <c r="M5709" s="12" t="n"/>
      <c r="N5709" s="12" t="n"/>
      <c r="O5709" s="12" t="n"/>
    </row>
    <row r="5710">
      <c r="A5710" s="12" t="n"/>
      <c r="B5710" s="13">
        <f>IF($A5710="","",IFERROR(INDEX(Emp_Names,MATCH($A5710,Emp_Codes,0)),"NOT FOUND"))</f>
        <v/>
      </c>
      <c r="C5710" s="14" t="n"/>
      <c r="D5710" s="15" t="n"/>
      <c r="E5710" s="15" t="n"/>
      <c r="F5710" s="15" t="n"/>
      <c r="G5710" s="15" t="n"/>
      <c r="H5710" s="16">
        <f>IF($A5710="","",$D5710+IF($E5710="",0,$E5710)+IF($F5710="",0,$F5710)-IF($G5710="",0,$G5710))</f>
        <v/>
      </c>
      <c r="I5710" s="12" t="n"/>
      <c r="J5710" s="12" t="n"/>
      <c r="K5710" s="12" t="n"/>
      <c r="L5710" s="14" t="n"/>
      <c r="M5710" s="12" t="n"/>
      <c r="N5710" s="12" t="n"/>
      <c r="O5710" s="12" t="n"/>
    </row>
    <row r="5711">
      <c r="A5711" s="12" t="n"/>
      <c r="B5711" s="13">
        <f>IF($A5711="","",IFERROR(INDEX(Emp_Names,MATCH($A5711,Emp_Codes,0)),"NOT FOUND"))</f>
        <v/>
      </c>
      <c r="C5711" s="14" t="n"/>
      <c r="D5711" s="15" t="n"/>
      <c r="E5711" s="15" t="n"/>
      <c r="F5711" s="15" t="n"/>
      <c r="G5711" s="15" t="n"/>
      <c r="H5711" s="16">
        <f>IF($A5711="","",$D5711+IF($E5711="",0,$E5711)+IF($F5711="",0,$F5711)-IF($G5711="",0,$G5711))</f>
        <v/>
      </c>
      <c r="I5711" s="12" t="n"/>
      <c r="J5711" s="12" t="n"/>
      <c r="K5711" s="12" t="n"/>
      <c r="L5711" s="14" t="n"/>
      <c r="M5711" s="12" t="n"/>
      <c r="N5711" s="12" t="n"/>
      <c r="O5711" s="12" t="n"/>
    </row>
    <row r="5712">
      <c r="A5712" s="12" t="n"/>
      <c r="B5712" s="13">
        <f>IF($A5712="","",IFERROR(INDEX(Emp_Names,MATCH($A5712,Emp_Codes,0)),"NOT FOUND"))</f>
        <v/>
      </c>
      <c r="C5712" s="14" t="n"/>
      <c r="D5712" s="15" t="n"/>
      <c r="E5712" s="15" t="n"/>
      <c r="F5712" s="15" t="n"/>
      <c r="G5712" s="15" t="n"/>
      <c r="H5712" s="16">
        <f>IF($A5712="","",$D5712+IF($E5712="",0,$E5712)+IF($F5712="",0,$F5712)-IF($G5712="",0,$G5712))</f>
        <v/>
      </c>
      <c r="I5712" s="12" t="n"/>
      <c r="J5712" s="12" t="n"/>
      <c r="K5712" s="12" t="n"/>
      <c r="L5712" s="14" t="n"/>
      <c r="M5712" s="12" t="n"/>
      <c r="N5712" s="12" t="n"/>
      <c r="O5712" s="12" t="n"/>
    </row>
    <row r="5713">
      <c r="A5713" s="12" t="n"/>
      <c r="B5713" s="13">
        <f>IF($A5713="","",IFERROR(INDEX(Emp_Names,MATCH($A5713,Emp_Codes,0)),"NOT FOUND"))</f>
        <v/>
      </c>
      <c r="C5713" s="14" t="n"/>
      <c r="D5713" s="15" t="n"/>
      <c r="E5713" s="15" t="n"/>
      <c r="F5713" s="15" t="n"/>
      <c r="G5713" s="15" t="n"/>
      <c r="H5713" s="16">
        <f>IF($A5713="","",$D5713+IF($E5713="",0,$E5713)+IF($F5713="",0,$F5713)-IF($G5713="",0,$G5713))</f>
        <v/>
      </c>
      <c r="I5713" s="12" t="n"/>
      <c r="J5713" s="12" t="n"/>
      <c r="K5713" s="12" t="n"/>
      <c r="L5713" s="14" t="n"/>
      <c r="M5713" s="12" t="n"/>
      <c r="N5713" s="12" t="n"/>
      <c r="O5713" s="12" t="n"/>
    </row>
    <row r="5714">
      <c r="A5714" s="12" t="n"/>
      <c r="B5714" s="13">
        <f>IF($A5714="","",IFERROR(INDEX(Emp_Names,MATCH($A5714,Emp_Codes,0)),"NOT FOUND"))</f>
        <v/>
      </c>
      <c r="C5714" s="14" t="n"/>
      <c r="D5714" s="15" t="n"/>
      <c r="E5714" s="15" t="n"/>
      <c r="F5714" s="15" t="n"/>
      <c r="G5714" s="15" t="n"/>
      <c r="H5714" s="16">
        <f>IF($A5714="","",$D5714+IF($E5714="",0,$E5714)+IF($F5714="",0,$F5714)-IF($G5714="",0,$G5714))</f>
        <v/>
      </c>
      <c r="I5714" s="12" t="n"/>
      <c r="J5714" s="12" t="n"/>
      <c r="K5714" s="12" t="n"/>
      <c r="L5714" s="14" t="n"/>
      <c r="M5714" s="12" t="n"/>
      <c r="N5714" s="12" t="n"/>
      <c r="O5714" s="12" t="n"/>
    </row>
    <row r="5715">
      <c r="A5715" s="12" t="n"/>
      <c r="B5715" s="13">
        <f>IF($A5715="","",IFERROR(INDEX(Emp_Names,MATCH($A5715,Emp_Codes,0)),"NOT FOUND"))</f>
        <v/>
      </c>
      <c r="C5715" s="14" t="n"/>
      <c r="D5715" s="15" t="n"/>
      <c r="E5715" s="15" t="n"/>
      <c r="F5715" s="15" t="n"/>
      <c r="G5715" s="15" t="n"/>
      <c r="H5715" s="16">
        <f>IF($A5715="","",$D5715+IF($E5715="",0,$E5715)+IF($F5715="",0,$F5715)-IF($G5715="",0,$G5715))</f>
        <v/>
      </c>
      <c r="I5715" s="12" t="n"/>
      <c r="J5715" s="12" t="n"/>
      <c r="K5715" s="12" t="n"/>
      <c r="L5715" s="14" t="n"/>
      <c r="M5715" s="12" t="n"/>
      <c r="N5715" s="12" t="n"/>
      <c r="O5715" s="12" t="n"/>
    </row>
    <row r="5716">
      <c r="A5716" s="12" t="n"/>
      <c r="B5716" s="13">
        <f>IF($A5716="","",IFERROR(INDEX(Emp_Names,MATCH($A5716,Emp_Codes,0)),"NOT FOUND"))</f>
        <v/>
      </c>
      <c r="C5716" s="14" t="n"/>
      <c r="D5716" s="15" t="n"/>
      <c r="E5716" s="15" t="n"/>
      <c r="F5716" s="15" t="n"/>
      <c r="G5716" s="15" t="n"/>
      <c r="H5716" s="16">
        <f>IF($A5716="","",$D5716+IF($E5716="",0,$E5716)+IF($F5716="",0,$F5716)-IF($G5716="",0,$G5716))</f>
        <v/>
      </c>
      <c r="I5716" s="12" t="n"/>
      <c r="J5716" s="12" t="n"/>
      <c r="K5716" s="12" t="n"/>
      <c r="L5716" s="14" t="n"/>
      <c r="M5716" s="12" t="n"/>
      <c r="N5716" s="12" t="n"/>
      <c r="O5716" s="12" t="n"/>
    </row>
    <row r="5717">
      <c r="A5717" s="12" t="n"/>
      <c r="B5717" s="13">
        <f>IF($A5717="","",IFERROR(INDEX(Emp_Names,MATCH($A5717,Emp_Codes,0)),"NOT FOUND"))</f>
        <v/>
      </c>
      <c r="C5717" s="14" t="n"/>
      <c r="D5717" s="15" t="n"/>
      <c r="E5717" s="15" t="n"/>
      <c r="F5717" s="15" t="n"/>
      <c r="G5717" s="15" t="n"/>
      <c r="H5717" s="16">
        <f>IF($A5717="","",$D5717+IF($E5717="",0,$E5717)+IF($F5717="",0,$F5717)-IF($G5717="",0,$G5717))</f>
        <v/>
      </c>
      <c r="I5717" s="12" t="n"/>
      <c r="J5717" s="12" t="n"/>
      <c r="K5717" s="12" t="n"/>
      <c r="L5717" s="14" t="n"/>
      <c r="M5717" s="12" t="n"/>
      <c r="N5717" s="12" t="n"/>
      <c r="O5717" s="12" t="n"/>
    </row>
    <row r="5718">
      <c r="A5718" s="12" t="n"/>
      <c r="B5718" s="13">
        <f>IF($A5718="","",IFERROR(INDEX(Emp_Names,MATCH($A5718,Emp_Codes,0)),"NOT FOUND"))</f>
        <v/>
      </c>
      <c r="C5718" s="14" t="n"/>
      <c r="D5718" s="15" t="n"/>
      <c r="E5718" s="15" t="n"/>
      <c r="F5718" s="15" t="n"/>
      <c r="G5718" s="15" t="n"/>
      <c r="H5718" s="16">
        <f>IF($A5718="","",$D5718+IF($E5718="",0,$E5718)+IF($F5718="",0,$F5718)-IF($G5718="",0,$G5718))</f>
        <v/>
      </c>
      <c r="I5718" s="12" t="n"/>
      <c r="J5718" s="12" t="n"/>
      <c r="K5718" s="12" t="n"/>
      <c r="L5718" s="14" t="n"/>
      <c r="M5718" s="12" t="n"/>
      <c r="N5718" s="12" t="n"/>
      <c r="O5718" s="12" t="n"/>
    </row>
    <row r="5719">
      <c r="A5719" s="12" t="n"/>
      <c r="B5719" s="13">
        <f>IF($A5719="","",IFERROR(INDEX(Emp_Names,MATCH($A5719,Emp_Codes,0)),"NOT FOUND"))</f>
        <v/>
      </c>
      <c r="C5719" s="14" t="n"/>
      <c r="D5719" s="15" t="n"/>
      <c r="E5719" s="15" t="n"/>
      <c r="F5719" s="15" t="n"/>
      <c r="G5719" s="15" t="n"/>
      <c r="H5719" s="16">
        <f>IF($A5719="","",$D5719+IF($E5719="",0,$E5719)+IF($F5719="",0,$F5719)-IF($G5719="",0,$G5719))</f>
        <v/>
      </c>
      <c r="I5719" s="12" t="n"/>
      <c r="J5719" s="12" t="n"/>
      <c r="K5719" s="12" t="n"/>
      <c r="L5719" s="14" t="n"/>
      <c r="M5719" s="12" t="n"/>
      <c r="N5719" s="12" t="n"/>
      <c r="O5719" s="12" t="n"/>
    </row>
    <row r="5720">
      <c r="A5720" s="12" t="n"/>
      <c r="B5720" s="13">
        <f>IF($A5720="","",IFERROR(INDEX(Emp_Names,MATCH($A5720,Emp_Codes,0)),"NOT FOUND"))</f>
        <v/>
      </c>
      <c r="C5720" s="14" t="n"/>
      <c r="D5720" s="15" t="n"/>
      <c r="E5720" s="15" t="n"/>
      <c r="F5720" s="15" t="n"/>
      <c r="G5720" s="15" t="n"/>
      <c r="H5720" s="16">
        <f>IF($A5720="","",$D5720+IF($E5720="",0,$E5720)+IF($F5720="",0,$F5720)-IF($G5720="",0,$G5720))</f>
        <v/>
      </c>
      <c r="I5720" s="12" t="n"/>
      <c r="J5720" s="12" t="n"/>
      <c r="K5720" s="12" t="n"/>
      <c r="L5720" s="14" t="n"/>
      <c r="M5720" s="12" t="n"/>
      <c r="N5720" s="12" t="n"/>
      <c r="O5720" s="12" t="n"/>
    </row>
    <row r="5721">
      <c r="A5721" s="12" t="n"/>
      <c r="B5721" s="13">
        <f>IF($A5721="","",IFERROR(INDEX(Emp_Names,MATCH($A5721,Emp_Codes,0)),"NOT FOUND"))</f>
        <v/>
      </c>
      <c r="C5721" s="14" t="n"/>
      <c r="D5721" s="15" t="n"/>
      <c r="E5721" s="15" t="n"/>
      <c r="F5721" s="15" t="n"/>
      <c r="G5721" s="15" t="n"/>
      <c r="H5721" s="16">
        <f>IF($A5721="","",$D5721+IF($E5721="",0,$E5721)+IF($F5721="",0,$F5721)-IF($G5721="",0,$G5721))</f>
        <v/>
      </c>
      <c r="I5721" s="12" t="n"/>
      <c r="J5721" s="12" t="n"/>
      <c r="K5721" s="12" t="n"/>
      <c r="L5721" s="14" t="n"/>
      <c r="M5721" s="12" t="n"/>
      <c r="N5721" s="12" t="n"/>
      <c r="O5721" s="12" t="n"/>
    </row>
    <row r="5722">
      <c r="A5722" s="12" t="n"/>
      <c r="B5722" s="13">
        <f>IF($A5722="","",IFERROR(INDEX(Emp_Names,MATCH($A5722,Emp_Codes,0)),"NOT FOUND"))</f>
        <v/>
      </c>
      <c r="C5722" s="14" t="n"/>
      <c r="D5722" s="15" t="n"/>
      <c r="E5722" s="15" t="n"/>
      <c r="F5722" s="15" t="n"/>
      <c r="G5722" s="15" t="n"/>
      <c r="H5722" s="16">
        <f>IF($A5722="","",$D5722+IF($E5722="",0,$E5722)+IF($F5722="",0,$F5722)-IF($G5722="",0,$G5722))</f>
        <v/>
      </c>
      <c r="I5722" s="12" t="n"/>
      <c r="J5722" s="12" t="n"/>
      <c r="K5722" s="12" t="n"/>
      <c r="L5722" s="14" t="n"/>
      <c r="M5722" s="12" t="n"/>
      <c r="N5722" s="12" t="n"/>
      <c r="O5722" s="12" t="n"/>
    </row>
    <row r="5723">
      <c r="A5723" s="12" t="n"/>
      <c r="B5723" s="13">
        <f>IF($A5723="","",IFERROR(INDEX(Emp_Names,MATCH($A5723,Emp_Codes,0)),"NOT FOUND"))</f>
        <v/>
      </c>
      <c r="C5723" s="14" t="n"/>
      <c r="D5723" s="15" t="n"/>
      <c r="E5723" s="15" t="n"/>
      <c r="F5723" s="15" t="n"/>
      <c r="G5723" s="15" t="n"/>
      <c r="H5723" s="16">
        <f>IF($A5723="","",$D5723+IF($E5723="",0,$E5723)+IF($F5723="",0,$F5723)-IF($G5723="",0,$G5723))</f>
        <v/>
      </c>
      <c r="I5723" s="12" t="n"/>
      <c r="J5723" s="12" t="n"/>
      <c r="K5723" s="12" t="n"/>
      <c r="L5723" s="14" t="n"/>
      <c r="M5723" s="12" t="n"/>
      <c r="N5723" s="12" t="n"/>
      <c r="O5723" s="12" t="n"/>
    </row>
    <row r="5724">
      <c r="A5724" s="12" t="n"/>
      <c r="B5724" s="13">
        <f>IF($A5724="","",IFERROR(INDEX(Emp_Names,MATCH($A5724,Emp_Codes,0)),"NOT FOUND"))</f>
        <v/>
      </c>
      <c r="C5724" s="14" t="n"/>
      <c r="D5724" s="15" t="n"/>
      <c r="E5724" s="15" t="n"/>
      <c r="F5724" s="15" t="n"/>
      <c r="G5724" s="15" t="n"/>
      <c r="H5724" s="16">
        <f>IF($A5724="","",$D5724+IF($E5724="",0,$E5724)+IF($F5724="",0,$F5724)-IF($G5724="",0,$G5724))</f>
        <v/>
      </c>
      <c r="I5724" s="12" t="n"/>
      <c r="J5724" s="12" t="n"/>
      <c r="K5724" s="12" t="n"/>
      <c r="L5724" s="14" t="n"/>
      <c r="M5724" s="12" t="n"/>
      <c r="N5724" s="12" t="n"/>
      <c r="O5724" s="12" t="n"/>
    </row>
    <row r="5725">
      <c r="A5725" s="12" t="n"/>
      <c r="B5725" s="13">
        <f>IF($A5725="","",IFERROR(INDEX(Emp_Names,MATCH($A5725,Emp_Codes,0)),"NOT FOUND"))</f>
        <v/>
      </c>
      <c r="C5725" s="14" t="n"/>
      <c r="D5725" s="15" t="n"/>
      <c r="E5725" s="15" t="n"/>
      <c r="F5725" s="15" t="n"/>
      <c r="G5725" s="15" t="n"/>
      <c r="H5725" s="16">
        <f>IF($A5725="","",$D5725+IF($E5725="",0,$E5725)+IF($F5725="",0,$F5725)-IF($G5725="",0,$G5725))</f>
        <v/>
      </c>
      <c r="I5725" s="12" t="n"/>
      <c r="J5725" s="12" t="n"/>
      <c r="K5725" s="12" t="n"/>
      <c r="L5725" s="14" t="n"/>
      <c r="M5725" s="12" t="n"/>
      <c r="N5725" s="12" t="n"/>
      <c r="O5725" s="12" t="n"/>
    </row>
    <row r="5726">
      <c r="A5726" s="12" t="n"/>
      <c r="B5726" s="13">
        <f>IF($A5726="","",IFERROR(INDEX(Emp_Names,MATCH($A5726,Emp_Codes,0)),"NOT FOUND"))</f>
        <v/>
      </c>
      <c r="C5726" s="14" t="n"/>
      <c r="D5726" s="15" t="n"/>
      <c r="E5726" s="15" t="n"/>
      <c r="F5726" s="15" t="n"/>
      <c r="G5726" s="15" t="n"/>
      <c r="H5726" s="16">
        <f>IF($A5726="","",$D5726+IF($E5726="",0,$E5726)+IF($F5726="",0,$F5726)-IF($G5726="",0,$G5726))</f>
        <v/>
      </c>
      <c r="I5726" s="12" t="n"/>
      <c r="J5726" s="12" t="n"/>
      <c r="K5726" s="12" t="n"/>
      <c r="L5726" s="14" t="n"/>
      <c r="M5726" s="12" t="n"/>
      <c r="N5726" s="12" t="n"/>
      <c r="O5726" s="12" t="n"/>
    </row>
    <row r="5727">
      <c r="A5727" s="12" t="n"/>
      <c r="B5727" s="13">
        <f>IF($A5727="","",IFERROR(INDEX(Emp_Names,MATCH($A5727,Emp_Codes,0)),"NOT FOUND"))</f>
        <v/>
      </c>
      <c r="C5727" s="14" t="n"/>
      <c r="D5727" s="15" t="n"/>
      <c r="E5727" s="15" t="n"/>
      <c r="F5727" s="15" t="n"/>
      <c r="G5727" s="15" t="n"/>
      <c r="H5727" s="16">
        <f>IF($A5727="","",$D5727+IF($E5727="",0,$E5727)+IF($F5727="",0,$F5727)-IF($G5727="",0,$G5727))</f>
        <v/>
      </c>
      <c r="I5727" s="12" t="n"/>
      <c r="J5727" s="12" t="n"/>
      <c r="K5727" s="12" t="n"/>
      <c r="L5727" s="14" t="n"/>
      <c r="M5727" s="12" t="n"/>
      <c r="N5727" s="12" t="n"/>
      <c r="O5727" s="12" t="n"/>
    </row>
    <row r="5728">
      <c r="A5728" s="12" t="n"/>
      <c r="B5728" s="13">
        <f>IF($A5728="","",IFERROR(INDEX(Emp_Names,MATCH($A5728,Emp_Codes,0)),"NOT FOUND"))</f>
        <v/>
      </c>
      <c r="C5728" s="14" t="n"/>
      <c r="D5728" s="15" t="n"/>
      <c r="E5728" s="15" t="n"/>
      <c r="F5728" s="15" t="n"/>
      <c r="G5728" s="15" t="n"/>
      <c r="H5728" s="16">
        <f>IF($A5728="","",$D5728+IF($E5728="",0,$E5728)+IF($F5728="",0,$F5728)-IF($G5728="",0,$G5728))</f>
        <v/>
      </c>
      <c r="I5728" s="12" t="n"/>
      <c r="J5728" s="12" t="n"/>
      <c r="K5728" s="12" t="n"/>
      <c r="L5728" s="14" t="n"/>
      <c r="M5728" s="12" t="n"/>
      <c r="N5728" s="12" t="n"/>
      <c r="O5728" s="12" t="n"/>
    </row>
    <row r="5729">
      <c r="A5729" s="12" t="n"/>
      <c r="B5729" s="13">
        <f>IF($A5729="","",IFERROR(INDEX(Emp_Names,MATCH($A5729,Emp_Codes,0)),"NOT FOUND"))</f>
        <v/>
      </c>
      <c r="C5729" s="14" t="n"/>
      <c r="D5729" s="15" t="n"/>
      <c r="E5729" s="15" t="n"/>
      <c r="F5729" s="15" t="n"/>
      <c r="G5729" s="15" t="n"/>
      <c r="H5729" s="16">
        <f>IF($A5729="","",$D5729+IF($E5729="",0,$E5729)+IF($F5729="",0,$F5729)-IF($G5729="",0,$G5729))</f>
        <v/>
      </c>
      <c r="I5729" s="12" t="n"/>
      <c r="J5729" s="12" t="n"/>
      <c r="K5729" s="12" t="n"/>
      <c r="L5729" s="14" t="n"/>
      <c r="M5729" s="12" t="n"/>
      <c r="N5729" s="12" t="n"/>
      <c r="O5729" s="12" t="n"/>
    </row>
    <row r="5730">
      <c r="A5730" s="12" t="n"/>
      <c r="B5730" s="13">
        <f>IF($A5730="","",IFERROR(INDEX(Emp_Names,MATCH($A5730,Emp_Codes,0)),"NOT FOUND"))</f>
        <v/>
      </c>
      <c r="C5730" s="14" t="n"/>
      <c r="D5730" s="15" t="n"/>
      <c r="E5730" s="15" t="n"/>
      <c r="F5730" s="15" t="n"/>
      <c r="G5730" s="15" t="n"/>
      <c r="H5730" s="16">
        <f>IF($A5730="","",$D5730+IF($E5730="",0,$E5730)+IF($F5730="",0,$F5730)-IF($G5730="",0,$G5730))</f>
        <v/>
      </c>
      <c r="I5730" s="12" t="n"/>
      <c r="J5730" s="12" t="n"/>
      <c r="K5730" s="12" t="n"/>
      <c r="L5730" s="14" t="n"/>
      <c r="M5730" s="12" t="n"/>
      <c r="N5730" s="12" t="n"/>
      <c r="O5730" s="12" t="n"/>
    </row>
    <row r="5731">
      <c r="A5731" s="12" t="n"/>
      <c r="B5731" s="13">
        <f>IF($A5731="","",IFERROR(INDEX(Emp_Names,MATCH($A5731,Emp_Codes,0)),"NOT FOUND"))</f>
        <v/>
      </c>
      <c r="C5731" s="14" t="n"/>
      <c r="D5731" s="15" t="n"/>
      <c r="E5731" s="15" t="n"/>
      <c r="F5731" s="15" t="n"/>
      <c r="G5731" s="15" t="n"/>
      <c r="H5731" s="16">
        <f>IF($A5731="","",$D5731+IF($E5731="",0,$E5731)+IF($F5731="",0,$F5731)-IF($G5731="",0,$G5731))</f>
        <v/>
      </c>
      <c r="I5731" s="12" t="n"/>
      <c r="J5731" s="12" t="n"/>
      <c r="K5731" s="12" t="n"/>
      <c r="L5731" s="14" t="n"/>
      <c r="M5731" s="12" t="n"/>
      <c r="N5731" s="12" t="n"/>
      <c r="O5731" s="12" t="n"/>
    </row>
    <row r="5732">
      <c r="A5732" s="12" t="n"/>
      <c r="B5732" s="13">
        <f>IF($A5732="","",IFERROR(INDEX(Emp_Names,MATCH($A5732,Emp_Codes,0)),"NOT FOUND"))</f>
        <v/>
      </c>
      <c r="C5732" s="14" t="n"/>
      <c r="D5732" s="15" t="n"/>
      <c r="E5732" s="15" t="n"/>
      <c r="F5732" s="15" t="n"/>
      <c r="G5732" s="15" t="n"/>
      <c r="H5732" s="16">
        <f>IF($A5732="","",$D5732+IF($E5732="",0,$E5732)+IF($F5732="",0,$F5732)-IF($G5732="",0,$G5732))</f>
        <v/>
      </c>
      <c r="I5732" s="12" t="n"/>
      <c r="J5732" s="12" t="n"/>
      <c r="K5732" s="12" t="n"/>
      <c r="L5732" s="14" t="n"/>
      <c r="M5732" s="12" t="n"/>
      <c r="N5732" s="12" t="n"/>
      <c r="O5732" s="12" t="n"/>
    </row>
    <row r="5733">
      <c r="A5733" s="12" t="n"/>
      <c r="B5733" s="13">
        <f>IF($A5733="","",IFERROR(INDEX(Emp_Names,MATCH($A5733,Emp_Codes,0)),"NOT FOUND"))</f>
        <v/>
      </c>
      <c r="C5733" s="14" t="n"/>
      <c r="D5733" s="15" t="n"/>
      <c r="E5733" s="15" t="n"/>
      <c r="F5733" s="15" t="n"/>
      <c r="G5733" s="15" t="n"/>
      <c r="H5733" s="16">
        <f>IF($A5733="","",$D5733+IF($E5733="",0,$E5733)+IF($F5733="",0,$F5733)-IF($G5733="",0,$G5733))</f>
        <v/>
      </c>
      <c r="I5733" s="12" t="n"/>
      <c r="J5733" s="12" t="n"/>
      <c r="K5733" s="12" t="n"/>
      <c r="L5733" s="14" t="n"/>
      <c r="M5733" s="12" t="n"/>
      <c r="N5733" s="12" t="n"/>
      <c r="O5733" s="12" t="n"/>
    </row>
    <row r="5734">
      <c r="A5734" s="12" t="n"/>
      <c r="B5734" s="13">
        <f>IF($A5734="","",IFERROR(INDEX(Emp_Names,MATCH($A5734,Emp_Codes,0)),"NOT FOUND"))</f>
        <v/>
      </c>
      <c r="C5734" s="14" t="n"/>
      <c r="D5734" s="15" t="n"/>
      <c r="E5734" s="15" t="n"/>
      <c r="F5734" s="15" t="n"/>
      <c r="G5734" s="15" t="n"/>
      <c r="H5734" s="16">
        <f>IF($A5734="","",$D5734+IF($E5734="",0,$E5734)+IF($F5734="",0,$F5734)-IF($G5734="",0,$G5734))</f>
        <v/>
      </c>
      <c r="I5734" s="12" t="n"/>
      <c r="J5734" s="12" t="n"/>
      <c r="K5734" s="12" t="n"/>
      <c r="L5734" s="14" t="n"/>
      <c r="M5734" s="12" t="n"/>
      <c r="N5734" s="12" t="n"/>
      <c r="O5734" s="12" t="n"/>
    </row>
    <row r="5735">
      <c r="A5735" s="12" t="n"/>
      <c r="B5735" s="13">
        <f>IF($A5735="","",IFERROR(INDEX(Emp_Names,MATCH($A5735,Emp_Codes,0)),"NOT FOUND"))</f>
        <v/>
      </c>
      <c r="C5735" s="14" t="n"/>
      <c r="D5735" s="15" t="n"/>
      <c r="E5735" s="15" t="n"/>
      <c r="F5735" s="15" t="n"/>
      <c r="G5735" s="15" t="n"/>
      <c r="H5735" s="16">
        <f>IF($A5735="","",$D5735+IF($E5735="",0,$E5735)+IF($F5735="",0,$F5735)-IF($G5735="",0,$G5735))</f>
        <v/>
      </c>
      <c r="I5735" s="12" t="n"/>
      <c r="J5735" s="12" t="n"/>
      <c r="K5735" s="12" t="n"/>
      <c r="L5735" s="14" t="n"/>
      <c r="M5735" s="12" t="n"/>
      <c r="N5735" s="12" t="n"/>
      <c r="O5735" s="12" t="n"/>
    </row>
    <row r="5736">
      <c r="A5736" s="12" t="n"/>
      <c r="B5736" s="13">
        <f>IF($A5736="","",IFERROR(INDEX(Emp_Names,MATCH($A5736,Emp_Codes,0)),"NOT FOUND"))</f>
        <v/>
      </c>
      <c r="C5736" s="14" t="n"/>
      <c r="D5736" s="15" t="n"/>
      <c r="E5736" s="15" t="n"/>
      <c r="F5736" s="15" t="n"/>
      <c r="G5736" s="15" t="n"/>
      <c r="H5736" s="16">
        <f>IF($A5736="","",$D5736+IF($E5736="",0,$E5736)+IF($F5736="",0,$F5736)-IF($G5736="",0,$G5736))</f>
        <v/>
      </c>
      <c r="I5736" s="12" t="n"/>
      <c r="J5736" s="12" t="n"/>
      <c r="K5736" s="12" t="n"/>
      <c r="L5736" s="14" t="n"/>
      <c r="M5736" s="12" t="n"/>
      <c r="N5736" s="12" t="n"/>
      <c r="O5736" s="12" t="n"/>
    </row>
    <row r="5737">
      <c r="A5737" s="12" t="n"/>
      <c r="B5737" s="13">
        <f>IF($A5737="","",IFERROR(INDEX(Emp_Names,MATCH($A5737,Emp_Codes,0)),"NOT FOUND"))</f>
        <v/>
      </c>
      <c r="C5737" s="14" t="n"/>
      <c r="D5737" s="15" t="n"/>
      <c r="E5737" s="15" t="n"/>
      <c r="F5737" s="15" t="n"/>
      <c r="G5737" s="15" t="n"/>
      <c r="H5737" s="16">
        <f>IF($A5737="","",$D5737+IF($E5737="",0,$E5737)+IF($F5737="",0,$F5737)-IF($G5737="",0,$G5737))</f>
        <v/>
      </c>
      <c r="I5737" s="12" t="n"/>
      <c r="J5737" s="12" t="n"/>
      <c r="K5737" s="12" t="n"/>
      <c r="L5737" s="14" t="n"/>
      <c r="M5737" s="12" t="n"/>
      <c r="N5737" s="12" t="n"/>
      <c r="O5737" s="12" t="n"/>
    </row>
    <row r="5738">
      <c r="A5738" s="12" t="n"/>
      <c r="B5738" s="13">
        <f>IF($A5738="","",IFERROR(INDEX(Emp_Names,MATCH($A5738,Emp_Codes,0)),"NOT FOUND"))</f>
        <v/>
      </c>
      <c r="C5738" s="14" t="n"/>
      <c r="D5738" s="15" t="n"/>
      <c r="E5738" s="15" t="n"/>
      <c r="F5738" s="15" t="n"/>
      <c r="G5738" s="15" t="n"/>
      <c r="H5738" s="16">
        <f>IF($A5738="","",$D5738+IF($E5738="",0,$E5738)+IF($F5738="",0,$F5738)-IF($G5738="",0,$G5738))</f>
        <v/>
      </c>
      <c r="I5738" s="12" t="n"/>
      <c r="J5738" s="12" t="n"/>
      <c r="K5738" s="12" t="n"/>
      <c r="L5738" s="14" t="n"/>
      <c r="M5738" s="12" t="n"/>
      <c r="N5738" s="12" t="n"/>
      <c r="O5738" s="12" t="n"/>
    </row>
    <row r="5739">
      <c r="A5739" s="12" t="n"/>
      <c r="B5739" s="13">
        <f>IF($A5739="","",IFERROR(INDEX(Emp_Names,MATCH($A5739,Emp_Codes,0)),"NOT FOUND"))</f>
        <v/>
      </c>
      <c r="C5739" s="14" t="n"/>
      <c r="D5739" s="15" t="n"/>
      <c r="E5739" s="15" t="n"/>
      <c r="F5739" s="15" t="n"/>
      <c r="G5739" s="15" t="n"/>
      <c r="H5739" s="16">
        <f>IF($A5739="","",$D5739+IF($E5739="",0,$E5739)+IF($F5739="",0,$F5739)-IF($G5739="",0,$G5739))</f>
        <v/>
      </c>
      <c r="I5739" s="12" t="n"/>
      <c r="J5739" s="12" t="n"/>
      <c r="K5739" s="12" t="n"/>
      <c r="L5739" s="14" t="n"/>
      <c r="M5739" s="12" t="n"/>
      <c r="N5739" s="12" t="n"/>
      <c r="O5739" s="12" t="n"/>
    </row>
    <row r="5740">
      <c r="A5740" s="12" t="n"/>
      <c r="B5740" s="13">
        <f>IF($A5740="","",IFERROR(INDEX(Emp_Names,MATCH($A5740,Emp_Codes,0)),"NOT FOUND"))</f>
        <v/>
      </c>
      <c r="C5740" s="14" t="n"/>
      <c r="D5740" s="15" t="n"/>
      <c r="E5740" s="15" t="n"/>
      <c r="F5740" s="15" t="n"/>
      <c r="G5740" s="15" t="n"/>
      <c r="H5740" s="16">
        <f>IF($A5740="","",$D5740+IF($E5740="",0,$E5740)+IF($F5740="",0,$F5740)-IF($G5740="",0,$G5740))</f>
        <v/>
      </c>
      <c r="I5740" s="12" t="n"/>
      <c r="J5740" s="12" t="n"/>
      <c r="K5740" s="12" t="n"/>
      <c r="L5740" s="14" t="n"/>
      <c r="M5740" s="12" t="n"/>
      <c r="N5740" s="12" t="n"/>
      <c r="O5740" s="12" t="n"/>
    </row>
    <row r="5741">
      <c r="A5741" s="12" t="n"/>
      <c r="B5741" s="13">
        <f>IF($A5741="","",IFERROR(INDEX(Emp_Names,MATCH($A5741,Emp_Codes,0)),"NOT FOUND"))</f>
        <v/>
      </c>
      <c r="C5741" s="14" t="n"/>
      <c r="D5741" s="15" t="n"/>
      <c r="E5741" s="15" t="n"/>
      <c r="F5741" s="15" t="n"/>
      <c r="G5741" s="15" t="n"/>
      <c r="H5741" s="16">
        <f>IF($A5741="","",$D5741+IF($E5741="",0,$E5741)+IF($F5741="",0,$F5741)-IF($G5741="",0,$G5741))</f>
        <v/>
      </c>
      <c r="I5741" s="12" t="n"/>
      <c r="J5741" s="12" t="n"/>
      <c r="K5741" s="12" t="n"/>
      <c r="L5741" s="14" t="n"/>
      <c r="M5741" s="12" t="n"/>
      <c r="N5741" s="12" t="n"/>
      <c r="O5741" s="12" t="n"/>
    </row>
    <row r="5742">
      <c r="A5742" s="12" t="n"/>
      <c r="B5742" s="13">
        <f>IF($A5742="","",IFERROR(INDEX(Emp_Names,MATCH($A5742,Emp_Codes,0)),"NOT FOUND"))</f>
        <v/>
      </c>
      <c r="C5742" s="14" t="n"/>
      <c r="D5742" s="15" t="n"/>
      <c r="E5742" s="15" t="n"/>
      <c r="F5742" s="15" t="n"/>
      <c r="G5742" s="15" t="n"/>
      <c r="H5742" s="16">
        <f>IF($A5742="","",$D5742+IF($E5742="",0,$E5742)+IF($F5742="",0,$F5742)-IF($G5742="",0,$G5742))</f>
        <v/>
      </c>
      <c r="I5742" s="12" t="n"/>
      <c r="J5742" s="12" t="n"/>
      <c r="K5742" s="12" t="n"/>
      <c r="L5742" s="14" t="n"/>
      <c r="M5742" s="12" t="n"/>
      <c r="N5742" s="12" t="n"/>
      <c r="O5742" s="12" t="n"/>
    </row>
    <row r="5743">
      <c r="A5743" s="12" t="n"/>
      <c r="B5743" s="13">
        <f>IF($A5743="","",IFERROR(INDEX(Emp_Names,MATCH($A5743,Emp_Codes,0)),"NOT FOUND"))</f>
        <v/>
      </c>
      <c r="C5743" s="14" t="n"/>
      <c r="D5743" s="15" t="n"/>
      <c r="E5743" s="15" t="n"/>
      <c r="F5743" s="15" t="n"/>
      <c r="G5743" s="15" t="n"/>
      <c r="H5743" s="16">
        <f>IF($A5743="","",$D5743+IF($E5743="",0,$E5743)+IF($F5743="",0,$F5743)-IF($G5743="",0,$G5743))</f>
        <v/>
      </c>
      <c r="I5743" s="12" t="n"/>
      <c r="J5743" s="12" t="n"/>
      <c r="K5743" s="12" t="n"/>
      <c r="L5743" s="14" t="n"/>
      <c r="M5743" s="12" t="n"/>
      <c r="N5743" s="12" t="n"/>
      <c r="O5743" s="12" t="n"/>
    </row>
    <row r="5744">
      <c r="A5744" s="12" t="n"/>
      <c r="B5744" s="13">
        <f>IF($A5744="","",IFERROR(INDEX(Emp_Names,MATCH($A5744,Emp_Codes,0)),"NOT FOUND"))</f>
        <v/>
      </c>
      <c r="C5744" s="14" t="n"/>
      <c r="D5744" s="15" t="n"/>
      <c r="E5744" s="15" t="n"/>
      <c r="F5744" s="15" t="n"/>
      <c r="G5744" s="15" t="n"/>
      <c r="H5744" s="16">
        <f>IF($A5744="","",$D5744+IF($E5744="",0,$E5744)+IF($F5744="",0,$F5744)-IF($G5744="",0,$G5744))</f>
        <v/>
      </c>
      <c r="I5744" s="12" t="n"/>
      <c r="J5744" s="12" t="n"/>
      <c r="K5744" s="12" t="n"/>
      <c r="L5744" s="14" t="n"/>
      <c r="M5744" s="12" t="n"/>
      <c r="N5744" s="12" t="n"/>
      <c r="O5744" s="12" t="n"/>
    </row>
    <row r="5745">
      <c r="A5745" s="12" t="n"/>
      <c r="B5745" s="13">
        <f>IF($A5745="","",IFERROR(INDEX(Emp_Names,MATCH($A5745,Emp_Codes,0)),"NOT FOUND"))</f>
        <v/>
      </c>
      <c r="C5745" s="14" t="n"/>
      <c r="D5745" s="15" t="n"/>
      <c r="E5745" s="15" t="n"/>
      <c r="F5745" s="15" t="n"/>
      <c r="G5745" s="15" t="n"/>
      <c r="H5745" s="16">
        <f>IF($A5745="","",$D5745+IF($E5745="",0,$E5745)+IF($F5745="",0,$F5745)-IF($G5745="",0,$G5745))</f>
        <v/>
      </c>
      <c r="I5745" s="12" t="n"/>
      <c r="J5745" s="12" t="n"/>
      <c r="K5745" s="12" t="n"/>
      <c r="L5745" s="14" t="n"/>
      <c r="M5745" s="12" t="n"/>
      <c r="N5745" s="12" t="n"/>
      <c r="O5745" s="12" t="n"/>
    </row>
    <row r="5746">
      <c r="A5746" s="12" t="n"/>
      <c r="B5746" s="13">
        <f>IF($A5746="","",IFERROR(INDEX(Emp_Names,MATCH($A5746,Emp_Codes,0)),"NOT FOUND"))</f>
        <v/>
      </c>
      <c r="C5746" s="14" t="n"/>
      <c r="D5746" s="15" t="n"/>
      <c r="E5746" s="15" t="n"/>
      <c r="F5746" s="15" t="n"/>
      <c r="G5746" s="15" t="n"/>
      <c r="H5746" s="16">
        <f>IF($A5746="","",$D5746+IF($E5746="",0,$E5746)+IF($F5746="",0,$F5746)-IF($G5746="",0,$G5746))</f>
        <v/>
      </c>
      <c r="I5746" s="12" t="n"/>
      <c r="J5746" s="12" t="n"/>
      <c r="K5746" s="12" t="n"/>
      <c r="L5746" s="14" t="n"/>
      <c r="M5746" s="12" t="n"/>
      <c r="N5746" s="12" t="n"/>
      <c r="O5746" s="12" t="n"/>
    </row>
    <row r="5747">
      <c r="A5747" s="12" t="n"/>
      <c r="B5747" s="13">
        <f>IF($A5747="","",IFERROR(INDEX(Emp_Names,MATCH($A5747,Emp_Codes,0)),"NOT FOUND"))</f>
        <v/>
      </c>
      <c r="C5747" s="14" t="n"/>
      <c r="D5747" s="15" t="n"/>
      <c r="E5747" s="15" t="n"/>
      <c r="F5747" s="15" t="n"/>
      <c r="G5747" s="15" t="n"/>
      <c r="H5747" s="16">
        <f>IF($A5747="","",$D5747+IF($E5747="",0,$E5747)+IF($F5747="",0,$F5747)-IF($G5747="",0,$G5747))</f>
        <v/>
      </c>
      <c r="I5747" s="12" t="n"/>
      <c r="J5747" s="12" t="n"/>
      <c r="K5747" s="12" t="n"/>
      <c r="L5747" s="14" t="n"/>
      <c r="M5747" s="12" t="n"/>
      <c r="N5747" s="12" t="n"/>
      <c r="O5747" s="12" t="n"/>
    </row>
    <row r="5748">
      <c r="A5748" s="12" t="n"/>
      <c r="B5748" s="13">
        <f>IF($A5748="","",IFERROR(INDEX(Emp_Names,MATCH($A5748,Emp_Codes,0)),"NOT FOUND"))</f>
        <v/>
      </c>
      <c r="C5748" s="14" t="n"/>
      <c r="D5748" s="15" t="n"/>
      <c r="E5748" s="15" t="n"/>
      <c r="F5748" s="15" t="n"/>
      <c r="G5748" s="15" t="n"/>
      <c r="H5748" s="16">
        <f>IF($A5748="","",$D5748+IF($E5748="",0,$E5748)+IF($F5748="",0,$F5748)-IF($G5748="",0,$G5748))</f>
        <v/>
      </c>
      <c r="I5748" s="12" t="n"/>
      <c r="J5748" s="12" t="n"/>
      <c r="K5748" s="12" t="n"/>
      <c r="L5748" s="14" t="n"/>
      <c r="M5748" s="12" t="n"/>
      <c r="N5748" s="12" t="n"/>
      <c r="O5748" s="12" t="n"/>
    </row>
    <row r="5749">
      <c r="A5749" s="12" t="n"/>
      <c r="B5749" s="13">
        <f>IF($A5749="","",IFERROR(INDEX(Emp_Names,MATCH($A5749,Emp_Codes,0)),"NOT FOUND"))</f>
        <v/>
      </c>
      <c r="C5749" s="14" t="n"/>
      <c r="D5749" s="15" t="n"/>
      <c r="E5749" s="15" t="n"/>
      <c r="F5749" s="15" t="n"/>
      <c r="G5749" s="15" t="n"/>
      <c r="H5749" s="16">
        <f>IF($A5749="","",$D5749+IF($E5749="",0,$E5749)+IF($F5749="",0,$F5749)-IF($G5749="",0,$G5749))</f>
        <v/>
      </c>
      <c r="I5749" s="12" t="n"/>
      <c r="J5749" s="12" t="n"/>
      <c r="K5749" s="12" t="n"/>
      <c r="L5749" s="14" t="n"/>
      <c r="M5749" s="12" t="n"/>
      <c r="N5749" s="12" t="n"/>
      <c r="O5749" s="12" t="n"/>
    </row>
    <row r="5750">
      <c r="A5750" s="12" t="n"/>
      <c r="B5750" s="13">
        <f>IF($A5750="","",IFERROR(INDEX(Emp_Names,MATCH($A5750,Emp_Codes,0)),"NOT FOUND"))</f>
        <v/>
      </c>
      <c r="C5750" s="14" t="n"/>
      <c r="D5750" s="15" t="n"/>
      <c r="E5750" s="15" t="n"/>
      <c r="F5750" s="15" t="n"/>
      <c r="G5750" s="15" t="n"/>
      <c r="H5750" s="16">
        <f>IF($A5750="","",$D5750+IF($E5750="",0,$E5750)+IF($F5750="",0,$F5750)-IF($G5750="",0,$G5750))</f>
        <v/>
      </c>
      <c r="I5750" s="12" t="n"/>
      <c r="J5750" s="12" t="n"/>
      <c r="K5750" s="12" t="n"/>
      <c r="L5750" s="14" t="n"/>
      <c r="M5750" s="12" t="n"/>
      <c r="N5750" s="12" t="n"/>
      <c r="O5750" s="12" t="n"/>
    </row>
    <row r="5751">
      <c r="A5751" s="12" t="n"/>
      <c r="B5751" s="13">
        <f>IF($A5751="","",IFERROR(INDEX(Emp_Names,MATCH($A5751,Emp_Codes,0)),"NOT FOUND"))</f>
        <v/>
      </c>
      <c r="C5751" s="14" t="n"/>
      <c r="D5751" s="15" t="n"/>
      <c r="E5751" s="15" t="n"/>
      <c r="F5751" s="15" t="n"/>
      <c r="G5751" s="15" t="n"/>
      <c r="H5751" s="16">
        <f>IF($A5751="","",$D5751+IF($E5751="",0,$E5751)+IF($F5751="",0,$F5751)-IF($G5751="",0,$G5751))</f>
        <v/>
      </c>
      <c r="I5751" s="12" t="n"/>
      <c r="J5751" s="12" t="n"/>
      <c r="K5751" s="12" t="n"/>
      <c r="L5751" s="14" t="n"/>
      <c r="M5751" s="12" t="n"/>
      <c r="N5751" s="12" t="n"/>
      <c r="O5751" s="12" t="n"/>
    </row>
    <row r="5752">
      <c r="A5752" s="12" t="n"/>
      <c r="B5752" s="13">
        <f>IF($A5752="","",IFERROR(INDEX(Emp_Names,MATCH($A5752,Emp_Codes,0)),"NOT FOUND"))</f>
        <v/>
      </c>
      <c r="C5752" s="14" t="n"/>
      <c r="D5752" s="15" t="n"/>
      <c r="E5752" s="15" t="n"/>
      <c r="F5752" s="15" t="n"/>
      <c r="G5752" s="15" t="n"/>
      <c r="H5752" s="16">
        <f>IF($A5752="","",$D5752+IF($E5752="",0,$E5752)+IF($F5752="",0,$F5752)-IF($G5752="",0,$G5752))</f>
        <v/>
      </c>
      <c r="I5752" s="12" t="n"/>
      <c r="J5752" s="12" t="n"/>
      <c r="K5752" s="12" t="n"/>
      <c r="L5752" s="14" t="n"/>
      <c r="M5752" s="12" t="n"/>
      <c r="N5752" s="12" t="n"/>
      <c r="O5752" s="12" t="n"/>
    </row>
    <row r="5753">
      <c r="A5753" s="12" t="n"/>
      <c r="B5753" s="13">
        <f>IF($A5753="","",IFERROR(INDEX(Emp_Names,MATCH($A5753,Emp_Codes,0)),"NOT FOUND"))</f>
        <v/>
      </c>
      <c r="C5753" s="14" t="n"/>
      <c r="D5753" s="15" t="n"/>
      <c r="E5753" s="15" t="n"/>
      <c r="F5753" s="15" t="n"/>
      <c r="G5753" s="15" t="n"/>
      <c r="H5753" s="16">
        <f>IF($A5753="","",$D5753+IF($E5753="",0,$E5753)+IF($F5753="",0,$F5753)-IF($G5753="",0,$G5753))</f>
        <v/>
      </c>
      <c r="I5753" s="12" t="n"/>
      <c r="J5753" s="12" t="n"/>
      <c r="K5753" s="12" t="n"/>
      <c r="L5753" s="14" t="n"/>
      <c r="M5753" s="12" t="n"/>
      <c r="N5753" s="12" t="n"/>
      <c r="O5753" s="12" t="n"/>
    </row>
    <row r="5754">
      <c r="A5754" s="12" t="n"/>
      <c r="B5754" s="13">
        <f>IF($A5754="","",IFERROR(INDEX(Emp_Names,MATCH($A5754,Emp_Codes,0)),"NOT FOUND"))</f>
        <v/>
      </c>
      <c r="C5754" s="14" t="n"/>
      <c r="D5754" s="15" t="n"/>
      <c r="E5754" s="15" t="n"/>
      <c r="F5754" s="15" t="n"/>
      <c r="G5754" s="15" t="n"/>
      <c r="H5754" s="16">
        <f>IF($A5754="","",$D5754+IF($E5754="",0,$E5754)+IF($F5754="",0,$F5754)-IF($G5754="",0,$G5754))</f>
        <v/>
      </c>
      <c r="I5754" s="12" t="n"/>
      <c r="J5754" s="12" t="n"/>
      <c r="K5754" s="12" t="n"/>
      <c r="L5754" s="14" t="n"/>
      <c r="M5754" s="12" t="n"/>
      <c r="N5754" s="12" t="n"/>
      <c r="O5754" s="12" t="n"/>
    </row>
    <row r="5755">
      <c r="A5755" s="12" t="n"/>
      <c r="B5755" s="13">
        <f>IF($A5755="","",IFERROR(INDEX(Emp_Names,MATCH($A5755,Emp_Codes,0)),"NOT FOUND"))</f>
        <v/>
      </c>
      <c r="C5755" s="14" t="n"/>
      <c r="D5755" s="15" t="n"/>
      <c r="E5755" s="15" t="n"/>
      <c r="F5755" s="15" t="n"/>
      <c r="G5755" s="15" t="n"/>
      <c r="H5755" s="16">
        <f>IF($A5755="","",$D5755+IF($E5755="",0,$E5755)+IF($F5755="",0,$F5755)-IF($G5755="",0,$G5755))</f>
        <v/>
      </c>
      <c r="I5755" s="12" t="n"/>
      <c r="J5755" s="12" t="n"/>
      <c r="K5755" s="12" t="n"/>
      <c r="L5755" s="14" t="n"/>
      <c r="M5755" s="12" t="n"/>
      <c r="N5755" s="12" t="n"/>
      <c r="O5755" s="12" t="n"/>
    </row>
    <row r="5756">
      <c r="A5756" s="12" t="n"/>
      <c r="B5756" s="13">
        <f>IF($A5756="","",IFERROR(INDEX(Emp_Names,MATCH($A5756,Emp_Codes,0)),"NOT FOUND"))</f>
        <v/>
      </c>
      <c r="C5756" s="14" t="n"/>
      <c r="D5756" s="15" t="n"/>
      <c r="E5756" s="15" t="n"/>
      <c r="F5756" s="15" t="n"/>
      <c r="G5756" s="15" t="n"/>
      <c r="H5756" s="16">
        <f>IF($A5756="","",$D5756+IF($E5756="",0,$E5756)+IF($F5756="",0,$F5756)-IF($G5756="",0,$G5756))</f>
        <v/>
      </c>
      <c r="I5756" s="12" t="n"/>
      <c r="J5756" s="12" t="n"/>
      <c r="K5756" s="12" t="n"/>
      <c r="L5756" s="14" t="n"/>
      <c r="M5756" s="12" t="n"/>
      <c r="N5756" s="12" t="n"/>
      <c r="O5756" s="12" t="n"/>
    </row>
    <row r="5757">
      <c r="A5757" s="12" t="n"/>
      <c r="B5757" s="13">
        <f>IF($A5757="","",IFERROR(INDEX(Emp_Names,MATCH($A5757,Emp_Codes,0)),"NOT FOUND"))</f>
        <v/>
      </c>
      <c r="C5757" s="14" t="n"/>
      <c r="D5757" s="15" t="n"/>
      <c r="E5757" s="15" t="n"/>
      <c r="F5757" s="15" t="n"/>
      <c r="G5757" s="15" t="n"/>
      <c r="H5757" s="16">
        <f>IF($A5757="","",$D5757+IF($E5757="",0,$E5757)+IF($F5757="",0,$F5757)-IF($G5757="",0,$G5757))</f>
        <v/>
      </c>
      <c r="I5757" s="12" t="n"/>
      <c r="J5757" s="12" t="n"/>
      <c r="K5757" s="12" t="n"/>
      <c r="L5757" s="14" t="n"/>
      <c r="M5757" s="12" t="n"/>
      <c r="N5757" s="12" t="n"/>
      <c r="O5757" s="12" t="n"/>
    </row>
    <row r="5758">
      <c r="A5758" s="12" t="n"/>
      <c r="B5758" s="13">
        <f>IF($A5758="","",IFERROR(INDEX(Emp_Names,MATCH($A5758,Emp_Codes,0)),"NOT FOUND"))</f>
        <v/>
      </c>
      <c r="C5758" s="14" t="n"/>
      <c r="D5758" s="15" t="n"/>
      <c r="E5758" s="15" t="n"/>
      <c r="F5758" s="15" t="n"/>
      <c r="G5758" s="15" t="n"/>
      <c r="H5758" s="16">
        <f>IF($A5758="","",$D5758+IF($E5758="",0,$E5758)+IF($F5758="",0,$F5758)-IF($G5758="",0,$G5758))</f>
        <v/>
      </c>
      <c r="I5758" s="12" t="n"/>
      <c r="J5758" s="12" t="n"/>
      <c r="K5758" s="12" t="n"/>
      <c r="L5758" s="14" t="n"/>
      <c r="M5758" s="12" t="n"/>
      <c r="N5758" s="12" t="n"/>
      <c r="O5758" s="12" t="n"/>
    </row>
    <row r="5759">
      <c r="A5759" s="12" t="n"/>
      <c r="B5759" s="13">
        <f>IF($A5759="","",IFERROR(INDEX(Emp_Names,MATCH($A5759,Emp_Codes,0)),"NOT FOUND"))</f>
        <v/>
      </c>
      <c r="C5759" s="14" t="n"/>
      <c r="D5759" s="15" t="n"/>
      <c r="E5759" s="15" t="n"/>
      <c r="F5759" s="15" t="n"/>
      <c r="G5759" s="15" t="n"/>
      <c r="H5759" s="16">
        <f>IF($A5759="","",$D5759+IF($E5759="",0,$E5759)+IF($F5759="",0,$F5759)-IF($G5759="",0,$G5759))</f>
        <v/>
      </c>
      <c r="I5759" s="12" t="n"/>
      <c r="J5759" s="12" t="n"/>
      <c r="K5759" s="12" t="n"/>
      <c r="L5759" s="14" t="n"/>
      <c r="M5759" s="12" t="n"/>
      <c r="N5759" s="12" t="n"/>
      <c r="O5759" s="12" t="n"/>
    </row>
    <row r="5760">
      <c r="A5760" s="12" t="n"/>
      <c r="B5760" s="13">
        <f>IF($A5760="","",IFERROR(INDEX(Emp_Names,MATCH($A5760,Emp_Codes,0)),"NOT FOUND"))</f>
        <v/>
      </c>
      <c r="C5760" s="14" t="n"/>
      <c r="D5760" s="15" t="n"/>
      <c r="E5760" s="15" t="n"/>
      <c r="F5760" s="15" t="n"/>
      <c r="G5760" s="15" t="n"/>
      <c r="H5760" s="16">
        <f>IF($A5760="","",$D5760+IF($E5760="",0,$E5760)+IF($F5760="",0,$F5760)-IF($G5760="",0,$G5760))</f>
        <v/>
      </c>
      <c r="I5760" s="12" t="n"/>
      <c r="J5760" s="12" t="n"/>
      <c r="K5760" s="12" t="n"/>
      <c r="L5760" s="14" t="n"/>
      <c r="M5760" s="12" t="n"/>
      <c r="N5760" s="12" t="n"/>
      <c r="O5760" s="12" t="n"/>
    </row>
    <row r="5761">
      <c r="A5761" s="12" t="n"/>
      <c r="B5761" s="13">
        <f>IF($A5761="","",IFERROR(INDEX(Emp_Names,MATCH($A5761,Emp_Codes,0)),"NOT FOUND"))</f>
        <v/>
      </c>
      <c r="C5761" s="14" t="n"/>
      <c r="D5761" s="15" t="n"/>
      <c r="E5761" s="15" t="n"/>
      <c r="F5761" s="15" t="n"/>
      <c r="G5761" s="15" t="n"/>
      <c r="H5761" s="16">
        <f>IF($A5761="","",$D5761+IF($E5761="",0,$E5761)+IF($F5761="",0,$F5761)-IF($G5761="",0,$G5761))</f>
        <v/>
      </c>
      <c r="I5761" s="12" t="n"/>
      <c r="J5761" s="12" t="n"/>
      <c r="K5761" s="12" t="n"/>
      <c r="L5761" s="14" t="n"/>
      <c r="M5761" s="12" t="n"/>
      <c r="N5761" s="12" t="n"/>
      <c r="O5761" s="12" t="n"/>
    </row>
    <row r="5762">
      <c r="A5762" s="12" t="n"/>
      <c r="B5762" s="13">
        <f>IF($A5762="","",IFERROR(INDEX(Emp_Names,MATCH($A5762,Emp_Codes,0)),"NOT FOUND"))</f>
        <v/>
      </c>
      <c r="C5762" s="14" t="n"/>
      <c r="D5762" s="15" t="n"/>
      <c r="E5762" s="15" t="n"/>
      <c r="F5762" s="15" t="n"/>
      <c r="G5762" s="15" t="n"/>
      <c r="H5762" s="16">
        <f>IF($A5762="","",$D5762+IF($E5762="",0,$E5762)+IF($F5762="",0,$F5762)-IF($G5762="",0,$G5762))</f>
        <v/>
      </c>
      <c r="I5762" s="12" t="n"/>
      <c r="J5762" s="12" t="n"/>
      <c r="K5762" s="12" t="n"/>
      <c r="L5762" s="14" t="n"/>
      <c r="M5762" s="12" t="n"/>
      <c r="N5762" s="12" t="n"/>
      <c r="O5762" s="12" t="n"/>
    </row>
    <row r="5763">
      <c r="A5763" s="12" t="n"/>
      <c r="B5763" s="13">
        <f>IF($A5763="","",IFERROR(INDEX(Emp_Names,MATCH($A5763,Emp_Codes,0)),"NOT FOUND"))</f>
        <v/>
      </c>
      <c r="C5763" s="14" t="n"/>
      <c r="D5763" s="15" t="n"/>
      <c r="E5763" s="15" t="n"/>
      <c r="F5763" s="15" t="n"/>
      <c r="G5763" s="15" t="n"/>
      <c r="H5763" s="16">
        <f>IF($A5763="","",$D5763+IF($E5763="",0,$E5763)+IF($F5763="",0,$F5763)-IF($G5763="",0,$G5763))</f>
        <v/>
      </c>
      <c r="I5763" s="12" t="n"/>
      <c r="J5763" s="12" t="n"/>
      <c r="K5763" s="12" t="n"/>
      <c r="L5763" s="14" t="n"/>
      <c r="M5763" s="12" t="n"/>
      <c r="N5763" s="12" t="n"/>
      <c r="O5763" s="12" t="n"/>
    </row>
    <row r="5764">
      <c r="A5764" s="12" t="n"/>
      <c r="B5764" s="13">
        <f>IF($A5764="","",IFERROR(INDEX(Emp_Names,MATCH($A5764,Emp_Codes,0)),"NOT FOUND"))</f>
        <v/>
      </c>
      <c r="C5764" s="14" t="n"/>
      <c r="D5764" s="15" t="n"/>
      <c r="E5764" s="15" t="n"/>
      <c r="F5764" s="15" t="n"/>
      <c r="G5764" s="15" t="n"/>
      <c r="H5764" s="16">
        <f>IF($A5764="","",$D5764+IF($E5764="",0,$E5764)+IF($F5764="",0,$F5764)-IF($G5764="",0,$G5764))</f>
        <v/>
      </c>
      <c r="I5764" s="12" t="n"/>
      <c r="J5764" s="12" t="n"/>
      <c r="K5764" s="12" t="n"/>
      <c r="L5764" s="14" t="n"/>
      <c r="M5764" s="12" t="n"/>
      <c r="N5764" s="12" t="n"/>
      <c r="O5764" s="12" t="n"/>
    </row>
    <row r="5765">
      <c r="A5765" s="12" t="n"/>
      <c r="B5765" s="13">
        <f>IF($A5765="","",IFERROR(INDEX(Emp_Names,MATCH($A5765,Emp_Codes,0)),"NOT FOUND"))</f>
        <v/>
      </c>
      <c r="C5765" s="14" t="n"/>
      <c r="D5765" s="15" t="n"/>
      <c r="E5765" s="15" t="n"/>
      <c r="F5765" s="15" t="n"/>
      <c r="G5765" s="15" t="n"/>
      <c r="H5765" s="16">
        <f>IF($A5765="","",$D5765+IF($E5765="",0,$E5765)+IF($F5765="",0,$F5765)-IF($G5765="",0,$G5765))</f>
        <v/>
      </c>
      <c r="I5765" s="12" t="n"/>
      <c r="J5765" s="12" t="n"/>
      <c r="K5765" s="12" t="n"/>
      <c r="L5765" s="14" t="n"/>
      <c r="M5765" s="12" t="n"/>
      <c r="N5765" s="12" t="n"/>
      <c r="O5765" s="12" t="n"/>
    </row>
    <row r="5766">
      <c r="A5766" s="12" t="n"/>
      <c r="B5766" s="13">
        <f>IF($A5766="","",IFERROR(INDEX(Emp_Names,MATCH($A5766,Emp_Codes,0)),"NOT FOUND"))</f>
        <v/>
      </c>
      <c r="C5766" s="14" t="n"/>
      <c r="D5766" s="15" t="n"/>
      <c r="E5766" s="15" t="n"/>
      <c r="F5766" s="15" t="n"/>
      <c r="G5766" s="15" t="n"/>
      <c r="H5766" s="16">
        <f>IF($A5766="","",$D5766+IF($E5766="",0,$E5766)+IF($F5766="",0,$F5766)-IF($G5766="",0,$G5766))</f>
        <v/>
      </c>
      <c r="I5766" s="12" t="n"/>
      <c r="J5766" s="12" t="n"/>
      <c r="K5766" s="12" t="n"/>
      <c r="L5766" s="14" t="n"/>
      <c r="M5766" s="12" t="n"/>
      <c r="N5766" s="12" t="n"/>
      <c r="O5766" s="12" t="n"/>
    </row>
    <row r="5767">
      <c r="A5767" s="12" t="n"/>
      <c r="B5767" s="13">
        <f>IF($A5767="","",IFERROR(INDEX(Emp_Names,MATCH($A5767,Emp_Codes,0)),"NOT FOUND"))</f>
        <v/>
      </c>
      <c r="C5767" s="14" t="n"/>
      <c r="D5767" s="15" t="n"/>
      <c r="E5767" s="15" t="n"/>
      <c r="F5767" s="15" t="n"/>
      <c r="G5767" s="15" t="n"/>
      <c r="H5767" s="16">
        <f>IF($A5767="","",$D5767+IF($E5767="",0,$E5767)+IF($F5767="",0,$F5767)-IF($G5767="",0,$G5767))</f>
        <v/>
      </c>
      <c r="I5767" s="12" t="n"/>
      <c r="J5767" s="12" t="n"/>
      <c r="K5767" s="12" t="n"/>
      <c r="L5767" s="14" t="n"/>
      <c r="M5767" s="12" t="n"/>
      <c r="N5767" s="12" t="n"/>
      <c r="O5767" s="12" t="n"/>
    </row>
    <row r="5768">
      <c r="A5768" s="12" t="n"/>
      <c r="B5768" s="13">
        <f>IF($A5768="","",IFERROR(INDEX(Emp_Names,MATCH($A5768,Emp_Codes,0)),"NOT FOUND"))</f>
        <v/>
      </c>
      <c r="C5768" s="14" t="n"/>
      <c r="D5768" s="15" t="n"/>
      <c r="E5768" s="15" t="n"/>
      <c r="F5768" s="15" t="n"/>
      <c r="G5768" s="15" t="n"/>
      <c r="H5768" s="16">
        <f>IF($A5768="","",$D5768+IF($E5768="",0,$E5768)+IF($F5768="",0,$F5768)-IF($G5768="",0,$G5768))</f>
        <v/>
      </c>
      <c r="I5768" s="12" t="n"/>
      <c r="J5768" s="12" t="n"/>
      <c r="K5768" s="12" t="n"/>
      <c r="L5768" s="14" t="n"/>
      <c r="M5768" s="12" t="n"/>
      <c r="N5768" s="12" t="n"/>
      <c r="O5768" s="12" t="n"/>
    </row>
    <row r="5769">
      <c r="A5769" s="12" t="n"/>
      <c r="B5769" s="13">
        <f>IF($A5769="","",IFERROR(INDEX(Emp_Names,MATCH($A5769,Emp_Codes,0)),"NOT FOUND"))</f>
        <v/>
      </c>
      <c r="C5769" s="14" t="n"/>
      <c r="D5769" s="15" t="n"/>
      <c r="E5769" s="15" t="n"/>
      <c r="F5769" s="15" t="n"/>
      <c r="G5769" s="15" t="n"/>
      <c r="H5769" s="16">
        <f>IF($A5769="","",$D5769+IF($E5769="",0,$E5769)+IF($F5769="",0,$F5769)-IF($G5769="",0,$G5769))</f>
        <v/>
      </c>
      <c r="I5769" s="12" t="n"/>
      <c r="J5769" s="12" t="n"/>
      <c r="K5769" s="12" t="n"/>
      <c r="L5769" s="14" t="n"/>
      <c r="M5769" s="12" t="n"/>
      <c r="N5769" s="12" t="n"/>
      <c r="O5769" s="12" t="n"/>
    </row>
    <row r="5770">
      <c r="A5770" s="12" t="n"/>
      <c r="B5770" s="13">
        <f>IF($A5770="","",IFERROR(INDEX(Emp_Names,MATCH($A5770,Emp_Codes,0)),"NOT FOUND"))</f>
        <v/>
      </c>
      <c r="C5770" s="14" t="n"/>
      <c r="D5770" s="15" t="n"/>
      <c r="E5770" s="15" t="n"/>
      <c r="F5770" s="15" t="n"/>
      <c r="G5770" s="15" t="n"/>
      <c r="H5770" s="16">
        <f>IF($A5770="","",$D5770+IF($E5770="",0,$E5770)+IF($F5770="",0,$F5770)-IF($G5770="",0,$G5770))</f>
        <v/>
      </c>
      <c r="I5770" s="12" t="n"/>
      <c r="J5770" s="12" t="n"/>
      <c r="K5770" s="12" t="n"/>
      <c r="L5770" s="14" t="n"/>
      <c r="M5770" s="12" t="n"/>
      <c r="N5770" s="12" t="n"/>
      <c r="O5770" s="12" t="n"/>
    </row>
    <row r="5771">
      <c r="A5771" s="12" t="n"/>
      <c r="B5771" s="13">
        <f>IF($A5771="","",IFERROR(INDEX(Emp_Names,MATCH($A5771,Emp_Codes,0)),"NOT FOUND"))</f>
        <v/>
      </c>
      <c r="C5771" s="14" t="n"/>
      <c r="D5771" s="15" t="n"/>
      <c r="E5771" s="15" t="n"/>
      <c r="F5771" s="15" t="n"/>
      <c r="G5771" s="15" t="n"/>
      <c r="H5771" s="16">
        <f>IF($A5771="","",$D5771+IF($E5771="",0,$E5771)+IF($F5771="",0,$F5771)-IF($G5771="",0,$G5771))</f>
        <v/>
      </c>
      <c r="I5771" s="12" t="n"/>
      <c r="J5771" s="12" t="n"/>
      <c r="K5771" s="12" t="n"/>
      <c r="L5771" s="14" t="n"/>
      <c r="M5771" s="12" t="n"/>
      <c r="N5771" s="12" t="n"/>
      <c r="O5771" s="12" t="n"/>
    </row>
    <row r="5772">
      <c r="A5772" s="12" t="n"/>
      <c r="B5772" s="13">
        <f>IF($A5772="","",IFERROR(INDEX(Emp_Names,MATCH($A5772,Emp_Codes,0)),"NOT FOUND"))</f>
        <v/>
      </c>
      <c r="C5772" s="14" t="n"/>
      <c r="D5772" s="15" t="n"/>
      <c r="E5772" s="15" t="n"/>
      <c r="F5772" s="15" t="n"/>
      <c r="G5772" s="15" t="n"/>
      <c r="H5772" s="16">
        <f>IF($A5772="","",$D5772+IF($E5772="",0,$E5772)+IF($F5772="",0,$F5772)-IF($G5772="",0,$G5772))</f>
        <v/>
      </c>
      <c r="I5772" s="12" t="n"/>
      <c r="J5772" s="12" t="n"/>
      <c r="K5772" s="12" t="n"/>
      <c r="L5772" s="14" t="n"/>
      <c r="M5772" s="12" t="n"/>
      <c r="N5772" s="12" t="n"/>
      <c r="O5772" s="12" t="n"/>
    </row>
    <row r="5773">
      <c r="A5773" s="12" t="n"/>
      <c r="B5773" s="13">
        <f>IF($A5773="","",IFERROR(INDEX(Emp_Names,MATCH($A5773,Emp_Codes,0)),"NOT FOUND"))</f>
        <v/>
      </c>
      <c r="C5773" s="14" t="n"/>
      <c r="D5773" s="15" t="n"/>
      <c r="E5773" s="15" t="n"/>
      <c r="F5773" s="15" t="n"/>
      <c r="G5773" s="15" t="n"/>
      <c r="H5773" s="16">
        <f>IF($A5773="","",$D5773+IF($E5773="",0,$E5773)+IF($F5773="",0,$F5773)-IF($G5773="",0,$G5773))</f>
        <v/>
      </c>
      <c r="I5773" s="12" t="n"/>
      <c r="J5773" s="12" t="n"/>
      <c r="K5773" s="12" t="n"/>
      <c r="L5773" s="14" t="n"/>
      <c r="M5773" s="12" t="n"/>
      <c r="N5773" s="12" t="n"/>
      <c r="O5773" s="12" t="n"/>
    </row>
    <row r="5774">
      <c r="A5774" s="12" t="n"/>
      <c r="B5774" s="13">
        <f>IF($A5774="","",IFERROR(INDEX(Emp_Names,MATCH($A5774,Emp_Codes,0)),"NOT FOUND"))</f>
        <v/>
      </c>
      <c r="C5774" s="14" t="n"/>
      <c r="D5774" s="15" t="n"/>
      <c r="E5774" s="15" t="n"/>
      <c r="F5774" s="15" t="n"/>
      <c r="G5774" s="15" t="n"/>
      <c r="H5774" s="16">
        <f>IF($A5774="","",$D5774+IF($E5774="",0,$E5774)+IF($F5774="",0,$F5774)-IF($G5774="",0,$G5774))</f>
        <v/>
      </c>
      <c r="I5774" s="12" t="n"/>
      <c r="J5774" s="12" t="n"/>
      <c r="K5774" s="12" t="n"/>
      <c r="L5774" s="14" t="n"/>
      <c r="M5774" s="12" t="n"/>
      <c r="N5774" s="12" t="n"/>
      <c r="O5774" s="12" t="n"/>
    </row>
    <row r="5775">
      <c r="A5775" s="12" t="n"/>
      <c r="B5775" s="13">
        <f>IF($A5775="","",IFERROR(INDEX(Emp_Names,MATCH($A5775,Emp_Codes,0)),"NOT FOUND"))</f>
        <v/>
      </c>
      <c r="C5775" s="14" t="n"/>
      <c r="D5775" s="15" t="n"/>
      <c r="E5775" s="15" t="n"/>
      <c r="F5775" s="15" t="n"/>
      <c r="G5775" s="15" t="n"/>
      <c r="H5775" s="16">
        <f>IF($A5775="","",$D5775+IF($E5775="",0,$E5775)+IF($F5775="",0,$F5775)-IF($G5775="",0,$G5775))</f>
        <v/>
      </c>
      <c r="I5775" s="12" t="n"/>
      <c r="J5775" s="12" t="n"/>
      <c r="K5775" s="12" t="n"/>
      <c r="L5775" s="14" t="n"/>
      <c r="M5775" s="12" t="n"/>
      <c r="N5775" s="12" t="n"/>
      <c r="O5775" s="12" t="n"/>
    </row>
    <row r="5776">
      <c r="A5776" s="12" t="n"/>
      <c r="B5776" s="13">
        <f>IF($A5776="","",IFERROR(INDEX(Emp_Names,MATCH($A5776,Emp_Codes,0)),"NOT FOUND"))</f>
        <v/>
      </c>
      <c r="C5776" s="14" t="n"/>
      <c r="D5776" s="15" t="n"/>
      <c r="E5776" s="15" t="n"/>
      <c r="F5776" s="15" t="n"/>
      <c r="G5776" s="15" t="n"/>
      <c r="H5776" s="16">
        <f>IF($A5776="","",$D5776+IF($E5776="",0,$E5776)+IF($F5776="",0,$F5776)-IF($G5776="",0,$G5776))</f>
        <v/>
      </c>
      <c r="I5776" s="12" t="n"/>
      <c r="J5776" s="12" t="n"/>
      <c r="K5776" s="12" t="n"/>
      <c r="L5776" s="14" t="n"/>
      <c r="M5776" s="12" t="n"/>
      <c r="N5776" s="12" t="n"/>
      <c r="O5776" s="12" t="n"/>
    </row>
    <row r="5777">
      <c r="A5777" s="12" t="n"/>
      <c r="B5777" s="13">
        <f>IF($A5777="","",IFERROR(INDEX(Emp_Names,MATCH($A5777,Emp_Codes,0)),"NOT FOUND"))</f>
        <v/>
      </c>
      <c r="C5777" s="14" t="n"/>
      <c r="D5777" s="15" t="n"/>
      <c r="E5777" s="15" t="n"/>
      <c r="F5777" s="15" t="n"/>
      <c r="G5777" s="15" t="n"/>
      <c r="H5777" s="16">
        <f>IF($A5777="","",$D5777+IF($E5777="",0,$E5777)+IF($F5777="",0,$F5777)-IF($G5777="",0,$G5777))</f>
        <v/>
      </c>
      <c r="I5777" s="12" t="n"/>
      <c r="J5777" s="12" t="n"/>
      <c r="K5777" s="12" t="n"/>
      <c r="L5777" s="14" t="n"/>
      <c r="M5777" s="12" t="n"/>
      <c r="N5777" s="12" t="n"/>
      <c r="O5777" s="12" t="n"/>
    </row>
    <row r="5778">
      <c r="A5778" s="12" t="n"/>
      <c r="B5778" s="13">
        <f>IF($A5778="","",IFERROR(INDEX(Emp_Names,MATCH($A5778,Emp_Codes,0)),"NOT FOUND"))</f>
        <v/>
      </c>
      <c r="C5778" s="14" t="n"/>
      <c r="D5778" s="15" t="n"/>
      <c r="E5778" s="15" t="n"/>
      <c r="F5778" s="15" t="n"/>
      <c r="G5778" s="15" t="n"/>
      <c r="H5778" s="16">
        <f>IF($A5778="","",$D5778+IF($E5778="",0,$E5778)+IF($F5778="",0,$F5778)-IF($G5778="",0,$G5778))</f>
        <v/>
      </c>
      <c r="I5778" s="12" t="n"/>
      <c r="J5778" s="12" t="n"/>
      <c r="K5778" s="12" t="n"/>
      <c r="L5778" s="14" t="n"/>
      <c r="M5778" s="12" t="n"/>
      <c r="N5778" s="12" t="n"/>
      <c r="O5778" s="12" t="n"/>
    </row>
    <row r="5779">
      <c r="A5779" s="12" t="n"/>
      <c r="B5779" s="13">
        <f>IF($A5779="","",IFERROR(INDEX(Emp_Names,MATCH($A5779,Emp_Codes,0)),"NOT FOUND"))</f>
        <v/>
      </c>
      <c r="C5779" s="14" t="n"/>
      <c r="D5779" s="15" t="n"/>
      <c r="E5779" s="15" t="n"/>
      <c r="F5779" s="15" t="n"/>
      <c r="G5779" s="15" t="n"/>
      <c r="H5779" s="16">
        <f>IF($A5779="","",$D5779+IF($E5779="",0,$E5779)+IF($F5779="",0,$F5779)-IF($G5779="",0,$G5779))</f>
        <v/>
      </c>
      <c r="I5779" s="12" t="n"/>
      <c r="J5779" s="12" t="n"/>
      <c r="K5779" s="12" t="n"/>
      <c r="L5779" s="14" t="n"/>
      <c r="M5779" s="12" t="n"/>
      <c r="N5779" s="12" t="n"/>
      <c r="O5779" s="12" t="n"/>
    </row>
    <row r="5780">
      <c r="A5780" s="12" t="n"/>
      <c r="B5780" s="13">
        <f>IF($A5780="","",IFERROR(INDEX(Emp_Names,MATCH($A5780,Emp_Codes,0)),"NOT FOUND"))</f>
        <v/>
      </c>
      <c r="C5780" s="14" t="n"/>
      <c r="D5780" s="15" t="n"/>
      <c r="E5780" s="15" t="n"/>
      <c r="F5780" s="15" t="n"/>
      <c r="G5780" s="15" t="n"/>
      <c r="H5780" s="16">
        <f>IF($A5780="","",$D5780+IF($E5780="",0,$E5780)+IF($F5780="",0,$F5780)-IF($G5780="",0,$G5780))</f>
        <v/>
      </c>
      <c r="I5780" s="12" t="n"/>
      <c r="J5780" s="12" t="n"/>
      <c r="K5780" s="12" t="n"/>
      <c r="L5780" s="14" t="n"/>
      <c r="M5780" s="12" t="n"/>
      <c r="N5780" s="12" t="n"/>
      <c r="O5780" s="12" t="n"/>
    </row>
    <row r="5781">
      <c r="A5781" s="12" t="n"/>
      <c r="B5781" s="13">
        <f>IF($A5781="","",IFERROR(INDEX(Emp_Names,MATCH($A5781,Emp_Codes,0)),"NOT FOUND"))</f>
        <v/>
      </c>
      <c r="C5781" s="14" t="n"/>
      <c r="D5781" s="15" t="n"/>
      <c r="E5781" s="15" t="n"/>
      <c r="F5781" s="15" t="n"/>
      <c r="G5781" s="15" t="n"/>
      <c r="H5781" s="16">
        <f>IF($A5781="","",$D5781+IF($E5781="",0,$E5781)+IF($F5781="",0,$F5781)-IF($G5781="",0,$G5781))</f>
        <v/>
      </c>
      <c r="I5781" s="12" t="n"/>
      <c r="J5781" s="12" t="n"/>
      <c r="K5781" s="12" t="n"/>
      <c r="L5781" s="14" t="n"/>
      <c r="M5781" s="12" t="n"/>
      <c r="N5781" s="12" t="n"/>
      <c r="O5781" s="12" t="n"/>
    </row>
    <row r="5782">
      <c r="A5782" s="12" t="n"/>
      <c r="B5782" s="13">
        <f>IF($A5782="","",IFERROR(INDEX(Emp_Names,MATCH($A5782,Emp_Codes,0)),"NOT FOUND"))</f>
        <v/>
      </c>
      <c r="C5782" s="14" t="n"/>
      <c r="D5782" s="15" t="n"/>
      <c r="E5782" s="15" t="n"/>
      <c r="F5782" s="15" t="n"/>
      <c r="G5782" s="15" t="n"/>
      <c r="H5782" s="16">
        <f>IF($A5782="","",$D5782+IF($E5782="",0,$E5782)+IF($F5782="",0,$F5782)-IF($G5782="",0,$G5782))</f>
        <v/>
      </c>
      <c r="I5782" s="12" t="n"/>
      <c r="J5782" s="12" t="n"/>
      <c r="K5782" s="12" t="n"/>
      <c r="L5782" s="14" t="n"/>
      <c r="M5782" s="12" t="n"/>
      <c r="N5782" s="12" t="n"/>
      <c r="O5782" s="12" t="n"/>
    </row>
    <row r="5783">
      <c r="A5783" s="12" t="n"/>
      <c r="B5783" s="13">
        <f>IF($A5783="","",IFERROR(INDEX(Emp_Names,MATCH($A5783,Emp_Codes,0)),"NOT FOUND"))</f>
        <v/>
      </c>
      <c r="C5783" s="14" t="n"/>
      <c r="D5783" s="15" t="n"/>
      <c r="E5783" s="15" t="n"/>
      <c r="F5783" s="15" t="n"/>
      <c r="G5783" s="15" t="n"/>
      <c r="H5783" s="16">
        <f>IF($A5783="","",$D5783+IF($E5783="",0,$E5783)+IF($F5783="",0,$F5783)-IF($G5783="",0,$G5783))</f>
        <v/>
      </c>
      <c r="I5783" s="12" t="n"/>
      <c r="J5783" s="12" t="n"/>
      <c r="K5783" s="12" t="n"/>
      <c r="L5783" s="14" t="n"/>
      <c r="M5783" s="12" t="n"/>
      <c r="N5783" s="12" t="n"/>
      <c r="O5783" s="12" t="n"/>
    </row>
    <row r="5784">
      <c r="A5784" s="12" t="n"/>
      <c r="B5784" s="13">
        <f>IF($A5784="","",IFERROR(INDEX(Emp_Names,MATCH($A5784,Emp_Codes,0)),"NOT FOUND"))</f>
        <v/>
      </c>
      <c r="C5784" s="14" t="n"/>
      <c r="D5784" s="15" t="n"/>
      <c r="E5784" s="15" t="n"/>
      <c r="F5784" s="15" t="n"/>
      <c r="G5784" s="15" t="n"/>
      <c r="H5784" s="16">
        <f>IF($A5784="","",$D5784+IF($E5784="",0,$E5784)+IF($F5784="",0,$F5784)-IF($G5784="",0,$G5784))</f>
        <v/>
      </c>
      <c r="I5784" s="12" t="n"/>
      <c r="J5784" s="12" t="n"/>
      <c r="K5784" s="12" t="n"/>
      <c r="L5784" s="14" t="n"/>
      <c r="M5784" s="12" t="n"/>
      <c r="N5784" s="12" t="n"/>
      <c r="O5784" s="12" t="n"/>
    </row>
    <row r="5785">
      <c r="A5785" s="12" t="n"/>
      <c r="B5785" s="13">
        <f>IF($A5785="","",IFERROR(INDEX(Emp_Names,MATCH($A5785,Emp_Codes,0)),"NOT FOUND"))</f>
        <v/>
      </c>
      <c r="C5785" s="14" t="n"/>
      <c r="D5785" s="15" t="n"/>
      <c r="E5785" s="15" t="n"/>
      <c r="F5785" s="15" t="n"/>
      <c r="G5785" s="15" t="n"/>
      <c r="H5785" s="16">
        <f>IF($A5785="","",$D5785+IF($E5785="",0,$E5785)+IF($F5785="",0,$F5785)-IF($G5785="",0,$G5785))</f>
        <v/>
      </c>
      <c r="I5785" s="12" t="n"/>
      <c r="J5785" s="12" t="n"/>
      <c r="K5785" s="12" t="n"/>
      <c r="L5785" s="14" t="n"/>
      <c r="M5785" s="12" t="n"/>
      <c r="N5785" s="12" t="n"/>
      <c r="O5785" s="12" t="n"/>
    </row>
    <row r="5786">
      <c r="A5786" s="12" t="n"/>
      <c r="B5786" s="13">
        <f>IF($A5786="","",IFERROR(INDEX(Emp_Names,MATCH($A5786,Emp_Codes,0)),"NOT FOUND"))</f>
        <v/>
      </c>
      <c r="C5786" s="14" t="n"/>
      <c r="D5786" s="15" t="n"/>
      <c r="E5786" s="15" t="n"/>
      <c r="F5786" s="15" t="n"/>
      <c r="G5786" s="15" t="n"/>
      <c r="H5786" s="16">
        <f>IF($A5786="","",$D5786+IF($E5786="",0,$E5786)+IF($F5786="",0,$F5786)-IF($G5786="",0,$G5786))</f>
        <v/>
      </c>
      <c r="I5786" s="12" t="n"/>
      <c r="J5786" s="12" t="n"/>
      <c r="K5786" s="12" t="n"/>
      <c r="L5786" s="14" t="n"/>
      <c r="M5786" s="12" t="n"/>
      <c r="N5786" s="12" t="n"/>
      <c r="O5786" s="12" t="n"/>
    </row>
    <row r="5787">
      <c r="A5787" s="12" t="n"/>
      <c r="B5787" s="13">
        <f>IF($A5787="","",IFERROR(INDEX(Emp_Names,MATCH($A5787,Emp_Codes,0)),"NOT FOUND"))</f>
        <v/>
      </c>
      <c r="C5787" s="14" t="n"/>
      <c r="D5787" s="15" t="n"/>
      <c r="E5787" s="15" t="n"/>
      <c r="F5787" s="15" t="n"/>
      <c r="G5787" s="15" t="n"/>
      <c r="H5787" s="16">
        <f>IF($A5787="","",$D5787+IF($E5787="",0,$E5787)+IF($F5787="",0,$F5787)-IF($G5787="",0,$G5787))</f>
        <v/>
      </c>
      <c r="I5787" s="12" t="n"/>
      <c r="J5787" s="12" t="n"/>
      <c r="K5787" s="12" t="n"/>
      <c r="L5787" s="14" t="n"/>
      <c r="M5787" s="12" t="n"/>
      <c r="N5787" s="12" t="n"/>
      <c r="O5787" s="12" t="n"/>
    </row>
    <row r="5788">
      <c r="A5788" s="12" t="n"/>
      <c r="B5788" s="13">
        <f>IF($A5788="","",IFERROR(INDEX(Emp_Names,MATCH($A5788,Emp_Codes,0)),"NOT FOUND"))</f>
        <v/>
      </c>
      <c r="C5788" s="14" t="n"/>
      <c r="D5788" s="15" t="n"/>
      <c r="E5788" s="15" t="n"/>
      <c r="F5788" s="15" t="n"/>
      <c r="G5788" s="15" t="n"/>
      <c r="H5788" s="16">
        <f>IF($A5788="","",$D5788+IF($E5788="",0,$E5788)+IF($F5788="",0,$F5788)-IF($G5788="",0,$G5788))</f>
        <v/>
      </c>
      <c r="I5788" s="12" t="n"/>
      <c r="J5788" s="12" t="n"/>
      <c r="K5788" s="12" t="n"/>
      <c r="L5788" s="14" t="n"/>
      <c r="M5788" s="12" t="n"/>
      <c r="N5788" s="12" t="n"/>
      <c r="O5788" s="12" t="n"/>
    </row>
    <row r="5789">
      <c r="A5789" s="12" t="n"/>
      <c r="B5789" s="13">
        <f>IF($A5789="","",IFERROR(INDEX(Emp_Names,MATCH($A5789,Emp_Codes,0)),"NOT FOUND"))</f>
        <v/>
      </c>
      <c r="C5789" s="14" t="n"/>
      <c r="D5789" s="15" t="n"/>
      <c r="E5789" s="15" t="n"/>
      <c r="F5789" s="15" t="n"/>
      <c r="G5789" s="15" t="n"/>
      <c r="H5789" s="16">
        <f>IF($A5789="","",$D5789+IF($E5789="",0,$E5789)+IF($F5789="",0,$F5789)-IF($G5789="",0,$G5789))</f>
        <v/>
      </c>
      <c r="I5789" s="12" t="n"/>
      <c r="J5789" s="12" t="n"/>
      <c r="K5789" s="12" t="n"/>
      <c r="L5789" s="14" t="n"/>
      <c r="M5789" s="12" t="n"/>
      <c r="N5789" s="12" t="n"/>
      <c r="O5789" s="12" t="n"/>
    </row>
    <row r="5790">
      <c r="A5790" s="12" t="n"/>
      <c r="B5790" s="13">
        <f>IF($A5790="","",IFERROR(INDEX(Emp_Names,MATCH($A5790,Emp_Codes,0)),"NOT FOUND"))</f>
        <v/>
      </c>
      <c r="C5790" s="14" t="n"/>
      <c r="D5790" s="15" t="n"/>
      <c r="E5790" s="15" t="n"/>
      <c r="F5790" s="15" t="n"/>
      <c r="G5790" s="15" t="n"/>
      <c r="H5790" s="16">
        <f>IF($A5790="","",$D5790+IF($E5790="",0,$E5790)+IF($F5790="",0,$F5790)-IF($G5790="",0,$G5790))</f>
        <v/>
      </c>
      <c r="I5790" s="12" t="n"/>
      <c r="J5790" s="12" t="n"/>
      <c r="K5790" s="12" t="n"/>
      <c r="L5790" s="14" t="n"/>
      <c r="M5790" s="12" t="n"/>
      <c r="N5790" s="12" t="n"/>
      <c r="O5790" s="12" t="n"/>
    </row>
    <row r="5791">
      <c r="A5791" s="12" t="n"/>
      <c r="B5791" s="13">
        <f>IF($A5791="","",IFERROR(INDEX(Emp_Names,MATCH($A5791,Emp_Codes,0)),"NOT FOUND"))</f>
        <v/>
      </c>
      <c r="C5791" s="14" t="n"/>
      <c r="D5791" s="15" t="n"/>
      <c r="E5791" s="15" t="n"/>
      <c r="F5791" s="15" t="n"/>
      <c r="G5791" s="15" t="n"/>
      <c r="H5791" s="16">
        <f>IF($A5791="","",$D5791+IF($E5791="",0,$E5791)+IF($F5791="",0,$F5791)-IF($G5791="",0,$G5791))</f>
        <v/>
      </c>
      <c r="I5791" s="12" t="n"/>
      <c r="J5791" s="12" t="n"/>
      <c r="K5791" s="12" t="n"/>
      <c r="L5791" s="14" t="n"/>
      <c r="M5791" s="12" t="n"/>
      <c r="N5791" s="12" t="n"/>
      <c r="O5791" s="12" t="n"/>
    </row>
    <row r="5792">
      <c r="A5792" s="12" t="n"/>
      <c r="B5792" s="13">
        <f>IF($A5792="","",IFERROR(INDEX(Emp_Names,MATCH($A5792,Emp_Codes,0)),"NOT FOUND"))</f>
        <v/>
      </c>
      <c r="C5792" s="14" t="n"/>
      <c r="D5792" s="15" t="n"/>
      <c r="E5792" s="15" t="n"/>
      <c r="F5792" s="15" t="n"/>
      <c r="G5792" s="15" t="n"/>
      <c r="H5792" s="16">
        <f>IF($A5792="","",$D5792+IF($E5792="",0,$E5792)+IF($F5792="",0,$F5792)-IF($G5792="",0,$G5792))</f>
        <v/>
      </c>
      <c r="I5792" s="12" t="n"/>
      <c r="J5792" s="12" t="n"/>
      <c r="K5792" s="12" t="n"/>
      <c r="L5792" s="14" t="n"/>
      <c r="M5792" s="12" t="n"/>
      <c r="N5792" s="12" t="n"/>
      <c r="O5792" s="12" t="n"/>
    </row>
    <row r="5793">
      <c r="A5793" s="12" t="n"/>
      <c r="B5793" s="13">
        <f>IF($A5793="","",IFERROR(INDEX(Emp_Names,MATCH($A5793,Emp_Codes,0)),"NOT FOUND"))</f>
        <v/>
      </c>
      <c r="C5793" s="14" t="n"/>
      <c r="D5793" s="15" t="n"/>
      <c r="E5793" s="15" t="n"/>
      <c r="F5793" s="15" t="n"/>
      <c r="G5793" s="15" t="n"/>
      <c r="H5793" s="16">
        <f>IF($A5793="","",$D5793+IF($E5793="",0,$E5793)+IF($F5793="",0,$F5793)-IF($G5793="",0,$G5793))</f>
        <v/>
      </c>
      <c r="I5793" s="12" t="n"/>
      <c r="J5793" s="12" t="n"/>
      <c r="K5793" s="12" t="n"/>
      <c r="L5793" s="14" t="n"/>
      <c r="M5793" s="12" t="n"/>
      <c r="N5793" s="12" t="n"/>
      <c r="O5793" s="12" t="n"/>
    </row>
    <row r="5794">
      <c r="A5794" s="12" t="n"/>
      <c r="B5794" s="13">
        <f>IF($A5794="","",IFERROR(INDEX(Emp_Names,MATCH($A5794,Emp_Codes,0)),"NOT FOUND"))</f>
        <v/>
      </c>
      <c r="C5794" s="14" t="n"/>
      <c r="D5794" s="15" t="n"/>
      <c r="E5794" s="15" t="n"/>
      <c r="F5794" s="15" t="n"/>
      <c r="G5794" s="15" t="n"/>
      <c r="H5794" s="16">
        <f>IF($A5794="","",$D5794+IF($E5794="",0,$E5794)+IF($F5794="",0,$F5794)-IF($G5794="",0,$G5794))</f>
        <v/>
      </c>
      <c r="I5794" s="12" t="n"/>
      <c r="J5794" s="12" t="n"/>
      <c r="K5794" s="12" t="n"/>
      <c r="L5794" s="14" t="n"/>
      <c r="M5794" s="12" t="n"/>
      <c r="N5794" s="12" t="n"/>
      <c r="O5794" s="12" t="n"/>
    </row>
    <row r="5795">
      <c r="A5795" s="12" t="n"/>
      <c r="B5795" s="13">
        <f>IF($A5795="","",IFERROR(INDEX(Emp_Names,MATCH($A5795,Emp_Codes,0)),"NOT FOUND"))</f>
        <v/>
      </c>
      <c r="C5795" s="14" t="n"/>
      <c r="D5795" s="15" t="n"/>
      <c r="E5795" s="15" t="n"/>
      <c r="F5795" s="15" t="n"/>
      <c r="G5795" s="15" t="n"/>
      <c r="H5795" s="16">
        <f>IF($A5795="","",$D5795+IF($E5795="",0,$E5795)+IF($F5795="",0,$F5795)-IF($G5795="",0,$G5795))</f>
        <v/>
      </c>
      <c r="I5795" s="12" t="n"/>
      <c r="J5795" s="12" t="n"/>
      <c r="K5795" s="12" t="n"/>
      <c r="L5795" s="14" t="n"/>
      <c r="M5795" s="12" t="n"/>
      <c r="N5795" s="12" t="n"/>
      <c r="O5795" s="12" t="n"/>
    </row>
    <row r="5796">
      <c r="A5796" s="12" t="n"/>
      <c r="B5796" s="13">
        <f>IF($A5796="","",IFERROR(INDEX(Emp_Names,MATCH($A5796,Emp_Codes,0)),"NOT FOUND"))</f>
        <v/>
      </c>
      <c r="C5796" s="14" t="n"/>
      <c r="D5796" s="15" t="n"/>
      <c r="E5796" s="15" t="n"/>
      <c r="F5796" s="15" t="n"/>
      <c r="G5796" s="15" t="n"/>
      <c r="H5796" s="16">
        <f>IF($A5796="","",$D5796+IF($E5796="",0,$E5796)+IF($F5796="",0,$F5796)-IF($G5796="",0,$G5796))</f>
        <v/>
      </c>
      <c r="I5796" s="12" t="n"/>
      <c r="J5796" s="12" t="n"/>
      <c r="K5796" s="12" t="n"/>
      <c r="L5796" s="14" t="n"/>
      <c r="M5796" s="12" t="n"/>
      <c r="N5796" s="12" t="n"/>
      <c r="O5796" s="12" t="n"/>
    </row>
    <row r="5797">
      <c r="A5797" s="12" t="n"/>
      <c r="B5797" s="13">
        <f>IF($A5797="","",IFERROR(INDEX(Emp_Names,MATCH($A5797,Emp_Codes,0)),"NOT FOUND"))</f>
        <v/>
      </c>
      <c r="C5797" s="14" t="n"/>
      <c r="D5797" s="15" t="n"/>
      <c r="E5797" s="15" t="n"/>
      <c r="F5797" s="15" t="n"/>
      <c r="G5797" s="15" t="n"/>
      <c r="H5797" s="16">
        <f>IF($A5797="","",$D5797+IF($E5797="",0,$E5797)+IF($F5797="",0,$F5797)-IF($G5797="",0,$G5797))</f>
        <v/>
      </c>
      <c r="I5797" s="12" t="n"/>
      <c r="J5797" s="12" t="n"/>
      <c r="K5797" s="12" t="n"/>
      <c r="L5797" s="14" t="n"/>
      <c r="M5797" s="12" t="n"/>
      <c r="N5797" s="12" t="n"/>
      <c r="O5797" s="12" t="n"/>
    </row>
    <row r="5798">
      <c r="A5798" s="12" t="n"/>
      <c r="B5798" s="13">
        <f>IF($A5798="","",IFERROR(INDEX(Emp_Names,MATCH($A5798,Emp_Codes,0)),"NOT FOUND"))</f>
        <v/>
      </c>
      <c r="C5798" s="14" t="n"/>
      <c r="D5798" s="15" t="n"/>
      <c r="E5798" s="15" t="n"/>
      <c r="F5798" s="15" t="n"/>
      <c r="G5798" s="15" t="n"/>
      <c r="H5798" s="16">
        <f>IF($A5798="","",$D5798+IF($E5798="",0,$E5798)+IF($F5798="",0,$F5798)-IF($G5798="",0,$G5798))</f>
        <v/>
      </c>
      <c r="I5798" s="12" t="n"/>
      <c r="J5798" s="12" t="n"/>
      <c r="K5798" s="12" t="n"/>
      <c r="L5798" s="14" t="n"/>
      <c r="M5798" s="12" t="n"/>
      <c r="N5798" s="12" t="n"/>
      <c r="O5798" s="12" t="n"/>
    </row>
    <row r="5799">
      <c r="A5799" s="12" t="n"/>
      <c r="B5799" s="13">
        <f>IF($A5799="","",IFERROR(INDEX(Emp_Names,MATCH($A5799,Emp_Codes,0)),"NOT FOUND"))</f>
        <v/>
      </c>
      <c r="C5799" s="14" t="n"/>
      <c r="D5799" s="15" t="n"/>
      <c r="E5799" s="15" t="n"/>
      <c r="F5799" s="15" t="n"/>
      <c r="G5799" s="15" t="n"/>
      <c r="H5799" s="16">
        <f>IF($A5799="","",$D5799+IF($E5799="",0,$E5799)+IF($F5799="",0,$F5799)-IF($G5799="",0,$G5799))</f>
        <v/>
      </c>
      <c r="I5799" s="12" t="n"/>
      <c r="J5799" s="12" t="n"/>
      <c r="K5799" s="12" t="n"/>
      <c r="L5799" s="14" t="n"/>
      <c r="M5799" s="12" t="n"/>
      <c r="N5799" s="12" t="n"/>
      <c r="O5799" s="12" t="n"/>
    </row>
    <row r="5800">
      <c r="A5800" s="12" t="n"/>
      <c r="B5800" s="13">
        <f>IF($A5800="","",IFERROR(INDEX(Emp_Names,MATCH($A5800,Emp_Codes,0)),"NOT FOUND"))</f>
        <v/>
      </c>
      <c r="C5800" s="14" t="n"/>
      <c r="D5800" s="15" t="n"/>
      <c r="E5800" s="15" t="n"/>
      <c r="F5800" s="15" t="n"/>
      <c r="G5800" s="15" t="n"/>
      <c r="H5800" s="16">
        <f>IF($A5800="","",$D5800+IF($E5800="",0,$E5800)+IF($F5800="",0,$F5800)-IF($G5800="",0,$G5800))</f>
        <v/>
      </c>
      <c r="I5800" s="12" t="n"/>
      <c r="J5800" s="12" t="n"/>
      <c r="K5800" s="12" t="n"/>
      <c r="L5800" s="14" t="n"/>
      <c r="M5800" s="12" t="n"/>
      <c r="N5800" s="12" t="n"/>
      <c r="O5800" s="12" t="n"/>
    </row>
    <row r="5801">
      <c r="A5801" s="12" t="n"/>
      <c r="B5801" s="13">
        <f>IF($A5801="","",IFERROR(INDEX(Emp_Names,MATCH($A5801,Emp_Codes,0)),"NOT FOUND"))</f>
        <v/>
      </c>
      <c r="C5801" s="14" t="n"/>
      <c r="D5801" s="15" t="n"/>
      <c r="E5801" s="15" t="n"/>
      <c r="F5801" s="15" t="n"/>
      <c r="G5801" s="15" t="n"/>
      <c r="H5801" s="16">
        <f>IF($A5801="","",$D5801+IF($E5801="",0,$E5801)+IF($F5801="",0,$F5801)-IF($G5801="",0,$G5801))</f>
        <v/>
      </c>
      <c r="I5801" s="12" t="n"/>
      <c r="J5801" s="12" t="n"/>
      <c r="K5801" s="12" t="n"/>
      <c r="L5801" s="14" t="n"/>
      <c r="M5801" s="12" t="n"/>
      <c r="N5801" s="12" t="n"/>
      <c r="O5801" s="12" t="n"/>
    </row>
    <row r="5802">
      <c r="A5802" s="12" t="n"/>
      <c r="B5802" s="13">
        <f>IF($A5802="","",IFERROR(INDEX(Emp_Names,MATCH($A5802,Emp_Codes,0)),"NOT FOUND"))</f>
        <v/>
      </c>
      <c r="C5802" s="14" t="n"/>
      <c r="D5802" s="15" t="n"/>
      <c r="E5802" s="15" t="n"/>
      <c r="F5802" s="15" t="n"/>
      <c r="G5802" s="15" t="n"/>
      <c r="H5802" s="16">
        <f>IF($A5802="","",$D5802+IF($E5802="",0,$E5802)+IF($F5802="",0,$F5802)-IF($G5802="",0,$G5802))</f>
        <v/>
      </c>
      <c r="I5802" s="12" t="n"/>
      <c r="J5802" s="12" t="n"/>
      <c r="K5802" s="12" t="n"/>
      <c r="L5802" s="14" t="n"/>
      <c r="M5802" s="12" t="n"/>
      <c r="N5802" s="12" t="n"/>
      <c r="O5802" s="12" t="n"/>
    </row>
    <row r="5803">
      <c r="A5803" s="12" t="n"/>
      <c r="B5803" s="13">
        <f>IF($A5803="","",IFERROR(INDEX(Emp_Names,MATCH($A5803,Emp_Codes,0)),"NOT FOUND"))</f>
        <v/>
      </c>
      <c r="C5803" s="14" t="n"/>
      <c r="D5803" s="15" t="n"/>
      <c r="E5803" s="15" t="n"/>
      <c r="F5803" s="15" t="n"/>
      <c r="G5803" s="15" t="n"/>
      <c r="H5803" s="16">
        <f>IF($A5803="","",$D5803+IF($E5803="",0,$E5803)+IF($F5803="",0,$F5803)-IF($G5803="",0,$G5803))</f>
        <v/>
      </c>
      <c r="I5803" s="12" t="n"/>
      <c r="J5803" s="12" t="n"/>
      <c r="K5803" s="12" t="n"/>
      <c r="L5803" s="14" t="n"/>
      <c r="M5803" s="12" t="n"/>
      <c r="N5803" s="12" t="n"/>
      <c r="O5803" s="12" t="n"/>
    </row>
    <row r="5804">
      <c r="A5804" s="12" t="n"/>
      <c r="B5804" s="13">
        <f>IF($A5804="","",IFERROR(INDEX(Emp_Names,MATCH($A5804,Emp_Codes,0)),"NOT FOUND"))</f>
        <v/>
      </c>
      <c r="C5804" s="14" t="n"/>
      <c r="D5804" s="15" t="n"/>
      <c r="E5804" s="15" t="n"/>
      <c r="F5804" s="15" t="n"/>
      <c r="G5804" s="15" t="n"/>
      <c r="H5804" s="16">
        <f>IF($A5804="","",$D5804+IF($E5804="",0,$E5804)+IF($F5804="",0,$F5804)-IF($G5804="",0,$G5804))</f>
        <v/>
      </c>
      <c r="I5804" s="12" t="n"/>
      <c r="J5804" s="12" t="n"/>
      <c r="K5804" s="12" t="n"/>
      <c r="L5804" s="14" t="n"/>
      <c r="M5804" s="12" t="n"/>
      <c r="N5804" s="12" t="n"/>
      <c r="O5804" s="12" t="n"/>
    </row>
    <row r="5805">
      <c r="A5805" s="12" t="n"/>
      <c r="B5805" s="13">
        <f>IF($A5805="","",IFERROR(INDEX(Emp_Names,MATCH($A5805,Emp_Codes,0)),"NOT FOUND"))</f>
        <v/>
      </c>
      <c r="C5805" s="14" t="n"/>
      <c r="D5805" s="15" t="n"/>
      <c r="E5805" s="15" t="n"/>
      <c r="F5805" s="15" t="n"/>
      <c r="G5805" s="15" t="n"/>
      <c r="H5805" s="16">
        <f>IF($A5805="","",$D5805+IF($E5805="",0,$E5805)+IF($F5805="",0,$F5805)-IF($G5805="",0,$G5805))</f>
        <v/>
      </c>
      <c r="I5805" s="12" t="n"/>
      <c r="J5805" s="12" t="n"/>
      <c r="K5805" s="12" t="n"/>
      <c r="L5805" s="14" t="n"/>
      <c r="M5805" s="12" t="n"/>
      <c r="N5805" s="12" t="n"/>
      <c r="O5805" s="12" t="n"/>
    </row>
    <row r="5806">
      <c r="A5806" s="12" t="n"/>
      <c r="B5806" s="13">
        <f>IF($A5806="","",IFERROR(INDEX(Emp_Names,MATCH($A5806,Emp_Codes,0)),"NOT FOUND"))</f>
        <v/>
      </c>
      <c r="C5806" s="14" t="n"/>
      <c r="D5806" s="15" t="n"/>
      <c r="E5806" s="15" t="n"/>
      <c r="F5806" s="15" t="n"/>
      <c r="G5806" s="15" t="n"/>
      <c r="H5806" s="16">
        <f>IF($A5806="","",$D5806+IF($E5806="",0,$E5806)+IF($F5806="",0,$F5806)-IF($G5806="",0,$G5806))</f>
        <v/>
      </c>
      <c r="I5806" s="12" t="n"/>
      <c r="J5806" s="12" t="n"/>
      <c r="K5806" s="12" t="n"/>
      <c r="L5806" s="14" t="n"/>
      <c r="M5806" s="12" t="n"/>
      <c r="N5806" s="12" t="n"/>
      <c r="O5806" s="12" t="n"/>
    </row>
    <row r="5807">
      <c r="A5807" s="12" t="n"/>
      <c r="B5807" s="13">
        <f>IF($A5807="","",IFERROR(INDEX(Emp_Names,MATCH($A5807,Emp_Codes,0)),"NOT FOUND"))</f>
        <v/>
      </c>
      <c r="C5807" s="14" t="n"/>
      <c r="D5807" s="15" t="n"/>
      <c r="E5807" s="15" t="n"/>
      <c r="F5807" s="15" t="n"/>
      <c r="G5807" s="15" t="n"/>
      <c r="H5807" s="16">
        <f>IF($A5807="","",$D5807+IF($E5807="",0,$E5807)+IF($F5807="",0,$F5807)-IF($G5807="",0,$G5807))</f>
        <v/>
      </c>
      <c r="I5807" s="12" t="n"/>
      <c r="J5807" s="12" t="n"/>
      <c r="K5807" s="12" t="n"/>
      <c r="L5807" s="14" t="n"/>
      <c r="M5807" s="12" t="n"/>
      <c r="N5807" s="12" t="n"/>
      <c r="O5807" s="12" t="n"/>
    </row>
    <row r="5808">
      <c r="A5808" s="12" t="n"/>
      <c r="B5808" s="13">
        <f>IF($A5808="","",IFERROR(INDEX(Emp_Names,MATCH($A5808,Emp_Codes,0)),"NOT FOUND"))</f>
        <v/>
      </c>
      <c r="C5808" s="14" t="n"/>
      <c r="D5808" s="15" t="n"/>
      <c r="E5808" s="15" t="n"/>
      <c r="F5808" s="15" t="n"/>
      <c r="G5808" s="15" t="n"/>
      <c r="H5808" s="16">
        <f>IF($A5808="","",$D5808+IF($E5808="",0,$E5808)+IF($F5808="",0,$F5808)-IF($G5808="",0,$G5808))</f>
        <v/>
      </c>
      <c r="I5808" s="12" t="n"/>
      <c r="J5808" s="12" t="n"/>
      <c r="K5808" s="12" t="n"/>
      <c r="L5808" s="14" t="n"/>
      <c r="M5808" s="12" t="n"/>
      <c r="N5808" s="12" t="n"/>
      <c r="O5808" s="12" t="n"/>
    </row>
    <row r="5809">
      <c r="A5809" s="12" t="n"/>
      <c r="B5809" s="13">
        <f>IF($A5809="","",IFERROR(INDEX(Emp_Names,MATCH($A5809,Emp_Codes,0)),"NOT FOUND"))</f>
        <v/>
      </c>
      <c r="C5809" s="14" t="n"/>
      <c r="D5809" s="15" t="n"/>
      <c r="E5809" s="15" t="n"/>
      <c r="F5809" s="15" t="n"/>
      <c r="G5809" s="15" t="n"/>
      <c r="H5809" s="16">
        <f>IF($A5809="","",$D5809+IF($E5809="",0,$E5809)+IF($F5809="",0,$F5809)-IF($G5809="",0,$G5809))</f>
        <v/>
      </c>
      <c r="I5809" s="12" t="n"/>
      <c r="J5809" s="12" t="n"/>
      <c r="K5809" s="12" t="n"/>
      <c r="L5809" s="14" t="n"/>
      <c r="M5809" s="12" t="n"/>
      <c r="N5809" s="12" t="n"/>
      <c r="O5809" s="12" t="n"/>
    </row>
    <row r="5810">
      <c r="A5810" s="12" t="n"/>
      <c r="B5810" s="13">
        <f>IF($A5810="","",IFERROR(INDEX(Emp_Names,MATCH($A5810,Emp_Codes,0)),"NOT FOUND"))</f>
        <v/>
      </c>
      <c r="C5810" s="14" t="n"/>
      <c r="D5810" s="15" t="n"/>
      <c r="E5810" s="15" t="n"/>
      <c r="F5810" s="15" t="n"/>
      <c r="G5810" s="15" t="n"/>
      <c r="H5810" s="16">
        <f>IF($A5810="","",$D5810+IF($E5810="",0,$E5810)+IF($F5810="",0,$F5810)-IF($G5810="",0,$G5810))</f>
        <v/>
      </c>
      <c r="I5810" s="12" t="n"/>
      <c r="J5810" s="12" t="n"/>
      <c r="K5810" s="12" t="n"/>
      <c r="L5810" s="14" t="n"/>
      <c r="M5810" s="12" t="n"/>
      <c r="N5810" s="12" t="n"/>
      <c r="O5810" s="12" t="n"/>
    </row>
    <row r="5811">
      <c r="A5811" s="12" t="n"/>
      <c r="B5811" s="13">
        <f>IF($A5811="","",IFERROR(INDEX(Emp_Names,MATCH($A5811,Emp_Codes,0)),"NOT FOUND"))</f>
        <v/>
      </c>
      <c r="C5811" s="14" t="n"/>
      <c r="D5811" s="15" t="n"/>
      <c r="E5811" s="15" t="n"/>
      <c r="F5811" s="15" t="n"/>
      <c r="G5811" s="15" t="n"/>
      <c r="H5811" s="16">
        <f>IF($A5811="","",$D5811+IF($E5811="",0,$E5811)+IF($F5811="",0,$F5811)-IF($G5811="",0,$G5811))</f>
        <v/>
      </c>
      <c r="I5811" s="12" t="n"/>
      <c r="J5811" s="12" t="n"/>
      <c r="K5811" s="12" t="n"/>
      <c r="L5811" s="14" t="n"/>
      <c r="M5811" s="12" t="n"/>
      <c r="N5811" s="12" t="n"/>
      <c r="O5811" s="12" t="n"/>
    </row>
    <row r="5812">
      <c r="A5812" s="12" t="n"/>
      <c r="B5812" s="13">
        <f>IF($A5812="","",IFERROR(INDEX(Emp_Names,MATCH($A5812,Emp_Codes,0)),"NOT FOUND"))</f>
        <v/>
      </c>
      <c r="C5812" s="14" t="n"/>
      <c r="D5812" s="15" t="n"/>
      <c r="E5812" s="15" t="n"/>
      <c r="F5812" s="15" t="n"/>
      <c r="G5812" s="15" t="n"/>
      <c r="H5812" s="16">
        <f>IF($A5812="","",$D5812+IF($E5812="",0,$E5812)+IF($F5812="",0,$F5812)-IF($G5812="",0,$G5812))</f>
        <v/>
      </c>
      <c r="I5812" s="12" t="n"/>
      <c r="J5812" s="12" t="n"/>
      <c r="K5812" s="12" t="n"/>
      <c r="L5812" s="14" t="n"/>
      <c r="M5812" s="12" t="n"/>
      <c r="N5812" s="12" t="n"/>
      <c r="O5812" s="12" t="n"/>
    </row>
    <row r="5813">
      <c r="A5813" s="12" t="n"/>
      <c r="B5813" s="13">
        <f>IF($A5813="","",IFERROR(INDEX(Emp_Names,MATCH($A5813,Emp_Codes,0)),"NOT FOUND"))</f>
        <v/>
      </c>
      <c r="C5813" s="14" t="n"/>
      <c r="D5813" s="15" t="n"/>
      <c r="E5813" s="15" t="n"/>
      <c r="F5813" s="15" t="n"/>
      <c r="G5813" s="15" t="n"/>
      <c r="H5813" s="16">
        <f>IF($A5813="","",$D5813+IF($E5813="",0,$E5813)+IF($F5813="",0,$F5813)-IF($G5813="",0,$G5813))</f>
        <v/>
      </c>
      <c r="I5813" s="12" t="n"/>
      <c r="J5813" s="12" t="n"/>
      <c r="K5813" s="12" t="n"/>
      <c r="L5813" s="14" t="n"/>
      <c r="M5813" s="12" t="n"/>
      <c r="N5813" s="12" t="n"/>
      <c r="O5813" s="12" t="n"/>
    </row>
    <row r="5814">
      <c r="A5814" s="12" t="n"/>
      <c r="B5814" s="13">
        <f>IF($A5814="","",IFERROR(INDEX(Emp_Names,MATCH($A5814,Emp_Codes,0)),"NOT FOUND"))</f>
        <v/>
      </c>
      <c r="C5814" s="14" t="n"/>
      <c r="D5814" s="15" t="n"/>
      <c r="E5814" s="15" t="n"/>
      <c r="F5814" s="15" t="n"/>
      <c r="G5814" s="15" t="n"/>
      <c r="H5814" s="16">
        <f>IF($A5814="","",$D5814+IF($E5814="",0,$E5814)+IF($F5814="",0,$F5814)-IF($G5814="",0,$G5814))</f>
        <v/>
      </c>
      <c r="I5814" s="12" t="n"/>
      <c r="J5814" s="12" t="n"/>
      <c r="K5814" s="12" t="n"/>
      <c r="L5814" s="14" t="n"/>
      <c r="M5814" s="12" t="n"/>
      <c r="N5814" s="12" t="n"/>
      <c r="O5814" s="12" t="n"/>
    </row>
    <row r="5815">
      <c r="A5815" s="12" t="n"/>
      <c r="B5815" s="13">
        <f>IF($A5815="","",IFERROR(INDEX(Emp_Names,MATCH($A5815,Emp_Codes,0)),"NOT FOUND"))</f>
        <v/>
      </c>
      <c r="C5815" s="14" t="n"/>
      <c r="D5815" s="15" t="n"/>
      <c r="E5815" s="15" t="n"/>
      <c r="F5815" s="15" t="n"/>
      <c r="G5815" s="15" t="n"/>
      <c r="H5815" s="16">
        <f>IF($A5815="","",$D5815+IF($E5815="",0,$E5815)+IF($F5815="",0,$F5815)-IF($G5815="",0,$G5815))</f>
        <v/>
      </c>
      <c r="I5815" s="12" t="n"/>
      <c r="J5815" s="12" t="n"/>
      <c r="K5815" s="12" t="n"/>
      <c r="L5815" s="14" t="n"/>
      <c r="M5815" s="12" t="n"/>
      <c r="N5815" s="12" t="n"/>
      <c r="O5815" s="12" t="n"/>
    </row>
    <row r="5816">
      <c r="A5816" s="12" t="n"/>
      <c r="B5816" s="13">
        <f>IF($A5816="","",IFERROR(INDEX(Emp_Names,MATCH($A5816,Emp_Codes,0)),"NOT FOUND"))</f>
        <v/>
      </c>
      <c r="C5816" s="14" t="n"/>
      <c r="D5816" s="15" t="n"/>
      <c r="E5816" s="15" t="n"/>
      <c r="F5816" s="15" t="n"/>
      <c r="G5816" s="15" t="n"/>
      <c r="H5816" s="16">
        <f>IF($A5816="","",$D5816+IF($E5816="",0,$E5816)+IF($F5816="",0,$F5816)-IF($G5816="",0,$G5816))</f>
        <v/>
      </c>
      <c r="I5816" s="12" t="n"/>
      <c r="J5816" s="12" t="n"/>
      <c r="K5816" s="12" t="n"/>
      <c r="L5816" s="14" t="n"/>
      <c r="M5816" s="12" t="n"/>
      <c r="N5816" s="12" t="n"/>
      <c r="O5816" s="12" t="n"/>
    </row>
    <row r="5817">
      <c r="A5817" s="12" t="n"/>
      <c r="B5817" s="13">
        <f>IF($A5817="","",IFERROR(INDEX(Emp_Names,MATCH($A5817,Emp_Codes,0)),"NOT FOUND"))</f>
        <v/>
      </c>
      <c r="C5817" s="14" t="n"/>
      <c r="D5817" s="15" t="n"/>
      <c r="E5817" s="15" t="n"/>
      <c r="F5817" s="15" t="n"/>
      <c r="G5817" s="15" t="n"/>
      <c r="H5817" s="16">
        <f>IF($A5817="","",$D5817+IF($E5817="",0,$E5817)+IF($F5817="",0,$F5817)-IF($G5817="",0,$G5817))</f>
        <v/>
      </c>
      <c r="I5817" s="12" t="n"/>
      <c r="J5817" s="12" t="n"/>
      <c r="K5817" s="12" t="n"/>
      <c r="L5817" s="14" t="n"/>
      <c r="M5817" s="12" t="n"/>
      <c r="N5817" s="12" t="n"/>
      <c r="O5817" s="12" t="n"/>
    </row>
    <row r="5818">
      <c r="A5818" s="12" t="n"/>
      <c r="B5818" s="13">
        <f>IF($A5818="","",IFERROR(INDEX(Emp_Names,MATCH($A5818,Emp_Codes,0)),"NOT FOUND"))</f>
        <v/>
      </c>
      <c r="C5818" s="14" t="n"/>
      <c r="D5818" s="15" t="n"/>
      <c r="E5818" s="15" t="n"/>
      <c r="F5818" s="15" t="n"/>
      <c r="G5818" s="15" t="n"/>
      <c r="H5818" s="16">
        <f>IF($A5818="","",$D5818+IF($E5818="",0,$E5818)+IF($F5818="",0,$F5818)-IF($G5818="",0,$G5818))</f>
        <v/>
      </c>
      <c r="I5818" s="12" t="n"/>
      <c r="J5818" s="12" t="n"/>
      <c r="K5818" s="12" t="n"/>
      <c r="L5818" s="14" t="n"/>
      <c r="M5818" s="12" t="n"/>
      <c r="N5818" s="12" t="n"/>
      <c r="O5818" s="12" t="n"/>
    </row>
    <row r="5819">
      <c r="A5819" s="12" t="n"/>
      <c r="B5819" s="13">
        <f>IF($A5819="","",IFERROR(INDEX(Emp_Names,MATCH($A5819,Emp_Codes,0)),"NOT FOUND"))</f>
        <v/>
      </c>
      <c r="C5819" s="14" t="n"/>
      <c r="D5819" s="15" t="n"/>
      <c r="E5819" s="15" t="n"/>
      <c r="F5819" s="15" t="n"/>
      <c r="G5819" s="15" t="n"/>
      <c r="H5819" s="16">
        <f>IF($A5819="","",$D5819+IF($E5819="",0,$E5819)+IF($F5819="",0,$F5819)-IF($G5819="",0,$G5819))</f>
        <v/>
      </c>
      <c r="I5819" s="12" t="n"/>
      <c r="J5819" s="12" t="n"/>
      <c r="K5819" s="12" t="n"/>
      <c r="L5819" s="14" t="n"/>
      <c r="M5819" s="12" t="n"/>
      <c r="N5819" s="12" t="n"/>
      <c r="O5819" s="12" t="n"/>
    </row>
    <row r="5820">
      <c r="A5820" s="12" t="n"/>
      <c r="B5820" s="13">
        <f>IF($A5820="","",IFERROR(INDEX(Emp_Names,MATCH($A5820,Emp_Codes,0)),"NOT FOUND"))</f>
        <v/>
      </c>
      <c r="C5820" s="14" t="n"/>
      <c r="D5820" s="15" t="n"/>
      <c r="E5820" s="15" t="n"/>
      <c r="F5820" s="15" t="n"/>
      <c r="G5820" s="15" t="n"/>
      <c r="H5820" s="16">
        <f>IF($A5820="","",$D5820+IF($E5820="",0,$E5820)+IF($F5820="",0,$F5820)-IF($G5820="",0,$G5820))</f>
        <v/>
      </c>
      <c r="I5820" s="12" t="n"/>
      <c r="J5820" s="12" t="n"/>
      <c r="K5820" s="12" t="n"/>
      <c r="L5820" s="14" t="n"/>
      <c r="M5820" s="12" t="n"/>
      <c r="N5820" s="12" t="n"/>
      <c r="O5820" s="12" t="n"/>
    </row>
    <row r="5821">
      <c r="A5821" s="12" t="n"/>
      <c r="B5821" s="13">
        <f>IF($A5821="","",IFERROR(INDEX(Emp_Names,MATCH($A5821,Emp_Codes,0)),"NOT FOUND"))</f>
        <v/>
      </c>
      <c r="C5821" s="14" t="n"/>
      <c r="D5821" s="15" t="n"/>
      <c r="E5821" s="15" t="n"/>
      <c r="F5821" s="15" t="n"/>
      <c r="G5821" s="15" t="n"/>
      <c r="H5821" s="16">
        <f>IF($A5821="","",$D5821+IF($E5821="",0,$E5821)+IF($F5821="",0,$F5821)-IF($G5821="",0,$G5821))</f>
        <v/>
      </c>
      <c r="I5821" s="12" t="n"/>
      <c r="J5821" s="12" t="n"/>
      <c r="K5821" s="12" t="n"/>
      <c r="L5821" s="14" t="n"/>
      <c r="M5821" s="12" t="n"/>
      <c r="N5821" s="12" t="n"/>
      <c r="O5821" s="12" t="n"/>
    </row>
    <row r="5822">
      <c r="A5822" s="12" t="n"/>
      <c r="B5822" s="13">
        <f>IF($A5822="","",IFERROR(INDEX(Emp_Names,MATCH($A5822,Emp_Codes,0)),"NOT FOUND"))</f>
        <v/>
      </c>
      <c r="C5822" s="14" t="n"/>
      <c r="D5822" s="15" t="n"/>
      <c r="E5822" s="15" t="n"/>
      <c r="F5822" s="15" t="n"/>
      <c r="G5822" s="15" t="n"/>
      <c r="H5822" s="16">
        <f>IF($A5822="","",$D5822+IF($E5822="",0,$E5822)+IF($F5822="",0,$F5822)-IF($G5822="",0,$G5822))</f>
        <v/>
      </c>
      <c r="I5822" s="12" t="n"/>
      <c r="J5822" s="12" t="n"/>
      <c r="K5822" s="12" t="n"/>
      <c r="L5822" s="14" t="n"/>
      <c r="M5822" s="12" t="n"/>
      <c r="N5822" s="12" t="n"/>
      <c r="O5822" s="12" t="n"/>
    </row>
    <row r="5823">
      <c r="A5823" s="12" t="n"/>
      <c r="B5823" s="13">
        <f>IF($A5823="","",IFERROR(INDEX(Emp_Names,MATCH($A5823,Emp_Codes,0)),"NOT FOUND"))</f>
        <v/>
      </c>
      <c r="C5823" s="14" t="n"/>
      <c r="D5823" s="15" t="n"/>
      <c r="E5823" s="15" t="n"/>
      <c r="F5823" s="15" t="n"/>
      <c r="G5823" s="15" t="n"/>
      <c r="H5823" s="16">
        <f>IF($A5823="","",$D5823+IF($E5823="",0,$E5823)+IF($F5823="",0,$F5823)-IF($G5823="",0,$G5823))</f>
        <v/>
      </c>
      <c r="I5823" s="12" t="n"/>
      <c r="J5823" s="12" t="n"/>
      <c r="K5823" s="12" t="n"/>
      <c r="L5823" s="14" t="n"/>
      <c r="M5823" s="12" t="n"/>
      <c r="N5823" s="12" t="n"/>
      <c r="O5823" s="12" t="n"/>
    </row>
    <row r="5824">
      <c r="A5824" s="12" t="n"/>
      <c r="B5824" s="13">
        <f>IF($A5824="","",IFERROR(INDEX(Emp_Names,MATCH($A5824,Emp_Codes,0)),"NOT FOUND"))</f>
        <v/>
      </c>
      <c r="C5824" s="14" t="n"/>
      <c r="D5824" s="15" t="n"/>
      <c r="E5824" s="15" t="n"/>
      <c r="F5824" s="15" t="n"/>
      <c r="G5824" s="15" t="n"/>
      <c r="H5824" s="16">
        <f>IF($A5824="","",$D5824+IF($E5824="",0,$E5824)+IF($F5824="",0,$F5824)-IF($G5824="",0,$G5824))</f>
        <v/>
      </c>
      <c r="I5824" s="12" t="n"/>
      <c r="J5824" s="12" t="n"/>
      <c r="K5824" s="12" t="n"/>
      <c r="L5824" s="14" t="n"/>
      <c r="M5824" s="12" t="n"/>
      <c r="N5824" s="12" t="n"/>
      <c r="O5824" s="12" t="n"/>
    </row>
    <row r="5825">
      <c r="A5825" s="12" t="n"/>
      <c r="B5825" s="13">
        <f>IF($A5825="","",IFERROR(INDEX(Emp_Names,MATCH($A5825,Emp_Codes,0)),"NOT FOUND"))</f>
        <v/>
      </c>
      <c r="C5825" s="14" t="n"/>
      <c r="D5825" s="15" t="n"/>
      <c r="E5825" s="15" t="n"/>
      <c r="F5825" s="15" t="n"/>
      <c r="G5825" s="15" t="n"/>
      <c r="H5825" s="16">
        <f>IF($A5825="","",$D5825+IF($E5825="",0,$E5825)+IF($F5825="",0,$F5825)-IF($G5825="",0,$G5825))</f>
        <v/>
      </c>
      <c r="I5825" s="12" t="n"/>
      <c r="J5825" s="12" t="n"/>
      <c r="K5825" s="12" t="n"/>
      <c r="L5825" s="14" t="n"/>
      <c r="M5825" s="12" t="n"/>
      <c r="N5825" s="12" t="n"/>
      <c r="O5825" s="12" t="n"/>
    </row>
    <row r="5826">
      <c r="A5826" s="12" t="n"/>
      <c r="B5826" s="13">
        <f>IF($A5826="","",IFERROR(INDEX(Emp_Names,MATCH($A5826,Emp_Codes,0)),"NOT FOUND"))</f>
        <v/>
      </c>
      <c r="C5826" s="14" t="n"/>
      <c r="D5826" s="15" t="n"/>
      <c r="E5826" s="15" t="n"/>
      <c r="F5826" s="15" t="n"/>
      <c r="G5826" s="15" t="n"/>
      <c r="H5826" s="16">
        <f>IF($A5826="","",$D5826+IF($E5826="",0,$E5826)+IF($F5826="",0,$F5826)-IF($G5826="",0,$G5826))</f>
        <v/>
      </c>
      <c r="I5826" s="12" t="n"/>
      <c r="J5826" s="12" t="n"/>
      <c r="K5826" s="12" t="n"/>
      <c r="L5826" s="14" t="n"/>
      <c r="M5826" s="12" t="n"/>
      <c r="N5826" s="12" t="n"/>
      <c r="O5826" s="12" t="n"/>
    </row>
    <row r="5827">
      <c r="A5827" s="12" t="n"/>
      <c r="B5827" s="13">
        <f>IF($A5827="","",IFERROR(INDEX(Emp_Names,MATCH($A5827,Emp_Codes,0)),"NOT FOUND"))</f>
        <v/>
      </c>
      <c r="C5827" s="14" t="n"/>
      <c r="D5827" s="15" t="n"/>
      <c r="E5827" s="15" t="n"/>
      <c r="F5827" s="15" t="n"/>
      <c r="G5827" s="15" t="n"/>
      <c r="H5827" s="16">
        <f>IF($A5827="","",$D5827+IF($E5827="",0,$E5827)+IF($F5827="",0,$F5827)-IF($G5827="",0,$G5827))</f>
        <v/>
      </c>
      <c r="I5827" s="12" t="n"/>
      <c r="J5827" s="12" t="n"/>
      <c r="K5827" s="12" t="n"/>
      <c r="L5827" s="14" t="n"/>
      <c r="M5827" s="12" t="n"/>
      <c r="N5827" s="12" t="n"/>
      <c r="O5827" s="12" t="n"/>
    </row>
    <row r="5828">
      <c r="A5828" s="12" t="n"/>
      <c r="B5828" s="13">
        <f>IF($A5828="","",IFERROR(INDEX(Emp_Names,MATCH($A5828,Emp_Codes,0)),"NOT FOUND"))</f>
        <v/>
      </c>
      <c r="C5828" s="14" t="n"/>
      <c r="D5828" s="15" t="n"/>
      <c r="E5828" s="15" t="n"/>
      <c r="F5828" s="15" t="n"/>
      <c r="G5828" s="15" t="n"/>
      <c r="H5828" s="16">
        <f>IF($A5828="","",$D5828+IF($E5828="",0,$E5828)+IF($F5828="",0,$F5828)-IF($G5828="",0,$G5828))</f>
        <v/>
      </c>
      <c r="I5828" s="12" t="n"/>
      <c r="J5828" s="12" t="n"/>
      <c r="K5828" s="12" t="n"/>
      <c r="L5828" s="14" t="n"/>
      <c r="M5828" s="12" t="n"/>
      <c r="N5828" s="12" t="n"/>
      <c r="O5828" s="12" t="n"/>
    </row>
    <row r="5829">
      <c r="A5829" s="12" t="n"/>
      <c r="B5829" s="13">
        <f>IF($A5829="","",IFERROR(INDEX(Emp_Names,MATCH($A5829,Emp_Codes,0)),"NOT FOUND"))</f>
        <v/>
      </c>
      <c r="C5829" s="14" t="n"/>
      <c r="D5829" s="15" t="n"/>
      <c r="E5829" s="15" t="n"/>
      <c r="F5829" s="15" t="n"/>
      <c r="G5829" s="15" t="n"/>
      <c r="H5829" s="16">
        <f>IF($A5829="","",$D5829+IF($E5829="",0,$E5829)+IF($F5829="",0,$F5829)-IF($G5829="",0,$G5829))</f>
        <v/>
      </c>
      <c r="I5829" s="12" t="n"/>
      <c r="J5829" s="12" t="n"/>
      <c r="K5829" s="12" t="n"/>
      <c r="L5829" s="14" t="n"/>
      <c r="M5829" s="12" t="n"/>
      <c r="N5829" s="12" t="n"/>
      <c r="O5829" s="12" t="n"/>
    </row>
    <row r="5830">
      <c r="A5830" s="12" t="n"/>
      <c r="B5830" s="13">
        <f>IF($A5830="","",IFERROR(INDEX(Emp_Names,MATCH($A5830,Emp_Codes,0)),"NOT FOUND"))</f>
        <v/>
      </c>
      <c r="C5830" s="14" t="n"/>
      <c r="D5830" s="15" t="n"/>
      <c r="E5830" s="15" t="n"/>
      <c r="F5830" s="15" t="n"/>
      <c r="G5830" s="15" t="n"/>
      <c r="H5830" s="16">
        <f>IF($A5830="","",$D5830+IF($E5830="",0,$E5830)+IF($F5830="",0,$F5830)-IF($G5830="",0,$G5830))</f>
        <v/>
      </c>
      <c r="I5830" s="12" t="n"/>
      <c r="J5830" s="12" t="n"/>
      <c r="K5830" s="12" t="n"/>
      <c r="L5830" s="14" t="n"/>
      <c r="M5830" s="12" t="n"/>
      <c r="N5830" s="12" t="n"/>
      <c r="O5830" s="12" t="n"/>
    </row>
    <row r="5831">
      <c r="A5831" s="12" t="n"/>
      <c r="B5831" s="13">
        <f>IF($A5831="","",IFERROR(INDEX(Emp_Names,MATCH($A5831,Emp_Codes,0)),"NOT FOUND"))</f>
        <v/>
      </c>
      <c r="C5831" s="14" t="n"/>
      <c r="D5831" s="15" t="n"/>
      <c r="E5831" s="15" t="n"/>
      <c r="F5831" s="15" t="n"/>
      <c r="G5831" s="15" t="n"/>
      <c r="H5831" s="16">
        <f>IF($A5831="","",$D5831+IF($E5831="",0,$E5831)+IF($F5831="",0,$F5831)-IF($G5831="",0,$G5831))</f>
        <v/>
      </c>
      <c r="I5831" s="12" t="n"/>
      <c r="J5831" s="12" t="n"/>
      <c r="K5831" s="12" t="n"/>
      <c r="L5831" s="14" t="n"/>
      <c r="M5831" s="12" t="n"/>
      <c r="N5831" s="12" t="n"/>
      <c r="O5831" s="12" t="n"/>
    </row>
    <row r="5832">
      <c r="A5832" s="12" t="n"/>
      <c r="B5832" s="13">
        <f>IF($A5832="","",IFERROR(INDEX(Emp_Names,MATCH($A5832,Emp_Codes,0)),"NOT FOUND"))</f>
        <v/>
      </c>
      <c r="C5832" s="14" t="n"/>
      <c r="D5832" s="15" t="n"/>
      <c r="E5832" s="15" t="n"/>
      <c r="F5832" s="15" t="n"/>
      <c r="G5832" s="15" t="n"/>
      <c r="H5832" s="16">
        <f>IF($A5832="","",$D5832+IF($E5832="",0,$E5832)+IF($F5832="",0,$F5832)-IF($G5832="",0,$G5832))</f>
        <v/>
      </c>
      <c r="I5832" s="12" t="n"/>
      <c r="J5832" s="12" t="n"/>
      <c r="K5832" s="12" t="n"/>
      <c r="L5832" s="14" t="n"/>
      <c r="M5832" s="12" t="n"/>
      <c r="N5832" s="12" t="n"/>
      <c r="O5832" s="12" t="n"/>
    </row>
    <row r="5833">
      <c r="A5833" s="12" t="n"/>
      <c r="B5833" s="13">
        <f>IF($A5833="","",IFERROR(INDEX(Emp_Names,MATCH($A5833,Emp_Codes,0)),"NOT FOUND"))</f>
        <v/>
      </c>
      <c r="C5833" s="14" t="n"/>
      <c r="D5833" s="15" t="n"/>
      <c r="E5833" s="15" t="n"/>
      <c r="F5833" s="15" t="n"/>
      <c r="G5833" s="15" t="n"/>
      <c r="H5833" s="16">
        <f>IF($A5833="","",$D5833+IF($E5833="",0,$E5833)+IF($F5833="",0,$F5833)-IF($G5833="",0,$G5833))</f>
        <v/>
      </c>
      <c r="I5833" s="12" t="n"/>
      <c r="J5833" s="12" t="n"/>
      <c r="K5833" s="12" t="n"/>
      <c r="L5833" s="14" t="n"/>
      <c r="M5833" s="12" t="n"/>
      <c r="N5833" s="12" t="n"/>
      <c r="O5833" s="12" t="n"/>
    </row>
    <row r="5834">
      <c r="A5834" s="12" t="n"/>
      <c r="B5834" s="13">
        <f>IF($A5834="","",IFERROR(INDEX(Emp_Names,MATCH($A5834,Emp_Codes,0)),"NOT FOUND"))</f>
        <v/>
      </c>
      <c r="C5834" s="14" t="n"/>
      <c r="D5834" s="15" t="n"/>
      <c r="E5834" s="15" t="n"/>
      <c r="F5834" s="15" t="n"/>
      <c r="G5834" s="15" t="n"/>
      <c r="H5834" s="16">
        <f>IF($A5834="","",$D5834+IF($E5834="",0,$E5834)+IF($F5834="",0,$F5834)-IF($G5834="",0,$G5834))</f>
        <v/>
      </c>
      <c r="I5834" s="12" t="n"/>
      <c r="J5834" s="12" t="n"/>
      <c r="K5834" s="12" t="n"/>
      <c r="L5834" s="14" t="n"/>
      <c r="M5834" s="12" t="n"/>
      <c r="N5834" s="12" t="n"/>
      <c r="O5834" s="12" t="n"/>
    </row>
    <row r="5835">
      <c r="A5835" s="12" t="n"/>
      <c r="B5835" s="13">
        <f>IF($A5835="","",IFERROR(INDEX(Emp_Names,MATCH($A5835,Emp_Codes,0)),"NOT FOUND"))</f>
        <v/>
      </c>
      <c r="C5835" s="14" t="n"/>
      <c r="D5835" s="15" t="n"/>
      <c r="E5835" s="15" t="n"/>
      <c r="F5835" s="15" t="n"/>
      <c r="G5835" s="15" t="n"/>
      <c r="H5835" s="16">
        <f>IF($A5835="","",$D5835+IF($E5835="",0,$E5835)+IF($F5835="",0,$F5835)-IF($G5835="",0,$G5835))</f>
        <v/>
      </c>
      <c r="I5835" s="12" t="n"/>
      <c r="J5835" s="12" t="n"/>
      <c r="K5835" s="12" t="n"/>
      <c r="L5835" s="14" t="n"/>
      <c r="M5835" s="12" t="n"/>
      <c r="N5835" s="12" t="n"/>
      <c r="O5835" s="12" t="n"/>
    </row>
    <row r="5836">
      <c r="A5836" s="12" t="n"/>
      <c r="B5836" s="13">
        <f>IF($A5836="","",IFERROR(INDEX(Emp_Names,MATCH($A5836,Emp_Codes,0)),"NOT FOUND"))</f>
        <v/>
      </c>
      <c r="C5836" s="14" t="n"/>
      <c r="D5836" s="15" t="n"/>
      <c r="E5836" s="15" t="n"/>
      <c r="F5836" s="15" t="n"/>
      <c r="G5836" s="15" t="n"/>
      <c r="H5836" s="16">
        <f>IF($A5836="","",$D5836+IF($E5836="",0,$E5836)+IF($F5836="",0,$F5836)-IF($G5836="",0,$G5836))</f>
        <v/>
      </c>
      <c r="I5836" s="12" t="n"/>
      <c r="J5836" s="12" t="n"/>
      <c r="K5836" s="12" t="n"/>
      <c r="L5836" s="14" t="n"/>
      <c r="M5836" s="12" t="n"/>
      <c r="N5836" s="12" t="n"/>
      <c r="O5836" s="12" t="n"/>
    </row>
    <row r="5837">
      <c r="A5837" s="12" t="n"/>
      <c r="B5837" s="13">
        <f>IF($A5837="","",IFERROR(INDEX(Emp_Names,MATCH($A5837,Emp_Codes,0)),"NOT FOUND"))</f>
        <v/>
      </c>
      <c r="C5837" s="14" t="n"/>
      <c r="D5837" s="15" t="n"/>
      <c r="E5837" s="15" t="n"/>
      <c r="F5837" s="15" t="n"/>
      <c r="G5837" s="15" t="n"/>
      <c r="H5837" s="16">
        <f>IF($A5837="","",$D5837+IF($E5837="",0,$E5837)+IF($F5837="",0,$F5837)-IF($G5837="",0,$G5837))</f>
        <v/>
      </c>
      <c r="I5837" s="12" t="n"/>
      <c r="J5837" s="12" t="n"/>
      <c r="K5837" s="12" t="n"/>
      <c r="L5837" s="14" t="n"/>
      <c r="M5837" s="12" t="n"/>
      <c r="N5837" s="12" t="n"/>
      <c r="O5837" s="12" t="n"/>
    </row>
    <row r="5838">
      <c r="A5838" s="12" t="n"/>
      <c r="B5838" s="13">
        <f>IF($A5838="","",IFERROR(INDEX(Emp_Names,MATCH($A5838,Emp_Codes,0)),"NOT FOUND"))</f>
        <v/>
      </c>
      <c r="C5838" s="14" t="n"/>
      <c r="D5838" s="15" t="n"/>
      <c r="E5838" s="15" t="n"/>
      <c r="F5838" s="15" t="n"/>
      <c r="G5838" s="15" t="n"/>
      <c r="H5838" s="16">
        <f>IF($A5838="","",$D5838+IF($E5838="",0,$E5838)+IF($F5838="",0,$F5838)-IF($G5838="",0,$G5838))</f>
        <v/>
      </c>
      <c r="I5838" s="12" t="n"/>
      <c r="J5838" s="12" t="n"/>
      <c r="K5838" s="12" t="n"/>
      <c r="L5838" s="14" t="n"/>
      <c r="M5838" s="12" t="n"/>
      <c r="N5838" s="12" t="n"/>
      <c r="O5838" s="12" t="n"/>
    </row>
    <row r="5839">
      <c r="A5839" s="12" t="n"/>
      <c r="B5839" s="13">
        <f>IF($A5839="","",IFERROR(INDEX(Emp_Names,MATCH($A5839,Emp_Codes,0)),"NOT FOUND"))</f>
        <v/>
      </c>
      <c r="C5839" s="14" t="n"/>
      <c r="D5839" s="15" t="n"/>
      <c r="E5839" s="15" t="n"/>
      <c r="F5839" s="15" t="n"/>
      <c r="G5839" s="15" t="n"/>
      <c r="H5839" s="16">
        <f>IF($A5839="","",$D5839+IF($E5839="",0,$E5839)+IF($F5839="",0,$F5839)-IF($G5839="",0,$G5839))</f>
        <v/>
      </c>
      <c r="I5839" s="12" t="n"/>
      <c r="J5839" s="12" t="n"/>
      <c r="K5839" s="12" t="n"/>
      <c r="L5839" s="14" t="n"/>
      <c r="M5839" s="12" t="n"/>
      <c r="N5839" s="12" t="n"/>
      <c r="O5839" s="12" t="n"/>
    </row>
    <row r="5840">
      <c r="A5840" s="12" t="n"/>
      <c r="B5840" s="13">
        <f>IF($A5840="","",IFERROR(INDEX(Emp_Names,MATCH($A5840,Emp_Codes,0)),"NOT FOUND"))</f>
        <v/>
      </c>
      <c r="C5840" s="14" t="n"/>
      <c r="D5840" s="15" t="n"/>
      <c r="E5840" s="15" t="n"/>
      <c r="F5840" s="15" t="n"/>
      <c r="G5840" s="15" t="n"/>
      <c r="H5840" s="16">
        <f>IF($A5840="","",$D5840+IF($E5840="",0,$E5840)+IF($F5840="",0,$F5840)-IF($G5840="",0,$G5840))</f>
        <v/>
      </c>
      <c r="I5840" s="12" t="n"/>
      <c r="J5840" s="12" t="n"/>
      <c r="K5840" s="12" t="n"/>
      <c r="L5840" s="14" t="n"/>
      <c r="M5840" s="12" t="n"/>
      <c r="N5840" s="12" t="n"/>
      <c r="O5840" s="12" t="n"/>
    </row>
    <row r="5841">
      <c r="A5841" s="12" t="n"/>
      <c r="B5841" s="13">
        <f>IF($A5841="","",IFERROR(INDEX(Emp_Names,MATCH($A5841,Emp_Codes,0)),"NOT FOUND"))</f>
        <v/>
      </c>
      <c r="C5841" s="14" t="n"/>
      <c r="D5841" s="15" t="n"/>
      <c r="E5841" s="15" t="n"/>
      <c r="F5841" s="15" t="n"/>
      <c r="G5841" s="15" t="n"/>
      <c r="H5841" s="16">
        <f>IF($A5841="","",$D5841+IF($E5841="",0,$E5841)+IF($F5841="",0,$F5841)-IF($G5841="",0,$G5841))</f>
        <v/>
      </c>
      <c r="I5841" s="12" t="n"/>
      <c r="J5841" s="12" t="n"/>
      <c r="K5841" s="12" t="n"/>
      <c r="L5841" s="14" t="n"/>
      <c r="M5841" s="12" t="n"/>
      <c r="N5841" s="12" t="n"/>
      <c r="O5841" s="12" t="n"/>
    </row>
    <row r="5842">
      <c r="A5842" s="12" t="n"/>
      <c r="B5842" s="13">
        <f>IF($A5842="","",IFERROR(INDEX(Emp_Names,MATCH($A5842,Emp_Codes,0)),"NOT FOUND"))</f>
        <v/>
      </c>
      <c r="C5842" s="14" t="n"/>
      <c r="D5842" s="15" t="n"/>
      <c r="E5842" s="15" t="n"/>
      <c r="F5842" s="15" t="n"/>
      <c r="G5842" s="15" t="n"/>
      <c r="H5842" s="16">
        <f>IF($A5842="","",$D5842+IF($E5842="",0,$E5842)+IF($F5842="",0,$F5842)-IF($G5842="",0,$G5842))</f>
        <v/>
      </c>
      <c r="I5842" s="12" t="n"/>
      <c r="J5842" s="12" t="n"/>
      <c r="K5842" s="12" t="n"/>
      <c r="L5842" s="14" t="n"/>
      <c r="M5842" s="12" t="n"/>
      <c r="N5842" s="12" t="n"/>
      <c r="O5842" s="12" t="n"/>
    </row>
    <row r="5843">
      <c r="A5843" s="12" t="n"/>
      <c r="B5843" s="13">
        <f>IF($A5843="","",IFERROR(INDEX(Emp_Names,MATCH($A5843,Emp_Codes,0)),"NOT FOUND"))</f>
        <v/>
      </c>
      <c r="C5843" s="14" t="n"/>
      <c r="D5843" s="15" t="n"/>
      <c r="E5843" s="15" t="n"/>
      <c r="F5843" s="15" t="n"/>
      <c r="G5843" s="15" t="n"/>
      <c r="H5843" s="16">
        <f>IF($A5843="","",$D5843+IF($E5843="",0,$E5843)+IF($F5843="",0,$F5843)-IF($G5843="",0,$G5843))</f>
        <v/>
      </c>
      <c r="I5843" s="12" t="n"/>
      <c r="J5843" s="12" t="n"/>
      <c r="K5843" s="12" t="n"/>
      <c r="L5843" s="14" t="n"/>
      <c r="M5843" s="12" t="n"/>
      <c r="N5843" s="12" t="n"/>
      <c r="O5843" s="12" t="n"/>
    </row>
    <row r="5844">
      <c r="A5844" s="12" t="n"/>
      <c r="B5844" s="13">
        <f>IF($A5844="","",IFERROR(INDEX(Emp_Names,MATCH($A5844,Emp_Codes,0)),"NOT FOUND"))</f>
        <v/>
      </c>
      <c r="C5844" s="14" t="n"/>
      <c r="D5844" s="15" t="n"/>
      <c r="E5844" s="15" t="n"/>
      <c r="F5844" s="15" t="n"/>
      <c r="G5844" s="15" t="n"/>
      <c r="H5844" s="16">
        <f>IF($A5844="","",$D5844+IF($E5844="",0,$E5844)+IF($F5844="",0,$F5844)-IF($G5844="",0,$G5844))</f>
        <v/>
      </c>
      <c r="I5844" s="12" t="n"/>
      <c r="J5844" s="12" t="n"/>
      <c r="K5844" s="12" t="n"/>
      <c r="L5844" s="14" t="n"/>
      <c r="M5844" s="12" t="n"/>
      <c r="N5844" s="12" t="n"/>
      <c r="O5844" s="12" t="n"/>
    </row>
    <row r="5845">
      <c r="A5845" s="12" t="n"/>
      <c r="B5845" s="13">
        <f>IF($A5845="","",IFERROR(INDEX(Emp_Names,MATCH($A5845,Emp_Codes,0)),"NOT FOUND"))</f>
        <v/>
      </c>
      <c r="C5845" s="14" t="n"/>
      <c r="D5845" s="15" t="n"/>
      <c r="E5845" s="15" t="n"/>
      <c r="F5845" s="15" t="n"/>
      <c r="G5845" s="15" t="n"/>
      <c r="H5845" s="16">
        <f>IF($A5845="","",$D5845+IF($E5845="",0,$E5845)+IF($F5845="",0,$F5845)-IF($G5845="",0,$G5845))</f>
        <v/>
      </c>
      <c r="I5845" s="12" t="n"/>
      <c r="J5845" s="12" t="n"/>
      <c r="K5845" s="12" t="n"/>
      <c r="L5845" s="14" t="n"/>
      <c r="M5845" s="12" t="n"/>
      <c r="N5845" s="12" t="n"/>
      <c r="O5845" s="12" t="n"/>
    </row>
    <row r="5846">
      <c r="A5846" s="12" t="n"/>
      <c r="B5846" s="13">
        <f>IF($A5846="","",IFERROR(INDEX(Emp_Names,MATCH($A5846,Emp_Codes,0)),"NOT FOUND"))</f>
        <v/>
      </c>
      <c r="C5846" s="14" t="n"/>
      <c r="D5846" s="15" t="n"/>
      <c r="E5846" s="15" t="n"/>
      <c r="F5846" s="15" t="n"/>
      <c r="G5846" s="15" t="n"/>
      <c r="H5846" s="16">
        <f>IF($A5846="","",$D5846+IF($E5846="",0,$E5846)+IF($F5846="",0,$F5846)-IF($G5846="",0,$G5846))</f>
        <v/>
      </c>
      <c r="I5846" s="12" t="n"/>
      <c r="J5846" s="12" t="n"/>
      <c r="K5846" s="12" t="n"/>
      <c r="L5846" s="14" t="n"/>
      <c r="M5846" s="12" t="n"/>
      <c r="N5846" s="12" t="n"/>
      <c r="O5846" s="12" t="n"/>
    </row>
    <row r="5847">
      <c r="A5847" s="12" t="n"/>
      <c r="B5847" s="13">
        <f>IF($A5847="","",IFERROR(INDEX(Emp_Names,MATCH($A5847,Emp_Codes,0)),"NOT FOUND"))</f>
        <v/>
      </c>
      <c r="C5847" s="14" t="n"/>
      <c r="D5847" s="15" t="n"/>
      <c r="E5847" s="15" t="n"/>
      <c r="F5847" s="15" t="n"/>
      <c r="G5847" s="15" t="n"/>
      <c r="H5847" s="16">
        <f>IF($A5847="","",$D5847+IF($E5847="",0,$E5847)+IF($F5847="",0,$F5847)-IF($G5847="",0,$G5847))</f>
        <v/>
      </c>
      <c r="I5847" s="12" t="n"/>
      <c r="J5847" s="12" t="n"/>
      <c r="K5847" s="12" t="n"/>
      <c r="L5847" s="14" t="n"/>
      <c r="M5847" s="12" t="n"/>
      <c r="N5847" s="12" t="n"/>
      <c r="O5847" s="12" t="n"/>
    </row>
    <row r="5848">
      <c r="A5848" s="12" t="n"/>
      <c r="B5848" s="13">
        <f>IF($A5848="","",IFERROR(INDEX(Emp_Names,MATCH($A5848,Emp_Codes,0)),"NOT FOUND"))</f>
        <v/>
      </c>
      <c r="C5848" s="14" t="n"/>
      <c r="D5848" s="15" t="n"/>
      <c r="E5848" s="15" t="n"/>
      <c r="F5848" s="15" t="n"/>
      <c r="G5848" s="15" t="n"/>
      <c r="H5848" s="16">
        <f>IF($A5848="","",$D5848+IF($E5848="",0,$E5848)+IF($F5848="",0,$F5848)-IF($G5848="",0,$G5848))</f>
        <v/>
      </c>
      <c r="I5848" s="12" t="n"/>
      <c r="J5848" s="12" t="n"/>
      <c r="K5848" s="12" t="n"/>
      <c r="L5848" s="14" t="n"/>
      <c r="M5848" s="12" t="n"/>
      <c r="N5848" s="12" t="n"/>
      <c r="O5848" s="12" t="n"/>
    </row>
    <row r="5849">
      <c r="A5849" s="12" t="n"/>
      <c r="B5849" s="13">
        <f>IF($A5849="","",IFERROR(INDEX(Emp_Names,MATCH($A5849,Emp_Codes,0)),"NOT FOUND"))</f>
        <v/>
      </c>
      <c r="C5849" s="14" t="n"/>
      <c r="D5849" s="15" t="n"/>
      <c r="E5849" s="15" t="n"/>
      <c r="F5849" s="15" t="n"/>
      <c r="G5849" s="15" t="n"/>
      <c r="H5849" s="16">
        <f>IF($A5849="","",$D5849+IF($E5849="",0,$E5849)+IF($F5849="",0,$F5849)-IF($G5849="",0,$G5849))</f>
        <v/>
      </c>
      <c r="I5849" s="12" t="n"/>
      <c r="J5849" s="12" t="n"/>
      <c r="K5849" s="12" t="n"/>
      <c r="L5849" s="14" t="n"/>
      <c r="M5849" s="12" t="n"/>
      <c r="N5849" s="12" t="n"/>
      <c r="O5849" s="12" t="n"/>
    </row>
    <row r="5850">
      <c r="A5850" s="12" t="n"/>
      <c r="B5850" s="13">
        <f>IF($A5850="","",IFERROR(INDEX(Emp_Names,MATCH($A5850,Emp_Codes,0)),"NOT FOUND"))</f>
        <v/>
      </c>
      <c r="C5850" s="14" t="n"/>
      <c r="D5850" s="15" t="n"/>
      <c r="E5850" s="15" t="n"/>
      <c r="F5850" s="15" t="n"/>
      <c r="G5850" s="15" t="n"/>
      <c r="H5850" s="16">
        <f>IF($A5850="","",$D5850+IF($E5850="",0,$E5850)+IF($F5850="",0,$F5850)-IF($G5850="",0,$G5850))</f>
        <v/>
      </c>
      <c r="I5850" s="12" t="n"/>
      <c r="J5850" s="12" t="n"/>
      <c r="K5850" s="12" t="n"/>
      <c r="L5850" s="14" t="n"/>
      <c r="M5850" s="12" t="n"/>
      <c r="N5850" s="12" t="n"/>
      <c r="O5850" s="12" t="n"/>
    </row>
    <row r="5851">
      <c r="A5851" s="12" t="n"/>
      <c r="B5851" s="13">
        <f>IF($A5851="","",IFERROR(INDEX(Emp_Names,MATCH($A5851,Emp_Codes,0)),"NOT FOUND"))</f>
        <v/>
      </c>
      <c r="C5851" s="14" t="n"/>
      <c r="D5851" s="15" t="n"/>
      <c r="E5851" s="15" t="n"/>
      <c r="F5851" s="15" t="n"/>
      <c r="G5851" s="15" t="n"/>
      <c r="H5851" s="16">
        <f>IF($A5851="","",$D5851+IF($E5851="",0,$E5851)+IF($F5851="",0,$F5851)-IF($G5851="",0,$G5851))</f>
        <v/>
      </c>
      <c r="I5851" s="12" t="n"/>
      <c r="J5851" s="12" t="n"/>
      <c r="K5851" s="12" t="n"/>
      <c r="L5851" s="14" t="n"/>
      <c r="M5851" s="12" t="n"/>
      <c r="N5851" s="12" t="n"/>
      <c r="O5851" s="12" t="n"/>
    </row>
    <row r="5852">
      <c r="A5852" s="12" t="n"/>
      <c r="B5852" s="13">
        <f>IF($A5852="","",IFERROR(INDEX(Emp_Names,MATCH($A5852,Emp_Codes,0)),"NOT FOUND"))</f>
        <v/>
      </c>
      <c r="C5852" s="14" t="n"/>
      <c r="D5852" s="15" t="n"/>
      <c r="E5852" s="15" t="n"/>
      <c r="F5852" s="15" t="n"/>
      <c r="G5852" s="15" t="n"/>
      <c r="H5852" s="16">
        <f>IF($A5852="","",$D5852+IF($E5852="",0,$E5852)+IF($F5852="",0,$F5852)-IF($G5852="",0,$G5852))</f>
        <v/>
      </c>
      <c r="I5852" s="12" t="n"/>
      <c r="J5852" s="12" t="n"/>
      <c r="K5852" s="12" t="n"/>
      <c r="L5852" s="14" t="n"/>
      <c r="M5852" s="12" t="n"/>
      <c r="N5852" s="12" t="n"/>
      <c r="O5852" s="12" t="n"/>
    </row>
    <row r="5853">
      <c r="A5853" s="12" t="n"/>
      <c r="B5853" s="13">
        <f>IF($A5853="","",IFERROR(INDEX(Emp_Names,MATCH($A5853,Emp_Codes,0)),"NOT FOUND"))</f>
        <v/>
      </c>
      <c r="C5853" s="14" t="n"/>
      <c r="D5853" s="15" t="n"/>
      <c r="E5853" s="15" t="n"/>
      <c r="F5853" s="15" t="n"/>
      <c r="G5853" s="15" t="n"/>
      <c r="H5853" s="16">
        <f>IF($A5853="","",$D5853+IF($E5853="",0,$E5853)+IF($F5853="",0,$F5853)-IF($G5853="",0,$G5853))</f>
        <v/>
      </c>
      <c r="I5853" s="12" t="n"/>
      <c r="J5853" s="12" t="n"/>
      <c r="K5853" s="12" t="n"/>
      <c r="L5853" s="14" t="n"/>
      <c r="M5853" s="12" t="n"/>
      <c r="N5853" s="12" t="n"/>
      <c r="O5853" s="12" t="n"/>
    </row>
    <row r="5854">
      <c r="A5854" s="12" t="n"/>
      <c r="B5854" s="13">
        <f>IF($A5854="","",IFERROR(INDEX(Emp_Names,MATCH($A5854,Emp_Codes,0)),"NOT FOUND"))</f>
        <v/>
      </c>
      <c r="C5854" s="14" t="n"/>
      <c r="D5854" s="15" t="n"/>
      <c r="E5854" s="15" t="n"/>
      <c r="F5854" s="15" t="n"/>
      <c r="G5854" s="15" t="n"/>
      <c r="H5854" s="16">
        <f>IF($A5854="","",$D5854+IF($E5854="",0,$E5854)+IF($F5854="",0,$F5854)-IF($G5854="",0,$G5854))</f>
        <v/>
      </c>
      <c r="I5854" s="12" t="n"/>
      <c r="J5854" s="12" t="n"/>
      <c r="K5854" s="12" t="n"/>
      <c r="L5854" s="14" t="n"/>
      <c r="M5854" s="12" t="n"/>
      <c r="N5854" s="12" t="n"/>
      <c r="O5854" s="12" t="n"/>
    </row>
    <row r="5855">
      <c r="A5855" s="12" t="n"/>
      <c r="B5855" s="13">
        <f>IF($A5855="","",IFERROR(INDEX(Emp_Names,MATCH($A5855,Emp_Codes,0)),"NOT FOUND"))</f>
        <v/>
      </c>
      <c r="C5855" s="14" t="n"/>
      <c r="D5855" s="15" t="n"/>
      <c r="E5855" s="15" t="n"/>
      <c r="F5855" s="15" t="n"/>
      <c r="G5855" s="15" t="n"/>
      <c r="H5855" s="16">
        <f>IF($A5855="","",$D5855+IF($E5855="",0,$E5855)+IF($F5855="",0,$F5855)-IF($G5855="",0,$G5855))</f>
        <v/>
      </c>
      <c r="I5855" s="12" t="n"/>
      <c r="J5855" s="12" t="n"/>
      <c r="K5855" s="12" t="n"/>
      <c r="L5855" s="14" t="n"/>
      <c r="M5855" s="12" t="n"/>
      <c r="N5855" s="12" t="n"/>
      <c r="O5855" s="12" t="n"/>
    </row>
    <row r="5856">
      <c r="A5856" s="12" t="n"/>
      <c r="B5856" s="13">
        <f>IF($A5856="","",IFERROR(INDEX(Emp_Names,MATCH($A5856,Emp_Codes,0)),"NOT FOUND"))</f>
        <v/>
      </c>
      <c r="C5856" s="14" t="n"/>
      <c r="D5856" s="15" t="n"/>
      <c r="E5856" s="15" t="n"/>
      <c r="F5856" s="15" t="n"/>
      <c r="G5856" s="15" t="n"/>
      <c r="H5856" s="16">
        <f>IF($A5856="","",$D5856+IF($E5856="",0,$E5856)+IF($F5856="",0,$F5856)-IF($G5856="",0,$G5856))</f>
        <v/>
      </c>
      <c r="I5856" s="12" t="n"/>
      <c r="J5856" s="12" t="n"/>
      <c r="K5856" s="12" t="n"/>
      <c r="L5856" s="14" t="n"/>
      <c r="M5856" s="12" t="n"/>
      <c r="N5856" s="12" t="n"/>
      <c r="O5856" s="12" t="n"/>
    </row>
    <row r="5857">
      <c r="A5857" s="12" t="n"/>
      <c r="B5857" s="13">
        <f>IF($A5857="","",IFERROR(INDEX(Emp_Names,MATCH($A5857,Emp_Codes,0)),"NOT FOUND"))</f>
        <v/>
      </c>
      <c r="C5857" s="14" t="n"/>
      <c r="D5857" s="15" t="n"/>
      <c r="E5857" s="15" t="n"/>
      <c r="F5857" s="15" t="n"/>
      <c r="G5857" s="15" t="n"/>
      <c r="H5857" s="16">
        <f>IF($A5857="","",$D5857+IF($E5857="",0,$E5857)+IF($F5857="",0,$F5857)-IF($G5857="",0,$G5857))</f>
        <v/>
      </c>
      <c r="I5857" s="12" t="n"/>
      <c r="J5857" s="12" t="n"/>
      <c r="K5857" s="12" t="n"/>
      <c r="L5857" s="14" t="n"/>
      <c r="M5857" s="12" t="n"/>
      <c r="N5857" s="12" t="n"/>
      <c r="O5857" s="12" t="n"/>
    </row>
    <row r="5858">
      <c r="A5858" s="12" t="n"/>
      <c r="B5858" s="13">
        <f>IF($A5858="","",IFERROR(INDEX(Emp_Names,MATCH($A5858,Emp_Codes,0)),"NOT FOUND"))</f>
        <v/>
      </c>
      <c r="C5858" s="14" t="n"/>
      <c r="D5858" s="15" t="n"/>
      <c r="E5858" s="15" t="n"/>
      <c r="F5858" s="15" t="n"/>
      <c r="G5858" s="15" t="n"/>
      <c r="H5858" s="16">
        <f>IF($A5858="","",$D5858+IF($E5858="",0,$E5858)+IF($F5858="",0,$F5858)-IF($G5858="",0,$G5858))</f>
        <v/>
      </c>
      <c r="I5858" s="12" t="n"/>
      <c r="J5858" s="12" t="n"/>
      <c r="K5858" s="12" t="n"/>
      <c r="L5858" s="14" t="n"/>
      <c r="M5858" s="12" t="n"/>
      <c r="N5858" s="12" t="n"/>
      <c r="O5858" s="12" t="n"/>
    </row>
    <row r="5859">
      <c r="A5859" s="12" t="n"/>
      <c r="B5859" s="13">
        <f>IF($A5859="","",IFERROR(INDEX(Emp_Names,MATCH($A5859,Emp_Codes,0)),"NOT FOUND"))</f>
        <v/>
      </c>
      <c r="C5859" s="14" t="n"/>
      <c r="D5859" s="15" t="n"/>
      <c r="E5859" s="15" t="n"/>
      <c r="F5859" s="15" t="n"/>
      <c r="G5859" s="15" t="n"/>
      <c r="H5859" s="16">
        <f>IF($A5859="","",$D5859+IF($E5859="",0,$E5859)+IF($F5859="",0,$F5859)-IF($G5859="",0,$G5859))</f>
        <v/>
      </c>
      <c r="I5859" s="12" t="n"/>
      <c r="J5859" s="12" t="n"/>
      <c r="K5859" s="12" t="n"/>
      <c r="L5859" s="14" t="n"/>
      <c r="M5859" s="12" t="n"/>
      <c r="N5859" s="12" t="n"/>
      <c r="O5859" s="12" t="n"/>
    </row>
    <row r="5860">
      <c r="A5860" s="12" t="n"/>
      <c r="B5860" s="13">
        <f>IF($A5860="","",IFERROR(INDEX(Emp_Names,MATCH($A5860,Emp_Codes,0)),"NOT FOUND"))</f>
        <v/>
      </c>
      <c r="C5860" s="14" t="n"/>
      <c r="D5860" s="15" t="n"/>
      <c r="E5860" s="15" t="n"/>
      <c r="F5860" s="15" t="n"/>
      <c r="G5860" s="15" t="n"/>
      <c r="H5860" s="16">
        <f>IF($A5860="","",$D5860+IF($E5860="",0,$E5860)+IF($F5860="",0,$F5860)-IF($G5860="",0,$G5860))</f>
        <v/>
      </c>
      <c r="I5860" s="12" t="n"/>
      <c r="J5860" s="12" t="n"/>
      <c r="K5860" s="12" t="n"/>
      <c r="L5860" s="14" t="n"/>
      <c r="M5860" s="12" t="n"/>
      <c r="N5860" s="12" t="n"/>
      <c r="O5860" s="12" t="n"/>
    </row>
    <row r="5861">
      <c r="A5861" s="12" t="n"/>
      <c r="B5861" s="13">
        <f>IF($A5861="","",IFERROR(INDEX(Emp_Names,MATCH($A5861,Emp_Codes,0)),"NOT FOUND"))</f>
        <v/>
      </c>
      <c r="C5861" s="14" t="n"/>
      <c r="D5861" s="15" t="n"/>
      <c r="E5861" s="15" t="n"/>
      <c r="F5861" s="15" t="n"/>
      <c r="G5861" s="15" t="n"/>
      <c r="H5861" s="16">
        <f>IF($A5861="","",$D5861+IF($E5861="",0,$E5861)+IF($F5861="",0,$F5861)-IF($G5861="",0,$G5861))</f>
        <v/>
      </c>
      <c r="I5861" s="12" t="n"/>
      <c r="J5861" s="12" t="n"/>
      <c r="K5861" s="12" t="n"/>
      <c r="L5861" s="14" t="n"/>
      <c r="M5861" s="12" t="n"/>
      <c r="N5861" s="12" t="n"/>
      <c r="O5861" s="12" t="n"/>
    </row>
    <row r="5862">
      <c r="A5862" s="12" t="n"/>
      <c r="B5862" s="13">
        <f>IF($A5862="","",IFERROR(INDEX(Emp_Names,MATCH($A5862,Emp_Codes,0)),"NOT FOUND"))</f>
        <v/>
      </c>
      <c r="C5862" s="14" t="n"/>
      <c r="D5862" s="15" t="n"/>
      <c r="E5862" s="15" t="n"/>
      <c r="F5862" s="15" t="n"/>
      <c r="G5862" s="15" t="n"/>
      <c r="H5862" s="16">
        <f>IF($A5862="","",$D5862+IF($E5862="",0,$E5862)+IF($F5862="",0,$F5862)-IF($G5862="",0,$G5862))</f>
        <v/>
      </c>
      <c r="I5862" s="12" t="n"/>
      <c r="J5862" s="12" t="n"/>
      <c r="K5862" s="12" t="n"/>
      <c r="L5862" s="14" t="n"/>
      <c r="M5862" s="12" t="n"/>
      <c r="N5862" s="12" t="n"/>
      <c r="O5862" s="12" t="n"/>
    </row>
    <row r="5863">
      <c r="A5863" s="12" t="n"/>
      <c r="B5863" s="13">
        <f>IF($A5863="","",IFERROR(INDEX(Emp_Names,MATCH($A5863,Emp_Codes,0)),"NOT FOUND"))</f>
        <v/>
      </c>
      <c r="C5863" s="14" t="n"/>
      <c r="D5863" s="15" t="n"/>
      <c r="E5863" s="15" t="n"/>
      <c r="F5863" s="15" t="n"/>
      <c r="G5863" s="15" t="n"/>
      <c r="H5863" s="16">
        <f>IF($A5863="","",$D5863+IF($E5863="",0,$E5863)+IF($F5863="",0,$F5863)-IF($G5863="",0,$G5863))</f>
        <v/>
      </c>
      <c r="I5863" s="12" t="n"/>
      <c r="J5863" s="12" t="n"/>
      <c r="K5863" s="12" t="n"/>
      <c r="L5863" s="14" t="n"/>
      <c r="M5863" s="12" t="n"/>
      <c r="N5863" s="12" t="n"/>
      <c r="O5863" s="12" t="n"/>
    </row>
    <row r="5864">
      <c r="A5864" s="12" t="n"/>
      <c r="B5864" s="13">
        <f>IF($A5864="","",IFERROR(INDEX(Emp_Names,MATCH($A5864,Emp_Codes,0)),"NOT FOUND"))</f>
        <v/>
      </c>
      <c r="C5864" s="14" t="n"/>
      <c r="D5864" s="15" t="n"/>
      <c r="E5864" s="15" t="n"/>
      <c r="F5864" s="15" t="n"/>
      <c r="G5864" s="15" t="n"/>
      <c r="H5864" s="16">
        <f>IF($A5864="","",$D5864+IF($E5864="",0,$E5864)+IF($F5864="",0,$F5864)-IF($G5864="",0,$G5864))</f>
        <v/>
      </c>
      <c r="I5864" s="12" t="n"/>
      <c r="J5864" s="12" t="n"/>
      <c r="K5864" s="12" t="n"/>
      <c r="L5864" s="14" t="n"/>
      <c r="M5864" s="12" t="n"/>
      <c r="N5864" s="12" t="n"/>
      <c r="O5864" s="12" t="n"/>
    </row>
    <row r="5865">
      <c r="A5865" s="12" t="n"/>
      <c r="B5865" s="13">
        <f>IF($A5865="","",IFERROR(INDEX(Emp_Names,MATCH($A5865,Emp_Codes,0)),"NOT FOUND"))</f>
        <v/>
      </c>
      <c r="C5865" s="14" t="n"/>
      <c r="D5865" s="15" t="n"/>
      <c r="E5865" s="15" t="n"/>
      <c r="F5865" s="15" t="n"/>
      <c r="G5865" s="15" t="n"/>
      <c r="H5865" s="16">
        <f>IF($A5865="","",$D5865+IF($E5865="",0,$E5865)+IF($F5865="",0,$F5865)-IF($G5865="",0,$G5865))</f>
        <v/>
      </c>
      <c r="I5865" s="12" t="n"/>
      <c r="J5865" s="12" t="n"/>
      <c r="K5865" s="12" t="n"/>
      <c r="L5865" s="14" t="n"/>
      <c r="M5865" s="12" t="n"/>
      <c r="N5865" s="12" t="n"/>
      <c r="O5865" s="12" t="n"/>
    </row>
    <row r="5866">
      <c r="A5866" s="12" t="n"/>
      <c r="B5866" s="13">
        <f>IF($A5866="","",IFERROR(INDEX(Emp_Names,MATCH($A5866,Emp_Codes,0)),"NOT FOUND"))</f>
        <v/>
      </c>
      <c r="C5866" s="14" t="n"/>
      <c r="D5866" s="15" t="n"/>
      <c r="E5866" s="15" t="n"/>
      <c r="F5866" s="15" t="n"/>
      <c r="G5866" s="15" t="n"/>
      <c r="H5866" s="16">
        <f>IF($A5866="","",$D5866+IF($E5866="",0,$E5866)+IF($F5866="",0,$F5866)-IF($G5866="",0,$G5866))</f>
        <v/>
      </c>
      <c r="I5866" s="12" t="n"/>
      <c r="J5866" s="12" t="n"/>
      <c r="K5866" s="12" t="n"/>
      <c r="L5866" s="14" t="n"/>
      <c r="M5866" s="12" t="n"/>
      <c r="N5866" s="12" t="n"/>
      <c r="O5866" s="12" t="n"/>
    </row>
    <row r="5867">
      <c r="A5867" s="12" t="n"/>
      <c r="B5867" s="13">
        <f>IF($A5867="","",IFERROR(INDEX(Emp_Names,MATCH($A5867,Emp_Codes,0)),"NOT FOUND"))</f>
        <v/>
      </c>
      <c r="C5867" s="14" t="n"/>
      <c r="D5867" s="15" t="n"/>
      <c r="E5867" s="15" t="n"/>
      <c r="F5867" s="15" t="n"/>
      <c r="G5867" s="15" t="n"/>
      <c r="H5867" s="16">
        <f>IF($A5867="","",$D5867+IF($E5867="",0,$E5867)+IF($F5867="",0,$F5867)-IF($G5867="",0,$G5867))</f>
        <v/>
      </c>
      <c r="I5867" s="12" t="n"/>
      <c r="J5867" s="12" t="n"/>
      <c r="K5867" s="12" t="n"/>
      <c r="L5867" s="14" t="n"/>
      <c r="M5867" s="12" t="n"/>
      <c r="N5867" s="12" t="n"/>
      <c r="O5867" s="12" t="n"/>
    </row>
    <row r="5868">
      <c r="A5868" s="12" t="n"/>
      <c r="B5868" s="13">
        <f>IF($A5868="","",IFERROR(INDEX(Emp_Names,MATCH($A5868,Emp_Codes,0)),"NOT FOUND"))</f>
        <v/>
      </c>
      <c r="C5868" s="14" t="n"/>
      <c r="D5868" s="15" t="n"/>
      <c r="E5868" s="15" t="n"/>
      <c r="F5868" s="15" t="n"/>
      <c r="G5868" s="15" t="n"/>
      <c r="H5868" s="16">
        <f>IF($A5868="","",$D5868+IF($E5868="",0,$E5868)+IF($F5868="",0,$F5868)-IF($G5868="",0,$G5868))</f>
        <v/>
      </c>
      <c r="I5868" s="12" t="n"/>
      <c r="J5868" s="12" t="n"/>
      <c r="K5868" s="12" t="n"/>
      <c r="L5868" s="14" t="n"/>
      <c r="M5868" s="12" t="n"/>
      <c r="N5868" s="12" t="n"/>
      <c r="O5868" s="12" t="n"/>
    </row>
    <row r="5869">
      <c r="A5869" s="12" t="n"/>
      <c r="B5869" s="13">
        <f>IF($A5869="","",IFERROR(INDEX(Emp_Names,MATCH($A5869,Emp_Codes,0)),"NOT FOUND"))</f>
        <v/>
      </c>
      <c r="C5869" s="14" t="n"/>
      <c r="D5869" s="15" t="n"/>
      <c r="E5869" s="15" t="n"/>
      <c r="F5869" s="15" t="n"/>
      <c r="G5869" s="15" t="n"/>
      <c r="H5869" s="16">
        <f>IF($A5869="","",$D5869+IF($E5869="",0,$E5869)+IF($F5869="",0,$F5869)-IF($G5869="",0,$G5869))</f>
        <v/>
      </c>
      <c r="I5869" s="12" t="n"/>
      <c r="J5869" s="12" t="n"/>
      <c r="K5869" s="12" t="n"/>
      <c r="L5869" s="14" t="n"/>
      <c r="M5869" s="12" t="n"/>
      <c r="N5869" s="12" t="n"/>
      <c r="O5869" s="12" t="n"/>
    </row>
    <row r="5870">
      <c r="A5870" s="12" t="n"/>
      <c r="B5870" s="13">
        <f>IF($A5870="","",IFERROR(INDEX(Emp_Names,MATCH($A5870,Emp_Codes,0)),"NOT FOUND"))</f>
        <v/>
      </c>
      <c r="C5870" s="14" t="n"/>
      <c r="D5870" s="15" t="n"/>
      <c r="E5870" s="15" t="n"/>
      <c r="F5870" s="15" t="n"/>
      <c r="G5870" s="15" t="n"/>
      <c r="H5870" s="16">
        <f>IF($A5870="","",$D5870+IF($E5870="",0,$E5870)+IF($F5870="",0,$F5870)-IF($G5870="",0,$G5870))</f>
        <v/>
      </c>
      <c r="I5870" s="12" t="n"/>
      <c r="J5870" s="12" t="n"/>
      <c r="K5870" s="12" t="n"/>
      <c r="L5870" s="14" t="n"/>
      <c r="M5870" s="12" t="n"/>
      <c r="N5870" s="12" t="n"/>
      <c r="O5870" s="12" t="n"/>
    </row>
    <row r="5871">
      <c r="A5871" s="12" t="n"/>
      <c r="B5871" s="13">
        <f>IF($A5871="","",IFERROR(INDEX(Emp_Names,MATCH($A5871,Emp_Codes,0)),"NOT FOUND"))</f>
        <v/>
      </c>
      <c r="C5871" s="14" t="n"/>
      <c r="D5871" s="15" t="n"/>
      <c r="E5871" s="15" t="n"/>
      <c r="F5871" s="15" t="n"/>
      <c r="G5871" s="15" t="n"/>
      <c r="H5871" s="16">
        <f>IF($A5871="","",$D5871+IF($E5871="",0,$E5871)+IF($F5871="",0,$F5871)-IF($G5871="",0,$G5871))</f>
        <v/>
      </c>
      <c r="I5871" s="12" t="n"/>
      <c r="J5871" s="12" t="n"/>
      <c r="K5871" s="12" t="n"/>
      <c r="L5871" s="14" t="n"/>
      <c r="M5871" s="12" t="n"/>
      <c r="N5871" s="12" t="n"/>
      <c r="O5871" s="12" t="n"/>
    </row>
    <row r="5872">
      <c r="A5872" s="12" t="n"/>
      <c r="B5872" s="13">
        <f>IF($A5872="","",IFERROR(INDEX(Emp_Names,MATCH($A5872,Emp_Codes,0)),"NOT FOUND"))</f>
        <v/>
      </c>
      <c r="C5872" s="14" t="n"/>
      <c r="D5872" s="15" t="n"/>
      <c r="E5872" s="15" t="n"/>
      <c r="F5872" s="15" t="n"/>
      <c r="G5872" s="15" t="n"/>
      <c r="H5872" s="16">
        <f>IF($A5872="","",$D5872+IF($E5872="",0,$E5872)+IF($F5872="",0,$F5872)-IF($G5872="",0,$G5872))</f>
        <v/>
      </c>
      <c r="I5872" s="12" t="n"/>
      <c r="J5872" s="12" t="n"/>
      <c r="K5872" s="12" t="n"/>
      <c r="L5872" s="14" t="n"/>
      <c r="M5872" s="12" t="n"/>
      <c r="N5872" s="12" t="n"/>
      <c r="O5872" s="12" t="n"/>
    </row>
    <row r="5873">
      <c r="A5873" s="12" t="n"/>
      <c r="B5873" s="13">
        <f>IF($A5873="","",IFERROR(INDEX(Emp_Names,MATCH($A5873,Emp_Codes,0)),"NOT FOUND"))</f>
        <v/>
      </c>
      <c r="C5873" s="14" t="n"/>
      <c r="D5873" s="15" t="n"/>
      <c r="E5873" s="15" t="n"/>
      <c r="F5873" s="15" t="n"/>
      <c r="G5873" s="15" t="n"/>
      <c r="H5873" s="16">
        <f>IF($A5873="","",$D5873+IF($E5873="",0,$E5873)+IF($F5873="",0,$F5873)-IF($G5873="",0,$G5873))</f>
        <v/>
      </c>
      <c r="I5873" s="12" t="n"/>
      <c r="J5873" s="12" t="n"/>
      <c r="K5873" s="12" t="n"/>
      <c r="L5873" s="14" t="n"/>
      <c r="M5873" s="12" t="n"/>
      <c r="N5873" s="12" t="n"/>
      <c r="O5873" s="12" t="n"/>
    </row>
    <row r="5874">
      <c r="A5874" s="12" t="n"/>
      <c r="B5874" s="13">
        <f>IF($A5874="","",IFERROR(INDEX(Emp_Names,MATCH($A5874,Emp_Codes,0)),"NOT FOUND"))</f>
        <v/>
      </c>
      <c r="C5874" s="14" t="n"/>
      <c r="D5874" s="15" t="n"/>
      <c r="E5874" s="15" t="n"/>
      <c r="F5874" s="15" t="n"/>
      <c r="G5874" s="15" t="n"/>
      <c r="H5874" s="16">
        <f>IF($A5874="","",$D5874+IF($E5874="",0,$E5874)+IF($F5874="",0,$F5874)-IF($G5874="",0,$G5874))</f>
        <v/>
      </c>
      <c r="I5874" s="12" t="n"/>
      <c r="J5874" s="12" t="n"/>
      <c r="K5874" s="12" t="n"/>
      <c r="L5874" s="14" t="n"/>
      <c r="M5874" s="12" t="n"/>
      <c r="N5874" s="12" t="n"/>
      <c r="O5874" s="12" t="n"/>
    </row>
    <row r="5875">
      <c r="A5875" s="12" t="n"/>
      <c r="B5875" s="13">
        <f>IF($A5875="","",IFERROR(INDEX(Emp_Names,MATCH($A5875,Emp_Codes,0)),"NOT FOUND"))</f>
        <v/>
      </c>
      <c r="C5875" s="14" t="n"/>
      <c r="D5875" s="15" t="n"/>
      <c r="E5875" s="15" t="n"/>
      <c r="F5875" s="15" t="n"/>
      <c r="G5875" s="15" t="n"/>
      <c r="H5875" s="16">
        <f>IF($A5875="","",$D5875+IF($E5875="",0,$E5875)+IF($F5875="",0,$F5875)-IF($G5875="",0,$G5875))</f>
        <v/>
      </c>
      <c r="I5875" s="12" t="n"/>
      <c r="J5875" s="12" t="n"/>
      <c r="K5875" s="12" t="n"/>
      <c r="L5875" s="14" t="n"/>
      <c r="M5875" s="12" t="n"/>
      <c r="N5875" s="12" t="n"/>
      <c r="O5875" s="12" t="n"/>
    </row>
    <row r="5876">
      <c r="A5876" s="12" t="n"/>
      <c r="B5876" s="13">
        <f>IF($A5876="","",IFERROR(INDEX(Emp_Names,MATCH($A5876,Emp_Codes,0)),"NOT FOUND"))</f>
        <v/>
      </c>
      <c r="C5876" s="14" t="n"/>
      <c r="D5876" s="15" t="n"/>
      <c r="E5876" s="15" t="n"/>
      <c r="F5876" s="15" t="n"/>
      <c r="G5876" s="15" t="n"/>
      <c r="H5876" s="16">
        <f>IF($A5876="","",$D5876+IF($E5876="",0,$E5876)+IF($F5876="",0,$F5876)-IF($G5876="",0,$G5876))</f>
        <v/>
      </c>
      <c r="I5876" s="12" t="n"/>
      <c r="J5876" s="12" t="n"/>
      <c r="K5876" s="12" t="n"/>
      <c r="L5876" s="14" t="n"/>
      <c r="M5876" s="12" t="n"/>
      <c r="N5876" s="12" t="n"/>
      <c r="O5876" s="12" t="n"/>
    </row>
    <row r="5877">
      <c r="A5877" s="12" t="n"/>
      <c r="B5877" s="13">
        <f>IF($A5877="","",IFERROR(INDEX(Emp_Names,MATCH($A5877,Emp_Codes,0)),"NOT FOUND"))</f>
        <v/>
      </c>
      <c r="C5877" s="14" t="n"/>
      <c r="D5877" s="15" t="n"/>
      <c r="E5877" s="15" t="n"/>
      <c r="F5877" s="15" t="n"/>
      <c r="G5877" s="15" t="n"/>
      <c r="H5877" s="16">
        <f>IF($A5877="","",$D5877+IF($E5877="",0,$E5877)+IF($F5877="",0,$F5877)-IF($G5877="",0,$G5877))</f>
        <v/>
      </c>
      <c r="I5877" s="12" t="n"/>
      <c r="J5877" s="12" t="n"/>
      <c r="K5877" s="12" t="n"/>
      <c r="L5877" s="14" t="n"/>
      <c r="M5877" s="12" t="n"/>
      <c r="N5877" s="12" t="n"/>
      <c r="O5877" s="12" t="n"/>
    </row>
    <row r="5878">
      <c r="A5878" s="12" t="n"/>
      <c r="B5878" s="13">
        <f>IF($A5878="","",IFERROR(INDEX(Emp_Names,MATCH($A5878,Emp_Codes,0)),"NOT FOUND"))</f>
        <v/>
      </c>
      <c r="C5878" s="14" t="n"/>
      <c r="D5878" s="15" t="n"/>
      <c r="E5878" s="15" t="n"/>
      <c r="F5878" s="15" t="n"/>
      <c r="G5878" s="15" t="n"/>
      <c r="H5878" s="16">
        <f>IF($A5878="","",$D5878+IF($E5878="",0,$E5878)+IF($F5878="",0,$F5878)-IF($G5878="",0,$G5878))</f>
        <v/>
      </c>
      <c r="I5878" s="12" t="n"/>
      <c r="J5878" s="12" t="n"/>
      <c r="K5878" s="12" t="n"/>
      <c r="L5878" s="14" t="n"/>
      <c r="M5878" s="12" t="n"/>
      <c r="N5878" s="12" t="n"/>
      <c r="O5878" s="12" t="n"/>
    </row>
    <row r="5879">
      <c r="A5879" s="12" t="n"/>
      <c r="B5879" s="13">
        <f>IF($A5879="","",IFERROR(INDEX(Emp_Names,MATCH($A5879,Emp_Codes,0)),"NOT FOUND"))</f>
        <v/>
      </c>
      <c r="C5879" s="14" t="n"/>
      <c r="D5879" s="15" t="n"/>
      <c r="E5879" s="15" t="n"/>
      <c r="F5879" s="15" t="n"/>
      <c r="G5879" s="15" t="n"/>
      <c r="H5879" s="16">
        <f>IF($A5879="","",$D5879+IF($E5879="",0,$E5879)+IF($F5879="",0,$F5879)-IF($G5879="",0,$G5879))</f>
        <v/>
      </c>
      <c r="I5879" s="12" t="n"/>
      <c r="J5879" s="12" t="n"/>
      <c r="K5879" s="12" t="n"/>
      <c r="L5879" s="14" t="n"/>
      <c r="M5879" s="12" t="n"/>
      <c r="N5879" s="12" t="n"/>
      <c r="O5879" s="12" t="n"/>
    </row>
    <row r="5880">
      <c r="A5880" s="12" t="n"/>
      <c r="B5880" s="13">
        <f>IF($A5880="","",IFERROR(INDEX(Emp_Names,MATCH($A5880,Emp_Codes,0)),"NOT FOUND"))</f>
        <v/>
      </c>
      <c r="C5880" s="14" t="n"/>
      <c r="D5880" s="15" t="n"/>
      <c r="E5880" s="15" t="n"/>
      <c r="F5880" s="15" t="n"/>
      <c r="G5880" s="15" t="n"/>
      <c r="H5880" s="16">
        <f>IF($A5880="","",$D5880+IF($E5880="",0,$E5880)+IF($F5880="",0,$F5880)-IF($G5880="",0,$G5880))</f>
        <v/>
      </c>
      <c r="I5880" s="12" t="n"/>
      <c r="J5880" s="12" t="n"/>
      <c r="K5880" s="12" t="n"/>
      <c r="L5880" s="14" t="n"/>
      <c r="M5880" s="12" t="n"/>
      <c r="N5880" s="12" t="n"/>
      <c r="O5880" s="12" t="n"/>
    </row>
    <row r="5881">
      <c r="A5881" s="12" t="n"/>
      <c r="B5881" s="13">
        <f>IF($A5881="","",IFERROR(INDEX(Emp_Names,MATCH($A5881,Emp_Codes,0)),"NOT FOUND"))</f>
        <v/>
      </c>
      <c r="C5881" s="14" t="n"/>
      <c r="D5881" s="15" t="n"/>
      <c r="E5881" s="15" t="n"/>
      <c r="F5881" s="15" t="n"/>
      <c r="G5881" s="15" t="n"/>
      <c r="H5881" s="16">
        <f>IF($A5881="","",$D5881+IF($E5881="",0,$E5881)+IF($F5881="",0,$F5881)-IF($G5881="",0,$G5881))</f>
        <v/>
      </c>
      <c r="I5881" s="12" t="n"/>
      <c r="J5881" s="12" t="n"/>
      <c r="K5881" s="12" t="n"/>
      <c r="L5881" s="14" t="n"/>
      <c r="M5881" s="12" t="n"/>
      <c r="N5881" s="12" t="n"/>
      <c r="O5881" s="12" t="n"/>
    </row>
    <row r="5882">
      <c r="A5882" s="12" t="n"/>
      <c r="B5882" s="13">
        <f>IF($A5882="","",IFERROR(INDEX(Emp_Names,MATCH($A5882,Emp_Codes,0)),"NOT FOUND"))</f>
        <v/>
      </c>
      <c r="C5882" s="14" t="n"/>
      <c r="D5882" s="15" t="n"/>
      <c r="E5882" s="15" t="n"/>
      <c r="F5882" s="15" t="n"/>
      <c r="G5882" s="15" t="n"/>
      <c r="H5882" s="16">
        <f>IF($A5882="","",$D5882+IF($E5882="",0,$E5882)+IF($F5882="",0,$F5882)-IF($G5882="",0,$G5882))</f>
        <v/>
      </c>
      <c r="I5882" s="12" t="n"/>
      <c r="J5882" s="12" t="n"/>
      <c r="K5882" s="12" t="n"/>
      <c r="L5882" s="14" t="n"/>
      <c r="M5882" s="12" t="n"/>
      <c r="N5882" s="12" t="n"/>
      <c r="O5882" s="12" t="n"/>
    </row>
    <row r="5883">
      <c r="A5883" s="12" t="n"/>
      <c r="B5883" s="13">
        <f>IF($A5883="","",IFERROR(INDEX(Emp_Names,MATCH($A5883,Emp_Codes,0)),"NOT FOUND"))</f>
        <v/>
      </c>
      <c r="C5883" s="14" t="n"/>
      <c r="D5883" s="15" t="n"/>
      <c r="E5883" s="15" t="n"/>
      <c r="F5883" s="15" t="n"/>
      <c r="G5883" s="15" t="n"/>
      <c r="H5883" s="16">
        <f>IF($A5883="","",$D5883+IF($E5883="",0,$E5883)+IF($F5883="",0,$F5883)-IF($G5883="",0,$G5883))</f>
        <v/>
      </c>
      <c r="I5883" s="12" t="n"/>
      <c r="J5883" s="12" t="n"/>
      <c r="K5883" s="12" t="n"/>
      <c r="L5883" s="14" t="n"/>
      <c r="M5883" s="12" t="n"/>
      <c r="N5883" s="12" t="n"/>
      <c r="O5883" s="12" t="n"/>
    </row>
    <row r="5884">
      <c r="A5884" s="12" t="n"/>
      <c r="B5884" s="13">
        <f>IF($A5884="","",IFERROR(INDEX(Emp_Names,MATCH($A5884,Emp_Codes,0)),"NOT FOUND"))</f>
        <v/>
      </c>
      <c r="C5884" s="14" t="n"/>
      <c r="D5884" s="15" t="n"/>
      <c r="E5884" s="15" t="n"/>
      <c r="F5884" s="15" t="n"/>
      <c r="G5884" s="15" t="n"/>
      <c r="H5884" s="16">
        <f>IF($A5884="","",$D5884+IF($E5884="",0,$E5884)+IF($F5884="",0,$F5884)-IF($G5884="",0,$G5884))</f>
        <v/>
      </c>
      <c r="I5884" s="12" t="n"/>
      <c r="J5884" s="12" t="n"/>
      <c r="K5884" s="12" t="n"/>
      <c r="L5884" s="14" t="n"/>
      <c r="M5884" s="12" t="n"/>
      <c r="N5884" s="12" t="n"/>
      <c r="O5884" s="12" t="n"/>
    </row>
    <row r="5885">
      <c r="A5885" s="12" t="n"/>
      <c r="B5885" s="13">
        <f>IF($A5885="","",IFERROR(INDEX(Emp_Names,MATCH($A5885,Emp_Codes,0)),"NOT FOUND"))</f>
        <v/>
      </c>
      <c r="C5885" s="14" t="n"/>
      <c r="D5885" s="15" t="n"/>
      <c r="E5885" s="15" t="n"/>
      <c r="F5885" s="15" t="n"/>
      <c r="G5885" s="15" t="n"/>
      <c r="H5885" s="16">
        <f>IF($A5885="","",$D5885+IF($E5885="",0,$E5885)+IF($F5885="",0,$F5885)-IF($G5885="",0,$G5885))</f>
        <v/>
      </c>
      <c r="I5885" s="12" t="n"/>
      <c r="J5885" s="12" t="n"/>
      <c r="K5885" s="12" t="n"/>
      <c r="L5885" s="14" t="n"/>
      <c r="M5885" s="12" t="n"/>
      <c r="N5885" s="12" t="n"/>
      <c r="O5885" s="12" t="n"/>
    </row>
    <row r="5886">
      <c r="A5886" s="12" t="n"/>
      <c r="B5886" s="13">
        <f>IF($A5886="","",IFERROR(INDEX(Emp_Names,MATCH($A5886,Emp_Codes,0)),"NOT FOUND"))</f>
        <v/>
      </c>
      <c r="C5886" s="14" t="n"/>
      <c r="D5886" s="15" t="n"/>
      <c r="E5886" s="15" t="n"/>
      <c r="F5886" s="15" t="n"/>
      <c r="G5886" s="15" t="n"/>
      <c r="H5886" s="16">
        <f>IF($A5886="","",$D5886+IF($E5886="",0,$E5886)+IF($F5886="",0,$F5886)-IF($G5886="",0,$G5886))</f>
        <v/>
      </c>
      <c r="I5886" s="12" t="n"/>
      <c r="J5886" s="12" t="n"/>
      <c r="K5886" s="12" t="n"/>
      <c r="L5886" s="14" t="n"/>
      <c r="M5886" s="12" t="n"/>
      <c r="N5886" s="12" t="n"/>
      <c r="O5886" s="12" t="n"/>
    </row>
    <row r="5887">
      <c r="A5887" s="12" t="n"/>
      <c r="B5887" s="13">
        <f>IF($A5887="","",IFERROR(INDEX(Emp_Names,MATCH($A5887,Emp_Codes,0)),"NOT FOUND"))</f>
        <v/>
      </c>
      <c r="C5887" s="14" t="n"/>
      <c r="D5887" s="15" t="n"/>
      <c r="E5887" s="15" t="n"/>
      <c r="F5887" s="15" t="n"/>
      <c r="G5887" s="15" t="n"/>
      <c r="H5887" s="16">
        <f>IF($A5887="","",$D5887+IF($E5887="",0,$E5887)+IF($F5887="",0,$F5887)-IF($G5887="",0,$G5887))</f>
        <v/>
      </c>
      <c r="I5887" s="12" t="n"/>
      <c r="J5887" s="12" t="n"/>
      <c r="K5887" s="12" t="n"/>
      <c r="L5887" s="14" t="n"/>
      <c r="M5887" s="12" t="n"/>
      <c r="N5887" s="12" t="n"/>
      <c r="O5887" s="12" t="n"/>
    </row>
    <row r="5888">
      <c r="A5888" s="12" t="n"/>
      <c r="B5888" s="13">
        <f>IF($A5888="","",IFERROR(INDEX(Emp_Names,MATCH($A5888,Emp_Codes,0)),"NOT FOUND"))</f>
        <v/>
      </c>
      <c r="C5888" s="14" t="n"/>
      <c r="D5888" s="15" t="n"/>
      <c r="E5888" s="15" t="n"/>
      <c r="F5888" s="15" t="n"/>
      <c r="G5888" s="15" t="n"/>
      <c r="H5888" s="16">
        <f>IF($A5888="","",$D5888+IF($E5888="",0,$E5888)+IF($F5888="",0,$F5888)-IF($G5888="",0,$G5888))</f>
        <v/>
      </c>
      <c r="I5888" s="12" t="n"/>
      <c r="J5888" s="12" t="n"/>
      <c r="K5888" s="12" t="n"/>
      <c r="L5888" s="14" t="n"/>
      <c r="M5888" s="12" t="n"/>
      <c r="N5888" s="12" t="n"/>
      <c r="O5888" s="12" t="n"/>
    </row>
    <row r="5889">
      <c r="A5889" s="12" t="n"/>
      <c r="B5889" s="13">
        <f>IF($A5889="","",IFERROR(INDEX(Emp_Names,MATCH($A5889,Emp_Codes,0)),"NOT FOUND"))</f>
        <v/>
      </c>
      <c r="C5889" s="14" t="n"/>
      <c r="D5889" s="15" t="n"/>
      <c r="E5889" s="15" t="n"/>
      <c r="F5889" s="15" t="n"/>
      <c r="G5889" s="15" t="n"/>
      <c r="H5889" s="16">
        <f>IF($A5889="","",$D5889+IF($E5889="",0,$E5889)+IF($F5889="",0,$F5889)-IF($G5889="",0,$G5889))</f>
        <v/>
      </c>
      <c r="I5889" s="12" t="n"/>
      <c r="J5889" s="12" t="n"/>
      <c r="K5889" s="12" t="n"/>
      <c r="L5889" s="14" t="n"/>
      <c r="M5889" s="12" t="n"/>
      <c r="N5889" s="12" t="n"/>
      <c r="O5889" s="12" t="n"/>
    </row>
    <row r="5890">
      <c r="A5890" s="12" t="n"/>
      <c r="B5890" s="13">
        <f>IF($A5890="","",IFERROR(INDEX(Emp_Names,MATCH($A5890,Emp_Codes,0)),"NOT FOUND"))</f>
        <v/>
      </c>
      <c r="C5890" s="14" t="n"/>
      <c r="D5890" s="15" t="n"/>
      <c r="E5890" s="15" t="n"/>
      <c r="F5890" s="15" t="n"/>
      <c r="G5890" s="15" t="n"/>
      <c r="H5890" s="16">
        <f>IF($A5890="","",$D5890+IF($E5890="",0,$E5890)+IF($F5890="",0,$F5890)-IF($G5890="",0,$G5890))</f>
        <v/>
      </c>
      <c r="I5890" s="12" t="n"/>
      <c r="J5890" s="12" t="n"/>
      <c r="K5890" s="12" t="n"/>
      <c r="L5890" s="14" t="n"/>
      <c r="M5890" s="12" t="n"/>
      <c r="N5890" s="12" t="n"/>
      <c r="O5890" s="12" t="n"/>
    </row>
    <row r="5891">
      <c r="A5891" s="12" t="n"/>
      <c r="B5891" s="13">
        <f>IF($A5891="","",IFERROR(INDEX(Emp_Names,MATCH($A5891,Emp_Codes,0)),"NOT FOUND"))</f>
        <v/>
      </c>
      <c r="C5891" s="14" t="n"/>
      <c r="D5891" s="15" t="n"/>
      <c r="E5891" s="15" t="n"/>
      <c r="F5891" s="15" t="n"/>
      <c r="G5891" s="15" t="n"/>
      <c r="H5891" s="16">
        <f>IF($A5891="","",$D5891+IF($E5891="",0,$E5891)+IF($F5891="",0,$F5891)-IF($G5891="",0,$G5891))</f>
        <v/>
      </c>
      <c r="I5891" s="12" t="n"/>
      <c r="J5891" s="12" t="n"/>
      <c r="K5891" s="12" t="n"/>
      <c r="L5891" s="14" t="n"/>
      <c r="M5891" s="12" t="n"/>
      <c r="N5891" s="12" t="n"/>
      <c r="O5891" s="12" t="n"/>
    </row>
    <row r="5892">
      <c r="A5892" s="12" t="n"/>
      <c r="B5892" s="13">
        <f>IF($A5892="","",IFERROR(INDEX(Emp_Names,MATCH($A5892,Emp_Codes,0)),"NOT FOUND"))</f>
        <v/>
      </c>
      <c r="C5892" s="14" t="n"/>
      <c r="D5892" s="15" t="n"/>
      <c r="E5892" s="15" t="n"/>
      <c r="F5892" s="15" t="n"/>
      <c r="G5892" s="15" t="n"/>
      <c r="H5892" s="16">
        <f>IF($A5892="","",$D5892+IF($E5892="",0,$E5892)+IF($F5892="",0,$F5892)-IF($G5892="",0,$G5892))</f>
        <v/>
      </c>
      <c r="I5892" s="12" t="n"/>
      <c r="J5892" s="12" t="n"/>
      <c r="K5892" s="12" t="n"/>
      <c r="L5892" s="14" t="n"/>
      <c r="M5892" s="12" t="n"/>
      <c r="N5892" s="12" t="n"/>
      <c r="O5892" s="12" t="n"/>
    </row>
    <row r="5893">
      <c r="A5893" s="12" t="n"/>
      <c r="B5893" s="13">
        <f>IF($A5893="","",IFERROR(INDEX(Emp_Names,MATCH($A5893,Emp_Codes,0)),"NOT FOUND"))</f>
        <v/>
      </c>
      <c r="C5893" s="14" t="n"/>
      <c r="D5893" s="15" t="n"/>
      <c r="E5893" s="15" t="n"/>
      <c r="F5893" s="15" t="n"/>
      <c r="G5893" s="15" t="n"/>
      <c r="H5893" s="16">
        <f>IF($A5893="","",$D5893+IF($E5893="",0,$E5893)+IF($F5893="",0,$F5893)-IF($G5893="",0,$G5893))</f>
        <v/>
      </c>
      <c r="I5893" s="12" t="n"/>
      <c r="J5893" s="12" t="n"/>
      <c r="K5893" s="12" t="n"/>
      <c r="L5893" s="14" t="n"/>
      <c r="M5893" s="12" t="n"/>
      <c r="N5893" s="12" t="n"/>
      <c r="O5893" s="12" t="n"/>
    </row>
    <row r="5894">
      <c r="A5894" s="12" t="n"/>
      <c r="B5894" s="13">
        <f>IF($A5894="","",IFERROR(INDEX(Emp_Names,MATCH($A5894,Emp_Codes,0)),"NOT FOUND"))</f>
        <v/>
      </c>
      <c r="C5894" s="14" t="n"/>
      <c r="D5894" s="15" t="n"/>
      <c r="E5894" s="15" t="n"/>
      <c r="F5894" s="15" t="n"/>
      <c r="G5894" s="15" t="n"/>
      <c r="H5894" s="16">
        <f>IF($A5894="","",$D5894+IF($E5894="",0,$E5894)+IF($F5894="",0,$F5894)-IF($G5894="",0,$G5894))</f>
        <v/>
      </c>
      <c r="I5894" s="12" t="n"/>
      <c r="J5894" s="12" t="n"/>
      <c r="K5894" s="12" t="n"/>
      <c r="L5894" s="14" t="n"/>
      <c r="M5894" s="12" t="n"/>
      <c r="N5894" s="12" t="n"/>
      <c r="O5894" s="12" t="n"/>
    </row>
    <row r="5895">
      <c r="A5895" s="12" t="n"/>
      <c r="B5895" s="13">
        <f>IF($A5895="","",IFERROR(INDEX(Emp_Names,MATCH($A5895,Emp_Codes,0)),"NOT FOUND"))</f>
        <v/>
      </c>
      <c r="C5895" s="14" t="n"/>
      <c r="D5895" s="15" t="n"/>
      <c r="E5895" s="15" t="n"/>
      <c r="F5895" s="15" t="n"/>
      <c r="G5895" s="15" t="n"/>
      <c r="H5895" s="16">
        <f>IF($A5895="","",$D5895+IF($E5895="",0,$E5895)+IF($F5895="",0,$F5895)-IF($G5895="",0,$G5895))</f>
        <v/>
      </c>
      <c r="I5895" s="12" t="n"/>
      <c r="J5895" s="12" t="n"/>
      <c r="K5895" s="12" t="n"/>
      <c r="L5895" s="14" t="n"/>
      <c r="M5895" s="12" t="n"/>
      <c r="N5895" s="12" t="n"/>
      <c r="O5895" s="12" t="n"/>
    </row>
    <row r="5896">
      <c r="A5896" s="12" t="n"/>
      <c r="B5896" s="13">
        <f>IF($A5896="","",IFERROR(INDEX(Emp_Names,MATCH($A5896,Emp_Codes,0)),"NOT FOUND"))</f>
        <v/>
      </c>
      <c r="C5896" s="14" t="n"/>
      <c r="D5896" s="15" t="n"/>
      <c r="E5896" s="15" t="n"/>
      <c r="F5896" s="15" t="n"/>
      <c r="G5896" s="15" t="n"/>
      <c r="H5896" s="16">
        <f>IF($A5896="","",$D5896+IF($E5896="",0,$E5896)+IF($F5896="",0,$F5896)-IF($G5896="",0,$G5896))</f>
        <v/>
      </c>
      <c r="I5896" s="12" t="n"/>
      <c r="J5896" s="12" t="n"/>
      <c r="K5896" s="12" t="n"/>
      <c r="L5896" s="14" t="n"/>
      <c r="M5896" s="12" t="n"/>
      <c r="N5896" s="12" t="n"/>
      <c r="O5896" s="12" t="n"/>
    </row>
    <row r="5897">
      <c r="A5897" s="12" t="n"/>
      <c r="B5897" s="13">
        <f>IF($A5897="","",IFERROR(INDEX(Emp_Names,MATCH($A5897,Emp_Codes,0)),"NOT FOUND"))</f>
        <v/>
      </c>
      <c r="C5897" s="14" t="n"/>
      <c r="D5897" s="15" t="n"/>
      <c r="E5897" s="15" t="n"/>
      <c r="F5897" s="15" t="n"/>
      <c r="G5897" s="15" t="n"/>
      <c r="H5897" s="16">
        <f>IF($A5897="","",$D5897+IF($E5897="",0,$E5897)+IF($F5897="",0,$F5897)-IF($G5897="",0,$G5897))</f>
        <v/>
      </c>
      <c r="I5897" s="12" t="n"/>
      <c r="J5897" s="12" t="n"/>
      <c r="K5897" s="12" t="n"/>
      <c r="L5897" s="14" t="n"/>
      <c r="M5897" s="12" t="n"/>
      <c r="N5897" s="12" t="n"/>
      <c r="O5897" s="12" t="n"/>
    </row>
    <row r="5898">
      <c r="A5898" s="12" t="n"/>
      <c r="B5898" s="13">
        <f>IF($A5898="","",IFERROR(INDEX(Emp_Names,MATCH($A5898,Emp_Codes,0)),"NOT FOUND"))</f>
        <v/>
      </c>
      <c r="C5898" s="14" t="n"/>
      <c r="D5898" s="15" t="n"/>
      <c r="E5898" s="15" t="n"/>
      <c r="F5898" s="15" t="n"/>
      <c r="G5898" s="15" t="n"/>
      <c r="H5898" s="16">
        <f>IF($A5898="","",$D5898+IF($E5898="",0,$E5898)+IF($F5898="",0,$F5898)-IF($G5898="",0,$G5898))</f>
        <v/>
      </c>
      <c r="I5898" s="12" t="n"/>
      <c r="J5898" s="12" t="n"/>
      <c r="K5898" s="12" t="n"/>
      <c r="L5898" s="14" t="n"/>
      <c r="M5898" s="12" t="n"/>
      <c r="N5898" s="12" t="n"/>
      <c r="O5898" s="12" t="n"/>
    </row>
    <row r="5899">
      <c r="A5899" s="12" t="n"/>
      <c r="B5899" s="13">
        <f>IF($A5899="","",IFERROR(INDEX(Emp_Names,MATCH($A5899,Emp_Codes,0)),"NOT FOUND"))</f>
        <v/>
      </c>
      <c r="C5899" s="14" t="n"/>
      <c r="D5899" s="15" t="n"/>
      <c r="E5899" s="15" t="n"/>
      <c r="F5899" s="15" t="n"/>
      <c r="G5899" s="15" t="n"/>
      <c r="H5899" s="16">
        <f>IF($A5899="","",$D5899+IF($E5899="",0,$E5899)+IF($F5899="",0,$F5899)-IF($G5899="",0,$G5899))</f>
        <v/>
      </c>
      <c r="I5899" s="12" t="n"/>
      <c r="J5899" s="12" t="n"/>
      <c r="K5899" s="12" t="n"/>
      <c r="L5899" s="14" t="n"/>
      <c r="M5899" s="12" t="n"/>
      <c r="N5899" s="12" t="n"/>
      <c r="O5899" s="12" t="n"/>
    </row>
    <row r="5900">
      <c r="A5900" s="12" t="n"/>
      <c r="B5900" s="13">
        <f>IF($A5900="","",IFERROR(INDEX(Emp_Names,MATCH($A5900,Emp_Codes,0)),"NOT FOUND"))</f>
        <v/>
      </c>
      <c r="C5900" s="14" t="n"/>
      <c r="D5900" s="15" t="n"/>
      <c r="E5900" s="15" t="n"/>
      <c r="F5900" s="15" t="n"/>
      <c r="G5900" s="15" t="n"/>
      <c r="H5900" s="16">
        <f>IF($A5900="","",$D5900+IF($E5900="",0,$E5900)+IF($F5900="",0,$F5900)-IF($G5900="",0,$G5900))</f>
        <v/>
      </c>
      <c r="I5900" s="12" t="n"/>
      <c r="J5900" s="12" t="n"/>
      <c r="K5900" s="12" t="n"/>
      <c r="L5900" s="14" t="n"/>
      <c r="M5900" s="12" t="n"/>
      <c r="N5900" s="12" t="n"/>
      <c r="O5900" s="12" t="n"/>
    </row>
    <row r="5901">
      <c r="A5901" s="12" t="n"/>
      <c r="B5901" s="13">
        <f>IF($A5901="","",IFERROR(INDEX(Emp_Names,MATCH($A5901,Emp_Codes,0)),"NOT FOUND"))</f>
        <v/>
      </c>
      <c r="C5901" s="14" t="n"/>
      <c r="D5901" s="15" t="n"/>
      <c r="E5901" s="15" t="n"/>
      <c r="F5901" s="15" t="n"/>
      <c r="G5901" s="15" t="n"/>
      <c r="H5901" s="16">
        <f>IF($A5901="","",$D5901+IF($E5901="",0,$E5901)+IF($F5901="",0,$F5901)-IF($G5901="",0,$G5901))</f>
        <v/>
      </c>
      <c r="I5901" s="12" t="n"/>
      <c r="J5901" s="12" t="n"/>
      <c r="K5901" s="12" t="n"/>
      <c r="L5901" s="14" t="n"/>
      <c r="M5901" s="12" t="n"/>
      <c r="N5901" s="12" t="n"/>
      <c r="O5901" s="12" t="n"/>
    </row>
    <row r="5902">
      <c r="A5902" s="12" t="n"/>
      <c r="B5902" s="13">
        <f>IF($A5902="","",IFERROR(INDEX(Emp_Names,MATCH($A5902,Emp_Codes,0)),"NOT FOUND"))</f>
        <v/>
      </c>
      <c r="C5902" s="14" t="n"/>
      <c r="D5902" s="15" t="n"/>
      <c r="E5902" s="15" t="n"/>
      <c r="F5902" s="15" t="n"/>
      <c r="G5902" s="15" t="n"/>
      <c r="H5902" s="16">
        <f>IF($A5902="","",$D5902+IF($E5902="",0,$E5902)+IF($F5902="",0,$F5902)-IF($G5902="",0,$G5902))</f>
        <v/>
      </c>
      <c r="I5902" s="12" t="n"/>
      <c r="J5902" s="12" t="n"/>
      <c r="K5902" s="12" t="n"/>
      <c r="L5902" s="14" t="n"/>
      <c r="M5902" s="12" t="n"/>
      <c r="N5902" s="12" t="n"/>
      <c r="O5902" s="12" t="n"/>
    </row>
    <row r="5903">
      <c r="A5903" s="12" t="n"/>
      <c r="B5903" s="13">
        <f>IF($A5903="","",IFERROR(INDEX(Emp_Names,MATCH($A5903,Emp_Codes,0)),"NOT FOUND"))</f>
        <v/>
      </c>
      <c r="C5903" s="14" t="n"/>
      <c r="D5903" s="15" t="n"/>
      <c r="E5903" s="15" t="n"/>
      <c r="F5903" s="15" t="n"/>
      <c r="G5903" s="15" t="n"/>
      <c r="H5903" s="16">
        <f>IF($A5903="","",$D5903+IF($E5903="",0,$E5903)+IF($F5903="",0,$F5903)-IF($G5903="",0,$G5903))</f>
        <v/>
      </c>
      <c r="I5903" s="12" t="n"/>
      <c r="J5903" s="12" t="n"/>
      <c r="K5903" s="12" t="n"/>
      <c r="L5903" s="14" t="n"/>
      <c r="M5903" s="12" t="n"/>
      <c r="N5903" s="12" t="n"/>
      <c r="O5903" s="12" t="n"/>
    </row>
    <row r="5904">
      <c r="A5904" s="12" t="n"/>
      <c r="B5904" s="13">
        <f>IF($A5904="","",IFERROR(INDEX(Emp_Names,MATCH($A5904,Emp_Codes,0)),"NOT FOUND"))</f>
        <v/>
      </c>
      <c r="C5904" s="14" t="n"/>
      <c r="D5904" s="15" t="n"/>
      <c r="E5904" s="15" t="n"/>
      <c r="F5904" s="15" t="n"/>
      <c r="G5904" s="15" t="n"/>
      <c r="H5904" s="16">
        <f>IF($A5904="","",$D5904+IF($E5904="",0,$E5904)+IF($F5904="",0,$F5904)-IF($G5904="",0,$G5904))</f>
        <v/>
      </c>
      <c r="I5904" s="12" t="n"/>
      <c r="J5904" s="12" t="n"/>
      <c r="K5904" s="12" t="n"/>
      <c r="L5904" s="14" t="n"/>
      <c r="M5904" s="12" t="n"/>
      <c r="N5904" s="12" t="n"/>
      <c r="O5904" s="12" t="n"/>
    </row>
    <row r="5905">
      <c r="A5905" s="12" t="n"/>
      <c r="B5905" s="13">
        <f>IF($A5905="","",IFERROR(INDEX(Emp_Names,MATCH($A5905,Emp_Codes,0)),"NOT FOUND"))</f>
        <v/>
      </c>
      <c r="C5905" s="14" t="n"/>
      <c r="D5905" s="15" t="n"/>
      <c r="E5905" s="15" t="n"/>
      <c r="F5905" s="15" t="n"/>
      <c r="G5905" s="15" t="n"/>
      <c r="H5905" s="16">
        <f>IF($A5905="","",$D5905+IF($E5905="",0,$E5905)+IF($F5905="",0,$F5905)-IF($G5905="",0,$G5905))</f>
        <v/>
      </c>
      <c r="I5905" s="12" t="n"/>
      <c r="J5905" s="12" t="n"/>
      <c r="K5905" s="12" t="n"/>
      <c r="L5905" s="14" t="n"/>
      <c r="M5905" s="12" t="n"/>
      <c r="N5905" s="12" t="n"/>
      <c r="O5905" s="12" t="n"/>
    </row>
    <row r="5906">
      <c r="A5906" s="12" t="n"/>
      <c r="B5906" s="13">
        <f>IF($A5906="","",IFERROR(INDEX(Emp_Names,MATCH($A5906,Emp_Codes,0)),"NOT FOUND"))</f>
        <v/>
      </c>
      <c r="C5906" s="14" t="n"/>
      <c r="D5906" s="15" t="n"/>
      <c r="E5906" s="15" t="n"/>
      <c r="F5906" s="15" t="n"/>
      <c r="G5906" s="15" t="n"/>
      <c r="H5906" s="16">
        <f>IF($A5906="","",$D5906+IF($E5906="",0,$E5906)+IF($F5906="",0,$F5906)-IF($G5906="",0,$G5906))</f>
        <v/>
      </c>
      <c r="I5906" s="12" t="n"/>
      <c r="J5906" s="12" t="n"/>
      <c r="K5906" s="12" t="n"/>
      <c r="L5906" s="14" t="n"/>
      <c r="M5906" s="12" t="n"/>
      <c r="N5906" s="12" t="n"/>
      <c r="O5906" s="12" t="n"/>
    </row>
    <row r="5907">
      <c r="A5907" s="12" t="n"/>
      <c r="B5907" s="13">
        <f>IF($A5907="","",IFERROR(INDEX(Emp_Names,MATCH($A5907,Emp_Codes,0)),"NOT FOUND"))</f>
        <v/>
      </c>
      <c r="C5907" s="14" t="n"/>
      <c r="D5907" s="15" t="n"/>
      <c r="E5907" s="15" t="n"/>
      <c r="F5907" s="15" t="n"/>
      <c r="G5907" s="15" t="n"/>
      <c r="H5907" s="16">
        <f>IF($A5907="","",$D5907+IF($E5907="",0,$E5907)+IF($F5907="",0,$F5907)-IF($G5907="",0,$G5907))</f>
        <v/>
      </c>
      <c r="I5907" s="12" t="n"/>
      <c r="J5907" s="12" t="n"/>
      <c r="K5907" s="12" t="n"/>
      <c r="L5907" s="14" t="n"/>
      <c r="M5907" s="12" t="n"/>
      <c r="N5907" s="12" t="n"/>
      <c r="O5907" s="12" t="n"/>
    </row>
    <row r="5908">
      <c r="A5908" s="12" t="n"/>
      <c r="B5908" s="13">
        <f>IF($A5908="","",IFERROR(INDEX(Emp_Names,MATCH($A5908,Emp_Codes,0)),"NOT FOUND"))</f>
        <v/>
      </c>
      <c r="C5908" s="14" t="n"/>
      <c r="D5908" s="15" t="n"/>
      <c r="E5908" s="15" t="n"/>
      <c r="F5908" s="15" t="n"/>
      <c r="G5908" s="15" t="n"/>
      <c r="H5908" s="16">
        <f>IF($A5908="","",$D5908+IF($E5908="",0,$E5908)+IF($F5908="",0,$F5908)-IF($G5908="",0,$G5908))</f>
        <v/>
      </c>
      <c r="I5908" s="12" t="n"/>
      <c r="J5908" s="12" t="n"/>
      <c r="K5908" s="12" t="n"/>
      <c r="L5908" s="14" t="n"/>
      <c r="M5908" s="12" t="n"/>
      <c r="N5908" s="12" t="n"/>
      <c r="O5908" s="12" t="n"/>
    </row>
    <row r="5909">
      <c r="A5909" s="12" t="n"/>
      <c r="B5909" s="13">
        <f>IF($A5909="","",IFERROR(INDEX(Emp_Names,MATCH($A5909,Emp_Codes,0)),"NOT FOUND"))</f>
        <v/>
      </c>
      <c r="C5909" s="14" t="n"/>
      <c r="D5909" s="15" t="n"/>
      <c r="E5909" s="15" t="n"/>
      <c r="F5909" s="15" t="n"/>
      <c r="G5909" s="15" t="n"/>
      <c r="H5909" s="16">
        <f>IF($A5909="","",$D5909+IF($E5909="",0,$E5909)+IF($F5909="",0,$F5909)-IF($G5909="",0,$G5909))</f>
        <v/>
      </c>
      <c r="I5909" s="12" t="n"/>
      <c r="J5909" s="12" t="n"/>
      <c r="K5909" s="12" t="n"/>
      <c r="L5909" s="14" t="n"/>
      <c r="M5909" s="12" t="n"/>
      <c r="N5909" s="12" t="n"/>
      <c r="O5909" s="12" t="n"/>
    </row>
    <row r="5910">
      <c r="A5910" s="12" t="n"/>
      <c r="B5910" s="13">
        <f>IF($A5910="","",IFERROR(INDEX(Emp_Names,MATCH($A5910,Emp_Codes,0)),"NOT FOUND"))</f>
        <v/>
      </c>
      <c r="C5910" s="14" t="n"/>
      <c r="D5910" s="15" t="n"/>
      <c r="E5910" s="15" t="n"/>
      <c r="F5910" s="15" t="n"/>
      <c r="G5910" s="15" t="n"/>
      <c r="H5910" s="16">
        <f>IF($A5910="","",$D5910+IF($E5910="",0,$E5910)+IF($F5910="",0,$F5910)-IF($G5910="",0,$G5910))</f>
        <v/>
      </c>
      <c r="I5910" s="12" t="n"/>
      <c r="J5910" s="12" t="n"/>
      <c r="K5910" s="12" t="n"/>
      <c r="L5910" s="14" t="n"/>
      <c r="M5910" s="12" t="n"/>
      <c r="N5910" s="12" t="n"/>
      <c r="O5910" s="12" t="n"/>
    </row>
    <row r="5911">
      <c r="A5911" s="12" t="n"/>
      <c r="B5911" s="13">
        <f>IF($A5911="","",IFERROR(INDEX(Emp_Names,MATCH($A5911,Emp_Codes,0)),"NOT FOUND"))</f>
        <v/>
      </c>
      <c r="C5911" s="14" t="n"/>
      <c r="D5911" s="15" t="n"/>
      <c r="E5911" s="15" t="n"/>
      <c r="F5911" s="15" t="n"/>
      <c r="G5911" s="15" t="n"/>
      <c r="H5911" s="16">
        <f>IF($A5911="","",$D5911+IF($E5911="",0,$E5911)+IF($F5911="",0,$F5911)-IF($G5911="",0,$G5911))</f>
        <v/>
      </c>
      <c r="I5911" s="12" t="n"/>
      <c r="J5911" s="12" t="n"/>
      <c r="K5911" s="12" t="n"/>
      <c r="L5911" s="14" t="n"/>
      <c r="M5911" s="12" t="n"/>
      <c r="N5911" s="12" t="n"/>
      <c r="O5911" s="12" t="n"/>
    </row>
    <row r="5912">
      <c r="A5912" s="12" t="n"/>
      <c r="B5912" s="13">
        <f>IF($A5912="","",IFERROR(INDEX(Emp_Names,MATCH($A5912,Emp_Codes,0)),"NOT FOUND"))</f>
        <v/>
      </c>
      <c r="C5912" s="14" t="n"/>
      <c r="D5912" s="15" t="n"/>
      <c r="E5912" s="15" t="n"/>
      <c r="F5912" s="15" t="n"/>
      <c r="G5912" s="15" t="n"/>
      <c r="H5912" s="16">
        <f>IF($A5912="","",$D5912+IF($E5912="",0,$E5912)+IF($F5912="",0,$F5912)-IF($G5912="",0,$G5912))</f>
        <v/>
      </c>
      <c r="I5912" s="12" t="n"/>
      <c r="J5912" s="12" t="n"/>
      <c r="K5912" s="12" t="n"/>
      <c r="L5912" s="14" t="n"/>
      <c r="M5912" s="12" t="n"/>
      <c r="N5912" s="12" t="n"/>
      <c r="O5912" s="12" t="n"/>
    </row>
    <row r="5913">
      <c r="A5913" s="12" t="n"/>
      <c r="B5913" s="13">
        <f>IF($A5913="","",IFERROR(INDEX(Emp_Names,MATCH($A5913,Emp_Codes,0)),"NOT FOUND"))</f>
        <v/>
      </c>
      <c r="C5913" s="14" t="n"/>
      <c r="D5913" s="15" t="n"/>
      <c r="E5913" s="15" t="n"/>
      <c r="F5913" s="15" t="n"/>
      <c r="G5913" s="15" t="n"/>
      <c r="H5913" s="16">
        <f>IF($A5913="","",$D5913+IF($E5913="",0,$E5913)+IF($F5913="",0,$F5913)-IF($G5913="",0,$G5913))</f>
        <v/>
      </c>
      <c r="I5913" s="12" t="n"/>
      <c r="J5913" s="12" t="n"/>
      <c r="K5913" s="12" t="n"/>
      <c r="L5913" s="14" t="n"/>
      <c r="M5913" s="12" t="n"/>
      <c r="N5913" s="12" t="n"/>
      <c r="O5913" s="12" t="n"/>
    </row>
    <row r="5914">
      <c r="A5914" s="12" t="n"/>
      <c r="B5914" s="13">
        <f>IF($A5914="","",IFERROR(INDEX(Emp_Names,MATCH($A5914,Emp_Codes,0)),"NOT FOUND"))</f>
        <v/>
      </c>
      <c r="C5914" s="14" t="n"/>
      <c r="D5914" s="15" t="n"/>
      <c r="E5914" s="15" t="n"/>
      <c r="F5914" s="15" t="n"/>
      <c r="G5914" s="15" t="n"/>
      <c r="H5914" s="16">
        <f>IF($A5914="","",$D5914+IF($E5914="",0,$E5914)+IF($F5914="",0,$F5914)-IF($G5914="",0,$G5914))</f>
        <v/>
      </c>
      <c r="I5914" s="12" t="n"/>
      <c r="J5914" s="12" t="n"/>
      <c r="K5914" s="12" t="n"/>
      <c r="L5914" s="14" t="n"/>
      <c r="M5914" s="12" t="n"/>
      <c r="N5914" s="12" t="n"/>
      <c r="O5914" s="12" t="n"/>
    </row>
    <row r="5915">
      <c r="A5915" s="12" t="n"/>
      <c r="B5915" s="13">
        <f>IF($A5915="","",IFERROR(INDEX(Emp_Names,MATCH($A5915,Emp_Codes,0)),"NOT FOUND"))</f>
        <v/>
      </c>
      <c r="C5915" s="14" t="n"/>
      <c r="D5915" s="15" t="n"/>
      <c r="E5915" s="15" t="n"/>
      <c r="F5915" s="15" t="n"/>
      <c r="G5915" s="15" t="n"/>
      <c r="H5915" s="16">
        <f>IF($A5915="","",$D5915+IF($E5915="",0,$E5915)+IF($F5915="",0,$F5915)-IF($G5915="",0,$G5915))</f>
        <v/>
      </c>
      <c r="I5915" s="12" t="n"/>
      <c r="J5915" s="12" t="n"/>
      <c r="K5915" s="12" t="n"/>
      <c r="L5915" s="14" t="n"/>
      <c r="M5915" s="12" t="n"/>
      <c r="N5915" s="12" t="n"/>
      <c r="O5915" s="12" t="n"/>
    </row>
    <row r="5916">
      <c r="A5916" s="12" t="n"/>
      <c r="B5916" s="13">
        <f>IF($A5916="","",IFERROR(INDEX(Emp_Names,MATCH($A5916,Emp_Codes,0)),"NOT FOUND"))</f>
        <v/>
      </c>
      <c r="C5916" s="14" t="n"/>
      <c r="D5916" s="15" t="n"/>
      <c r="E5916" s="15" t="n"/>
      <c r="F5916" s="15" t="n"/>
      <c r="G5916" s="15" t="n"/>
      <c r="H5916" s="16">
        <f>IF($A5916="","",$D5916+IF($E5916="",0,$E5916)+IF($F5916="",0,$F5916)-IF($G5916="",0,$G5916))</f>
        <v/>
      </c>
      <c r="I5916" s="12" t="n"/>
      <c r="J5916" s="12" t="n"/>
      <c r="K5916" s="12" t="n"/>
      <c r="L5916" s="14" t="n"/>
      <c r="M5916" s="12" t="n"/>
      <c r="N5916" s="12" t="n"/>
      <c r="O5916" s="12" t="n"/>
    </row>
    <row r="5917">
      <c r="A5917" s="12" t="n"/>
      <c r="B5917" s="13">
        <f>IF($A5917="","",IFERROR(INDEX(Emp_Names,MATCH($A5917,Emp_Codes,0)),"NOT FOUND"))</f>
        <v/>
      </c>
      <c r="C5917" s="14" t="n"/>
      <c r="D5917" s="15" t="n"/>
      <c r="E5917" s="15" t="n"/>
      <c r="F5917" s="15" t="n"/>
      <c r="G5917" s="15" t="n"/>
      <c r="H5917" s="16">
        <f>IF($A5917="","",$D5917+IF($E5917="",0,$E5917)+IF($F5917="",0,$F5917)-IF($G5917="",0,$G5917))</f>
        <v/>
      </c>
      <c r="I5917" s="12" t="n"/>
      <c r="J5917" s="12" t="n"/>
      <c r="K5917" s="12" t="n"/>
      <c r="L5917" s="14" t="n"/>
      <c r="M5917" s="12" t="n"/>
      <c r="N5917" s="12" t="n"/>
      <c r="O5917" s="12" t="n"/>
    </row>
    <row r="5918">
      <c r="A5918" s="12" t="n"/>
      <c r="B5918" s="13">
        <f>IF($A5918="","",IFERROR(INDEX(Emp_Names,MATCH($A5918,Emp_Codes,0)),"NOT FOUND"))</f>
        <v/>
      </c>
      <c r="C5918" s="14" t="n"/>
      <c r="D5918" s="15" t="n"/>
      <c r="E5918" s="15" t="n"/>
      <c r="F5918" s="15" t="n"/>
      <c r="G5918" s="15" t="n"/>
      <c r="H5918" s="16">
        <f>IF($A5918="","",$D5918+IF($E5918="",0,$E5918)+IF($F5918="",0,$F5918)-IF($G5918="",0,$G5918))</f>
        <v/>
      </c>
      <c r="I5918" s="12" t="n"/>
      <c r="J5918" s="12" t="n"/>
      <c r="K5918" s="12" t="n"/>
      <c r="L5918" s="14" t="n"/>
      <c r="M5918" s="12" t="n"/>
      <c r="N5918" s="12" t="n"/>
      <c r="O5918" s="12" t="n"/>
    </row>
    <row r="5919">
      <c r="A5919" s="12" t="n"/>
      <c r="B5919" s="13">
        <f>IF($A5919="","",IFERROR(INDEX(Emp_Names,MATCH($A5919,Emp_Codes,0)),"NOT FOUND"))</f>
        <v/>
      </c>
      <c r="C5919" s="14" t="n"/>
      <c r="D5919" s="15" t="n"/>
      <c r="E5919" s="15" t="n"/>
      <c r="F5919" s="15" t="n"/>
      <c r="G5919" s="15" t="n"/>
      <c r="H5919" s="16">
        <f>IF($A5919="","",$D5919+IF($E5919="",0,$E5919)+IF($F5919="",0,$F5919)-IF($G5919="",0,$G5919))</f>
        <v/>
      </c>
      <c r="I5919" s="12" t="n"/>
      <c r="J5919" s="12" t="n"/>
      <c r="K5919" s="12" t="n"/>
      <c r="L5919" s="14" t="n"/>
      <c r="M5919" s="12" t="n"/>
      <c r="N5919" s="12" t="n"/>
      <c r="O5919" s="12" t="n"/>
    </row>
    <row r="5920">
      <c r="A5920" s="12" t="n"/>
      <c r="B5920" s="13">
        <f>IF($A5920="","",IFERROR(INDEX(Emp_Names,MATCH($A5920,Emp_Codes,0)),"NOT FOUND"))</f>
        <v/>
      </c>
      <c r="C5920" s="14" t="n"/>
      <c r="D5920" s="15" t="n"/>
      <c r="E5920" s="15" t="n"/>
      <c r="F5920" s="15" t="n"/>
      <c r="G5920" s="15" t="n"/>
      <c r="H5920" s="16">
        <f>IF($A5920="","",$D5920+IF($E5920="",0,$E5920)+IF($F5920="",0,$F5920)-IF($G5920="",0,$G5920))</f>
        <v/>
      </c>
      <c r="I5920" s="12" t="n"/>
      <c r="J5920" s="12" t="n"/>
      <c r="K5920" s="12" t="n"/>
      <c r="L5920" s="14" t="n"/>
      <c r="M5920" s="12" t="n"/>
      <c r="N5920" s="12" t="n"/>
      <c r="O5920" s="12" t="n"/>
    </row>
    <row r="5921">
      <c r="A5921" s="12" t="n"/>
      <c r="B5921" s="13">
        <f>IF($A5921="","",IFERROR(INDEX(Emp_Names,MATCH($A5921,Emp_Codes,0)),"NOT FOUND"))</f>
        <v/>
      </c>
      <c r="C5921" s="14" t="n"/>
      <c r="D5921" s="15" t="n"/>
      <c r="E5921" s="15" t="n"/>
      <c r="F5921" s="15" t="n"/>
      <c r="G5921" s="15" t="n"/>
      <c r="H5921" s="16">
        <f>IF($A5921="","",$D5921+IF($E5921="",0,$E5921)+IF($F5921="",0,$F5921)-IF($G5921="",0,$G5921))</f>
        <v/>
      </c>
      <c r="I5921" s="12" t="n"/>
      <c r="J5921" s="12" t="n"/>
      <c r="K5921" s="12" t="n"/>
      <c r="L5921" s="14" t="n"/>
      <c r="M5921" s="12" t="n"/>
      <c r="N5921" s="12" t="n"/>
      <c r="O5921" s="12" t="n"/>
    </row>
    <row r="5922">
      <c r="A5922" s="12" t="n"/>
      <c r="B5922" s="13">
        <f>IF($A5922="","",IFERROR(INDEX(Emp_Names,MATCH($A5922,Emp_Codes,0)),"NOT FOUND"))</f>
        <v/>
      </c>
      <c r="C5922" s="14" t="n"/>
      <c r="D5922" s="15" t="n"/>
      <c r="E5922" s="15" t="n"/>
      <c r="F5922" s="15" t="n"/>
      <c r="G5922" s="15" t="n"/>
      <c r="H5922" s="16">
        <f>IF($A5922="","",$D5922+IF($E5922="",0,$E5922)+IF($F5922="",0,$F5922)-IF($G5922="",0,$G5922))</f>
        <v/>
      </c>
      <c r="I5922" s="12" t="n"/>
      <c r="J5922" s="12" t="n"/>
      <c r="K5922" s="12" t="n"/>
      <c r="L5922" s="14" t="n"/>
      <c r="M5922" s="12" t="n"/>
      <c r="N5922" s="12" t="n"/>
      <c r="O5922" s="12" t="n"/>
    </row>
    <row r="5923">
      <c r="A5923" s="12" t="n"/>
      <c r="B5923" s="13">
        <f>IF($A5923="","",IFERROR(INDEX(Emp_Names,MATCH($A5923,Emp_Codes,0)),"NOT FOUND"))</f>
        <v/>
      </c>
      <c r="C5923" s="14" t="n"/>
      <c r="D5923" s="15" t="n"/>
      <c r="E5923" s="15" t="n"/>
      <c r="F5923" s="15" t="n"/>
      <c r="G5923" s="15" t="n"/>
      <c r="H5923" s="16">
        <f>IF($A5923="","",$D5923+IF($E5923="",0,$E5923)+IF($F5923="",0,$F5923)-IF($G5923="",0,$G5923))</f>
        <v/>
      </c>
      <c r="I5923" s="12" t="n"/>
      <c r="J5923" s="12" t="n"/>
      <c r="K5923" s="12" t="n"/>
      <c r="L5923" s="14" t="n"/>
      <c r="M5923" s="12" t="n"/>
      <c r="N5923" s="12" t="n"/>
      <c r="O5923" s="12" t="n"/>
    </row>
    <row r="5924">
      <c r="A5924" s="12" t="n"/>
      <c r="B5924" s="13">
        <f>IF($A5924="","",IFERROR(INDEX(Emp_Names,MATCH($A5924,Emp_Codes,0)),"NOT FOUND"))</f>
        <v/>
      </c>
      <c r="C5924" s="14" t="n"/>
      <c r="D5924" s="15" t="n"/>
      <c r="E5924" s="15" t="n"/>
      <c r="F5924" s="15" t="n"/>
      <c r="G5924" s="15" t="n"/>
      <c r="H5924" s="16">
        <f>IF($A5924="","",$D5924+IF($E5924="",0,$E5924)+IF($F5924="",0,$F5924)-IF($G5924="",0,$G5924))</f>
        <v/>
      </c>
      <c r="I5924" s="12" t="n"/>
      <c r="J5924" s="12" t="n"/>
      <c r="K5924" s="12" t="n"/>
      <c r="L5924" s="14" t="n"/>
      <c r="M5924" s="12" t="n"/>
      <c r="N5924" s="12" t="n"/>
      <c r="O5924" s="12" t="n"/>
    </row>
    <row r="5925">
      <c r="A5925" s="12" t="n"/>
      <c r="B5925" s="13">
        <f>IF($A5925="","",IFERROR(INDEX(Emp_Names,MATCH($A5925,Emp_Codes,0)),"NOT FOUND"))</f>
        <v/>
      </c>
      <c r="C5925" s="14" t="n"/>
      <c r="D5925" s="15" t="n"/>
      <c r="E5925" s="15" t="n"/>
      <c r="F5925" s="15" t="n"/>
      <c r="G5925" s="15" t="n"/>
      <c r="H5925" s="16">
        <f>IF($A5925="","",$D5925+IF($E5925="",0,$E5925)+IF($F5925="",0,$F5925)-IF($G5925="",0,$G5925))</f>
        <v/>
      </c>
      <c r="I5925" s="12" t="n"/>
      <c r="J5925" s="12" t="n"/>
      <c r="K5925" s="12" t="n"/>
      <c r="L5925" s="14" t="n"/>
      <c r="M5925" s="12" t="n"/>
      <c r="N5925" s="12" t="n"/>
      <c r="O5925" s="12" t="n"/>
    </row>
    <row r="5926">
      <c r="A5926" s="12" t="n"/>
      <c r="B5926" s="13">
        <f>IF($A5926="","",IFERROR(INDEX(Emp_Names,MATCH($A5926,Emp_Codes,0)),"NOT FOUND"))</f>
        <v/>
      </c>
      <c r="C5926" s="14" t="n"/>
      <c r="D5926" s="15" t="n"/>
      <c r="E5926" s="15" t="n"/>
      <c r="F5926" s="15" t="n"/>
      <c r="G5926" s="15" t="n"/>
      <c r="H5926" s="16">
        <f>IF($A5926="","",$D5926+IF($E5926="",0,$E5926)+IF($F5926="",0,$F5926)-IF($G5926="",0,$G5926))</f>
        <v/>
      </c>
      <c r="I5926" s="12" t="n"/>
      <c r="J5926" s="12" t="n"/>
      <c r="K5926" s="12" t="n"/>
      <c r="L5926" s="14" t="n"/>
      <c r="M5926" s="12" t="n"/>
      <c r="N5926" s="12" t="n"/>
      <c r="O5926" s="12" t="n"/>
    </row>
    <row r="5927">
      <c r="A5927" s="12" t="n"/>
      <c r="B5927" s="13">
        <f>IF($A5927="","",IFERROR(INDEX(Emp_Names,MATCH($A5927,Emp_Codes,0)),"NOT FOUND"))</f>
        <v/>
      </c>
      <c r="C5927" s="14" t="n"/>
      <c r="D5927" s="15" t="n"/>
      <c r="E5927" s="15" t="n"/>
      <c r="F5927" s="15" t="n"/>
      <c r="G5927" s="15" t="n"/>
      <c r="H5927" s="16">
        <f>IF($A5927="","",$D5927+IF($E5927="",0,$E5927)+IF($F5927="",0,$F5927)-IF($G5927="",0,$G5927))</f>
        <v/>
      </c>
      <c r="I5927" s="12" t="n"/>
      <c r="J5927" s="12" t="n"/>
      <c r="K5927" s="12" t="n"/>
      <c r="L5927" s="14" t="n"/>
      <c r="M5927" s="12" t="n"/>
      <c r="N5927" s="12" t="n"/>
      <c r="O5927" s="12" t="n"/>
    </row>
    <row r="5928">
      <c r="A5928" s="12" t="n"/>
      <c r="B5928" s="13">
        <f>IF($A5928="","",IFERROR(INDEX(Emp_Names,MATCH($A5928,Emp_Codes,0)),"NOT FOUND"))</f>
        <v/>
      </c>
      <c r="C5928" s="14" t="n"/>
      <c r="D5928" s="15" t="n"/>
      <c r="E5928" s="15" t="n"/>
      <c r="F5928" s="15" t="n"/>
      <c r="G5928" s="15" t="n"/>
      <c r="H5928" s="16">
        <f>IF($A5928="","",$D5928+IF($E5928="",0,$E5928)+IF($F5928="",0,$F5928)-IF($G5928="",0,$G5928))</f>
        <v/>
      </c>
      <c r="I5928" s="12" t="n"/>
      <c r="J5928" s="12" t="n"/>
      <c r="K5928" s="12" t="n"/>
      <c r="L5928" s="14" t="n"/>
      <c r="M5928" s="12" t="n"/>
      <c r="N5928" s="12" t="n"/>
      <c r="O5928" s="12" t="n"/>
    </row>
    <row r="5929">
      <c r="A5929" s="12" t="n"/>
      <c r="B5929" s="13">
        <f>IF($A5929="","",IFERROR(INDEX(Emp_Names,MATCH($A5929,Emp_Codes,0)),"NOT FOUND"))</f>
        <v/>
      </c>
      <c r="C5929" s="14" t="n"/>
      <c r="D5929" s="15" t="n"/>
      <c r="E5929" s="15" t="n"/>
      <c r="F5929" s="15" t="n"/>
      <c r="G5929" s="15" t="n"/>
      <c r="H5929" s="16">
        <f>IF($A5929="","",$D5929+IF($E5929="",0,$E5929)+IF($F5929="",0,$F5929)-IF($G5929="",0,$G5929))</f>
        <v/>
      </c>
      <c r="I5929" s="12" t="n"/>
      <c r="J5929" s="12" t="n"/>
      <c r="K5929" s="12" t="n"/>
      <c r="L5929" s="14" t="n"/>
      <c r="M5929" s="12" t="n"/>
      <c r="N5929" s="12" t="n"/>
      <c r="O5929" s="12" t="n"/>
    </row>
    <row r="5930">
      <c r="A5930" s="12" t="n"/>
      <c r="B5930" s="13">
        <f>IF($A5930="","",IFERROR(INDEX(Emp_Names,MATCH($A5930,Emp_Codes,0)),"NOT FOUND"))</f>
        <v/>
      </c>
      <c r="C5930" s="14" t="n"/>
      <c r="D5930" s="15" t="n"/>
      <c r="E5930" s="15" t="n"/>
      <c r="F5930" s="15" t="n"/>
      <c r="G5930" s="15" t="n"/>
      <c r="H5930" s="16">
        <f>IF($A5930="","",$D5930+IF($E5930="",0,$E5930)+IF($F5930="",0,$F5930)-IF($G5930="",0,$G5930))</f>
        <v/>
      </c>
      <c r="I5930" s="12" t="n"/>
      <c r="J5930" s="12" t="n"/>
      <c r="K5930" s="12" t="n"/>
      <c r="L5930" s="14" t="n"/>
      <c r="M5930" s="12" t="n"/>
      <c r="N5930" s="12" t="n"/>
      <c r="O5930" s="12" t="n"/>
    </row>
    <row r="5931">
      <c r="A5931" s="12" t="n"/>
      <c r="B5931" s="13">
        <f>IF($A5931="","",IFERROR(INDEX(Emp_Names,MATCH($A5931,Emp_Codes,0)),"NOT FOUND"))</f>
        <v/>
      </c>
      <c r="C5931" s="14" t="n"/>
      <c r="D5931" s="15" t="n"/>
      <c r="E5931" s="15" t="n"/>
      <c r="F5931" s="15" t="n"/>
      <c r="G5931" s="15" t="n"/>
      <c r="H5931" s="16">
        <f>IF($A5931="","",$D5931+IF($E5931="",0,$E5931)+IF($F5931="",0,$F5931)-IF($G5931="",0,$G5931))</f>
        <v/>
      </c>
      <c r="I5931" s="12" t="n"/>
      <c r="J5931" s="12" t="n"/>
      <c r="K5931" s="12" t="n"/>
      <c r="L5931" s="14" t="n"/>
      <c r="M5931" s="12" t="n"/>
      <c r="N5931" s="12" t="n"/>
      <c r="O5931" s="12" t="n"/>
    </row>
    <row r="5932">
      <c r="A5932" s="12" t="n"/>
      <c r="B5932" s="13">
        <f>IF($A5932="","",IFERROR(INDEX(Emp_Names,MATCH($A5932,Emp_Codes,0)),"NOT FOUND"))</f>
        <v/>
      </c>
      <c r="C5932" s="14" t="n"/>
      <c r="D5932" s="15" t="n"/>
      <c r="E5932" s="15" t="n"/>
      <c r="F5932" s="15" t="n"/>
      <c r="G5932" s="15" t="n"/>
      <c r="H5932" s="16">
        <f>IF($A5932="","",$D5932+IF($E5932="",0,$E5932)+IF($F5932="",0,$F5932)-IF($G5932="",0,$G5932))</f>
        <v/>
      </c>
      <c r="I5932" s="12" t="n"/>
      <c r="J5932" s="12" t="n"/>
      <c r="K5932" s="12" t="n"/>
      <c r="L5932" s="14" t="n"/>
      <c r="M5932" s="12" t="n"/>
      <c r="N5932" s="12" t="n"/>
      <c r="O5932" s="12" t="n"/>
    </row>
    <row r="5933">
      <c r="A5933" s="12" t="n"/>
      <c r="B5933" s="13">
        <f>IF($A5933="","",IFERROR(INDEX(Emp_Names,MATCH($A5933,Emp_Codes,0)),"NOT FOUND"))</f>
        <v/>
      </c>
      <c r="C5933" s="14" t="n"/>
      <c r="D5933" s="15" t="n"/>
      <c r="E5933" s="15" t="n"/>
      <c r="F5933" s="15" t="n"/>
      <c r="G5933" s="15" t="n"/>
      <c r="H5933" s="16">
        <f>IF($A5933="","",$D5933+IF($E5933="",0,$E5933)+IF($F5933="",0,$F5933)-IF($G5933="",0,$G5933))</f>
        <v/>
      </c>
      <c r="I5933" s="12" t="n"/>
      <c r="J5933" s="12" t="n"/>
      <c r="K5933" s="12" t="n"/>
      <c r="L5933" s="14" t="n"/>
      <c r="M5933" s="12" t="n"/>
      <c r="N5933" s="12" t="n"/>
      <c r="O5933" s="12" t="n"/>
    </row>
    <row r="5934">
      <c r="A5934" s="12" t="n"/>
      <c r="B5934" s="13">
        <f>IF($A5934="","",IFERROR(INDEX(Emp_Names,MATCH($A5934,Emp_Codes,0)),"NOT FOUND"))</f>
        <v/>
      </c>
      <c r="C5934" s="14" t="n"/>
      <c r="D5934" s="15" t="n"/>
      <c r="E5934" s="15" t="n"/>
      <c r="F5934" s="15" t="n"/>
      <c r="G5934" s="15" t="n"/>
      <c r="H5934" s="16">
        <f>IF($A5934="","",$D5934+IF($E5934="",0,$E5934)+IF($F5934="",0,$F5934)-IF($G5934="",0,$G5934))</f>
        <v/>
      </c>
      <c r="I5934" s="12" t="n"/>
      <c r="J5934" s="12" t="n"/>
      <c r="K5934" s="12" t="n"/>
      <c r="L5934" s="14" t="n"/>
      <c r="M5934" s="12" t="n"/>
      <c r="N5934" s="12" t="n"/>
      <c r="O5934" s="12" t="n"/>
    </row>
    <row r="5935">
      <c r="A5935" s="12" t="n"/>
      <c r="B5935" s="13">
        <f>IF($A5935="","",IFERROR(INDEX(Emp_Names,MATCH($A5935,Emp_Codes,0)),"NOT FOUND"))</f>
        <v/>
      </c>
      <c r="C5935" s="14" t="n"/>
      <c r="D5935" s="15" t="n"/>
      <c r="E5935" s="15" t="n"/>
      <c r="F5935" s="15" t="n"/>
      <c r="G5935" s="15" t="n"/>
      <c r="H5935" s="16">
        <f>IF($A5935="","",$D5935+IF($E5935="",0,$E5935)+IF($F5935="",0,$F5935)-IF($G5935="",0,$G5935))</f>
        <v/>
      </c>
      <c r="I5935" s="12" t="n"/>
      <c r="J5935" s="12" t="n"/>
      <c r="K5935" s="12" t="n"/>
      <c r="L5935" s="14" t="n"/>
      <c r="M5935" s="12" t="n"/>
      <c r="N5935" s="12" t="n"/>
      <c r="O5935" s="12" t="n"/>
    </row>
    <row r="5936">
      <c r="A5936" s="12" t="n"/>
      <c r="B5936" s="13">
        <f>IF($A5936="","",IFERROR(INDEX(Emp_Names,MATCH($A5936,Emp_Codes,0)),"NOT FOUND"))</f>
        <v/>
      </c>
      <c r="C5936" s="14" t="n"/>
      <c r="D5936" s="15" t="n"/>
      <c r="E5936" s="15" t="n"/>
      <c r="F5936" s="15" t="n"/>
      <c r="G5936" s="15" t="n"/>
      <c r="H5936" s="16">
        <f>IF($A5936="","",$D5936+IF($E5936="",0,$E5936)+IF($F5936="",0,$F5936)-IF($G5936="",0,$G5936))</f>
        <v/>
      </c>
      <c r="I5936" s="12" t="n"/>
      <c r="J5936" s="12" t="n"/>
      <c r="K5936" s="12" t="n"/>
      <c r="L5936" s="14" t="n"/>
      <c r="M5936" s="12" t="n"/>
      <c r="N5936" s="12" t="n"/>
      <c r="O5936" s="12" t="n"/>
    </row>
    <row r="5937">
      <c r="A5937" s="12" t="n"/>
      <c r="B5937" s="13">
        <f>IF($A5937="","",IFERROR(INDEX(Emp_Names,MATCH($A5937,Emp_Codes,0)),"NOT FOUND"))</f>
        <v/>
      </c>
      <c r="C5937" s="14" t="n"/>
      <c r="D5937" s="15" t="n"/>
      <c r="E5937" s="15" t="n"/>
      <c r="F5937" s="15" t="n"/>
      <c r="G5937" s="15" t="n"/>
      <c r="H5937" s="16">
        <f>IF($A5937="","",$D5937+IF($E5937="",0,$E5937)+IF($F5937="",0,$F5937)-IF($G5937="",0,$G5937))</f>
        <v/>
      </c>
      <c r="I5937" s="12" t="n"/>
      <c r="J5937" s="12" t="n"/>
      <c r="K5937" s="12" t="n"/>
      <c r="L5937" s="14" t="n"/>
      <c r="M5937" s="12" t="n"/>
      <c r="N5937" s="12" t="n"/>
      <c r="O5937" s="12" t="n"/>
    </row>
    <row r="5938">
      <c r="A5938" s="12" t="n"/>
      <c r="B5938" s="13">
        <f>IF($A5938="","",IFERROR(INDEX(Emp_Names,MATCH($A5938,Emp_Codes,0)),"NOT FOUND"))</f>
        <v/>
      </c>
      <c r="C5938" s="14" t="n"/>
      <c r="D5938" s="15" t="n"/>
      <c r="E5938" s="15" t="n"/>
      <c r="F5938" s="15" t="n"/>
      <c r="G5938" s="15" t="n"/>
      <c r="H5938" s="16">
        <f>IF($A5938="","",$D5938+IF($E5938="",0,$E5938)+IF($F5938="",0,$F5938)-IF($G5938="",0,$G5938))</f>
        <v/>
      </c>
      <c r="I5938" s="12" t="n"/>
      <c r="J5938" s="12" t="n"/>
      <c r="K5938" s="12" t="n"/>
      <c r="L5938" s="14" t="n"/>
      <c r="M5938" s="12" t="n"/>
      <c r="N5938" s="12" t="n"/>
      <c r="O5938" s="12" t="n"/>
    </row>
    <row r="5939">
      <c r="A5939" s="12" t="n"/>
      <c r="B5939" s="13">
        <f>IF($A5939="","",IFERROR(INDEX(Emp_Names,MATCH($A5939,Emp_Codes,0)),"NOT FOUND"))</f>
        <v/>
      </c>
      <c r="C5939" s="14" t="n"/>
      <c r="D5939" s="15" t="n"/>
      <c r="E5939" s="15" t="n"/>
      <c r="F5939" s="15" t="n"/>
      <c r="G5939" s="15" t="n"/>
      <c r="H5939" s="16">
        <f>IF($A5939="","",$D5939+IF($E5939="",0,$E5939)+IF($F5939="",0,$F5939)-IF($G5939="",0,$G5939))</f>
        <v/>
      </c>
      <c r="I5939" s="12" t="n"/>
      <c r="J5939" s="12" t="n"/>
      <c r="K5939" s="12" t="n"/>
      <c r="L5939" s="14" t="n"/>
      <c r="M5939" s="12" t="n"/>
      <c r="N5939" s="12" t="n"/>
      <c r="O5939" s="12" t="n"/>
    </row>
    <row r="5940">
      <c r="A5940" s="12" t="n"/>
      <c r="B5940" s="13">
        <f>IF($A5940="","",IFERROR(INDEX(Emp_Names,MATCH($A5940,Emp_Codes,0)),"NOT FOUND"))</f>
        <v/>
      </c>
      <c r="C5940" s="14" t="n"/>
      <c r="D5940" s="15" t="n"/>
      <c r="E5940" s="15" t="n"/>
      <c r="F5940" s="15" t="n"/>
      <c r="G5940" s="15" t="n"/>
      <c r="H5940" s="16">
        <f>IF($A5940="","",$D5940+IF($E5940="",0,$E5940)+IF($F5940="",0,$F5940)-IF($G5940="",0,$G5940))</f>
        <v/>
      </c>
      <c r="I5940" s="12" t="n"/>
      <c r="J5940" s="12" t="n"/>
      <c r="K5940" s="12" t="n"/>
      <c r="L5940" s="14" t="n"/>
      <c r="M5940" s="12" t="n"/>
      <c r="N5940" s="12" t="n"/>
      <c r="O5940" s="12" t="n"/>
    </row>
    <row r="5941">
      <c r="A5941" s="12" t="n"/>
      <c r="B5941" s="13">
        <f>IF($A5941="","",IFERROR(INDEX(Emp_Names,MATCH($A5941,Emp_Codes,0)),"NOT FOUND"))</f>
        <v/>
      </c>
      <c r="C5941" s="14" t="n"/>
      <c r="D5941" s="15" t="n"/>
      <c r="E5941" s="15" t="n"/>
      <c r="F5941" s="15" t="n"/>
      <c r="G5941" s="15" t="n"/>
      <c r="H5941" s="16">
        <f>IF($A5941="","",$D5941+IF($E5941="",0,$E5941)+IF($F5941="",0,$F5941)-IF($G5941="",0,$G5941))</f>
        <v/>
      </c>
      <c r="I5941" s="12" t="n"/>
      <c r="J5941" s="12" t="n"/>
      <c r="K5941" s="12" t="n"/>
      <c r="L5941" s="14" t="n"/>
      <c r="M5941" s="12" t="n"/>
      <c r="N5941" s="12" t="n"/>
      <c r="O5941" s="12" t="n"/>
    </row>
    <row r="5942">
      <c r="A5942" s="12" t="n"/>
      <c r="B5942" s="13">
        <f>IF($A5942="","",IFERROR(INDEX(Emp_Names,MATCH($A5942,Emp_Codes,0)),"NOT FOUND"))</f>
        <v/>
      </c>
      <c r="C5942" s="14" t="n"/>
      <c r="D5942" s="15" t="n"/>
      <c r="E5942" s="15" t="n"/>
      <c r="F5942" s="15" t="n"/>
      <c r="G5942" s="15" t="n"/>
      <c r="H5942" s="16">
        <f>IF($A5942="","",$D5942+IF($E5942="",0,$E5942)+IF($F5942="",0,$F5942)-IF($G5942="",0,$G5942))</f>
        <v/>
      </c>
      <c r="I5942" s="12" t="n"/>
      <c r="J5942" s="12" t="n"/>
      <c r="K5942" s="12" t="n"/>
      <c r="L5942" s="14" t="n"/>
      <c r="M5942" s="12" t="n"/>
      <c r="N5942" s="12" t="n"/>
      <c r="O5942" s="12" t="n"/>
    </row>
    <row r="5943">
      <c r="A5943" s="12" t="n"/>
      <c r="B5943" s="13">
        <f>IF($A5943="","",IFERROR(INDEX(Emp_Names,MATCH($A5943,Emp_Codes,0)),"NOT FOUND"))</f>
        <v/>
      </c>
      <c r="C5943" s="14" t="n"/>
      <c r="D5943" s="15" t="n"/>
      <c r="E5943" s="15" t="n"/>
      <c r="F5943" s="15" t="n"/>
      <c r="G5943" s="15" t="n"/>
      <c r="H5943" s="16">
        <f>IF($A5943="","",$D5943+IF($E5943="",0,$E5943)+IF($F5943="",0,$F5943)-IF($G5943="",0,$G5943))</f>
        <v/>
      </c>
      <c r="I5943" s="12" t="n"/>
      <c r="J5943" s="12" t="n"/>
      <c r="K5943" s="12" t="n"/>
      <c r="L5943" s="14" t="n"/>
      <c r="M5943" s="12" t="n"/>
      <c r="N5943" s="12" t="n"/>
      <c r="O5943" s="12" t="n"/>
    </row>
    <row r="5944">
      <c r="A5944" s="12" t="n"/>
      <c r="B5944" s="13">
        <f>IF($A5944="","",IFERROR(INDEX(Emp_Names,MATCH($A5944,Emp_Codes,0)),"NOT FOUND"))</f>
        <v/>
      </c>
      <c r="C5944" s="14" t="n"/>
      <c r="D5944" s="15" t="n"/>
      <c r="E5944" s="15" t="n"/>
      <c r="F5944" s="15" t="n"/>
      <c r="G5944" s="15" t="n"/>
      <c r="H5944" s="16">
        <f>IF($A5944="","",$D5944+IF($E5944="",0,$E5944)+IF($F5944="",0,$F5944)-IF($G5944="",0,$G5944))</f>
        <v/>
      </c>
      <c r="I5944" s="12" t="n"/>
      <c r="J5944" s="12" t="n"/>
      <c r="K5944" s="12" t="n"/>
      <c r="L5944" s="14" t="n"/>
      <c r="M5944" s="12" t="n"/>
      <c r="N5944" s="12" t="n"/>
      <c r="O5944" s="12" t="n"/>
    </row>
    <row r="5945">
      <c r="A5945" s="12" t="n"/>
      <c r="B5945" s="13">
        <f>IF($A5945="","",IFERROR(INDEX(Emp_Names,MATCH($A5945,Emp_Codes,0)),"NOT FOUND"))</f>
        <v/>
      </c>
      <c r="C5945" s="14" t="n"/>
      <c r="D5945" s="15" t="n"/>
      <c r="E5945" s="15" t="n"/>
      <c r="F5945" s="15" t="n"/>
      <c r="G5945" s="15" t="n"/>
      <c r="H5945" s="16">
        <f>IF($A5945="","",$D5945+IF($E5945="",0,$E5945)+IF($F5945="",0,$F5945)-IF($G5945="",0,$G5945))</f>
        <v/>
      </c>
      <c r="I5945" s="12" t="n"/>
      <c r="J5945" s="12" t="n"/>
      <c r="K5945" s="12" t="n"/>
      <c r="L5945" s="14" t="n"/>
      <c r="M5945" s="12" t="n"/>
      <c r="N5945" s="12" t="n"/>
      <c r="O5945" s="12" t="n"/>
    </row>
    <row r="5946">
      <c r="A5946" s="12" t="n"/>
      <c r="B5946" s="13">
        <f>IF($A5946="","",IFERROR(INDEX(Emp_Names,MATCH($A5946,Emp_Codes,0)),"NOT FOUND"))</f>
        <v/>
      </c>
      <c r="C5946" s="14" t="n"/>
      <c r="D5946" s="15" t="n"/>
      <c r="E5946" s="15" t="n"/>
      <c r="F5946" s="15" t="n"/>
      <c r="G5946" s="15" t="n"/>
      <c r="H5946" s="16">
        <f>IF($A5946="","",$D5946+IF($E5946="",0,$E5946)+IF($F5946="",0,$F5946)-IF($G5946="",0,$G5946))</f>
        <v/>
      </c>
      <c r="I5946" s="12" t="n"/>
      <c r="J5946" s="12" t="n"/>
      <c r="K5946" s="12" t="n"/>
      <c r="L5946" s="14" t="n"/>
      <c r="M5946" s="12" t="n"/>
      <c r="N5946" s="12" t="n"/>
      <c r="O5946" s="12" t="n"/>
    </row>
    <row r="5947">
      <c r="A5947" s="12" t="n"/>
      <c r="B5947" s="13">
        <f>IF($A5947="","",IFERROR(INDEX(Emp_Names,MATCH($A5947,Emp_Codes,0)),"NOT FOUND"))</f>
        <v/>
      </c>
      <c r="C5947" s="14" t="n"/>
      <c r="D5947" s="15" t="n"/>
      <c r="E5947" s="15" t="n"/>
      <c r="F5947" s="15" t="n"/>
      <c r="G5947" s="15" t="n"/>
      <c r="H5947" s="16">
        <f>IF($A5947="","",$D5947+IF($E5947="",0,$E5947)+IF($F5947="",0,$F5947)-IF($G5947="",0,$G5947))</f>
        <v/>
      </c>
      <c r="I5947" s="12" t="n"/>
      <c r="J5947" s="12" t="n"/>
      <c r="K5947" s="12" t="n"/>
      <c r="L5947" s="14" t="n"/>
      <c r="M5947" s="12" t="n"/>
      <c r="N5947" s="12" t="n"/>
      <c r="O5947" s="12" t="n"/>
    </row>
    <row r="5948">
      <c r="A5948" s="12" t="n"/>
      <c r="B5948" s="13">
        <f>IF($A5948="","",IFERROR(INDEX(Emp_Names,MATCH($A5948,Emp_Codes,0)),"NOT FOUND"))</f>
        <v/>
      </c>
      <c r="C5948" s="14" t="n"/>
      <c r="D5948" s="15" t="n"/>
      <c r="E5948" s="15" t="n"/>
      <c r="F5948" s="15" t="n"/>
      <c r="G5948" s="15" t="n"/>
      <c r="H5948" s="16">
        <f>IF($A5948="","",$D5948+IF($E5948="",0,$E5948)+IF($F5948="",0,$F5948)-IF($G5948="",0,$G5948))</f>
        <v/>
      </c>
      <c r="I5948" s="12" t="n"/>
      <c r="J5948" s="12" t="n"/>
      <c r="K5948" s="12" t="n"/>
      <c r="L5948" s="14" t="n"/>
      <c r="M5948" s="12" t="n"/>
      <c r="N5948" s="12" t="n"/>
      <c r="O5948" s="12" t="n"/>
    </row>
    <row r="5949">
      <c r="A5949" s="12" t="n"/>
      <c r="B5949" s="13">
        <f>IF($A5949="","",IFERROR(INDEX(Emp_Names,MATCH($A5949,Emp_Codes,0)),"NOT FOUND"))</f>
        <v/>
      </c>
      <c r="C5949" s="14" t="n"/>
      <c r="D5949" s="15" t="n"/>
      <c r="E5949" s="15" t="n"/>
      <c r="F5949" s="15" t="n"/>
      <c r="G5949" s="15" t="n"/>
      <c r="H5949" s="16">
        <f>IF($A5949="","",$D5949+IF($E5949="",0,$E5949)+IF($F5949="",0,$F5949)-IF($G5949="",0,$G5949))</f>
        <v/>
      </c>
      <c r="I5949" s="12" t="n"/>
      <c r="J5949" s="12" t="n"/>
      <c r="K5949" s="12" t="n"/>
      <c r="L5949" s="14" t="n"/>
      <c r="M5949" s="12" t="n"/>
      <c r="N5949" s="12" t="n"/>
      <c r="O5949" s="12" t="n"/>
    </row>
    <row r="5950">
      <c r="A5950" s="12" t="n"/>
      <c r="B5950" s="13">
        <f>IF($A5950="","",IFERROR(INDEX(Emp_Names,MATCH($A5950,Emp_Codes,0)),"NOT FOUND"))</f>
        <v/>
      </c>
      <c r="C5950" s="14" t="n"/>
      <c r="D5950" s="15" t="n"/>
      <c r="E5950" s="15" t="n"/>
      <c r="F5950" s="15" t="n"/>
      <c r="G5950" s="15" t="n"/>
      <c r="H5950" s="16">
        <f>IF($A5950="","",$D5950+IF($E5950="",0,$E5950)+IF($F5950="",0,$F5950)-IF($G5950="",0,$G5950))</f>
        <v/>
      </c>
      <c r="I5950" s="12" t="n"/>
      <c r="J5950" s="12" t="n"/>
      <c r="K5950" s="12" t="n"/>
      <c r="L5950" s="14" t="n"/>
      <c r="M5950" s="12" t="n"/>
      <c r="N5950" s="12" t="n"/>
      <c r="O5950" s="12" t="n"/>
    </row>
    <row r="5951">
      <c r="A5951" s="12" t="n"/>
      <c r="B5951" s="13">
        <f>IF($A5951="","",IFERROR(INDEX(Emp_Names,MATCH($A5951,Emp_Codes,0)),"NOT FOUND"))</f>
        <v/>
      </c>
      <c r="C5951" s="14" t="n"/>
      <c r="D5951" s="15" t="n"/>
      <c r="E5951" s="15" t="n"/>
      <c r="F5951" s="15" t="n"/>
      <c r="G5951" s="15" t="n"/>
      <c r="H5951" s="16">
        <f>IF($A5951="","",$D5951+IF($E5951="",0,$E5951)+IF($F5951="",0,$F5951)-IF($G5951="",0,$G5951))</f>
        <v/>
      </c>
      <c r="I5951" s="12" t="n"/>
      <c r="J5951" s="12" t="n"/>
      <c r="K5951" s="12" t="n"/>
      <c r="L5951" s="14" t="n"/>
      <c r="M5951" s="12" t="n"/>
      <c r="N5951" s="12" t="n"/>
      <c r="O5951" s="12" t="n"/>
    </row>
    <row r="5952">
      <c r="A5952" s="12" t="n"/>
      <c r="B5952" s="13">
        <f>IF($A5952="","",IFERROR(INDEX(Emp_Names,MATCH($A5952,Emp_Codes,0)),"NOT FOUND"))</f>
        <v/>
      </c>
      <c r="C5952" s="14" t="n"/>
      <c r="D5952" s="15" t="n"/>
      <c r="E5952" s="15" t="n"/>
      <c r="F5952" s="15" t="n"/>
      <c r="G5952" s="15" t="n"/>
      <c r="H5952" s="16">
        <f>IF($A5952="","",$D5952+IF($E5952="",0,$E5952)+IF($F5952="",0,$F5952)-IF($G5952="",0,$G5952))</f>
        <v/>
      </c>
      <c r="I5952" s="12" t="n"/>
      <c r="J5952" s="12" t="n"/>
      <c r="K5952" s="12" t="n"/>
      <c r="L5952" s="14" t="n"/>
      <c r="M5952" s="12" t="n"/>
      <c r="N5952" s="12" t="n"/>
      <c r="O5952" s="12" t="n"/>
    </row>
    <row r="5953">
      <c r="A5953" s="12" t="n"/>
      <c r="B5953" s="13">
        <f>IF($A5953="","",IFERROR(INDEX(Emp_Names,MATCH($A5953,Emp_Codes,0)),"NOT FOUND"))</f>
        <v/>
      </c>
      <c r="C5953" s="14" t="n"/>
      <c r="D5953" s="15" t="n"/>
      <c r="E5953" s="15" t="n"/>
      <c r="F5953" s="15" t="n"/>
      <c r="G5953" s="15" t="n"/>
      <c r="H5953" s="16">
        <f>IF($A5953="","",$D5953+IF($E5953="",0,$E5953)+IF($F5953="",0,$F5953)-IF($G5953="",0,$G5953))</f>
        <v/>
      </c>
      <c r="I5953" s="12" t="n"/>
      <c r="J5953" s="12" t="n"/>
      <c r="K5953" s="12" t="n"/>
      <c r="L5953" s="14" t="n"/>
      <c r="M5953" s="12" t="n"/>
      <c r="N5953" s="12" t="n"/>
      <c r="O5953" s="12" t="n"/>
    </row>
    <row r="5954">
      <c r="A5954" s="12" t="n"/>
      <c r="B5954" s="13">
        <f>IF($A5954="","",IFERROR(INDEX(Emp_Names,MATCH($A5954,Emp_Codes,0)),"NOT FOUND"))</f>
        <v/>
      </c>
      <c r="C5954" s="14" t="n"/>
      <c r="D5954" s="15" t="n"/>
      <c r="E5954" s="15" t="n"/>
      <c r="F5954" s="15" t="n"/>
      <c r="G5954" s="15" t="n"/>
      <c r="H5954" s="16">
        <f>IF($A5954="","",$D5954+IF($E5954="",0,$E5954)+IF($F5954="",0,$F5954)-IF($G5954="",0,$G5954))</f>
        <v/>
      </c>
      <c r="I5954" s="12" t="n"/>
      <c r="J5954" s="12" t="n"/>
      <c r="K5954" s="12" t="n"/>
      <c r="L5954" s="14" t="n"/>
      <c r="M5954" s="12" t="n"/>
      <c r="N5954" s="12" t="n"/>
      <c r="O5954" s="12" t="n"/>
    </row>
    <row r="5955">
      <c r="A5955" s="12" t="n"/>
      <c r="B5955" s="13">
        <f>IF($A5955="","",IFERROR(INDEX(Emp_Names,MATCH($A5955,Emp_Codes,0)),"NOT FOUND"))</f>
        <v/>
      </c>
      <c r="C5955" s="14" t="n"/>
      <c r="D5955" s="15" t="n"/>
      <c r="E5955" s="15" t="n"/>
      <c r="F5955" s="15" t="n"/>
      <c r="G5955" s="15" t="n"/>
      <c r="H5955" s="16">
        <f>IF($A5955="","",$D5955+IF($E5955="",0,$E5955)+IF($F5955="",0,$F5955)-IF($G5955="",0,$G5955))</f>
        <v/>
      </c>
      <c r="I5955" s="12" t="n"/>
      <c r="J5955" s="12" t="n"/>
      <c r="K5955" s="12" t="n"/>
      <c r="L5955" s="14" t="n"/>
      <c r="M5955" s="12" t="n"/>
      <c r="N5955" s="12" t="n"/>
      <c r="O5955" s="12" t="n"/>
    </row>
    <row r="5956">
      <c r="A5956" s="12" t="n"/>
      <c r="B5956" s="13">
        <f>IF($A5956="","",IFERROR(INDEX(Emp_Names,MATCH($A5956,Emp_Codes,0)),"NOT FOUND"))</f>
        <v/>
      </c>
      <c r="C5956" s="14" t="n"/>
      <c r="D5956" s="15" t="n"/>
      <c r="E5956" s="15" t="n"/>
      <c r="F5956" s="15" t="n"/>
      <c r="G5956" s="15" t="n"/>
      <c r="H5956" s="16">
        <f>IF($A5956="","",$D5956+IF($E5956="",0,$E5956)+IF($F5956="",0,$F5956)-IF($G5956="",0,$G5956))</f>
        <v/>
      </c>
      <c r="I5956" s="12" t="n"/>
      <c r="J5956" s="12" t="n"/>
      <c r="K5956" s="12" t="n"/>
      <c r="L5956" s="14" t="n"/>
      <c r="M5956" s="12" t="n"/>
      <c r="N5956" s="12" t="n"/>
      <c r="O5956" s="12" t="n"/>
    </row>
    <row r="5957">
      <c r="A5957" s="12" t="n"/>
      <c r="B5957" s="13">
        <f>IF($A5957="","",IFERROR(INDEX(Emp_Names,MATCH($A5957,Emp_Codes,0)),"NOT FOUND"))</f>
        <v/>
      </c>
      <c r="C5957" s="14" t="n"/>
      <c r="D5957" s="15" t="n"/>
      <c r="E5957" s="15" t="n"/>
      <c r="F5957" s="15" t="n"/>
      <c r="G5957" s="15" t="n"/>
      <c r="H5957" s="16">
        <f>IF($A5957="","",$D5957+IF($E5957="",0,$E5957)+IF($F5957="",0,$F5957)-IF($G5957="",0,$G5957))</f>
        <v/>
      </c>
      <c r="I5957" s="12" t="n"/>
      <c r="J5957" s="12" t="n"/>
      <c r="K5957" s="12" t="n"/>
      <c r="L5957" s="14" t="n"/>
      <c r="M5957" s="12" t="n"/>
      <c r="N5957" s="12" t="n"/>
      <c r="O5957" s="12" t="n"/>
    </row>
    <row r="5958">
      <c r="A5958" s="12" t="n"/>
      <c r="B5958" s="13">
        <f>IF($A5958="","",IFERROR(INDEX(Emp_Names,MATCH($A5958,Emp_Codes,0)),"NOT FOUND"))</f>
        <v/>
      </c>
      <c r="C5958" s="14" t="n"/>
      <c r="D5958" s="15" t="n"/>
      <c r="E5958" s="15" t="n"/>
      <c r="F5958" s="15" t="n"/>
      <c r="G5958" s="15" t="n"/>
      <c r="H5958" s="16">
        <f>IF($A5958="","",$D5958+IF($E5958="",0,$E5958)+IF($F5958="",0,$F5958)-IF($G5958="",0,$G5958))</f>
        <v/>
      </c>
      <c r="I5958" s="12" t="n"/>
      <c r="J5958" s="12" t="n"/>
      <c r="K5958" s="12" t="n"/>
      <c r="L5958" s="14" t="n"/>
      <c r="M5958" s="12" t="n"/>
      <c r="N5958" s="12" t="n"/>
      <c r="O5958" s="12" t="n"/>
    </row>
    <row r="5959">
      <c r="A5959" s="12" t="n"/>
      <c r="B5959" s="13">
        <f>IF($A5959="","",IFERROR(INDEX(Emp_Names,MATCH($A5959,Emp_Codes,0)),"NOT FOUND"))</f>
        <v/>
      </c>
      <c r="C5959" s="14" t="n"/>
      <c r="D5959" s="15" t="n"/>
      <c r="E5959" s="15" t="n"/>
      <c r="F5959" s="15" t="n"/>
      <c r="G5959" s="15" t="n"/>
      <c r="H5959" s="16">
        <f>IF($A5959="","",$D5959+IF($E5959="",0,$E5959)+IF($F5959="",0,$F5959)-IF($G5959="",0,$G5959))</f>
        <v/>
      </c>
      <c r="I5959" s="12" t="n"/>
      <c r="J5959" s="12" t="n"/>
      <c r="K5959" s="12" t="n"/>
      <c r="L5959" s="14" t="n"/>
      <c r="M5959" s="12" t="n"/>
      <c r="N5959" s="12" t="n"/>
      <c r="O5959" s="12" t="n"/>
    </row>
    <row r="5960">
      <c r="A5960" s="12" t="n"/>
      <c r="B5960" s="13">
        <f>IF($A5960="","",IFERROR(INDEX(Emp_Names,MATCH($A5960,Emp_Codes,0)),"NOT FOUND"))</f>
        <v/>
      </c>
      <c r="C5960" s="14" t="n"/>
      <c r="D5960" s="15" t="n"/>
      <c r="E5960" s="15" t="n"/>
      <c r="F5960" s="15" t="n"/>
      <c r="G5960" s="15" t="n"/>
      <c r="H5960" s="16">
        <f>IF($A5960="","",$D5960+IF($E5960="",0,$E5960)+IF($F5960="",0,$F5960)-IF($G5960="",0,$G5960))</f>
        <v/>
      </c>
      <c r="I5960" s="12" t="n"/>
      <c r="J5960" s="12" t="n"/>
      <c r="K5960" s="12" t="n"/>
      <c r="L5960" s="14" t="n"/>
      <c r="M5960" s="12" t="n"/>
      <c r="N5960" s="12" t="n"/>
      <c r="O5960" s="12" t="n"/>
    </row>
    <row r="5961">
      <c r="A5961" s="12" t="n"/>
      <c r="B5961" s="13">
        <f>IF($A5961="","",IFERROR(INDEX(Emp_Names,MATCH($A5961,Emp_Codes,0)),"NOT FOUND"))</f>
        <v/>
      </c>
      <c r="C5961" s="14" t="n"/>
      <c r="D5961" s="15" t="n"/>
      <c r="E5961" s="15" t="n"/>
      <c r="F5961" s="15" t="n"/>
      <c r="G5961" s="15" t="n"/>
      <c r="H5961" s="16">
        <f>IF($A5961="","",$D5961+IF($E5961="",0,$E5961)+IF($F5961="",0,$F5961)-IF($G5961="",0,$G5961))</f>
        <v/>
      </c>
      <c r="I5961" s="12" t="n"/>
      <c r="J5961" s="12" t="n"/>
      <c r="K5961" s="12" t="n"/>
      <c r="L5961" s="14" t="n"/>
      <c r="M5961" s="12" t="n"/>
      <c r="N5961" s="12" t="n"/>
      <c r="O5961" s="12" t="n"/>
    </row>
    <row r="5962">
      <c r="A5962" s="12" t="n"/>
      <c r="B5962" s="13">
        <f>IF($A5962="","",IFERROR(INDEX(Emp_Names,MATCH($A5962,Emp_Codes,0)),"NOT FOUND"))</f>
        <v/>
      </c>
      <c r="C5962" s="14" t="n"/>
      <c r="D5962" s="15" t="n"/>
      <c r="E5962" s="15" t="n"/>
      <c r="F5962" s="15" t="n"/>
      <c r="G5962" s="15" t="n"/>
      <c r="H5962" s="16">
        <f>IF($A5962="","",$D5962+IF($E5962="",0,$E5962)+IF($F5962="",0,$F5962)-IF($G5962="",0,$G5962))</f>
        <v/>
      </c>
      <c r="I5962" s="12" t="n"/>
      <c r="J5962" s="12" t="n"/>
      <c r="K5962" s="12" t="n"/>
      <c r="L5962" s="14" t="n"/>
      <c r="M5962" s="12" t="n"/>
      <c r="N5962" s="12" t="n"/>
      <c r="O5962" s="12" t="n"/>
    </row>
    <row r="5963">
      <c r="A5963" s="12" t="n"/>
      <c r="B5963" s="13">
        <f>IF($A5963="","",IFERROR(INDEX(Emp_Names,MATCH($A5963,Emp_Codes,0)),"NOT FOUND"))</f>
        <v/>
      </c>
      <c r="C5963" s="14" t="n"/>
      <c r="D5963" s="15" t="n"/>
      <c r="E5963" s="15" t="n"/>
      <c r="F5963" s="15" t="n"/>
      <c r="G5963" s="15" t="n"/>
      <c r="H5963" s="16">
        <f>IF($A5963="","",$D5963+IF($E5963="",0,$E5963)+IF($F5963="",0,$F5963)-IF($G5963="",0,$G5963))</f>
        <v/>
      </c>
      <c r="I5963" s="12" t="n"/>
      <c r="J5963" s="12" t="n"/>
      <c r="K5963" s="12" t="n"/>
      <c r="L5963" s="14" t="n"/>
      <c r="M5963" s="12" t="n"/>
      <c r="N5963" s="12" t="n"/>
      <c r="O5963" s="12" t="n"/>
    </row>
    <row r="5964">
      <c r="A5964" s="12" t="n"/>
      <c r="B5964" s="13">
        <f>IF($A5964="","",IFERROR(INDEX(Emp_Names,MATCH($A5964,Emp_Codes,0)),"NOT FOUND"))</f>
        <v/>
      </c>
      <c r="C5964" s="14" t="n"/>
      <c r="D5964" s="15" t="n"/>
      <c r="E5964" s="15" t="n"/>
      <c r="F5964" s="15" t="n"/>
      <c r="G5964" s="15" t="n"/>
      <c r="H5964" s="16">
        <f>IF($A5964="","",$D5964+IF($E5964="",0,$E5964)+IF($F5964="",0,$F5964)-IF($G5964="",0,$G5964))</f>
        <v/>
      </c>
      <c r="I5964" s="12" t="n"/>
      <c r="J5964" s="12" t="n"/>
      <c r="K5964" s="12" t="n"/>
      <c r="L5964" s="14" t="n"/>
      <c r="M5964" s="12" t="n"/>
      <c r="N5964" s="12" t="n"/>
      <c r="O5964" s="12" t="n"/>
    </row>
    <row r="5965">
      <c r="A5965" s="12" t="n"/>
      <c r="B5965" s="13">
        <f>IF($A5965="","",IFERROR(INDEX(Emp_Names,MATCH($A5965,Emp_Codes,0)),"NOT FOUND"))</f>
        <v/>
      </c>
      <c r="C5965" s="14" t="n"/>
      <c r="D5965" s="15" t="n"/>
      <c r="E5965" s="15" t="n"/>
      <c r="F5965" s="15" t="n"/>
      <c r="G5965" s="15" t="n"/>
      <c r="H5965" s="16">
        <f>IF($A5965="","",$D5965+IF($E5965="",0,$E5965)+IF($F5965="",0,$F5965)-IF($G5965="",0,$G5965))</f>
        <v/>
      </c>
      <c r="I5965" s="12" t="n"/>
      <c r="J5965" s="12" t="n"/>
      <c r="K5965" s="12" t="n"/>
      <c r="L5965" s="14" t="n"/>
      <c r="M5965" s="12" t="n"/>
      <c r="N5965" s="12" t="n"/>
      <c r="O5965" s="12" t="n"/>
    </row>
    <row r="5966">
      <c r="A5966" s="12" t="n"/>
      <c r="B5966" s="13">
        <f>IF($A5966="","",IFERROR(INDEX(Emp_Names,MATCH($A5966,Emp_Codes,0)),"NOT FOUND"))</f>
        <v/>
      </c>
      <c r="C5966" s="14" t="n"/>
      <c r="D5966" s="15" t="n"/>
      <c r="E5966" s="15" t="n"/>
      <c r="F5966" s="15" t="n"/>
      <c r="G5966" s="15" t="n"/>
      <c r="H5966" s="16">
        <f>IF($A5966="","",$D5966+IF($E5966="",0,$E5966)+IF($F5966="",0,$F5966)-IF($G5966="",0,$G5966))</f>
        <v/>
      </c>
      <c r="I5966" s="12" t="n"/>
      <c r="J5966" s="12" t="n"/>
      <c r="K5966" s="12" t="n"/>
      <c r="L5966" s="14" t="n"/>
      <c r="M5966" s="12" t="n"/>
      <c r="N5966" s="12" t="n"/>
      <c r="O5966" s="12" t="n"/>
    </row>
    <row r="5967">
      <c r="A5967" s="12" t="n"/>
      <c r="B5967" s="13">
        <f>IF($A5967="","",IFERROR(INDEX(Emp_Names,MATCH($A5967,Emp_Codes,0)),"NOT FOUND"))</f>
        <v/>
      </c>
      <c r="C5967" s="14" t="n"/>
      <c r="D5967" s="15" t="n"/>
      <c r="E5967" s="15" t="n"/>
      <c r="F5967" s="15" t="n"/>
      <c r="G5967" s="15" t="n"/>
      <c r="H5967" s="16">
        <f>IF($A5967="","",$D5967+IF($E5967="",0,$E5967)+IF($F5967="",0,$F5967)-IF($G5967="",0,$G5967))</f>
        <v/>
      </c>
      <c r="I5967" s="12" t="n"/>
      <c r="J5967" s="12" t="n"/>
      <c r="K5967" s="12" t="n"/>
      <c r="L5967" s="14" t="n"/>
      <c r="M5967" s="12" t="n"/>
      <c r="N5967" s="12" t="n"/>
      <c r="O5967" s="12" t="n"/>
    </row>
    <row r="5968">
      <c r="A5968" s="12" t="n"/>
      <c r="B5968" s="13">
        <f>IF($A5968="","",IFERROR(INDEX(Emp_Names,MATCH($A5968,Emp_Codes,0)),"NOT FOUND"))</f>
        <v/>
      </c>
      <c r="C5968" s="14" t="n"/>
      <c r="D5968" s="15" t="n"/>
      <c r="E5968" s="15" t="n"/>
      <c r="F5968" s="15" t="n"/>
      <c r="G5968" s="15" t="n"/>
      <c r="H5968" s="16">
        <f>IF($A5968="","",$D5968+IF($E5968="",0,$E5968)+IF($F5968="",0,$F5968)-IF($G5968="",0,$G5968))</f>
        <v/>
      </c>
      <c r="I5968" s="12" t="n"/>
      <c r="J5968" s="12" t="n"/>
      <c r="K5968" s="12" t="n"/>
      <c r="L5968" s="14" t="n"/>
      <c r="M5968" s="12" t="n"/>
      <c r="N5968" s="12" t="n"/>
      <c r="O5968" s="12" t="n"/>
    </row>
    <row r="5969">
      <c r="A5969" s="12" t="n"/>
      <c r="B5969" s="13">
        <f>IF($A5969="","",IFERROR(INDEX(Emp_Names,MATCH($A5969,Emp_Codes,0)),"NOT FOUND"))</f>
        <v/>
      </c>
      <c r="C5969" s="14" t="n"/>
      <c r="D5969" s="15" t="n"/>
      <c r="E5969" s="15" t="n"/>
      <c r="F5969" s="15" t="n"/>
      <c r="G5969" s="15" t="n"/>
      <c r="H5969" s="16">
        <f>IF($A5969="","",$D5969+IF($E5969="",0,$E5969)+IF($F5969="",0,$F5969)-IF($G5969="",0,$G5969))</f>
        <v/>
      </c>
      <c r="I5969" s="12" t="n"/>
      <c r="J5969" s="12" t="n"/>
      <c r="K5969" s="12" t="n"/>
      <c r="L5969" s="14" t="n"/>
      <c r="M5969" s="12" t="n"/>
      <c r="N5969" s="12" t="n"/>
      <c r="O5969" s="12" t="n"/>
    </row>
    <row r="5970">
      <c r="A5970" s="12" t="n"/>
      <c r="B5970" s="13">
        <f>IF($A5970="","",IFERROR(INDEX(Emp_Names,MATCH($A5970,Emp_Codes,0)),"NOT FOUND"))</f>
        <v/>
      </c>
      <c r="C5970" s="14" t="n"/>
      <c r="D5970" s="15" t="n"/>
      <c r="E5970" s="15" t="n"/>
      <c r="F5970" s="15" t="n"/>
      <c r="G5970" s="15" t="n"/>
      <c r="H5970" s="16">
        <f>IF($A5970="","",$D5970+IF($E5970="",0,$E5970)+IF($F5970="",0,$F5970)-IF($G5970="",0,$G5970))</f>
        <v/>
      </c>
      <c r="I5970" s="12" t="n"/>
      <c r="J5970" s="12" t="n"/>
      <c r="K5970" s="12" t="n"/>
      <c r="L5970" s="14" t="n"/>
      <c r="M5970" s="12" t="n"/>
      <c r="N5970" s="12" t="n"/>
      <c r="O5970" s="12" t="n"/>
    </row>
    <row r="5971">
      <c r="A5971" s="12" t="n"/>
      <c r="B5971" s="13">
        <f>IF($A5971="","",IFERROR(INDEX(Emp_Names,MATCH($A5971,Emp_Codes,0)),"NOT FOUND"))</f>
        <v/>
      </c>
      <c r="C5971" s="14" t="n"/>
      <c r="D5971" s="15" t="n"/>
      <c r="E5971" s="15" t="n"/>
      <c r="F5971" s="15" t="n"/>
      <c r="G5971" s="15" t="n"/>
      <c r="H5971" s="16">
        <f>IF($A5971="","",$D5971+IF($E5971="",0,$E5971)+IF($F5971="",0,$F5971)-IF($G5971="",0,$G5971))</f>
        <v/>
      </c>
      <c r="I5971" s="12" t="n"/>
      <c r="J5971" s="12" t="n"/>
      <c r="K5971" s="12" t="n"/>
      <c r="L5971" s="14" t="n"/>
      <c r="M5971" s="12" t="n"/>
      <c r="N5971" s="12" t="n"/>
      <c r="O5971" s="12" t="n"/>
    </row>
    <row r="5972">
      <c r="A5972" s="12" t="n"/>
      <c r="B5972" s="13">
        <f>IF($A5972="","",IFERROR(INDEX(Emp_Names,MATCH($A5972,Emp_Codes,0)),"NOT FOUND"))</f>
        <v/>
      </c>
      <c r="C5972" s="14" t="n"/>
      <c r="D5972" s="15" t="n"/>
      <c r="E5972" s="15" t="n"/>
      <c r="F5972" s="15" t="n"/>
      <c r="G5972" s="15" t="n"/>
      <c r="H5972" s="16">
        <f>IF($A5972="","",$D5972+IF($E5972="",0,$E5972)+IF($F5972="",0,$F5972)-IF($G5972="",0,$G5972))</f>
        <v/>
      </c>
      <c r="I5972" s="12" t="n"/>
      <c r="J5972" s="12" t="n"/>
      <c r="K5972" s="12" t="n"/>
      <c r="L5972" s="14" t="n"/>
      <c r="M5972" s="12" t="n"/>
      <c r="N5972" s="12" t="n"/>
      <c r="O5972" s="12" t="n"/>
    </row>
    <row r="5973">
      <c r="A5973" s="12" t="n"/>
      <c r="B5973" s="13">
        <f>IF($A5973="","",IFERROR(INDEX(Emp_Names,MATCH($A5973,Emp_Codes,0)),"NOT FOUND"))</f>
        <v/>
      </c>
      <c r="C5973" s="14" t="n"/>
      <c r="D5973" s="15" t="n"/>
      <c r="E5973" s="15" t="n"/>
      <c r="F5973" s="15" t="n"/>
      <c r="G5973" s="15" t="n"/>
      <c r="H5973" s="16">
        <f>IF($A5973="","",$D5973+IF($E5973="",0,$E5973)+IF($F5973="",0,$F5973)-IF($G5973="",0,$G5973))</f>
        <v/>
      </c>
      <c r="I5973" s="12" t="n"/>
      <c r="J5973" s="12" t="n"/>
      <c r="K5973" s="12" t="n"/>
      <c r="L5973" s="14" t="n"/>
      <c r="M5973" s="12" t="n"/>
      <c r="N5973" s="12" t="n"/>
      <c r="O5973" s="12" t="n"/>
    </row>
    <row r="5974">
      <c r="A5974" s="12" t="n"/>
      <c r="B5974" s="13">
        <f>IF($A5974="","",IFERROR(INDEX(Emp_Names,MATCH($A5974,Emp_Codes,0)),"NOT FOUND"))</f>
        <v/>
      </c>
      <c r="C5974" s="14" t="n"/>
      <c r="D5974" s="15" t="n"/>
      <c r="E5974" s="15" t="n"/>
      <c r="F5974" s="15" t="n"/>
      <c r="G5974" s="15" t="n"/>
      <c r="H5974" s="16">
        <f>IF($A5974="","",$D5974+IF($E5974="",0,$E5974)+IF($F5974="",0,$F5974)-IF($G5974="",0,$G5974))</f>
        <v/>
      </c>
      <c r="I5974" s="12" t="n"/>
      <c r="J5974" s="12" t="n"/>
      <c r="K5974" s="12" t="n"/>
      <c r="L5974" s="14" t="n"/>
      <c r="M5974" s="12" t="n"/>
      <c r="N5974" s="12" t="n"/>
      <c r="O5974" s="12" t="n"/>
    </row>
    <row r="5975">
      <c r="A5975" s="12" t="n"/>
      <c r="B5975" s="13">
        <f>IF($A5975="","",IFERROR(INDEX(Emp_Names,MATCH($A5975,Emp_Codes,0)),"NOT FOUND"))</f>
        <v/>
      </c>
      <c r="C5975" s="14" t="n"/>
      <c r="D5975" s="15" t="n"/>
      <c r="E5975" s="15" t="n"/>
      <c r="F5975" s="15" t="n"/>
      <c r="G5975" s="15" t="n"/>
      <c r="H5975" s="16">
        <f>IF($A5975="","",$D5975+IF($E5975="",0,$E5975)+IF($F5975="",0,$F5975)-IF($G5975="",0,$G5975))</f>
        <v/>
      </c>
      <c r="I5975" s="12" t="n"/>
      <c r="J5975" s="12" t="n"/>
      <c r="K5975" s="12" t="n"/>
      <c r="L5975" s="14" t="n"/>
      <c r="M5975" s="12" t="n"/>
      <c r="N5975" s="12" t="n"/>
      <c r="O5975" s="12" t="n"/>
    </row>
    <row r="5976">
      <c r="A5976" s="12" t="n"/>
      <c r="B5976" s="13">
        <f>IF($A5976="","",IFERROR(INDEX(Emp_Names,MATCH($A5976,Emp_Codes,0)),"NOT FOUND"))</f>
        <v/>
      </c>
      <c r="C5976" s="14" t="n"/>
      <c r="D5976" s="15" t="n"/>
      <c r="E5976" s="15" t="n"/>
      <c r="F5976" s="15" t="n"/>
      <c r="G5976" s="15" t="n"/>
      <c r="H5976" s="16">
        <f>IF($A5976="","",$D5976+IF($E5976="",0,$E5976)+IF($F5976="",0,$F5976)-IF($G5976="",0,$G5976))</f>
        <v/>
      </c>
      <c r="I5976" s="12" t="n"/>
      <c r="J5976" s="12" t="n"/>
      <c r="K5976" s="12" t="n"/>
      <c r="L5976" s="14" t="n"/>
      <c r="M5976" s="12" t="n"/>
      <c r="N5976" s="12" t="n"/>
      <c r="O5976" s="12" t="n"/>
    </row>
    <row r="5977">
      <c r="A5977" s="12" t="n"/>
      <c r="B5977" s="13">
        <f>IF($A5977="","",IFERROR(INDEX(Emp_Names,MATCH($A5977,Emp_Codes,0)),"NOT FOUND"))</f>
        <v/>
      </c>
      <c r="C5977" s="14" t="n"/>
      <c r="D5977" s="15" t="n"/>
      <c r="E5977" s="15" t="n"/>
      <c r="F5977" s="15" t="n"/>
      <c r="G5977" s="15" t="n"/>
      <c r="H5977" s="16">
        <f>IF($A5977="","",$D5977+IF($E5977="",0,$E5977)+IF($F5977="",0,$F5977)-IF($G5977="",0,$G5977))</f>
        <v/>
      </c>
      <c r="I5977" s="12" t="n"/>
      <c r="J5977" s="12" t="n"/>
      <c r="K5977" s="12" t="n"/>
      <c r="L5977" s="14" t="n"/>
      <c r="M5977" s="12" t="n"/>
      <c r="N5977" s="12" t="n"/>
      <c r="O5977" s="12" t="n"/>
    </row>
    <row r="5978">
      <c r="A5978" s="12" t="n"/>
      <c r="B5978" s="13">
        <f>IF($A5978="","",IFERROR(INDEX(Emp_Names,MATCH($A5978,Emp_Codes,0)),"NOT FOUND"))</f>
        <v/>
      </c>
      <c r="C5978" s="14" t="n"/>
      <c r="D5978" s="15" t="n"/>
      <c r="E5978" s="15" t="n"/>
      <c r="F5978" s="15" t="n"/>
      <c r="G5978" s="15" t="n"/>
      <c r="H5978" s="16">
        <f>IF($A5978="","",$D5978+IF($E5978="",0,$E5978)+IF($F5978="",0,$F5978)-IF($G5978="",0,$G5978))</f>
        <v/>
      </c>
      <c r="I5978" s="12" t="n"/>
      <c r="J5978" s="12" t="n"/>
      <c r="K5978" s="12" t="n"/>
      <c r="L5978" s="14" t="n"/>
      <c r="M5978" s="12" t="n"/>
      <c r="N5978" s="12" t="n"/>
      <c r="O5978" s="12" t="n"/>
    </row>
    <row r="5979">
      <c r="A5979" s="12" t="n"/>
      <c r="B5979" s="13">
        <f>IF($A5979="","",IFERROR(INDEX(Emp_Names,MATCH($A5979,Emp_Codes,0)),"NOT FOUND"))</f>
        <v/>
      </c>
      <c r="C5979" s="14" t="n"/>
      <c r="D5979" s="15" t="n"/>
      <c r="E5979" s="15" t="n"/>
      <c r="F5979" s="15" t="n"/>
      <c r="G5979" s="15" t="n"/>
      <c r="H5979" s="16">
        <f>IF($A5979="","",$D5979+IF($E5979="",0,$E5979)+IF($F5979="",0,$F5979)-IF($G5979="",0,$G5979))</f>
        <v/>
      </c>
      <c r="I5979" s="12" t="n"/>
      <c r="J5979" s="12" t="n"/>
      <c r="K5979" s="12" t="n"/>
      <c r="L5979" s="14" t="n"/>
      <c r="M5979" s="12" t="n"/>
      <c r="N5979" s="12" t="n"/>
      <c r="O5979" s="12" t="n"/>
    </row>
    <row r="5980">
      <c r="A5980" s="12" t="n"/>
      <c r="B5980" s="13">
        <f>IF($A5980="","",IFERROR(INDEX(Emp_Names,MATCH($A5980,Emp_Codes,0)),"NOT FOUND"))</f>
        <v/>
      </c>
      <c r="C5980" s="14" t="n"/>
      <c r="D5980" s="15" t="n"/>
      <c r="E5980" s="15" t="n"/>
      <c r="F5980" s="15" t="n"/>
      <c r="G5980" s="15" t="n"/>
      <c r="H5980" s="16">
        <f>IF($A5980="","",$D5980+IF($E5980="",0,$E5980)+IF($F5980="",0,$F5980)-IF($G5980="",0,$G5980))</f>
        <v/>
      </c>
      <c r="I5980" s="12" t="n"/>
      <c r="J5980" s="12" t="n"/>
      <c r="K5980" s="12" t="n"/>
      <c r="L5980" s="14" t="n"/>
      <c r="M5980" s="12" t="n"/>
      <c r="N5980" s="12" t="n"/>
      <c r="O5980" s="12" t="n"/>
    </row>
    <row r="5981">
      <c r="A5981" s="12" t="n"/>
      <c r="B5981" s="13">
        <f>IF($A5981="","",IFERROR(INDEX(Emp_Names,MATCH($A5981,Emp_Codes,0)),"NOT FOUND"))</f>
        <v/>
      </c>
      <c r="C5981" s="14" t="n"/>
      <c r="D5981" s="15" t="n"/>
      <c r="E5981" s="15" t="n"/>
      <c r="F5981" s="15" t="n"/>
      <c r="G5981" s="15" t="n"/>
      <c r="H5981" s="16">
        <f>IF($A5981="","",$D5981+IF($E5981="",0,$E5981)+IF($F5981="",0,$F5981)-IF($G5981="",0,$G5981))</f>
        <v/>
      </c>
      <c r="I5981" s="12" t="n"/>
      <c r="J5981" s="12" t="n"/>
      <c r="K5981" s="12" t="n"/>
      <c r="L5981" s="14" t="n"/>
      <c r="M5981" s="12" t="n"/>
      <c r="N5981" s="12" t="n"/>
      <c r="O5981" s="12" t="n"/>
    </row>
    <row r="5982">
      <c r="A5982" s="12" t="n"/>
      <c r="B5982" s="13">
        <f>IF($A5982="","",IFERROR(INDEX(Emp_Names,MATCH($A5982,Emp_Codes,0)),"NOT FOUND"))</f>
        <v/>
      </c>
      <c r="C5982" s="14" t="n"/>
      <c r="D5982" s="15" t="n"/>
      <c r="E5982" s="15" t="n"/>
      <c r="F5982" s="15" t="n"/>
      <c r="G5982" s="15" t="n"/>
      <c r="H5982" s="16">
        <f>IF($A5982="","",$D5982+IF($E5982="",0,$E5982)+IF($F5982="",0,$F5982)-IF($G5982="",0,$G5982))</f>
        <v/>
      </c>
      <c r="I5982" s="12" t="n"/>
      <c r="J5982" s="12" t="n"/>
      <c r="K5982" s="12" t="n"/>
      <c r="L5982" s="14" t="n"/>
      <c r="M5982" s="12" t="n"/>
      <c r="N5982" s="12" t="n"/>
      <c r="O5982" s="12" t="n"/>
    </row>
    <row r="5983">
      <c r="A5983" s="12" t="n"/>
      <c r="B5983" s="13">
        <f>IF($A5983="","",IFERROR(INDEX(Emp_Names,MATCH($A5983,Emp_Codes,0)),"NOT FOUND"))</f>
        <v/>
      </c>
      <c r="C5983" s="14" t="n"/>
      <c r="D5983" s="15" t="n"/>
      <c r="E5983" s="15" t="n"/>
      <c r="F5983" s="15" t="n"/>
      <c r="G5983" s="15" t="n"/>
      <c r="H5983" s="16">
        <f>IF($A5983="","",$D5983+IF($E5983="",0,$E5983)+IF($F5983="",0,$F5983)-IF($G5983="",0,$G5983))</f>
        <v/>
      </c>
      <c r="I5983" s="12" t="n"/>
      <c r="J5983" s="12" t="n"/>
      <c r="K5983" s="12" t="n"/>
      <c r="L5983" s="14" t="n"/>
      <c r="M5983" s="12" t="n"/>
      <c r="N5983" s="12" t="n"/>
      <c r="O5983" s="12" t="n"/>
    </row>
    <row r="5984">
      <c r="A5984" s="12" t="n"/>
      <c r="B5984" s="13">
        <f>IF($A5984="","",IFERROR(INDEX(Emp_Names,MATCH($A5984,Emp_Codes,0)),"NOT FOUND"))</f>
        <v/>
      </c>
      <c r="C5984" s="14" t="n"/>
      <c r="D5984" s="15" t="n"/>
      <c r="E5984" s="15" t="n"/>
      <c r="F5984" s="15" t="n"/>
      <c r="G5984" s="15" t="n"/>
      <c r="H5984" s="16">
        <f>IF($A5984="","",$D5984+IF($E5984="",0,$E5984)+IF($F5984="",0,$F5984)-IF($G5984="",0,$G5984))</f>
        <v/>
      </c>
      <c r="I5984" s="12" t="n"/>
      <c r="J5984" s="12" t="n"/>
      <c r="K5984" s="12" t="n"/>
      <c r="L5984" s="14" t="n"/>
      <c r="M5984" s="12" t="n"/>
      <c r="N5984" s="12" t="n"/>
      <c r="O5984" s="12" t="n"/>
    </row>
    <row r="5985">
      <c r="A5985" s="12" t="n"/>
      <c r="B5985" s="13">
        <f>IF($A5985="","",IFERROR(INDEX(Emp_Names,MATCH($A5985,Emp_Codes,0)),"NOT FOUND"))</f>
        <v/>
      </c>
      <c r="C5985" s="14" t="n"/>
      <c r="D5985" s="15" t="n"/>
      <c r="E5985" s="15" t="n"/>
      <c r="F5985" s="15" t="n"/>
      <c r="G5985" s="15" t="n"/>
      <c r="H5985" s="16">
        <f>IF($A5985="","",$D5985+IF($E5985="",0,$E5985)+IF($F5985="",0,$F5985)-IF($G5985="",0,$G5985))</f>
        <v/>
      </c>
      <c r="I5985" s="12" t="n"/>
      <c r="J5985" s="12" t="n"/>
      <c r="K5985" s="12" t="n"/>
      <c r="L5985" s="14" t="n"/>
      <c r="M5985" s="12" t="n"/>
      <c r="N5985" s="12" t="n"/>
      <c r="O5985" s="12" t="n"/>
    </row>
    <row r="5986">
      <c r="A5986" s="12" t="n"/>
      <c r="B5986" s="13">
        <f>IF($A5986="","",IFERROR(INDEX(Emp_Names,MATCH($A5986,Emp_Codes,0)),"NOT FOUND"))</f>
        <v/>
      </c>
      <c r="C5986" s="14" t="n"/>
      <c r="D5986" s="15" t="n"/>
      <c r="E5986" s="15" t="n"/>
      <c r="F5986" s="15" t="n"/>
      <c r="G5986" s="15" t="n"/>
      <c r="H5986" s="16">
        <f>IF($A5986="","",$D5986+IF($E5986="",0,$E5986)+IF($F5986="",0,$F5986)-IF($G5986="",0,$G5986))</f>
        <v/>
      </c>
      <c r="I5986" s="12" t="n"/>
      <c r="J5986" s="12" t="n"/>
      <c r="K5986" s="12" t="n"/>
      <c r="L5986" s="14" t="n"/>
      <c r="M5986" s="12" t="n"/>
      <c r="N5986" s="12" t="n"/>
      <c r="O5986" s="12" t="n"/>
    </row>
    <row r="5987">
      <c r="A5987" s="12" t="n"/>
      <c r="B5987" s="13">
        <f>IF($A5987="","",IFERROR(INDEX(Emp_Names,MATCH($A5987,Emp_Codes,0)),"NOT FOUND"))</f>
        <v/>
      </c>
      <c r="C5987" s="14" t="n"/>
      <c r="D5987" s="15" t="n"/>
      <c r="E5987" s="15" t="n"/>
      <c r="F5987" s="15" t="n"/>
      <c r="G5987" s="15" t="n"/>
      <c r="H5987" s="16">
        <f>IF($A5987="","",$D5987+IF($E5987="",0,$E5987)+IF($F5987="",0,$F5987)-IF($G5987="",0,$G5987))</f>
        <v/>
      </c>
      <c r="I5987" s="12" t="n"/>
      <c r="J5987" s="12" t="n"/>
      <c r="K5987" s="12" t="n"/>
      <c r="L5987" s="14" t="n"/>
      <c r="M5987" s="12" t="n"/>
      <c r="N5987" s="12" t="n"/>
      <c r="O5987" s="12" t="n"/>
    </row>
    <row r="5988">
      <c r="A5988" s="12" t="n"/>
      <c r="B5988" s="13">
        <f>IF($A5988="","",IFERROR(INDEX(Emp_Names,MATCH($A5988,Emp_Codes,0)),"NOT FOUND"))</f>
        <v/>
      </c>
      <c r="C5988" s="14" t="n"/>
      <c r="D5988" s="15" t="n"/>
      <c r="E5988" s="15" t="n"/>
      <c r="F5988" s="15" t="n"/>
      <c r="G5988" s="15" t="n"/>
      <c r="H5988" s="16">
        <f>IF($A5988="","",$D5988+IF($E5988="",0,$E5988)+IF($F5988="",0,$F5988)-IF($G5988="",0,$G5988))</f>
        <v/>
      </c>
      <c r="I5988" s="12" t="n"/>
      <c r="J5988" s="12" t="n"/>
      <c r="K5988" s="12" t="n"/>
      <c r="L5988" s="14" t="n"/>
      <c r="M5988" s="12" t="n"/>
      <c r="N5988" s="12" t="n"/>
      <c r="O5988" s="12" t="n"/>
    </row>
    <row r="5989">
      <c r="A5989" s="12" t="n"/>
      <c r="B5989" s="13">
        <f>IF($A5989="","",IFERROR(INDEX(Emp_Names,MATCH($A5989,Emp_Codes,0)),"NOT FOUND"))</f>
        <v/>
      </c>
      <c r="C5989" s="14" t="n"/>
      <c r="D5989" s="15" t="n"/>
      <c r="E5989" s="15" t="n"/>
      <c r="F5989" s="15" t="n"/>
      <c r="G5989" s="15" t="n"/>
      <c r="H5989" s="16">
        <f>IF($A5989="","",$D5989+IF($E5989="",0,$E5989)+IF($F5989="",0,$F5989)-IF($G5989="",0,$G5989))</f>
        <v/>
      </c>
      <c r="I5989" s="12" t="n"/>
      <c r="J5989" s="12" t="n"/>
      <c r="K5989" s="12" t="n"/>
      <c r="L5989" s="14" t="n"/>
      <c r="M5989" s="12" t="n"/>
      <c r="N5989" s="12" t="n"/>
      <c r="O5989" s="12" t="n"/>
    </row>
    <row r="5990">
      <c r="A5990" s="12" t="n"/>
      <c r="B5990" s="13">
        <f>IF($A5990="","",IFERROR(INDEX(Emp_Names,MATCH($A5990,Emp_Codes,0)),"NOT FOUND"))</f>
        <v/>
      </c>
      <c r="C5990" s="14" t="n"/>
      <c r="D5990" s="15" t="n"/>
      <c r="E5990" s="15" t="n"/>
      <c r="F5990" s="15" t="n"/>
      <c r="G5990" s="15" t="n"/>
      <c r="H5990" s="16">
        <f>IF($A5990="","",$D5990+IF($E5990="",0,$E5990)+IF($F5990="",0,$F5990)-IF($G5990="",0,$G5990))</f>
        <v/>
      </c>
      <c r="I5990" s="12" t="n"/>
      <c r="J5990" s="12" t="n"/>
      <c r="K5990" s="12" t="n"/>
      <c r="L5990" s="14" t="n"/>
      <c r="M5990" s="12" t="n"/>
      <c r="N5990" s="12" t="n"/>
      <c r="O5990" s="12" t="n"/>
    </row>
    <row r="5991">
      <c r="A5991" s="12" t="n"/>
      <c r="B5991" s="13">
        <f>IF($A5991="","",IFERROR(INDEX(Emp_Names,MATCH($A5991,Emp_Codes,0)),"NOT FOUND"))</f>
        <v/>
      </c>
      <c r="C5991" s="14" t="n"/>
      <c r="D5991" s="15" t="n"/>
      <c r="E5991" s="15" t="n"/>
      <c r="F5991" s="15" t="n"/>
      <c r="G5991" s="15" t="n"/>
      <c r="H5991" s="16">
        <f>IF($A5991="","",$D5991+IF($E5991="",0,$E5991)+IF($F5991="",0,$F5991)-IF($G5991="",0,$G5991))</f>
        <v/>
      </c>
      <c r="I5991" s="12" t="n"/>
      <c r="J5991" s="12" t="n"/>
      <c r="K5991" s="12" t="n"/>
      <c r="L5991" s="14" t="n"/>
      <c r="M5991" s="12" t="n"/>
      <c r="N5991" s="12" t="n"/>
      <c r="O5991" s="12" t="n"/>
    </row>
    <row r="5992">
      <c r="A5992" s="12" t="n"/>
      <c r="B5992" s="13">
        <f>IF($A5992="","",IFERROR(INDEX(Emp_Names,MATCH($A5992,Emp_Codes,0)),"NOT FOUND"))</f>
        <v/>
      </c>
      <c r="C5992" s="14" t="n"/>
      <c r="D5992" s="15" t="n"/>
      <c r="E5992" s="15" t="n"/>
      <c r="F5992" s="15" t="n"/>
      <c r="G5992" s="15" t="n"/>
      <c r="H5992" s="16">
        <f>IF($A5992="","",$D5992+IF($E5992="",0,$E5992)+IF($F5992="",0,$F5992)-IF($G5992="",0,$G5992))</f>
        <v/>
      </c>
      <c r="I5992" s="12" t="n"/>
      <c r="J5992" s="12" t="n"/>
      <c r="K5992" s="12" t="n"/>
      <c r="L5992" s="14" t="n"/>
      <c r="M5992" s="12" t="n"/>
      <c r="N5992" s="12" t="n"/>
      <c r="O5992" s="12" t="n"/>
    </row>
    <row r="5993">
      <c r="A5993" s="12" t="n"/>
      <c r="B5993" s="13">
        <f>IF($A5993="","",IFERROR(INDEX(Emp_Names,MATCH($A5993,Emp_Codes,0)),"NOT FOUND"))</f>
        <v/>
      </c>
      <c r="C5993" s="14" t="n"/>
      <c r="D5993" s="15" t="n"/>
      <c r="E5993" s="15" t="n"/>
      <c r="F5993" s="15" t="n"/>
      <c r="G5993" s="15" t="n"/>
      <c r="H5993" s="16">
        <f>IF($A5993="","",$D5993+IF($E5993="",0,$E5993)+IF($F5993="",0,$F5993)-IF($G5993="",0,$G5993))</f>
        <v/>
      </c>
      <c r="I5993" s="12" t="n"/>
      <c r="J5993" s="12" t="n"/>
      <c r="K5993" s="12" t="n"/>
      <c r="L5993" s="14" t="n"/>
      <c r="M5993" s="12" t="n"/>
      <c r="N5993" s="12" t="n"/>
      <c r="O5993" s="12" t="n"/>
    </row>
    <row r="5994">
      <c r="A5994" s="12" t="n"/>
      <c r="B5994" s="13">
        <f>IF($A5994="","",IFERROR(INDEX(Emp_Names,MATCH($A5994,Emp_Codes,0)),"NOT FOUND"))</f>
        <v/>
      </c>
      <c r="C5994" s="14" t="n"/>
      <c r="D5994" s="15" t="n"/>
      <c r="E5994" s="15" t="n"/>
      <c r="F5994" s="15" t="n"/>
      <c r="G5994" s="15" t="n"/>
      <c r="H5994" s="16">
        <f>IF($A5994="","",$D5994+IF($E5994="",0,$E5994)+IF($F5994="",0,$F5994)-IF($G5994="",0,$G5994))</f>
        <v/>
      </c>
      <c r="I5994" s="12" t="n"/>
      <c r="J5994" s="12" t="n"/>
      <c r="K5994" s="12" t="n"/>
      <c r="L5994" s="14" t="n"/>
      <c r="M5994" s="12" t="n"/>
      <c r="N5994" s="12" t="n"/>
      <c r="O5994" s="12" t="n"/>
    </row>
    <row r="5995">
      <c r="A5995" s="12" t="n"/>
      <c r="B5995" s="13">
        <f>IF($A5995="","",IFERROR(INDEX(Emp_Names,MATCH($A5995,Emp_Codes,0)),"NOT FOUND"))</f>
        <v/>
      </c>
      <c r="C5995" s="14" t="n"/>
      <c r="D5995" s="15" t="n"/>
      <c r="E5995" s="15" t="n"/>
      <c r="F5995" s="15" t="n"/>
      <c r="G5995" s="15" t="n"/>
      <c r="H5995" s="16">
        <f>IF($A5995="","",$D5995+IF($E5995="",0,$E5995)+IF($F5995="",0,$F5995)-IF($G5995="",0,$G5995))</f>
        <v/>
      </c>
      <c r="I5995" s="12" t="n"/>
      <c r="J5995" s="12" t="n"/>
      <c r="K5995" s="12" t="n"/>
      <c r="L5995" s="14" t="n"/>
      <c r="M5995" s="12" t="n"/>
      <c r="N5995" s="12" t="n"/>
      <c r="O5995" s="12" t="n"/>
    </row>
    <row r="5996">
      <c r="A5996" s="12" t="n"/>
      <c r="B5996" s="13">
        <f>IF($A5996="","",IFERROR(INDEX(Emp_Names,MATCH($A5996,Emp_Codes,0)),"NOT FOUND"))</f>
        <v/>
      </c>
      <c r="C5996" s="14" t="n"/>
      <c r="D5996" s="15" t="n"/>
      <c r="E5996" s="15" t="n"/>
      <c r="F5996" s="15" t="n"/>
      <c r="G5996" s="15" t="n"/>
      <c r="H5996" s="16">
        <f>IF($A5996="","",$D5996+IF($E5996="",0,$E5996)+IF($F5996="",0,$F5996)-IF($G5996="",0,$G5996))</f>
        <v/>
      </c>
      <c r="I5996" s="12" t="n"/>
      <c r="J5996" s="12" t="n"/>
      <c r="K5996" s="12" t="n"/>
      <c r="L5996" s="14" t="n"/>
      <c r="M5996" s="12" t="n"/>
      <c r="N5996" s="12" t="n"/>
      <c r="O5996" s="12" t="n"/>
    </row>
    <row r="5997">
      <c r="A5997" s="12" t="n"/>
      <c r="B5997" s="13">
        <f>IF($A5997="","",IFERROR(INDEX(Emp_Names,MATCH($A5997,Emp_Codes,0)),"NOT FOUND"))</f>
        <v/>
      </c>
      <c r="C5997" s="14" t="n"/>
      <c r="D5997" s="15" t="n"/>
      <c r="E5997" s="15" t="n"/>
      <c r="F5997" s="15" t="n"/>
      <c r="G5997" s="15" t="n"/>
      <c r="H5997" s="16">
        <f>IF($A5997="","",$D5997+IF($E5997="",0,$E5997)+IF($F5997="",0,$F5997)-IF($G5997="",0,$G5997))</f>
        <v/>
      </c>
      <c r="I5997" s="12" t="n"/>
      <c r="J5997" s="12" t="n"/>
      <c r="K5997" s="12" t="n"/>
      <c r="L5997" s="14" t="n"/>
      <c r="M5997" s="12" t="n"/>
      <c r="N5997" s="12" t="n"/>
      <c r="O5997" s="12" t="n"/>
    </row>
    <row r="5998">
      <c r="A5998" s="12" t="n"/>
      <c r="B5998" s="13">
        <f>IF($A5998="","",IFERROR(INDEX(Emp_Names,MATCH($A5998,Emp_Codes,0)),"NOT FOUND"))</f>
        <v/>
      </c>
      <c r="C5998" s="14" t="n"/>
      <c r="D5998" s="15" t="n"/>
      <c r="E5998" s="15" t="n"/>
      <c r="F5998" s="15" t="n"/>
      <c r="G5998" s="15" t="n"/>
      <c r="H5998" s="16">
        <f>IF($A5998="","",$D5998+IF($E5998="",0,$E5998)+IF($F5998="",0,$F5998)-IF($G5998="",0,$G5998))</f>
        <v/>
      </c>
      <c r="I5998" s="12" t="n"/>
      <c r="J5998" s="12" t="n"/>
      <c r="K5998" s="12" t="n"/>
      <c r="L5998" s="14" t="n"/>
      <c r="M5998" s="12" t="n"/>
      <c r="N5998" s="12" t="n"/>
      <c r="O5998" s="12" t="n"/>
    </row>
    <row r="5999">
      <c r="A5999" s="12" t="n"/>
      <c r="B5999" s="13">
        <f>IF($A5999="","",IFERROR(INDEX(Emp_Names,MATCH($A5999,Emp_Codes,0)),"NOT FOUND"))</f>
        <v/>
      </c>
      <c r="C5999" s="14" t="n"/>
      <c r="D5999" s="15" t="n"/>
      <c r="E5999" s="15" t="n"/>
      <c r="F5999" s="15" t="n"/>
      <c r="G5999" s="15" t="n"/>
      <c r="H5999" s="16">
        <f>IF($A5999="","",$D5999+IF($E5999="",0,$E5999)+IF($F5999="",0,$F5999)-IF($G5999="",0,$G5999))</f>
        <v/>
      </c>
      <c r="I5999" s="12" t="n"/>
      <c r="J5999" s="12" t="n"/>
      <c r="K5999" s="12" t="n"/>
      <c r="L5999" s="14" t="n"/>
      <c r="M5999" s="12" t="n"/>
      <c r="N5999" s="12" t="n"/>
      <c r="O5999" s="12" t="n"/>
    </row>
    <row r="6000">
      <c r="A6000" s="12" t="n"/>
      <c r="B6000" s="13">
        <f>IF($A6000="","",IFERROR(INDEX(Emp_Names,MATCH($A6000,Emp_Codes,0)),"NOT FOUND"))</f>
        <v/>
      </c>
      <c r="C6000" s="14" t="n"/>
      <c r="D6000" s="15" t="n"/>
      <c r="E6000" s="15" t="n"/>
      <c r="F6000" s="15" t="n"/>
      <c r="G6000" s="15" t="n"/>
      <c r="H6000" s="16">
        <f>IF($A6000="","",$D6000+IF($E6000="",0,$E6000)+IF($F6000="",0,$F6000)-IF($G6000="",0,$G6000))</f>
        <v/>
      </c>
      <c r="I6000" s="12" t="n"/>
      <c r="J6000" s="12" t="n"/>
      <c r="K6000" s="12" t="n"/>
      <c r="L6000" s="14" t="n"/>
      <c r="M6000" s="12" t="n"/>
      <c r="N6000" s="12" t="n"/>
      <c r="O6000" s="12" t="n"/>
    </row>
    <row r="6001">
      <c r="A6001" s="12" t="n"/>
      <c r="B6001" s="13">
        <f>IF($A6001="","",IFERROR(INDEX(Emp_Names,MATCH($A6001,Emp_Codes,0)),"NOT FOUND"))</f>
        <v/>
      </c>
      <c r="C6001" s="14" t="n"/>
      <c r="D6001" s="15" t="n"/>
      <c r="E6001" s="15" t="n"/>
      <c r="F6001" s="15" t="n"/>
      <c r="G6001" s="15" t="n"/>
      <c r="H6001" s="16">
        <f>IF($A6001="","",$D6001+IF($E6001="",0,$E6001)+IF($F6001="",0,$F6001)-IF($G6001="",0,$G6001))</f>
        <v/>
      </c>
      <c r="I6001" s="12" t="n"/>
      <c r="J6001" s="12" t="n"/>
      <c r="K6001" s="12" t="n"/>
      <c r="L6001" s="14" t="n"/>
      <c r="M6001" s="12" t="n"/>
      <c r="N6001" s="12" t="n"/>
      <c r="O6001" s="12" t="n"/>
    </row>
  </sheetData>
  <autoFilter ref="A1:O6001"/>
  <conditionalFormatting sqref="A2:A6001">
    <cfRule type="expression" priority="1" dxfId="0" stopIfTrue="0">
      <formula>AND($A2&lt;&gt;"",COUNTIF(Emp_Codes,$A2)=0)</formula>
    </cfRule>
  </conditionalFormatting>
  <conditionalFormatting sqref="C2:C6001">
    <cfRule type="expression" priority="2" dxfId="0" stopIfTrue="0">
      <formula>AND($A2&lt;&gt;"",$C2&lt;&gt;"",COUNTIFS($A$2:$A$6001,$A2,$C$2:$C$6001,$C2)&gt;1)</formula>
    </cfRule>
  </conditionalFormatting>
  <conditionalFormatting sqref="H2:H6001">
    <cfRule type="expression" priority="3" dxfId="0" stopIfTrue="0">
      <formula>AND($A2&lt;&gt;"",$H2&lt;=0)</formula>
    </cfRule>
  </conditionalFormatting>
  <dataValidations count="10">
    <dataValidation sqref="A2:A6001" showDropDown="0" showInputMessage="1" showErrorMessage="1" allowBlank="0" errorTitle="Employee" error="Pick an Employee Code from sheet '3. Employees'." promptTitle="Employee" prompt="Pick an Employee Code from sheet '3. Employees'." type="list">
      <formula1>Emp_Codes</formula1>
    </dataValidation>
    <dataValidation sqref="C2:C6001" showDropDown="0" showInputMessage="1" showErrorMessage="1" allowBlank="1" errorTitle="Effective from" error="A real date, typed like 01-Apr-2025." promptTitle="Date" prompt="A real date, typed like 01-Apr-2025." type="date" operator="between">
      <formula1>DATE(1940,1,1)</formula1>
      <formula2>DATE(2040,12,31)</formula2>
    </dataValidation>
    <dataValidation sqref="D2:D6001" showDropDown="0" showInputMessage="0" showErrorMessage="1" allowBlank="1" errorTitle="Basic salary" error="A number — annual rupees, digits only (600000)." type="decimal" operator="between">
      <formula1>0</formula1>
      <formula2>99999999</formula2>
    </dataValidation>
    <dataValidation sqref="E2:E6001" showDropDown="0" showInputMessage="0" showErrorMessage="1" allowBlank="1" errorTitle="Allowances" error="A number — annual rupees, digits only." type="decimal" operator="between">
      <formula1>0</formula1>
      <formula2>99999999</formula2>
    </dataValidation>
    <dataValidation sqref="F2:F6001" showDropDown="0" showInputMessage="0" showErrorMessage="1" allowBlank="1" errorTitle="Bonuses" error="A number — annual rupees, digits only." type="decimal" operator="between">
      <formula1>0</formula1>
      <formula2>99999999</formula2>
    </dataValidation>
    <dataValidation sqref="G2:G6001" showDropDown="0" showInputMessage="0" showErrorMessage="1" allowBlank="1" errorTitle="Deductions" error="A number — annual rupees, digits only." type="decimal" operator="between">
      <formula1>0</formula1>
      <formula2>99999999</formula2>
    </dataValidation>
    <dataValidation sqref="I2:I6001" showDropDown="0" showInputMessage="1" showErrorMessage="1" allowBlank="0" errorTitle="Currency" error="Pick from the list. INR for rupees." promptTitle="Currency" prompt="Pick from the list. INR for rupees." type="list">
      <formula1>List_Currency</formula1>
    </dataValidation>
    <dataValidation sqref="J2:J6001" showDropDown="0" showInputMessage="1" showErrorMessage="1" allowBlank="0" errorTitle="Revision type" error="Pick one from the list. Use INITIAL for the salary somebody joined on." promptTitle="Revision type" prompt="Pick one from the list. Use INITIAL for the salary somebody joined on." type="list">
      <formula1>List_RevisionType</formula1>
    </dataValidation>
    <dataValidation sqref="L2:L6001" showDropDown="0" showInputMessage="1" showErrorMessage="1" allowBlank="1" errorTitle="Decision date" error="A real date, typed like 15-Mar-2025." promptTitle="Date" prompt="A real date, typed like 15-Mar-2025." type="date" operator="between">
      <formula1>DATE(1940,1,1)</formula1>
      <formula2>DATE(2040,12,31)</formula2>
    </dataValidation>
    <dataValidation sqref="N2:N6001" showDropDown="0" showInputMessage="1" showErrorMessage="1" allowBlank="0" errorTitle="Was it paid?" error="Yes or No." promptTitle="Was it paid?" prompt="Yes or No." type="list">
      <formula1>List_YesNo</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G50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18" customWidth="1" min="3" max="3"/>
    <col width="24" customWidth="1" min="4" max="4"/>
    <col width="26" customWidth="1" min="5" max="5"/>
    <col width="30" customWidth="1" min="6" max="6"/>
    <col width="30" customWidth="1" min="7" max="7"/>
  </cols>
  <sheetData>
    <row r="1" ht="40" customHeight="1">
      <c r="A1" s="9" t="inlineStr">
        <is>
          <t>App Login Email *</t>
        </is>
      </c>
      <c r="B1" s="9" t="inlineStr">
        <is>
          <t>Full Name *</t>
        </is>
      </c>
      <c r="C1" s="10" t="inlineStr">
        <is>
          <t>Employee Code</t>
        </is>
      </c>
      <c r="D1" s="11" t="inlineStr">
        <is>
          <t>Employee Name (auto)</t>
        </is>
      </c>
      <c r="E1" s="9" t="inlineStr">
        <is>
          <t>Role *</t>
        </is>
      </c>
      <c r="F1" s="10" t="inlineStr">
        <is>
          <t>May Approve Salary Revisions?</t>
        </is>
      </c>
      <c r="G1" s="10" t="inlineStr">
        <is>
          <t>Notes</t>
        </is>
      </c>
    </row>
    <row r="2">
      <c r="A2" s="12" t="n"/>
      <c r="B2" s="12" t="n"/>
      <c r="C2" s="12" t="n"/>
      <c r="D2" s="13">
        <f>IF($C2="","",IFERROR(INDEX(Emp_Names,MATCH($C2,Emp_Codes,0)),"NOT FOUND"))</f>
        <v/>
      </c>
      <c r="E2" s="12" t="n"/>
      <c r="F2" s="12" t="n"/>
      <c r="G2" s="12" t="n"/>
    </row>
    <row r="3">
      <c r="A3" s="12" t="n"/>
      <c r="B3" s="12" t="n"/>
      <c r="C3" s="12" t="n"/>
      <c r="D3" s="13">
        <f>IF($C3="","",IFERROR(INDEX(Emp_Names,MATCH($C3,Emp_Codes,0)),"NOT FOUND"))</f>
        <v/>
      </c>
      <c r="E3" s="12" t="n"/>
      <c r="F3" s="12" t="n"/>
      <c r="G3" s="12" t="n"/>
    </row>
    <row r="4">
      <c r="A4" s="12" t="n"/>
      <c r="B4" s="12" t="n"/>
      <c r="C4" s="12" t="n"/>
      <c r="D4" s="13">
        <f>IF($C4="","",IFERROR(INDEX(Emp_Names,MATCH($C4,Emp_Codes,0)),"NOT FOUND"))</f>
        <v/>
      </c>
      <c r="E4" s="12" t="n"/>
      <c r="F4" s="12" t="n"/>
      <c r="G4" s="12" t="n"/>
    </row>
    <row r="5">
      <c r="A5" s="12" t="n"/>
      <c r="B5" s="12" t="n"/>
      <c r="C5" s="12" t="n"/>
      <c r="D5" s="13">
        <f>IF($C5="","",IFERROR(INDEX(Emp_Names,MATCH($C5,Emp_Codes,0)),"NOT FOUND"))</f>
        <v/>
      </c>
      <c r="E5" s="12" t="n"/>
      <c r="F5" s="12" t="n"/>
      <c r="G5" s="12" t="n"/>
    </row>
    <row r="6">
      <c r="A6" s="12" t="n"/>
      <c r="B6" s="12" t="n"/>
      <c r="C6" s="12" t="n"/>
      <c r="D6" s="13">
        <f>IF($C6="","",IFERROR(INDEX(Emp_Names,MATCH($C6,Emp_Codes,0)),"NOT FOUND"))</f>
        <v/>
      </c>
      <c r="E6" s="12" t="n"/>
      <c r="F6" s="12" t="n"/>
      <c r="G6" s="12" t="n"/>
    </row>
    <row r="7">
      <c r="A7" s="12" t="n"/>
      <c r="B7" s="12" t="n"/>
      <c r="C7" s="12" t="n"/>
      <c r="D7" s="13">
        <f>IF($C7="","",IFERROR(INDEX(Emp_Names,MATCH($C7,Emp_Codes,0)),"NOT FOUND"))</f>
        <v/>
      </c>
      <c r="E7" s="12" t="n"/>
      <c r="F7" s="12" t="n"/>
      <c r="G7" s="12" t="n"/>
    </row>
    <row r="8">
      <c r="A8" s="12" t="n"/>
      <c r="B8" s="12" t="n"/>
      <c r="C8" s="12" t="n"/>
      <c r="D8" s="13">
        <f>IF($C8="","",IFERROR(INDEX(Emp_Names,MATCH($C8,Emp_Codes,0)),"NOT FOUND"))</f>
        <v/>
      </c>
      <c r="E8" s="12" t="n"/>
      <c r="F8" s="12" t="n"/>
      <c r="G8" s="12" t="n"/>
    </row>
    <row r="9">
      <c r="A9" s="12" t="n"/>
      <c r="B9" s="12" t="n"/>
      <c r="C9" s="12" t="n"/>
      <c r="D9" s="13">
        <f>IF($C9="","",IFERROR(INDEX(Emp_Names,MATCH($C9,Emp_Codes,0)),"NOT FOUND"))</f>
        <v/>
      </c>
      <c r="E9" s="12" t="n"/>
      <c r="F9" s="12" t="n"/>
      <c r="G9" s="12" t="n"/>
    </row>
    <row r="10">
      <c r="A10" s="12" t="n"/>
      <c r="B10" s="12" t="n"/>
      <c r="C10" s="12" t="n"/>
      <c r="D10" s="13">
        <f>IF($C10="","",IFERROR(INDEX(Emp_Names,MATCH($C10,Emp_Codes,0)),"NOT FOUND"))</f>
        <v/>
      </c>
      <c r="E10" s="12" t="n"/>
      <c r="F10" s="12" t="n"/>
      <c r="G10" s="12" t="n"/>
    </row>
    <row r="11">
      <c r="A11" s="12" t="n"/>
      <c r="B11" s="12" t="n"/>
      <c r="C11" s="12" t="n"/>
      <c r="D11" s="13">
        <f>IF($C11="","",IFERROR(INDEX(Emp_Names,MATCH($C11,Emp_Codes,0)),"NOT FOUND"))</f>
        <v/>
      </c>
      <c r="E11" s="12" t="n"/>
      <c r="F11" s="12" t="n"/>
      <c r="G11" s="12" t="n"/>
    </row>
    <row r="12">
      <c r="A12" s="12" t="n"/>
      <c r="B12" s="12" t="n"/>
      <c r="C12" s="12" t="n"/>
      <c r="D12" s="13">
        <f>IF($C12="","",IFERROR(INDEX(Emp_Names,MATCH($C12,Emp_Codes,0)),"NOT FOUND"))</f>
        <v/>
      </c>
      <c r="E12" s="12" t="n"/>
      <c r="F12" s="12" t="n"/>
      <c r="G12" s="12" t="n"/>
    </row>
    <row r="13">
      <c r="A13" s="12" t="n"/>
      <c r="B13" s="12" t="n"/>
      <c r="C13" s="12" t="n"/>
      <c r="D13" s="13">
        <f>IF($C13="","",IFERROR(INDEX(Emp_Names,MATCH($C13,Emp_Codes,0)),"NOT FOUND"))</f>
        <v/>
      </c>
      <c r="E13" s="12" t="n"/>
      <c r="F13" s="12" t="n"/>
      <c r="G13" s="12" t="n"/>
    </row>
    <row r="14">
      <c r="A14" s="12" t="n"/>
      <c r="B14" s="12" t="n"/>
      <c r="C14" s="12" t="n"/>
      <c r="D14" s="13">
        <f>IF($C14="","",IFERROR(INDEX(Emp_Names,MATCH($C14,Emp_Codes,0)),"NOT FOUND"))</f>
        <v/>
      </c>
      <c r="E14" s="12" t="n"/>
      <c r="F14" s="12" t="n"/>
      <c r="G14" s="12" t="n"/>
    </row>
    <row r="15">
      <c r="A15" s="12" t="n"/>
      <c r="B15" s="12" t="n"/>
      <c r="C15" s="12" t="n"/>
      <c r="D15" s="13">
        <f>IF($C15="","",IFERROR(INDEX(Emp_Names,MATCH($C15,Emp_Codes,0)),"NOT FOUND"))</f>
        <v/>
      </c>
      <c r="E15" s="12" t="n"/>
      <c r="F15" s="12" t="n"/>
      <c r="G15" s="12" t="n"/>
    </row>
    <row r="16">
      <c r="A16" s="12" t="n"/>
      <c r="B16" s="12" t="n"/>
      <c r="C16" s="12" t="n"/>
      <c r="D16" s="13">
        <f>IF($C16="","",IFERROR(INDEX(Emp_Names,MATCH($C16,Emp_Codes,0)),"NOT FOUND"))</f>
        <v/>
      </c>
      <c r="E16" s="12" t="n"/>
      <c r="F16" s="12" t="n"/>
      <c r="G16" s="12" t="n"/>
    </row>
    <row r="17">
      <c r="A17" s="12" t="n"/>
      <c r="B17" s="12" t="n"/>
      <c r="C17" s="12" t="n"/>
      <c r="D17" s="13">
        <f>IF($C17="","",IFERROR(INDEX(Emp_Names,MATCH($C17,Emp_Codes,0)),"NOT FOUND"))</f>
        <v/>
      </c>
      <c r="E17" s="12" t="n"/>
      <c r="F17" s="12" t="n"/>
      <c r="G17" s="12" t="n"/>
    </row>
    <row r="18">
      <c r="A18" s="12" t="n"/>
      <c r="B18" s="12" t="n"/>
      <c r="C18" s="12" t="n"/>
      <c r="D18" s="13">
        <f>IF($C18="","",IFERROR(INDEX(Emp_Names,MATCH($C18,Emp_Codes,0)),"NOT FOUND"))</f>
        <v/>
      </c>
      <c r="E18" s="12" t="n"/>
      <c r="F18" s="12" t="n"/>
      <c r="G18" s="12" t="n"/>
    </row>
    <row r="19">
      <c r="A19" s="12" t="n"/>
      <c r="B19" s="12" t="n"/>
      <c r="C19" s="12" t="n"/>
      <c r="D19" s="13">
        <f>IF($C19="","",IFERROR(INDEX(Emp_Names,MATCH($C19,Emp_Codes,0)),"NOT FOUND"))</f>
        <v/>
      </c>
      <c r="E19" s="12" t="n"/>
      <c r="F19" s="12" t="n"/>
      <c r="G19" s="12" t="n"/>
    </row>
    <row r="20">
      <c r="A20" s="12" t="n"/>
      <c r="B20" s="12" t="n"/>
      <c r="C20" s="12" t="n"/>
      <c r="D20" s="13">
        <f>IF($C20="","",IFERROR(INDEX(Emp_Names,MATCH($C20,Emp_Codes,0)),"NOT FOUND"))</f>
        <v/>
      </c>
      <c r="E20" s="12" t="n"/>
      <c r="F20" s="12" t="n"/>
      <c r="G20" s="12" t="n"/>
    </row>
    <row r="21">
      <c r="A21" s="12" t="n"/>
      <c r="B21" s="12" t="n"/>
      <c r="C21" s="12" t="n"/>
      <c r="D21" s="13">
        <f>IF($C21="","",IFERROR(INDEX(Emp_Names,MATCH($C21,Emp_Codes,0)),"NOT FOUND"))</f>
        <v/>
      </c>
      <c r="E21" s="12" t="n"/>
      <c r="F21" s="12" t="n"/>
      <c r="G21" s="12" t="n"/>
    </row>
    <row r="22">
      <c r="A22" s="12" t="n"/>
      <c r="B22" s="12" t="n"/>
      <c r="C22" s="12" t="n"/>
      <c r="D22" s="13">
        <f>IF($C22="","",IFERROR(INDEX(Emp_Names,MATCH($C22,Emp_Codes,0)),"NOT FOUND"))</f>
        <v/>
      </c>
      <c r="E22" s="12" t="n"/>
      <c r="F22" s="12" t="n"/>
      <c r="G22" s="12" t="n"/>
    </row>
    <row r="23">
      <c r="A23" s="12" t="n"/>
      <c r="B23" s="12" t="n"/>
      <c r="C23" s="12" t="n"/>
      <c r="D23" s="13">
        <f>IF($C23="","",IFERROR(INDEX(Emp_Names,MATCH($C23,Emp_Codes,0)),"NOT FOUND"))</f>
        <v/>
      </c>
      <c r="E23" s="12" t="n"/>
      <c r="F23" s="12" t="n"/>
      <c r="G23" s="12" t="n"/>
    </row>
    <row r="24">
      <c r="A24" s="12" t="n"/>
      <c r="B24" s="12" t="n"/>
      <c r="C24" s="12" t="n"/>
      <c r="D24" s="13">
        <f>IF($C24="","",IFERROR(INDEX(Emp_Names,MATCH($C24,Emp_Codes,0)),"NOT FOUND"))</f>
        <v/>
      </c>
      <c r="E24" s="12" t="n"/>
      <c r="F24" s="12" t="n"/>
      <c r="G24" s="12" t="n"/>
    </row>
    <row r="25">
      <c r="A25" s="12" t="n"/>
      <c r="B25" s="12" t="n"/>
      <c r="C25" s="12" t="n"/>
      <c r="D25" s="13">
        <f>IF($C25="","",IFERROR(INDEX(Emp_Names,MATCH($C25,Emp_Codes,0)),"NOT FOUND"))</f>
        <v/>
      </c>
      <c r="E25" s="12" t="n"/>
      <c r="F25" s="12" t="n"/>
      <c r="G25" s="12" t="n"/>
    </row>
    <row r="26">
      <c r="A26" s="12" t="n"/>
      <c r="B26" s="12" t="n"/>
      <c r="C26" s="12" t="n"/>
      <c r="D26" s="13">
        <f>IF($C26="","",IFERROR(INDEX(Emp_Names,MATCH($C26,Emp_Codes,0)),"NOT FOUND"))</f>
        <v/>
      </c>
      <c r="E26" s="12" t="n"/>
      <c r="F26" s="12" t="n"/>
      <c r="G26" s="12" t="n"/>
    </row>
    <row r="27">
      <c r="A27" s="12" t="n"/>
      <c r="B27" s="12" t="n"/>
      <c r="C27" s="12" t="n"/>
      <c r="D27" s="13">
        <f>IF($C27="","",IFERROR(INDEX(Emp_Names,MATCH($C27,Emp_Codes,0)),"NOT FOUND"))</f>
        <v/>
      </c>
      <c r="E27" s="12" t="n"/>
      <c r="F27" s="12" t="n"/>
      <c r="G27" s="12" t="n"/>
    </row>
    <row r="28">
      <c r="A28" s="12" t="n"/>
      <c r="B28" s="12" t="n"/>
      <c r="C28" s="12" t="n"/>
      <c r="D28" s="13">
        <f>IF($C28="","",IFERROR(INDEX(Emp_Names,MATCH($C28,Emp_Codes,0)),"NOT FOUND"))</f>
        <v/>
      </c>
      <c r="E28" s="12" t="n"/>
      <c r="F28" s="12" t="n"/>
      <c r="G28" s="12" t="n"/>
    </row>
    <row r="29">
      <c r="A29" s="12" t="n"/>
      <c r="B29" s="12" t="n"/>
      <c r="C29" s="12" t="n"/>
      <c r="D29" s="13">
        <f>IF($C29="","",IFERROR(INDEX(Emp_Names,MATCH($C29,Emp_Codes,0)),"NOT FOUND"))</f>
        <v/>
      </c>
      <c r="E29" s="12" t="n"/>
      <c r="F29" s="12" t="n"/>
      <c r="G29" s="12" t="n"/>
    </row>
    <row r="30">
      <c r="A30" s="12" t="n"/>
      <c r="B30" s="12" t="n"/>
      <c r="C30" s="12" t="n"/>
      <c r="D30" s="13">
        <f>IF($C30="","",IFERROR(INDEX(Emp_Names,MATCH($C30,Emp_Codes,0)),"NOT FOUND"))</f>
        <v/>
      </c>
      <c r="E30" s="12" t="n"/>
      <c r="F30" s="12" t="n"/>
      <c r="G30" s="12" t="n"/>
    </row>
    <row r="31">
      <c r="A31" s="12" t="n"/>
      <c r="B31" s="12" t="n"/>
      <c r="C31" s="12" t="n"/>
      <c r="D31" s="13">
        <f>IF($C31="","",IFERROR(INDEX(Emp_Names,MATCH($C31,Emp_Codes,0)),"NOT FOUND"))</f>
        <v/>
      </c>
      <c r="E31" s="12" t="n"/>
      <c r="F31" s="12" t="n"/>
      <c r="G31" s="12" t="n"/>
    </row>
    <row r="32">
      <c r="A32" s="12" t="n"/>
      <c r="B32" s="12" t="n"/>
      <c r="C32" s="12" t="n"/>
      <c r="D32" s="13">
        <f>IF($C32="","",IFERROR(INDEX(Emp_Names,MATCH($C32,Emp_Codes,0)),"NOT FOUND"))</f>
        <v/>
      </c>
      <c r="E32" s="12" t="n"/>
      <c r="F32" s="12" t="n"/>
      <c r="G32" s="12" t="n"/>
    </row>
    <row r="33">
      <c r="A33" s="12" t="n"/>
      <c r="B33" s="12" t="n"/>
      <c r="C33" s="12" t="n"/>
      <c r="D33" s="13">
        <f>IF($C33="","",IFERROR(INDEX(Emp_Names,MATCH($C33,Emp_Codes,0)),"NOT FOUND"))</f>
        <v/>
      </c>
      <c r="E33" s="12" t="n"/>
      <c r="F33" s="12" t="n"/>
      <c r="G33" s="12" t="n"/>
    </row>
    <row r="34">
      <c r="A34" s="12" t="n"/>
      <c r="B34" s="12" t="n"/>
      <c r="C34" s="12" t="n"/>
      <c r="D34" s="13">
        <f>IF($C34="","",IFERROR(INDEX(Emp_Names,MATCH($C34,Emp_Codes,0)),"NOT FOUND"))</f>
        <v/>
      </c>
      <c r="E34" s="12" t="n"/>
      <c r="F34" s="12" t="n"/>
      <c r="G34" s="12" t="n"/>
    </row>
    <row r="35">
      <c r="A35" s="12" t="n"/>
      <c r="B35" s="12" t="n"/>
      <c r="C35" s="12" t="n"/>
      <c r="D35" s="13">
        <f>IF($C35="","",IFERROR(INDEX(Emp_Names,MATCH($C35,Emp_Codes,0)),"NOT FOUND"))</f>
        <v/>
      </c>
      <c r="E35" s="12" t="n"/>
      <c r="F35" s="12" t="n"/>
      <c r="G35" s="12" t="n"/>
    </row>
    <row r="36">
      <c r="A36" s="12" t="n"/>
      <c r="B36" s="12" t="n"/>
      <c r="C36" s="12" t="n"/>
      <c r="D36" s="13">
        <f>IF($C36="","",IFERROR(INDEX(Emp_Names,MATCH($C36,Emp_Codes,0)),"NOT FOUND"))</f>
        <v/>
      </c>
      <c r="E36" s="12" t="n"/>
      <c r="F36" s="12" t="n"/>
      <c r="G36" s="12" t="n"/>
    </row>
    <row r="37">
      <c r="A37" s="12" t="n"/>
      <c r="B37" s="12" t="n"/>
      <c r="C37" s="12" t="n"/>
      <c r="D37" s="13">
        <f>IF($C37="","",IFERROR(INDEX(Emp_Names,MATCH($C37,Emp_Codes,0)),"NOT FOUND"))</f>
        <v/>
      </c>
      <c r="E37" s="12" t="n"/>
      <c r="F37" s="12" t="n"/>
      <c r="G37" s="12" t="n"/>
    </row>
    <row r="38">
      <c r="A38" s="12" t="n"/>
      <c r="B38" s="12" t="n"/>
      <c r="C38" s="12" t="n"/>
      <c r="D38" s="13">
        <f>IF($C38="","",IFERROR(INDEX(Emp_Names,MATCH($C38,Emp_Codes,0)),"NOT FOUND"))</f>
        <v/>
      </c>
      <c r="E38" s="12" t="n"/>
      <c r="F38" s="12" t="n"/>
      <c r="G38" s="12" t="n"/>
    </row>
    <row r="39">
      <c r="A39" s="12" t="n"/>
      <c r="B39" s="12" t="n"/>
      <c r="C39" s="12" t="n"/>
      <c r="D39" s="13">
        <f>IF($C39="","",IFERROR(INDEX(Emp_Names,MATCH($C39,Emp_Codes,0)),"NOT FOUND"))</f>
        <v/>
      </c>
      <c r="E39" s="12" t="n"/>
      <c r="F39" s="12" t="n"/>
      <c r="G39" s="12" t="n"/>
    </row>
    <row r="40">
      <c r="A40" s="12" t="n"/>
      <c r="B40" s="12" t="n"/>
      <c r="C40" s="12" t="n"/>
      <c r="D40" s="13">
        <f>IF($C40="","",IFERROR(INDEX(Emp_Names,MATCH($C40,Emp_Codes,0)),"NOT FOUND"))</f>
        <v/>
      </c>
      <c r="E40" s="12" t="n"/>
      <c r="F40" s="12" t="n"/>
      <c r="G40" s="12" t="n"/>
    </row>
    <row r="41">
      <c r="A41" s="12" t="n"/>
      <c r="B41" s="12" t="n"/>
      <c r="C41" s="12" t="n"/>
      <c r="D41" s="13">
        <f>IF($C41="","",IFERROR(INDEX(Emp_Names,MATCH($C41,Emp_Codes,0)),"NOT FOUND"))</f>
        <v/>
      </c>
      <c r="E41" s="12" t="n"/>
      <c r="F41" s="12" t="n"/>
      <c r="G41" s="12" t="n"/>
    </row>
    <row r="42">
      <c r="A42" s="12" t="n"/>
      <c r="B42" s="12" t="n"/>
      <c r="C42" s="12" t="n"/>
      <c r="D42" s="13">
        <f>IF($C42="","",IFERROR(INDEX(Emp_Names,MATCH($C42,Emp_Codes,0)),"NOT FOUND"))</f>
        <v/>
      </c>
      <c r="E42" s="12" t="n"/>
      <c r="F42" s="12" t="n"/>
      <c r="G42" s="12" t="n"/>
    </row>
    <row r="43">
      <c r="A43" s="12" t="n"/>
      <c r="B43" s="12" t="n"/>
      <c r="C43" s="12" t="n"/>
      <c r="D43" s="13">
        <f>IF($C43="","",IFERROR(INDEX(Emp_Names,MATCH($C43,Emp_Codes,0)),"NOT FOUND"))</f>
        <v/>
      </c>
      <c r="E43" s="12" t="n"/>
      <c r="F43" s="12" t="n"/>
      <c r="G43" s="12" t="n"/>
    </row>
    <row r="44">
      <c r="A44" s="12" t="n"/>
      <c r="B44" s="12" t="n"/>
      <c r="C44" s="12" t="n"/>
      <c r="D44" s="13">
        <f>IF($C44="","",IFERROR(INDEX(Emp_Names,MATCH($C44,Emp_Codes,0)),"NOT FOUND"))</f>
        <v/>
      </c>
      <c r="E44" s="12" t="n"/>
      <c r="F44" s="12" t="n"/>
      <c r="G44" s="12" t="n"/>
    </row>
    <row r="45">
      <c r="A45" s="12" t="n"/>
      <c r="B45" s="12" t="n"/>
      <c r="C45" s="12" t="n"/>
      <c r="D45" s="13">
        <f>IF($C45="","",IFERROR(INDEX(Emp_Names,MATCH($C45,Emp_Codes,0)),"NOT FOUND"))</f>
        <v/>
      </c>
      <c r="E45" s="12" t="n"/>
      <c r="F45" s="12" t="n"/>
      <c r="G45" s="12" t="n"/>
    </row>
    <row r="46">
      <c r="A46" s="12" t="n"/>
      <c r="B46" s="12" t="n"/>
      <c r="C46" s="12" t="n"/>
      <c r="D46" s="13">
        <f>IF($C46="","",IFERROR(INDEX(Emp_Names,MATCH($C46,Emp_Codes,0)),"NOT FOUND"))</f>
        <v/>
      </c>
      <c r="E46" s="12" t="n"/>
      <c r="F46" s="12" t="n"/>
      <c r="G46" s="12" t="n"/>
    </row>
    <row r="47">
      <c r="A47" s="12" t="n"/>
      <c r="B47" s="12" t="n"/>
      <c r="C47" s="12" t="n"/>
      <c r="D47" s="13">
        <f>IF($C47="","",IFERROR(INDEX(Emp_Names,MATCH($C47,Emp_Codes,0)),"NOT FOUND"))</f>
        <v/>
      </c>
      <c r="E47" s="12" t="n"/>
      <c r="F47" s="12" t="n"/>
      <c r="G47" s="12" t="n"/>
    </row>
    <row r="48">
      <c r="A48" s="12" t="n"/>
      <c r="B48" s="12" t="n"/>
      <c r="C48" s="12" t="n"/>
      <c r="D48" s="13">
        <f>IF($C48="","",IFERROR(INDEX(Emp_Names,MATCH($C48,Emp_Codes,0)),"NOT FOUND"))</f>
        <v/>
      </c>
      <c r="E48" s="12" t="n"/>
      <c r="F48" s="12" t="n"/>
      <c r="G48" s="12" t="n"/>
    </row>
    <row r="49">
      <c r="A49" s="12" t="n"/>
      <c r="B49" s="12" t="n"/>
      <c r="C49" s="12" t="n"/>
      <c r="D49" s="13">
        <f>IF($C49="","",IFERROR(INDEX(Emp_Names,MATCH($C49,Emp_Codes,0)),"NOT FOUND"))</f>
        <v/>
      </c>
      <c r="E49" s="12" t="n"/>
      <c r="F49" s="12" t="n"/>
      <c r="G49" s="12" t="n"/>
    </row>
    <row r="50">
      <c r="A50" s="12" t="n"/>
      <c r="B50" s="12" t="n"/>
      <c r="C50" s="12" t="n"/>
      <c r="D50" s="13">
        <f>IF($C50="","",IFERROR(INDEX(Emp_Names,MATCH($C50,Emp_Codes,0)),"NOT FOUND"))</f>
        <v/>
      </c>
      <c r="E50" s="12" t="n"/>
      <c r="F50" s="12" t="n"/>
      <c r="G50" s="12" t="n"/>
    </row>
    <row r="51">
      <c r="A51" s="12" t="n"/>
      <c r="B51" s="12" t="n"/>
      <c r="C51" s="12" t="n"/>
      <c r="D51" s="13">
        <f>IF($C51="","",IFERROR(INDEX(Emp_Names,MATCH($C51,Emp_Codes,0)),"NOT FOUND"))</f>
        <v/>
      </c>
      <c r="E51" s="12" t="n"/>
      <c r="F51" s="12" t="n"/>
      <c r="G51" s="12" t="n"/>
    </row>
    <row r="52">
      <c r="A52" s="12" t="n"/>
      <c r="B52" s="12" t="n"/>
      <c r="C52" s="12" t="n"/>
      <c r="D52" s="13">
        <f>IF($C52="","",IFERROR(INDEX(Emp_Names,MATCH($C52,Emp_Codes,0)),"NOT FOUND"))</f>
        <v/>
      </c>
      <c r="E52" s="12" t="n"/>
      <c r="F52" s="12" t="n"/>
      <c r="G52" s="12" t="n"/>
    </row>
    <row r="53">
      <c r="A53" s="12" t="n"/>
      <c r="B53" s="12" t="n"/>
      <c r="C53" s="12" t="n"/>
      <c r="D53" s="13">
        <f>IF($C53="","",IFERROR(INDEX(Emp_Names,MATCH($C53,Emp_Codes,0)),"NOT FOUND"))</f>
        <v/>
      </c>
      <c r="E53" s="12" t="n"/>
      <c r="F53" s="12" t="n"/>
      <c r="G53" s="12" t="n"/>
    </row>
    <row r="54">
      <c r="A54" s="12" t="n"/>
      <c r="B54" s="12" t="n"/>
      <c r="C54" s="12" t="n"/>
      <c r="D54" s="13">
        <f>IF($C54="","",IFERROR(INDEX(Emp_Names,MATCH($C54,Emp_Codes,0)),"NOT FOUND"))</f>
        <v/>
      </c>
      <c r="E54" s="12" t="n"/>
      <c r="F54" s="12" t="n"/>
      <c r="G54" s="12" t="n"/>
    </row>
    <row r="55">
      <c r="A55" s="12" t="n"/>
      <c r="B55" s="12" t="n"/>
      <c r="C55" s="12" t="n"/>
      <c r="D55" s="13">
        <f>IF($C55="","",IFERROR(INDEX(Emp_Names,MATCH($C55,Emp_Codes,0)),"NOT FOUND"))</f>
        <v/>
      </c>
      <c r="E55" s="12" t="n"/>
      <c r="F55" s="12" t="n"/>
      <c r="G55" s="12" t="n"/>
    </row>
    <row r="56">
      <c r="A56" s="12" t="n"/>
      <c r="B56" s="12" t="n"/>
      <c r="C56" s="12" t="n"/>
      <c r="D56" s="13">
        <f>IF($C56="","",IFERROR(INDEX(Emp_Names,MATCH($C56,Emp_Codes,0)),"NOT FOUND"))</f>
        <v/>
      </c>
      <c r="E56" s="12" t="n"/>
      <c r="F56" s="12" t="n"/>
      <c r="G56" s="12" t="n"/>
    </row>
    <row r="57">
      <c r="A57" s="12" t="n"/>
      <c r="B57" s="12" t="n"/>
      <c r="C57" s="12" t="n"/>
      <c r="D57" s="13">
        <f>IF($C57="","",IFERROR(INDEX(Emp_Names,MATCH($C57,Emp_Codes,0)),"NOT FOUND"))</f>
        <v/>
      </c>
      <c r="E57" s="12" t="n"/>
      <c r="F57" s="12" t="n"/>
      <c r="G57" s="12" t="n"/>
    </row>
    <row r="58">
      <c r="A58" s="12" t="n"/>
      <c r="B58" s="12" t="n"/>
      <c r="C58" s="12" t="n"/>
      <c r="D58" s="13">
        <f>IF($C58="","",IFERROR(INDEX(Emp_Names,MATCH($C58,Emp_Codes,0)),"NOT FOUND"))</f>
        <v/>
      </c>
      <c r="E58" s="12" t="n"/>
      <c r="F58" s="12" t="n"/>
      <c r="G58" s="12" t="n"/>
    </row>
    <row r="59">
      <c r="A59" s="12" t="n"/>
      <c r="B59" s="12" t="n"/>
      <c r="C59" s="12" t="n"/>
      <c r="D59" s="13">
        <f>IF($C59="","",IFERROR(INDEX(Emp_Names,MATCH($C59,Emp_Codes,0)),"NOT FOUND"))</f>
        <v/>
      </c>
      <c r="E59" s="12" t="n"/>
      <c r="F59" s="12" t="n"/>
      <c r="G59" s="12" t="n"/>
    </row>
    <row r="60">
      <c r="A60" s="12" t="n"/>
      <c r="B60" s="12" t="n"/>
      <c r="C60" s="12" t="n"/>
      <c r="D60" s="13">
        <f>IF($C60="","",IFERROR(INDEX(Emp_Names,MATCH($C60,Emp_Codes,0)),"NOT FOUND"))</f>
        <v/>
      </c>
      <c r="E60" s="12" t="n"/>
      <c r="F60" s="12" t="n"/>
      <c r="G60" s="12" t="n"/>
    </row>
    <row r="61">
      <c r="A61" s="12" t="n"/>
      <c r="B61" s="12" t="n"/>
      <c r="C61" s="12" t="n"/>
      <c r="D61" s="13">
        <f>IF($C61="","",IFERROR(INDEX(Emp_Names,MATCH($C61,Emp_Codes,0)),"NOT FOUND"))</f>
        <v/>
      </c>
      <c r="E61" s="12" t="n"/>
      <c r="F61" s="12" t="n"/>
      <c r="G61" s="12" t="n"/>
    </row>
    <row r="62">
      <c r="A62" s="12" t="n"/>
      <c r="B62" s="12" t="n"/>
      <c r="C62" s="12" t="n"/>
      <c r="D62" s="13">
        <f>IF($C62="","",IFERROR(INDEX(Emp_Names,MATCH($C62,Emp_Codes,0)),"NOT FOUND"))</f>
        <v/>
      </c>
      <c r="E62" s="12" t="n"/>
      <c r="F62" s="12" t="n"/>
      <c r="G62" s="12" t="n"/>
    </row>
    <row r="63">
      <c r="A63" s="12" t="n"/>
      <c r="B63" s="12" t="n"/>
      <c r="C63" s="12" t="n"/>
      <c r="D63" s="13">
        <f>IF($C63="","",IFERROR(INDEX(Emp_Names,MATCH($C63,Emp_Codes,0)),"NOT FOUND"))</f>
        <v/>
      </c>
      <c r="E63" s="12" t="n"/>
      <c r="F63" s="12" t="n"/>
      <c r="G63" s="12" t="n"/>
    </row>
    <row r="64">
      <c r="A64" s="12" t="n"/>
      <c r="B64" s="12" t="n"/>
      <c r="C64" s="12" t="n"/>
      <c r="D64" s="13">
        <f>IF($C64="","",IFERROR(INDEX(Emp_Names,MATCH($C64,Emp_Codes,0)),"NOT FOUND"))</f>
        <v/>
      </c>
      <c r="E64" s="12" t="n"/>
      <c r="F64" s="12" t="n"/>
      <c r="G64" s="12" t="n"/>
    </row>
    <row r="65">
      <c r="A65" s="12" t="n"/>
      <c r="B65" s="12" t="n"/>
      <c r="C65" s="12" t="n"/>
      <c r="D65" s="13">
        <f>IF($C65="","",IFERROR(INDEX(Emp_Names,MATCH($C65,Emp_Codes,0)),"NOT FOUND"))</f>
        <v/>
      </c>
      <c r="E65" s="12" t="n"/>
      <c r="F65" s="12" t="n"/>
      <c r="G65" s="12" t="n"/>
    </row>
    <row r="66">
      <c r="A66" s="12" t="n"/>
      <c r="B66" s="12" t="n"/>
      <c r="C66" s="12" t="n"/>
      <c r="D66" s="13">
        <f>IF($C66="","",IFERROR(INDEX(Emp_Names,MATCH($C66,Emp_Codes,0)),"NOT FOUND"))</f>
        <v/>
      </c>
      <c r="E66" s="12" t="n"/>
      <c r="F66" s="12" t="n"/>
      <c r="G66" s="12" t="n"/>
    </row>
    <row r="67">
      <c r="A67" s="12" t="n"/>
      <c r="B67" s="12" t="n"/>
      <c r="C67" s="12" t="n"/>
      <c r="D67" s="13">
        <f>IF($C67="","",IFERROR(INDEX(Emp_Names,MATCH($C67,Emp_Codes,0)),"NOT FOUND"))</f>
        <v/>
      </c>
      <c r="E67" s="12" t="n"/>
      <c r="F67" s="12" t="n"/>
      <c r="G67" s="12" t="n"/>
    </row>
    <row r="68">
      <c r="A68" s="12" t="n"/>
      <c r="B68" s="12" t="n"/>
      <c r="C68" s="12" t="n"/>
      <c r="D68" s="13">
        <f>IF($C68="","",IFERROR(INDEX(Emp_Names,MATCH($C68,Emp_Codes,0)),"NOT FOUND"))</f>
        <v/>
      </c>
      <c r="E68" s="12" t="n"/>
      <c r="F68" s="12" t="n"/>
      <c r="G68" s="12" t="n"/>
    </row>
    <row r="69">
      <c r="A69" s="12" t="n"/>
      <c r="B69" s="12" t="n"/>
      <c r="C69" s="12" t="n"/>
      <c r="D69" s="13">
        <f>IF($C69="","",IFERROR(INDEX(Emp_Names,MATCH($C69,Emp_Codes,0)),"NOT FOUND"))</f>
        <v/>
      </c>
      <c r="E69" s="12" t="n"/>
      <c r="F69" s="12" t="n"/>
      <c r="G69" s="12" t="n"/>
    </row>
    <row r="70">
      <c r="A70" s="12" t="n"/>
      <c r="B70" s="12" t="n"/>
      <c r="C70" s="12" t="n"/>
      <c r="D70" s="13">
        <f>IF($C70="","",IFERROR(INDEX(Emp_Names,MATCH($C70,Emp_Codes,0)),"NOT FOUND"))</f>
        <v/>
      </c>
      <c r="E70" s="12" t="n"/>
      <c r="F70" s="12" t="n"/>
      <c r="G70" s="12" t="n"/>
    </row>
    <row r="71">
      <c r="A71" s="12" t="n"/>
      <c r="B71" s="12" t="n"/>
      <c r="C71" s="12" t="n"/>
      <c r="D71" s="13">
        <f>IF($C71="","",IFERROR(INDEX(Emp_Names,MATCH($C71,Emp_Codes,0)),"NOT FOUND"))</f>
        <v/>
      </c>
      <c r="E71" s="12" t="n"/>
      <c r="F71" s="12" t="n"/>
      <c r="G71" s="12" t="n"/>
    </row>
    <row r="72">
      <c r="A72" s="12" t="n"/>
      <c r="B72" s="12" t="n"/>
      <c r="C72" s="12" t="n"/>
      <c r="D72" s="13">
        <f>IF($C72="","",IFERROR(INDEX(Emp_Names,MATCH($C72,Emp_Codes,0)),"NOT FOUND"))</f>
        <v/>
      </c>
      <c r="E72" s="12" t="n"/>
      <c r="F72" s="12" t="n"/>
      <c r="G72" s="12" t="n"/>
    </row>
    <row r="73">
      <c r="A73" s="12" t="n"/>
      <c r="B73" s="12" t="n"/>
      <c r="C73" s="12" t="n"/>
      <c r="D73" s="13">
        <f>IF($C73="","",IFERROR(INDEX(Emp_Names,MATCH($C73,Emp_Codes,0)),"NOT FOUND"))</f>
        <v/>
      </c>
      <c r="E73" s="12" t="n"/>
      <c r="F73" s="12" t="n"/>
      <c r="G73" s="12" t="n"/>
    </row>
    <row r="74">
      <c r="A74" s="12" t="n"/>
      <c r="B74" s="12" t="n"/>
      <c r="C74" s="12" t="n"/>
      <c r="D74" s="13">
        <f>IF($C74="","",IFERROR(INDEX(Emp_Names,MATCH($C74,Emp_Codes,0)),"NOT FOUND"))</f>
        <v/>
      </c>
      <c r="E74" s="12" t="n"/>
      <c r="F74" s="12" t="n"/>
      <c r="G74" s="12" t="n"/>
    </row>
    <row r="75">
      <c r="A75" s="12" t="n"/>
      <c r="B75" s="12" t="n"/>
      <c r="C75" s="12" t="n"/>
      <c r="D75" s="13">
        <f>IF($C75="","",IFERROR(INDEX(Emp_Names,MATCH($C75,Emp_Codes,0)),"NOT FOUND"))</f>
        <v/>
      </c>
      <c r="E75" s="12" t="n"/>
      <c r="F75" s="12" t="n"/>
      <c r="G75" s="12" t="n"/>
    </row>
    <row r="76">
      <c r="A76" s="12" t="n"/>
      <c r="B76" s="12" t="n"/>
      <c r="C76" s="12" t="n"/>
      <c r="D76" s="13">
        <f>IF($C76="","",IFERROR(INDEX(Emp_Names,MATCH($C76,Emp_Codes,0)),"NOT FOUND"))</f>
        <v/>
      </c>
      <c r="E76" s="12" t="n"/>
      <c r="F76" s="12" t="n"/>
      <c r="G76" s="12" t="n"/>
    </row>
    <row r="77">
      <c r="A77" s="12" t="n"/>
      <c r="B77" s="12" t="n"/>
      <c r="C77" s="12" t="n"/>
      <c r="D77" s="13">
        <f>IF($C77="","",IFERROR(INDEX(Emp_Names,MATCH($C77,Emp_Codes,0)),"NOT FOUND"))</f>
        <v/>
      </c>
      <c r="E77" s="12" t="n"/>
      <c r="F77" s="12" t="n"/>
      <c r="G77" s="12" t="n"/>
    </row>
    <row r="78">
      <c r="A78" s="12" t="n"/>
      <c r="B78" s="12" t="n"/>
      <c r="C78" s="12" t="n"/>
      <c r="D78" s="13">
        <f>IF($C78="","",IFERROR(INDEX(Emp_Names,MATCH($C78,Emp_Codes,0)),"NOT FOUND"))</f>
        <v/>
      </c>
      <c r="E78" s="12" t="n"/>
      <c r="F78" s="12" t="n"/>
      <c r="G78" s="12" t="n"/>
    </row>
    <row r="79">
      <c r="A79" s="12" t="n"/>
      <c r="B79" s="12" t="n"/>
      <c r="C79" s="12" t="n"/>
      <c r="D79" s="13">
        <f>IF($C79="","",IFERROR(INDEX(Emp_Names,MATCH($C79,Emp_Codes,0)),"NOT FOUND"))</f>
        <v/>
      </c>
      <c r="E79" s="12" t="n"/>
      <c r="F79" s="12" t="n"/>
      <c r="G79" s="12" t="n"/>
    </row>
    <row r="80">
      <c r="A80" s="12" t="n"/>
      <c r="B80" s="12" t="n"/>
      <c r="C80" s="12" t="n"/>
      <c r="D80" s="13">
        <f>IF($C80="","",IFERROR(INDEX(Emp_Names,MATCH($C80,Emp_Codes,0)),"NOT FOUND"))</f>
        <v/>
      </c>
      <c r="E80" s="12" t="n"/>
      <c r="F80" s="12" t="n"/>
      <c r="G80" s="12" t="n"/>
    </row>
    <row r="81">
      <c r="A81" s="12" t="n"/>
      <c r="B81" s="12" t="n"/>
      <c r="C81" s="12" t="n"/>
      <c r="D81" s="13">
        <f>IF($C81="","",IFERROR(INDEX(Emp_Names,MATCH($C81,Emp_Codes,0)),"NOT FOUND"))</f>
        <v/>
      </c>
      <c r="E81" s="12" t="n"/>
      <c r="F81" s="12" t="n"/>
      <c r="G81" s="12" t="n"/>
    </row>
    <row r="82">
      <c r="A82" s="12" t="n"/>
      <c r="B82" s="12" t="n"/>
      <c r="C82" s="12" t="n"/>
      <c r="D82" s="13">
        <f>IF($C82="","",IFERROR(INDEX(Emp_Names,MATCH($C82,Emp_Codes,0)),"NOT FOUND"))</f>
        <v/>
      </c>
      <c r="E82" s="12" t="n"/>
      <c r="F82" s="12" t="n"/>
      <c r="G82" s="12" t="n"/>
    </row>
    <row r="83">
      <c r="A83" s="12" t="n"/>
      <c r="B83" s="12" t="n"/>
      <c r="C83" s="12" t="n"/>
      <c r="D83" s="13">
        <f>IF($C83="","",IFERROR(INDEX(Emp_Names,MATCH($C83,Emp_Codes,0)),"NOT FOUND"))</f>
        <v/>
      </c>
      <c r="E83" s="12" t="n"/>
      <c r="F83" s="12" t="n"/>
      <c r="G83" s="12" t="n"/>
    </row>
    <row r="84">
      <c r="A84" s="12" t="n"/>
      <c r="B84" s="12" t="n"/>
      <c r="C84" s="12" t="n"/>
      <c r="D84" s="13">
        <f>IF($C84="","",IFERROR(INDEX(Emp_Names,MATCH($C84,Emp_Codes,0)),"NOT FOUND"))</f>
        <v/>
      </c>
      <c r="E84" s="12" t="n"/>
      <c r="F84" s="12" t="n"/>
      <c r="G84" s="12" t="n"/>
    </row>
    <row r="85">
      <c r="A85" s="12" t="n"/>
      <c r="B85" s="12" t="n"/>
      <c r="C85" s="12" t="n"/>
      <c r="D85" s="13">
        <f>IF($C85="","",IFERROR(INDEX(Emp_Names,MATCH($C85,Emp_Codes,0)),"NOT FOUND"))</f>
        <v/>
      </c>
      <c r="E85" s="12" t="n"/>
      <c r="F85" s="12" t="n"/>
      <c r="G85" s="12" t="n"/>
    </row>
    <row r="86">
      <c r="A86" s="12" t="n"/>
      <c r="B86" s="12" t="n"/>
      <c r="C86" s="12" t="n"/>
      <c r="D86" s="13">
        <f>IF($C86="","",IFERROR(INDEX(Emp_Names,MATCH($C86,Emp_Codes,0)),"NOT FOUND"))</f>
        <v/>
      </c>
      <c r="E86" s="12" t="n"/>
      <c r="F86" s="12" t="n"/>
      <c r="G86" s="12" t="n"/>
    </row>
    <row r="87">
      <c r="A87" s="12" t="n"/>
      <c r="B87" s="12" t="n"/>
      <c r="C87" s="12" t="n"/>
      <c r="D87" s="13">
        <f>IF($C87="","",IFERROR(INDEX(Emp_Names,MATCH($C87,Emp_Codes,0)),"NOT FOUND"))</f>
        <v/>
      </c>
      <c r="E87" s="12" t="n"/>
      <c r="F87" s="12" t="n"/>
      <c r="G87" s="12" t="n"/>
    </row>
    <row r="88">
      <c r="A88" s="12" t="n"/>
      <c r="B88" s="12" t="n"/>
      <c r="C88" s="12" t="n"/>
      <c r="D88" s="13">
        <f>IF($C88="","",IFERROR(INDEX(Emp_Names,MATCH($C88,Emp_Codes,0)),"NOT FOUND"))</f>
        <v/>
      </c>
      <c r="E88" s="12" t="n"/>
      <c r="F88" s="12" t="n"/>
      <c r="G88" s="12" t="n"/>
    </row>
    <row r="89">
      <c r="A89" s="12" t="n"/>
      <c r="B89" s="12" t="n"/>
      <c r="C89" s="12" t="n"/>
      <c r="D89" s="13">
        <f>IF($C89="","",IFERROR(INDEX(Emp_Names,MATCH($C89,Emp_Codes,0)),"NOT FOUND"))</f>
        <v/>
      </c>
      <c r="E89" s="12" t="n"/>
      <c r="F89" s="12" t="n"/>
      <c r="G89" s="12" t="n"/>
    </row>
    <row r="90">
      <c r="A90" s="12" t="n"/>
      <c r="B90" s="12" t="n"/>
      <c r="C90" s="12" t="n"/>
      <c r="D90" s="13">
        <f>IF($C90="","",IFERROR(INDEX(Emp_Names,MATCH($C90,Emp_Codes,0)),"NOT FOUND"))</f>
        <v/>
      </c>
      <c r="E90" s="12" t="n"/>
      <c r="F90" s="12" t="n"/>
      <c r="G90" s="12" t="n"/>
    </row>
    <row r="91">
      <c r="A91" s="12" t="n"/>
      <c r="B91" s="12" t="n"/>
      <c r="C91" s="12" t="n"/>
      <c r="D91" s="13">
        <f>IF($C91="","",IFERROR(INDEX(Emp_Names,MATCH($C91,Emp_Codes,0)),"NOT FOUND"))</f>
        <v/>
      </c>
      <c r="E91" s="12" t="n"/>
      <c r="F91" s="12" t="n"/>
      <c r="G91" s="12" t="n"/>
    </row>
    <row r="92">
      <c r="A92" s="12" t="n"/>
      <c r="B92" s="12" t="n"/>
      <c r="C92" s="12" t="n"/>
      <c r="D92" s="13">
        <f>IF($C92="","",IFERROR(INDEX(Emp_Names,MATCH($C92,Emp_Codes,0)),"NOT FOUND"))</f>
        <v/>
      </c>
      <c r="E92" s="12" t="n"/>
      <c r="F92" s="12" t="n"/>
      <c r="G92" s="12" t="n"/>
    </row>
    <row r="93">
      <c r="A93" s="12" t="n"/>
      <c r="B93" s="12" t="n"/>
      <c r="C93" s="12" t="n"/>
      <c r="D93" s="13">
        <f>IF($C93="","",IFERROR(INDEX(Emp_Names,MATCH($C93,Emp_Codes,0)),"NOT FOUND"))</f>
        <v/>
      </c>
      <c r="E93" s="12" t="n"/>
      <c r="F93" s="12" t="n"/>
      <c r="G93" s="12" t="n"/>
    </row>
    <row r="94">
      <c r="A94" s="12" t="n"/>
      <c r="B94" s="12" t="n"/>
      <c r="C94" s="12" t="n"/>
      <c r="D94" s="13">
        <f>IF($C94="","",IFERROR(INDEX(Emp_Names,MATCH($C94,Emp_Codes,0)),"NOT FOUND"))</f>
        <v/>
      </c>
      <c r="E94" s="12" t="n"/>
      <c r="F94" s="12" t="n"/>
      <c r="G94" s="12" t="n"/>
    </row>
    <row r="95">
      <c r="A95" s="12" t="n"/>
      <c r="B95" s="12" t="n"/>
      <c r="C95" s="12" t="n"/>
      <c r="D95" s="13">
        <f>IF($C95="","",IFERROR(INDEX(Emp_Names,MATCH($C95,Emp_Codes,0)),"NOT FOUND"))</f>
        <v/>
      </c>
      <c r="E95" s="12" t="n"/>
      <c r="F95" s="12" t="n"/>
      <c r="G95" s="12" t="n"/>
    </row>
    <row r="96">
      <c r="A96" s="12" t="n"/>
      <c r="B96" s="12" t="n"/>
      <c r="C96" s="12" t="n"/>
      <c r="D96" s="13">
        <f>IF($C96="","",IFERROR(INDEX(Emp_Names,MATCH($C96,Emp_Codes,0)),"NOT FOUND"))</f>
        <v/>
      </c>
      <c r="E96" s="12" t="n"/>
      <c r="F96" s="12" t="n"/>
      <c r="G96" s="12" t="n"/>
    </row>
    <row r="97">
      <c r="A97" s="12" t="n"/>
      <c r="B97" s="12" t="n"/>
      <c r="C97" s="12" t="n"/>
      <c r="D97" s="13">
        <f>IF($C97="","",IFERROR(INDEX(Emp_Names,MATCH($C97,Emp_Codes,0)),"NOT FOUND"))</f>
        <v/>
      </c>
      <c r="E97" s="12" t="n"/>
      <c r="F97" s="12" t="n"/>
      <c r="G97" s="12" t="n"/>
    </row>
    <row r="98">
      <c r="A98" s="12" t="n"/>
      <c r="B98" s="12" t="n"/>
      <c r="C98" s="12" t="n"/>
      <c r="D98" s="13">
        <f>IF($C98="","",IFERROR(INDEX(Emp_Names,MATCH($C98,Emp_Codes,0)),"NOT FOUND"))</f>
        <v/>
      </c>
      <c r="E98" s="12" t="n"/>
      <c r="F98" s="12" t="n"/>
      <c r="G98" s="12" t="n"/>
    </row>
    <row r="99">
      <c r="A99" s="12" t="n"/>
      <c r="B99" s="12" t="n"/>
      <c r="C99" s="12" t="n"/>
      <c r="D99" s="13">
        <f>IF($C99="","",IFERROR(INDEX(Emp_Names,MATCH($C99,Emp_Codes,0)),"NOT FOUND"))</f>
        <v/>
      </c>
      <c r="E99" s="12" t="n"/>
      <c r="F99" s="12" t="n"/>
      <c r="G99" s="12" t="n"/>
    </row>
    <row r="100">
      <c r="A100" s="12" t="n"/>
      <c r="B100" s="12" t="n"/>
      <c r="C100" s="12" t="n"/>
      <c r="D100" s="13">
        <f>IF($C100="","",IFERROR(INDEX(Emp_Names,MATCH($C100,Emp_Codes,0)),"NOT FOUND"))</f>
        <v/>
      </c>
      <c r="E100" s="12" t="n"/>
      <c r="F100" s="12" t="n"/>
      <c r="G100" s="12" t="n"/>
    </row>
    <row r="101">
      <c r="A101" s="12" t="n"/>
      <c r="B101" s="12" t="n"/>
      <c r="C101" s="12" t="n"/>
      <c r="D101" s="13">
        <f>IF($C101="","",IFERROR(INDEX(Emp_Names,MATCH($C101,Emp_Codes,0)),"NOT FOUND"))</f>
        <v/>
      </c>
      <c r="E101" s="12" t="n"/>
      <c r="F101" s="12" t="n"/>
      <c r="G101" s="12" t="n"/>
    </row>
    <row r="102">
      <c r="A102" s="12" t="n"/>
      <c r="B102" s="12" t="n"/>
      <c r="C102" s="12" t="n"/>
      <c r="D102" s="13">
        <f>IF($C102="","",IFERROR(INDEX(Emp_Names,MATCH($C102,Emp_Codes,0)),"NOT FOUND"))</f>
        <v/>
      </c>
      <c r="E102" s="12" t="n"/>
      <c r="F102" s="12" t="n"/>
      <c r="G102" s="12" t="n"/>
    </row>
    <row r="103">
      <c r="A103" s="12" t="n"/>
      <c r="B103" s="12" t="n"/>
      <c r="C103" s="12" t="n"/>
      <c r="D103" s="13">
        <f>IF($C103="","",IFERROR(INDEX(Emp_Names,MATCH($C103,Emp_Codes,0)),"NOT FOUND"))</f>
        <v/>
      </c>
      <c r="E103" s="12" t="n"/>
      <c r="F103" s="12" t="n"/>
      <c r="G103" s="12" t="n"/>
    </row>
    <row r="104">
      <c r="A104" s="12" t="n"/>
      <c r="B104" s="12" t="n"/>
      <c r="C104" s="12" t="n"/>
      <c r="D104" s="13">
        <f>IF($C104="","",IFERROR(INDEX(Emp_Names,MATCH($C104,Emp_Codes,0)),"NOT FOUND"))</f>
        <v/>
      </c>
      <c r="E104" s="12" t="n"/>
      <c r="F104" s="12" t="n"/>
      <c r="G104" s="12" t="n"/>
    </row>
    <row r="105">
      <c r="A105" s="12" t="n"/>
      <c r="B105" s="12" t="n"/>
      <c r="C105" s="12" t="n"/>
      <c r="D105" s="13">
        <f>IF($C105="","",IFERROR(INDEX(Emp_Names,MATCH($C105,Emp_Codes,0)),"NOT FOUND"))</f>
        <v/>
      </c>
      <c r="E105" s="12" t="n"/>
      <c r="F105" s="12" t="n"/>
      <c r="G105" s="12" t="n"/>
    </row>
    <row r="106">
      <c r="A106" s="12" t="n"/>
      <c r="B106" s="12" t="n"/>
      <c r="C106" s="12" t="n"/>
      <c r="D106" s="13">
        <f>IF($C106="","",IFERROR(INDEX(Emp_Names,MATCH($C106,Emp_Codes,0)),"NOT FOUND"))</f>
        <v/>
      </c>
      <c r="E106" s="12" t="n"/>
      <c r="F106" s="12" t="n"/>
      <c r="G106" s="12" t="n"/>
    </row>
    <row r="107">
      <c r="A107" s="12" t="n"/>
      <c r="B107" s="12" t="n"/>
      <c r="C107" s="12" t="n"/>
      <c r="D107" s="13">
        <f>IF($C107="","",IFERROR(INDEX(Emp_Names,MATCH($C107,Emp_Codes,0)),"NOT FOUND"))</f>
        <v/>
      </c>
      <c r="E107" s="12" t="n"/>
      <c r="F107" s="12" t="n"/>
      <c r="G107" s="12" t="n"/>
    </row>
    <row r="108">
      <c r="A108" s="12" t="n"/>
      <c r="B108" s="12" t="n"/>
      <c r="C108" s="12" t="n"/>
      <c r="D108" s="13">
        <f>IF($C108="","",IFERROR(INDEX(Emp_Names,MATCH($C108,Emp_Codes,0)),"NOT FOUND"))</f>
        <v/>
      </c>
      <c r="E108" s="12" t="n"/>
      <c r="F108" s="12" t="n"/>
      <c r="G108" s="12" t="n"/>
    </row>
    <row r="109">
      <c r="A109" s="12" t="n"/>
      <c r="B109" s="12" t="n"/>
      <c r="C109" s="12" t="n"/>
      <c r="D109" s="13">
        <f>IF($C109="","",IFERROR(INDEX(Emp_Names,MATCH($C109,Emp_Codes,0)),"NOT FOUND"))</f>
        <v/>
      </c>
      <c r="E109" s="12" t="n"/>
      <c r="F109" s="12" t="n"/>
      <c r="G109" s="12" t="n"/>
    </row>
    <row r="110">
      <c r="A110" s="12" t="n"/>
      <c r="B110" s="12" t="n"/>
      <c r="C110" s="12" t="n"/>
      <c r="D110" s="13">
        <f>IF($C110="","",IFERROR(INDEX(Emp_Names,MATCH($C110,Emp_Codes,0)),"NOT FOUND"))</f>
        <v/>
      </c>
      <c r="E110" s="12" t="n"/>
      <c r="F110" s="12" t="n"/>
      <c r="G110" s="12" t="n"/>
    </row>
    <row r="111">
      <c r="A111" s="12" t="n"/>
      <c r="B111" s="12" t="n"/>
      <c r="C111" s="12" t="n"/>
      <c r="D111" s="13">
        <f>IF($C111="","",IFERROR(INDEX(Emp_Names,MATCH($C111,Emp_Codes,0)),"NOT FOUND"))</f>
        <v/>
      </c>
      <c r="E111" s="12" t="n"/>
      <c r="F111" s="12" t="n"/>
      <c r="G111" s="12" t="n"/>
    </row>
    <row r="112">
      <c r="A112" s="12" t="n"/>
      <c r="B112" s="12" t="n"/>
      <c r="C112" s="12" t="n"/>
      <c r="D112" s="13">
        <f>IF($C112="","",IFERROR(INDEX(Emp_Names,MATCH($C112,Emp_Codes,0)),"NOT FOUND"))</f>
        <v/>
      </c>
      <c r="E112" s="12" t="n"/>
      <c r="F112" s="12" t="n"/>
      <c r="G112" s="12" t="n"/>
    </row>
    <row r="113">
      <c r="A113" s="12" t="n"/>
      <c r="B113" s="12" t="n"/>
      <c r="C113" s="12" t="n"/>
      <c r="D113" s="13">
        <f>IF($C113="","",IFERROR(INDEX(Emp_Names,MATCH($C113,Emp_Codes,0)),"NOT FOUND"))</f>
        <v/>
      </c>
      <c r="E113" s="12" t="n"/>
      <c r="F113" s="12" t="n"/>
      <c r="G113" s="12" t="n"/>
    </row>
    <row r="114">
      <c r="A114" s="12" t="n"/>
      <c r="B114" s="12" t="n"/>
      <c r="C114" s="12" t="n"/>
      <c r="D114" s="13">
        <f>IF($C114="","",IFERROR(INDEX(Emp_Names,MATCH($C114,Emp_Codes,0)),"NOT FOUND"))</f>
        <v/>
      </c>
      <c r="E114" s="12" t="n"/>
      <c r="F114" s="12" t="n"/>
      <c r="G114" s="12" t="n"/>
    </row>
    <row r="115">
      <c r="A115" s="12" t="n"/>
      <c r="B115" s="12" t="n"/>
      <c r="C115" s="12" t="n"/>
      <c r="D115" s="13">
        <f>IF($C115="","",IFERROR(INDEX(Emp_Names,MATCH($C115,Emp_Codes,0)),"NOT FOUND"))</f>
        <v/>
      </c>
      <c r="E115" s="12" t="n"/>
      <c r="F115" s="12" t="n"/>
      <c r="G115" s="12" t="n"/>
    </row>
    <row r="116">
      <c r="A116" s="12" t="n"/>
      <c r="B116" s="12" t="n"/>
      <c r="C116" s="12" t="n"/>
      <c r="D116" s="13">
        <f>IF($C116="","",IFERROR(INDEX(Emp_Names,MATCH($C116,Emp_Codes,0)),"NOT FOUND"))</f>
        <v/>
      </c>
      <c r="E116" s="12" t="n"/>
      <c r="F116" s="12" t="n"/>
      <c r="G116" s="12" t="n"/>
    </row>
    <row r="117">
      <c r="A117" s="12" t="n"/>
      <c r="B117" s="12" t="n"/>
      <c r="C117" s="12" t="n"/>
      <c r="D117" s="13">
        <f>IF($C117="","",IFERROR(INDEX(Emp_Names,MATCH($C117,Emp_Codes,0)),"NOT FOUND"))</f>
        <v/>
      </c>
      <c r="E117" s="12" t="n"/>
      <c r="F117" s="12" t="n"/>
      <c r="G117" s="12" t="n"/>
    </row>
    <row r="118">
      <c r="A118" s="12" t="n"/>
      <c r="B118" s="12" t="n"/>
      <c r="C118" s="12" t="n"/>
      <c r="D118" s="13">
        <f>IF($C118="","",IFERROR(INDEX(Emp_Names,MATCH($C118,Emp_Codes,0)),"NOT FOUND"))</f>
        <v/>
      </c>
      <c r="E118" s="12" t="n"/>
      <c r="F118" s="12" t="n"/>
      <c r="G118" s="12" t="n"/>
    </row>
    <row r="119">
      <c r="A119" s="12" t="n"/>
      <c r="B119" s="12" t="n"/>
      <c r="C119" s="12" t="n"/>
      <c r="D119" s="13">
        <f>IF($C119="","",IFERROR(INDEX(Emp_Names,MATCH($C119,Emp_Codes,0)),"NOT FOUND"))</f>
        <v/>
      </c>
      <c r="E119" s="12" t="n"/>
      <c r="F119" s="12" t="n"/>
      <c r="G119" s="12" t="n"/>
    </row>
    <row r="120">
      <c r="A120" s="12" t="n"/>
      <c r="B120" s="12" t="n"/>
      <c r="C120" s="12" t="n"/>
      <c r="D120" s="13">
        <f>IF($C120="","",IFERROR(INDEX(Emp_Names,MATCH($C120,Emp_Codes,0)),"NOT FOUND"))</f>
        <v/>
      </c>
      <c r="E120" s="12" t="n"/>
      <c r="F120" s="12" t="n"/>
      <c r="G120" s="12" t="n"/>
    </row>
    <row r="121">
      <c r="A121" s="12" t="n"/>
      <c r="B121" s="12" t="n"/>
      <c r="C121" s="12" t="n"/>
      <c r="D121" s="13">
        <f>IF($C121="","",IFERROR(INDEX(Emp_Names,MATCH($C121,Emp_Codes,0)),"NOT FOUND"))</f>
        <v/>
      </c>
      <c r="E121" s="12" t="n"/>
      <c r="F121" s="12" t="n"/>
      <c r="G121" s="12" t="n"/>
    </row>
    <row r="122">
      <c r="A122" s="12" t="n"/>
      <c r="B122" s="12" t="n"/>
      <c r="C122" s="12" t="n"/>
      <c r="D122" s="13">
        <f>IF($C122="","",IFERROR(INDEX(Emp_Names,MATCH($C122,Emp_Codes,0)),"NOT FOUND"))</f>
        <v/>
      </c>
      <c r="E122" s="12" t="n"/>
      <c r="F122" s="12" t="n"/>
      <c r="G122" s="12" t="n"/>
    </row>
    <row r="123">
      <c r="A123" s="12" t="n"/>
      <c r="B123" s="12" t="n"/>
      <c r="C123" s="12" t="n"/>
      <c r="D123" s="13">
        <f>IF($C123="","",IFERROR(INDEX(Emp_Names,MATCH($C123,Emp_Codes,0)),"NOT FOUND"))</f>
        <v/>
      </c>
      <c r="E123" s="12" t="n"/>
      <c r="F123" s="12" t="n"/>
      <c r="G123" s="12" t="n"/>
    </row>
    <row r="124">
      <c r="A124" s="12" t="n"/>
      <c r="B124" s="12" t="n"/>
      <c r="C124" s="12" t="n"/>
      <c r="D124" s="13">
        <f>IF($C124="","",IFERROR(INDEX(Emp_Names,MATCH($C124,Emp_Codes,0)),"NOT FOUND"))</f>
        <v/>
      </c>
      <c r="E124" s="12" t="n"/>
      <c r="F124" s="12" t="n"/>
      <c r="G124" s="12" t="n"/>
    </row>
    <row r="125">
      <c r="A125" s="12" t="n"/>
      <c r="B125" s="12" t="n"/>
      <c r="C125" s="12" t="n"/>
      <c r="D125" s="13">
        <f>IF($C125="","",IFERROR(INDEX(Emp_Names,MATCH($C125,Emp_Codes,0)),"NOT FOUND"))</f>
        <v/>
      </c>
      <c r="E125" s="12" t="n"/>
      <c r="F125" s="12" t="n"/>
      <c r="G125" s="12" t="n"/>
    </row>
    <row r="126">
      <c r="A126" s="12" t="n"/>
      <c r="B126" s="12" t="n"/>
      <c r="C126" s="12" t="n"/>
      <c r="D126" s="13">
        <f>IF($C126="","",IFERROR(INDEX(Emp_Names,MATCH($C126,Emp_Codes,0)),"NOT FOUND"))</f>
        <v/>
      </c>
      <c r="E126" s="12" t="n"/>
      <c r="F126" s="12" t="n"/>
      <c r="G126" s="12" t="n"/>
    </row>
    <row r="127">
      <c r="A127" s="12" t="n"/>
      <c r="B127" s="12" t="n"/>
      <c r="C127" s="12" t="n"/>
      <c r="D127" s="13">
        <f>IF($C127="","",IFERROR(INDEX(Emp_Names,MATCH($C127,Emp_Codes,0)),"NOT FOUND"))</f>
        <v/>
      </c>
      <c r="E127" s="12" t="n"/>
      <c r="F127" s="12" t="n"/>
      <c r="G127" s="12" t="n"/>
    </row>
    <row r="128">
      <c r="A128" s="12" t="n"/>
      <c r="B128" s="12" t="n"/>
      <c r="C128" s="12" t="n"/>
      <c r="D128" s="13">
        <f>IF($C128="","",IFERROR(INDEX(Emp_Names,MATCH($C128,Emp_Codes,0)),"NOT FOUND"))</f>
        <v/>
      </c>
      <c r="E128" s="12" t="n"/>
      <c r="F128" s="12" t="n"/>
      <c r="G128" s="12" t="n"/>
    </row>
    <row r="129">
      <c r="A129" s="12" t="n"/>
      <c r="B129" s="12" t="n"/>
      <c r="C129" s="12" t="n"/>
      <c r="D129" s="13">
        <f>IF($C129="","",IFERROR(INDEX(Emp_Names,MATCH($C129,Emp_Codes,0)),"NOT FOUND"))</f>
        <v/>
      </c>
      <c r="E129" s="12" t="n"/>
      <c r="F129" s="12" t="n"/>
      <c r="G129" s="12" t="n"/>
    </row>
    <row r="130">
      <c r="A130" s="12" t="n"/>
      <c r="B130" s="12" t="n"/>
      <c r="C130" s="12" t="n"/>
      <c r="D130" s="13">
        <f>IF($C130="","",IFERROR(INDEX(Emp_Names,MATCH($C130,Emp_Codes,0)),"NOT FOUND"))</f>
        <v/>
      </c>
      <c r="E130" s="12" t="n"/>
      <c r="F130" s="12" t="n"/>
      <c r="G130" s="12" t="n"/>
    </row>
    <row r="131">
      <c r="A131" s="12" t="n"/>
      <c r="B131" s="12" t="n"/>
      <c r="C131" s="12" t="n"/>
      <c r="D131" s="13">
        <f>IF($C131="","",IFERROR(INDEX(Emp_Names,MATCH($C131,Emp_Codes,0)),"NOT FOUND"))</f>
        <v/>
      </c>
      <c r="E131" s="12" t="n"/>
      <c r="F131" s="12" t="n"/>
      <c r="G131" s="12" t="n"/>
    </row>
    <row r="132">
      <c r="A132" s="12" t="n"/>
      <c r="B132" s="12" t="n"/>
      <c r="C132" s="12" t="n"/>
      <c r="D132" s="13">
        <f>IF($C132="","",IFERROR(INDEX(Emp_Names,MATCH($C132,Emp_Codes,0)),"NOT FOUND"))</f>
        <v/>
      </c>
      <c r="E132" s="12" t="n"/>
      <c r="F132" s="12" t="n"/>
      <c r="G132" s="12" t="n"/>
    </row>
    <row r="133">
      <c r="A133" s="12" t="n"/>
      <c r="B133" s="12" t="n"/>
      <c r="C133" s="12" t="n"/>
      <c r="D133" s="13">
        <f>IF($C133="","",IFERROR(INDEX(Emp_Names,MATCH($C133,Emp_Codes,0)),"NOT FOUND"))</f>
        <v/>
      </c>
      <c r="E133" s="12" t="n"/>
      <c r="F133" s="12" t="n"/>
      <c r="G133" s="12" t="n"/>
    </row>
    <row r="134">
      <c r="A134" s="12" t="n"/>
      <c r="B134" s="12" t="n"/>
      <c r="C134" s="12" t="n"/>
      <c r="D134" s="13">
        <f>IF($C134="","",IFERROR(INDEX(Emp_Names,MATCH($C134,Emp_Codes,0)),"NOT FOUND"))</f>
        <v/>
      </c>
      <c r="E134" s="12" t="n"/>
      <c r="F134" s="12" t="n"/>
      <c r="G134" s="12" t="n"/>
    </row>
    <row r="135">
      <c r="A135" s="12" t="n"/>
      <c r="B135" s="12" t="n"/>
      <c r="C135" s="12" t="n"/>
      <c r="D135" s="13">
        <f>IF($C135="","",IFERROR(INDEX(Emp_Names,MATCH($C135,Emp_Codes,0)),"NOT FOUND"))</f>
        <v/>
      </c>
      <c r="E135" s="12" t="n"/>
      <c r="F135" s="12" t="n"/>
      <c r="G135" s="12" t="n"/>
    </row>
    <row r="136">
      <c r="A136" s="12" t="n"/>
      <c r="B136" s="12" t="n"/>
      <c r="C136" s="12" t="n"/>
      <c r="D136" s="13">
        <f>IF($C136="","",IFERROR(INDEX(Emp_Names,MATCH($C136,Emp_Codes,0)),"NOT FOUND"))</f>
        <v/>
      </c>
      <c r="E136" s="12" t="n"/>
      <c r="F136" s="12" t="n"/>
      <c r="G136" s="12" t="n"/>
    </row>
    <row r="137">
      <c r="A137" s="12" t="n"/>
      <c r="B137" s="12" t="n"/>
      <c r="C137" s="12" t="n"/>
      <c r="D137" s="13">
        <f>IF($C137="","",IFERROR(INDEX(Emp_Names,MATCH($C137,Emp_Codes,0)),"NOT FOUND"))</f>
        <v/>
      </c>
      <c r="E137" s="12" t="n"/>
      <c r="F137" s="12" t="n"/>
      <c r="G137" s="12" t="n"/>
    </row>
    <row r="138">
      <c r="A138" s="12" t="n"/>
      <c r="B138" s="12" t="n"/>
      <c r="C138" s="12" t="n"/>
      <c r="D138" s="13">
        <f>IF($C138="","",IFERROR(INDEX(Emp_Names,MATCH($C138,Emp_Codes,0)),"NOT FOUND"))</f>
        <v/>
      </c>
      <c r="E138" s="12" t="n"/>
      <c r="F138" s="12" t="n"/>
      <c r="G138" s="12" t="n"/>
    </row>
    <row r="139">
      <c r="A139" s="12" t="n"/>
      <c r="B139" s="12" t="n"/>
      <c r="C139" s="12" t="n"/>
      <c r="D139" s="13">
        <f>IF($C139="","",IFERROR(INDEX(Emp_Names,MATCH($C139,Emp_Codes,0)),"NOT FOUND"))</f>
        <v/>
      </c>
      <c r="E139" s="12" t="n"/>
      <c r="F139" s="12" t="n"/>
      <c r="G139" s="12" t="n"/>
    </row>
    <row r="140">
      <c r="A140" s="12" t="n"/>
      <c r="B140" s="12" t="n"/>
      <c r="C140" s="12" t="n"/>
      <c r="D140" s="13">
        <f>IF($C140="","",IFERROR(INDEX(Emp_Names,MATCH($C140,Emp_Codes,0)),"NOT FOUND"))</f>
        <v/>
      </c>
      <c r="E140" s="12" t="n"/>
      <c r="F140" s="12" t="n"/>
      <c r="G140" s="12" t="n"/>
    </row>
    <row r="141">
      <c r="A141" s="12" t="n"/>
      <c r="B141" s="12" t="n"/>
      <c r="C141" s="12" t="n"/>
      <c r="D141" s="13">
        <f>IF($C141="","",IFERROR(INDEX(Emp_Names,MATCH($C141,Emp_Codes,0)),"NOT FOUND"))</f>
        <v/>
      </c>
      <c r="E141" s="12" t="n"/>
      <c r="F141" s="12" t="n"/>
      <c r="G141" s="12" t="n"/>
    </row>
    <row r="142">
      <c r="A142" s="12" t="n"/>
      <c r="B142" s="12" t="n"/>
      <c r="C142" s="12" t="n"/>
      <c r="D142" s="13">
        <f>IF($C142="","",IFERROR(INDEX(Emp_Names,MATCH($C142,Emp_Codes,0)),"NOT FOUND"))</f>
        <v/>
      </c>
      <c r="E142" s="12" t="n"/>
      <c r="F142" s="12" t="n"/>
      <c r="G142" s="12" t="n"/>
    </row>
    <row r="143">
      <c r="A143" s="12" t="n"/>
      <c r="B143" s="12" t="n"/>
      <c r="C143" s="12" t="n"/>
      <c r="D143" s="13">
        <f>IF($C143="","",IFERROR(INDEX(Emp_Names,MATCH($C143,Emp_Codes,0)),"NOT FOUND"))</f>
        <v/>
      </c>
      <c r="E143" s="12" t="n"/>
      <c r="F143" s="12" t="n"/>
      <c r="G143" s="12" t="n"/>
    </row>
    <row r="144">
      <c r="A144" s="12" t="n"/>
      <c r="B144" s="12" t="n"/>
      <c r="C144" s="12" t="n"/>
      <c r="D144" s="13">
        <f>IF($C144="","",IFERROR(INDEX(Emp_Names,MATCH($C144,Emp_Codes,0)),"NOT FOUND"))</f>
        <v/>
      </c>
      <c r="E144" s="12" t="n"/>
      <c r="F144" s="12" t="n"/>
      <c r="G144" s="12" t="n"/>
    </row>
    <row r="145">
      <c r="A145" s="12" t="n"/>
      <c r="B145" s="12" t="n"/>
      <c r="C145" s="12" t="n"/>
      <c r="D145" s="13">
        <f>IF($C145="","",IFERROR(INDEX(Emp_Names,MATCH($C145,Emp_Codes,0)),"NOT FOUND"))</f>
        <v/>
      </c>
      <c r="E145" s="12" t="n"/>
      <c r="F145" s="12" t="n"/>
      <c r="G145" s="12" t="n"/>
    </row>
    <row r="146">
      <c r="A146" s="12" t="n"/>
      <c r="B146" s="12" t="n"/>
      <c r="C146" s="12" t="n"/>
      <c r="D146" s="13">
        <f>IF($C146="","",IFERROR(INDEX(Emp_Names,MATCH($C146,Emp_Codes,0)),"NOT FOUND"))</f>
        <v/>
      </c>
      <c r="E146" s="12" t="n"/>
      <c r="F146" s="12" t="n"/>
      <c r="G146" s="12" t="n"/>
    </row>
    <row r="147">
      <c r="A147" s="12" t="n"/>
      <c r="B147" s="12" t="n"/>
      <c r="C147" s="12" t="n"/>
      <c r="D147" s="13">
        <f>IF($C147="","",IFERROR(INDEX(Emp_Names,MATCH($C147,Emp_Codes,0)),"NOT FOUND"))</f>
        <v/>
      </c>
      <c r="E147" s="12" t="n"/>
      <c r="F147" s="12" t="n"/>
      <c r="G147" s="12" t="n"/>
    </row>
    <row r="148">
      <c r="A148" s="12" t="n"/>
      <c r="B148" s="12" t="n"/>
      <c r="C148" s="12" t="n"/>
      <c r="D148" s="13">
        <f>IF($C148="","",IFERROR(INDEX(Emp_Names,MATCH($C148,Emp_Codes,0)),"NOT FOUND"))</f>
        <v/>
      </c>
      <c r="E148" s="12" t="n"/>
      <c r="F148" s="12" t="n"/>
      <c r="G148" s="12" t="n"/>
    </row>
    <row r="149">
      <c r="A149" s="12" t="n"/>
      <c r="B149" s="12" t="n"/>
      <c r="C149" s="12" t="n"/>
      <c r="D149" s="13">
        <f>IF($C149="","",IFERROR(INDEX(Emp_Names,MATCH($C149,Emp_Codes,0)),"NOT FOUND"))</f>
        <v/>
      </c>
      <c r="E149" s="12" t="n"/>
      <c r="F149" s="12" t="n"/>
      <c r="G149" s="12" t="n"/>
    </row>
    <row r="150">
      <c r="A150" s="12" t="n"/>
      <c r="B150" s="12" t="n"/>
      <c r="C150" s="12" t="n"/>
      <c r="D150" s="13">
        <f>IF($C150="","",IFERROR(INDEX(Emp_Names,MATCH($C150,Emp_Codes,0)),"NOT FOUND"))</f>
        <v/>
      </c>
      <c r="E150" s="12" t="n"/>
      <c r="F150" s="12" t="n"/>
      <c r="G150" s="12" t="n"/>
    </row>
    <row r="151">
      <c r="A151" s="12" t="n"/>
      <c r="B151" s="12" t="n"/>
      <c r="C151" s="12" t="n"/>
      <c r="D151" s="13">
        <f>IF($C151="","",IFERROR(INDEX(Emp_Names,MATCH($C151,Emp_Codes,0)),"NOT FOUND"))</f>
        <v/>
      </c>
      <c r="E151" s="12" t="n"/>
      <c r="F151" s="12" t="n"/>
      <c r="G151" s="12" t="n"/>
    </row>
    <row r="152">
      <c r="A152" s="12" t="n"/>
      <c r="B152" s="12" t="n"/>
      <c r="C152" s="12" t="n"/>
      <c r="D152" s="13">
        <f>IF($C152="","",IFERROR(INDEX(Emp_Names,MATCH($C152,Emp_Codes,0)),"NOT FOUND"))</f>
        <v/>
      </c>
      <c r="E152" s="12" t="n"/>
      <c r="F152" s="12" t="n"/>
      <c r="G152" s="12" t="n"/>
    </row>
    <row r="153">
      <c r="A153" s="12" t="n"/>
      <c r="B153" s="12" t="n"/>
      <c r="C153" s="12" t="n"/>
      <c r="D153" s="13">
        <f>IF($C153="","",IFERROR(INDEX(Emp_Names,MATCH($C153,Emp_Codes,0)),"NOT FOUND"))</f>
        <v/>
      </c>
      <c r="E153" s="12" t="n"/>
      <c r="F153" s="12" t="n"/>
      <c r="G153" s="12" t="n"/>
    </row>
    <row r="154">
      <c r="A154" s="12" t="n"/>
      <c r="B154" s="12" t="n"/>
      <c r="C154" s="12" t="n"/>
      <c r="D154" s="13">
        <f>IF($C154="","",IFERROR(INDEX(Emp_Names,MATCH($C154,Emp_Codes,0)),"NOT FOUND"))</f>
        <v/>
      </c>
      <c r="E154" s="12" t="n"/>
      <c r="F154" s="12" t="n"/>
      <c r="G154" s="12" t="n"/>
    </row>
    <row r="155">
      <c r="A155" s="12" t="n"/>
      <c r="B155" s="12" t="n"/>
      <c r="C155" s="12" t="n"/>
      <c r="D155" s="13">
        <f>IF($C155="","",IFERROR(INDEX(Emp_Names,MATCH($C155,Emp_Codes,0)),"NOT FOUND"))</f>
        <v/>
      </c>
      <c r="E155" s="12" t="n"/>
      <c r="F155" s="12" t="n"/>
      <c r="G155" s="12" t="n"/>
    </row>
    <row r="156">
      <c r="A156" s="12" t="n"/>
      <c r="B156" s="12" t="n"/>
      <c r="C156" s="12" t="n"/>
      <c r="D156" s="13">
        <f>IF($C156="","",IFERROR(INDEX(Emp_Names,MATCH($C156,Emp_Codes,0)),"NOT FOUND"))</f>
        <v/>
      </c>
      <c r="E156" s="12" t="n"/>
      <c r="F156" s="12" t="n"/>
      <c r="G156" s="12" t="n"/>
    </row>
    <row r="157">
      <c r="A157" s="12" t="n"/>
      <c r="B157" s="12" t="n"/>
      <c r="C157" s="12" t="n"/>
      <c r="D157" s="13">
        <f>IF($C157="","",IFERROR(INDEX(Emp_Names,MATCH($C157,Emp_Codes,0)),"NOT FOUND"))</f>
        <v/>
      </c>
      <c r="E157" s="12" t="n"/>
      <c r="F157" s="12" t="n"/>
      <c r="G157" s="12" t="n"/>
    </row>
    <row r="158">
      <c r="A158" s="12" t="n"/>
      <c r="B158" s="12" t="n"/>
      <c r="C158" s="12" t="n"/>
      <c r="D158" s="13">
        <f>IF($C158="","",IFERROR(INDEX(Emp_Names,MATCH($C158,Emp_Codes,0)),"NOT FOUND"))</f>
        <v/>
      </c>
      <c r="E158" s="12" t="n"/>
      <c r="F158" s="12" t="n"/>
      <c r="G158" s="12" t="n"/>
    </row>
    <row r="159">
      <c r="A159" s="12" t="n"/>
      <c r="B159" s="12" t="n"/>
      <c r="C159" s="12" t="n"/>
      <c r="D159" s="13">
        <f>IF($C159="","",IFERROR(INDEX(Emp_Names,MATCH($C159,Emp_Codes,0)),"NOT FOUND"))</f>
        <v/>
      </c>
      <c r="E159" s="12" t="n"/>
      <c r="F159" s="12" t="n"/>
      <c r="G159" s="12" t="n"/>
    </row>
    <row r="160">
      <c r="A160" s="12" t="n"/>
      <c r="B160" s="12" t="n"/>
      <c r="C160" s="12" t="n"/>
      <c r="D160" s="13">
        <f>IF($C160="","",IFERROR(INDEX(Emp_Names,MATCH($C160,Emp_Codes,0)),"NOT FOUND"))</f>
        <v/>
      </c>
      <c r="E160" s="12" t="n"/>
      <c r="F160" s="12" t="n"/>
      <c r="G160" s="12" t="n"/>
    </row>
    <row r="161">
      <c r="A161" s="12" t="n"/>
      <c r="B161" s="12" t="n"/>
      <c r="C161" s="12" t="n"/>
      <c r="D161" s="13">
        <f>IF($C161="","",IFERROR(INDEX(Emp_Names,MATCH($C161,Emp_Codes,0)),"NOT FOUND"))</f>
        <v/>
      </c>
      <c r="E161" s="12" t="n"/>
      <c r="F161" s="12" t="n"/>
      <c r="G161" s="12" t="n"/>
    </row>
    <row r="162">
      <c r="A162" s="12" t="n"/>
      <c r="B162" s="12" t="n"/>
      <c r="C162" s="12" t="n"/>
      <c r="D162" s="13">
        <f>IF($C162="","",IFERROR(INDEX(Emp_Names,MATCH($C162,Emp_Codes,0)),"NOT FOUND"))</f>
        <v/>
      </c>
      <c r="E162" s="12" t="n"/>
      <c r="F162" s="12" t="n"/>
      <c r="G162" s="12" t="n"/>
    </row>
    <row r="163">
      <c r="A163" s="12" t="n"/>
      <c r="B163" s="12" t="n"/>
      <c r="C163" s="12" t="n"/>
      <c r="D163" s="13">
        <f>IF($C163="","",IFERROR(INDEX(Emp_Names,MATCH($C163,Emp_Codes,0)),"NOT FOUND"))</f>
        <v/>
      </c>
      <c r="E163" s="12" t="n"/>
      <c r="F163" s="12" t="n"/>
      <c r="G163" s="12" t="n"/>
    </row>
    <row r="164">
      <c r="A164" s="12" t="n"/>
      <c r="B164" s="12" t="n"/>
      <c r="C164" s="12" t="n"/>
      <c r="D164" s="13">
        <f>IF($C164="","",IFERROR(INDEX(Emp_Names,MATCH($C164,Emp_Codes,0)),"NOT FOUND"))</f>
        <v/>
      </c>
      <c r="E164" s="12" t="n"/>
      <c r="F164" s="12" t="n"/>
      <c r="G164" s="12" t="n"/>
    </row>
    <row r="165">
      <c r="A165" s="12" t="n"/>
      <c r="B165" s="12" t="n"/>
      <c r="C165" s="12" t="n"/>
      <c r="D165" s="13">
        <f>IF($C165="","",IFERROR(INDEX(Emp_Names,MATCH($C165,Emp_Codes,0)),"NOT FOUND"))</f>
        <v/>
      </c>
      <c r="E165" s="12" t="n"/>
      <c r="F165" s="12" t="n"/>
      <c r="G165" s="12" t="n"/>
    </row>
    <row r="166">
      <c r="A166" s="12" t="n"/>
      <c r="B166" s="12" t="n"/>
      <c r="C166" s="12" t="n"/>
      <c r="D166" s="13">
        <f>IF($C166="","",IFERROR(INDEX(Emp_Names,MATCH($C166,Emp_Codes,0)),"NOT FOUND"))</f>
        <v/>
      </c>
      <c r="E166" s="12" t="n"/>
      <c r="F166" s="12" t="n"/>
      <c r="G166" s="12" t="n"/>
    </row>
    <row r="167">
      <c r="A167" s="12" t="n"/>
      <c r="B167" s="12" t="n"/>
      <c r="C167" s="12" t="n"/>
      <c r="D167" s="13">
        <f>IF($C167="","",IFERROR(INDEX(Emp_Names,MATCH($C167,Emp_Codes,0)),"NOT FOUND"))</f>
        <v/>
      </c>
      <c r="E167" s="12" t="n"/>
      <c r="F167" s="12" t="n"/>
      <c r="G167" s="12" t="n"/>
    </row>
    <row r="168">
      <c r="A168" s="12" t="n"/>
      <c r="B168" s="12" t="n"/>
      <c r="C168" s="12" t="n"/>
      <c r="D168" s="13">
        <f>IF($C168="","",IFERROR(INDEX(Emp_Names,MATCH($C168,Emp_Codes,0)),"NOT FOUND"))</f>
        <v/>
      </c>
      <c r="E168" s="12" t="n"/>
      <c r="F168" s="12" t="n"/>
      <c r="G168" s="12" t="n"/>
    </row>
    <row r="169">
      <c r="A169" s="12" t="n"/>
      <c r="B169" s="12" t="n"/>
      <c r="C169" s="12" t="n"/>
      <c r="D169" s="13">
        <f>IF($C169="","",IFERROR(INDEX(Emp_Names,MATCH($C169,Emp_Codes,0)),"NOT FOUND"))</f>
        <v/>
      </c>
      <c r="E169" s="12" t="n"/>
      <c r="F169" s="12" t="n"/>
      <c r="G169" s="12" t="n"/>
    </row>
    <row r="170">
      <c r="A170" s="12" t="n"/>
      <c r="B170" s="12" t="n"/>
      <c r="C170" s="12" t="n"/>
      <c r="D170" s="13">
        <f>IF($C170="","",IFERROR(INDEX(Emp_Names,MATCH($C170,Emp_Codes,0)),"NOT FOUND"))</f>
        <v/>
      </c>
      <c r="E170" s="12" t="n"/>
      <c r="F170" s="12" t="n"/>
      <c r="G170" s="12" t="n"/>
    </row>
    <row r="171">
      <c r="A171" s="12" t="n"/>
      <c r="B171" s="12" t="n"/>
      <c r="C171" s="12" t="n"/>
      <c r="D171" s="13">
        <f>IF($C171="","",IFERROR(INDEX(Emp_Names,MATCH($C171,Emp_Codes,0)),"NOT FOUND"))</f>
        <v/>
      </c>
      <c r="E171" s="12" t="n"/>
      <c r="F171" s="12" t="n"/>
      <c r="G171" s="12" t="n"/>
    </row>
    <row r="172">
      <c r="A172" s="12" t="n"/>
      <c r="B172" s="12" t="n"/>
      <c r="C172" s="12" t="n"/>
      <c r="D172" s="13">
        <f>IF($C172="","",IFERROR(INDEX(Emp_Names,MATCH($C172,Emp_Codes,0)),"NOT FOUND"))</f>
        <v/>
      </c>
      <c r="E172" s="12" t="n"/>
      <c r="F172" s="12" t="n"/>
      <c r="G172" s="12" t="n"/>
    </row>
    <row r="173">
      <c r="A173" s="12" t="n"/>
      <c r="B173" s="12" t="n"/>
      <c r="C173" s="12" t="n"/>
      <c r="D173" s="13">
        <f>IF($C173="","",IFERROR(INDEX(Emp_Names,MATCH($C173,Emp_Codes,0)),"NOT FOUND"))</f>
        <v/>
      </c>
      <c r="E173" s="12" t="n"/>
      <c r="F173" s="12" t="n"/>
      <c r="G173" s="12" t="n"/>
    </row>
    <row r="174">
      <c r="A174" s="12" t="n"/>
      <c r="B174" s="12" t="n"/>
      <c r="C174" s="12" t="n"/>
      <c r="D174" s="13">
        <f>IF($C174="","",IFERROR(INDEX(Emp_Names,MATCH($C174,Emp_Codes,0)),"NOT FOUND"))</f>
        <v/>
      </c>
      <c r="E174" s="12" t="n"/>
      <c r="F174" s="12" t="n"/>
      <c r="G174" s="12" t="n"/>
    </row>
    <row r="175">
      <c r="A175" s="12" t="n"/>
      <c r="B175" s="12" t="n"/>
      <c r="C175" s="12" t="n"/>
      <c r="D175" s="13">
        <f>IF($C175="","",IFERROR(INDEX(Emp_Names,MATCH($C175,Emp_Codes,0)),"NOT FOUND"))</f>
        <v/>
      </c>
      <c r="E175" s="12" t="n"/>
      <c r="F175" s="12" t="n"/>
      <c r="G175" s="12" t="n"/>
    </row>
    <row r="176">
      <c r="A176" s="12" t="n"/>
      <c r="B176" s="12" t="n"/>
      <c r="C176" s="12" t="n"/>
      <c r="D176" s="13">
        <f>IF($C176="","",IFERROR(INDEX(Emp_Names,MATCH($C176,Emp_Codes,0)),"NOT FOUND"))</f>
        <v/>
      </c>
      <c r="E176" s="12" t="n"/>
      <c r="F176" s="12" t="n"/>
      <c r="G176" s="12" t="n"/>
    </row>
    <row r="177">
      <c r="A177" s="12" t="n"/>
      <c r="B177" s="12" t="n"/>
      <c r="C177" s="12" t="n"/>
      <c r="D177" s="13">
        <f>IF($C177="","",IFERROR(INDEX(Emp_Names,MATCH($C177,Emp_Codes,0)),"NOT FOUND"))</f>
        <v/>
      </c>
      <c r="E177" s="12" t="n"/>
      <c r="F177" s="12" t="n"/>
      <c r="G177" s="12" t="n"/>
    </row>
    <row r="178">
      <c r="A178" s="12" t="n"/>
      <c r="B178" s="12" t="n"/>
      <c r="C178" s="12" t="n"/>
      <c r="D178" s="13">
        <f>IF($C178="","",IFERROR(INDEX(Emp_Names,MATCH($C178,Emp_Codes,0)),"NOT FOUND"))</f>
        <v/>
      </c>
      <c r="E178" s="12" t="n"/>
      <c r="F178" s="12" t="n"/>
      <c r="G178" s="12" t="n"/>
    </row>
    <row r="179">
      <c r="A179" s="12" t="n"/>
      <c r="B179" s="12" t="n"/>
      <c r="C179" s="12" t="n"/>
      <c r="D179" s="13">
        <f>IF($C179="","",IFERROR(INDEX(Emp_Names,MATCH($C179,Emp_Codes,0)),"NOT FOUND"))</f>
        <v/>
      </c>
      <c r="E179" s="12" t="n"/>
      <c r="F179" s="12" t="n"/>
      <c r="G179" s="12" t="n"/>
    </row>
    <row r="180">
      <c r="A180" s="12" t="n"/>
      <c r="B180" s="12" t="n"/>
      <c r="C180" s="12" t="n"/>
      <c r="D180" s="13">
        <f>IF($C180="","",IFERROR(INDEX(Emp_Names,MATCH($C180,Emp_Codes,0)),"NOT FOUND"))</f>
        <v/>
      </c>
      <c r="E180" s="12" t="n"/>
      <c r="F180" s="12" t="n"/>
      <c r="G180" s="12" t="n"/>
    </row>
    <row r="181">
      <c r="A181" s="12" t="n"/>
      <c r="B181" s="12" t="n"/>
      <c r="C181" s="12" t="n"/>
      <c r="D181" s="13">
        <f>IF($C181="","",IFERROR(INDEX(Emp_Names,MATCH($C181,Emp_Codes,0)),"NOT FOUND"))</f>
        <v/>
      </c>
      <c r="E181" s="12" t="n"/>
      <c r="F181" s="12" t="n"/>
      <c r="G181" s="12" t="n"/>
    </row>
    <row r="182">
      <c r="A182" s="12" t="n"/>
      <c r="B182" s="12" t="n"/>
      <c r="C182" s="12" t="n"/>
      <c r="D182" s="13">
        <f>IF($C182="","",IFERROR(INDEX(Emp_Names,MATCH($C182,Emp_Codes,0)),"NOT FOUND"))</f>
        <v/>
      </c>
      <c r="E182" s="12" t="n"/>
      <c r="F182" s="12" t="n"/>
      <c r="G182" s="12" t="n"/>
    </row>
    <row r="183">
      <c r="A183" s="12" t="n"/>
      <c r="B183" s="12" t="n"/>
      <c r="C183" s="12" t="n"/>
      <c r="D183" s="13">
        <f>IF($C183="","",IFERROR(INDEX(Emp_Names,MATCH($C183,Emp_Codes,0)),"NOT FOUND"))</f>
        <v/>
      </c>
      <c r="E183" s="12" t="n"/>
      <c r="F183" s="12" t="n"/>
      <c r="G183" s="12" t="n"/>
    </row>
    <row r="184">
      <c r="A184" s="12" t="n"/>
      <c r="B184" s="12" t="n"/>
      <c r="C184" s="12" t="n"/>
      <c r="D184" s="13">
        <f>IF($C184="","",IFERROR(INDEX(Emp_Names,MATCH($C184,Emp_Codes,0)),"NOT FOUND"))</f>
        <v/>
      </c>
      <c r="E184" s="12" t="n"/>
      <c r="F184" s="12" t="n"/>
      <c r="G184" s="12" t="n"/>
    </row>
    <row r="185">
      <c r="A185" s="12" t="n"/>
      <c r="B185" s="12" t="n"/>
      <c r="C185" s="12" t="n"/>
      <c r="D185" s="13">
        <f>IF($C185="","",IFERROR(INDEX(Emp_Names,MATCH($C185,Emp_Codes,0)),"NOT FOUND"))</f>
        <v/>
      </c>
      <c r="E185" s="12" t="n"/>
      <c r="F185" s="12" t="n"/>
      <c r="G185" s="12" t="n"/>
    </row>
    <row r="186">
      <c r="A186" s="12" t="n"/>
      <c r="B186" s="12" t="n"/>
      <c r="C186" s="12" t="n"/>
      <c r="D186" s="13">
        <f>IF($C186="","",IFERROR(INDEX(Emp_Names,MATCH($C186,Emp_Codes,0)),"NOT FOUND"))</f>
        <v/>
      </c>
      <c r="E186" s="12" t="n"/>
      <c r="F186" s="12" t="n"/>
      <c r="G186" s="12" t="n"/>
    </row>
    <row r="187">
      <c r="A187" s="12" t="n"/>
      <c r="B187" s="12" t="n"/>
      <c r="C187" s="12" t="n"/>
      <c r="D187" s="13">
        <f>IF($C187="","",IFERROR(INDEX(Emp_Names,MATCH($C187,Emp_Codes,0)),"NOT FOUND"))</f>
        <v/>
      </c>
      <c r="E187" s="12" t="n"/>
      <c r="F187" s="12" t="n"/>
      <c r="G187" s="12" t="n"/>
    </row>
    <row r="188">
      <c r="A188" s="12" t="n"/>
      <c r="B188" s="12" t="n"/>
      <c r="C188" s="12" t="n"/>
      <c r="D188" s="13">
        <f>IF($C188="","",IFERROR(INDEX(Emp_Names,MATCH($C188,Emp_Codes,0)),"NOT FOUND"))</f>
        <v/>
      </c>
      <c r="E188" s="12" t="n"/>
      <c r="F188" s="12" t="n"/>
      <c r="G188" s="12" t="n"/>
    </row>
    <row r="189">
      <c r="A189" s="12" t="n"/>
      <c r="B189" s="12" t="n"/>
      <c r="C189" s="12" t="n"/>
      <c r="D189" s="13">
        <f>IF($C189="","",IFERROR(INDEX(Emp_Names,MATCH($C189,Emp_Codes,0)),"NOT FOUND"))</f>
        <v/>
      </c>
      <c r="E189" s="12" t="n"/>
      <c r="F189" s="12" t="n"/>
      <c r="G189" s="12" t="n"/>
    </row>
    <row r="190">
      <c r="A190" s="12" t="n"/>
      <c r="B190" s="12" t="n"/>
      <c r="C190" s="12" t="n"/>
      <c r="D190" s="13">
        <f>IF($C190="","",IFERROR(INDEX(Emp_Names,MATCH($C190,Emp_Codes,0)),"NOT FOUND"))</f>
        <v/>
      </c>
      <c r="E190" s="12" t="n"/>
      <c r="F190" s="12" t="n"/>
      <c r="G190" s="12" t="n"/>
    </row>
    <row r="191">
      <c r="A191" s="12" t="n"/>
      <c r="B191" s="12" t="n"/>
      <c r="C191" s="12" t="n"/>
      <c r="D191" s="13">
        <f>IF($C191="","",IFERROR(INDEX(Emp_Names,MATCH($C191,Emp_Codes,0)),"NOT FOUND"))</f>
        <v/>
      </c>
      <c r="E191" s="12" t="n"/>
      <c r="F191" s="12" t="n"/>
      <c r="G191" s="12" t="n"/>
    </row>
    <row r="192">
      <c r="A192" s="12" t="n"/>
      <c r="B192" s="12" t="n"/>
      <c r="C192" s="12" t="n"/>
      <c r="D192" s="13">
        <f>IF($C192="","",IFERROR(INDEX(Emp_Names,MATCH($C192,Emp_Codes,0)),"NOT FOUND"))</f>
        <v/>
      </c>
      <c r="E192" s="12" t="n"/>
      <c r="F192" s="12" t="n"/>
      <c r="G192" s="12" t="n"/>
    </row>
    <row r="193">
      <c r="A193" s="12" t="n"/>
      <c r="B193" s="12" t="n"/>
      <c r="C193" s="12" t="n"/>
      <c r="D193" s="13">
        <f>IF($C193="","",IFERROR(INDEX(Emp_Names,MATCH($C193,Emp_Codes,0)),"NOT FOUND"))</f>
        <v/>
      </c>
      <c r="E193" s="12" t="n"/>
      <c r="F193" s="12" t="n"/>
      <c r="G193" s="12" t="n"/>
    </row>
    <row r="194">
      <c r="A194" s="12" t="n"/>
      <c r="B194" s="12" t="n"/>
      <c r="C194" s="12" t="n"/>
      <c r="D194" s="13">
        <f>IF($C194="","",IFERROR(INDEX(Emp_Names,MATCH($C194,Emp_Codes,0)),"NOT FOUND"))</f>
        <v/>
      </c>
      <c r="E194" s="12" t="n"/>
      <c r="F194" s="12" t="n"/>
      <c r="G194" s="12" t="n"/>
    </row>
    <row r="195">
      <c r="A195" s="12" t="n"/>
      <c r="B195" s="12" t="n"/>
      <c r="C195" s="12" t="n"/>
      <c r="D195" s="13">
        <f>IF($C195="","",IFERROR(INDEX(Emp_Names,MATCH($C195,Emp_Codes,0)),"NOT FOUND"))</f>
        <v/>
      </c>
      <c r="E195" s="12" t="n"/>
      <c r="F195" s="12" t="n"/>
      <c r="G195" s="12" t="n"/>
    </row>
    <row r="196">
      <c r="A196" s="12" t="n"/>
      <c r="B196" s="12" t="n"/>
      <c r="C196" s="12" t="n"/>
      <c r="D196" s="13">
        <f>IF($C196="","",IFERROR(INDEX(Emp_Names,MATCH($C196,Emp_Codes,0)),"NOT FOUND"))</f>
        <v/>
      </c>
      <c r="E196" s="12" t="n"/>
      <c r="F196" s="12" t="n"/>
      <c r="G196" s="12" t="n"/>
    </row>
    <row r="197">
      <c r="A197" s="12" t="n"/>
      <c r="B197" s="12" t="n"/>
      <c r="C197" s="12" t="n"/>
      <c r="D197" s="13">
        <f>IF($C197="","",IFERROR(INDEX(Emp_Names,MATCH($C197,Emp_Codes,0)),"NOT FOUND"))</f>
        <v/>
      </c>
      <c r="E197" s="12" t="n"/>
      <c r="F197" s="12" t="n"/>
      <c r="G197" s="12" t="n"/>
    </row>
    <row r="198">
      <c r="A198" s="12" t="n"/>
      <c r="B198" s="12" t="n"/>
      <c r="C198" s="12" t="n"/>
      <c r="D198" s="13">
        <f>IF($C198="","",IFERROR(INDEX(Emp_Names,MATCH($C198,Emp_Codes,0)),"NOT FOUND"))</f>
        <v/>
      </c>
      <c r="E198" s="12" t="n"/>
      <c r="F198" s="12" t="n"/>
      <c r="G198" s="12" t="n"/>
    </row>
    <row r="199">
      <c r="A199" s="12" t="n"/>
      <c r="B199" s="12" t="n"/>
      <c r="C199" s="12" t="n"/>
      <c r="D199" s="13">
        <f>IF($C199="","",IFERROR(INDEX(Emp_Names,MATCH($C199,Emp_Codes,0)),"NOT FOUND"))</f>
        <v/>
      </c>
      <c r="E199" s="12" t="n"/>
      <c r="F199" s="12" t="n"/>
      <c r="G199" s="12" t="n"/>
    </row>
    <row r="200">
      <c r="A200" s="12" t="n"/>
      <c r="B200" s="12" t="n"/>
      <c r="C200" s="12" t="n"/>
      <c r="D200" s="13">
        <f>IF($C200="","",IFERROR(INDEX(Emp_Names,MATCH($C200,Emp_Codes,0)),"NOT FOUND"))</f>
        <v/>
      </c>
      <c r="E200" s="12" t="n"/>
      <c r="F200" s="12" t="n"/>
      <c r="G200" s="12" t="n"/>
    </row>
    <row r="201">
      <c r="A201" s="12" t="n"/>
      <c r="B201" s="12" t="n"/>
      <c r="C201" s="12" t="n"/>
      <c r="D201" s="13">
        <f>IF($C201="","",IFERROR(INDEX(Emp_Names,MATCH($C201,Emp_Codes,0)),"NOT FOUND"))</f>
        <v/>
      </c>
      <c r="E201" s="12" t="n"/>
      <c r="F201" s="12" t="n"/>
      <c r="G201" s="12" t="n"/>
    </row>
    <row r="202">
      <c r="A202" s="12" t="n"/>
      <c r="B202" s="12" t="n"/>
      <c r="C202" s="12" t="n"/>
      <c r="D202" s="13">
        <f>IF($C202="","",IFERROR(INDEX(Emp_Names,MATCH($C202,Emp_Codes,0)),"NOT FOUND"))</f>
        <v/>
      </c>
      <c r="E202" s="12" t="n"/>
      <c r="F202" s="12" t="n"/>
      <c r="G202" s="12" t="n"/>
    </row>
    <row r="203">
      <c r="A203" s="12" t="n"/>
      <c r="B203" s="12" t="n"/>
      <c r="C203" s="12" t="n"/>
      <c r="D203" s="13">
        <f>IF($C203="","",IFERROR(INDEX(Emp_Names,MATCH($C203,Emp_Codes,0)),"NOT FOUND"))</f>
        <v/>
      </c>
      <c r="E203" s="12" t="n"/>
      <c r="F203" s="12" t="n"/>
      <c r="G203" s="12" t="n"/>
    </row>
    <row r="204">
      <c r="A204" s="12" t="n"/>
      <c r="B204" s="12" t="n"/>
      <c r="C204" s="12" t="n"/>
      <c r="D204" s="13">
        <f>IF($C204="","",IFERROR(INDEX(Emp_Names,MATCH($C204,Emp_Codes,0)),"NOT FOUND"))</f>
        <v/>
      </c>
      <c r="E204" s="12" t="n"/>
      <c r="F204" s="12" t="n"/>
      <c r="G204" s="12" t="n"/>
    </row>
    <row r="205">
      <c r="A205" s="12" t="n"/>
      <c r="B205" s="12" t="n"/>
      <c r="C205" s="12" t="n"/>
      <c r="D205" s="13">
        <f>IF($C205="","",IFERROR(INDEX(Emp_Names,MATCH($C205,Emp_Codes,0)),"NOT FOUND"))</f>
        <v/>
      </c>
      <c r="E205" s="12" t="n"/>
      <c r="F205" s="12" t="n"/>
      <c r="G205" s="12" t="n"/>
    </row>
    <row r="206">
      <c r="A206" s="12" t="n"/>
      <c r="B206" s="12" t="n"/>
      <c r="C206" s="12" t="n"/>
      <c r="D206" s="13">
        <f>IF($C206="","",IFERROR(INDEX(Emp_Names,MATCH($C206,Emp_Codes,0)),"NOT FOUND"))</f>
        <v/>
      </c>
      <c r="E206" s="12" t="n"/>
      <c r="F206" s="12" t="n"/>
      <c r="G206" s="12" t="n"/>
    </row>
    <row r="207">
      <c r="A207" s="12" t="n"/>
      <c r="B207" s="12" t="n"/>
      <c r="C207" s="12" t="n"/>
      <c r="D207" s="13">
        <f>IF($C207="","",IFERROR(INDEX(Emp_Names,MATCH($C207,Emp_Codes,0)),"NOT FOUND"))</f>
        <v/>
      </c>
      <c r="E207" s="12" t="n"/>
      <c r="F207" s="12" t="n"/>
      <c r="G207" s="12" t="n"/>
    </row>
    <row r="208">
      <c r="A208" s="12" t="n"/>
      <c r="B208" s="12" t="n"/>
      <c r="C208" s="12" t="n"/>
      <c r="D208" s="13">
        <f>IF($C208="","",IFERROR(INDEX(Emp_Names,MATCH($C208,Emp_Codes,0)),"NOT FOUND"))</f>
        <v/>
      </c>
      <c r="E208" s="12" t="n"/>
      <c r="F208" s="12" t="n"/>
      <c r="G208" s="12" t="n"/>
    </row>
    <row r="209">
      <c r="A209" s="12" t="n"/>
      <c r="B209" s="12" t="n"/>
      <c r="C209" s="12" t="n"/>
      <c r="D209" s="13">
        <f>IF($C209="","",IFERROR(INDEX(Emp_Names,MATCH($C209,Emp_Codes,0)),"NOT FOUND"))</f>
        <v/>
      </c>
      <c r="E209" s="12" t="n"/>
      <c r="F209" s="12" t="n"/>
      <c r="G209" s="12" t="n"/>
    </row>
    <row r="210">
      <c r="A210" s="12" t="n"/>
      <c r="B210" s="12" t="n"/>
      <c r="C210" s="12" t="n"/>
      <c r="D210" s="13">
        <f>IF($C210="","",IFERROR(INDEX(Emp_Names,MATCH($C210,Emp_Codes,0)),"NOT FOUND"))</f>
        <v/>
      </c>
      <c r="E210" s="12" t="n"/>
      <c r="F210" s="12" t="n"/>
      <c r="G210" s="12" t="n"/>
    </row>
    <row r="211">
      <c r="A211" s="12" t="n"/>
      <c r="B211" s="12" t="n"/>
      <c r="C211" s="12" t="n"/>
      <c r="D211" s="13">
        <f>IF($C211="","",IFERROR(INDEX(Emp_Names,MATCH($C211,Emp_Codes,0)),"NOT FOUND"))</f>
        <v/>
      </c>
      <c r="E211" s="12" t="n"/>
      <c r="F211" s="12" t="n"/>
      <c r="G211" s="12" t="n"/>
    </row>
    <row r="212">
      <c r="A212" s="12" t="n"/>
      <c r="B212" s="12" t="n"/>
      <c r="C212" s="12" t="n"/>
      <c r="D212" s="13">
        <f>IF($C212="","",IFERROR(INDEX(Emp_Names,MATCH($C212,Emp_Codes,0)),"NOT FOUND"))</f>
        <v/>
      </c>
      <c r="E212" s="12" t="n"/>
      <c r="F212" s="12" t="n"/>
      <c r="G212" s="12" t="n"/>
    </row>
    <row r="213">
      <c r="A213" s="12" t="n"/>
      <c r="B213" s="12" t="n"/>
      <c r="C213" s="12" t="n"/>
      <c r="D213" s="13">
        <f>IF($C213="","",IFERROR(INDEX(Emp_Names,MATCH($C213,Emp_Codes,0)),"NOT FOUND"))</f>
        <v/>
      </c>
      <c r="E213" s="12" t="n"/>
      <c r="F213" s="12" t="n"/>
      <c r="G213" s="12" t="n"/>
    </row>
    <row r="214">
      <c r="A214" s="12" t="n"/>
      <c r="B214" s="12" t="n"/>
      <c r="C214" s="12" t="n"/>
      <c r="D214" s="13">
        <f>IF($C214="","",IFERROR(INDEX(Emp_Names,MATCH($C214,Emp_Codes,0)),"NOT FOUND"))</f>
        <v/>
      </c>
      <c r="E214" s="12" t="n"/>
      <c r="F214" s="12" t="n"/>
      <c r="G214" s="12" t="n"/>
    </row>
    <row r="215">
      <c r="A215" s="12" t="n"/>
      <c r="B215" s="12" t="n"/>
      <c r="C215" s="12" t="n"/>
      <c r="D215" s="13">
        <f>IF($C215="","",IFERROR(INDEX(Emp_Names,MATCH($C215,Emp_Codes,0)),"NOT FOUND"))</f>
        <v/>
      </c>
      <c r="E215" s="12" t="n"/>
      <c r="F215" s="12" t="n"/>
      <c r="G215" s="12" t="n"/>
    </row>
    <row r="216">
      <c r="A216" s="12" t="n"/>
      <c r="B216" s="12" t="n"/>
      <c r="C216" s="12" t="n"/>
      <c r="D216" s="13">
        <f>IF($C216="","",IFERROR(INDEX(Emp_Names,MATCH($C216,Emp_Codes,0)),"NOT FOUND"))</f>
        <v/>
      </c>
      <c r="E216" s="12" t="n"/>
      <c r="F216" s="12" t="n"/>
      <c r="G216" s="12" t="n"/>
    </row>
    <row r="217">
      <c r="A217" s="12" t="n"/>
      <c r="B217" s="12" t="n"/>
      <c r="C217" s="12" t="n"/>
      <c r="D217" s="13">
        <f>IF($C217="","",IFERROR(INDEX(Emp_Names,MATCH($C217,Emp_Codes,0)),"NOT FOUND"))</f>
        <v/>
      </c>
      <c r="E217" s="12" t="n"/>
      <c r="F217" s="12" t="n"/>
      <c r="G217" s="12" t="n"/>
    </row>
    <row r="218">
      <c r="A218" s="12" t="n"/>
      <c r="B218" s="12" t="n"/>
      <c r="C218" s="12" t="n"/>
      <c r="D218" s="13">
        <f>IF($C218="","",IFERROR(INDEX(Emp_Names,MATCH($C218,Emp_Codes,0)),"NOT FOUND"))</f>
        <v/>
      </c>
      <c r="E218" s="12" t="n"/>
      <c r="F218" s="12" t="n"/>
      <c r="G218" s="12" t="n"/>
    </row>
    <row r="219">
      <c r="A219" s="12" t="n"/>
      <c r="B219" s="12" t="n"/>
      <c r="C219" s="12" t="n"/>
      <c r="D219" s="13">
        <f>IF($C219="","",IFERROR(INDEX(Emp_Names,MATCH($C219,Emp_Codes,0)),"NOT FOUND"))</f>
        <v/>
      </c>
      <c r="E219" s="12" t="n"/>
      <c r="F219" s="12" t="n"/>
      <c r="G219" s="12" t="n"/>
    </row>
    <row r="220">
      <c r="A220" s="12" t="n"/>
      <c r="B220" s="12" t="n"/>
      <c r="C220" s="12" t="n"/>
      <c r="D220" s="13">
        <f>IF($C220="","",IFERROR(INDEX(Emp_Names,MATCH($C220,Emp_Codes,0)),"NOT FOUND"))</f>
        <v/>
      </c>
      <c r="E220" s="12" t="n"/>
      <c r="F220" s="12" t="n"/>
      <c r="G220" s="12" t="n"/>
    </row>
    <row r="221">
      <c r="A221" s="12" t="n"/>
      <c r="B221" s="12" t="n"/>
      <c r="C221" s="12" t="n"/>
      <c r="D221" s="13">
        <f>IF($C221="","",IFERROR(INDEX(Emp_Names,MATCH($C221,Emp_Codes,0)),"NOT FOUND"))</f>
        <v/>
      </c>
      <c r="E221" s="12" t="n"/>
      <c r="F221" s="12" t="n"/>
      <c r="G221" s="12" t="n"/>
    </row>
    <row r="222">
      <c r="A222" s="12" t="n"/>
      <c r="B222" s="12" t="n"/>
      <c r="C222" s="12" t="n"/>
      <c r="D222" s="13">
        <f>IF($C222="","",IFERROR(INDEX(Emp_Names,MATCH($C222,Emp_Codes,0)),"NOT FOUND"))</f>
        <v/>
      </c>
      <c r="E222" s="12" t="n"/>
      <c r="F222" s="12" t="n"/>
      <c r="G222" s="12" t="n"/>
    </row>
    <row r="223">
      <c r="A223" s="12" t="n"/>
      <c r="B223" s="12" t="n"/>
      <c r="C223" s="12" t="n"/>
      <c r="D223" s="13">
        <f>IF($C223="","",IFERROR(INDEX(Emp_Names,MATCH($C223,Emp_Codes,0)),"NOT FOUND"))</f>
        <v/>
      </c>
      <c r="E223" s="12" t="n"/>
      <c r="F223" s="12" t="n"/>
      <c r="G223" s="12" t="n"/>
    </row>
    <row r="224">
      <c r="A224" s="12" t="n"/>
      <c r="B224" s="12" t="n"/>
      <c r="C224" s="12" t="n"/>
      <c r="D224" s="13">
        <f>IF($C224="","",IFERROR(INDEX(Emp_Names,MATCH($C224,Emp_Codes,0)),"NOT FOUND"))</f>
        <v/>
      </c>
      <c r="E224" s="12" t="n"/>
      <c r="F224" s="12" t="n"/>
      <c r="G224" s="12" t="n"/>
    </row>
    <row r="225">
      <c r="A225" s="12" t="n"/>
      <c r="B225" s="12" t="n"/>
      <c r="C225" s="12" t="n"/>
      <c r="D225" s="13">
        <f>IF($C225="","",IFERROR(INDEX(Emp_Names,MATCH($C225,Emp_Codes,0)),"NOT FOUND"))</f>
        <v/>
      </c>
      <c r="E225" s="12" t="n"/>
      <c r="F225" s="12" t="n"/>
      <c r="G225" s="12" t="n"/>
    </row>
    <row r="226">
      <c r="A226" s="12" t="n"/>
      <c r="B226" s="12" t="n"/>
      <c r="C226" s="12" t="n"/>
      <c r="D226" s="13">
        <f>IF($C226="","",IFERROR(INDEX(Emp_Names,MATCH($C226,Emp_Codes,0)),"NOT FOUND"))</f>
        <v/>
      </c>
      <c r="E226" s="12" t="n"/>
      <c r="F226" s="12" t="n"/>
      <c r="G226" s="12" t="n"/>
    </row>
    <row r="227">
      <c r="A227" s="12" t="n"/>
      <c r="B227" s="12" t="n"/>
      <c r="C227" s="12" t="n"/>
      <c r="D227" s="13">
        <f>IF($C227="","",IFERROR(INDEX(Emp_Names,MATCH($C227,Emp_Codes,0)),"NOT FOUND"))</f>
        <v/>
      </c>
      <c r="E227" s="12" t="n"/>
      <c r="F227" s="12" t="n"/>
      <c r="G227" s="12" t="n"/>
    </row>
    <row r="228">
      <c r="A228" s="12" t="n"/>
      <c r="B228" s="12" t="n"/>
      <c r="C228" s="12" t="n"/>
      <c r="D228" s="13">
        <f>IF($C228="","",IFERROR(INDEX(Emp_Names,MATCH($C228,Emp_Codes,0)),"NOT FOUND"))</f>
        <v/>
      </c>
      <c r="E228" s="12" t="n"/>
      <c r="F228" s="12" t="n"/>
      <c r="G228" s="12" t="n"/>
    </row>
    <row r="229">
      <c r="A229" s="12" t="n"/>
      <c r="B229" s="12" t="n"/>
      <c r="C229" s="12" t="n"/>
      <c r="D229" s="13">
        <f>IF($C229="","",IFERROR(INDEX(Emp_Names,MATCH($C229,Emp_Codes,0)),"NOT FOUND"))</f>
        <v/>
      </c>
      <c r="E229" s="12" t="n"/>
      <c r="F229" s="12" t="n"/>
      <c r="G229" s="12" t="n"/>
    </row>
    <row r="230">
      <c r="A230" s="12" t="n"/>
      <c r="B230" s="12" t="n"/>
      <c r="C230" s="12" t="n"/>
      <c r="D230" s="13">
        <f>IF($C230="","",IFERROR(INDEX(Emp_Names,MATCH($C230,Emp_Codes,0)),"NOT FOUND"))</f>
        <v/>
      </c>
      <c r="E230" s="12" t="n"/>
      <c r="F230" s="12" t="n"/>
      <c r="G230" s="12" t="n"/>
    </row>
    <row r="231">
      <c r="A231" s="12" t="n"/>
      <c r="B231" s="12" t="n"/>
      <c r="C231" s="12" t="n"/>
      <c r="D231" s="13">
        <f>IF($C231="","",IFERROR(INDEX(Emp_Names,MATCH($C231,Emp_Codes,0)),"NOT FOUND"))</f>
        <v/>
      </c>
      <c r="E231" s="12" t="n"/>
      <c r="F231" s="12" t="n"/>
      <c r="G231" s="12" t="n"/>
    </row>
    <row r="232">
      <c r="A232" s="12" t="n"/>
      <c r="B232" s="12" t="n"/>
      <c r="C232" s="12" t="n"/>
      <c r="D232" s="13">
        <f>IF($C232="","",IFERROR(INDEX(Emp_Names,MATCH($C232,Emp_Codes,0)),"NOT FOUND"))</f>
        <v/>
      </c>
      <c r="E232" s="12" t="n"/>
      <c r="F232" s="12" t="n"/>
      <c r="G232" s="12" t="n"/>
    </row>
    <row r="233">
      <c r="A233" s="12" t="n"/>
      <c r="B233" s="12" t="n"/>
      <c r="C233" s="12" t="n"/>
      <c r="D233" s="13">
        <f>IF($C233="","",IFERROR(INDEX(Emp_Names,MATCH($C233,Emp_Codes,0)),"NOT FOUND"))</f>
        <v/>
      </c>
      <c r="E233" s="12" t="n"/>
      <c r="F233" s="12" t="n"/>
      <c r="G233" s="12" t="n"/>
    </row>
    <row r="234">
      <c r="A234" s="12" t="n"/>
      <c r="B234" s="12" t="n"/>
      <c r="C234" s="12" t="n"/>
      <c r="D234" s="13">
        <f>IF($C234="","",IFERROR(INDEX(Emp_Names,MATCH($C234,Emp_Codes,0)),"NOT FOUND"))</f>
        <v/>
      </c>
      <c r="E234" s="12" t="n"/>
      <c r="F234" s="12" t="n"/>
      <c r="G234" s="12" t="n"/>
    </row>
    <row r="235">
      <c r="A235" s="12" t="n"/>
      <c r="B235" s="12" t="n"/>
      <c r="C235" s="12" t="n"/>
      <c r="D235" s="13">
        <f>IF($C235="","",IFERROR(INDEX(Emp_Names,MATCH($C235,Emp_Codes,0)),"NOT FOUND"))</f>
        <v/>
      </c>
      <c r="E235" s="12" t="n"/>
      <c r="F235" s="12" t="n"/>
      <c r="G235" s="12" t="n"/>
    </row>
    <row r="236">
      <c r="A236" s="12" t="n"/>
      <c r="B236" s="12" t="n"/>
      <c r="C236" s="12" t="n"/>
      <c r="D236" s="13">
        <f>IF($C236="","",IFERROR(INDEX(Emp_Names,MATCH($C236,Emp_Codes,0)),"NOT FOUND"))</f>
        <v/>
      </c>
      <c r="E236" s="12" t="n"/>
      <c r="F236" s="12" t="n"/>
      <c r="G236" s="12" t="n"/>
    </row>
    <row r="237">
      <c r="A237" s="12" t="n"/>
      <c r="B237" s="12" t="n"/>
      <c r="C237" s="12" t="n"/>
      <c r="D237" s="13">
        <f>IF($C237="","",IFERROR(INDEX(Emp_Names,MATCH($C237,Emp_Codes,0)),"NOT FOUND"))</f>
        <v/>
      </c>
      <c r="E237" s="12" t="n"/>
      <c r="F237" s="12" t="n"/>
      <c r="G237" s="12" t="n"/>
    </row>
    <row r="238">
      <c r="A238" s="12" t="n"/>
      <c r="B238" s="12" t="n"/>
      <c r="C238" s="12" t="n"/>
      <c r="D238" s="13">
        <f>IF($C238="","",IFERROR(INDEX(Emp_Names,MATCH($C238,Emp_Codes,0)),"NOT FOUND"))</f>
        <v/>
      </c>
      <c r="E238" s="12" t="n"/>
      <c r="F238" s="12" t="n"/>
      <c r="G238" s="12" t="n"/>
    </row>
    <row r="239">
      <c r="A239" s="12" t="n"/>
      <c r="B239" s="12" t="n"/>
      <c r="C239" s="12" t="n"/>
      <c r="D239" s="13">
        <f>IF($C239="","",IFERROR(INDEX(Emp_Names,MATCH($C239,Emp_Codes,0)),"NOT FOUND"))</f>
        <v/>
      </c>
      <c r="E239" s="12" t="n"/>
      <c r="F239" s="12" t="n"/>
      <c r="G239" s="12" t="n"/>
    </row>
    <row r="240">
      <c r="A240" s="12" t="n"/>
      <c r="B240" s="12" t="n"/>
      <c r="C240" s="12" t="n"/>
      <c r="D240" s="13">
        <f>IF($C240="","",IFERROR(INDEX(Emp_Names,MATCH($C240,Emp_Codes,0)),"NOT FOUND"))</f>
        <v/>
      </c>
      <c r="E240" s="12" t="n"/>
      <c r="F240" s="12" t="n"/>
      <c r="G240" s="12" t="n"/>
    </row>
    <row r="241">
      <c r="A241" s="12" t="n"/>
      <c r="B241" s="12" t="n"/>
      <c r="C241" s="12" t="n"/>
      <c r="D241" s="13">
        <f>IF($C241="","",IFERROR(INDEX(Emp_Names,MATCH($C241,Emp_Codes,0)),"NOT FOUND"))</f>
        <v/>
      </c>
      <c r="E241" s="12" t="n"/>
      <c r="F241" s="12" t="n"/>
      <c r="G241" s="12" t="n"/>
    </row>
    <row r="242">
      <c r="A242" s="12" t="n"/>
      <c r="B242" s="12" t="n"/>
      <c r="C242" s="12" t="n"/>
      <c r="D242" s="13">
        <f>IF($C242="","",IFERROR(INDEX(Emp_Names,MATCH($C242,Emp_Codes,0)),"NOT FOUND"))</f>
        <v/>
      </c>
      <c r="E242" s="12" t="n"/>
      <c r="F242" s="12" t="n"/>
      <c r="G242" s="12" t="n"/>
    </row>
    <row r="243">
      <c r="A243" s="12" t="n"/>
      <c r="B243" s="12" t="n"/>
      <c r="C243" s="12" t="n"/>
      <c r="D243" s="13">
        <f>IF($C243="","",IFERROR(INDEX(Emp_Names,MATCH($C243,Emp_Codes,0)),"NOT FOUND"))</f>
        <v/>
      </c>
      <c r="E243" s="12" t="n"/>
      <c r="F243" s="12" t="n"/>
      <c r="G243" s="12" t="n"/>
    </row>
    <row r="244">
      <c r="A244" s="12" t="n"/>
      <c r="B244" s="12" t="n"/>
      <c r="C244" s="12" t="n"/>
      <c r="D244" s="13">
        <f>IF($C244="","",IFERROR(INDEX(Emp_Names,MATCH($C244,Emp_Codes,0)),"NOT FOUND"))</f>
        <v/>
      </c>
      <c r="E244" s="12" t="n"/>
      <c r="F244" s="12" t="n"/>
      <c r="G244" s="12" t="n"/>
    </row>
    <row r="245">
      <c r="A245" s="12" t="n"/>
      <c r="B245" s="12" t="n"/>
      <c r="C245" s="12" t="n"/>
      <c r="D245" s="13">
        <f>IF($C245="","",IFERROR(INDEX(Emp_Names,MATCH($C245,Emp_Codes,0)),"NOT FOUND"))</f>
        <v/>
      </c>
      <c r="E245" s="12" t="n"/>
      <c r="F245" s="12" t="n"/>
      <c r="G245" s="12" t="n"/>
    </row>
    <row r="246">
      <c r="A246" s="12" t="n"/>
      <c r="B246" s="12" t="n"/>
      <c r="C246" s="12" t="n"/>
      <c r="D246" s="13">
        <f>IF($C246="","",IFERROR(INDEX(Emp_Names,MATCH($C246,Emp_Codes,0)),"NOT FOUND"))</f>
        <v/>
      </c>
      <c r="E246" s="12" t="n"/>
      <c r="F246" s="12" t="n"/>
      <c r="G246" s="12" t="n"/>
    </row>
    <row r="247">
      <c r="A247" s="12" t="n"/>
      <c r="B247" s="12" t="n"/>
      <c r="C247" s="12" t="n"/>
      <c r="D247" s="13">
        <f>IF($C247="","",IFERROR(INDEX(Emp_Names,MATCH($C247,Emp_Codes,0)),"NOT FOUND"))</f>
        <v/>
      </c>
      <c r="E247" s="12" t="n"/>
      <c r="F247" s="12" t="n"/>
      <c r="G247" s="12" t="n"/>
    </row>
    <row r="248">
      <c r="A248" s="12" t="n"/>
      <c r="B248" s="12" t="n"/>
      <c r="C248" s="12" t="n"/>
      <c r="D248" s="13">
        <f>IF($C248="","",IFERROR(INDEX(Emp_Names,MATCH($C248,Emp_Codes,0)),"NOT FOUND"))</f>
        <v/>
      </c>
      <c r="E248" s="12" t="n"/>
      <c r="F248" s="12" t="n"/>
      <c r="G248" s="12" t="n"/>
    </row>
    <row r="249">
      <c r="A249" s="12" t="n"/>
      <c r="B249" s="12" t="n"/>
      <c r="C249" s="12" t="n"/>
      <c r="D249" s="13">
        <f>IF($C249="","",IFERROR(INDEX(Emp_Names,MATCH($C249,Emp_Codes,0)),"NOT FOUND"))</f>
        <v/>
      </c>
      <c r="E249" s="12" t="n"/>
      <c r="F249" s="12" t="n"/>
      <c r="G249" s="12" t="n"/>
    </row>
    <row r="250">
      <c r="A250" s="12" t="n"/>
      <c r="B250" s="12" t="n"/>
      <c r="C250" s="12" t="n"/>
      <c r="D250" s="13">
        <f>IF($C250="","",IFERROR(INDEX(Emp_Names,MATCH($C250,Emp_Codes,0)),"NOT FOUND"))</f>
        <v/>
      </c>
      <c r="E250" s="12" t="n"/>
      <c r="F250" s="12" t="n"/>
      <c r="G250" s="12" t="n"/>
    </row>
    <row r="251">
      <c r="A251" s="12" t="n"/>
      <c r="B251" s="12" t="n"/>
      <c r="C251" s="12" t="n"/>
      <c r="D251" s="13">
        <f>IF($C251="","",IFERROR(INDEX(Emp_Names,MATCH($C251,Emp_Codes,0)),"NOT FOUND"))</f>
        <v/>
      </c>
      <c r="E251" s="12" t="n"/>
      <c r="F251" s="12" t="n"/>
      <c r="G251" s="12" t="n"/>
    </row>
    <row r="252">
      <c r="A252" s="12" t="n"/>
      <c r="B252" s="12" t="n"/>
      <c r="C252" s="12" t="n"/>
      <c r="D252" s="13">
        <f>IF($C252="","",IFERROR(INDEX(Emp_Names,MATCH($C252,Emp_Codes,0)),"NOT FOUND"))</f>
        <v/>
      </c>
      <c r="E252" s="12" t="n"/>
      <c r="F252" s="12" t="n"/>
      <c r="G252" s="12" t="n"/>
    </row>
    <row r="253">
      <c r="A253" s="12" t="n"/>
      <c r="B253" s="12" t="n"/>
      <c r="C253" s="12" t="n"/>
      <c r="D253" s="13">
        <f>IF($C253="","",IFERROR(INDEX(Emp_Names,MATCH($C253,Emp_Codes,0)),"NOT FOUND"))</f>
        <v/>
      </c>
      <c r="E253" s="12" t="n"/>
      <c r="F253" s="12" t="n"/>
      <c r="G253" s="12" t="n"/>
    </row>
    <row r="254">
      <c r="A254" s="12" t="n"/>
      <c r="B254" s="12" t="n"/>
      <c r="C254" s="12" t="n"/>
      <c r="D254" s="13">
        <f>IF($C254="","",IFERROR(INDEX(Emp_Names,MATCH($C254,Emp_Codes,0)),"NOT FOUND"))</f>
        <v/>
      </c>
      <c r="E254" s="12" t="n"/>
      <c r="F254" s="12" t="n"/>
      <c r="G254" s="12" t="n"/>
    </row>
    <row r="255">
      <c r="A255" s="12" t="n"/>
      <c r="B255" s="12" t="n"/>
      <c r="C255" s="12" t="n"/>
      <c r="D255" s="13">
        <f>IF($C255="","",IFERROR(INDEX(Emp_Names,MATCH($C255,Emp_Codes,0)),"NOT FOUND"))</f>
        <v/>
      </c>
      <c r="E255" s="12" t="n"/>
      <c r="F255" s="12" t="n"/>
      <c r="G255" s="12" t="n"/>
    </row>
    <row r="256">
      <c r="A256" s="12" t="n"/>
      <c r="B256" s="12" t="n"/>
      <c r="C256" s="12" t="n"/>
      <c r="D256" s="13">
        <f>IF($C256="","",IFERROR(INDEX(Emp_Names,MATCH($C256,Emp_Codes,0)),"NOT FOUND"))</f>
        <v/>
      </c>
      <c r="E256" s="12" t="n"/>
      <c r="F256" s="12" t="n"/>
      <c r="G256" s="12" t="n"/>
    </row>
    <row r="257">
      <c r="A257" s="12" t="n"/>
      <c r="B257" s="12" t="n"/>
      <c r="C257" s="12" t="n"/>
      <c r="D257" s="13">
        <f>IF($C257="","",IFERROR(INDEX(Emp_Names,MATCH($C257,Emp_Codes,0)),"NOT FOUND"))</f>
        <v/>
      </c>
      <c r="E257" s="12" t="n"/>
      <c r="F257" s="12" t="n"/>
      <c r="G257" s="12" t="n"/>
    </row>
    <row r="258">
      <c r="A258" s="12" t="n"/>
      <c r="B258" s="12" t="n"/>
      <c r="C258" s="12" t="n"/>
      <c r="D258" s="13">
        <f>IF($C258="","",IFERROR(INDEX(Emp_Names,MATCH($C258,Emp_Codes,0)),"NOT FOUND"))</f>
        <v/>
      </c>
      <c r="E258" s="12" t="n"/>
      <c r="F258" s="12" t="n"/>
      <c r="G258" s="12" t="n"/>
    </row>
    <row r="259">
      <c r="A259" s="12" t="n"/>
      <c r="B259" s="12" t="n"/>
      <c r="C259" s="12" t="n"/>
      <c r="D259" s="13">
        <f>IF($C259="","",IFERROR(INDEX(Emp_Names,MATCH($C259,Emp_Codes,0)),"NOT FOUND"))</f>
        <v/>
      </c>
      <c r="E259" s="12" t="n"/>
      <c r="F259" s="12" t="n"/>
      <c r="G259" s="12" t="n"/>
    </row>
    <row r="260">
      <c r="A260" s="12" t="n"/>
      <c r="B260" s="12" t="n"/>
      <c r="C260" s="12" t="n"/>
      <c r="D260" s="13">
        <f>IF($C260="","",IFERROR(INDEX(Emp_Names,MATCH($C260,Emp_Codes,0)),"NOT FOUND"))</f>
        <v/>
      </c>
      <c r="E260" s="12" t="n"/>
      <c r="F260" s="12" t="n"/>
      <c r="G260" s="12" t="n"/>
    </row>
    <row r="261">
      <c r="A261" s="12" t="n"/>
      <c r="B261" s="12" t="n"/>
      <c r="C261" s="12" t="n"/>
      <c r="D261" s="13">
        <f>IF($C261="","",IFERROR(INDEX(Emp_Names,MATCH($C261,Emp_Codes,0)),"NOT FOUND"))</f>
        <v/>
      </c>
      <c r="E261" s="12" t="n"/>
      <c r="F261" s="12" t="n"/>
      <c r="G261" s="12" t="n"/>
    </row>
    <row r="262">
      <c r="A262" s="12" t="n"/>
      <c r="B262" s="12" t="n"/>
      <c r="C262" s="12" t="n"/>
      <c r="D262" s="13">
        <f>IF($C262="","",IFERROR(INDEX(Emp_Names,MATCH($C262,Emp_Codes,0)),"NOT FOUND"))</f>
        <v/>
      </c>
      <c r="E262" s="12" t="n"/>
      <c r="F262" s="12" t="n"/>
      <c r="G262" s="12" t="n"/>
    </row>
    <row r="263">
      <c r="A263" s="12" t="n"/>
      <c r="B263" s="12" t="n"/>
      <c r="C263" s="12" t="n"/>
      <c r="D263" s="13">
        <f>IF($C263="","",IFERROR(INDEX(Emp_Names,MATCH($C263,Emp_Codes,0)),"NOT FOUND"))</f>
        <v/>
      </c>
      <c r="E263" s="12" t="n"/>
      <c r="F263" s="12" t="n"/>
      <c r="G263" s="12" t="n"/>
    </row>
    <row r="264">
      <c r="A264" s="12" t="n"/>
      <c r="B264" s="12" t="n"/>
      <c r="C264" s="12" t="n"/>
      <c r="D264" s="13">
        <f>IF($C264="","",IFERROR(INDEX(Emp_Names,MATCH($C264,Emp_Codes,0)),"NOT FOUND"))</f>
        <v/>
      </c>
      <c r="E264" s="12" t="n"/>
      <c r="F264" s="12" t="n"/>
      <c r="G264" s="12" t="n"/>
    </row>
    <row r="265">
      <c r="A265" s="12" t="n"/>
      <c r="B265" s="12" t="n"/>
      <c r="C265" s="12" t="n"/>
      <c r="D265" s="13">
        <f>IF($C265="","",IFERROR(INDEX(Emp_Names,MATCH($C265,Emp_Codes,0)),"NOT FOUND"))</f>
        <v/>
      </c>
      <c r="E265" s="12" t="n"/>
      <c r="F265" s="12" t="n"/>
      <c r="G265" s="12" t="n"/>
    </row>
    <row r="266">
      <c r="A266" s="12" t="n"/>
      <c r="B266" s="12" t="n"/>
      <c r="C266" s="12" t="n"/>
      <c r="D266" s="13">
        <f>IF($C266="","",IFERROR(INDEX(Emp_Names,MATCH($C266,Emp_Codes,0)),"NOT FOUND"))</f>
        <v/>
      </c>
      <c r="E266" s="12" t="n"/>
      <c r="F266" s="12" t="n"/>
      <c r="G266" s="12" t="n"/>
    </row>
    <row r="267">
      <c r="A267" s="12" t="n"/>
      <c r="B267" s="12" t="n"/>
      <c r="C267" s="12" t="n"/>
      <c r="D267" s="13">
        <f>IF($C267="","",IFERROR(INDEX(Emp_Names,MATCH($C267,Emp_Codes,0)),"NOT FOUND"))</f>
        <v/>
      </c>
      <c r="E267" s="12" t="n"/>
      <c r="F267" s="12" t="n"/>
      <c r="G267" s="12" t="n"/>
    </row>
    <row r="268">
      <c r="A268" s="12" t="n"/>
      <c r="B268" s="12" t="n"/>
      <c r="C268" s="12" t="n"/>
      <c r="D268" s="13">
        <f>IF($C268="","",IFERROR(INDEX(Emp_Names,MATCH($C268,Emp_Codes,0)),"NOT FOUND"))</f>
        <v/>
      </c>
      <c r="E268" s="12" t="n"/>
      <c r="F268" s="12" t="n"/>
      <c r="G268" s="12" t="n"/>
    </row>
    <row r="269">
      <c r="A269" s="12" t="n"/>
      <c r="B269" s="12" t="n"/>
      <c r="C269" s="12" t="n"/>
      <c r="D269" s="13">
        <f>IF($C269="","",IFERROR(INDEX(Emp_Names,MATCH($C269,Emp_Codes,0)),"NOT FOUND"))</f>
        <v/>
      </c>
      <c r="E269" s="12" t="n"/>
      <c r="F269" s="12" t="n"/>
      <c r="G269" s="12" t="n"/>
    </row>
    <row r="270">
      <c r="A270" s="12" t="n"/>
      <c r="B270" s="12" t="n"/>
      <c r="C270" s="12" t="n"/>
      <c r="D270" s="13">
        <f>IF($C270="","",IFERROR(INDEX(Emp_Names,MATCH($C270,Emp_Codes,0)),"NOT FOUND"))</f>
        <v/>
      </c>
      <c r="E270" s="12" t="n"/>
      <c r="F270" s="12" t="n"/>
      <c r="G270" s="12" t="n"/>
    </row>
    <row r="271">
      <c r="A271" s="12" t="n"/>
      <c r="B271" s="12" t="n"/>
      <c r="C271" s="12" t="n"/>
      <c r="D271" s="13">
        <f>IF($C271="","",IFERROR(INDEX(Emp_Names,MATCH($C271,Emp_Codes,0)),"NOT FOUND"))</f>
        <v/>
      </c>
      <c r="E271" s="12" t="n"/>
      <c r="F271" s="12" t="n"/>
      <c r="G271" s="12" t="n"/>
    </row>
    <row r="272">
      <c r="A272" s="12" t="n"/>
      <c r="B272" s="12" t="n"/>
      <c r="C272" s="12" t="n"/>
      <c r="D272" s="13">
        <f>IF($C272="","",IFERROR(INDEX(Emp_Names,MATCH($C272,Emp_Codes,0)),"NOT FOUND"))</f>
        <v/>
      </c>
      <c r="E272" s="12" t="n"/>
      <c r="F272" s="12" t="n"/>
      <c r="G272" s="12" t="n"/>
    </row>
    <row r="273">
      <c r="A273" s="12" t="n"/>
      <c r="B273" s="12" t="n"/>
      <c r="C273" s="12" t="n"/>
      <c r="D273" s="13">
        <f>IF($C273="","",IFERROR(INDEX(Emp_Names,MATCH($C273,Emp_Codes,0)),"NOT FOUND"))</f>
        <v/>
      </c>
      <c r="E273" s="12" t="n"/>
      <c r="F273" s="12" t="n"/>
      <c r="G273" s="12" t="n"/>
    </row>
    <row r="274">
      <c r="A274" s="12" t="n"/>
      <c r="B274" s="12" t="n"/>
      <c r="C274" s="12" t="n"/>
      <c r="D274" s="13">
        <f>IF($C274="","",IFERROR(INDEX(Emp_Names,MATCH($C274,Emp_Codes,0)),"NOT FOUND"))</f>
        <v/>
      </c>
      <c r="E274" s="12" t="n"/>
      <c r="F274" s="12" t="n"/>
      <c r="G274" s="12" t="n"/>
    </row>
    <row r="275">
      <c r="A275" s="12" t="n"/>
      <c r="B275" s="12" t="n"/>
      <c r="C275" s="12" t="n"/>
      <c r="D275" s="13">
        <f>IF($C275="","",IFERROR(INDEX(Emp_Names,MATCH($C275,Emp_Codes,0)),"NOT FOUND"))</f>
        <v/>
      </c>
      <c r="E275" s="12" t="n"/>
      <c r="F275" s="12" t="n"/>
      <c r="G275" s="12" t="n"/>
    </row>
    <row r="276">
      <c r="A276" s="12" t="n"/>
      <c r="B276" s="12" t="n"/>
      <c r="C276" s="12" t="n"/>
      <c r="D276" s="13">
        <f>IF($C276="","",IFERROR(INDEX(Emp_Names,MATCH($C276,Emp_Codes,0)),"NOT FOUND"))</f>
        <v/>
      </c>
      <c r="E276" s="12" t="n"/>
      <c r="F276" s="12" t="n"/>
      <c r="G276" s="12" t="n"/>
    </row>
    <row r="277">
      <c r="A277" s="12" t="n"/>
      <c r="B277" s="12" t="n"/>
      <c r="C277" s="12" t="n"/>
      <c r="D277" s="13">
        <f>IF($C277="","",IFERROR(INDEX(Emp_Names,MATCH($C277,Emp_Codes,0)),"NOT FOUND"))</f>
        <v/>
      </c>
      <c r="E277" s="12" t="n"/>
      <c r="F277" s="12" t="n"/>
      <c r="G277" s="12" t="n"/>
    </row>
    <row r="278">
      <c r="A278" s="12" t="n"/>
      <c r="B278" s="12" t="n"/>
      <c r="C278" s="12" t="n"/>
      <c r="D278" s="13">
        <f>IF($C278="","",IFERROR(INDEX(Emp_Names,MATCH($C278,Emp_Codes,0)),"NOT FOUND"))</f>
        <v/>
      </c>
      <c r="E278" s="12" t="n"/>
      <c r="F278" s="12" t="n"/>
      <c r="G278" s="12" t="n"/>
    </row>
    <row r="279">
      <c r="A279" s="12" t="n"/>
      <c r="B279" s="12" t="n"/>
      <c r="C279" s="12" t="n"/>
      <c r="D279" s="13">
        <f>IF($C279="","",IFERROR(INDEX(Emp_Names,MATCH($C279,Emp_Codes,0)),"NOT FOUND"))</f>
        <v/>
      </c>
      <c r="E279" s="12" t="n"/>
      <c r="F279" s="12" t="n"/>
      <c r="G279" s="12" t="n"/>
    </row>
    <row r="280">
      <c r="A280" s="12" t="n"/>
      <c r="B280" s="12" t="n"/>
      <c r="C280" s="12" t="n"/>
      <c r="D280" s="13">
        <f>IF($C280="","",IFERROR(INDEX(Emp_Names,MATCH($C280,Emp_Codes,0)),"NOT FOUND"))</f>
        <v/>
      </c>
      <c r="E280" s="12" t="n"/>
      <c r="F280" s="12" t="n"/>
      <c r="G280" s="12" t="n"/>
    </row>
    <row r="281">
      <c r="A281" s="12" t="n"/>
      <c r="B281" s="12" t="n"/>
      <c r="C281" s="12" t="n"/>
      <c r="D281" s="13">
        <f>IF($C281="","",IFERROR(INDEX(Emp_Names,MATCH($C281,Emp_Codes,0)),"NOT FOUND"))</f>
        <v/>
      </c>
      <c r="E281" s="12" t="n"/>
      <c r="F281" s="12" t="n"/>
      <c r="G281" s="12" t="n"/>
    </row>
    <row r="282">
      <c r="A282" s="12" t="n"/>
      <c r="B282" s="12" t="n"/>
      <c r="C282" s="12" t="n"/>
      <c r="D282" s="13">
        <f>IF($C282="","",IFERROR(INDEX(Emp_Names,MATCH($C282,Emp_Codes,0)),"NOT FOUND"))</f>
        <v/>
      </c>
      <c r="E282" s="12" t="n"/>
      <c r="F282" s="12" t="n"/>
      <c r="G282" s="12" t="n"/>
    </row>
    <row r="283">
      <c r="A283" s="12" t="n"/>
      <c r="B283" s="12" t="n"/>
      <c r="C283" s="12" t="n"/>
      <c r="D283" s="13">
        <f>IF($C283="","",IFERROR(INDEX(Emp_Names,MATCH($C283,Emp_Codes,0)),"NOT FOUND"))</f>
        <v/>
      </c>
      <c r="E283" s="12" t="n"/>
      <c r="F283" s="12" t="n"/>
      <c r="G283" s="12" t="n"/>
    </row>
    <row r="284">
      <c r="A284" s="12" t="n"/>
      <c r="B284" s="12" t="n"/>
      <c r="C284" s="12" t="n"/>
      <c r="D284" s="13">
        <f>IF($C284="","",IFERROR(INDEX(Emp_Names,MATCH($C284,Emp_Codes,0)),"NOT FOUND"))</f>
        <v/>
      </c>
      <c r="E284" s="12" t="n"/>
      <c r="F284" s="12" t="n"/>
      <c r="G284" s="12" t="n"/>
    </row>
    <row r="285">
      <c r="A285" s="12" t="n"/>
      <c r="B285" s="12" t="n"/>
      <c r="C285" s="12" t="n"/>
      <c r="D285" s="13">
        <f>IF($C285="","",IFERROR(INDEX(Emp_Names,MATCH($C285,Emp_Codes,0)),"NOT FOUND"))</f>
        <v/>
      </c>
      <c r="E285" s="12" t="n"/>
      <c r="F285" s="12" t="n"/>
      <c r="G285" s="12" t="n"/>
    </row>
    <row r="286">
      <c r="A286" s="12" t="n"/>
      <c r="B286" s="12" t="n"/>
      <c r="C286" s="12" t="n"/>
      <c r="D286" s="13">
        <f>IF($C286="","",IFERROR(INDEX(Emp_Names,MATCH($C286,Emp_Codes,0)),"NOT FOUND"))</f>
        <v/>
      </c>
      <c r="E286" s="12" t="n"/>
      <c r="F286" s="12" t="n"/>
      <c r="G286" s="12" t="n"/>
    </row>
    <row r="287">
      <c r="A287" s="12" t="n"/>
      <c r="B287" s="12" t="n"/>
      <c r="C287" s="12" t="n"/>
      <c r="D287" s="13">
        <f>IF($C287="","",IFERROR(INDEX(Emp_Names,MATCH($C287,Emp_Codes,0)),"NOT FOUND"))</f>
        <v/>
      </c>
      <c r="E287" s="12" t="n"/>
      <c r="F287" s="12" t="n"/>
      <c r="G287" s="12" t="n"/>
    </row>
    <row r="288">
      <c r="A288" s="12" t="n"/>
      <c r="B288" s="12" t="n"/>
      <c r="C288" s="12" t="n"/>
      <c r="D288" s="13">
        <f>IF($C288="","",IFERROR(INDEX(Emp_Names,MATCH($C288,Emp_Codes,0)),"NOT FOUND"))</f>
        <v/>
      </c>
      <c r="E288" s="12" t="n"/>
      <c r="F288" s="12" t="n"/>
      <c r="G288" s="12" t="n"/>
    </row>
    <row r="289">
      <c r="A289" s="12" t="n"/>
      <c r="B289" s="12" t="n"/>
      <c r="C289" s="12" t="n"/>
      <c r="D289" s="13">
        <f>IF($C289="","",IFERROR(INDEX(Emp_Names,MATCH($C289,Emp_Codes,0)),"NOT FOUND"))</f>
        <v/>
      </c>
      <c r="E289" s="12" t="n"/>
      <c r="F289" s="12" t="n"/>
      <c r="G289" s="12" t="n"/>
    </row>
    <row r="290">
      <c r="A290" s="12" t="n"/>
      <c r="B290" s="12" t="n"/>
      <c r="C290" s="12" t="n"/>
      <c r="D290" s="13">
        <f>IF($C290="","",IFERROR(INDEX(Emp_Names,MATCH($C290,Emp_Codes,0)),"NOT FOUND"))</f>
        <v/>
      </c>
      <c r="E290" s="12" t="n"/>
      <c r="F290" s="12" t="n"/>
      <c r="G290" s="12" t="n"/>
    </row>
    <row r="291">
      <c r="A291" s="12" t="n"/>
      <c r="B291" s="12" t="n"/>
      <c r="C291" s="12" t="n"/>
      <c r="D291" s="13">
        <f>IF($C291="","",IFERROR(INDEX(Emp_Names,MATCH($C291,Emp_Codes,0)),"NOT FOUND"))</f>
        <v/>
      </c>
      <c r="E291" s="12" t="n"/>
      <c r="F291" s="12" t="n"/>
      <c r="G291" s="12" t="n"/>
    </row>
    <row r="292">
      <c r="A292" s="12" t="n"/>
      <c r="B292" s="12" t="n"/>
      <c r="C292" s="12" t="n"/>
      <c r="D292" s="13">
        <f>IF($C292="","",IFERROR(INDEX(Emp_Names,MATCH($C292,Emp_Codes,0)),"NOT FOUND"))</f>
        <v/>
      </c>
      <c r="E292" s="12" t="n"/>
      <c r="F292" s="12" t="n"/>
      <c r="G292" s="12" t="n"/>
    </row>
    <row r="293">
      <c r="A293" s="12" t="n"/>
      <c r="B293" s="12" t="n"/>
      <c r="C293" s="12" t="n"/>
      <c r="D293" s="13">
        <f>IF($C293="","",IFERROR(INDEX(Emp_Names,MATCH($C293,Emp_Codes,0)),"NOT FOUND"))</f>
        <v/>
      </c>
      <c r="E293" s="12" t="n"/>
      <c r="F293" s="12" t="n"/>
      <c r="G293" s="12" t="n"/>
    </row>
    <row r="294">
      <c r="A294" s="12" t="n"/>
      <c r="B294" s="12" t="n"/>
      <c r="C294" s="12" t="n"/>
      <c r="D294" s="13">
        <f>IF($C294="","",IFERROR(INDEX(Emp_Names,MATCH($C294,Emp_Codes,0)),"NOT FOUND"))</f>
        <v/>
      </c>
      <c r="E294" s="12" t="n"/>
      <c r="F294" s="12" t="n"/>
      <c r="G294" s="12" t="n"/>
    </row>
    <row r="295">
      <c r="A295" s="12" t="n"/>
      <c r="B295" s="12" t="n"/>
      <c r="C295" s="12" t="n"/>
      <c r="D295" s="13">
        <f>IF($C295="","",IFERROR(INDEX(Emp_Names,MATCH($C295,Emp_Codes,0)),"NOT FOUND"))</f>
        <v/>
      </c>
      <c r="E295" s="12" t="n"/>
      <c r="F295" s="12" t="n"/>
      <c r="G295" s="12" t="n"/>
    </row>
    <row r="296">
      <c r="A296" s="12" t="n"/>
      <c r="B296" s="12" t="n"/>
      <c r="C296" s="12" t="n"/>
      <c r="D296" s="13">
        <f>IF($C296="","",IFERROR(INDEX(Emp_Names,MATCH($C296,Emp_Codes,0)),"NOT FOUND"))</f>
        <v/>
      </c>
      <c r="E296" s="12" t="n"/>
      <c r="F296" s="12" t="n"/>
      <c r="G296" s="12" t="n"/>
    </row>
    <row r="297">
      <c r="A297" s="12" t="n"/>
      <c r="B297" s="12" t="n"/>
      <c r="C297" s="12" t="n"/>
      <c r="D297" s="13">
        <f>IF($C297="","",IFERROR(INDEX(Emp_Names,MATCH($C297,Emp_Codes,0)),"NOT FOUND"))</f>
        <v/>
      </c>
      <c r="E297" s="12" t="n"/>
      <c r="F297" s="12" t="n"/>
      <c r="G297" s="12" t="n"/>
    </row>
    <row r="298">
      <c r="A298" s="12" t="n"/>
      <c r="B298" s="12" t="n"/>
      <c r="C298" s="12" t="n"/>
      <c r="D298" s="13">
        <f>IF($C298="","",IFERROR(INDEX(Emp_Names,MATCH($C298,Emp_Codes,0)),"NOT FOUND"))</f>
        <v/>
      </c>
      <c r="E298" s="12" t="n"/>
      <c r="F298" s="12" t="n"/>
      <c r="G298" s="12" t="n"/>
    </row>
    <row r="299">
      <c r="A299" s="12" t="n"/>
      <c r="B299" s="12" t="n"/>
      <c r="C299" s="12" t="n"/>
      <c r="D299" s="13">
        <f>IF($C299="","",IFERROR(INDEX(Emp_Names,MATCH($C299,Emp_Codes,0)),"NOT FOUND"))</f>
        <v/>
      </c>
      <c r="E299" s="12" t="n"/>
      <c r="F299" s="12" t="n"/>
      <c r="G299" s="12" t="n"/>
    </row>
    <row r="300">
      <c r="A300" s="12" t="n"/>
      <c r="B300" s="12" t="n"/>
      <c r="C300" s="12" t="n"/>
      <c r="D300" s="13">
        <f>IF($C300="","",IFERROR(INDEX(Emp_Names,MATCH($C300,Emp_Codes,0)),"NOT FOUND"))</f>
        <v/>
      </c>
      <c r="E300" s="12" t="n"/>
      <c r="F300" s="12" t="n"/>
      <c r="G300" s="12" t="n"/>
    </row>
    <row r="301">
      <c r="A301" s="12" t="n"/>
      <c r="B301" s="12" t="n"/>
      <c r="C301" s="12" t="n"/>
      <c r="D301" s="13">
        <f>IF($C301="","",IFERROR(INDEX(Emp_Names,MATCH($C301,Emp_Codes,0)),"NOT FOUND"))</f>
        <v/>
      </c>
      <c r="E301" s="12" t="n"/>
      <c r="F301" s="12" t="n"/>
      <c r="G301" s="12" t="n"/>
    </row>
    <row r="302">
      <c r="A302" s="12" t="n"/>
      <c r="B302" s="12" t="n"/>
      <c r="C302" s="12" t="n"/>
      <c r="D302" s="13">
        <f>IF($C302="","",IFERROR(INDEX(Emp_Names,MATCH($C302,Emp_Codes,0)),"NOT FOUND"))</f>
        <v/>
      </c>
      <c r="E302" s="12" t="n"/>
      <c r="F302" s="12" t="n"/>
      <c r="G302" s="12" t="n"/>
    </row>
    <row r="303">
      <c r="A303" s="12" t="n"/>
      <c r="B303" s="12" t="n"/>
      <c r="C303" s="12" t="n"/>
      <c r="D303" s="13">
        <f>IF($C303="","",IFERROR(INDEX(Emp_Names,MATCH($C303,Emp_Codes,0)),"NOT FOUND"))</f>
        <v/>
      </c>
      <c r="E303" s="12" t="n"/>
      <c r="F303" s="12" t="n"/>
      <c r="G303" s="12" t="n"/>
    </row>
    <row r="304">
      <c r="A304" s="12" t="n"/>
      <c r="B304" s="12" t="n"/>
      <c r="C304" s="12" t="n"/>
      <c r="D304" s="13">
        <f>IF($C304="","",IFERROR(INDEX(Emp_Names,MATCH($C304,Emp_Codes,0)),"NOT FOUND"))</f>
        <v/>
      </c>
      <c r="E304" s="12" t="n"/>
      <c r="F304" s="12" t="n"/>
      <c r="G304" s="12" t="n"/>
    </row>
    <row r="305">
      <c r="A305" s="12" t="n"/>
      <c r="B305" s="12" t="n"/>
      <c r="C305" s="12" t="n"/>
      <c r="D305" s="13">
        <f>IF($C305="","",IFERROR(INDEX(Emp_Names,MATCH($C305,Emp_Codes,0)),"NOT FOUND"))</f>
        <v/>
      </c>
      <c r="E305" s="12" t="n"/>
      <c r="F305" s="12" t="n"/>
      <c r="G305" s="12" t="n"/>
    </row>
    <row r="306">
      <c r="A306" s="12" t="n"/>
      <c r="B306" s="12" t="n"/>
      <c r="C306" s="12" t="n"/>
      <c r="D306" s="13">
        <f>IF($C306="","",IFERROR(INDEX(Emp_Names,MATCH($C306,Emp_Codes,0)),"NOT FOUND"))</f>
        <v/>
      </c>
      <c r="E306" s="12" t="n"/>
      <c r="F306" s="12" t="n"/>
      <c r="G306" s="12" t="n"/>
    </row>
    <row r="307">
      <c r="A307" s="12" t="n"/>
      <c r="B307" s="12" t="n"/>
      <c r="C307" s="12" t="n"/>
      <c r="D307" s="13">
        <f>IF($C307="","",IFERROR(INDEX(Emp_Names,MATCH($C307,Emp_Codes,0)),"NOT FOUND"))</f>
        <v/>
      </c>
      <c r="E307" s="12" t="n"/>
      <c r="F307" s="12" t="n"/>
      <c r="G307" s="12" t="n"/>
    </row>
    <row r="308">
      <c r="A308" s="12" t="n"/>
      <c r="B308" s="12" t="n"/>
      <c r="C308" s="12" t="n"/>
      <c r="D308" s="13">
        <f>IF($C308="","",IFERROR(INDEX(Emp_Names,MATCH($C308,Emp_Codes,0)),"NOT FOUND"))</f>
        <v/>
      </c>
      <c r="E308" s="12" t="n"/>
      <c r="F308" s="12" t="n"/>
      <c r="G308" s="12" t="n"/>
    </row>
    <row r="309">
      <c r="A309" s="12" t="n"/>
      <c r="B309" s="12" t="n"/>
      <c r="C309" s="12" t="n"/>
      <c r="D309" s="13">
        <f>IF($C309="","",IFERROR(INDEX(Emp_Names,MATCH($C309,Emp_Codes,0)),"NOT FOUND"))</f>
        <v/>
      </c>
      <c r="E309" s="12" t="n"/>
      <c r="F309" s="12" t="n"/>
      <c r="G309" s="12" t="n"/>
    </row>
    <row r="310">
      <c r="A310" s="12" t="n"/>
      <c r="B310" s="12" t="n"/>
      <c r="C310" s="12" t="n"/>
      <c r="D310" s="13">
        <f>IF($C310="","",IFERROR(INDEX(Emp_Names,MATCH($C310,Emp_Codes,0)),"NOT FOUND"))</f>
        <v/>
      </c>
      <c r="E310" s="12" t="n"/>
      <c r="F310" s="12" t="n"/>
      <c r="G310" s="12" t="n"/>
    </row>
    <row r="311">
      <c r="A311" s="12" t="n"/>
      <c r="B311" s="12" t="n"/>
      <c r="C311" s="12" t="n"/>
      <c r="D311" s="13">
        <f>IF($C311="","",IFERROR(INDEX(Emp_Names,MATCH($C311,Emp_Codes,0)),"NOT FOUND"))</f>
        <v/>
      </c>
      <c r="E311" s="12" t="n"/>
      <c r="F311" s="12" t="n"/>
      <c r="G311" s="12" t="n"/>
    </row>
    <row r="312">
      <c r="A312" s="12" t="n"/>
      <c r="B312" s="12" t="n"/>
      <c r="C312" s="12" t="n"/>
      <c r="D312" s="13">
        <f>IF($C312="","",IFERROR(INDEX(Emp_Names,MATCH($C312,Emp_Codes,0)),"NOT FOUND"))</f>
        <v/>
      </c>
      <c r="E312" s="12" t="n"/>
      <c r="F312" s="12" t="n"/>
      <c r="G312" s="12" t="n"/>
    </row>
    <row r="313">
      <c r="A313" s="12" t="n"/>
      <c r="B313" s="12" t="n"/>
      <c r="C313" s="12" t="n"/>
      <c r="D313" s="13">
        <f>IF($C313="","",IFERROR(INDEX(Emp_Names,MATCH($C313,Emp_Codes,0)),"NOT FOUND"))</f>
        <v/>
      </c>
      <c r="E313" s="12" t="n"/>
      <c r="F313" s="12" t="n"/>
      <c r="G313" s="12" t="n"/>
    </row>
    <row r="314">
      <c r="A314" s="12" t="n"/>
      <c r="B314" s="12" t="n"/>
      <c r="C314" s="12" t="n"/>
      <c r="D314" s="13">
        <f>IF($C314="","",IFERROR(INDEX(Emp_Names,MATCH($C314,Emp_Codes,0)),"NOT FOUND"))</f>
        <v/>
      </c>
      <c r="E314" s="12" t="n"/>
      <c r="F314" s="12" t="n"/>
      <c r="G314" s="12" t="n"/>
    </row>
    <row r="315">
      <c r="A315" s="12" t="n"/>
      <c r="B315" s="12" t="n"/>
      <c r="C315" s="12" t="n"/>
      <c r="D315" s="13">
        <f>IF($C315="","",IFERROR(INDEX(Emp_Names,MATCH($C315,Emp_Codes,0)),"NOT FOUND"))</f>
        <v/>
      </c>
      <c r="E315" s="12" t="n"/>
      <c r="F315" s="12" t="n"/>
      <c r="G315" s="12" t="n"/>
    </row>
    <row r="316">
      <c r="A316" s="12" t="n"/>
      <c r="B316" s="12" t="n"/>
      <c r="C316" s="12" t="n"/>
      <c r="D316" s="13">
        <f>IF($C316="","",IFERROR(INDEX(Emp_Names,MATCH($C316,Emp_Codes,0)),"NOT FOUND"))</f>
        <v/>
      </c>
      <c r="E316" s="12" t="n"/>
      <c r="F316" s="12" t="n"/>
      <c r="G316" s="12" t="n"/>
    </row>
    <row r="317">
      <c r="A317" s="12" t="n"/>
      <c r="B317" s="12" t="n"/>
      <c r="C317" s="12" t="n"/>
      <c r="D317" s="13">
        <f>IF($C317="","",IFERROR(INDEX(Emp_Names,MATCH($C317,Emp_Codes,0)),"NOT FOUND"))</f>
        <v/>
      </c>
      <c r="E317" s="12" t="n"/>
      <c r="F317" s="12" t="n"/>
      <c r="G317" s="12" t="n"/>
    </row>
    <row r="318">
      <c r="A318" s="12" t="n"/>
      <c r="B318" s="12" t="n"/>
      <c r="C318" s="12" t="n"/>
      <c r="D318" s="13">
        <f>IF($C318="","",IFERROR(INDEX(Emp_Names,MATCH($C318,Emp_Codes,0)),"NOT FOUND"))</f>
        <v/>
      </c>
      <c r="E318" s="12" t="n"/>
      <c r="F318" s="12" t="n"/>
      <c r="G318" s="12" t="n"/>
    </row>
    <row r="319">
      <c r="A319" s="12" t="n"/>
      <c r="B319" s="12" t="n"/>
      <c r="C319" s="12" t="n"/>
      <c r="D319" s="13">
        <f>IF($C319="","",IFERROR(INDEX(Emp_Names,MATCH($C319,Emp_Codes,0)),"NOT FOUND"))</f>
        <v/>
      </c>
      <c r="E319" s="12" t="n"/>
      <c r="F319" s="12" t="n"/>
      <c r="G319" s="12" t="n"/>
    </row>
    <row r="320">
      <c r="A320" s="12" t="n"/>
      <c r="B320" s="12" t="n"/>
      <c r="C320" s="12" t="n"/>
      <c r="D320" s="13">
        <f>IF($C320="","",IFERROR(INDEX(Emp_Names,MATCH($C320,Emp_Codes,0)),"NOT FOUND"))</f>
        <v/>
      </c>
      <c r="E320" s="12" t="n"/>
      <c r="F320" s="12" t="n"/>
      <c r="G320" s="12" t="n"/>
    </row>
    <row r="321">
      <c r="A321" s="12" t="n"/>
      <c r="B321" s="12" t="n"/>
      <c r="C321" s="12" t="n"/>
      <c r="D321" s="13">
        <f>IF($C321="","",IFERROR(INDEX(Emp_Names,MATCH($C321,Emp_Codes,0)),"NOT FOUND"))</f>
        <v/>
      </c>
      <c r="E321" s="12" t="n"/>
      <c r="F321" s="12" t="n"/>
      <c r="G321" s="12" t="n"/>
    </row>
    <row r="322">
      <c r="A322" s="12" t="n"/>
      <c r="B322" s="12" t="n"/>
      <c r="C322" s="12" t="n"/>
      <c r="D322" s="13">
        <f>IF($C322="","",IFERROR(INDEX(Emp_Names,MATCH($C322,Emp_Codes,0)),"NOT FOUND"))</f>
        <v/>
      </c>
      <c r="E322" s="12" t="n"/>
      <c r="F322" s="12" t="n"/>
      <c r="G322" s="12" t="n"/>
    </row>
    <row r="323">
      <c r="A323" s="12" t="n"/>
      <c r="B323" s="12" t="n"/>
      <c r="C323" s="12" t="n"/>
      <c r="D323" s="13">
        <f>IF($C323="","",IFERROR(INDEX(Emp_Names,MATCH($C323,Emp_Codes,0)),"NOT FOUND"))</f>
        <v/>
      </c>
      <c r="E323" s="12" t="n"/>
      <c r="F323" s="12" t="n"/>
      <c r="G323" s="12" t="n"/>
    </row>
    <row r="324">
      <c r="A324" s="12" t="n"/>
      <c r="B324" s="12" t="n"/>
      <c r="C324" s="12" t="n"/>
      <c r="D324" s="13">
        <f>IF($C324="","",IFERROR(INDEX(Emp_Names,MATCH($C324,Emp_Codes,0)),"NOT FOUND"))</f>
        <v/>
      </c>
      <c r="E324" s="12" t="n"/>
      <c r="F324" s="12" t="n"/>
      <c r="G324" s="12" t="n"/>
    </row>
    <row r="325">
      <c r="A325" s="12" t="n"/>
      <c r="B325" s="12" t="n"/>
      <c r="C325" s="12" t="n"/>
      <c r="D325" s="13">
        <f>IF($C325="","",IFERROR(INDEX(Emp_Names,MATCH($C325,Emp_Codes,0)),"NOT FOUND"))</f>
        <v/>
      </c>
      <c r="E325" s="12" t="n"/>
      <c r="F325" s="12" t="n"/>
      <c r="G325" s="12" t="n"/>
    </row>
    <row r="326">
      <c r="A326" s="12" t="n"/>
      <c r="B326" s="12" t="n"/>
      <c r="C326" s="12" t="n"/>
      <c r="D326" s="13">
        <f>IF($C326="","",IFERROR(INDEX(Emp_Names,MATCH($C326,Emp_Codes,0)),"NOT FOUND"))</f>
        <v/>
      </c>
      <c r="E326" s="12" t="n"/>
      <c r="F326" s="12" t="n"/>
      <c r="G326" s="12" t="n"/>
    </row>
    <row r="327">
      <c r="A327" s="12" t="n"/>
      <c r="B327" s="12" t="n"/>
      <c r="C327" s="12" t="n"/>
      <c r="D327" s="13">
        <f>IF($C327="","",IFERROR(INDEX(Emp_Names,MATCH($C327,Emp_Codes,0)),"NOT FOUND"))</f>
        <v/>
      </c>
      <c r="E327" s="12" t="n"/>
      <c r="F327" s="12" t="n"/>
      <c r="G327" s="12" t="n"/>
    </row>
    <row r="328">
      <c r="A328" s="12" t="n"/>
      <c r="B328" s="12" t="n"/>
      <c r="C328" s="12" t="n"/>
      <c r="D328" s="13">
        <f>IF($C328="","",IFERROR(INDEX(Emp_Names,MATCH($C328,Emp_Codes,0)),"NOT FOUND"))</f>
        <v/>
      </c>
      <c r="E328" s="12" t="n"/>
      <c r="F328" s="12" t="n"/>
      <c r="G328" s="12" t="n"/>
    </row>
    <row r="329">
      <c r="A329" s="12" t="n"/>
      <c r="B329" s="12" t="n"/>
      <c r="C329" s="12" t="n"/>
      <c r="D329" s="13">
        <f>IF($C329="","",IFERROR(INDEX(Emp_Names,MATCH($C329,Emp_Codes,0)),"NOT FOUND"))</f>
        <v/>
      </c>
      <c r="E329" s="12" t="n"/>
      <c r="F329" s="12" t="n"/>
      <c r="G329" s="12" t="n"/>
    </row>
    <row r="330">
      <c r="A330" s="12" t="n"/>
      <c r="B330" s="12" t="n"/>
      <c r="C330" s="12" t="n"/>
      <c r="D330" s="13">
        <f>IF($C330="","",IFERROR(INDEX(Emp_Names,MATCH($C330,Emp_Codes,0)),"NOT FOUND"))</f>
        <v/>
      </c>
      <c r="E330" s="12" t="n"/>
      <c r="F330" s="12" t="n"/>
      <c r="G330" s="12" t="n"/>
    </row>
    <row r="331">
      <c r="A331" s="12" t="n"/>
      <c r="B331" s="12" t="n"/>
      <c r="C331" s="12" t="n"/>
      <c r="D331" s="13">
        <f>IF($C331="","",IFERROR(INDEX(Emp_Names,MATCH($C331,Emp_Codes,0)),"NOT FOUND"))</f>
        <v/>
      </c>
      <c r="E331" s="12" t="n"/>
      <c r="F331" s="12" t="n"/>
      <c r="G331" s="12" t="n"/>
    </row>
    <row r="332">
      <c r="A332" s="12" t="n"/>
      <c r="B332" s="12" t="n"/>
      <c r="C332" s="12" t="n"/>
      <c r="D332" s="13">
        <f>IF($C332="","",IFERROR(INDEX(Emp_Names,MATCH($C332,Emp_Codes,0)),"NOT FOUND"))</f>
        <v/>
      </c>
      <c r="E332" s="12" t="n"/>
      <c r="F332" s="12" t="n"/>
      <c r="G332" s="12" t="n"/>
    </row>
    <row r="333">
      <c r="A333" s="12" t="n"/>
      <c r="B333" s="12" t="n"/>
      <c r="C333" s="12" t="n"/>
      <c r="D333" s="13">
        <f>IF($C333="","",IFERROR(INDEX(Emp_Names,MATCH($C333,Emp_Codes,0)),"NOT FOUND"))</f>
        <v/>
      </c>
      <c r="E333" s="12" t="n"/>
      <c r="F333" s="12" t="n"/>
      <c r="G333" s="12" t="n"/>
    </row>
    <row r="334">
      <c r="A334" s="12" t="n"/>
      <c r="B334" s="12" t="n"/>
      <c r="C334" s="12" t="n"/>
      <c r="D334" s="13">
        <f>IF($C334="","",IFERROR(INDEX(Emp_Names,MATCH($C334,Emp_Codes,0)),"NOT FOUND"))</f>
        <v/>
      </c>
      <c r="E334" s="12" t="n"/>
      <c r="F334" s="12" t="n"/>
      <c r="G334" s="12" t="n"/>
    </row>
    <row r="335">
      <c r="A335" s="12" t="n"/>
      <c r="B335" s="12" t="n"/>
      <c r="C335" s="12" t="n"/>
      <c r="D335" s="13">
        <f>IF($C335="","",IFERROR(INDEX(Emp_Names,MATCH($C335,Emp_Codes,0)),"NOT FOUND"))</f>
        <v/>
      </c>
      <c r="E335" s="12" t="n"/>
      <c r="F335" s="12" t="n"/>
      <c r="G335" s="12" t="n"/>
    </row>
    <row r="336">
      <c r="A336" s="12" t="n"/>
      <c r="B336" s="12" t="n"/>
      <c r="C336" s="12" t="n"/>
      <c r="D336" s="13">
        <f>IF($C336="","",IFERROR(INDEX(Emp_Names,MATCH($C336,Emp_Codes,0)),"NOT FOUND"))</f>
        <v/>
      </c>
      <c r="E336" s="12" t="n"/>
      <c r="F336" s="12" t="n"/>
      <c r="G336" s="12" t="n"/>
    </row>
    <row r="337">
      <c r="A337" s="12" t="n"/>
      <c r="B337" s="12" t="n"/>
      <c r="C337" s="12" t="n"/>
      <c r="D337" s="13">
        <f>IF($C337="","",IFERROR(INDEX(Emp_Names,MATCH($C337,Emp_Codes,0)),"NOT FOUND"))</f>
        <v/>
      </c>
      <c r="E337" s="12" t="n"/>
      <c r="F337" s="12" t="n"/>
      <c r="G337" s="12" t="n"/>
    </row>
    <row r="338">
      <c r="A338" s="12" t="n"/>
      <c r="B338" s="12" t="n"/>
      <c r="C338" s="12" t="n"/>
      <c r="D338" s="13">
        <f>IF($C338="","",IFERROR(INDEX(Emp_Names,MATCH($C338,Emp_Codes,0)),"NOT FOUND"))</f>
        <v/>
      </c>
      <c r="E338" s="12" t="n"/>
      <c r="F338" s="12" t="n"/>
      <c r="G338" s="12" t="n"/>
    </row>
    <row r="339">
      <c r="A339" s="12" t="n"/>
      <c r="B339" s="12" t="n"/>
      <c r="C339" s="12" t="n"/>
      <c r="D339" s="13">
        <f>IF($C339="","",IFERROR(INDEX(Emp_Names,MATCH($C339,Emp_Codes,0)),"NOT FOUND"))</f>
        <v/>
      </c>
      <c r="E339" s="12" t="n"/>
      <c r="F339" s="12" t="n"/>
      <c r="G339" s="12" t="n"/>
    </row>
    <row r="340">
      <c r="A340" s="12" t="n"/>
      <c r="B340" s="12" t="n"/>
      <c r="C340" s="12" t="n"/>
      <c r="D340" s="13">
        <f>IF($C340="","",IFERROR(INDEX(Emp_Names,MATCH($C340,Emp_Codes,0)),"NOT FOUND"))</f>
        <v/>
      </c>
      <c r="E340" s="12" t="n"/>
      <c r="F340" s="12" t="n"/>
      <c r="G340" s="12" t="n"/>
    </row>
    <row r="341">
      <c r="A341" s="12" t="n"/>
      <c r="B341" s="12" t="n"/>
      <c r="C341" s="12" t="n"/>
      <c r="D341" s="13">
        <f>IF($C341="","",IFERROR(INDEX(Emp_Names,MATCH($C341,Emp_Codes,0)),"NOT FOUND"))</f>
        <v/>
      </c>
      <c r="E341" s="12" t="n"/>
      <c r="F341" s="12" t="n"/>
      <c r="G341" s="12" t="n"/>
    </row>
    <row r="342">
      <c r="A342" s="12" t="n"/>
      <c r="B342" s="12" t="n"/>
      <c r="C342" s="12" t="n"/>
      <c r="D342" s="13">
        <f>IF($C342="","",IFERROR(INDEX(Emp_Names,MATCH($C342,Emp_Codes,0)),"NOT FOUND"))</f>
        <v/>
      </c>
      <c r="E342" s="12" t="n"/>
      <c r="F342" s="12" t="n"/>
      <c r="G342" s="12" t="n"/>
    </row>
    <row r="343">
      <c r="A343" s="12" t="n"/>
      <c r="B343" s="12" t="n"/>
      <c r="C343" s="12" t="n"/>
      <c r="D343" s="13">
        <f>IF($C343="","",IFERROR(INDEX(Emp_Names,MATCH($C343,Emp_Codes,0)),"NOT FOUND"))</f>
        <v/>
      </c>
      <c r="E343" s="12" t="n"/>
      <c r="F343" s="12" t="n"/>
      <c r="G343" s="12" t="n"/>
    </row>
    <row r="344">
      <c r="A344" s="12" t="n"/>
      <c r="B344" s="12" t="n"/>
      <c r="C344" s="12" t="n"/>
      <c r="D344" s="13">
        <f>IF($C344="","",IFERROR(INDEX(Emp_Names,MATCH($C344,Emp_Codes,0)),"NOT FOUND"))</f>
        <v/>
      </c>
      <c r="E344" s="12" t="n"/>
      <c r="F344" s="12" t="n"/>
      <c r="G344" s="12" t="n"/>
    </row>
    <row r="345">
      <c r="A345" s="12" t="n"/>
      <c r="B345" s="12" t="n"/>
      <c r="C345" s="12" t="n"/>
      <c r="D345" s="13">
        <f>IF($C345="","",IFERROR(INDEX(Emp_Names,MATCH($C345,Emp_Codes,0)),"NOT FOUND"))</f>
        <v/>
      </c>
      <c r="E345" s="12" t="n"/>
      <c r="F345" s="12" t="n"/>
      <c r="G345" s="12" t="n"/>
    </row>
    <row r="346">
      <c r="A346" s="12" t="n"/>
      <c r="B346" s="12" t="n"/>
      <c r="C346" s="12" t="n"/>
      <c r="D346" s="13">
        <f>IF($C346="","",IFERROR(INDEX(Emp_Names,MATCH($C346,Emp_Codes,0)),"NOT FOUND"))</f>
        <v/>
      </c>
      <c r="E346" s="12" t="n"/>
      <c r="F346" s="12" t="n"/>
      <c r="G346" s="12" t="n"/>
    </row>
    <row r="347">
      <c r="A347" s="12" t="n"/>
      <c r="B347" s="12" t="n"/>
      <c r="C347" s="12" t="n"/>
      <c r="D347" s="13">
        <f>IF($C347="","",IFERROR(INDEX(Emp_Names,MATCH($C347,Emp_Codes,0)),"NOT FOUND"))</f>
        <v/>
      </c>
      <c r="E347" s="12" t="n"/>
      <c r="F347" s="12" t="n"/>
      <c r="G347" s="12" t="n"/>
    </row>
    <row r="348">
      <c r="A348" s="12" t="n"/>
      <c r="B348" s="12" t="n"/>
      <c r="C348" s="12" t="n"/>
      <c r="D348" s="13">
        <f>IF($C348="","",IFERROR(INDEX(Emp_Names,MATCH($C348,Emp_Codes,0)),"NOT FOUND"))</f>
        <v/>
      </c>
      <c r="E348" s="12" t="n"/>
      <c r="F348" s="12" t="n"/>
      <c r="G348" s="12" t="n"/>
    </row>
    <row r="349">
      <c r="A349" s="12" t="n"/>
      <c r="B349" s="12" t="n"/>
      <c r="C349" s="12" t="n"/>
      <c r="D349" s="13">
        <f>IF($C349="","",IFERROR(INDEX(Emp_Names,MATCH($C349,Emp_Codes,0)),"NOT FOUND"))</f>
        <v/>
      </c>
      <c r="E349" s="12" t="n"/>
      <c r="F349" s="12" t="n"/>
      <c r="G349" s="12" t="n"/>
    </row>
    <row r="350">
      <c r="A350" s="12" t="n"/>
      <c r="B350" s="12" t="n"/>
      <c r="C350" s="12" t="n"/>
      <c r="D350" s="13">
        <f>IF($C350="","",IFERROR(INDEX(Emp_Names,MATCH($C350,Emp_Codes,0)),"NOT FOUND"))</f>
        <v/>
      </c>
      <c r="E350" s="12" t="n"/>
      <c r="F350" s="12" t="n"/>
      <c r="G350" s="12" t="n"/>
    </row>
    <row r="351">
      <c r="A351" s="12" t="n"/>
      <c r="B351" s="12" t="n"/>
      <c r="C351" s="12" t="n"/>
      <c r="D351" s="13">
        <f>IF($C351="","",IFERROR(INDEX(Emp_Names,MATCH($C351,Emp_Codes,0)),"NOT FOUND"))</f>
        <v/>
      </c>
      <c r="E351" s="12" t="n"/>
      <c r="F351" s="12" t="n"/>
      <c r="G351" s="12" t="n"/>
    </row>
    <row r="352">
      <c r="A352" s="12" t="n"/>
      <c r="B352" s="12" t="n"/>
      <c r="C352" s="12" t="n"/>
      <c r="D352" s="13">
        <f>IF($C352="","",IFERROR(INDEX(Emp_Names,MATCH($C352,Emp_Codes,0)),"NOT FOUND"))</f>
        <v/>
      </c>
      <c r="E352" s="12" t="n"/>
      <c r="F352" s="12" t="n"/>
      <c r="G352" s="12" t="n"/>
    </row>
    <row r="353">
      <c r="A353" s="12" t="n"/>
      <c r="B353" s="12" t="n"/>
      <c r="C353" s="12" t="n"/>
      <c r="D353" s="13">
        <f>IF($C353="","",IFERROR(INDEX(Emp_Names,MATCH($C353,Emp_Codes,0)),"NOT FOUND"))</f>
        <v/>
      </c>
      <c r="E353" s="12" t="n"/>
      <c r="F353" s="12" t="n"/>
      <c r="G353" s="12" t="n"/>
    </row>
    <row r="354">
      <c r="A354" s="12" t="n"/>
      <c r="B354" s="12" t="n"/>
      <c r="C354" s="12" t="n"/>
      <c r="D354" s="13">
        <f>IF($C354="","",IFERROR(INDEX(Emp_Names,MATCH($C354,Emp_Codes,0)),"NOT FOUND"))</f>
        <v/>
      </c>
      <c r="E354" s="12" t="n"/>
      <c r="F354" s="12" t="n"/>
      <c r="G354" s="12" t="n"/>
    </row>
    <row r="355">
      <c r="A355" s="12" t="n"/>
      <c r="B355" s="12" t="n"/>
      <c r="C355" s="12" t="n"/>
      <c r="D355" s="13">
        <f>IF($C355="","",IFERROR(INDEX(Emp_Names,MATCH($C355,Emp_Codes,0)),"NOT FOUND"))</f>
        <v/>
      </c>
      <c r="E355" s="12" t="n"/>
      <c r="F355" s="12" t="n"/>
      <c r="G355" s="12" t="n"/>
    </row>
    <row r="356">
      <c r="A356" s="12" t="n"/>
      <c r="B356" s="12" t="n"/>
      <c r="C356" s="12" t="n"/>
      <c r="D356" s="13">
        <f>IF($C356="","",IFERROR(INDEX(Emp_Names,MATCH($C356,Emp_Codes,0)),"NOT FOUND"))</f>
        <v/>
      </c>
      <c r="E356" s="12" t="n"/>
      <c r="F356" s="12" t="n"/>
      <c r="G356" s="12" t="n"/>
    </row>
    <row r="357">
      <c r="A357" s="12" t="n"/>
      <c r="B357" s="12" t="n"/>
      <c r="C357" s="12" t="n"/>
      <c r="D357" s="13">
        <f>IF($C357="","",IFERROR(INDEX(Emp_Names,MATCH($C357,Emp_Codes,0)),"NOT FOUND"))</f>
        <v/>
      </c>
      <c r="E357" s="12" t="n"/>
      <c r="F357" s="12" t="n"/>
      <c r="G357" s="12" t="n"/>
    </row>
    <row r="358">
      <c r="A358" s="12" t="n"/>
      <c r="B358" s="12" t="n"/>
      <c r="C358" s="12" t="n"/>
      <c r="D358" s="13">
        <f>IF($C358="","",IFERROR(INDEX(Emp_Names,MATCH($C358,Emp_Codes,0)),"NOT FOUND"))</f>
        <v/>
      </c>
      <c r="E358" s="12" t="n"/>
      <c r="F358" s="12" t="n"/>
      <c r="G358" s="12" t="n"/>
    </row>
    <row r="359">
      <c r="A359" s="12" t="n"/>
      <c r="B359" s="12" t="n"/>
      <c r="C359" s="12" t="n"/>
      <c r="D359" s="13">
        <f>IF($C359="","",IFERROR(INDEX(Emp_Names,MATCH($C359,Emp_Codes,0)),"NOT FOUND"))</f>
        <v/>
      </c>
      <c r="E359" s="12" t="n"/>
      <c r="F359" s="12" t="n"/>
      <c r="G359" s="12" t="n"/>
    </row>
    <row r="360">
      <c r="A360" s="12" t="n"/>
      <c r="B360" s="12" t="n"/>
      <c r="C360" s="12" t="n"/>
      <c r="D360" s="13">
        <f>IF($C360="","",IFERROR(INDEX(Emp_Names,MATCH($C360,Emp_Codes,0)),"NOT FOUND"))</f>
        <v/>
      </c>
      <c r="E360" s="12" t="n"/>
      <c r="F360" s="12" t="n"/>
      <c r="G360" s="12" t="n"/>
    </row>
    <row r="361">
      <c r="A361" s="12" t="n"/>
      <c r="B361" s="12" t="n"/>
      <c r="C361" s="12" t="n"/>
      <c r="D361" s="13">
        <f>IF($C361="","",IFERROR(INDEX(Emp_Names,MATCH($C361,Emp_Codes,0)),"NOT FOUND"))</f>
        <v/>
      </c>
      <c r="E361" s="12" t="n"/>
      <c r="F361" s="12" t="n"/>
      <c r="G361" s="12" t="n"/>
    </row>
    <row r="362">
      <c r="A362" s="12" t="n"/>
      <c r="B362" s="12" t="n"/>
      <c r="C362" s="12" t="n"/>
      <c r="D362" s="13">
        <f>IF($C362="","",IFERROR(INDEX(Emp_Names,MATCH($C362,Emp_Codes,0)),"NOT FOUND"))</f>
        <v/>
      </c>
      <c r="E362" s="12" t="n"/>
      <c r="F362" s="12" t="n"/>
      <c r="G362" s="12" t="n"/>
    </row>
    <row r="363">
      <c r="A363" s="12" t="n"/>
      <c r="B363" s="12" t="n"/>
      <c r="C363" s="12" t="n"/>
      <c r="D363" s="13">
        <f>IF($C363="","",IFERROR(INDEX(Emp_Names,MATCH($C363,Emp_Codes,0)),"NOT FOUND"))</f>
        <v/>
      </c>
      <c r="E363" s="12" t="n"/>
      <c r="F363" s="12" t="n"/>
      <c r="G363" s="12" t="n"/>
    </row>
    <row r="364">
      <c r="A364" s="12" t="n"/>
      <c r="B364" s="12" t="n"/>
      <c r="C364" s="12" t="n"/>
      <c r="D364" s="13">
        <f>IF($C364="","",IFERROR(INDEX(Emp_Names,MATCH($C364,Emp_Codes,0)),"NOT FOUND"))</f>
        <v/>
      </c>
      <c r="E364" s="12" t="n"/>
      <c r="F364" s="12" t="n"/>
      <c r="G364" s="12" t="n"/>
    </row>
    <row r="365">
      <c r="A365" s="12" t="n"/>
      <c r="B365" s="12" t="n"/>
      <c r="C365" s="12" t="n"/>
      <c r="D365" s="13">
        <f>IF($C365="","",IFERROR(INDEX(Emp_Names,MATCH($C365,Emp_Codes,0)),"NOT FOUND"))</f>
        <v/>
      </c>
      <c r="E365" s="12" t="n"/>
      <c r="F365" s="12" t="n"/>
      <c r="G365" s="12" t="n"/>
    </row>
    <row r="366">
      <c r="A366" s="12" t="n"/>
      <c r="B366" s="12" t="n"/>
      <c r="C366" s="12" t="n"/>
      <c r="D366" s="13">
        <f>IF($C366="","",IFERROR(INDEX(Emp_Names,MATCH($C366,Emp_Codes,0)),"NOT FOUND"))</f>
        <v/>
      </c>
      <c r="E366" s="12" t="n"/>
      <c r="F366" s="12" t="n"/>
      <c r="G366" s="12" t="n"/>
    </row>
    <row r="367">
      <c r="A367" s="12" t="n"/>
      <c r="B367" s="12" t="n"/>
      <c r="C367" s="12" t="n"/>
      <c r="D367" s="13">
        <f>IF($C367="","",IFERROR(INDEX(Emp_Names,MATCH($C367,Emp_Codes,0)),"NOT FOUND"))</f>
        <v/>
      </c>
      <c r="E367" s="12" t="n"/>
      <c r="F367" s="12" t="n"/>
      <c r="G367" s="12" t="n"/>
    </row>
    <row r="368">
      <c r="A368" s="12" t="n"/>
      <c r="B368" s="12" t="n"/>
      <c r="C368" s="12" t="n"/>
      <c r="D368" s="13">
        <f>IF($C368="","",IFERROR(INDEX(Emp_Names,MATCH($C368,Emp_Codes,0)),"NOT FOUND"))</f>
        <v/>
      </c>
      <c r="E368" s="12" t="n"/>
      <c r="F368" s="12" t="n"/>
      <c r="G368" s="12" t="n"/>
    </row>
    <row r="369">
      <c r="A369" s="12" t="n"/>
      <c r="B369" s="12" t="n"/>
      <c r="C369" s="12" t="n"/>
      <c r="D369" s="13">
        <f>IF($C369="","",IFERROR(INDEX(Emp_Names,MATCH($C369,Emp_Codes,0)),"NOT FOUND"))</f>
        <v/>
      </c>
      <c r="E369" s="12" t="n"/>
      <c r="F369" s="12" t="n"/>
      <c r="G369" s="12" t="n"/>
    </row>
    <row r="370">
      <c r="A370" s="12" t="n"/>
      <c r="B370" s="12" t="n"/>
      <c r="C370" s="12" t="n"/>
      <c r="D370" s="13">
        <f>IF($C370="","",IFERROR(INDEX(Emp_Names,MATCH($C370,Emp_Codes,0)),"NOT FOUND"))</f>
        <v/>
      </c>
      <c r="E370" s="12" t="n"/>
      <c r="F370" s="12" t="n"/>
      <c r="G370" s="12" t="n"/>
    </row>
    <row r="371">
      <c r="A371" s="12" t="n"/>
      <c r="B371" s="12" t="n"/>
      <c r="C371" s="12" t="n"/>
      <c r="D371" s="13">
        <f>IF($C371="","",IFERROR(INDEX(Emp_Names,MATCH($C371,Emp_Codes,0)),"NOT FOUND"))</f>
        <v/>
      </c>
      <c r="E371" s="12" t="n"/>
      <c r="F371" s="12" t="n"/>
      <c r="G371" s="12" t="n"/>
    </row>
    <row r="372">
      <c r="A372" s="12" t="n"/>
      <c r="B372" s="12" t="n"/>
      <c r="C372" s="12" t="n"/>
      <c r="D372" s="13">
        <f>IF($C372="","",IFERROR(INDEX(Emp_Names,MATCH($C372,Emp_Codes,0)),"NOT FOUND"))</f>
        <v/>
      </c>
      <c r="E372" s="12" t="n"/>
      <c r="F372" s="12" t="n"/>
      <c r="G372" s="12" t="n"/>
    </row>
    <row r="373">
      <c r="A373" s="12" t="n"/>
      <c r="B373" s="12" t="n"/>
      <c r="C373" s="12" t="n"/>
      <c r="D373" s="13">
        <f>IF($C373="","",IFERROR(INDEX(Emp_Names,MATCH($C373,Emp_Codes,0)),"NOT FOUND"))</f>
        <v/>
      </c>
      <c r="E373" s="12" t="n"/>
      <c r="F373" s="12" t="n"/>
      <c r="G373" s="12" t="n"/>
    </row>
    <row r="374">
      <c r="A374" s="12" t="n"/>
      <c r="B374" s="12" t="n"/>
      <c r="C374" s="12" t="n"/>
      <c r="D374" s="13">
        <f>IF($C374="","",IFERROR(INDEX(Emp_Names,MATCH($C374,Emp_Codes,0)),"NOT FOUND"))</f>
        <v/>
      </c>
      <c r="E374" s="12" t="n"/>
      <c r="F374" s="12" t="n"/>
      <c r="G374" s="12" t="n"/>
    </row>
    <row r="375">
      <c r="A375" s="12" t="n"/>
      <c r="B375" s="12" t="n"/>
      <c r="C375" s="12" t="n"/>
      <c r="D375" s="13">
        <f>IF($C375="","",IFERROR(INDEX(Emp_Names,MATCH($C375,Emp_Codes,0)),"NOT FOUND"))</f>
        <v/>
      </c>
      <c r="E375" s="12" t="n"/>
      <c r="F375" s="12" t="n"/>
      <c r="G375" s="12" t="n"/>
    </row>
    <row r="376">
      <c r="A376" s="12" t="n"/>
      <c r="B376" s="12" t="n"/>
      <c r="C376" s="12" t="n"/>
      <c r="D376" s="13">
        <f>IF($C376="","",IFERROR(INDEX(Emp_Names,MATCH($C376,Emp_Codes,0)),"NOT FOUND"))</f>
        <v/>
      </c>
      <c r="E376" s="12" t="n"/>
      <c r="F376" s="12" t="n"/>
      <c r="G376" s="12" t="n"/>
    </row>
    <row r="377">
      <c r="A377" s="12" t="n"/>
      <c r="B377" s="12" t="n"/>
      <c r="C377" s="12" t="n"/>
      <c r="D377" s="13">
        <f>IF($C377="","",IFERROR(INDEX(Emp_Names,MATCH($C377,Emp_Codes,0)),"NOT FOUND"))</f>
        <v/>
      </c>
      <c r="E377" s="12" t="n"/>
      <c r="F377" s="12" t="n"/>
      <c r="G377" s="12" t="n"/>
    </row>
    <row r="378">
      <c r="A378" s="12" t="n"/>
      <c r="B378" s="12" t="n"/>
      <c r="C378" s="12" t="n"/>
      <c r="D378" s="13">
        <f>IF($C378="","",IFERROR(INDEX(Emp_Names,MATCH($C378,Emp_Codes,0)),"NOT FOUND"))</f>
        <v/>
      </c>
      <c r="E378" s="12" t="n"/>
      <c r="F378" s="12" t="n"/>
      <c r="G378" s="12" t="n"/>
    </row>
    <row r="379">
      <c r="A379" s="12" t="n"/>
      <c r="B379" s="12" t="n"/>
      <c r="C379" s="12" t="n"/>
      <c r="D379" s="13">
        <f>IF($C379="","",IFERROR(INDEX(Emp_Names,MATCH($C379,Emp_Codes,0)),"NOT FOUND"))</f>
        <v/>
      </c>
      <c r="E379" s="12" t="n"/>
      <c r="F379" s="12" t="n"/>
      <c r="G379" s="12" t="n"/>
    </row>
    <row r="380">
      <c r="A380" s="12" t="n"/>
      <c r="B380" s="12" t="n"/>
      <c r="C380" s="12" t="n"/>
      <c r="D380" s="13">
        <f>IF($C380="","",IFERROR(INDEX(Emp_Names,MATCH($C380,Emp_Codes,0)),"NOT FOUND"))</f>
        <v/>
      </c>
      <c r="E380" s="12" t="n"/>
      <c r="F380" s="12" t="n"/>
      <c r="G380" s="12" t="n"/>
    </row>
    <row r="381">
      <c r="A381" s="12" t="n"/>
      <c r="B381" s="12" t="n"/>
      <c r="C381" s="12" t="n"/>
      <c r="D381" s="13">
        <f>IF($C381="","",IFERROR(INDEX(Emp_Names,MATCH($C381,Emp_Codes,0)),"NOT FOUND"))</f>
        <v/>
      </c>
      <c r="E381" s="12" t="n"/>
      <c r="F381" s="12" t="n"/>
      <c r="G381" s="12" t="n"/>
    </row>
    <row r="382">
      <c r="A382" s="12" t="n"/>
      <c r="B382" s="12" t="n"/>
      <c r="C382" s="12" t="n"/>
      <c r="D382" s="13">
        <f>IF($C382="","",IFERROR(INDEX(Emp_Names,MATCH($C382,Emp_Codes,0)),"NOT FOUND"))</f>
        <v/>
      </c>
      <c r="E382" s="12" t="n"/>
      <c r="F382" s="12" t="n"/>
      <c r="G382" s="12" t="n"/>
    </row>
    <row r="383">
      <c r="A383" s="12" t="n"/>
      <c r="B383" s="12" t="n"/>
      <c r="C383" s="12" t="n"/>
      <c r="D383" s="13">
        <f>IF($C383="","",IFERROR(INDEX(Emp_Names,MATCH($C383,Emp_Codes,0)),"NOT FOUND"))</f>
        <v/>
      </c>
      <c r="E383" s="12" t="n"/>
      <c r="F383" s="12" t="n"/>
      <c r="G383" s="12" t="n"/>
    </row>
    <row r="384">
      <c r="A384" s="12" t="n"/>
      <c r="B384" s="12" t="n"/>
      <c r="C384" s="12" t="n"/>
      <c r="D384" s="13">
        <f>IF($C384="","",IFERROR(INDEX(Emp_Names,MATCH($C384,Emp_Codes,0)),"NOT FOUND"))</f>
        <v/>
      </c>
      <c r="E384" s="12" t="n"/>
      <c r="F384" s="12" t="n"/>
      <c r="G384" s="12" t="n"/>
    </row>
    <row r="385">
      <c r="A385" s="12" t="n"/>
      <c r="B385" s="12" t="n"/>
      <c r="C385" s="12" t="n"/>
      <c r="D385" s="13">
        <f>IF($C385="","",IFERROR(INDEX(Emp_Names,MATCH($C385,Emp_Codes,0)),"NOT FOUND"))</f>
        <v/>
      </c>
      <c r="E385" s="12" t="n"/>
      <c r="F385" s="12" t="n"/>
      <c r="G385" s="12" t="n"/>
    </row>
    <row r="386">
      <c r="A386" s="12" t="n"/>
      <c r="B386" s="12" t="n"/>
      <c r="C386" s="12" t="n"/>
      <c r="D386" s="13">
        <f>IF($C386="","",IFERROR(INDEX(Emp_Names,MATCH($C386,Emp_Codes,0)),"NOT FOUND"))</f>
        <v/>
      </c>
      <c r="E386" s="12" t="n"/>
      <c r="F386" s="12" t="n"/>
      <c r="G386" s="12" t="n"/>
    </row>
    <row r="387">
      <c r="A387" s="12" t="n"/>
      <c r="B387" s="12" t="n"/>
      <c r="C387" s="12" t="n"/>
      <c r="D387" s="13">
        <f>IF($C387="","",IFERROR(INDEX(Emp_Names,MATCH($C387,Emp_Codes,0)),"NOT FOUND"))</f>
        <v/>
      </c>
      <c r="E387" s="12" t="n"/>
      <c r="F387" s="12" t="n"/>
      <c r="G387" s="12" t="n"/>
    </row>
    <row r="388">
      <c r="A388" s="12" t="n"/>
      <c r="B388" s="12" t="n"/>
      <c r="C388" s="12" t="n"/>
      <c r="D388" s="13">
        <f>IF($C388="","",IFERROR(INDEX(Emp_Names,MATCH($C388,Emp_Codes,0)),"NOT FOUND"))</f>
        <v/>
      </c>
      <c r="E388" s="12" t="n"/>
      <c r="F388" s="12" t="n"/>
      <c r="G388" s="12" t="n"/>
    </row>
    <row r="389">
      <c r="A389" s="12" t="n"/>
      <c r="B389" s="12" t="n"/>
      <c r="C389" s="12" t="n"/>
      <c r="D389" s="13">
        <f>IF($C389="","",IFERROR(INDEX(Emp_Names,MATCH($C389,Emp_Codes,0)),"NOT FOUND"))</f>
        <v/>
      </c>
      <c r="E389" s="12" t="n"/>
      <c r="F389" s="12" t="n"/>
      <c r="G389" s="12" t="n"/>
    </row>
    <row r="390">
      <c r="A390" s="12" t="n"/>
      <c r="B390" s="12" t="n"/>
      <c r="C390" s="12" t="n"/>
      <c r="D390" s="13">
        <f>IF($C390="","",IFERROR(INDEX(Emp_Names,MATCH($C390,Emp_Codes,0)),"NOT FOUND"))</f>
        <v/>
      </c>
      <c r="E390" s="12" t="n"/>
      <c r="F390" s="12" t="n"/>
      <c r="G390" s="12" t="n"/>
    </row>
    <row r="391">
      <c r="A391" s="12" t="n"/>
      <c r="B391" s="12" t="n"/>
      <c r="C391" s="12" t="n"/>
      <c r="D391" s="13">
        <f>IF($C391="","",IFERROR(INDEX(Emp_Names,MATCH($C391,Emp_Codes,0)),"NOT FOUND"))</f>
        <v/>
      </c>
      <c r="E391" s="12" t="n"/>
      <c r="F391" s="12" t="n"/>
      <c r="G391" s="12" t="n"/>
    </row>
    <row r="392">
      <c r="A392" s="12" t="n"/>
      <c r="B392" s="12" t="n"/>
      <c r="C392" s="12" t="n"/>
      <c r="D392" s="13">
        <f>IF($C392="","",IFERROR(INDEX(Emp_Names,MATCH($C392,Emp_Codes,0)),"NOT FOUND"))</f>
        <v/>
      </c>
      <c r="E392" s="12" t="n"/>
      <c r="F392" s="12" t="n"/>
      <c r="G392" s="12" t="n"/>
    </row>
    <row r="393">
      <c r="A393" s="12" t="n"/>
      <c r="B393" s="12" t="n"/>
      <c r="C393" s="12" t="n"/>
      <c r="D393" s="13">
        <f>IF($C393="","",IFERROR(INDEX(Emp_Names,MATCH($C393,Emp_Codes,0)),"NOT FOUND"))</f>
        <v/>
      </c>
      <c r="E393" s="12" t="n"/>
      <c r="F393" s="12" t="n"/>
      <c r="G393" s="12" t="n"/>
    </row>
    <row r="394">
      <c r="A394" s="12" t="n"/>
      <c r="B394" s="12" t="n"/>
      <c r="C394" s="12" t="n"/>
      <c r="D394" s="13">
        <f>IF($C394="","",IFERROR(INDEX(Emp_Names,MATCH($C394,Emp_Codes,0)),"NOT FOUND"))</f>
        <v/>
      </c>
      <c r="E394" s="12" t="n"/>
      <c r="F394" s="12" t="n"/>
      <c r="G394" s="12" t="n"/>
    </row>
    <row r="395">
      <c r="A395" s="12" t="n"/>
      <c r="B395" s="12" t="n"/>
      <c r="C395" s="12" t="n"/>
      <c r="D395" s="13">
        <f>IF($C395="","",IFERROR(INDEX(Emp_Names,MATCH($C395,Emp_Codes,0)),"NOT FOUND"))</f>
        <v/>
      </c>
      <c r="E395" s="12" t="n"/>
      <c r="F395" s="12" t="n"/>
      <c r="G395" s="12" t="n"/>
    </row>
    <row r="396">
      <c r="A396" s="12" t="n"/>
      <c r="B396" s="12" t="n"/>
      <c r="C396" s="12" t="n"/>
      <c r="D396" s="13">
        <f>IF($C396="","",IFERROR(INDEX(Emp_Names,MATCH($C396,Emp_Codes,0)),"NOT FOUND"))</f>
        <v/>
      </c>
      <c r="E396" s="12" t="n"/>
      <c r="F396" s="12" t="n"/>
      <c r="G396" s="12" t="n"/>
    </row>
    <row r="397">
      <c r="A397" s="12" t="n"/>
      <c r="B397" s="12" t="n"/>
      <c r="C397" s="12" t="n"/>
      <c r="D397" s="13">
        <f>IF($C397="","",IFERROR(INDEX(Emp_Names,MATCH($C397,Emp_Codes,0)),"NOT FOUND"))</f>
        <v/>
      </c>
      <c r="E397" s="12" t="n"/>
      <c r="F397" s="12" t="n"/>
      <c r="G397" s="12" t="n"/>
    </row>
    <row r="398">
      <c r="A398" s="12" t="n"/>
      <c r="B398" s="12" t="n"/>
      <c r="C398" s="12" t="n"/>
      <c r="D398" s="13">
        <f>IF($C398="","",IFERROR(INDEX(Emp_Names,MATCH($C398,Emp_Codes,0)),"NOT FOUND"))</f>
        <v/>
      </c>
      <c r="E398" s="12" t="n"/>
      <c r="F398" s="12" t="n"/>
      <c r="G398" s="12" t="n"/>
    </row>
    <row r="399">
      <c r="A399" s="12" t="n"/>
      <c r="B399" s="12" t="n"/>
      <c r="C399" s="12" t="n"/>
      <c r="D399" s="13">
        <f>IF($C399="","",IFERROR(INDEX(Emp_Names,MATCH($C399,Emp_Codes,0)),"NOT FOUND"))</f>
        <v/>
      </c>
      <c r="E399" s="12" t="n"/>
      <c r="F399" s="12" t="n"/>
      <c r="G399" s="12" t="n"/>
    </row>
    <row r="400">
      <c r="A400" s="12" t="n"/>
      <c r="B400" s="12" t="n"/>
      <c r="C400" s="12" t="n"/>
      <c r="D400" s="13">
        <f>IF($C400="","",IFERROR(INDEX(Emp_Names,MATCH($C400,Emp_Codes,0)),"NOT FOUND"))</f>
        <v/>
      </c>
      <c r="E400" s="12" t="n"/>
      <c r="F400" s="12" t="n"/>
      <c r="G400" s="12" t="n"/>
    </row>
    <row r="401">
      <c r="A401" s="12" t="n"/>
      <c r="B401" s="12" t="n"/>
      <c r="C401" s="12" t="n"/>
      <c r="D401" s="13">
        <f>IF($C401="","",IFERROR(INDEX(Emp_Names,MATCH($C401,Emp_Codes,0)),"NOT FOUND"))</f>
        <v/>
      </c>
      <c r="E401" s="12" t="n"/>
      <c r="F401" s="12" t="n"/>
      <c r="G401" s="12" t="n"/>
    </row>
    <row r="402">
      <c r="A402" s="12" t="n"/>
      <c r="B402" s="12" t="n"/>
      <c r="C402" s="12" t="n"/>
      <c r="D402" s="13">
        <f>IF($C402="","",IFERROR(INDEX(Emp_Names,MATCH($C402,Emp_Codes,0)),"NOT FOUND"))</f>
        <v/>
      </c>
      <c r="E402" s="12" t="n"/>
      <c r="F402" s="12" t="n"/>
      <c r="G402" s="12" t="n"/>
    </row>
    <row r="403">
      <c r="A403" s="12" t="n"/>
      <c r="B403" s="12" t="n"/>
      <c r="C403" s="12" t="n"/>
      <c r="D403" s="13">
        <f>IF($C403="","",IFERROR(INDEX(Emp_Names,MATCH($C403,Emp_Codes,0)),"NOT FOUND"))</f>
        <v/>
      </c>
      <c r="E403" s="12" t="n"/>
      <c r="F403" s="12" t="n"/>
      <c r="G403" s="12" t="n"/>
    </row>
    <row r="404">
      <c r="A404" s="12" t="n"/>
      <c r="B404" s="12" t="n"/>
      <c r="C404" s="12" t="n"/>
      <c r="D404" s="13">
        <f>IF($C404="","",IFERROR(INDEX(Emp_Names,MATCH($C404,Emp_Codes,0)),"NOT FOUND"))</f>
        <v/>
      </c>
      <c r="E404" s="12" t="n"/>
      <c r="F404" s="12" t="n"/>
      <c r="G404" s="12" t="n"/>
    </row>
    <row r="405">
      <c r="A405" s="12" t="n"/>
      <c r="B405" s="12" t="n"/>
      <c r="C405" s="12" t="n"/>
      <c r="D405" s="13">
        <f>IF($C405="","",IFERROR(INDEX(Emp_Names,MATCH($C405,Emp_Codes,0)),"NOT FOUND"))</f>
        <v/>
      </c>
      <c r="E405" s="12" t="n"/>
      <c r="F405" s="12" t="n"/>
      <c r="G405" s="12" t="n"/>
    </row>
    <row r="406">
      <c r="A406" s="12" t="n"/>
      <c r="B406" s="12" t="n"/>
      <c r="C406" s="12" t="n"/>
      <c r="D406" s="13">
        <f>IF($C406="","",IFERROR(INDEX(Emp_Names,MATCH($C406,Emp_Codes,0)),"NOT FOUND"))</f>
        <v/>
      </c>
      <c r="E406" s="12" t="n"/>
      <c r="F406" s="12" t="n"/>
      <c r="G406" s="12" t="n"/>
    </row>
    <row r="407">
      <c r="A407" s="12" t="n"/>
      <c r="B407" s="12" t="n"/>
      <c r="C407" s="12" t="n"/>
      <c r="D407" s="13">
        <f>IF($C407="","",IFERROR(INDEX(Emp_Names,MATCH($C407,Emp_Codes,0)),"NOT FOUND"))</f>
        <v/>
      </c>
      <c r="E407" s="12" t="n"/>
      <c r="F407" s="12" t="n"/>
      <c r="G407" s="12" t="n"/>
    </row>
    <row r="408">
      <c r="A408" s="12" t="n"/>
      <c r="B408" s="12" t="n"/>
      <c r="C408" s="12" t="n"/>
      <c r="D408" s="13">
        <f>IF($C408="","",IFERROR(INDEX(Emp_Names,MATCH($C408,Emp_Codes,0)),"NOT FOUND"))</f>
        <v/>
      </c>
      <c r="E408" s="12" t="n"/>
      <c r="F408" s="12" t="n"/>
      <c r="G408" s="12" t="n"/>
    </row>
    <row r="409">
      <c r="A409" s="12" t="n"/>
      <c r="B409" s="12" t="n"/>
      <c r="C409" s="12" t="n"/>
      <c r="D409" s="13">
        <f>IF($C409="","",IFERROR(INDEX(Emp_Names,MATCH($C409,Emp_Codes,0)),"NOT FOUND"))</f>
        <v/>
      </c>
      <c r="E409" s="12" t="n"/>
      <c r="F409" s="12" t="n"/>
      <c r="G409" s="12" t="n"/>
    </row>
    <row r="410">
      <c r="A410" s="12" t="n"/>
      <c r="B410" s="12" t="n"/>
      <c r="C410" s="12" t="n"/>
      <c r="D410" s="13">
        <f>IF($C410="","",IFERROR(INDEX(Emp_Names,MATCH($C410,Emp_Codes,0)),"NOT FOUND"))</f>
        <v/>
      </c>
      <c r="E410" s="12" t="n"/>
      <c r="F410" s="12" t="n"/>
      <c r="G410" s="12" t="n"/>
    </row>
    <row r="411">
      <c r="A411" s="12" t="n"/>
      <c r="B411" s="12" t="n"/>
      <c r="C411" s="12" t="n"/>
      <c r="D411" s="13">
        <f>IF($C411="","",IFERROR(INDEX(Emp_Names,MATCH($C411,Emp_Codes,0)),"NOT FOUND"))</f>
        <v/>
      </c>
      <c r="E411" s="12" t="n"/>
      <c r="F411" s="12" t="n"/>
      <c r="G411" s="12" t="n"/>
    </row>
    <row r="412">
      <c r="A412" s="12" t="n"/>
      <c r="B412" s="12" t="n"/>
      <c r="C412" s="12" t="n"/>
      <c r="D412" s="13">
        <f>IF($C412="","",IFERROR(INDEX(Emp_Names,MATCH($C412,Emp_Codes,0)),"NOT FOUND"))</f>
        <v/>
      </c>
      <c r="E412" s="12" t="n"/>
      <c r="F412" s="12" t="n"/>
      <c r="G412" s="12" t="n"/>
    </row>
    <row r="413">
      <c r="A413" s="12" t="n"/>
      <c r="B413" s="12" t="n"/>
      <c r="C413" s="12" t="n"/>
      <c r="D413" s="13">
        <f>IF($C413="","",IFERROR(INDEX(Emp_Names,MATCH($C413,Emp_Codes,0)),"NOT FOUND"))</f>
        <v/>
      </c>
      <c r="E413" s="12" t="n"/>
      <c r="F413" s="12" t="n"/>
      <c r="G413" s="12" t="n"/>
    </row>
    <row r="414">
      <c r="A414" s="12" t="n"/>
      <c r="B414" s="12" t="n"/>
      <c r="C414" s="12" t="n"/>
      <c r="D414" s="13">
        <f>IF($C414="","",IFERROR(INDEX(Emp_Names,MATCH($C414,Emp_Codes,0)),"NOT FOUND"))</f>
        <v/>
      </c>
      <c r="E414" s="12" t="n"/>
      <c r="F414" s="12" t="n"/>
      <c r="G414" s="12" t="n"/>
    </row>
    <row r="415">
      <c r="A415" s="12" t="n"/>
      <c r="B415" s="12" t="n"/>
      <c r="C415" s="12" t="n"/>
      <c r="D415" s="13">
        <f>IF($C415="","",IFERROR(INDEX(Emp_Names,MATCH($C415,Emp_Codes,0)),"NOT FOUND"))</f>
        <v/>
      </c>
      <c r="E415" s="12" t="n"/>
      <c r="F415" s="12" t="n"/>
      <c r="G415" s="12" t="n"/>
    </row>
    <row r="416">
      <c r="A416" s="12" t="n"/>
      <c r="B416" s="12" t="n"/>
      <c r="C416" s="12" t="n"/>
      <c r="D416" s="13">
        <f>IF($C416="","",IFERROR(INDEX(Emp_Names,MATCH($C416,Emp_Codes,0)),"NOT FOUND"))</f>
        <v/>
      </c>
      <c r="E416" s="12" t="n"/>
      <c r="F416" s="12" t="n"/>
      <c r="G416" s="12" t="n"/>
    </row>
    <row r="417">
      <c r="A417" s="12" t="n"/>
      <c r="B417" s="12" t="n"/>
      <c r="C417" s="12" t="n"/>
      <c r="D417" s="13">
        <f>IF($C417="","",IFERROR(INDEX(Emp_Names,MATCH($C417,Emp_Codes,0)),"NOT FOUND"))</f>
        <v/>
      </c>
      <c r="E417" s="12" t="n"/>
      <c r="F417" s="12" t="n"/>
      <c r="G417" s="12" t="n"/>
    </row>
    <row r="418">
      <c r="A418" s="12" t="n"/>
      <c r="B418" s="12" t="n"/>
      <c r="C418" s="12" t="n"/>
      <c r="D418" s="13">
        <f>IF($C418="","",IFERROR(INDEX(Emp_Names,MATCH($C418,Emp_Codes,0)),"NOT FOUND"))</f>
        <v/>
      </c>
      <c r="E418" s="12" t="n"/>
      <c r="F418" s="12" t="n"/>
      <c r="G418" s="12" t="n"/>
    </row>
    <row r="419">
      <c r="A419" s="12" t="n"/>
      <c r="B419" s="12" t="n"/>
      <c r="C419" s="12" t="n"/>
      <c r="D419" s="13">
        <f>IF($C419="","",IFERROR(INDEX(Emp_Names,MATCH($C419,Emp_Codes,0)),"NOT FOUND"))</f>
        <v/>
      </c>
      <c r="E419" s="12" t="n"/>
      <c r="F419" s="12" t="n"/>
      <c r="G419" s="12" t="n"/>
    </row>
    <row r="420">
      <c r="A420" s="12" t="n"/>
      <c r="B420" s="12" t="n"/>
      <c r="C420" s="12" t="n"/>
      <c r="D420" s="13">
        <f>IF($C420="","",IFERROR(INDEX(Emp_Names,MATCH($C420,Emp_Codes,0)),"NOT FOUND"))</f>
        <v/>
      </c>
      <c r="E420" s="12" t="n"/>
      <c r="F420" s="12" t="n"/>
      <c r="G420" s="12" t="n"/>
    </row>
    <row r="421">
      <c r="A421" s="12" t="n"/>
      <c r="B421" s="12" t="n"/>
      <c r="C421" s="12" t="n"/>
      <c r="D421" s="13">
        <f>IF($C421="","",IFERROR(INDEX(Emp_Names,MATCH($C421,Emp_Codes,0)),"NOT FOUND"))</f>
        <v/>
      </c>
      <c r="E421" s="12" t="n"/>
      <c r="F421" s="12" t="n"/>
      <c r="G421" s="12" t="n"/>
    </row>
    <row r="422">
      <c r="A422" s="12" t="n"/>
      <c r="B422" s="12" t="n"/>
      <c r="C422" s="12" t="n"/>
      <c r="D422" s="13">
        <f>IF($C422="","",IFERROR(INDEX(Emp_Names,MATCH($C422,Emp_Codes,0)),"NOT FOUND"))</f>
        <v/>
      </c>
      <c r="E422" s="12" t="n"/>
      <c r="F422" s="12" t="n"/>
      <c r="G422" s="12" t="n"/>
    </row>
    <row r="423">
      <c r="A423" s="12" t="n"/>
      <c r="B423" s="12" t="n"/>
      <c r="C423" s="12" t="n"/>
      <c r="D423" s="13">
        <f>IF($C423="","",IFERROR(INDEX(Emp_Names,MATCH($C423,Emp_Codes,0)),"NOT FOUND"))</f>
        <v/>
      </c>
      <c r="E423" s="12" t="n"/>
      <c r="F423" s="12" t="n"/>
      <c r="G423" s="12" t="n"/>
    </row>
    <row r="424">
      <c r="A424" s="12" t="n"/>
      <c r="B424" s="12" t="n"/>
      <c r="C424" s="12" t="n"/>
      <c r="D424" s="13">
        <f>IF($C424="","",IFERROR(INDEX(Emp_Names,MATCH($C424,Emp_Codes,0)),"NOT FOUND"))</f>
        <v/>
      </c>
      <c r="E424" s="12" t="n"/>
      <c r="F424" s="12" t="n"/>
      <c r="G424" s="12" t="n"/>
    </row>
    <row r="425">
      <c r="A425" s="12" t="n"/>
      <c r="B425" s="12" t="n"/>
      <c r="C425" s="12" t="n"/>
      <c r="D425" s="13">
        <f>IF($C425="","",IFERROR(INDEX(Emp_Names,MATCH($C425,Emp_Codes,0)),"NOT FOUND"))</f>
        <v/>
      </c>
      <c r="E425" s="12" t="n"/>
      <c r="F425" s="12" t="n"/>
      <c r="G425" s="12" t="n"/>
    </row>
    <row r="426">
      <c r="A426" s="12" t="n"/>
      <c r="B426" s="12" t="n"/>
      <c r="C426" s="12" t="n"/>
      <c r="D426" s="13">
        <f>IF($C426="","",IFERROR(INDEX(Emp_Names,MATCH($C426,Emp_Codes,0)),"NOT FOUND"))</f>
        <v/>
      </c>
      <c r="E426" s="12" t="n"/>
      <c r="F426" s="12" t="n"/>
      <c r="G426" s="12" t="n"/>
    </row>
    <row r="427">
      <c r="A427" s="12" t="n"/>
      <c r="B427" s="12" t="n"/>
      <c r="C427" s="12" t="n"/>
      <c r="D427" s="13">
        <f>IF($C427="","",IFERROR(INDEX(Emp_Names,MATCH($C427,Emp_Codes,0)),"NOT FOUND"))</f>
        <v/>
      </c>
      <c r="E427" s="12" t="n"/>
      <c r="F427" s="12" t="n"/>
      <c r="G427" s="12" t="n"/>
    </row>
    <row r="428">
      <c r="A428" s="12" t="n"/>
      <c r="B428" s="12" t="n"/>
      <c r="C428" s="12" t="n"/>
      <c r="D428" s="13">
        <f>IF($C428="","",IFERROR(INDEX(Emp_Names,MATCH($C428,Emp_Codes,0)),"NOT FOUND"))</f>
        <v/>
      </c>
      <c r="E428" s="12" t="n"/>
      <c r="F428" s="12" t="n"/>
      <c r="G428" s="12" t="n"/>
    </row>
    <row r="429">
      <c r="A429" s="12" t="n"/>
      <c r="B429" s="12" t="n"/>
      <c r="C429" s="12" t="n"/>
      <c r="D429" s="13">
        <f>IF($C429="","",IFERROR(INDEX(Emp_Names,MATCH($C429,Emp_Codes,0)),"NOT FOUND"))</f>
        <v/>
      </c>
      <c r="E429" s="12" t="n"/>
      <c r="F429" s="12" t="n"/>
      <c r="G429" s="12" t="n"/>
    </row>
    <row r="430">
      <c r="A430" s="12" t="n"/>
      <c r="B430" s="12" t="n"/>
      <c r="C430" s="12" t="n"/>
      <c r="D430" s="13">
        <f>IF($C430="","",IFERROR(INDEX(Emp_Names,MATCH($C430,Emp_Codes,0)),"NOT FOUND"))</f>
        <v/>
      </c>
      <c r="E430" s="12" t="n"/>
      <c r="F430" s="12" t="n"/>
      <c r="G430" s="12" t="n"/>
    </row>
    <row r="431">
      <c r="A431" s="12" t="n"/>
      <c r="B431" s="12" t="n"/>
      <c r="C431" s="12" t="n"/>
      <c r="D431" s="13">
        <f>IF($C431="","",IFERROR(INDEX(Emp_Names,MATCH($C431,Emp_Codes,0)),"NOT FOUND"))</f>
        <v/>
      </c>
      <c r="E431" s="12" t="n"/>
      <c r="F431" s="12" t="n"/>
      <c r="G431" s="12" t="n"/>
    </row>
    <row r="432">
      <c r="A432" s="12" t="n"/>
      <c r="B432" s="12" t="n"/>
      <c r="C432" s="12" t="n"/>
      <c r="D432" s="13">
        <f>IF($C432="","",IFERROR(INDEX(Emp_Names,MATCH($C432,Emp_Codes,0)),"NOT FOUND"))</f>
        <v/>
      </c>
      <c r="E432" s="12" t="n"/>
      <c r="F432" s="12" t="n"/>
      <c r="G432" s="12" t="n"/>
    </row>
    <row r="433">
      <c r="A433" s="12" t="n"/>
      <c r="B433" s="12" t="n"/>
      <c r="C433" s="12" t="n"/>
      <c r="D433" s="13">
        <f>IF($C433="","",IFERROR(INDEX(Emp_Names,MATCH($C433,Emp_Codes,0)),"NOT FOUND"))</f>
        <v/>
      </c>
      <c r="E433" s="12" t="n"/>
      <c r="F433" s="12" t="n"/>
      <c r="G433" s="12" t="n"/>
    </row>
    <row r="434">
      <c r="A434" s="12" t="n"/>
      <c r="B434" s="12" t="n"/>
      <c r="C434" s="12" t="n"/>
      <c r="D434" s="13">
        <f>IF($C434="","",IFERROR(INDEX(Emp_Names,MATCH($C434,Emp_Codes,0)),"NOT FOUND"))</f>
        <v/>
      </c>
      <c r="E434" s="12" t="n"/>
      <c r="F434" s="12" t="n"/>
      <c r="G434" s="12" t="n"/>
    </row>
    <row r="435">
      <c r="A435" s="12" t="n"/>
      <c r="B435" s="12" t="n"/>
      <c r="C435" s="12" t="n"/>
      <c r="D435" s="13">
        <f>IF($C435="","",IFERROR(INDEX(Emp_Names,MATCH($C435,Emp_Codes,0)),"NOT FOUND"))</f>
        <v/>
      </c>
      <c r="E435" s="12" t="n"/>
      <c r="F435" s="12" t="n"/>
      <c r="G435" s="12" t="n"/>
    </row>
    <row r="436">
      <c r="A436" s="12" t="n"/>
      <c r="B436" s="12" t="n"/>
      <c r="C436" s="12" t="n"/>
      <c r="D436" s="13">
        <f>IF($C436="","",IFERROR(INDEX(Emp_Names,MATCH($C436,Emp_Codes,0)),"NOT FOUND"))</f>
        <v/>
      </c>
      <c r="E436" s="12" t="n"/>
      <c r="F436" s="12" t="n"/>
      <c r="G436" s="12" t="n"/>
    </row>
    <row r="437">
      <c r="A437" s="12" t="n"/>
      <c r="B437" s="12" t="n"/>
      <c r="C437" s="12" t="n"/>
      <c r="D437" s="13">
        <f>IF($C437="","",IFERROR(INDEX(Emp_Names,MATCH($C437,Emp_Codes,0)),"NOT FOUND"))</f>
        <v/>
      </c>
      <c r="E437" s="12" t="n"/>
      <c r="F437" s="12" t="n"/>
      <c r="G437" s="12" t="n"/>
    </row>
    <row r="438">
      <c r="A438" s="12" t="n"/>
      <c r="B438" s="12" t="n"/>
      <c r="C438" s="12" t="n"/>
      <c r="D438" s="13">
        <f>IF($C438="","",IFERROR(INDEX(Emp_Names,MATCH($C438,Emp_Codes,0)),"NOT FOUND"))</f>
        <v/>
      </c>
      <c r="E438" s="12" t="n"/>
      <c r="F438" s="12" t="n"/>
      <c r="G438" s="12" t="n"/>
    </row>
    <row r="439">
      <c r="A439" s="12" t="n"/>
      <c r="B439" s="12" t="n"/>
      <c r="C439" s="12" t="n"/>
      <c r="D439" s="13">
        <f>IF($C439="","",IFERROR(INDEX(Emp_Names,MATCH($C439,Emp_Codes,0)),"NOT FOUND"))</f>
        <v/>
      </c>
      <c r="E439" s="12" t="n"/>
      <c r="F439" s="12" t="n"/>
      <c r="G439" s="12" t="n"/>
    </row>
    <row r="440">
      <c r="A440" s="12" t="n"/>
      <c r="B440" s="12" t="n"/>
      <c r="C440" s="12" t="n"/>
      <c r="D440" s="13">
        <f>IF($C440="","",IFERROR(INDEX(Emp_Names,MATCH($C440,Emp_Codes,0)),"NOT FOUND"))</f>
        <v/>
      </c>
      <c r="E440" s="12" t="n"/>
      <c r="F440" s="12" t="n"/>
      <c r="G440" s="12" t="n"/>
    </row>
    <row r="441">
      <c r="A441" s="12" t="n"/>
      <c r="B441" s="12" t="n"/>
      <c r="C441" s="12" t="n"/>
      <c r="D441" s="13">
        <f>IF($C441="","",IFERROR(INDEX(Emp_Names,MATCH($C441,Emp_Codes,0)),"NOT FOUND"))</f>
        <v/>
      </c>
      <c r="E441" s="12" t="n"/>
      <c r="F441" s="12" t="n"/>
      <c r="G441" s="12" t="n"/>
    </row>
    <row r="442">
      <c r="A442" s="12" t="n"/>
      <c r="B442" s="12" t="n"/>
      <c r="C442" s="12" t="n"/>
      <c r="D442" s="13">
        <f>IF($C442="","",IFERROR(INDEX(Emp_Names,MATCH($C442,Emp_Codes,0)),"NOT FOUND"))</f>
        <v/>
      </c>
      <c r="E442" s="12" t="n"/>
      <c r="F442" s="12" t="n"/>
      <c r="G442" s="12" t="n"/>
    </row>
    <row r="443">
      <c r="A443" s="12" t="n"/>
      <c r="B443" s="12" t="n"/>
      <c r="C443" s="12" t="n"/>
      <c r="D443" s="13">
        <f>IF($C443="","",IFERROR(INDEX(Emp_Names,MATCH($C443,Emp_Codes,0)),"NOT FOUND"))</f>
        <v/>
      </c>
      <c r="E443" s="12" t="n"/>
      <c r="F443" s="12" t="n"/>
      <c r="G443" s="12" t="n"/>
    </row>
    <row r="444">
      <c r="A444" s="12" t="n"/>
      <c r="B444" s="12" t="n"/>
      <c r="C444" s="12" t="n"/>
      <c r="D444" s="13">
        <f>IF($C444="","",IFERROR(INDEX(Emp_Names,MATCH($C444,Emp_Codes,0)),"NOT FOUND"))</f>
        <v/>
      </c>
      <c r="E444" s="12" t="n"/>
      <c r="F444" s="12" t="n"/>
      <c r="G444" s="12" t="n"/>
    </row>
    <row r="445">
      <c r="A445" s="12" t="n"/>
      <c r="B445" s="12" t="n"/>
      <c r="C445" s="12" t="n"/>
      <c r="D445" s="13">
        <f>IF($C445="","",IFERROR(INDEX(Emp_Names,MATCH($C445,Emp_Codes,0)),"NOT FOUND"))</f>
        <v/>
      </c>
      <c r="E445" s="12" t="n"/>
      <c r="F445" s="12" t="n"/>
      <c r="G445" s="12" t="n"/>
    </row>
    <row r="446">
      <c r="A446" s="12" t="n"/>
      <c r="B446" s="12" t="n"/>
      <c r="C446" s="12" t="n"/>
      <c r="D446" s="13">
        <f>IF($C446="","",IFERROR(INDEX(Emp_Names,MATCH($C446,Emp_Codes,0)),"NOT FOUND"))</f>
        <v/>
      </c>
      <c r="E446" s="12" t="n"/>
      <c r="F446" s="12" t="n"/>
      <c r="G446" s="12" t="n"/>
    </row>
    <row r="447">
      <c r="A447" s="12" t="n"/>
      <c r="B447" s="12" t="n"/>
      <c r="C447" s="12" t="n"/>
      <c r="D447" s="13">
        <f>IF($C447="","",IFERROR(INDEX(Emp_Names,MATCH($C447,Emp_Codes,0)),"NOT FOUND"))</f>
        <v/>
      </c>
      <c r="E447" s="12" t="n"/>
      <c r="F447" s="12" t="n"/>
      <c r="G447" s="12" t="n"/>
    </row>
    <row r="448">
      <c r="A448" s="12" t="n"/>
      <c r="B448" s="12" t="n"/>
      <c r="C448" s="12" t="n"/>
      <c r="D448" s="13">
        <f>IF($C448="","",IFERROR(INDEX(Emp_Names,MATCH($C448,Emp_Codes,0)),"NOT FOUND"))</f>
        <v/>
      </c>
      <c r="E448" s="12" t="n"/>
      <c r="F448" s="12" t="n"/>
      <c r="G448" s="12" t="n"/>
    </row>
    <row r="449">
      <c r="A449" s="12" t="n"/>
      <c r="B449" s="12" t="n"/>
      <c r="C449" s="12" t="n"/>
      <c r="D449" s="13">
        <f>IF($C449="","",IFERROR(INDEX(Emp_Names,MATCH($C449,Emp_Codes,0)),"NOT FOUND"))</f>
        <v/>
      </c>
      <c r="E449" s="12" t="n"/>
      <c r="F449" s="12" t="n"/>
      <c r="G449" s="12" t="n"/>
    </row>
    <row r="450">
      <c r="A450" s="12" t="n"/>
      <c r="B450" s="12" t="n"/>
      <c r="C450" s="12" t="n"/>
      <c r="D450" s="13">
        <f>IF($C450="","",IFERROR(INDEX(Emp_Names,MATCH($C450,Emp_Codes,0)),"NOT FOUND"))</f>
        <v/>
      </c>
      <c r="E450" s="12" t="n"/>
      <c r="F450" s="12" t="n"/>
      <c r="G450" s="12" t="n"/>
    </row>
    <row r="451">
      <c r="A451" s="12" t="n"/>
      <c r="B451" s="12" t="n"/>
      <c r="C451" s="12" t="n"/>
      <c r="D451" s="13">
        <f>IF($C451="","",IFERROR(INDEX(Emp_Names,MATCH($C451,Emp_Codes,0)),"NOT FOUND"))</f>
        <v/>
      </c>
      <c r="E451" s="12" t="n"/>
      <c r="F451" s="12" t="n"/>
      <c r="G451" s="12" t="n"/>
    </row>
    <row r="452">
      <c r="A452" s="12" t="n"/>
      <c r="B452" s="12" t="n"/>
      <c r="C452" s="12" t="n"/>
      <c r="D452" s="13">
        <f>IF($C452="","",IFERROR(INDEX(Emp_Names,MATCH($C452,Emp_Codes,0)),"NOT FOUND"))</f>
        <v/>
      </c>
      <c r="E452" s="12" t="n"/>
      <c r="F452" s="12" t="n"/>
      <c r="G452" s="12" t="n"/>
    </row>
    <row r="453">
      <c r="A453" s="12" t="n"/>
      <c r="B453" s="12" t="n"/>
      <c r="C453" s="12" t="n"/>
      <c r="D453" s="13">
        <f>IF($C453="","",IFERROR(INDEX(Emp_Names,MATCH($C453,Emp_Codes,0)),"NOT FOUND"))</f>
        <v/>
      </c>
      <c r="E453" s="12" t="n"/>
      <c r="F453" s="12" t="n"/>
      <c r="G453" s="12" t="n"/>
    </row>
    <row r="454">
      <c r="A454" s="12" t="n"/>
      <c r="B454" s="12" t="n"/>
      <c r="C454" s="12" t="n"/>
      <c r="D454" s="13">
        <f>IF($C454="","",IFERROR(INDEX(Emp_Names,MATCH($C454,Emp_Codes,0)),"NOT FOUND"))</f>
        <v/>
      </c>
      <c r="E454" s="12" t="n"/>
      <c r="F454" s="12" t="n"/>
      <c r="G454" s="12" t="n"/>
    </row>
    <row r="455">
      <c r="A455" s="12" t="n"/>
      <c r="B455" s="12" t="n"/>
      <c r="C455" s="12" t="n"/>
      <c r="D455" s="13">
        <f>IF($C455="","",IFERROR(INDEX(Emp_Names,MATCH($C455,Emp_Codes,0)),"NOT FOUND"))</f>
        <v/>
      </c>
      <c r="E455" s="12" t="n"/>
      <c r="F455" s="12" t="n"/>
      <c r="G455" s="12" t="n"/>
    </row>
    <row r="456">
      <c r="A456" s="12" t="n"/>
      <c r="B456" s="12" t="n"/>
      <c r="C456" s="12" t="n"/>
      <c r="D456" s="13">
        <f>IF($C456="","",IFERROR(INDEX(Emp_Names,MATCH($C456,Emp_Codes,0)),"NOT FOUND"))</f>
        <v/>
      </c>
      <c r="E456" s="12" t="n"/>
      <c r="F456" s="12" t="n"/>
      <c r="G456" s="12" t="n"/>
    </row>
    <row r="457">
      <c r="A457" s="12" t="n"/>
      <c r="B457" s="12" t="n"/>
      <c r="C457" s="12" t="n"/>
      <c r="D457" s="13">
        <f>IF($C457="","",IFERROR(INDEX(Emp_Names,MATCH($C457,Emp_Codes,0)),"NOT FOUND"))</f>
        <v/>
      </c>
      <c r="E457" s="12" t="n"/>
      <c r="F457" s="12" t="n"/>
      <c r="G457" s="12" t="n"/>
    </row>
    <row r="458">
      <c r="A458" s="12" t="n"/>
      <c r="B458" s="12" t="n"/>
      <c r="C458" s="12" t="n"/>
      <c r="D458" s="13">
        <f>IF($C458="","",IFERROR(INDEX(Emp_Names,MATCH($C458,Emp_Codes,0)),"NOT FOUND"))</f>
        <v/>
      </c>
      <c r="E458" s="12" t="n"/>
      <c r="F458" s="12" t="n"/>
      <c r="G458" s="12" t="n"/>
    </row>
    <row r="459">
      <c r="A459" s="12" t="n"/>
      <c r="B459" s="12" t="n"/>
      <c r="C459" s="12" t="n"/>
      <c r="D459" s="13">
        <f>IF($C459="","",IFERROR(INDEX(Emp_Names,MATCH($C459,Emp_Codes,0)),"NOT FOUND"))</f>
        <v/>
      </c>
      <c r="E459" s="12" t="n"/>
      <c r="F459" s="12" t="n"/>
      <c r="G459" s="12" t="n"/>
    </row>
    <row r="460">
      <c r="A460" s="12" t="n"/>
      <c r="B460" s="12" t="n"/>
      <c r="C460" s="12" t="n"/>
      <c r="D460" s="13">
        <f>IF($C460="","",IFERROR(INDEX(Emp_Names,MATCH($C460,Emp_Codes,0)),"NOT FOUND"))</f>
        <v/>
      </c>
      <c r="E460" s="12" t="n"/>
      <c r="F460" s="12" t="n"/>
      <c r="G460" s="12" t="n"/>
    </row>
    <row r="461">
      <c r="A461" s="12" t="n"/>
      <c r="B461" s="12" t="n"/>
      <c r="C461" s="12" t="n"/>
      <c r="D461" s="13">
        <f>IF($C461="","",IFERROR(INDEX(Emp_Names,MATCH($C461,Emp_Codes,0)),"NOT FOUND"))</f>
        <v/>
      </c>
      <c r="E461" s="12" t="n"/>
      <c r="F461" s="12" t="n"/>
      <c r="G461" s="12" t="n"/>
    </row>
    <row r="462">
      <c r="A462" s="12" t="n"/>
      <c r="B462" s="12" t="n"/>
      <c r="C462" s="12" t="n"/>
      <c r="D462" s="13">
        <f>IF($C462="","",IFERROR(INDEX(Emp_Names,MATCH($C462,Emp_Codes,0)),"NOT FOUND"))</f>
        <v/>
      </c>
      <c r="E462" s="12" t="n"/>
      <c r="F462" s="12" t="n"/>
      <c r="G462" s="12" t="n"/>
    </row>
    <row r="463">
      <c r="A463" s="12" t="n"/>
      <c r="B463" s="12" t="n"/>
      <c r="C463" s="12" t="n"/>
      <c r="D463" s="13">
        <f>IF($C463="","",IFERROR(INDEX(Emp_Names,MATCH($C463,Emp_Codes,0)),"NOT FOUND"))</f>
        <v/>
      </c>
      <c r="E463" s="12" t="n"/>
      <c r="F463" s="12" t="n"/>
      <c r="G463" s="12" t="n"/>
    </row>
    <row r="464">
      <c r="A464" s="12" t="n"/>
      <c r="B464" s="12" t="n"/>
      <c r="C464" s="12" t="n"/>
      <c r="D464" s="13">
        <f>IF($C464="","",IFERROR(INDEX(Emp_Names,MATCH($C464,Emp_Codes,0)),"NOT FOUND"))</f>
        <v/>
      </c>
      <c r="E464" s="12" t="n"/>
      <c r="F464" s="12" t="n"/>
      <c r="G464" s="12" t="n"/>
    </row>
    <row r="465">
      <c r="A465" s="12" t="n"/>
      <c r="B465" s="12" t="n"/>
      <c r="C465" s="12" t="n"/>
      <c r="D465" s="13">
        <f>IF($C465="","",IFERROR(INDEX(Emp_Names,MATCH($C465,Emp_Codes,0)),"NOT FOUND"))</f>
        <v/>
      </c>
      <c r="E465" s="12" t="n"/>
      <c r="F465" s="12" t="n"/>
      <c r="G465" s="12" t="n"/>
    </row>
    <row r="466">
      <c r="A466" s="12" t="n"/>
      <c r="B466" s="12" t="n"/>
      <c r="C466" s="12" t="n"/>
      <c r="D466" s="13">
        <f>IF($C466="","",IFERROR(INDEX(Emp_Names,MATCH($C466,Emp_Codes,0)),"NOT FOUND"))</f>
        <v/>
      </c>
      <c r="E466" s="12" t="n"/>
      <c r="F466" s="12" t="n"/>
      <c r="G466" s="12" t="n"/>
    </row>
    <row r="467">
      <c r="A467" s="12" t="n"/>
      <c r="B467" s="12" t="n"/>
      <c r="C467" s="12" t="n"/>
      <c r="D467" s="13">
        <f>IF($C467="","",IFERROR(INDEX(Emp_Names,MATCH($C467,Emp_Codes,0)),"NOT FOUND"))</f>
        <v/>
      </c>
      <c r="E467" s="12" t="n"/>
      <c r="F467" s="12" t="n"/>
      <c r="G467" s="12" t="n"/>
    </row>
    <row r="468">
      <c r="A468" s="12" t="n"/>
      <c r="B468" s="12" t="n"/>
      <c r="C468" s="12" t="n"/>
      <c r="D468" s="13">
        <f>IF($C468="","",IFERROR(INDEX(Emp_Names,MATCH($C468,Emp_Codes,0)),"NOT FOUND"))</f>
        <v/>
      </c>
      <c r="E468" s="12" t="n"/>
      <c r="F468" s="12" t="n"/>
      <c r="G468" s="12" t="n"/>
    </row>
    <row r="469">
      <c r="A469" s="12" t="n"/>
      <c r="B469" s="12" t="n"/>
      <c r="C469" s="12" t="n"/>
      <c r="D469" s="13">
        <f>IF($C469="","",IFERROR(INDEX(Emp_Names,MATCH($C469,Emp_Codes,0)),"NOT FOUND"))</f>
        <v/>
      </c>
      <c r="E469" s="12" t="n"/>
      <c r="F469" s="12" t="n"/>
      <c r="G469" s="12" t="n"/>
    </row>
    <row r="470">
      <c r="A470" s="12" t="n"/>
      <c r="B470" s="12" t="n"/>
      <c r="C470" s="12" t="n"/>
      <c r="D470" s="13">
        <f>IF($C470="","",IFERROR(INDEX(Emp_Names,MATCH($C470,Emp_Codes,0)),"NOT FOUND"))</f>
        <v/>
      </c>
      <c r="E470" s="12" t="n"/>
      <c r="F470" s="12" t="n"/>
      <c r="G470" s="12" t="n"/>
    </row>
    <row r="471">
      <c r="A471" s="12" t="n"/>
      <c r="B471" s="12" t="n"/>
      <c r="C471" s="12" t="n"/>
      <c r="D471" s="13">
        <f>IF($C471="","",IFERROR(INDEX(Emp_Names,MATCH($C471,Emp_Codes,0)),"NOT FOUND"))</f>
        <v/>
      </c>
      <c r="E471" s="12" t="n"/>
      <c r="F471" s="12" t="n"/>
      <c r="G471" s="12" t="n"/>
    </row>
    <row r="472">
      <c r="A472" s="12" t="n"/>
      <c r="B472" s="12" t="n"/>
      <c r="C472" s="12" t="n"/>
      <c r="D472" s="13">
        <f>IF($C472="","",IFERROR(INDEX(Emp_Names,MATCH($C472,Emp_Codes,0)),"NOT FOUND"))</f>
        <v/>
      </c>
      <c r="E472" s="12" t="n"/>
      <c r="F472" s="12" t="n"/>
      <c r="G472" s="12" t="n"/>
    </row>
    <row r="473">
      <c r="A473" s="12" t="n"/>
      <c r="B473" s="12" t="n"/>
      <c r="C473" s="12" t="n"/>
      <c r="D473" s="13">
        <f>IF($C473="","",IFERROR(INDEX(Emp_Names,MATCH($C473,Emp_Codes,0)),"NOT FOUND"))</f>
        <v/>
      </c>
      <c r="E473" s="12" t="n"/>
      <c r="F473" s="12" t="n"/>
      <c r="G473" s="12" t="n"/>
    </row>
    <row r="474">
      <c r="A474" s="12" t="n"/>
      <c r="B474" s="12" t="n"/>
      <c r="C474" s="12" t="n"/>
      <c r="D474" s="13">
        <f>IF($C474="","",IFERROR(INDEX(Emp_Names,MATCH($C474,Emp_Codes,0)),"NOT FOUND"))</f>
        <v/>
      </c>
      <c r="E474" s="12" t="n"/>
      <c r="F474" s="12" t="n"/>
      <c r="G474" s="12" t="n"/>
    </row>
    <row r="475">
      <c r="A475" s="12" t="n"/>
      <c r="B475" s="12" t="n"/>
      <c r="C475" s="12" t="n"/>
      <c r="D475" s="13">
        <f>IF($C475="","",IFERROR(INDEX(Emp_Names,MATCH($C475,Emp_Codes,0)),"NOT FOUND"))</f>
        <v/>
      </c>
      <c r="E475" s="12" t="n"/>
      <c r="F475" s="12" t="n"/>
      <c r="G475" s="12" t="n"/>
    </row>
    <row r="476">
      <c r="A476" s="12" t="n"/>
      <c r="B476" s="12" t="n"/>
      <c r="C476" s="12" t="n"/>
      <c r="D476" s="13">
        <f>IF($C476="","",IFERROR(INDEX(Emp_Names,MATCH($C476,Emp_Codes,0)),"NOT FOUND"))</f>
        <v/>
      </c>
      <c r="E476" s="12" t="n"/>
      <c r="F476" s="12" t="n"/>
      <c r="G476" s="12" t="n"/>
    </row>
    <row r="477">
      <c r="A477" s="12" t="n"/>
      <c r="B477" s="12" t="n"/>
      <c r="C477" s="12" t="n"/>
      <c r="D477" s="13">
        <f>IF($C477="","",IFERROR(INDEX(Emp_Names,MATCH($C477,Emp_Codes,0)),"NOT FOUND"))</f>
        <v/>
      </c>
      <c r="E477" s="12" t="n"/>
      <c r="F477" s="12" t="n"/>
      <c r="G477" s="12" t="n"/>
    </row>
    <row r="478">
      <c r="A478" s="12" t="n"/>
      <c r="B478" s="12" t="n"/>
      <c r="C478" s="12" t="n"/>
      <c r="D478" s="13">
        <f>IF($C478="","",IFERROR(INDEX(Emp_Names,MATCH($C478,Emp_Codes,0)),"NOT FOUND"))</f>
        <v/>
      </c>
      <c r="E478" s="12" t="n"/>
      <c r="F478" s="12" t="n"/>
      <c r="G478" s="12" t="n"/>
    </row>
    <row r="479">
      <c r="A479" s="12" t="n"/>
      <c r="B479" s="12" t="n"/>
      <c r="C479" s="12" t="n"/>
      <c r="D479" s="13">
        <f>IF($C479="","",IFERROR(INDEX(Emp_Names,MATCH($C479,Emp_Codes,0)),"NOT FOUND"))</f>
        <v/>
      </c>
      <c r="E479" s="12" t="n"/>
      <c r="F479" s="12" t="n"/>
      <c r="G479" s="12" t="n"/>
    </row>
    <row r="480">
      <c r="A480" s="12" t="n"/>
      <c r="B480" s="12" t="n"/>
      <c r="C480" s="12" t="n"/>
      <c r="D480" s="13">
        <f>IF($C480="","",IFERROR(INDEX(Emp_Names,MATCH($C480,Emp_Codes,0)),"NOT FOUND"))</f>
        <v/>
      </c>
      <c r="E480" s="12" t="n"/>
      <c r="F480" s="12" t="n"/>
      <c r="G480" s="12" t="n"/>
    </row>
    <row r="481">
      <c r="A481" s="12" t="n"/>
      <c r="B481" s="12" t="n"/>
      <c r="C481" s="12" t="n"/>
      <c r="D481" s="13">
        <f>IF($C481="","",IFERROR(INDEX(Emp_Names,MATCH($C481,Emp_Codes,0)),"NOT FOUND"))</f>
        <v/>
      </c>
      <c r="E481" s="12" t="n"/>
      <c r="F481" s="12" t="n"/>
      <c r="G481" s="12" t="n"/>
    </row>
    <row r="482">
      <c r="A482" s="12" t="n"/>
      <c r="B482" s="12" t="n"/>
      <c r="C482" s="12" t="n"/>
      <c r="D482" s="13">
        <f>IF($C482="","",IFERROR(INDEX(Emp_Names,MATCH($C482,Emp_Codes,0)),"NOT FOUND"))</f>
        <v/>
      </c>
      <c r="E482" s="12" t="n"/>
      <c r="F482" s="12" t="n"/>
      <c r="G482" s="12" t="n"/>
    </row>
    <row r="483">
      <c r="A483" s="12" t="n"/>
      <c r="B483" s="12" t="n"/>
      <c r="C483" s="12" t="n"/>
      <c r="D483" s="13">
        <f>IF($C483="","",IFERROR(INDEX(Emp_Names,MATCH($C483,Emp_Codes,0)),"NOT FOUND"))</f>
        <v/>
      </c>
      <c r="E483" s="12" t="n"/>
      <c r="F483" s="12" t="n"/>
      <c r="G483" s="12" t="n"/>
    </row>
    <row r="484">
      <c r="A484" s="12" t="n"/>
      <c r="B484" s="12" t="n"/>
      <c r="C484" s="12" t="n"/>
      <c r="D484" s="13">
        <f>IF($C484="","",IFERROR(INDEX(Emp_Names,MATCH($C484,Emp_Codes,0)),"NOT FOUND"))</f>
        <v/>
      </c>
      <c r="E484" s="12" t="n"/>
      <c r="F484" s="12" t="n"/>
      <c r="G484" s="12" t="n"/>
    </row>
    <row r="485">
      <c r="A485" s="12" t="n"/>
      <c r="B485" s="12" t="n"/>
      <c r="C485" s="12" t="n"/>
      <c r="D485" s="13">
        <f>IF($C485="","",IFERROR(INDEX(Emp_Names,MATCH($C485,Emp_Codes,0)),"NOT FOUND"))</f>
        <v/>
      </c>
      <c r="E485" s="12" t="n"/>
      <c r="F485" s="12" t="n"/>
      <c r="G485" s="12" t="n"/>
    </row>
    <row r="486">
      <c r="A486" s="12" t="n"/>
      <c r="B486" s="12" t="n"/>
      <c r="C486" s="12" t="n"/>
      <c r="D486" s="13">
        <f>IF($C486="","",IFERROR(INDEX(Emp_Names,MATCH($C486,Emp_Codes,0)),"NOT FOUND"))</f>
        <v/>
      </c>
      <c r="E486" s="12" t="n"/>
      <c r="F486" s="12" t="n"/>
      <c r="G486" s="12" t="n"/>
    </row>
    <row r="487">
      <c r="A487" s="12" t="n"/>
      <c r="B487" s="12" t="n"/>
      <c r="C487" s="12" t="n"/>
      <c r="D487" s="13">
        <f>IF($C487="","",IFERROR(INDEX(Emp_Names,MATCH($C487,Emp_Codes,0)),"NOT FOUND"))</f>
        <v/>
      </c>
      <c r="E487" s="12" t="n"/>
      <c r="F487" s="12" t="n"/>
      <c r="G487" s="12" t="n"/>
    </row>
    <row r="488">
      <c r="A488" s="12" t="n"/>
      <c r="B488" s="12" t="n"/>
      <c r="C488" s="12" t="n"/>
      <c r="D488" s="13">
        <f>IF($C488="","",IFERROR(INDEX(Emp_Names,MATCH($C488,Emp_Codes,0)),"NOT FOUND"))</f>
        <v/>
      </c>
      <c r="E488" s="12" t="n"/>
      <c r="F488" s="12" t="n"/>
      <c r="G488" s="12" t="n"/>
    </row>
    <row r="489">
      <c r="A489" s="12" t="n"/>
      <c r="B489" s="12" t="n"/>
      <c r="C489" s="12" t="n"/>
      <c r="D489" s="13">
        <f>IF($C489="","",IFERROR(INDEX(Emp_Names,MATCH($C489,Emp_Codes,0)),"NOT FOUND"))</f>
        <v/>
      </c>
      <c r="E489" s="12" t="n"/>
      <c r="F489" s="12" t="n"/>
      <c r="G489" s="12" t="n"/>
    </row>
    <row r="490">
      <c r="A490" s="12" t="n"/>
      <c r="B490" s="12" t="n"/>
      <c r="C490" s="12" t="n"/>
      <c r="D490" s="13">
        <f>IF($C490="","",IFERROR(INDEX(Emp_Names,MATCH($C490,Emp_Codes,0)),"NOT FOUND"))</f>
        <v/>
      </c>
      <c r="E490" s="12" t="n"/>
      <c r="F490" s="12" t="n"/>
      <c r="G490" s="12" t="n"/>
    </row>
    <row r="491">
      <c r="A491" s="12" t="n"/>
      <c r="B491" s="12" t="n"/>
      <c r="C491" s="12" t="n"/>
      <c r="D491" s="13">
        <f>IF($C491="","",IFERROR(INDEX(Emp_Names,MATCH($C491,Emp_Codes,0)),"NOT FOUND"))</f>
        <v/>
      </c>
      <c r="E491" s="12" t="n"/>
      <c r="F491" s="12" t="n"/>
      <c r="G491" s="12" t="n"/>
    </row>
    <row r="492">
      <c r="A492" s="12" t="n"/>
      <c r="B492" s="12" t="n"/>
      <c r="C492" s="12" t="n"/>
      <c r="D492" s="13">
        <f>IF($C492="","",IFERROR(INDEX(Emp_Names,MATCH($C492,Emp_Codes,0)),"NOT FOUND"))</f>
        <v/>
      </c>
      <c r="E492" s="12" t="n"/>
      <c r="F492" s="12" t="n"/>
      <c r="G492" s="12" t="n"/>
    </row>
    <row r="493">
      <c r="A493" s="12" t="n"/>
      <c r="B493" s="12" t="n"/>
      <c r="C493" s="12" t="n"/>
      <c r="D493" s="13">
        <f>IF($C493="","",IFERROR(INDEX(Emp_Names,MATCH($C493,Emp_Codes,0)),"NOT FOUND"))</f>
        <v/>
      </c>
      <c r="E493" s="12" t="n"/>
      <c r="F493" s="12" t="n"/>
      <c r="G493" s="12" t="n"/>
    </row>
    <row r="494">
      <c r="A494" s="12" t="n"/>
      <c r="B494" s="12" t="n"/>
      <c r="C494" s="12" t="n"/>
      <c r="D494" s="13">
        <f>IF($C494="","",IFERROR(INDEX(Emp_Names,MATCH($C494,Emp_Codes,0)),"NOT FOUND"))</f>
        <v/>
      </c>
      <c r="E494" s="12" t="n"/>
      <c r="F494" s="12" t="n"/>
      <c r="G494" s="12" t="n"/>
    </row>
    <row r="495">
      <c r="A495" s="12" t="n"/>
      <c r="B495" s="12" t="n"/>
      <c r="C495" s="12" t="n"/>
      <c r="D495" s="13">
        <f>IF($C495="","",IFERROR(INDEX(Emp_Names,MATCH($C495,Emp_Codes,0)),"NOT FOUND"))</f>
        <v/>
      </c>
      <c r="E495" s="12" t="n"/>
      <c r="F495" s="12" t="n"/>
      <c r="G495" s="12" t="n"/>
    </row>
    <row r="496">
      <c r="A496" s="12" t="n"/>
      <c r="B496" s="12" t="n"/>
      <c r="C496" s="12" t="n"/>
      <c r="D496" s="13">
        <f>IF($C496="","",IFERROR(INDEX(Emp_Names,MATCH($C496,Emp_Codes,0)),"NOT FOUND"))</f>
        <v/>
      </c>
      <c r="E496" s="12" t="n"/>
      <c r="F496" s="12" t="n"/>
      <c r="G496" s="12" t="n"/>
    </row>
    <row r="497">
      <c r="A497" s="12" t="n"/>
      <c r="B497" s="12" t="n"/>
      <c r="C497" s="12" t="n"/>
      <c r="D497" s="13">
        <f>IF($C497="","",IFERROR(INDEX(Emp_Names,MATCH($C497,Emp_Codes,0)),"NOT FOUND"))</f>
        <v/>
      </c>
      <c r="E497" s="12" t="n"/>
      <c r="F497" s="12" t="n"/>
      <c r="G497" s="12" t="n"/>
    </row>
    <row r="498">
      <c r="A498" s="12" t="n"/>
      <c r="B498" s="12" t="n"/>
      <c r="C498" s="12" t="n"/>
      <c r="D498" s="13">
        <f>IF($C498="","",IFERROR(INDEX(Emp_Names,MATCH($C498,Emp_Codes,0)),"NOT FOUND"))</f>
        <v/>
      </c>
      <c r="E498" s="12" t="n"/>
      <c r="F498" s="12" t="n"/>
      <c r="G498" s="12" t="n"/>
    </row>
    <row r="499">
      <c r="A499" s="12" t="n"/>
      <c r="B499" s="12" t="n"/>
      <c r="C499" s="12" t="n"/>
      <c r="D499" s="13">
        <f>IF($C499="","",IFERROR(INDEX(Emp_Names,MATCH($C499,Emp_Codes,0)),"NOT FOUND"))</f>
        <v/>
      </c>
      <c r="E499" s="12" t="n"/>
      <c r="F499" s="12" t="n"/>
      <c r="G499" s="12" t="n"/>
    </row>
    <row r="500">
      <c r="A500" s="12" t="n"/>
      <c r="B500" s="12" t="n"/>
      <c r="C500" s="12" t="n"/>
      <c r="D500" s="13">
        <f>IF($C500="","",IFERROR(INDEX(Emp_Names,MATCH($C500,Emp_Codes,0)),"NOT FOUND"))</f>
        <v/>
      </c>
      <c r="E500" s="12" t="n"/>
      <c r="F500" s="12" t="n"/>
      <c r="G500" s="12" t="n"/>
    </row>
    <row r="501">
      <c r="A501" s="12" t="n"/>
      <c r="B501" s="12" t="n"/>
      <c r="C501" s="12" t="n"/>
      <c r="D501" s="13">
        <f>IF($C501="","",IFERROR(INDEX(Emp_Names,MATCH($C501,Emp_Codes,0)),"NOT FOUND"))</f>
        <v/>
      </c>
      <c r="E501" s="12" t="n"/>
      <c r="F501" s="12" t="n"/>
      <c r="G501" s="12" t="n"/>
    </row>
  </sheetData>
  <autoFilter ref="A1:G501"/>
  <conditionalFormatting sqref="C2:C501">
    <cfRule type="expression" priority="1" dxfId="0" stopIfTrue="0">
      <formula>AND($C2&lt;&gt;"",COUNTIF(Emp_Codes,$C2)=0)</formula>
    </cfRule>
  </conditionalFormatting>
  <dataValidations count="4">
    <dataValidation sqref="A2:A501" showDropDown="0" showInputMessage="0" showErrorMessage="1" allowBlank="1" errorTitle="Login email" error="An email address, and only once in this sheet." type="custom">
      <formula1>AND(ISNUMBER(SEARCH("@",A2)),COUNTIF($A$2:$A$501,A2)&lt;=1)</formula1>
    </dataValidation>
    <dataValidation sqref="C2:C501" showDropDown="0" showInputMessage="1" showErrorMessage="1" allowBlank="1" errorTitle="Employee" error="Pick an Employee Code from sheet '3. Employees'." promptTitle="Employee" prompt="Pick an Employee Code from sheet '3. Employees'." type="list">
      <formula1>Emp_Codes</formula1>
    </dataValidation>
    <dataValidation sqref="E2:E501" showDropDown="0" showInputMessage="1" showErrorMessage="1" allowBlank="0" errorTitle="Role" error="Pick one from the list. 'Allowed values' explains each." promptTitle="Role" prompt="Pick one from the list. 'Allowed values' explains each." type="list">
      <formula1>List_Role</formula1>
    </dataValidation>
    <dataValidation sqref="F2:F501" showDropDown="0" showInputMessage="1" showErrorMessage="1" allowBlank="1" errorTitle="May approve?" error="Yes, No, or leave blank." promptTitle="May approve?" prompt="Yes, No, or leave blank." type="list">
      <formula1>List_YesNo</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2:N49"/>
  <sheetViews>
    <sheetView showGridLines="0" workbookViewId="0">
      <selection activeCell="A1" sqref="A1"/>
    </sheetView>
  </sheetViews>
  <sheetFormatPr baseColWidth="8" defaultRowHeight="15"/>
  <cols>
    <col width="3"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s>
  <sheetData>
    <row r="2">
      <c r="B2" s="1" t="inlineStr">
        <is>
          <t>Example — a five-department, seven-person company</t>
        </is>
      </c>
    </row>
    <row r="3" ht="31" customHeight="1">
      <c r="B3" s="7" t="inlineStr">
        <is>
          <t>Nothing here needs to be filled in or deleted. It is here to show how the sheets point at each other: notice that EMP004 appears on the employee sheet once and on the salary sheet three times, and that every department, designation and manager is written as a CODE.</t>
        </is>
      </c>
    </row>
    <row r="5">
      <c r="B5" s="3" t="inlineStr">
        <is>
          <t>Sheet 1 — Departments</t>
        </is>
      </c>
    </row>
    <row r="6" ht="17.5" customHeight="1">
      <c r="B6" s="7" t="inlineStr">
        <is>
          <t>CORP has no parent — it is the top. TECH sits inside CORP, ENG and QA inside TECH.</t>
        </is>
      </c>
    </row>
    <row r="7" ht="30" customHeight="1">
      <c r="B7" s="10" t="inlineStr">
        <is>
          <t>Code</t>
        </is>
      </c>
      <c r="C7" s="10" t="inlineStr">
        <is>
          <t>Name</t>
        </is>
      </c>
      <c r="D7" s="10" t="inlineStr">
        <is>
          <t>Sits inside</t>
        </is>
      </c>
      <c r="E7" s="10" t="inlineStr">
        <is>
          <t>Head</t>
        </is>
      </c>
      <c r="F7" s="10" t="inlineStr">
        <is>
          <t>Description</t>
        </is>
      </c>
      <c r="G7" s="10" t="inlineStr">
        <is>
          <t>Status</t>
        </is>
      </c>
      <c r="H7" s="10" t="inlineStr">
        <is>
          <t>Order</t>
        </is>
      </c>
    </row>
    <row r="8">
      <c r="B8" s="12" t="inlineStr">
        <is>
          <t>CORP</t>
        </is>
      </c>
      <c r="C8" s="12" t="inlineStr">
        <is>
          <t>Company</t>
        </is>
      </c>
      <c r="D8" s="12" t="inlineStr"/>
      <c r="E8" s="12" t="inlineStr">
        <is>
          <t>EMP001</t>
        </is>
      </c>
      <c r="F8" s="12" t="inlineStr">
        <is>
          <t>The organisation as a whole</t>
        </is>
      </c>
      <c r="G8" s="12" t="inlineStr">
        <is>
          <t>ACTIVE</t>
        </is>
      </c>
      <c r="H8" s="12" t="n">
        <v>1</v>
      </c>
    </row>
    <row r="9">
      <c r="B9" s="12" t="inlineStr">
        <is>
          <t>TECH</t>
        </is>
      </c>
      <c r="C9" s="12" t="inlineStr">
        <is>
          <t>Technology</t>
        </is>
      </c>
      <c r="D9" s="12" t="inlineStr">
        <is>
          <t>CORP</t>
        </is>
      </c>
      <c r="E9" s="12" t="inlineStr">
        <is>
          <t>EMP002</t>
        </is>
      </c>
      <c r="F9" s="12" t="inlineStr">
        <is>
          <t>Engineering, quality, infrastructure</t>
        </is>
      </c>
      <c r="G9" s="12" t="inlineStr">
        <is>
          <t>ACTIVE</t>
        </is>
      </c>
      <c r="H9" s="12" t="n">
        <v>2</v>
      </c>
    </row>
    <row r="10">
      <c r="B10" s="12" t="inlineStr">
        <is>
          <t>ENG</t>
        </is>
      </c>
      <c r="C10" s="12" t="inlineStr">
        <is>
          <t>Engineering</t>
        </is>
      </c>
      <c r="D10" s="12" t="inlineStr">
        <is>
          <t>TECH</t>
        </is>
      </c>
      <c r="E10" s="12" t="inlineStr">
        <is>
          <t>EMP003</t>
        </is>
      </c>
      <c r="F10" s="12" t="inlineStr">
        <is>
          <t>Product and platform development</t>
        </is>
      </c>
      <c r="G10" s="12" t="inlineStr">
        <is>
          <t>ACTIVE</t>
        </is>
      </c>
      <c r="H10" s="12" t="n">
        <v>3</v>
      </c>
    </row>
    <row r="11">
      <c r="B11" s="12" t="inlineStr">
        <is>
          <t>QA</t>
        </is>
      </c>
      <c r="C11" s="12" t="inlineStr">
        <is>
          <t>QA</t>
        </is>
      </c>
      <c r="D11" s="12" t="inlineStr">
        <is>
          <t>TECH</t>
        </is>
      </c>
      <c r="E11" s="12" t="inlineStr"/>
      <c r="F11" s="12" t="inlineStr">
        <is>
          <t>Release testing</t>
        </is>
      </c>
      <c r="G11" s="12" t="inlineStr">
        <is>
          <t>ACTIVE</t>
        </is>
      </c>
      <c r="H11" s="12" t="n">
        <v>4</v>
      </c>
    </row>
    <row r="12">
      <c r="B12" s="12" t="inlineStr">
        <is>
          <t>HR</t>
        </is>
      </c>
      <c r="C12" s="12" t="inlineStr">
        <is>
          <t>Human Resources</t>
        </is>
      </c>
      <c r="D12" s="12" t="inlineStr">
        <is>
          <t>CORP</t>
        </is>
      </c>
      <c r="E12" s="12" t="inlineStr">
        <is>
          <t>EMP006</t>
        </is>
      </c>
      <c r="F12" s="12" t="inlineStr">
        <is>
          <t>People, hiring and payroll</t>
        </is>
      </c>
      <c r="G12" s="12" t="inlineStr">
        <is>
          <t>ACTIVE</t>
        </is>
      </c>
      <c r="H12" s="12" t="n">
        <v>5</v>
      </c>
    </row>
    <row r="14">
      <c r="B14" s="3" t="inlineStr">
        <is>
          <t>Sheet 2 — Designations</t>
        </is>
      </c>
    </row>
    <row r="15" ht="17.5" customHeight="1">
      <c r="B15" s="7" t="inlineStr">
        <is>
          <t>Level 1 is the top of the ladder. Notice a Senior Developer is level 7 whoever they report to.</t>
        </is>
      </c>
    </row>
    <row r="16" ht="30" customHeight="1">
      <c r="B16" s="10" t="inlineStr">
        <is>
          <t>Code</t>
        </is>
      </c>
      <c r="C16" s="10" t="inlineStr">
        <is>
          <t>Name</t>
        </is>
      </c>
      <c r="D16" s="10" t="inlineStr">
        <is>
          <t>Level</t>
        </is>
      </c>
      <c r="E16" s="10" t="inlineStr">
        <is>
          <t>Manages people?</t>
        </is>
      </c>
      <c r="F16" s="10" t="inlineStr">
        <is>
          <t>Description</t>
        </is>
      </c>
      <c r="G16" s="10" t="inlineStr">
        <is>
          <t>Status</t>
        </is>
      </c>
    </row>
    <row r="17">
      <c r="B17" s="12" t="inlineStr">
        <is>
          <t>CEO</t>
        </is>
      </c>
      <c r="C17" s="12" t="inlineStr">
        <is>
          <t>CEO</t>
        </is>
      </c>
      <c r="D17" s="12" t="n">
        <v>1</v>
      </c>
      <c r="E17" s="12" t="inlineStr">
        <is>
          <t>Yes</t>
        </is>
      </c>
      <c r="F17" s="12" t="inlineStr"/>
      <c r="G17" s="12" t="inlineStr">
        <is>
          <t>ACTIVE</t>
        </is>
      </c>
    </row>
    <row r="18">
      <c r="B18" s="12" t="inlineStr">
        <is>
          <t>CTO</t>
        </is>
      </c>
      <c r="C18" s="12" t="inlineStr">
        <is>
          <t>CTO</t>
        </is>
      </c>
      <c r="D18" s="12" t="n">
        <v>2</v>
      </c>
      <c r="E18" s="12" t="inlineStr">
        <is>
          <t>Yes</t>
        </is>
      </c>
      <c r="F18" s="12" t="inlineStr"/>
      <c r="G18" s="12" t="inlineStr">
        <is>
          <t>ACTIVE</t>
        </is>
      </c>
    </row>
    <row r="19">
      <c r="B19" s="12" t="inlineStr">
        <is>
          <t>MGR</t>
        </is>
      </c>
      <c r="C19" s="12" t="inlineStr">
        <is>
          <t>Manager</t>
        </is>
      </c>
      <c r="D19" s="12" t="n">
        <v>5</v>
      </c>
      <c r="E19" s="12" t="inlineStr">
        <is>
          <t>Yes</t>
        </is>
      </c>
      <c r="F19" s="12" t="inlineStr"/>
      <c r="G19" s="12" t="inlineStr">
        <is>
          <t>ACTIVE</t>
        </is>
      </c>
    </row>
    <row r="20">
      <c r="B20" s="12" t="inlineStr">
        <is>
          <t>SR_DEV</t>
        </is>
      </c>
      <c r="C20" s="12" t="inlineStr">
        <is>
          <t>Senior Developer</t>
        </is>
      </c>
      <c r="D20" s="12" t="n">
        <v>7</v>
      </c>
      <c r="E20" s="12" t="inlineStr">
        <is>
          <t>No</t>
        </is>
      </c>
      <c r="F20" s="12" t="inlineStr"/>
      <c r="G20" s="12" t="inlineStr">
        <is>
          <t>ACTIVE</t>
        </is>
      </c>
    </row>
    <row r="21">
      <c r="B21" s="12" t="inlineStr">
        <is>
          <t>DEV</t>
        </is>
      </c>
      <c r="C21" s="12" t="inlineStr">
        <is>
          <t>Developer</t>
        </is>
      </c>
      <c r="D21" s="12" t="n">
        <v>8</v>
      </c>
      <c r="E21" s="12" t="inlineStr">
        <is>
          <t>No</t>
        </is>
      </c>
      <c r="F21" s="12" t="inlineStr"/>
      <c r="G21" s="12" t="inlineStr">
        <is>
          <t>ACTIVE</t>
        </is>
      </c>
    </row>
    <row r="23">
      <c r="B23" s="3" t="inlineStr">
        <is>
          <t>Sheet 3 — Employees (the auto columns are left out here)</t>
        </is>
      </c>
    </row>
    <row r="24" ht="17.5" customHeight="1">
      <c r="B24" s="7" t="inlineStr">
        <is>
          <t>EMP001 has a blank 'reports to' because he is the top. EMP007 has left, so she has a last working day — and she keeps her place in the chart and her history.</t>
        </is>
      </c>
    </row>
    <row r="25" ht="30" customHeight="1">
      <c r="B25" s="10" t="inlineStr">
        <is>
          <t>Code</t>
        </is>
      </c>
      <c r="C25" s="10" t="inlineStr">
        <is>
          <t>First</t>
        </is>
      </c>
      <c r="D25" s="10" t="inlineStr">
        <is>
          <t>Last</t>
        </is>
      </c>
      <c r="E25" s="10" t="inlineStr">
        <is>
          <t>Email</t>
        </is>
      </c>
      <c r="F25" s="10" t="inlineStr">
        <is>
          <t>Joined</t>
        </is>
      </c>
      <c r="G25" s="10" t="inlineStr">
        <is>
          <t>Status</t>
        </is>
      </c>
      <c r="H25" s="10" t="inlineStr">
        <is>
          <t>Last working day</t>
        </is>
      </c>
      <c r="I25" s="10" t="inlineStr">
        <is>
          <t>Dept code</t>
        </is>
      </c>
      <c r="J25" s="10" t="inlineStr">
        <is>
          <t>Desig code</t>
        </is>
      </c>
      <c r="K25" s="10" t="inlineStr">
        <is>
          <t>Job title</t>
        </is>
      </c>
      <c r="L25" s="10" t="inlineStr">
        <is>
          <t>Reports to</t>
        </is>
      </c>
      <c r="M25" s="10" t="inlineStr">
        <is>
          <t>Manager?</t>
        </is>
      </c>
      <c r="N25" s="10" t="inlineStr">
        <is>
          <t>Login email</t>
        </is>
      </c>
    </row>
    <row r="26">
      <c r="B26" s="12" t="inlineStr">
        <is>
          <t>EMP001</t>
        </is>
      </c>
      <c r="C26" s="12" t="inlineStr">
        <is>
          <t>Arun</t>
        </is>
      </c>
      <c r="D26" s="12" t="inlineStr">
        <is>
          <t>Mehta</t>
        </is>
      </c>
      <c r="E26" s="12" t="inlineStr">
        <is>
          <t>arun@example.com</t>
        </is>
      </c>
      <c r="F26" s="12" t="inlineStr">
        <is>
          <t>01-Apr-2016</t>
        </is>
      </c>
      <c r="G26" s="12" t="inlineStr">
        <is>
          <t>ACTIVE</t>
        </is>
      </c>
      <c r="H26" s="12" t="inlineStr"/>
      <c r="I26" s="12" t="inlineStr">
        <is>
          <t>CORP</t>
        </is>
      </c>
      <c r="J26" s="12" t="inlineStr">
        <is>
          <t>CEO</t>
        </is>
      </c>
      <c r="K26" s="12" t="inlineStr">
        <is>
          <t>Chief Executive Officer</t>
        </is>
      </c>
      <c r="L26" s="12" t="inlineStr"/>
      <c r="M26" s="12" t="inlineStr">
        <is>
          <t>Yes</t>
        </is>
      </c>
      <c r="N26" s="12" t="inlineStr">
        <is>
          <t>arun@example.com</t>
        </is>
      </c>
    </row>
    <row r="27">
      <c r="B27" s="12" t="inlineStr">
        <is>
          <t>EMP002</t>
        </is>
      </c>
      <c r="C27" s="12" t="inlineStr">
        <is>
          <t>Priya</t>
        </is>
      </c>
      <c r="D27" s="12" t="inlineStr">
        <is>
          <t>Nair</t>
        </is>
      </c>
      <c r="E27" s="12" t="inlineStr">
        <is>
          <t>priya@example.com</t>
        </is>
      </c>
      <c r="F27" s="12" t="inlineStr">
        <is>
          <t>10-Jul-2017</t>
        </is>
      </c>
      <c r="G27" s="12" t="inlineStr">
        <is>
          <t>ACTIVE</t>
        </is>
      </c>
      <c r="H27" s="12" t="inlineStr"/>
      <c r="I27" s="12" t="inlineStr">
        <is>
          <t>TECH</t>
        </is>
      </c>
      <c r="J27" s="12" t="inlineStr">
        <is>
          <t>CTO</t>
        </is>
      </c>
      <c r="K27" s="12" t="inlineStr">
        <is>
          <t>Chief Technology Officer</t>
        </is>
      </c>
      <c r="L27" s="12" t="inlineStr">
        <is>
          <t>EMP001</t>
        </is>
      </c>
      <c r="M27" s="12" t="inlineStr">
        <is>
          <t>Yes</t>
        </is>
      </c>
      <c r="N27" s="12" t="inlineStr">
        <is>
          <t>priya@example.com</t>
        </is>
      </c>
    </row>
    <row r="28">
      <c r="B28" s="12" t="inlineStr">
        <is>
          <t>EMP003</t>
        </is>
      </c>
      <c r="C28" s="12" t="inlineStr">
        <is>
          <t>Sandeep</t>
        </is>
      </c>
      <c r="D28" s="12" t="inlineStr">
        <is>
          <t>Rao</t>
        </is>
      </c>
      <c r="E28" s="12" t="inlineStr">
        <is>
          <t>sandeep@example.com</t>
        </is>
      </c>
      <c r="F28" s="12" t="inlineStr">
        <is>
          <t>18-Feb-2019</t>
        </is>
      </c>
      <c r="G28" s="12" t="inlineStr">
        <is>
          <t>ACTIVE</t>
        </is>
      </c>
      <c r="H28" s="12" t="inlineStr"/>
      <c r="I28" s="12" t="inlineStr">
        <is>
          <t>ENG</t>
        </is>
      </c>
      <c r="J28" s="12" t="inlineStr">
        <is>
          <t>MGR</t>
        </is>
      </c>
      <c r="K28" s="12" t="inlineStr">
        <is>
          <t>Engineering Manager</t>
        </is>
      </c>
      <c r="L28" s="12" t="inlineStr">
        <is>
          <t>EMP002</t>
        </is>
      </c>
      <c r="M28" s="12" t="inlineStr">
        <is>
          <t>Yes</t>
        </is>
      </c>
      <c r="N28" s="12" t="inlineStr">
        <is>
          <t>sandeep@example.com</t>
        </is>
      </c>
    </row>
    <row r="29">
      <c r="B29" s="12" t="inlineStr">
        <is>
          <t>EMP004</t>
        </is>
      </c>
      <c r="C29" s="12" t="inlineStr">
        <is>
          <t>Kavya</t>
        </is>
      </c>
      <c r="D29" s="12" t="inlineStr">
        <is>
          <t>Iyer</t>
        </is>
      </c>
      <c r="E29" s="12" t="inlineStr">
        <is>
          <t>kavya@example.com</t>
        </is>
      </c>
      <c r="F29" s="12" t="inlineStr">
        <is>
          <t>01-Jun-2020</t>
        </is>
      </c>
      <c r="G29" s="12" t="inlineStr">
        <is>
          <t>ACTIVE</t>
        </is>
      </c>
      <c r="H29" s="12" t="inlineStr"/>
      <c r="I29" s="12" t="inlineStr">
        <is>
          <t>ENG</t>
        </is>
      </c>
      <c r="J29" s="12" t="inlineStr">
        <is>
          <t>SR_DEV</t>
        </is>
      </c>
      <c r="K29" s="12" t="inlineStr">
        <is>
          <t>Senior Developer</t>
        </is>
      </c>
      <c r="L29" s="12" t="inlineStr">
        <is>
          <t>EMP003</t>
        </is>
      </c>
      <c r="M29" s="12" t="inlineStr"/>
      <c r="N29" s="12" t="inlineStr">
        <is>
          <t>kavya@example.com</t>
        </is>
      </c>
    </row>
    <row r="30">
      <c r="B30" s="12" t="inlineStr">
        <is>
          <t>EMP005</t>
        </is>
      </c>
      <c r="C30" s="12" t="inlineStr">
        <is>
          <t>Rohit</t>
        </is>
      </c>
      <c r="D30" s="12" t="inlineStr">
        <is>
          <t>Sharma</t>
        </is>
      </c>
      <c r="E30" s="12" t="inlineStr">
        <is>
          <t>rohit@example.com</t>
        </is>
      </c>
      <c r="F30" s="12" t="inlineStr">
        <is>
          <t>05-Sep-2022</t>
        </is>
      </c>
      <c r="G30" s="12" t="inlineStr">
        <is>
          <t>ACTIVE</t>
        </is>
      </c>
      <c r="H30" s="12" t="inlineStr"/>
      <c r="I30" s="12" t="inlineStr">
        <is>
          <t>ENG</t>
        </is>
      </c>
      <c r="J30" s="12" t="inlineStr">
        <is>
          <t>DEV</t>
        </is>
      </c>
      <c r="K30" s="12" t="inlineStr">
        <is>
          <t>Developer</t>
        </is>
      </c>
      <c r="L30" s="12" t="inlineStr">
        <is>
          <t>EMP004</t>
        </is>
      </c>
      <c r="M30" s="12" t="inlineStr"/>
      <c r="N30" s="12" t="inlineStr"/>
    </row>
    <row r="31">
      <c r="B31" s="12" t="inlineStr">
        <is>
          <t>EMP006</t>
        </is>
      </c>
      <c r="C31" s="12" t="inlineStr">
        <is>
          <t>Rajesh</t>
        </is>
      </c>
      <c r="D31" s="12" t="inlineStr">
        <is>
          <t>Kulkarni</t>
        </is>
      </c>
      <c r="E31" s="12" t="inlineStr">
        <is>
          <t>rajesh@example.com</t>
        </is>
      </c>
      <c r="F31" s="12" t="inlineStr">
        <is>
          <t>02-May-2018</t>
        </is>
      </c>
      <c r="G31" s="12" t="inlineStr">
        <is>
          <t>ACTIVE</t>
        </is>
      </c>
      <c r="H31" s="12" t="inlineStr"/>
      <c r="I31" s="12" t="inlineStr">
        <is>
          <t>HR</t>
        </is>
      </c>
      <c r="J31" s="12" t="inlineStr">
        <is>
          <t>MGR</t>
        </is>
      </c>
      <c r="K31" s="12" t="inlineStr">
        <is>
          <t>HR Head</t>
        </is>
      </c>
      <c r="L31" s="12" t="inlineStr">
        <is>
          <t>EMP001</t>
        </is>
      </c>
      <c r="M31" s="12" t="inlineStr">
        <is>
          <t>Yes</t>
        </is>
      </c>
      <c r="N31" s="12" t="inlineStr">
        <is>
          <t>rajesh@example.com</t>
        </is>
      </c>
    </row>
    <row r="32">
      <c r="B32" s="12" t="inlineStr">
        <is>
          <t>EMP007</t>
        </is>
      </c>
      <c r="C32" s="12" t="inlineStr">
        <is>
          <t>Anjali</t>
        </is>
      </c>
      <c r="D32" s="12" t="inlineStr">
        <is>
          <t>Verma</t>
        </is>
      </c>
      <c r="E32" s="12" t="inlineStr">
        <is>
          <t>anjali@example.com</t>
        </is>
      </c>
      <c r="F32" s="12" t="inlineStr">
        <is>
          <t>13-May-2024</t>
        </is>
      </c>
      <c r="G32" s="12" t="inlineStr">
        <is>
          <t>RESIGNED</t>
        </is>
      </c>
      <c r="H32" s="12" t="inlineStr">
        <is>
          <t>31-Aug-2026</t>
        </is>
      </c>
      <c r="I32" s="12" t="inlineStr">
        <is>
          <t>QA</t>
        </is>
      </c>
      <c r="J32" s="12" t="inlineStr">
        <is>
          <t>DEV</t>
        </is>
      </c>
      <c r="K32" s="12" t="inlineStr">
        <is>
          <t>QA Engineer</t>
        </is>
      </c>
      <c r="L32" s="12" t="inlineStr">
        <is>
          <t>EMP002</t>
        </is>
      </c>
      <c r="M32" s="12" t="inlineStr"/>
      <c r="N32" s="12" t="inlineStr"/>
    </row>
    <row r="34">
      <c r="B34" s="3" t="inlineStr">
        <is>
          <t>Sheet 4 — Salary history</t>
        </is>
      </c>
    </row>
    <row r="35" ht="17.5" customHeight="1">
      <c r="B35" s="7" t="inlineStr">
        <is>
          <t>Three rows for EMP004, oldest first: what she joined on, her 2025 increment and her 2026 promotion. The old rows are NOT edited when a new one is added — that history is the point.</t>
        </is>
      </c>
    </row>
    <row r="36" ht="30" customHeight="1">
      <c r="B36" s="10" t="inlineStr">
        <is>
          <t>Employee</t>
        </is>
      </c>
      <c r="C36" s="10" t="inlineStr">
        <is>
          <t>Effective from</t>
        </is>
      </c>
      <c r="D36" s="10" t="inlineStr">
        <is>
          <t>Basic</t>
        </is>
      </c>
      <c r="E36" s="10" t="inlineStr">
        <is>
          <t>Allowances</t>
        </is>
      </c>
      <c r="F36" s="10" t="inlineStr">
        <is>
          <t>Bonuses</t>
        </is>
      </c>
      <c r="G36" s="10" t="inlineStr">
        <is>
          <t>Deductions</t>
        </is>
      </c>
      <c r="H36" s="10" t="inlineStr">
        <is>
          <t>Total (auto)</t>
        </is>
      </c>
      <c r="I36" s="10" t="inlineStr">
        <is>
          <t>Currency</t>
        </is>
      </c>
      <c r="J36" s="10" t="inlineStr">
        <is>
          <t>Revision type</t>
        </is>
      </c>
      <c r="K36" s="10" t="inlineStr">
        <is>
          <t>Reason</t>
        </is>
      </c>
      <c r="L36" s="10" t="inlineStr">
        <is>
          <t>Paid?</t>
        </is>
      </c>
    </row>
    <row r="37">
      <c r="B37" s="12" t="inlineStr">
        <is>
          <t>EMP004</t>
        </is>
      </c>
      <c r="C37" s="12" t="inlineStr">
        <is>
          <t>01-Jan-2024</t>
        </is>
      </c>
      <c r="D37" s="12" t="n">
        <v>750000</v>
      </c>
      <c r="E37" s="12" t="n">
        <v>200000</v>
      </c>
      <c r="F37" s="12" t="n">
        <v>50000</v>
      </c>
      <c r="G37" s="12" t="n">
        <v>0</v>
      </c>
      <c r="H37" s="12" t="n">
        <v>1000000</v>
      </c>
      <c r="I37" s="12" t="inlineStr">
        <is>
          <t>INR</t>
        </is>
      </c>
      <c r="J37" s="12" t="inlineStr">
        <is>
          <t>INITIAL</t>
        </is>
      </c>
      <c r="K37" s="12" t="inlineStr">
        <is>
          <t>Joining salary</t>
        </is>
      </c>
      <c r="L37" s="12" t="inlineStr">
        <is>
          <t>Yes</t>
        </is>
      </c>
    </row>
    <row r="38">
      <c r="B38" s="12" t="inlineStr">
        <is>
          <t>EMP004</t>
        </is>
      </c>
      <c r="C38" s="12" t="inlineStr">
        <is>
          <t>01-Apr-2025</t>
        </is>
      </c>
      <c r="D38" s="12" t="n">
        <v>900000</v>
      </c>
      <c r="E38" s="12" t="n">
        <v>240000</v>
      </c>
      <c r="F38" s="12" t="n">
        <v>90000</v>
      </c>
      <c r="G38" s="12" t="n">
        <v>0</v>
      </c>
      <c r="H38" s="12" t="n">
        <v>1230000</v>
      </c>
      <c r="I38" s="12" t="inlineStr">
        <is>
          <t>INR</t>
        </is>
      </c>
      <c r="J38" s="12" t="inlineStr">
        <is>
          <t>ANNUAL_INCREMENT</t>
        </is>
      </c>
      <c r="K38" s="12" t="inlineStr">
        <is>
          <t>Annual review 2025</t>
        </is>
      </c>
      <c r="L38" s="12" t="inlineStr">
        <is>
          <t>Yes</t>
        </is>
      </c>
    </row>
    <row r="39">
      <c r="B39" s="12" t="inlineStr">
        <is>
          <t>EMP004</t>
        </is>
      </c>
      <c r="C39" s="12" t="inlineStr">
        <is>
          <t>01-Apr-2026</t>
        </is>
      </c>
      <c r="D39" s="12" t="n">
        <v>1080000</v>
      </c>
      <c r="E39" s="12" t="n">
        <v>280000</v>
      </c>
      <c r="F39" s="12" t="n">
        <v>140000</v>
      </c>
      <c r="G39" s="12" t="n">
        <v>0</v>
      </c>
      <c r="H39" s="12" t="n">
        <v>1500000</v>
      </c>
      <c r="I39" s="12" t="inlineStr">
        <is>
          <t>INR</t>
        </is>
      </c>
      <c r="J39" s="12" t="inlineStr">
        <is>
          <t>PROMOTION</t>
        </is>
      </c>
      <c r="K39" s="12" t="inlineStr">
        <is>
          <t>Promoted to Senior Developer</t>
        </is>
      </c>
      <c r="L39" s="12" t="inlineStr">
        <is>
          <t>Yes</t>
        </is>
      </c>
    </row>
    <row r="40">
      <c r="B40" s="12" t="inlineStr">
        <is>
          <t>EMP005</t>
        </is>
      </c>
      <c r="C40" s="12" t="inlineStr">
        <is>
          <t>05-Sep-2022</t>
        </is>
      </c>
      <c r="D40" s="12" t="n">
        <v>480000</v>
      </c>
      <c r="E40" s="12" t="n">
        <v>120000</v>
      </c>
      <c r="F40" s="12" t="n">
        <v>0</v>
      </c>
      <c r="G40" s="12" t="n">
        <v>0</v>
      </c>
      <c r="H40" s="12" t="n">
        <v>600000</v>
      </c>
      <c r="I40" s="12" t="inlineStr">
        <is>
          <t>INR</t>
        </is>
      </c>
      <c r="J40" s="12" t="inlineStr">
        <is>
          <t>INITIAL</t>
        </is>
      </c>
      <c r="K40" s="12" t="inlineStr">
        <is>
          <t>Joining salary</t>
        </is>
      </c>
      <c r="L40" s="12" t="inlineStr">
        <is>
          <t>Yes</t>
        </is>
      </c>
    </row>
    <row r="42">
      <c r="B42" s="3" t="inlineStr">
        <is>
          <t>Sheet 5 — Access and roles</t>
        </is>
      </c>
    </row>
    <row r="43" ht="17.5" customHeight="1">
      <c r="B43" s="7" t="inlineStr">
        <is>
          <t>Kavya gets 'Employee (Self Service)': she can see her own salary and nobody else's — not even Rohit's, who reports to her. Sandeep gets 'Manager', so he can see his team's.</t>
        </is>
      </c>
    </row>
    <row r="44" ht="30" customHeight="1">
      <c r="B44" s="10" t="inlineStr">
        <is>
          <t>Login email</t>
        </is>
      </c>
      <c r="C44" s="10" t="inlineStr">
        <is>
          <t>Full name</t>
        </is>
      </c>
      <c r="D44" s="10" t="inlineStr">
        <is>
          <t>Employee code</t>
        </is>
      </c>
      <c r="E44" s="10" t="inlineStr">
        <is>
          <t>Role</t>
        </is>
      </c>
      <c r="F44" s="10" t="inlineStr">
        <is>
          <t>May approve salary?</t>
        </is>
      </c>
    </row>
    <row r="45">
      <c r="B45" s="12" t="inlineStr">
        <is>
          <t>arun@example.com</t>
        </is>
      </c>
      <c r="C45" s="12" t="inlineStr">
        <is>
          <t>Arun Mehta</t>
        </is>
      </c>
      <c r="D45" s="12" t="inlineStr">
        <is>
          <t>EMP001</t>
        </is>
      </c>
      <c r="E45" s="12" t="inlineStr">
        <is>
          <t>HR Administrator</t>
        </is>
      </c>
      <c r="F45" s="12" t="inlineStr">
        <is>
          <t>Yes</t>
        </is>
      </c>
    </row>
    <row r="46">
      <c r="B46" s="12" t="inlineStr">
        <is>
          <t>priya@example.com</t>
        </is>
      </c>
      <c r="C46" s="12" t="inlineStr">
        <is>
          <t>Priya Nair</t>
        </is>
      </c>
      <c r="D46" s="12" t="inlineStr">
        <is>
          <t>EMP002</t>
        </is>
      </c>
      <c r="E46" s="12" t="inlineStr">
        <is>
          <t>Department Head</t>
        </is>
      </c>
      <c r="F46" s="12" t="inlineStr"/>
    </row>
    <row r="47">
      <c r="B47" s="12" t="inlineStr">
        <is>
          <t>sandeep@example.com</t>
        </is>
      </c>
      <c r="C47" s="12" t="inlineStr">
        <is>
          <t>Sandeep Rao</t>
        </is>
      </c>
      <c r="D47" s="12" t="inlineStr">
        <is>
          <t>EMP003</t>
        </is>
      </c>
      <c r="E47" s="12" t="inlineStr">
        <is>
          <t>Manager</t>
        </is>
      </c>
      <c r="F47" s="12" t="inlineStr"/>
    </row>
    <row r="48">
      <c r="B48" s="12" t="inlineStr">
        <is>
          <t>kavya@example.com</t>
        </is>
      </c>
      <c r="C48" s="12" t="inlineStr">
        <is>
          <t>Kavya Iyer</t>
        </is>
      </c>
      <c r="D48" s="12" t="inlineStr">
        <is>
          <t>EMP004</t>
        </is>
      </c>
      <c r="E48" s="12" t="inlineStr">
        <is>
          <t>Employee (Self Service)</t>
        </is>
      </c>
      <c r="F48" s="12" t="inlineStr"/>
    </row>
    <row r="49">
      <c r="B49" s="12" t="inlineStr">
        <is>
          <t>rajesh@example.com</t>
        </is>
      </c>
      <c r="C49" s="12" t="inlineStr">
        <is>
          <t>Rajesh Kulkarni</t>
        </is>
      </c>
      <c r="D49" s="12" t="inlineStr">
        <is>
          <t>EMP006</t>
        </is>
      </c>
      <c r="E49" s="12" t="inlineStr">
        <is>
          <t>HR</t>
        </is>
      </c>
      <c r="F49" s="12" t="inlineStr"/>
    </row>
  </sheetData>
  <mergeCells count="6">
    <mergeCell ref="B35:L35"/>
    <mergeCell ref="B43:L43"/>
    <mergeCell ref="B6:L6"/>
    <mergeCell ref="B15:L15"/>
    <mergeCell ref="B24:L24"/>
    <mergeCell ref="B3:L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D54"/>
  <sheetViews>
    <sheetView showGridLines="0" workbookViewId="0">
      <selection activeCell="A1" sqref="A1"/>
    </sheetView>
  </sheetViews>
  <sheetFormatPr baseColWidth="8" defaultRowHeight="15"/>
  <cols>
    <col width="4" customWidth="1" min="1" max="1"/>
    <col width="26" customWidth="1" min="2" max="2"/>
    <col width="62" customWidth="1" min="3" max="3"/>
    <col width="44" customWidth="1" min="4" max="4"/>
  </cols>
  <sheetData>
    <row r="2">
      <c r="B2" s="1" t="inlineStr">
        <is>
          <t>Allowed values</t>
        </is>
      </c>
    </row>
    <row r="3" ht="31" customHeight="1">
      <c r="B3" s="7" t="inlineStr">
        <is>
          <t>These are the only values the system accepts. The dropdowns on the other sheets read from here, so editing this sheet breaks them — please leave it alone.</t>
        </is>
      </c>
    </row>
    <row r="5">
      <c r="B5" s="3" t="inlineStr">
        <is>
          <t>Employment status</t>
        </is>
      </c>
    </row>
    <row r="6">
      <c r="B6" s="10" t="inlineStr">
        <is>
          <t>Value</t>
        </is>
      </c>
      <c r="C6" s="10" t="inlineStr">
        <is>
          <t>What it means</t>
        </is>
      </c>
      <c r="D6" s="10" t="inlineStr">
        <is>
          <t>Can they still hold a team?</t>
        </is>
      </c>
    </row>
    <row r="7" ht="17.5" customHeight="1">
      <c r="B7" s="17" t="inlineStr">
        <is>
          <t>ACTIVE</t>
        </is>
      </c>
      <c r="C7" s="18" t="inlineStr">
        <is>
          <t>Working normally.</t>
        </is>
      </c>
      <c r="D7" s="18" t="inlineStr">
        <is>
          <t>Yes</t>
        </is>
      </c>
    </row>
    <row r="8" ht="17.5" customHeight="1">
      <c r="B8" s="17" t="inlineStr">
        <is>
          <t>PROBATION</t>
        </is>
      </c>
      <c r="C8" s="18" t="inlineStr">
        <is>
          <t>New joiner still under review. Counted in headcount.</t>
        </is>
      </c>
      <c r="D8" s="18" t="inlineStr">
        <is>
          <t>Yes</t>
        </is>
      </c>
    </row>
    <row r="9" ht="17.5" customHeight="1">
      <c r="B9" s="17" t="inlineStr">
        <is>
          <t>ON_LEAVE</t>
        </is>
      </c>
      <c r="C9" s="18" t="inlineStr">
        <is>
          <t>Away for a while — still employed and still the manager.</t>
        </is>
      </c>
      <c r="D9" s="18" t="inlineStr">
        <is>
          <t>Yes</t>
        </is>
      </c>
    </row>
    <row r="10" ht="17.5" customHeight="1">
      <c r="B10" s="17" t="inlineStr">
        <is>
          <t>SUSPENDED</t>
        </is>
      </c>
      <c r="C10" s="18" t="inlineStr">
        <is>
          <t>Suspended pending an inquiry. Still on the payroll.</t>
        </is>
      </c>
      <c r="D10" s="18" t="inlineStr">
        <is>
          <t>No — their team must be given to somebody else</t>
        </is>
      </c>
    </row>
    <row r="11" ht="17.5" customHeight="1">
      <c r="B11" s="17" t="inlineStr">
        <is>
          <t>INACTIVE</t>
        </is>
      </c>
      <c r="C11" s="18" t="inlineStr">
        <is>
          <t>On the books but not working, and not expected back.</t>
        </is>
      </c>
      <c r="D11" s="18" t="inlineStr">
        <is>
          <t>No</t>
        </is>
      </c>
    </row>
    <row r="12" ht="17.5" customHeight="1">
      <c r="B12" s="17" t="inlineStr">
        <is>
          <t>RESIGNED</t>
        </is>
      </c>
      <c r="C12" s="18" t="inlineStr">
        <is>
          <t>Left of their own accord.</t>
        </is>
      </c>
      <c r="D12" s="18" t="inlineStr">
        <is>
          <t>No</t>
        </is>
      </c>
    </row>
    <row r="13" ht="17.5" customHeight="1">
      <c r="B13" s="17" t="inlineStr">
        <is>
          <t>TERMINATED</t>
        </is>
      </c>
      <c r="C13" s="18" t="inlineStr">
        <is>
          <t>Employment ended by the company.</t>
        </is>
      </c>
      <c r="D13" s="18" t="inlineStr">
        <is>
          <t>No</t>
        </is>
      </c>
    </row>
    <row r="14" ht="17.5" customHeight="1">
      <c r="B14" s="17" t="inlineStr">
        <is>
          <t>RETIRED</t>
        </is>
      </c>
      <c r="C14" s="18" t="inlineStr">
        <is>
          <t>Retired.</t>
        </is>
      </c>
      <c r="D14" s="18" t="inlineStr">
        <is>
          <t>No</t>
        </is>
      </c>
    </row>
    <row r="16">
      <c r="B16" s="3" t="inlineStr">
        <is>
          <t>Salary revision type — why the money changed</t>
        </is>
      </c>
    </row>
    <row r="17">
      <c r="B17" s="10" t="inlineStr">
        <is>
          <t>Value</t>
        </is>
      </c>
      <c r="C17" s="10" t="inlineStr">
        <is>
          <t>What it means</t>
        </is>
      </c>
    </row>
    <row r="18" ht="17.5" customHeight="1">
      <c r="B18" s="17" t="inlineStr">
        <is>
          <t>ANNUAL_INCREMENT</t>
        </is>
      </c>
      <c r="C18" s="18" t="inlineStr">
        <is>
          <t>The yearly raise.</t>
        </is>
      </c>
    </row>
    <row r="19" ht="17.5" customHeight="1">
      <c r="B19" s="17" t="inlineStr">
        <is>
          <t>PROMOTION</t>
        </is>
      </c>
      <c r="C19" s="18" t="inlineStr">
        <is>
          <t>Went up a rung, and the money followed.</t>
        </is>
      </c>
    </row>
    <row r="20" ht="17.5" customHeight="1">
      <c r="B20" s="17" t="inlineStr">
        <is>
          <t>PERFORMANCE</t>
        </is>
      </c>
      <c r="C20" s="18" t="inlineStr">
        <is>
          <t>Out-of-cycle raise for performance.</t>
        </is>
      </c>
    </row>
    <row r="21" ht="17.5" customHeight="1">
      <c r="B21" s="17" t="inlineStr">
        <is>
          <t>ROLE_CHANGE</t>
        </is>
      </c>
      <c r="C21" s="18" t="inlineStr">
        <is>
          <t>Same rung, different job, different money.</t>
        </is>
      </c>
    </row>
    <row r="22" ht="17.5" customHeight="1">
      <c r="B22" s="17" t="inlineStr">
        <is>
          <t>DEPARTMENT_TRANSFER</t>
        </is>
      </c>
      <c r="C22" s="18" t="inlineStr">
        <is>
          <t>Moved department and the package changed with it.</t>
        </is>
      </c>
    </row>
    <row r="23" ht="17.5" customHeight="1">
      <c r="B23" s="17" t="inlineStr">
        <is>
          <t>MARKET_ADJUSTMENT</t>
        </is>
      </c>
      <c r="C23" s="18" t="inlineStr">
        <is>
          <t>Corrected to what the market pays.</t>
        </is>
      </c>
    </row>
    <row r="24" ht="17.5" customHeight="1">
      <c r="B24" s="17" t="inlineStr">
        <is>
          <t>BONUS</t>
        </is>
      </c>
      <c r="C24" s="18" t="inlineStr">
        <is>
          <t>A bonus written into the package.</t>
        </is>
      </c>
    </row>
    <row r="25" ht="31" customHeight="1">
      <c r="B25" s="17" t="inlineStr">
        <is>
          <t>INITIAL</t>
        </is>
      </c>
      <c r="C25" s="18" t="inlineStr">
        <is>
          <t>The salary they joined on. Use this for the oldest row of each person.</t>
        </is>
      </c>
    </row>
    <row r="26" ht="17.5" customHeight="1">
      <c r="B26" s="17" t="inlineStr">
        <is>
          <t>OTHER</t>
        </is>
      </c>
      <c r="C26" s="18" t="inlineStr">
        <is>
          <t>Anything else — say what in the Reason column.</t>
        </is>
      </c>
    </row>
    <row r="28">
      <c r="B28" s="3" t="inlineStr">
        <is>
          <t>Access role — what each one can see</t>
        </is>
      </c>
    </row>
    <row r="29">
      <c r="B29" s="10" t="inlineStr">
        <is>
          <t>Value</t>
        </is>
      </c>
      <c r="C29" s="10" t="inlineStr">
        <is>
          <t>What it means</t>
        </is>
      </c>
    </row>
    <row r="30" ht="31" customHeight="1">
      <c r="B30" s="17" t="inlineStr">
        <is>
          <t>Employee (Self Service)</t>
        </is>
      </c>
      <c r="C30" s="18" t="inlineStr">
        <is>
          <t>The directory and the org chart, plus their OWN salary. Nobody else's — not even their manager's.</t>
        </is>
      </c>
    </row>
    <row r="31" ht="44.5" customHeight="1">
      <c r="B31" s="17" t="inlineStr">
        <is>
          <t>Manager</t>
        </is>
      </c>
      <c r="C31" s="18" t="inlineStr">
        <is>
          <t>Their own salary and the salary of anyone below them in the tree. May propose a revision, not approve one. Cannot see their peers' pay.</t>
        </is>
      </c>
    </row>
    <row r="32" ht="31" customHeight="1">
      <c r="B32" s="17" t="inlineStr">
        <is>
          <t>Department Head</t>
        </is>
      </c>
      <c r="C32" s="18" t="inlineStr">
        <is>
          <t>Their department and its sub-departments, the history behind each figure, and the headcount reports.</t>
        </is>
      </c>
    </row>
    <row r="33" ht="31" customHeight="1">
      <c r="B33" s="17" t="inlineStr">
        <is>
          <t>HR</t>
        </is>
      </c>
      <c r="C33" s="18" t="inlineStr">
        <is>
          <t>Everybody's salary, and the right to add and edit employees and enter a revision — but NOT to approve one.</t>
        </is>
      </c>
    </row>
    <row r="34" ht="31" customHeight="1">
      <c r="B34" s="17" t="inlineStr">
        <is>
          <t>Finance (Payroll)</t>
        </is>
      </c>
      <c r="C34" s="18" t="inlineStr">
        <is>
          <t>Everybody's salary and the right to approve a revision. Cannot edit employees or restructure the org.</t>
        </is>
      </c>
    </row>
    <row r="35" ht="17.5" customHeight="1">
      <c r="B35" s="17" t="inlineStr">
        <is>
          <t>HR Administrator</t>
        </is>
      </c>
      <c r="C35" s="18" t="inlineStr">
        <is>
          <t>Everything. Give this to as few people as possible.</t>
        </is>
      </c>
    </row>
    <row r="37">
      <c r="B37" s="3" t="inlineStr">
        <is>
          <t>Currency</t>
        </is>
      </c>
    </row>
    <row r="38">
      <c r="B38" s="10" t="inlineStr">
        <is>
          <t>Value</t>
        </is>
      </c>
      <c r="C38" s="10" t="inlineStr">
        <is>
          <t>What it means</t>
        </is>
      </c>
    </row>
    <row r="39" ht="31" customHeight="1">
      <c r="B39" s="17" t="inlineStr">
        <is>
          <t>INR</t>
        </is>
      </c>
      <c r="C39" s="18" t="inlineStr">
        <is>
          <t>Indian rupees. The default — use this unless the package really is in another currency.</t>
        </is>
      </c>
    </row>
    <row r="40" ht="17.5" customHeight="1">
      <c r="B40" s="17" t="inlineStr">
        <is>
          <t>USD</t>
        </is>
      </c>
      <c r="C40" s="18" t="inlineStr">
        <is>
          <t>Amounts in this currency.</t>
        </is>
      </c>
    </row>
    <row r="41" ht="17.5" customHeight="1">
      <c r="B41" s="17" t="inlineStr">
        <is>
          <t>AED</t>
        </is>
      </c>
      <c r="C41" s="18" t="inlineStr">
        <is>
          <t>Amounts in this currency.</t>
        </is>
      </c>
    </row>
    <row r="42" ht="17.5" customHeight="1">
      <c r="B42" s="17" t="inlineStr">
        <is>
          <t>EUR</t>
        </is>
      </c>
      <c r="C42" s="18" t="inlineStr">
        <is>
          <t>Amounts in this currency.</t>
        </is>
      </c>
    </row>
    <row r="43" ht="17.5" customHeight="1">
      <c r="B43" s="17" t="inlineStr">
        <is>
          <t>GBP</t>
        </is>
      </c>
      <c r="C43" s="18" t="inlineStr">
        <is>
          <t>Amounts in this currency.</t>
        </is>
      </c>
    </row>
    <row r="44" ht="17.5" customHeight="1">
      <c r="B44" s="17" t="inlineStr">
        <is>
          <t>SGD</t>
        </is>
      </c>
      <c r="C44" s="18" t="inlineStr">
        <is>
          <t>Amounts in this currency.</t>
        </is>
      </c>
    </row>
    <row r="46">
      <c r="B46" s="3" t="inlineStr">
        <is>
          <t>Yes / No</t>
        </is>
      </c>
    </row>
    <row r="47">
      <c r="B47" s="10" t="inlineStr">
        <is>
          <t>Value</t>
        </is>
      </c>
      <c r="C47" s="10" t="inlineStr">
        <is>
          <t>What it means</t>
        </is>
      </c>
    </row>
    <row r="48" ht="15" customHeight="1">
      <c r="B48" s="17" t="inlineStr">
        <is>
          <t>Yes</t>
        </is>
      </c>
      <c r="C48" s="18" t="inlineStr"/>
    </row>
    <row r="49" ht="15" customHeight="1">
      <c r="B49" s="17" t="inlineStr">
        <is>
          <t>No</t>
        </is>
      </c>
      <c r="C49" s="18" t="inlineStr"/>
    </row>
    <row r="51">
      <c r="B51" s="3" t="inlineStr">
        <is>
          <t>Department and designation status</t>
        </is>
      </c>
    </row>
    <row r="52">
      <c r="B52" s="10" t="inlineStr">
        <is>
          <t>Value</t>
        </is>
      </c>
      <c r="C52" s="10" t="inlineStr">
        <is>
          <t>What it means</t>
        </is>
      </c>
    </row>
    <row r="53" ht="17.5" customHeight="1">
      <c r="B53" s="17" t="inlineStr">
        <is>
          <t>ACTIVE</t>
        </is>
      </c>
      <c r="C53" s="18" t="inlineStr">
        <is>
          <t>In use.</t>
        </is>
      </c>
    </row>
    <row r="54" ht="31" customHeight="1">
      <c r="B54" s="17" t="inlineStr">
        <is>
          <t>INACTIVE</t>
        </is>
      </c>
      <c r="C54" s="18" t="inlineStr">
        <is>
          <t>Kept so history still reads correctly, but not offered for new employees.</t>
        </is>
      </c>
    </row>
  </sheetData>
  <mergeCells count="1">
    <mergeCell ref="B3:D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E48"/>
  <sheetViews>
    <sheetView showGridLines="0" workbookViewId="0">
      <selection activeCell="A1" sqref="A1"/>
    </sheetView>
  </sheetViews>
  <sheetFormatPr baseColWidth="8" defaultRowHeight="15"/>
  <cols>
    <col width="4" customWidth="1" min="1" max="1"/>
    <col width="62" customWidth="1" min="2" max="2"/>
    <col width="26" customWidth="1" min="3" max="3"/>
    <col width="12" customWidth="1" min="4" max="4"/>
    <col width="14" customWidth="1" min="5" max="5"/>
  </cols>
  <sheetData>
    <row r="2">
      <c r="B2" s="1" t="inlineStr">
        <is>
          <t>Checks</t>
        </is>
      </c>
    </row>
    <row r="3" ht="44.5" customHeight="1">
      <c r="B3" s="7" t="inlineStr">
        <is>
          <t>These count themselves as you type. Everything in the 'Must be fixed' rows has to read 0 before the workbook is sent back — each one is something that would either fail to import or import as the wrong thing. Nothing here needs to be filled in.</t>
        </is>
      </c>
    </row>
    <row r="5">
      <c r="B5" s="9" t="inlineStr">
        <is>
          <t>What is checked</t>
        </is>
      </c>
      <c r="C5" s="9" t="inlineStr">
        <is>
          <t>Should be</t>
        </is>
      </c>
      <c r="D5" s="9" t="inlineStr">
        <is>
          <t>Found</t>
        </is>
      </c>
      <c r="E5" s="9" t="inlineStr"/>
    </row>
    <row r="6" ht="22" customHeight="1">
      <c r="B6" s="3" t="inlineStr">
        <is>
          <t>Departments</t>
        </is>
      </c>
    </row>
    <row r="7" ht="17.5" customHeight="1">
      <c r="B7" s="18" t="inlineStr">
        <is>
          <t>Rows with a name but no code</t>
        </is>
      </c>
      <c r="C7" s="19" t="inlineStr">
        <is>
          <t>0</t>
        </is>
      </c>
      <c r="D7" s="20">
        <f>SUMPRODUCT((Dept_Names&lt;&gt;"")*(Dept_Codes=""))</f>
        <v/>
      </c>
      <c r="E7" s="20">
        <f>IF(D7=0,"OK","Fix")</f>
        <v/>
      </c>
    </row>
    <row r="8" ht="17.5" customHeight="1">
      <c r="B8" s="18" t="inlineStr">
        <is>
          <t>Department codes used twice</t>
        </is>
      </c>
      <c r="C8" s="19" t="inlineStr">
        <is>
          <t>0</t>
        </is>
      </c>
      <c r="D8" s="20">
        <f>SUMPRODUCT((Dept_Codes&lt;&gt;"")*(COUNTIF(Dept_Codes,Dept_Codes)&gt;1))</f>
        <v/>
      </c>
      <c r="E8" s="20">
        <f>IF(D8=0,"OK","Fix")</f>
        <v/>
      </c>
    </row>
    <row r="9" ht="17.5" customHeight="1">
      <c r="B9" s="18" t="inlineStr">
        <is>
          <t>Department names used twice</t>
        </is>
      </c>
      <c r="C9" s="19" t="inlineStr">
        <is>
          <t>0</t>
        </is>
      </c>
      <c r="D9" s="20">
        <f>SUMPRODUCT((Dept_Names&lt;&gt;"")*(COUNTIF(Dept_Names,Dept_Names)&gt;1))</f>
        <v/>
      </c>
      <c r="E9" s="20">
        <f>IF(D9=0,"OK","Fix")</f>
        <v/>
      </c>
    </row>
    <row r="10" ht="17.5" customHeight="1">
      <c r="B10" s="18" t="inlineStr">
        <is>
          <t>'Sits inside' pointing at a department that does not exist</t>
        </is>
      </c>
      <c r="C10" s="19" t="inlineStr">
        <is>
          <t>0</t>
        </is>
      </c>
      <c r="D10" s="20">
        <f>SUMPRODUCT((Dept_Parents&lt;&gt;"")*(COUNTIF(Dept_Codes,Dept_Parents)=0))</f>
        <v/>
      </c>
      <c r="E10" s="20">
        <f>IF(D10=0,"OK","Fix")</f>
        <v/>
      </c>
    </row>
    <row r="11" ht="17.5" customHeight="1">
      <c r="B11" s="18" t="inlineStr">
        <is>
          <t>Department heads who are not on sheet 3</t>
        </is>
      </c>
      <c r="C11" s="19" t="inlineStr">
        <is>
          <t>0</t>
        </is>
      </c>
      <c r="D11" s="20">
        <f>SUMPRODUCT((Dept_Heads&lt;&gt;"")*(COUNTIF(Emp_Codes,Dept_Heads)=0))</f>
        <v/>
      </c>
      <c r="E11" s="20">
        <f>IF(D11=0,"OK","Fix")</f>
        <v/>
      </c>
    </row>
    <row r="12" ht="17.5" customHeight="1">
      <c r="B12" s="18" t="inlineStr">
        <is>
          <t>Departments filled in</t>
        </is>
      </c>
      <c r="C12" s="19" t="inlineStr">
        <is>
          <t>—</t>
        </is>
      </c>
      <c r="D12" s="20">
        <f>SUMPRODUCT((Dept_Codes&lt;&gt;"")*1)</f>
        <v/>
      </c>
      <c r="E12" s="20" t="inlineStr">
        <is>
          <t>—</t>
        </is>
      </c>
    </row>
    <row r="13" ht="22" customHeight="1">
      <c r="B13" s="3" t="inlineStr">
        <is>
          <t>Designations</t>
        </is>
      </c>
    </row>
    <row r="14" ht="17.5" customHeight="1">
      <c r="B14" s="18" t="inlineStr">
        <is>
          <t>Designation codes used twice</t>
        </is>
      </c>
      <c r="C14" s="19" t="inlineStr">
        <is>
          <t>0</t>
        </is>
      </c>
      <c r="D14" s="20">
        <f>SUMPRODUCT((Desig_Codes&lt;&gt;"")*(COUNTIF(Desig_Codes,Desig_Codes)&gt;1))</f>
        <v/>
      </c>
      <c r="E14" s="20">
        <f>IF(D14=0,"OK","Fix")</f>
        <v/>
      </c>
    </row>
    <row r="15" ht="17.5" customHeight="1">
      <c r="B15" s="18" t="inlineStr">
        <is>
          <t>Designation names used twice</t>
        </is>
      </c>
      <c r="C15" s="19" t="inlineStr">
        <is>
          <t>0</t>
        </is>
      </c>
      <c r="D15" s="20">
        <f>SUMPRODUCT((Desig_Names&lt;&gt;"")*(COUNTIF(Desig_Names,Desig_Names)&gt;1))</f>
        <v/>
      </c>
      <c r="E15" s="20">
        <f>IF(D15=0,"OK","Fix")</f>
        <v/>
      </c>
    </row>
    <row r="16" ht="17.5" customHeight="1">
      <c r="B16" s="18" t="inlineStr">
        <is>
          <t>Designations with no level</t>
        </is>
      </c>
      <c r="C16" s="19" t="inlineStr">
        <is>
          <t>0</t>
        </is>
      </c>
      <c r="D16" s="20">
        <f>SUMPRODUCT((Desig_Codes&lt;&gt;"")*(Desig_Levels=""))</f>
        <v/>
      </c>
      <c r="E16" s="20">
        <f>IF(D16=0,"OK","Fix")</f>
        <v/>
      </c>
    </row>
    <row r="17" ht="17.5" customHeight="1">
      <c r="B17" s="18" t="inlineStr">
        <is>
          <t>Designations filled in</t>
        </is>
      </c>
      <c r="C17" s="19" t="inlineStr">
        <is>
          <t>—</t>
        </is>
      </c>
      <c r="D17" s="20">
        <f>SUMPRODUCT((Desig_Codes&lt;&gt;"")*1)</f>
        <v/>
      </c>
      <c r="E17" s="20" t="inlineStr">
        <is>
          <t>—</t>
        </is>
      </c>
    </row>
    <row r="18" ht="22" customHeight="1">
      <c r="B18" s="3" t="inlineStr">
        <is>
          <t>Employees</t>
        </is>
      </c>
    </row>
    <row r="19" ht="17.5" customHeight="1">
      <c r="B19" s="18" t="inlineStr">
        <is>
          <t>Rows with a name but no employee code</t>
        </is>
      </c>
      <c r="C19" s="19" t="inlineStr">
        <is>
          <t>0</t>
        </is>
      </c>
      <c r="D19" s="20">
        <f>SUMPRODUCT((Emp_First&lt;&gt;"")*(Emp_Codes=""))</f>
        <v/>
      </c>
      <c r="E19" s="20">
        <f>IF(D19=0,"OK","Fix")</f>
        <v/>
      </c>
    </row>
    <row r="20" ht="17.5" customHeight="1">
      <c r="B20" s="18" t="inlineStr">
        <is>
          <t>Employee codes used twice</t>
        </is>
      </c>
      <c r="C20" s="19" t="inlineStr">
        <is>
          <t>0</t>
        </is>
      </c>
      <c r="D20" s="20">
        <f>SUMPRODUCT((Emp_Codes&lt;&gt;"")*(COUNTIF(Emp_Codes,Emp_Codes)&gt;1))</f>
        <v/>
      </c>
      <c r="E20" s="20">
        <f>IF(D20=0,"OK","Fix")</f>
        <v/>
      </c>
    </row>
    <row r="21" ht="17.5" customHeight="1">
      <c r="B21" s="18" t="inlineStr">
        <is>
          <t>Employees with no department</t>
        </is>
      </c>
      <c r="C21" s="19" t="inlineStr">
        <is>
          <t>0</t>
        </is>
      </c>
      <c r="D21" s="20">
        <f>SUMPRODUCT((Emp_Codes&lt;&gt;"")*(Emp_Dept=""))</f>
        <v/>
      </c>
      <c r="E21" s="20">
        <f>IF(D21=0,"OK","Fix")</f>
        <v/>
      </c>
    </row>
    <row r="22" ht="17.5" customHeight="1">
      <c r="B22" s="18" t="inlineStr">
        <is>
          <t>Department codes that are not on sheet 1</t>
        </is>
      </c>
      <c r="C22" s="19" t="inlineStr">
        <is>
          <t>0</t>
        </is>
      </c>
      <c r="D22" s="20">
        <f>SUMPRODUCT((Emp_Dept&lt;&gt;"")*(COUNTIF(Dept_Codes,Emp_Dept)=0))</f>
        <v/>
      </c>
      <c r="E22" s="20">
        <f>IF(D22=0,"OK","Fix")</f>
        <v/>
      </c>
    </row>
    <row r="23" ht="17.5" customHeight="1">
      <c r="B23" s="18" t="inlineStr">
        <is>
          <t>Employees with no designation</t>
        </is>
      </c>
      <c r="C23" s="19" t="inlineStr">
        <is>
          <t>0</t>
        </is>
      </c>
      <c r="D23" s="20">
        <f>SUMPRODUCT((Emp_Codes&lt;&gt;"")*(Emp_Desig=""))</f>
        <v/>
      </c>
      <c r="E23" s="20">
        <f>IF(D23=0,"OK","Fix")</f>
        <v/>
      </c>
    </row>
    <row r="24" ht="17.5" customHeight="1">
      <c r="B24" s="18" t="inlineStr">
        <is>
          <t>Designation codes that are not on sheet 2</t>
        </is>
      </c>
      <c r="C24" s="19" t="inlineStr">
        <is>
          <t>0</t>
        </is>
      </c>
      <c r="D24" s="20">
        <f>SUMPRODUCT((Emp_Desig&lt;&gt;"")*(COUNTIF(Desig_Codes,Emp_Desig)=0))</f>
        <v/>
      </c>
      <c r="E24" s="20">
        <f>IF(D24=0,"OK","Fix")</f>
        <v/>
      </c>
    </row>
    <row r="25" ht="17.5" customHeight="1">
      <c r="B25" s="18" t="inlineStr">
        <is>
          <t>'Reports to' pointing at somebody who is not on this sheet</t>
        </is>
      </c>
      <c r="C25" s="19" t="inlineStr">
        <is>
          <t>0</t>
        </is>
      </c>
      <c r="D25" s="20">
        <f>SUMPRODUCT((Emp_Manager&lt;&gt;"")*(COUNTIF(Emp_Codes,Emp_Manager)=0))</f>
        <v/>
      </c>
      <c r="E25" s="20">
        <f>IF(D25=0,"OK","Fix")</f>
        <v/>
      </c>
    </row>
    <row r="26" ht="17.5" customHeight="1">
      <c r="B26" s="18" t="inlineStr">
        <is>
          <t>People reporting to themselves</t>
        </is>
      </c>
      <c r="C26" s="19" t="inlineStr">
        <is>
          <t>0</t>
        </is>
      </c>
      <c r="D26" s="20">
        <f>SUMPRODUCT((Emp_Manager&lt;&gt;"")*(Emp_Manager=Emp_Codes))</f>
        <v/>
      </c>
      <c r="E26" s="20">
        <f>IF(D26=0,"OK","Fix")</f>
        <v/>
      </c>
    </row>
    <row r="27" ht="17.5" customHeight="1">
      <c r="B27" s="18" t="inlineStr">
        <is>
          <t>Work emails used twice</t>
        </is>
      </c>
      <c r="C27" s="19" t="inlineStr">
        <is>
          <t>0</t>
        </is>
      </c>
      <c r="D27" s="20">
        <f>SUMPRODUCT((Emp_Email&lt;&gt;"")*(COUNTIF(Emp_Email,Emp_Email)&gt;1))</f>
        <v/>
      </c>
      <c r="E27" s="20">
        <f>IF(D27=0,"OK","Fix")</f>
        <v/>
      </c>
    </row>
    <row r="28" ht="17.5" customHeight="1">
      <c r="B28" s="18" t="inlineStr">
        <is>
          <t>Login emails used twice on sheet 3</t>
        </is>
      </c>
      <c r="C28" s="19" t="inlineStr">
        <is>
          <t>0</t>
        </is>
      </c>
      <c r="D28" s="20">
        <f>SUMPRODUCT((Emp_Login&lt;&gt;"")*(COUNTIF(Emp_Login,Emp_Login)&gt;1))</f>
        <v/>
      </c>
      <c r="E28" s="20">
        <f>IF(D28=0,"OK","Fix")</f>
        <v/>
      </c>
    </row>
    <row r="29" ht="17.5" customHeight="1">
      <c r="B29" s="18" t="inlineStr">
        <is>
          <t>People who have left with no last working day</t>
        </is>
      </c>
      <c r="C29" s="19" t="inlineStr">
        <is>
          <t>0</t>
        </is>
      </c>
      <c r="D29" s="20">
        <f>SUMPRODUCT((Emp_Codes&lt;&gt;"")*(Emp_Exit="")*((Emp_Status="RESIGNED")+(Emp_Status="TERMINATED")+(Emp_Status="RETIRED")+(Emp_Status="INACTIVE")))</f>
        <v/>
      </c>
      <c r="E29" s="20">
        <f>IF(D29=0,"OK","Fix")</f>
        <v/>
      </c>
    </row>
    <row r="30" ht="17.5" customHeight="1">
      <c r="B30" s="18" t="inlineStr">
        <is>
          <t>A last working day on somebody still employed</t>
        </is>
      </c>
      <c r="C30" s="19" t="inlineStr">
        <is>
          <t>0</t>
        </is>
      </c>
      <c r="D30" s="20">
        <f>SUMPRODUCT((Emp_Exit&lt;&gt;"")*((Emp_Status="ACTIVE")+(Emp_Status="PROBATION")+(Emp_Status="ON_LEAVE")+(Emp_Status="SUSPENDED")))</f>
        <v/>
      </c>
      <c r="E30" s="20">
        <f>IF(D30=0,"OK","Fix")</f>
        <v/>
      </c>
    </row>
    <row r="31" ht="31" customHeight="1">
      <c r="B31" s="18" t="inlineStr">
        <is>
          <t>Top-level people (blank 'reports to')</t>
        </is>
      </c>
      <c r="C31" s="19" t="inlineStr">
        <is>
          <t>1 — or one per separate unit</t>
        </is>
      </c>
      <c r="D31" s="20">
        <f>SUMPRODUCT((Emp_Codes&lt;&gt;"")*(Emp_Manager=""))</f>
        <v/>
      </c>
      <c r="E31" s="20" t="inlineStr">
        <is>
          <t>—</t>
        </is>
      </c>
    </row>
    <row r="32" ht="17.5" customHeight="1">
      <c r="B32" s="18" t="inlineStr">
        <is>
          <t>Employees filled in</t>
        </is>
      </c>
      <c r="C32" s="19" t="inlineStr">
        <is>
          <t>—</t>
        </is>
      </c>
      <c r="D32" s="20">
        <f>SUMPRODUCT((Emp_Codes&lt;&gt;"")*1)</f>
        <v/>
      </c>
      <c r="E32" s="20" t="inlineStr">
        <is>
          <t>—</t>
        </is>
      </c>
    </row>
    <row r="33" ht="17.5" customHeight="1">
      <c r="B33" s="18" t="inlineStr">
        <is>
          <t>Managers (somebody reports to them)</t>
        </is>
      </c>
      <c r="C33" s="19" t="inlineStr">
        <is>
          <t>—</t>
        </is>
      </c>
      <c r="D33" s="20">
        <f>SUMPRODUCT((Emp_Codes&lt;&gt;"")*(COUNTIF(Emp_Manager,Emp_Codes)&gt;0))</f>
        <v/>
      </c>
      <c r="E33" s="20" t="inlineStr">
        <is>
          <t>—</t>
        </is>
      </c>
    </row>
    <row r="34" ht="22" customHeight="1">
      <c r="B34" s="3" t="inlineStr">
        <is>
          <t>Salary history</t>
        </is>
      </c>
    </row>
    <row r="35" ht="17.5" customHeight="1">
      <c r="B35" s="18" t="inlineStr">
        <is>
          <t>Salary rows for somebody who is not on sheet 3</t>
        </is>
      </c>
      <c r="C35" s="19" t="inlineStr">
        <is>
          <t>0</t>
        </is>
      </c>
      <c r="D35" s="20">
        <f>SUMPRODUCT((Sal_Emp&lt;&gt;"")*(COUNTIF(Emp_Codes,Sal_Emp)=0))</f>
        <v/>
      </c>
      <c r="E35" s="20">
        <f>IF(D35=0,"OK","Fix")</f>
        <v/>
      </c>
    </row>
    <row r="36" ht="17.5" customHeight="1">
      <c r="B36" s="18" t="inlineStr">
        <is>
          <t>Salary rows with no 'effective from' date</t>
        </is>
      </c>
      <c r="C36" s="19" t="inlineStr">
        <is>
          <t>0</t>
        </is>
      </c>
      <c r="D36" s="20">
        <f>SUMPRODUCT((Sal_Emp&lt;&gt;"")*(Sal_Date=""))</f>
        <v/>
      </c>
      <c r="E36" s="20">
        <f>IF(D36=0,"OK","Fix")</f>
        <v/>
      </c>
    </row>
    <row r="37" ht="17.5" customHeight="1">
      <c r="B37" s="18" t="inlineStr">
        <is>
          <t>One person with two salaries starting the same day</t>
        </is>
      </c>
      <c r="C37" s="19" t="inlineStr">
        <is>
          <t>0</t>
        </is>
      </c>
      <c r="D37" s="20">
        <f>SUMPRODUCT((Sal_Emp&lt;&gt;"")*(Sal_Date&lt;&gt;"")*(COUNTIFS(Sal_Emp,Sal_Emp,Sal_Date,Sal_Date)&gt;1))</f>
        <v/>
      </c>
      <c r="E37" s="20">
        <f>IF(D37=0,"OK","Fix")</f>
        <v/>
      </c>
    </row>
    <row r="38" ht="17.5" customHeight="1">
      <c r="B38" s="18" t="inlineStr">
        <is>
          <t>Salary rows totalling zero or less</t>
        </is>
      </c>
      <c r="C38" s="19" t="inlineStr">
        <is>
          <t>0</t>
        </is>
      </c>
      <c r="D38" s="20">
        <f>SUMPRODUCT((Sal_Emp&lt;&gt;"")*(Sal_Total&lt;=0))</f>
        <v/>
      </c>
      <c r="E38" s="20">
        <f>IF(D38=0,"OK","Fix")</f>
        <v/>
      </c>
    </row>
    <row r="39" ht="17.5" customHeight="1">
      <c r="B39" s="18" t="inlineStr">
        <is>
          <t>Employees with no salary row at all</t>
        </is>
      </c>
      <c r="C39" s="19" t="inlineStr">
        <is>
          <t>0</t>
        </is>
      </c>
      <c r="D39" s="20">
        <f>SUMPRODUCT((Emp_Codes&lt;&gt;"")*(COUNTIF(Sal_Emp,Emp_Codes)=0))</f>
        <v/>
      </c>
      <c r="E39" s="20">
        <f>IF(D39=0,"OK","Fix")</f>
        <v/>
      </c>
    </row>
    <row r="40" ht="17.5" customHeight="1">
      <c r="B40" s="18" t="inlineStr">
        <is>
          <t>Salary rows filled in</t>
        </is>
      </c>
      <c r="C40" s="19" t="inlineStr">
        <is>
          <t>—</t>
        </is>
      </c>
      <c r="D40" s="20">
        <f>SUMPRODUCT((Sal_Emp&lt;&gt;"")*1)</f>
        <v/>
      </c>
      <c r="E40" s="20" t="inlineStr">
        <is>
          <t>—</t>
        </is>
      </c>
    </row>
    <row r="41" ht="22" customHeight="1">
      <c r="B41" s="3" t="inlineStr">
        <is>
          <t>Access and roles</t>
        </is>
      </c>
    </row>
    <row r="42" ht="17.5" customHeight="1">
      <c r="B42" s="18" t="inlineStr">
        <is>
          <t>Access rows with no role</t>
        </is>
      </c>
      <c r="C42" s="19" t="inlineStr">
        <is>
          <t>0</t>
        </is>
      </c>
      <c r="D42" s="20">
        <f>SUMPRODUCT((Acc_Login&lt;&gt;"")*(Acc_Role=""))</f>
        <v/>
      </c>
      <c r="E42" s="20">
        <f>IF(D42=0,"OK","Fix")</f>
        <v/>
      </c>
    </row>
    <row r="43" ht="17.5" customHeight="1">
      <c r="B43" s="18" t="inlineStr">
        <is>
          <t>Employee codes on sheet 5 that are not on sheet 3</t>
        </is>
      </c>
      <c r="C43" s="19" t="inlineStr">
        <is>
          <t>0</t>
        </is>
      </c>
      <c r="D43" s="20">
        <f>SUMPRODUCT((Acc_Emp&lt;&gt;"")*(COUNTIF(Emp_Codes,Acc_Emp)=0))</f>
        <v/>
      </c>
      <c r="E43" s="20">
        <f>IF(D43=0,"OK","Fix")</f>
        <v/>
      </c>
    </row>
    <row r="44" ht="17.5" customHeight="1">
      <c r="B44" s="18" t="inlineStr">
        <is>
          <t>Logins used on sheet 3 that are missing from sheet 5</t>
        </is>
      </c>
      <c r="C44" s="19" t="inlineStr">
        <is>
          <t>0</t>
        </is>
      </c>
      <c r="D44" s="20">
        <f>SUMPRODUCT((Emp_Login&lt;&gt;"")*(COUNTIF(Acc_Login,Emp_Login)=0))</f>
        <v/>
      </c>
      <c r="E44" s="20">
        <f>IF(D44=0,"OK","Fix")</f>
        <v/>
      </c>
    </row>
    <row r="45" ht="17.5" customHeight="1">
      <c r="B45" s="18" t="inlineStr">
        <is>
          <t>People given HR Administrator</t>
        </is>
      </c>
      <c r="C45" s="19" t="inlineStr">
        <is>
          <t>as few as possible</t>
        </is>
      </c>
      <c r="D45" s="20">
        <f>COUNTIF(Acc_Role,"HR Administrator")</f>
        <v/>
      </c>
      <c r="E45" s="20" t="inlineStr">
        <is>
          <t>—</t>
        </is>
      </c>
    </row>
    <row r="46" ht="17.5" customHeight="1">
      <c r="B46" s="18" t="inlineStr">
        <is>
          <t>People who may approve salary revisions</t>
        </is>
      </c>
      <c r="C46" s="19" t="inlineStr">
        <is>
          <t>at least 1</t>
        </is>
      </c>
      <c r="D46" s="20">
        <f>COUNTIF('5. Access and roles'!$F$2:$F$501,"Yes")</f>
        <v/>
      </c>
      <c r="E46" s="20" t="inlineStr">
        <is>
          <t>—</t>
        </is>
      </c>
    </row>
    <row r="48" ht="44.5" customHeight="1">
      <c r="B48" s="21" t="inlineStr">
        <is>
          <t>Not checked here, because a spreadsheet cannot see it: a reporting LOOP more than two people long (A → B → C → A). Sheet 3 turns the cell red for the two-person case; anything deeper is caught when the file is loaded, and we will come back to you with the names.</t>
        </is>
      </c>
    </row>
  </sheetData>
  <mergeCells count="2">
    <mergeCell ref="B3:E3"/>
    <mergeCell ref="B48:E48"/>
  </mergeCells>
  <conditionalFormatting sqref="D6:E46">
    <cfRule type="expression" priority="1" dxfId="0">
      <formula>$E6="Fix"</formula>
    </cfRule>
    <cfRule type="expression" priority="2" dxfId="1">
      <formula>$E6="OK"</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Jivo — employee hierarchy module</dc:creator>
  <dc:title>Employee data collection template</dc:title>
  <dc:description>Fill in the five numbered sheets and send the file back. Hover a column heading for the rule that applies to it; the Checks sheet counts anything still wrong.</dc:description>
  <dc:subject>Employees, departments, designations, salary history and access</dc:subject>
  <dcterms:created xsi:type="dcterms:W3CDTF">2026-09-09T09:10:32Z</dcterms:created>
  <dcterms:modified xsi:type="dcterms:W3CDTF">2026-09-09T09:10:36Z</dcterms:modified>
</cp:coreProperties>
</file>